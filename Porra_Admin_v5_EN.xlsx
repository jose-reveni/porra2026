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<sst xmlns="http://schemas.openxmlformats.org/spreadsheetml/2006/main" count="3085" uniqueCount="534">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</sst>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 t="s">
        <v>363</v>
      </c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30" t="s">
        <v>362</v>
      </c>
      <c r="T228" s="16"/>
      <c r="U228" s="28" t="s">
        <v>362</v>
      </c>
      <c r="V228" s="16"/>
      <c r="W228" s="28" t="s">
        <v>363</v>
      </c>
      <c r="X228" s="16"/>
      <c r="Y228" s="28" t="s">
        <v>364</v>
      </c>
      <c r="Z228" s="16"/>
      <c r="AA228" s="28" t="s">
        <v>362</v>
      </c>
      <c r="AB228" s="16"/>
      <c r="AC228" s="30" t="s">
        <v>363</v>
      </c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30" t="s">
        <v>362</v>
      </c>
      <c r="AZ228" s="16"/>
      <c r="BA228" s="28"/>
      <c r="BB228" s="16"/>
      <c r="BC228" s="28" t="s">
        <v>362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 t="s">
        <v>362</v>
      </c>
      <c r="J229" s="16"/>
      <c r="K229" s="28"/>
      <c r="L229" s="16"/>
      <c r="M229" s="30" t="s">
        <v>362</v>
      </c>
      <c r="N229" s="16"/>
      <c r="O229" s="28" t="s">
        <v>362</v>
      </c>
      <c r="P229" s="16"/>
      <c r="Q229" s="28" t="s">
        <v>362</v>
      </c>
      <c r="R229" s="16"/>
      <c r="S229" s="30" t="s">
        <v>363</v>
      </c>
      <c r="T229" s="16"/>
      <c r="U229" s="28" t="s">
        <v>362</v>
      </c>
      <c r="V229" s="16"/>
      <c r="W229" s="28" t="s">
        <v>362</v>
      </c>
      <c r="X229" s="16"/>
      <c r="Y229" s="28" t="s">
        <v>364</v>
      </c>
      <c r="Z229" s="16"/>
      <c r="AA229" s="28" t="s">
        <v>363</v>
      </c>
      <c r="AB229" s="16"/>
      <c r="AC229" s="30" t="s">
        <v>363</v>
      </c>
      <c r="AD229" s="16"/>
      <c r="AE229" s="30" t="s">
        <v>366</v>
      </c>
      <c r="AF229" s="16"/>
      <c r="AG229" s="28" t="s">
        <v>362</v>
      </c>
      <c r="AH229" s="16"/>
      <c r="AI229" s="28"/>
      <c r="AJ229" s="16"/>
      <c r="AK229" s="28" t="s">
        <v>363</v>
      </c>
      <c r="AL229" s="16"/>
      <c r="AM229" s="28"/>
      <c r="AN229" s="16"/>
      <c r="AO229" s="30" t="s">
        <v>366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30" t="s">
        <v>362</v>
      </c>
      <c r="AZ229" s="16"/>
      <c r="BA229" s="28"/>
      <c r="BB229" s="16"/>
      <c r="BC229" s="28" t="s">
        <v>362</v>
      </c>
      <c r="BD229" s="16"/>
      <c r="BE229" s="30" t="s">
        <v>367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368</v>
      </c>
      <c r="AF231" s="1"/>
      <c r="AG231" s="1"/>
      <c r="AH231" s="1"/>
      <c r="AI231" s="1"/>
      <c r="AJ231" s="1"/>
      <c r="AK231" s="1"/>
      <c r="AL231" s="1"/>
      <c r="AM231" s="31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371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372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373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374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375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376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377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378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379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380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381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382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383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384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385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386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387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388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389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390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391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392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393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394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395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396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397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398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399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400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401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402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403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404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405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406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407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408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409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410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411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412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413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414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415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416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417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418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419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420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421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422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423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424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425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426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427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428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429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430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431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432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433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434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435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436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437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438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439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440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441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442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443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444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445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446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447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448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449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450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451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452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453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454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455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456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457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458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459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460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461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462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463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464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465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466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467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468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469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470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4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0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471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472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473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474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475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476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477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478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479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480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481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482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483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484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485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486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487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488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489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490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491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492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493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494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495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496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497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498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499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500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501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502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503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504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505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506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507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508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509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510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511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512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513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514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515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516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517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518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519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520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521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522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523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524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143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141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5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5" t="s">
        <v>531</v>
      </c>
      <c r="G5" s="45" t="s">
        <v>532</v>
      </c>
      <c r="H5" s="45" t="s">
        <v>533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143</v>
      </c>
      <c r="H17" s="49">
        <f>G17*1000-11</f>
        <v>142989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Ben</v>
      </c>
      <c r="D28" s="58">
        <f t="array" ref="D28">IFERROR(INDEX(G6:G35,MATCH(LARGE(H6:H35,23),H6:H35,0)),"")</f>
        <v>145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Gon </v>
      </c>
      <c r="D29" s="58">
        <f t="array" ref="D29">IFERROR(INDEX(G6:G35,MATCH(LARGE(H6:H35,24),H6:H35,0)),"")</f>
        <v>144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Juanorro</v>
      </c>
      <c r="D30" s="58">
        <f t="array" ref="D30">IFERROR(INDEX(G6:G35,MATCH(LARGE(H6:H35,25),H6:H35,0)),"")</f>
        <v>143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141</v>
      </c>
      <c r="E31" s="1"/>
      <c r="F31" s="49" t="str">
        <f>'Raw data'!BA6</f>
        <v>Jaime</v>
      </c>
      <c r="G31" s="49">
        <f>Calculation!BA241</f>
        <v>141</v>
      </c>
      <c r="H31" s="49">
        <f>G31*1000-25</f>
        <v>140975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