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<sst xmlns="http://schemas.openxmlformats.org/spreadsheetml/2006/main" count="3221" uniqueCount="533">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</sst>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5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9</v>
      </c>
      <c r="D218" s="40"/>
      <c r="E218" s="44">
        <f>SUM(E206:E217)</f>
        <v>7</v>
      </c>
      <c r="F218" s="40"/>
      <c r="G218" s="44">
        <f>SUM(G206:G217)</f>
        <v>7</v>
      </c>
      <c r="H218" s="40"/>
      <c r="I218" s="44">
        <f>SUM(I206:I217)</f>
        <v>9</v>
      </c>
      <c r="J218" s="40"/>
      <c r="K218" s="44">
        <f>SUM(K206:K217)</f>
        <v>4</v>
      </c>
      <c r="L218" s="40"/>
      <c r="M218" s="44">
        <f>SUM(M206:M217)</f>
        <v>7</v>
      </c>
      <c r="N218" s="40"/>
      <c r="O218" s="44">
        <f>SUM(O206:O217)</f>
        <v>7</v>
      </c>
      <c r="P218" s="40"/>
      <c r="Q218" s="44">
        <f>SUM(Q206:Q217)</f>
        <v>3</v>
      </c>
      <c r="R218" s="40"/>
      <c r="S218" s="44">
        <f>SUM(S206:S217)</f>
        <v>7</v>
      </c>
      <c r="T218" s="40"/>
      <c r="U218" s="44">
        <f>SUM(U206:U217)</f>
        <v>7</v>
      </c>
      <c r="V218" s="40"/>
      <c r="W218" s="44">
        <f>SUM(W206:W217)</f>
        <v>4</v>
      </c>
      <c r="X218" s="40"/>
      <c r="Y218" s="44">
        <f>SUM(Y206:Y217)</f>
        <v>4</v>
      </c>
      <c r="Z218" s="40"/>
      <c r="AA218" s="44">
        <f>SUM(AA206:AA217)</f>
        <v>7</v>
      </c>
      <c r="AB218" s="40"/>
      <c r="AC218" s="44">
        <f>SUM(AC206:AC217)</f>
        <v>7</v>
      </c>
      <c r="AD218" s="40"/>
      <c r="AE218" s="44">
        <f>SUM(AE206:AE217)</f>
        <v>9</v>
      </c>
      <c r="AF218" s="40"/>
      <c r="AG218" s="44">
        <f>SUM(AG206:AG217)</f>
        <v>7</v>
      </c>
      <c r="AH218" s="40"/>
      <c r="AI218" s="44">
        <f>SUM(AI206:AI217)</f>
        <v>9</v>
      </c>
      <c r="AJ218" s="40"/>
      <c r="AK218" s="44">
        <f>SUM(AK206:AK217)</f>
        <v>7</v>
      </c>
      <c r="AL218" s="40"/>
      <c r="AM218" s="44">
        <f>SUM(AM206:AM217)</f>
        <v>7</v>
      </c>
      <c r="AN218" s="40"/>
      <c r="AO218" s="44">
        <f>SUM(AO206:AO217)</f>
        <v>7</v>
      </c>
      <c r="AP218" s="40"/>
      <c r="AQ218" s="44">
        <f>SUM(AQ206:AQ217)</f>
        <v>9</v>
      </c>
      <c r="AR218" s="40"/>
      <c r="AS218" s="44">
        <f>SUM(AS206:AS217)</f>
        <v>7</v>
      </c>
      <c r="AT218" s="40"/>
      <c r="AU218" s="44">
        <f>SUM(AU206:AU217)</f>
        <v>0</v>
      </c>
      <c r="AV218" s="40"/>
      <c r="AW218" s="44">
        <f>SUM(AW206:AW217)</f>
        <v>7</v>
      </c>
      <c r="AX218" s="40"/>
      <c r="AY218" s="44">
        <f>SUM(AY206:AY217)</f>
        <v>0</v>
      </c>
      <c r="AZ218" s="40"/>
      <c r="BA218" s="44">
        <f>SUM(BA206:BA217)</f>
        <v>7</v>
      </c>
      <c r="BB218" s="40"/>
      <c r="BC218" s="44">
        <f>SUM(BC206:BC217)</f>
        <v>9</v>
      </c>
      <c r="BD218" s="40"/>
      <c r="BE218" s="44">
        <f>SUM(BE206:BE217)</f>
        <v>7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236</v>
      </c>
      <c r="D241" s="40"/>
      <c r="E241" s="47">
        <f>SUMIF($B$7:$B$240,"Subtotal*",E$7:E$240)</f>
        <v>232</v>
      </c>
      <c r="F241" s="40"/>
      <c r="G241" s="47">
        <f>SUMIF($B$7:$B$240,"Subtotal*",G$7:G$240)</f>
        <v>219</v>
      </c>
      <c r="H241" s="40"/>
      <c r="I241" s="47">
        <f>SUMIF($B$7:$B$240,"Subtotal*",I$7:I$240)</f>
        <v>233</v>
      </c>
      <c r="J241" s="40"/>
      <c r="K241" s="47">
        <f>SUMIF($B$7:$B$240,"Subtotal*",K$7:K$240)</f>
        <v>219</v>
      </c>
      <c r="L241" s="40"/>
      <c r="M241" s="47">
        <f>SUMIF($B$7:$B$240,"Subtotal*",M$7:M$240)</f>
        <v>241</v>
      </c>
      <c r="N241" s="40"/>
      <c r="O241" s="47">
        <f>SUMIF($B$7:$B$240,"Subtotal*",O$7:O$240)</f>
        <v>225</v>
      </c>
      <c r="P241" s="40"/>
      <c r="Q241" s="47">
        <f>SUMIF($B$7:$B$240,"Subtotal*",Q$7:Q$240)</f>
        <v>224</v>
      </c>
      <c r="R241" s="40"/>
      <c r="S241" s="47">
        <f>SUMIF($B$7:$B$240,"Subtotal*",S$7:S$240)</f>
        <v>237</v>
      </c>
      <c r="T241" s="40"/>
      <c r="U241" s="47">
        <f>SUMIF($B$7:$B$240,"Subtotal*",U$7:U$240)</f>
        <v>236</v>
      </c>
      <c r="V241" s="40"/>
      <c r="W241" s="47">
        <f>SUMIF($B$7:$B$240,"Subtotal*",W$7:W$240)</f>
        <v>211</v>
      </c>
      <c r="X241" s="40"/>
      <c r="Y241" s="47">
        <f>SUMIF($B$7:$B$240,"Subtotal*",Y$7:Y$240)</f>
        <v>216</v>
      </c>
      <c r="Z241" s="40"/>
      <c r="AA241" s="47">
        <f>SUMIF($B$7:$B$240,"Subtotal*",AA$7:AA$240)</f>
        <v>225</v>
      </c>
      <c r="AB241" s="40"/>
      <c r="AC241" s="47">
        <f>SUMIF($B$7:$B$240,"Subtotal*",AC$7:AC$240)</f>
        <v>214</v>
      </c>
      <c r="AD241" s="40"/>
      <c r="AE241" s="47">
        <f>SUMIF($B$7:$B$240,"Subtotal*",AE$7:AE$240)</f>
        <v>231</v>
      </c>
      <c r="AF241" s="40"/>
      <c r="AG241" s="47">
        <f>SUMIF($B$7:$B$240,"Subtotal*",AG$7:AG$240)</f>
        <v>232</v>
      </c>
      <c r="AH241" s="40"/>
      <c r="AI241" s="47">
        <f>SUMIF($B$7:$B$240,"Subtotal*",AI$7:AI$240)</f>
        <v>234</v>
      </c>
      <c r="AJ241" s="40"/>
      <c r="AK241" s="47">
        <f>SUMIF($B$7:$B$240,"Subtotal*",AK$7:AK$240)</f>
        <v>253</v>
      </c>
      <c r="AL241" s="40"/>
      <c r="AM241" s="47">
        <f>SUMIF($B$7:$B$240,"Subtotal*",AM$7:AM$240)</f>
        <v>246</v>
      </c>
      <c r="AN241" s="40"/>
      <c r="AO241" s="47">
        <f>SUMIF($B$7:$B$240,"Subtotal*",AO$7:AO$240)</f>
        <v>252</v>
      </c>
      <c r="AP241" s="40"/>
      <c r="AQ241" s="47">
        <f>SUMIF($B$7:$B$240,"Subtotal*",AQ$7:AQ$240)</f>
        <v>221</v>
      </c>
      <c r="AR241" s="40"/>
      <c r="AS241" s="47">
        <f>SUMIF($B$7:$B$240,"Subtotal*",AS$7:AS$240)</f>
        <v>222</v>
      </c>
      <c r="AT241" s="40"/>
      <c r="AU241" s="47">
        <f>SUMIF($B$7:$B$240,"Subtotal*",AU$7:AU$240)</f>
        <v>237</v>
      </c>
      <c r="AV241" s="40"/>
      <c r="AW241" s="47">
        <f>SUMIF($B$7:$B$240,"Subtotal*",AW$7:AW$240)</f>
        <v>214</v>
      </c>
      <c r="AX241" s="40"/>
      <c r="AY241" s="47">
        <f>SUMIF($B$7:$B$240,"Subtotal*",AY$7:AY$240)</f>
        <v>222</v>
      </c>
      <c r="AZ241" s="40"/>
      <c r="BA241" s="47">
        <f>SUMIF($B$7:$B$240,"Subtotal*",BA$7:BA$240)</f>
        <v>215</v>
      </c>
      <c r="BB241" s="40"/>
      <c r="BC241" s="47">
        <f>SUMIF($B$7:$B$240,"Subtotal*",BC$7:BC$240)</f>
        <v>238</v>
      </c>
      <c r="BD241" s="40"/>
      <c r="BE241" s="47">
        <f>SUMIF($B$7:$B$240,"Subtotal*",BE$7:BE$240)</f>
        <v>223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253</v>
      </c>
      <c r="E6" s="1"/>
      <c r="F6" s="53" t="str">
        <f>'Raw data'!C6</f>
        <v>Matt</v>
      </c>
      <c r="G6" s="53">
        <f>Calculation!C241</f>
        <v>236</v>
      </c>
      <c r="H6" s="53">
        <f>G6*1000-0</f>
        <v>236000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252</v>
      </c>
      <c r="E7" s="1"/>
      <c r="F7" s="53" t="str">
        <f>'Raw data'!E6</f>
        <v>Fer</v>
      </c>
      <c r="G7" s="53">
        <f>Calculation!E241</f>
        <v>232</v>
      </c>
      <c r="H7" s="53">
        <f>G7*1000-1</f>
        <v>231999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246</v>
      </c>
      <c r="E8" s="1"/>
      <c r="F8" s="53" t="str">
        <f>'Raw data'!G6</f>
        <v>Pano</v>
      </c>
      <c r="G8" s="53">
        <f>Calculation!G241</f>
        <v>219</v>
      </c>
      <c r="H8" s="53">
        <f>G8*1000-2</f>
        <v>218998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JE</v>
      </c>
      <c r="D9" s="62">
        <f t="array" ref="D9">IFERROR(INDEX(G6:G35,MATCH(LARGE(H6:H35,4),H6:H35,0)),"")</f>
        <v>241</v>
      </c>
      <c r="E9" s="1"/>
      <c r="F9" s="53" t="str">
        <f>'Raw data'!I6</f>
        <v>Tere y Edu</v>
      </c>
      <c r="G9" s="53">
        <f>Calculation!I241</f>
        <v>233</v>
      </c>
      <c r="H9" s="53">
        <f>G9*1000-3</f>
        <v>232997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Emilio</v>
      </c>
      <c r="D10" s="62">
        <f t="array" ref="D10">IFERROR(INDEX(G6:G35,MATCH(LARGE(H6:H35,5),H6:H35,0)),"")</f>
        <v>238</v>
      </c>
      <c r="E10" s="1"/>
      <c r="F10" s="53" t="str">
        <f>'Raw data'!K6</f>
        <v>Nadia</v>
      </c>
      <c r="G10" s="53">
        <f>Calculation!K241</f>
        <v>219</v>
      </c>
      <c r="H10" s="53">
        <f>G10*1000-4</f>
        <v>218996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237</v>
      </c>
      <c r="E11" s="1"/>
      <c r="F11" s="53" t="str">
        <f>'Raw data'!M6</f>
        <v>JE</v>
      </c>
      <c r="G11" s="53">
        <f>Calculation!M241</f>
        <v>241</v>
      </c>
      <c r="H11" s="53">
        <f>G11*1000-5</f>
        <v>240995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Mile</v>
      </c>
      <c r="D12" s="62">
        <f t="array" ref="D12">IFERROR(INDEX(G6:G35,MATCH(LARGE(H6:H35,7),H6:H35,0)),"")</f>
        <v>237</v>
      </c>
      <c r="E12" s="1"/>
      <c r="F12" s="53" t="str">
        <f>'Raw data'!O6</f>
        <v>Lucía</v>
      </c>
      <c r="G12" s="53">
        <f>Calculation!O241</f>
        <v>225</v>
      </c>
      <c r="H12" s="53">
        <f>G12*1000-6</f>
        <v>224994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Matt</v>
      </c>
      <c r="D13" s="62">
        <f t="array" ref="D13">IFERROR(INDEX(G6:G35,MATCH(LARGE(H6:H35,8),H6:H35,0)),"")</f>
        <v>236</v>
      </c>
      <c r="E13" s="1"/>
      <c r="F13" s="53" t="str">
        <f>'Raw data'!Q6</f>
        <v>Kike</v>
      </c>
      <c r="G13" s="53">
        <f>Calculation!Q241</f>
        <v>224</v>
      </c>
      <c r="H13" s="53">
        <f>G13*1000-7</f>
        <v>223993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Pablo</v>
      </c>
      <c r="D14" s="62">
        <f t="array" ref="D14">IFERROR(INDEX(G6:G35,MATCH(LARGE(H6:H35,9),H6:H35,0)),"")</f>
        <v>236</v>
      </c>
      <c r="E14" s="1"/>
      <c r="F14" s="53" t="str">
        <f>'Raw data'!S6</f>
        <v>Paibol</v>
      </c>
      <c r="G14" s="53">
        <f>Calculation!S241</f>
        <v>237</v>
      </c>
      <c r="H14" s="53">
        <f>G14*1000-8</f>
        <v>236992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Meg</v>
      </c>
      <c r="D15" s="62">
        <f t="array" ref="D15">IFERROR(INDEX(G6:G35,MATCH(LARGE(H6:H35,10),H6:H35,0)),"")</f>
        <v>234</v>
      </c>
      <c r="E15" s="1"/>
      <c r="F15" s="53" t="str">
        <f>'Raw data'!U6</f>
        <v>Pablo</v>
      </c>
      <c r="G15" s="53">
        <f>Calculation!U241</f>
        <v>236</v>
      </c>
      <c r="H15" s="53">
        <f>G15*1000-9</f>
        <v>235991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Tere y Edu</v>
      </c>
      <c r="D16" s="62">
        <f t="array" ref="D16">IFERROR(INDEX(G6:G35,MATCH(LARGE(H6:H35,11),H6:H35,0)),"")</f>
        <v>233</v>
      </c>
      <c r="E16" s="1"/>
      <c r="F16" s="53" t="str">
        <f>'Raw data'!W6</f>
        <v>Almu</v>
      </c>
      <c r="G16" s="53">
        <f>Calculation!W241</f>
        <v>211</v>
      </c>
      <c r="H16" s="53">
        <f>G16*1000-10</f>
        <v>210990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Fer</v>
      </c>
      <c r="D17" s="62">
        <f t="array" ref="D17">IFERROR(INDEX(G6:G35,MATCH(LARGE(H6:H35,12),H6:H35,0)),"")</f>
        <v>232</v>
      </c>
      <c r="E17" s="1"/>
      <c r="F17" s="53" t="str">
        <f>'Raw data'!Y6</f>
        <v>Juanorro</v>
      </c>
      <c r="G17" s="53">
        <f>Calculation!Y241</f>
        <v>216</v>
      </c>
      <c r="H17" s="53">
        <f>G17*1000-11</f>
        <v>215989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Juanin</v>
      </c>
      <c r="D18" s="62">
        <f t="array" ref="D18">IFERROR(INDEX(G6:G35,MATCH(LARGE(H6:H35,13),H6:H35,0)),"")</f>
        <v>232</v>
      </c>
      <c r="E18" s="1"/>
      <c r="F18" s="53" t="str">
        <f>'Raw data'!AA6</f>
        <v>Cillian</v>
      </c>
      <c r="G18" s="53">
        <f>Calculation!AA241</f>
        <v>225</v>
      </c>
      <c r="H18" s="53">
        <f>G18*1000-12</f>
        <v>224988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Toño</v>
      </c>
      <c r="D19" s="62">
        <f t="array" ref="D19">IFERROR(INDEX(G6:G35,MATCH(LARGE(H6:H35,14),H6:H35,0)),"")</f>
        <v>231</v>
      </c>
      <c r="E19" s="1"/>
      <c r="F19" s="53" t="str">
        <f>'Raw data'!AC6</f>
        <v>July</v>
      </c>
      <c r="G19" s="53">
        <f>Calculation!AC241</f>
        <v>214</v>
      </c>
      <c r="H19" s="53">
        <f>G19*1000-13</f>
        <v>213987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Lucía</v>
      </c>
      <c r="D20" s="62">
        <f t="array" ref="D20">IFERROR(INDEX(G6:G35,MATCH(LARGE(H6:H35,15),H6:H35,0)),"")</f>
        <v>225</v>
      </c>
      <c r="E20" s="1"/>
      <c r="F20" s="53" t="str">
        <f>'Raw data'!AE6</f>
        <v>Toño</v>
      </c>
      <c r="G20" s="53">
        <f>Calculation!AE241</f>
        <v>231</v>
      </c>
      <c r="H20" s="53">
        <f>G20*1000-14</f>
        <v>230986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Cillian</v>
      </c>
      <c r="D21" s="62">
        <f t="array" ref="D21">IFERROR(INDEX(G6:G35,MATCH(LARGE(H6:H35,16),H6:H35,0)),"")</f>
        <v>225</v>
      </c>
      <c r="E21" s="1"/>
      <c r="F21" s="53" t="str">
        <f>'Raw data'!AG6</f>
        <v>Juanin</v>
      </c>
      <c r="G21" s="53">
        <f>Calculation!AG241</f>
        <v>232</v>
      </c>
      <c r="H21" s="53">
        <f>G21*1000-15</f>
        <v>231985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224</v>
      </c>
      <c r="E22" s="1"/>
      <c r="F22" s="53" t="str">
        <f>'Raw data'!AI6</f>
        <v>Meg</v>
      </c>
      <c r="G22" s="53">
        <f>Calculation!AI241</f>
        <v>234</v>
      </c>
      <c r="H22" s="53">
        <f>G22*1000-16</f>
        <v>233984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Manu</v>
      </c>
      <c r="D23" s="62">
        <f t="array" ref="D23">IFERROR(INDEX(G6:G35,MATCH(LARGE(H6:H35,18),H6:H35,0)),"")</f>
        <v>223</v>
      </c>
      <c r="E23" s="1"/>
      <c r="F23" s="53" t="str">
        <f>'Raw data'!AK6</f>
        <v>Irene</v>
      </c>
      <c r="G23" s="53">
        <f>Calculation!AK241</f>
        <v>253</v>
      </c>
      <c r="H23" s="53">
        <f>G23*1000-17</f>
        <v>252983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Gon </v>
      </c>
      <c r="D24" s="62">
        <f t="array" ref="D24">IFERROR(INDEX(G6:G35,MATCH(LARGE(H6:H35,19),H6:H35,0)),"")</f>
        <v>222</v>
      </c>
      <c r="E24" s="1"/>
      <c r="F24" s="53" t="str">
        <f>'Raw data'!AM6</f>
        <v>Andy</v>
      </c>
      <c r="G24" s="53">
        <f>Calculation!AM241</f>
        <v>246</v>
      </c>
      <c r="H24" s="53">
        <f>G24*1000-18</f>
        <v>245982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Hugo</v>
      </c>
      <c r="D25" s="62">
        <f t="array" ref="D25">IFERROR(INDEX(G6:G35,MATCH(LARGE(H6:H35,20),H6:H35,0)),"")</f>
        <v>222</v>
      </c>
      <c r="E25" s="1"/>
      <c r="F25" s="53" t="str">
        <f>'Raw data'!AO6</f>
        <v>Adri</v>
      </c>
      <c r="G25" s="53">
        <f>Calculation!AO241</f>
        <v>252</v>
      </c>
      <c r="H25" s="53">
        <f>G25*1000-19</f>
        <v>251981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Ben</v>
      </c>
      <c r="D26" s="62">
        <f t="array" ref="D26">IFERROR(INDEX(G6:G35,MATCH(LARGE(H6:H35,21),H6:H35,0)),"")</f>
        <v>221</v>
      </c>
      <c r="E26" s="1"/>
      <c r="F26" s="53" t="str">
        <f>'Raw data'!AQ6</f>
        <v>Ben</v>
      </c>
      <c r="G26" s="53">
        <f>Calculation!AQ241</f>
        <v>221</v>
      </c>
      <c r="H26" s="53">
        <f>G26*1000-20</f>
        <v>220980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219</v>
      </c>
      <c r="E27" s="1"/>
      <c r="F27" s="53" t="str">
        <f>'Raw data'!AS6</f>
        <v>Gon </v>
      </c>
      <c r="G27" s="53">
        <f>Calculation!AS241</f>
        <v>222</v>
      </c>
      <c r="H27" s="53">
        <f>G27*1000-21</f>
        <v>221979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Nadia</v>
      </c>
      <c r="D28" s="62">
        <f t="array" ref="D28">IFERROR(INDEX(G6:G35,MATCH(LARGE(H6:H35,23),H6:H35,0)),"")</f>
        <v>219</v>
      </c>
      <c r="E28" s="1"/>
      <c r="F28" s="53" t="str">
        <f>'Raw data'!AU6</f>
        <v>Mile</v>
      </c>
      <c r="G28" s="53">
        <f>Calculation!AU241</f>
        <v>237</v>
      </c>
      <c r="H28" s="53">
        <f>G28*1000-22</f>
        <v>236978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Juanorro</v>
      </c>
      <c r="D29" s="62">
        <f t="array" ref="D29">IFERROR(INDEX(G6:G35,MATCH(LARGE(H6:H35,24),H6:H35,0)),"")</f>
        <v>216</v>
      </c>
      <c r="E29" s="1"/>
      <c r="F29" s="53" t="str">
        <f>'Raw data'!AW6</f>
        <v>Cami</v>
      </c>
      <c r="G29" s="53">
        <f>Calculation!AW241</f>
        <v>214</v>
      </c>
      <c r="H29" s="53">
        <f>G29*1000-23</f>
        <v>213977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215</v>
      </c>
      <c r="E30" s="1"/>
      <c r="F30" s="53" t="str">
        <f>'Raw data'!AY6</f>
        <v>Hugo</v>
      </c>
      <c r="G30" s="53">
        <f>Calculation!AY241</f>
        <v>222</v>
      </c>
      <c r="H30" s="53">
        <f>G30*1000-24</f>
        <v>221976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July</v>
      </c>
      <c r="D31" s="62">
        <f t="array" ref="D31">IFERROR(INDEX(G6:G35,MATCH(LARGE(H6:H35,26),H6:H35,0)),"")</f>
        <v>214</v>
      </c>
      <c r="E31" s="1"/>
      <c r="F31" s="53" t="str">
        <f>'Raw data'!BA6</f>
        <v>Jaime</v>
      </c>
      <c r="G31" s="53">
        <f>Calculation!BA241</f>
        <v>215</v>
      </c>
      <c r="H31" s="53">
        <f>G31*1000-25</f>
        <v>214975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Cami</v>
      </c>
      <c r="D32" s="62">
        <f t="array" ref="D32">IFERROR(INDEX(G6:G35,MATCH(LARGE(H6:H35,27),H6:H35,0)),"")</f>
        <v>214</v>
      </c>
      <c r="E32" s="1"/>
      <c r="F32" s="53" t="str">
        <f>'Raw data'!BC6</f>
        <v>Emilio</v>
      </c>
      <c r="G32" s="53">
        <f>Calculation!BC241</f>
        <v>238</v>
      </c>
      <c r="H32" s="53">
        <f>G32*1000-26</f>
        <v>237974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Almu</v>
      </c>
      <c r="D33" s="62">
        <f t="array" ref="D33">IFERROR(INDEX(G6:G35,MATCH(LARGE(H6:H35,28),H6:H35,0)),"")</f>
        <v>211</v>
      </c>
      <c r="E33" s="1"/>
      <c r="F33" s="53" t="str">
        <f>'Raw data'!BE6</f>
        <v>Manu</v>
      </c>
      <c r="G33" s="53">
        <f>Calculation!BE241</f>
        <v>223</v>
      </c>
      <c r="H33" s="53">
        <f>G33*1000-27</f>
        <v>222973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