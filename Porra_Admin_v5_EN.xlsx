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<sst xmlns="http://schemas.openxmlformats.org/spreadsheetml/2006/main" count="3211" uniqueCount="533">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</sst>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8"/>
      <c r="D162" s="18"/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7"/>
      <c r="D164" s="16"/>
      <c r="E164" s="1"/>
    </row>
    <row r="165" ht="18.0" customHeight="1">
      <c r="A165" s="1"/>
      <c r="B165" s="13" t="s">
        <v>221</v>
      </c>
      <c r="C165" s="18"/>
      <c r="D165" s="18"/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7"/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8"/>
      <c r="D171" s="18"/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7"/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8"/>
      <c r="D178" s="18"/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7"/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0</v>
      </c>
      <c r="D168" s="39"/>
      <c r="E168" s="41">
        <f>IFERROR(IF(AND('Real results'!C164&lt;&gt;"",'Raw data'!E164&lt;&gt;"",UPPER(TRIM('Real results'!C164))=UPPER(TRIM('Raw data'!E164))),1,0),0)</f>
        <v>0</v>
      </c>
      <c r="F168" s="39"/>
      <c r="G168" s="41">
        <f>IFERROR(IF(AND('Real results'!C164&lt;&gt;"",'Raw data'!G164&lt;&gt;"",UPPER(TRIM('Real results'!C164))=UPPER(TRIM('Raw data'!G164))),1,0),0)</f>
        <v>0</v>
      </c>
      <c r="H168" s="39"/>
      <c r="I168" s="41">
        <f>IFERROR(IF(AND('Real results'!C164&lt;&gt;"",'Raw data'!I164&lt;&gt;"",UPPER(TRIM('Real results'!C164))=UPPER(TRIM('Raw data'!I164))),1,0),0)</f>
        <v>0</v>
      </c>
      <c r="J168" s="39"/>
      <c r="K168" s="41">
        <f>IFERROR(IF(AND('Real results'!C164&lt;&gt;"",'Raw data'!K164&lt;&gt;"",UPPER(TRIM('Real results'!C164))=UPPER(TRIM('Raw data'!K164))),1,0),0)</f>
        <v>0</v>
      </c>
      <c r="L168" s="39"/>
      <c r="M168" s="41">
        <f>IFERROR(IF(AND('Real results'!C164&lt;&gt;"",'Raw data'!M164&lt;&gt;"",UPPER(TRIM('Real results'!C164))=UPPER(TRIM('Raw data'!M164))),1,0),0)</f>
        <v>0</v>
      </c>
      <c r="N168" s="39"/>
      <c r="O168" s="41">
        <f>IFERROR(IF(AND('Real results'!C164&lt;&gt;"",'Raw data'!O164&lt;&gt;"",UPPER(TRIM('Real results'!C164))=UPPER(TRIM('Raw data'!O164))),1,0),0)</f>
        <v>0</v>
      </c>
      <c r="P168" s="39"/>
      <c r="Q168" s="41">
        <f>IFERROR(IF(AND('Real results'!C164&lt;&gt;"",'Raw data'!Q164&lt;&gt;"",UPPER(TRIM('Real results'!C164))=UPPER(TRIM('Raw data'!Q164))),1,0),0)</f>
        <v>0</v>
      </c>
      <c r="R168" s="39"/>
      <c r="S168" s="41">
        <f>IFERROR(IF(AND('Real results'!C164&lt;&gt;"",'Raw data'!S164&lt;&gt;"",UPPER(TRIM('Real results'!C164))=UPPER(TRIM('Raw data'!S164))),1,0),0)</f>
        <v>0</v>
      </c>
      <c r="T168" s="39"/>
      <c r="U168" s="41">
        <f>IFERROR(IF(AND('Real results'!C164&lt;&gt;"",'Raw data'!U164&lt;&gt;"",UPPER(TRIM('Real results'!C164))=UPPER(TRIM('Raw data'!U164))),1,0),0)</f>
        <v>0</v>
      </c>
      <c r="V168" s="39"/>
      <c r="W168" s="41">
        <f>IFERROR(IF(AND('Real results'!C164&lt;&gt;"",'Raw data'!W164&lt;&gt;"",UPPER(TRIM('Real results'!C164))=UPPER(TRIM('Raw data'!W164))),1,0),0)</f>
        <v>0</v>
      </c>
      <c r="X168" s="39"/>
      <c r="Y168" s="41">
        <f>IFERROR(IF(AND('Real results'!C164&lt;&gt;"",'Raw data'!Y164&lt;&gt;"",UPPER(TRIM('Real results'!C164))=UPPER(TRIM('Raw data'!Y164))),1,0),0)</f>
        <v>0</v>
      </c>
      <c r="Z168" s="39"/>
      <c r="AA168" s="41">
        <f>IFERROR(IF(AND('Real results'!C164&lt;&gt;"",'Raw data'!AA164&lt;&gt;"",UPPER(TRIM('Real results'!C164))=UPPER(TRIM('Raw data'!AA164))),1,0),0)</f>
        <v>0</v>
      </c>
      <c r="AB168" s="39"/>
      <c r="AC168" s="41">
        <f>IFERROR(IF(AND('Real results'!C164&lt;&gt;"",'Raw data'!AC164&lt;&gt;"",UPPER(TRIM('Real results'!C164))=UPPER(TRIM('Raw data'!AC164))),1,0),0)</f>
        <v>0</v>
      </c>
      <c r="AD168" s="39"/>
      <c r="AE168" s="41">
        <f>IFERROR(IF(AND('Real results'!C164&lt;&gt;"",'Raw data'!AE164&lt;&gt;"",UPPER(TRIM('Real results'!C164))=UPPER(TRIM('Raw data'!AE164))),1,0),0)</f>
        <v>0</v>
      </c>
      <c r="AF168" s="39"/>
      <c r="AG168" s="41">
        <f>IFERROR(IF(AND('Real results'!C164&lt;&gt;"",'Raw data'!AG164&lt;&gt;"",UPPER(TRIM('Real results'!C164))=UPPER(TRIM('Raw data'!AG164))),1,0),0)</f>
        <v>0</v>
      </c>
      <c r="AH168" s="39"/>
      <c r="AI168" s="41">
        <f>IFERROR(IF(AND('Real results'!C164&lt;&gt;"",'Raw data'!AI164&lt;&gt;"",UPPER(TRIM('Real results'!C164))=UPPER(TRIM('Raw data'!AI164))),1,0),0)</f>
        <v>0</v>
      </c>
      <c r="AJ168" s="39"/>
      <c r="AK168" s="41">
        <f>IFERROR(IF(AND('Real results'!C164&lt;&gt;"",'Raw data'!AK164&lt;&gt;"",UPPER(TRIM('Real results'!C164))=UPPER(TRIM('Raw data'!AK164))),1,0),0)</f>
        <v>0</v>
      </c>
      <c r="AL168" s="39"/>
      <c r="AM168" s="41">
        <f>IFERROR(IF(AND('Real results'!C164&lt;&gt;"",'Raw data'!AM164&lt;&gt;"",UPPER(TRIM('Real results'!C164))=UPPER(TRIM('Raw data'!AM164))),1,0),0)</f>
        <v>0</v>
      </c>
      <c r="AN168" s="39"/>
      <c r="AO168" s="41">
        <f>IFERROR(IF(AND('Real results'!C164&lt;&gt;"",'Raw data'!AO164&lt;&gt;"",UPPER(TRIM('Real results'!C164))=UPPER(TRIM('Raw data'!AO164))),1,0),0)</f>
        <v>0</v>
      </c>
      <c r="AP168" s="39"/>
      <c r="AQ168" s="41">
        <f>IFERROR(IF(AND('Real results'!C164&lt;&gt;"",'Raw data'!AQ164&lt;&gt;"",UPPER(TRIM('Real results'!C164))=UPPER(TRIM('Raw data'!AQ164))),1,0),0)</f>
        <v>0</v>
      </c>
      <c r="AR168" s="39"/>
      <c r="AS168" s="41">
        <f>IFERROR(IF(AND('Real results'!C164&lt;&gt;"",'Raw data'!AS164&lt;&gt;"",UPPER(TRIM('Real results'!C164))=UPPER(TRIM('Raw data'!AS164))),1,0),0)</f>
        <v>0</v>
      </c>
      <c r="AT168" s="39"/>
      <c r="AU168" s="41">
        <f>IFERROR(IF(AND('Real results'!C164&lt;&gt;"",'Raw data'!AU164&lt;&gt;"",UPPER(TRIM('Real results'!C164))=UPPER(TRIM('Raw data'!AU164))),1,0),0)</f>
        <v>0</v>
      </c>
      <c r="AV168" s="39"/>
      <c r="AW168" s="41">
        <f>IFERROR(IF(AND('Real results'!C164&lt;&gt;"",'Raw data'!AW164&lt;&gt;"",UPPER(TRIM('Real results'!C164))=UPPER(TRIM('Raw data'!AW164))),1,0),0)</f>
        <v>0</v>
      </c>
      <c r="AX168" s="39"/>
      <c r="AY168" s="41">
        <f>IFERROR(IF(AND('Real results'!C164&lt;&gt;"",'Raw data'!AY164&lt;&gt;"",UPPER(TRIM('Real results'!C164))=UPPER(TRIM('Raw data'!AY164))),1,0),0)</f>
        <v>0</v>
      </c>
      <c r="AZ168" s="39"/>
      <c r="BA168" s="41">
        <f>IFERROR(IF(AND('Real results'!C164&lt;&gt;"",'Raw data'!BA164&lt;&gt;"",UPPER(TRIM('Real results'!C164))=UPPER(TRIM('Raw data'!BA164))),1,0),0)</f>
        <v>0</v>
      </c>
      <c r="BB168" s="39"/>
      <c r="BC168" s="41">
        <f>IFERROR(IF(AND('Real results'!C164&lt;&gt;"",'Raw data'!BC164&lt;&gt;"",UPPER(TRIM('Real results'!C164))=UPPER(TRIM('Raw data'!BC164))),1,0),0)</f>
        <v>0</v>
      </c>
      <c r="BD168" s="39"/>
      <c r="BE168" s="41">
        <f>IFERROR(IF(AND('Real results'!C164&lt;&gt;"",'Raw data'!BE164&lt;&gt;"",UPPER(TRIM('Real results'!C164))=UPPER(TRIM('Raw data'!BE164))),1,0),0)</f>
        <v>0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0</v>
      </c>
      <c r="F171" s="39"/>
      <c r="G171" s="41">
        <f>IFERROR(IF(AND('Real results'!C167&lt;&gt;"",'Raw data'!G167&lt;&gt;"",UPPER(TRIM('Real results'!C167))=UPPER(TRIM('Raw data'!G167))),1,0),0)</f>
        <v>0</v>
      </c>
      <c r="H171" s="39"/>
      <c r="I171" s="41">
        <f>IFERROR(IF(AND('Real results'!C167&lt;&gt;"",'Raw data'!I167&lt;&gt;"",UPPER(TRIM('Real results'!C167))=UPPER(TRIM('Raw data'!I167))),1,0),0)</f>
        <v>0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0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0</v>
      </c>
      <c r="T171" s="39"/>
      <c r="U171" s="41">
        <f>IFERROR(IF(AND('Real results'!C167&lt;&gt;"",'Raw data'!U167&lt;&gt;"",UPPER(TRIM('Real results'!C167))=UPPER(TRIM('Raw data'!U167))),1,0),0)</f>
        <v>0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0</v>
      </c>
      <c r="Z171" s="39"/>
      <c r="AA171" s="41">
        <f>IFERROR(IF(AND('Real results'!C167&lt;&gt;"",'Raw data'!AA167&lt;&gt;"",UPPER(TRIM('Real results'!C167))=UPPER(TRIM('Raw data'!AA167))),1,0),0)</f>
        <v>0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0</v>
      </c>
      <c r="AF171" s="39"/>
      <c r="AG171" s="41">
        <f>IFERROR(IF(AND('Real results'!C167&lt;&gt;"",'Raw data'!AG167&lt;&gt;"",UPPER(TRIM('Real results'!C167))=UPPER(TRIM('Raw data'!AG167))),1,0),0)</f>
        <v>0</v>
      </c>
      <c r="AH171" s="39"/>
      <c r="AI171" s="41">
        <f>IFERROR(IF(AND('Real results'!C167&lt;&gt;"",'Raw data'!AI167&lt;&gt;"",UPPER(TRIM('Real results'!C167))=UPPER(TRIM('Raw data'!AI167))),1,0),0)</f>
        <v>0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0</v>
      </c>
      <c r="AN171" s="39"/>
      <c r="AO171" s="41">
        <f>IFERROR(IF(AND('Real results'!C167&lt;&gt;"",'Raw data'!AO167&lt;&gt;"",UPPER(TRIM('Real results'!C167))=UPPER(TRIM('Raw data'!AO167))),1,0),0)</f>
        <v>0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0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0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0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0</v>
      </c>
      <c r="D177" s="39"/>
      <c r="E177" s="41">
        <f>IFERROR(IF(AND('Real results'!C173&lt;&gt;"",'Raw data'!E173&lt;&gt;"",UPPER(TRIM('Real results'!C173))=UPPER(TRIM('Raw data'!E173))),1,0),0)</f>
        <v>0</v>
      </c>
      <c r="F177" s="39"/>
      <c r="G177" s="41">
        <f>IFERROR(IF(AND('Real results'!C173&lt;&gt;"",'Raw data'!G173&lt;&gt;"",UPPER(TRIM('Real results'!C173))=UPPER(TRIM('Raw data'!G173))),1,0),0)</f>
        <v>0</v>
      </c>
      <c r="H177" s="39"/>
      <c r="I177" s="41">
        <f>IFERROR(IF(AND('Real results'!C173&lt;&gt;"",'Raw data'!I173&lt;&gt;"",UPPER(TRIM('Real results'!C173))=UPPER(TRIM('Raw data'!I173))),1,0),0)</f>
        <v>0</v>
      </c>
      <c r="J177" s="39"/>
      <c r="K177" s="41">
        <f>IFERROR(IF(AND('Real results'!C173&lt;&gt;"",'Raw data'!K173&lt;&gt;"",UPPER(TRIM('Real results'!C173))=UPPER(TRIM('Raw data'!K173))),1,0),0)</f>
        <v>0</v>
      </c>
      <c r="L177" s="39"/>
      <c r="M177" s="41">
        <f>IFERROR(IF(AND('Real results'!C173&lt;&gt;"",'Raw data'!M173&lt;&gt;"",UPPER(TRIM('Real results'!C173))=UPPER(TRIM('Raw data'!M173))),1,0),0)</f>
        <v>0</v>
      </c>
      <c r="N177" s="39"/>
      <c r="O177" s="41">
        <f>IFERROR(IF(AND('Real results'!C173&lt;&gt;"",'Raw data'!O173&lt;&gt;"",UPPER(TRIM('Real results'!C173))=UPPER(TRIM('Raw data'!O173))),1,0),0)</f>
        <v>0</v>
      </c>
      <c r="P177" s="39"/>
      <c r="Q177" s="41">
        <f>IFERROR(IF(AND('Real results'!C173&lt;&gt;"",'Raw data'!Q173&lt;&gt;"",UPPER(TRIM('Real results'!C173))=UPPER(TRIM('Raw data'!Q173))),1,0),0)</f>
        <v>0</v>
      </c>
      <c r="R177" s="39"/>
      <c r="S177" s="41">
        <f>IFERROR(IF(AND('Real results'!C173&lt;&gt;"",'Raw data'!S173&lt;&gt;"",UPPER(TRIM('Real results'!C173))=UPPER(TRIM('Raw data'!S173))),1,0),0)</f>
        <v>0</v>
      </c>
      <c r="T177" s="39"/>
      <c r="U177" s="41">
        <f>IFERROR(IF(AND('Real results'!C173&lt;&gt;"",'Raw data'!U173&lt;&gt;"",UPPER(TRIM('Real results'!C173))=UPPER(TRIM('Raw data'!U173))),1,0),0)</f>
        <v>0</v>
      </c>
      <c r="V177" s="39"/>
      <c r="W177" s="41">
        <f>IFERROR(IF(AND('Real results'!C173&lt;&gt;"",'Raw data'!W173&lt;&gt;"",UPPER(TRIM('Real results'!C173))=UPPER(TRIM('Raw data'!W173))),1,0),0)</f>
        <v>0</v>
      </c>
      <c r="X177" s="39"/>
      <c r="Y177" s="41">
        <f>IFERROR(IF(AND('Real results'!C173&lt;&gt;"",'Raw data'!Y173&lt;&gt;"",UPPER(TRIM('Real results'!C173))=UPPER(TRIM('Raw data'!Y173))),1,0),0)</f>
        <v>0</v>
      </c>
      <c r="Z177" s="39"/>
      <c r="AA177" s="41">
        <f>IFERROR(IF(AND('Real results'!C173&lt;&gt;"",'Raw data'!AA173&lt;&gt;"",UPPER(TRIM('Real results'!C173))=UPPER(TRIM('Raw data'!AA173))),1,0),0)</f>
        <v>0</v>
      </c>
      <c r="AB177" s="39"/>
      <c r="AC177" s="41">
        <f>IFERROR(IF(AND('Real results'!C173&lt;&gt;"",'Raw data'!AC173&lt;&gt;"",UPPER(TRIM('Real results'!C173))=UPPER(TRIM('Raw data'!AC173))),1,0),0)</f>
        <v>0</v>
      </c>
      <c r="AD177" s="39"/>
      <c r="AE177" s="41">
        <f>IFERROR(IF(AND('Real results'!C173&lt;&gt;"",'Raw data'!AE173&lt;&gt;"",UPPER(TRIM('Real results'!C173))=UPPER(TRIM('Raw data'!AE173))),1,0),0)</f>
        <v>0</v>
      </c>
      <c r="AF177" s="39"/>
      <c r="AG177" s="41">
        <f>IFERROR(IF(AND('Real results'!C173&lt;&gt;"",'Raw data'!AG173&lt;&gt;"",UPPER(TRIM('Real results'!C173))=UPPER(TRIM('Raw data'!AG173))),1,0),0)</f>
        <v>0</v>
      </c>
      <c r="AH177" s="39"/>
      <c r="AI177" s="41">
        <f>IFERROR(IF(AND('Real results'!C173&lt;&gt;"",'Raw data'!AI173&lt;&gt;"",UPPER(TRIM('Real results'!C173))=UPPER(TRIM('Raw data'!AI173))),1,0),0)</f>
        <v>0</v>
      </c>
      <c r="AJ177" s="39"/>
      <c r="AK177" s="41">
        <f>IFERROR(IF(AND('Real results'!C173&lt;&gt;"",'Raw data'!AK173&lt;&gt;"",UPPER(TRIM('Real results'!C173))=UPPER(TRIM('Raw data'!AK173))),1,0),0)</f>
        <v>0</v>
      </c>
      <c r="AL177" s="39"/>
      <c r="AM177" s="41">
        <f>IFERROR(IF(AND('Real results'!C173&lt;&gt;"",'Raw data'!AM173&lt;&gt;"",UPPER(TRIM('Real results'!C173))=UPPER(TRIM('Raw data'!AM173))),1,0),0)</f>
        <v>0</v>
      </c>
      <c r="AN177" s="39"/>
      <c r="AO177" s="41">
        <f>IFERROR(IF(AND('Real results'!C173&lt;&gt;"",'Raw data'!AO173&lt;&gt;"",UPPER(TRIM('Real results'!C173))=UPPER(TRIM('Raw data'!AO173))),1,0),0)</f>
        <v>0</v>
      </c>
      <c r="AP177" s="39"/>
      <c r="AQ177" s="41">
        <f>IFERROR(IF(AND('Real results'!C173&lt;&gt;"",'Raw data'!AQ173&lt;&gt;"",UPPER(TRIM('Real results'!C173))=UPPER(TRIM('Raw data'!AQ173))),1,0),0)</f>
        <v>0</v>
      </c>
      <c r="AR177" s="39"/>
      <c r="AS177" s="41">
        <f>IFERROR(IF(AND('Real results'!C173&lt;&gt;"",'Raw data'!AS173&lt;&gt;"",UPPER(TRIM('Real results'!C173))=UPPER(TRIM('Raw data'!AS173))),1,0),0)</f>
        <v>0</v>
      </c>
      <c r="AT177" s="39"/>
      <c r="AU177" s="41">
        <f>IFERROR(IF(AND('Real results'!C173&lt;&gt;"",'Raw data'!AU173&lt;&gt;"",UPPER(TRIM('Real results'!C173))=UPPER(TRIM('Raw data'!AU173))),1,0),0)</f>
        <v>0</v>
      </c>
      <c r="AV177" s="39"/>
      <c r="AW177" s="41">
        <f>IFERROR(IF(AND('Real results'!C173&lt;&gt;"",'Raw data'!AW173&lt;&gt;"",UPPER(TRIM('Real results'!C173))=UPPER(TRIM('Raw data'!AW173))),1,0),0)</f>
        <v>0</v>
      </c>
      <c r="AX177" s="39"/>
      <c r="AY177" s="41">
        <f>IFERROR(IF(AND('Real results'!C173&lt;&gt;"",'Raw data'!AY173&lt;&gt;"",UPPER(TRIM('Real results'!C173))=UPPER(TRIM('Raw data'!AY173))),1,0),0)</f>
        <v>0</v>
      </c>
      <c r="AZ177" s="39"/>
      <c r="BA177" s="41">
        <f>IFERROR(IF(AND('Real results'!C173&lt;&gt;"",'Raw data'!BA173&lt;&gt;"",UPPER(TRIM('Real results'!C173))=UPPER(TRIM('Raw data'!BA173))),1,0),0)</f>
        <v>0</v>
      </c>
      <c r="BB177" s="39"/>
      <c r="BC177" s="41">
        <f>IFERROR(IF(AND('Real results'!C173&lt;&gt;"",'Raw data'!BC173&lt;&gt;"",UPPER(TRIM('Real results'!C173))=UPPER(TRIM('Raw data'!BC173))),1,0),0)</f>
        <v>0</v>
      </c>
      <c r="BD177" s="39"/>
      <c r="BE177" s="41">
        <f>IFERROR(IF(AND('Real results'!C173&lt;&gt;"",'Raw data'!BE173&lt;&gt;"",UPPER(TRIM('Real results'!C173))=UPPER(TRIM('Raw data'!BE173))),1,0),0)</f>
        <v>0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46</v>
      </c>
      <c r="D178" s="39"/>
      <c r="E178" s="43">
        <f>SUM(E130:E177)</f>
        <v>33</v>
      </c>
      <c r="F178" s="39"/>
      <c r="G178" s="43">
        <f>SUM(G130:G177)</f>
        <v>37</v>
      </c>
      <c r="H178" s="39"/>
      <c r="I178" s="43">
        <f>SUM(I130:I177)</f>
        <v>44</v>
      </c>
      <c r="J178" s="39"/>
      <c r="K178" s="43">
        <f>SUM(K130:K177)</f>
        <v>26</v>
      </c>
      <c r="L178" s="39"/>
      <c r="M178" s="43">
        <f>SUM(M130:M177)</f>
        <v>49</v>
      </c>
      <c r="N178" s="39"/>
      <c r="O178" s="43">
        <f>SUM(O130:O177)</f>
        <v>47</v>
      </c>
      <c r="P178" s="39"/>
      <c r="Q178" s="43">
        <f>SUM(Q130:Q177)</f>
        <v>32</v>
      </c>
      <c r="R178" s="39"/>
      <c r="S178" s="43">
        <f>SUM(S130:S177)</f>
        <v>47</v>
      </c>
      <c r="T178" s="39"/>
      <c r="U178" s="43">
        <f>SUM(U130:U177)</f>
        <v>47</v>
      </c>
      <c r="V178" s="39"/>
      <c r="W178" s="43">
        <f>SUM(W130:W177)</f>
        <v>32</v>
      </c>
      <c r="X178" s="39"/>
      <c r="Y178" s="43">
        <f>SUM(Y130:Y177)</f>
        <v>42</v>
      </c>
      <c r="Z178" s="39"/>
      <c r="AA178" s="43">
        <f>SUM(AA130:AA177)</f>
        <v>26</v>
      </c>
      <c r="AB178" s="39"/>
      <c r="AC178" s="43">
        <f>SUM(AC130:AC177)</f>
        <v>40</v>
      </c>
      <c r="AD178" s="39"/>
      <c r="AE178" s="43">
        <f>SUM(AE130:AE177)</f>
        <v>23</v>
      </c>
      <c r="AF178" s="39"/>
      <c r="AG178" s="43">
        <f>SUM(AG130:AG177)</f>
        <v>42</v>
      </c>
      <c r="AH178" s="39"/>
      <c r="AI178" s="43">
        <f>SUM(AI130:AI177)</f>
        <v>43</v>
      </c>
      <c r="AJ178" s="39"/>
      <c r="AK178" s="43">
        <f>SUM(AK130:AK177)</f>
        <v>55</v>
      </c>
      <c r="AL178" s="39"/>
      <c r="AM178" s="43">
        <f>SUM(AM130:AM177)</f>
        <v>54</v>
      </c>
      <c r="AN178" s="39"/>
      <c r="AO178" s="43">
        <f>SUM(AO130:AO177)</f>
        <v>38</v>
      </c>
      <c r="AP178" s="39"/>
      <c r="AQ178" s="43">
        <f>SUM(AQ130:AQ177)</f>
        <v>47</v>
      </c>
      <c r="AR178" s="39"/>
      <c r="AS178" s="43">
        <f>SUM(AS130:AS177)</f>
        <v>43</v>
      </c>
      <c r="AT178" s="39"/>
      <c r="AU178" s="43">
        <f>SUM(AU130:AU177)</f>
        <v>47</v>
      </c>
      <c r="AV178" s="39"/>
      <c r="AW178" s="43">
        <f>SUM(AW130:AW177)</f>
        <v>49</v>
      </c>
      <c r="AX178" s="39"/>
      <c r="AY178" s="43">
        <f>SUM(AY130:AY177)</f>
        <v>22</v>
      </c>
      <c r="AZ178" s="39"/>
      <c r="BA178" s="43">
        <f>SUM(BA130:BA177)</f>
        <v>30</v>
      </c>
      <c r="BB178" s="39"/>
      <c r="BC178" s="43">
        <f>SUM(BC130:BC177)</f>
        <v>42</v>
      </c>
      <c r="BD178" s="39"/>
      <c r="BE178" s="43">
        <f>SUM(BE130:BE177)</f>
        <v>22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0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0</v>
      </c>
      <c r="V185" s="39"/>
      <c r="W185" s="41">
        <f>IFERROR(IF(AND('Real results'!C180&lt;&gt;"",'Raw data'!W180&lt;&gt;"",UPPER(TRIM('Real results'!C180))=UPPER(TRIM('Raw data'!W180))),2,0),0)</f>
        <v>0</v>
      </c>
      <c r="X185" s="39"/>
      <c r="Y185" s="41">
        <f>IFERROR(IF(AND('Real results'!C180&lt;&gt;"",'Raw data'!Y180&lt;&gt;"",UPPER(TRIM('Real results'!C180))=UPPER(TRIM('Raw data'!Y180))),2,0),0)</f>
        <v>0</v>
      </c>
      <c r="Z185" s="39"/>
      <c r="AA185" s="41">
        <f>IFERROR(IF(AND('Real results'!C180&lt;&gt;"",'Raw data'!AA180&lt;&gt;"",UPPER(TRIM('Real results'!C180))=UPPER(TRIM('Raw data'!AA180))),2,0),0)</f>
        <v>0</v>
      </c>
      <c r="AB185" s="39"/>
      <c r="AC185" s="41">
        <f>IFERROR(IF(AND('Real results'!C180&lt;&gt;"",'Raw data'!AC180&lt;&gt;"",UPPER(TRIM('Real results'!C180))=UPPER(TRIM('Raw data'!AC180))),2,0),0)</f>
        <v>0</v>
      </c>
      <c r="AD185" s="39"/>
      <c r="AE185" s="41">
        <f>IFERROR(IF(AND('Real results'!C180&lt;&gt;"",'Raw data'!AE180&lt;&gt;"",UPPER(TRIM('Real results'!C180))=UPPER(TRIM('Raw data'!AE180))),2,0),0)</f>
        <v>0</v>
      </c>
      <c r="AF185" s="39"/>
      <c r="AG185" s="41">
        <f>IFERROR(IF(AND('Real results'!C180&lt;&gt;"",'Raw data'!AG180&lt;&gt;"",UPPER(TRIM('Real results'!C180))=UPPER(TRIM('Raw data'!AG180))),2,0),0)</f>
        <v>0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0</v>
      </c>
      <c r="AL185" s="39"/>
      <c r="AM185" s="41">
        <f>IFERROR(IF(AND('Real results'!C180&lt;&gt;"",'Raw data'!AM180&lt;&gt;"",UPPER(TRIM('Real results'!C180))=UPPER(TRIM('Raw data'!AM180))),2,0),0)</f>
        <v>0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0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0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0</v>
      </c>
      <c r="D204" s="39"/>
      <c r="E204" s="43">
        <f>SUM(E180:E203)</f>
        <v>0</v>
      </c>
      <c r="F204" s="39"/>
      <c r="G204" s="43">
        <f>SUM(G180:G203)</f>
        <v>0</v>
      </c>
      <c r="H204" s="39"/>
      <c r="I204" s="43">
        <f>SUM(I180:I203)</f>
        <v>0</v>
      </c>
      <c r="J204" s="39"/>
      <c r="K204" s="43">
        <f>SUM(K180:K203)</f>
        <v>0</v>
      </c>
      <c r="L204" s="39"/>
      <c r="M204" s="43">
        <f>SUM(M180:M203)</f>
        <v>0</v>
      </c>
      <c r="N204" s="39"/>
      <c r="O204" s="43">
        <f>SUM(O180:O203)</f>
        <v>0</v>
      </c>
      <c r="P204" s="39"/>
      <c r="Q204" s="43">
        <f>SUM(Q180:Q203)</f>
        <v>0</v>
      </c>
      <c r="R204" s="39"/>
      <c r="S204" s="43">
        <f>SUM(S180:S203)</f>
        <v>0</v>
      </c>
      <c r="T204" s="39"/>
      <c r="U204" s="43">
        <f>SUM(U180:U203)</f>
        <v>0</v>
      </c>
      <c r="V204" s="39"/>
      <c r="W204" s="43">
        <f>SUM(W180:W203)</f>
        <v>0</v>
      </c>
      <c r="X204" s="39"/>
      <c r="Y204" s="43">
        <f>SUM(Y180:Y203)</f>
        <v>0</v>
      </c>
      <c r="Z204" s="39"/>
      <c r="AA204" s="43">
        <f>SUM(AA180:AA203)</f>
        <v>0</v>
      </c>
      <c r="AB204" s="39"/>
      <c r="AC204" s="43">
        <f>SUM(AC180:AC203)</f>
        <v>0</v>
      </c>
      <c r="AD204" s="39"/>
      <c r="AE204" s="43">
        <f>SUM(AE180:AE203)</f>
        <v>0</v>
      </c>
      <c r="AF204" s="39"/>
      <c r="AG204" s="43">
        <f>SUM(AG180:AG203)</f>
        <v>0</v>
      </c>
      <c r="AH204" s="39"/>
      <c r="AI204" s="43">
        <f>SUM(AI180:AI203)</f>
        <v>0</v>
      </c>
      <c r="AJ204" s="39"/>
      <c r="AK204" s="43">
        <f>SUM(AK180:AK203)</f>
        <v>0</v>
      </c>
      <c r="AL204" s="39"/>
      <c r="AM204" s="43">
        <f>SUM(AM180:AM203)</f>
        <v>0</v>
      </c>
      <c r="AN204" s="39"/>
      <c r="AO204" s="43">
        <f>SUM(AO180:AO203)</f>
        <v>0</v>
      </c>
      <c r="AP204" s="39"/>
      <c r="AQ204" s="43">
        <f>SUM(AQ180:AQ203)</f>
        <v>0</v>
      </c>
      <c r="AR204" s="39"/>
      <c r="AS204" s="43">
        <f>SUM(AS180:AS203)</f>
        <v>0</v>
      </c>
      <c r="AT204" s="39"/>
      <c r="AU204" s="43">
        <f>SUM(AU180:AU203)</f>
        <v>0</v>
      </c>
      <c r="AV204" s="39"/>
      <c r="AW204" s="43">
        <f>SUM(AW180:AW203)</f>
        <v>0</v>
      </c>
      <c r="AX204" s="39"/>
      <c r="AY204" s="43">
        <f>SUM(AY180:AY203)</f>
        <v>0</v>
      </c>
      <c r="AZ204" s="39"/>
      <c r="BA204" s="43">
        <f>SUM(BA180:BA203)</f>
        <v>0</v>
      </c>
      <c r="BB204" s="39"/>
      <c r="BC204" s="43">
        <f>SUM(BC180:BC203)</f>
        <v>0</v>
      </c>
      <c r="BD204" s="39"/>
      <c r="BE204" s="43">
        <f>SUM(BE180:BE203)</f>
        <v>0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193</v>
      </c>
      <c r="D241" s="39"/>
      <c r="E241" s="46">
        <f>SUMIF($B$7:$B$240,"Subtotal*",E$7:E$240)</f>
        <v>190</v>
      </c>
      <c r="F241" s="39"/>
      <c r="G241" s="46">
        <f>SUMIF($B$7:$B$240,"Subtotal*",G$7:G$240)</f>
        <v>182</v>
      </c>
      <c r="H241" s="39"/>
      <c r="I241" s="46">
        <f>SUMIF($B$7:$B$240,"Subtotal*",I$7:I$240)</f>
        <v>195</v>
      </c>
      <c r="J241" s="39"/>
      <c r="K241" s="46">
        <f>SUMIF($B$7:$B$240,"Subtotal*",K$7:K$240)</f>
        <v>185</v>
      </c>
      <c r="L241" s="39"/>
      <c r="M241" s="46">
        <f>SUMIF($B$7:$B$240,"Subtotal*",M$7:M$240)</f>
        <v>201</v>
      </c>
      <c r="N241" s="39"/>
      <c r="O241" s="46">
        <f>SUMIF($B$7:$B$240,"Subtotal*",O$7:O$240)</f>
        <v>190</v>
      </c>
      <c r="P241" s="39"/>
      <c r="Q241" s="46">
        <f>SUMIF($B$7:$B$240,"Subtotal*",Q$7:Q$240)</f>
        <v>188</v>
      </c>
      <c r="R241" s="39"/>
      <c r="S241" s="46">
        <f>SUMIF($B$7:$B$240,"Subtotal*",S$7:S$240)</f>
        <v>202</v>
      </c>
      <c r="T241" s="39"/>
      <c r="U241" s="46">
        <f>SUMIF($B$7:$B$240,"Subtotal*",U$7:U$240)</f>
        <v>206</v>
      </c>
      <c r="V241" s="39"/>
      <c r="W241" s="46">
        <f>SUMIF($B$7:$B$240,"Subtotal*",W$7:W$240)</f>
        <v>185</v>
      </c>
      <c r="X241" s="39"/>
      <c r="Y241" s="46">
        <f>SUMIF($B$7:$B$240,"Subtotal*",Y$7:Y$240)</f>
        <v>181</v>
      </c>
      <c r="Z241" s="39"/>
      <c r="AA241" s="46">
        <f>SUMIF($B$7:$B$240,"Subtotal*",AA$7:AA$240)</f>
        <v>187</v>
      </c>
      <c r="AB241" s="39"/>
      <c r="AC241" s="46">
        <f>SUMIF($B$7:$B$240,"Subtotal*",AC$7:AC$240)</f>
        <v>172</v>
      </c>
      <c r="AD241" s="39"/>
      <c r="AE241" s="46">
        <f>SUMIF($B$7:$B$240,"Subtotal*",AE$7:AE$240)</f>
        <v>189</v>
      </c>
      <c r="AF241" s="39"/>
      <c r="AG241" s="46">
        <f>SUMIF($B$7:$B$240,"Subtotal*",AG$7:AG$240)</f>
        <v>195</v>
      </c>
      <c r="AH241" s="39"/>
      <c r="AI241" s="46">
        <f>SUMIF($B$7:$B$240,"Subtotal*",AI$7:AI$240)</f>
        <v>195</v>
      </c>
      <c r="AJ241" s="39"/>
      <c r="AK241" s="46">
        <f>SUMIF($B$7:$B$240,"Subtotal*",AK$7:AK$240)</f>
        <v>221</v>
      </c>
      <c r="AL241" s="39"/>
      <c r="AM241" s="46">
        <f>SUMIF($B$7:$B$240,"Subtotal*",AM$7:AM$240)</f>
        <v>211</v>
      </c>
      <c r="AN241" s="39"/>
      <c r="AO241" s="46">
        <f>SUMIF($B$7:$B$240,"Subtotal*",AO$7:AO$240)</f>
        <v>211</v>
      </c>
      <c r="AP241" s="39"/>
      <c r="AQ241" s="46">
        <f>SUMIF($B$7:$B$240,"Subtotal*",AQ$7:AQ$240)</f>
        <v>188</v>
      </c>
      <c r="AR241" s="39"/>
      <c r="AS241" s="46">
        <f>SUMIF($B$7:$B$240,"Subtotal*",AS$7:AS$240)</f>
        <v>187</v>
      </c>
      <c r="AT241" s="39"/>
      <c r="AU241" s="46">
        <f>SUMIF($B$7:$B$240,"Subtotal*",AU$7:AU$240)</f>
        <v>208</v>
      </c>
      <c r="AV241" s="39"/>
      <c r="AW241" s="46">
        <f>SUMIF($B$7:$B$240,"Subtotal*",AW$7:AW$240)</f>
        <v>174</v>
      </c>
      <c r="AX241" s="39"/>
      <c r="AY241" s="46">
        <f>SUMIF($B$7:$B$240,"Subtotal*",AY$7:AY$240)</f>
        <v>189</v>
      </c>
      <c r="AZ241" s="39"/>
      <c r="BA241" s="46">
        <f>SUMIF($B$7:$B$240,"Subtotal*",BA$7:BA$240)</f>
        <v>171</v>
      </c>
      <c r="BB241" s="39"/>
      <c r="BC241" s="46">
        <f>SUMIF($B$7:$B$240,"Subtotal*",BC$7:BC$240)</f>
        <v>197</v>
      </c>
      <c r="BD241" s="39"/>
      <c r="BE241" s="46">
        <f>SUMIF($B$7:$B$240,"Subtotal*",BE$7:BE$240)</f>
        <v>178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221</v>
      </c>
      <c r="E6" s="1"/>
      <c r="F6" s="52" t="str">
        <f>'Raw data'!C6</f>
        <v>Matt</v>
      </c>
      <c r="G6" s="52">
        <f>Calculation!C241</f>
        <v>193</v>
      </c>
      <c r="H6" s="52">
        <f>G6*1000-0</f>
        <v>193000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211</v>
      </c>
      <c r="E7" s="1"/>
      <c r="F7" s="52" t="str">
        <f>'Raw data'!E6</f>
        <v>Fer</v>
      </c>
      <c r="G7" s="52">
        <f>Calculation!E241</f>
        <v>190</v>
      </c>
      <c r="H7" s="52">
        <f>G7*1000-1</f>
        <v>189999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211</v>
      </c>
      <c r="E8" s="1"/>
      <c r="F8" s="52" t="str">
        <f>'Raw data'!G6</f>
        <v>Pano</v>
      </c>
      <c r="G8" s="52">
        <f>Calculation!G241</f>
        <v>182</v>
      </c>
      <c r="H8" s="52">
        <f>G8*1000-2</f>
        <v>181998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Mile</v>
      </c>
      <c r="D9" s="61">
        <f t="array" ref="D9">IFERROR(INDEX(G6:G35,MATCH(LARGE(H6:H35,4),H6:H35,0)),"")</f>
        <v>208</v>
      </c>
      <c r="E9" s="1"/>
      <c r="F9" s="52" t="str">
        <f>'Raw data'!I6</f>
        <v>Tere y Edu</v>
      </c>
      <c r="G9" s="52">
        <f>Calculation!I241</f>
        <v>195</v>
      </c>
      <c r="H9" s="52">
        <f>G9*1000-3</f>
        <v>194997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Pablo</v>
      </c>
      <c r="D10" s="61">
        <f t="array" ref="D10">IFERROR(INDEX(G6:G35,MATCH(LARGE(H6:H35,5),H6:H35,0)),"")</f>
        <v>206</v>
      </c>
      <c r="E10" s="1"/>
      <c r="F10" s="52" t="str">
        <f>'Raw data'!K6</f>
        <v>Nadia</v>
      </c>
      <c r="G10" s="52">
        <f>Calculation!K241</f>
        <v>185</v>
      </c>
      <c r="H10" s="52">
        <f>G10*1000-4</f>
        <v>184996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202</v>
      </c>
      <c r="E11" s="1"/>
      <c r="F11" s="52" t="str">
        <f>'Raw data'!M6</f>
        <v>JE</v>
      </c>
      <c r="G11" s="52">
        <f>Calculation!M241</f>
        <v>201</v>
      </c>
      <c r="H11" s="52">
        <f>G11*1000-5</f>
        <v>200995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201</v>
      </c>
      <c r="E12" s="1"/>
      <c r="F12" s="52" t="str">
        <f>'Raw data'!O6</f>
        <v>Lucía</v>
      </c>
      <c r="G12" s="52">
        <f>Calculation!O241</f>
        <v>190</v>
      </c>
      <c r="H12" s="52">
        <f>G12*1000-6</f>
        <v>189994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197</v>
      </c>
      <c r="E13" s="1"/>
      <c r="F13" s="52" t="str">
        <f>'Raw data'!Q6</f>
        <v>Kike</v>
      </c>
      <c r="G13" s="52">
        <f>Calculation!Q241</f>
        <v>188</v>
      </c>
      <c r="H13" s="52">
        <f>G13*1000-7</f>
        <v>187993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Tere y Edu</v>
      </c>
      <c r="D14" s="61">
        <f t="array" ref="D14">IFERROR(INDEX(G6:G35,MATCH(LARGE(H6:H35,9),H6:H35,0)),"")</f>
        <v>195</v>
      </c>
      <c r="E14" s="1"/>
      <c r="F14" s="52" t="str">
        <f>'Raw data'!S6</f>
        <v>Paibol</v>
      </c>
      <c r="G14" s="52">
        <f>Calculation!S241</f>
        <v>202</v>
      </c>
      <c r="H14" s="52">
        <f>G14*1000-8</f>
        <v>201992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Juanin</v>
      </c>
      <c r="D15" s="61">
        <f t="array" ref="D15">IFERROR(INDEX(G6:G35,MATCH(LARGE(H6:H35,10),H6:H35,0)),"")</f>
        <v>195</v>
      </c>
      <c r="E15" s="1"/>
      <c r="F15" s="52" t="str">
        <f>'Raw data'!U6</f>
        <v>Pablo</v>
      </c>
      <c r="G15" s="52">
        <f>Calculation!U241</f>
        <v>206</v>
      </c>
      <c r="H15" s="52">
        <f>G15*1000-9</f>
        <v>205991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Meg</v>
      </c>
      <c r="D16" s="61">
        <f t="array" ref="D16">IFERROR(INDEX(G6:G35,MATCH(LARGE(H6:H35,11),H6:H35,0)),"")</f>
        <v>195</v>
      </c>
      <c r="E16" s="1"/>
      <c r="F16" s="52" t="str">
        <f>'Raw data'!W6</f>
        <v>Almu</v>
      </c>
      <c r="G16" s="52">
        <f>Calculation!W241</f>
        <v>185</v>
      </c>
      <c r="H16" s="52">
        <f>G16*1000-10</f>
        <v>184990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Matt</v>
      </c>
      <c r="D17" s="61">
        <f t="array" ref="D17">IFERROR(INDEX(G6:G35,MATCH(LARGE(H6:H35,12),H6:H35,0)),"")</f>
        <v>193</v>
      </c>
      <c r="E17" s="1"/>
      <c r="F17" s="52" t="str">
        <f>'Raw data'!Y6</f>
        <v>Juanorro</v>
      </c>
      <c r="G17" s="52">
        <f>Calculation!Y241</f>
        <v>181</v>
      </c>
      <c r="H17" s="52">
        <f>G17*1000-11</f>
        <v>180989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Fer</v>
      </c>
      <c r="D18" s="61">
        <f t="array" ref="D18">IFERROR(INDEX(G6:G35,MATCH(LARGE(H6:H35,13),H6:H35,0)),"")</f>
        <v>190</v>
      </c>
      <c r="E18" s="1"/>
      <c r="F18" s="52" t="str">
        <f>'Raw data'!AA6</f>
        <v>Cillian</v>
      </c>
      <c r="G18" s="52">
        <f>Calculation!AA241</f>
        <v>187</v>
      </c>
      <c r="H18" s="52">
        <f>G18*1000-12</f>
        <v>186988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Lucía</v>
      </c>
      <c r="D19" s="61">
        <f t="array" ref="D19">IFERROR(INDEX(G6:G35,MATCH(LARGE(H6:H35,14),H6:H35,0)),"")</f>
        <v>190</v>
      </c>
      <c r="E19" s="1"/>
      <c r="F19" s="52" t="str">
        <f>'Raw data'!AC6</f>
        <v>July</v>
      </c>
      <c r="G19" s="52">
        <f>Calculation!AC241</f>
        <v>172</v>
      </c>
      <c r="H19" s="52">
        <f>G19*1000-13</f>
        <v>171987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Toño</v>
      </c>
      <c r="D20" s="61">
        <f t="array" ref="D20">IFERROR(INDEX(G6:G35,MATCH(LARGE(H6:H35,15),H6:H35,0)),"")</f>
        <v>189</v>
      </c>
      <c r="E20" s="1"/>
      <c r="F20" s="52" t="str">
        <f>'Raw data'!AE6</f>
        <v>Toño</v>
      </c>
      <c r="G20" s="52">
        <f>Calculation!AE241</f>
        <v>189</v>
      </c>
      <c r="H20" s="52">
        <f>G20*1000-14</f>
        <v>188986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Hugo</v>
      </c>
      <c r="D21" s="61">
        <f t="array" ref="D21">IFERROR(INDEX(G6:G35,MATCH(LARGE(H6:H35,16),H6:H35,0)),"")</f>
        <v>189</v>
      </c>
      <c r="E21" s="1"/>
      <c r="F21" s="52" t="str">
        <f>'Raw data'!AG6</f>
        <v>Juanin</v>
      </c>
      <c r="G21" s="52">
        <f>Calculation!AG241</f>
        <v>195</v>
      </c>
      <c r="H21" s="52">
        <f>G21*1000-15</f>
        <v>194985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Kike</v>
      </c>
      <c r="D22" s="61">
        <f t="array" ref="D22">IFERROR(INDEX(G6:G35,MATCH(LARGE(H6:H35,17),H6:H35,0)),"")</f>
        <v>188</v>
      </c>
      <c r="E22" s="1"/>
      <c r="F22" s="52" t="str">
        <f>'Raw data'!AI6</f>
        <v>Meg</v>
      </c>
      <c r="G22" s="52">
        <f>Calculation!AI241</f>
        <v>195</v>
      </c>
      <c r="H22" s="52">
        <f>G22*1000-16</f>
        <v>194984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Ben</v>
      </c>
      <c r="D23" s="61">
        <f t="array" ref="D23">IFERROR(INDEX(G6:G35,MATCH(LARGE(H6:H35,18),H6:H35,0)),"")</f>
        <v>188</v>
      </c>
      <c r="E23" s="1"/>
      <c r="F23" s="52" t="str">
        <f>'Raw data'!AK6</f>
        <v>Irene</v>
      </c>
      <c r="G23" s="52">
        <f>Calculation!AK241</f>
        <v>221</v>
      </c>
      <c r="H23" s="52">
        <f>G23*1000-17</f>
        <v>220983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Cillian</v>
      </c>
      <c r="D24" s="61">
        <f t="array" ref="D24">IFERROR(INDEX(G6:G35,MATCH(LARGE(H6:H35,19),H6:H35,0)),"")</f>
        <v>187</v>
      </c>
      <c r="E24" s="1"/>
      <c r="F24" s="52" t="str">
        <f>'Raw data'!AM6</f>
        <v>Andy</v>
      </c>
      <c r="G24" s="52">
        <f>Calculation!AM241</f>
        <v>211</v>
      </c>
      <c r="H24" s="52">
        <f>G24*1000-18</f>
        <v>210982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187</v>
      </c>
      <c r="E25" s="1"/>
      <c r="F25" s="52" t="str">
        <f>'Raw data'!AO6</f>
        <v>Adri</v>
      </c>
      <c r="G25" s="52">
        <f>Calculation!AO241</f>
        <v>211</v>
      </c>
      <c r="H25" s="52">
        <f>G25*1000-19</f>
        <v>210981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Nadia</v>
      </c>
      <c r="D26" s="61">
        <f t="array" ref="D26">IFERROR(INDEX(G6:G35,MATCH(LARGE(H6:H35,21),H6:H35,0)),"")</f>
        <v>185</v>
      </c>
      <c r="E26" s="1"/>
      <c r="F26" s="52" t="str">
        <f>'Raw data'!AQ6</f>
        <v>Ben</v>
      </c>
      <c r="G26" s="52">
        <f>Calculation!AQ241</f>
        <v>188</v>
      </c>
      <c r="H26" s="52">
        <f>G26*1000-20</f>
        <v>187980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Almu</v>
      </c>
      <c r="D27" s="61">
        <f t="array" ref="D27">IFERROR(INDEX(G6:G35,MATCH(LARGE(H6:H35,22),H6:H35,0)),"")</f>
        <v>185</v>
      </c>
      <c r="E27" s="1"/>
      <c r="F27" s="52" t="str">
        <f>'Raw data'!AS6</f>
        <v>Gon </v>
      </c>
      <c r="G27" s="52">
        <f>Calculation!AS241</f>
        <v>187</v>
      </c>
      <c r="H27" s="52">
        <f>G27*1000-21</f>
        <v>186979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182</v>
      </c>
      <c r="E28" s="1"/>
      <c r="F28" s="52" t="str">
        <f>'Raw data'!AU6</f>
        <v>Mile</v>
      </c>
      <c r="G28" s="52">
        <f>Calculation!AU241</f>
        <v>208</v>
      </c>
      <c r="H28" s="52">
        <f>G28*1000-22</f>
        <v>207978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Juanorro</v>
      </c>
      <c r="D29" s="61">
        <f t="array" ref="D29">IFERROR(INDEX(G6:G35,MATCH(LARGE(H6:H35,24),H6:H35,0)),"")</f>
        <v>181</v>
      </c>
      <c r="E29" s="1"/>
      <c r="F29" s="52" t="str">
        <f>'Raw data'!AW6</f>
        <v>Cami</v>
      </c>
      <c r="G29" s="52">
        <f>Calculation!AW241</f>
        <v>174</v>
      </c>
      <c r="H29" s="52">
        <f>G29*1000-23</f>
        <v>173977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Manu</v>
      </c>
      <c r="D30" s="61">
        <f t="array" ref="D30">IFERROR(INDEX(G6:G35,MATCH(LARGE(H6:H35,25),H6:H35,0)),"")</f>
        <v>178</v>
      </c>
      <c r="E30" s="1"/>
      <c r="F30" s="52" t="str">
        <f>'Raw data'!AY6</f>
        <v>Hugo</v>
      </c>
      <c r="G30" s="52">
        <f>Calculation!AY241</f>
        <v>189</v>
      </c>
      <c r="H30" s="52">
        <f>G30*1000-24</f>
        <v>188976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Cami</v>
      </c>
      <c r="D31" s="61">
        <f t="array" ref="D31">IFERROR(INDEX(G6:G35,MATCH(LARGE(H6:H35,26),H6:H35,0)),"")</f>
        <v>174</v>
      </c>
      <c r="E31" s="1"/>
      <c r="F31" s="52" t="str">
        <f>'Raw data'!BA6</f>
        <v>Jaime</v>
      </c>
      <c r="G31" s="52">
        <f>Calculation!BA241</f>
        <v>171</v>
      </c>
      <c r="H31" s="52">
        <f>G31*1000-25</f>
        <v>170975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July</v>
      </c>
      <c r="D32" s="61">
        <f t="array" ref="D32">IFERROR(INDEX(G6:G35,MATCH(LARGE(H6:H35,27),H6:H35,0)),"")</f>
        <v>172</v>
      </c>
      <c r="E32" s="1"/>
      <c r="F32" s="52" t="str">
        <f>'Raw data'!BC6</f>
        <v>Emilio</v>
      </c>
      <c r="G32" s="52">
        <f>Calculation!BC241</f>
        <v>197</v>
      </c>
      <c r="H32" s="52">
        <f>G32*1000-26</f>
        <v>196974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Jaime</v>
      </c>
      <c r="D33" s="61">
        <f t="array" ref="D33">IFERROR(INDEX(G6:G35,MATCH(LARGE(H6:H35,28),H6:H35,0)),"")</f>
        <v>171</v>
      </c>
      <c r="E33" s="1"/>
      <c r="F33" s="52" t="str">
        <f>'Raw data'!BE6</f>
        <v>Manu</v>
      </c>
      <c r="G33" s="52">
        <f>Calculation!BE241</f>
        <v>178</v>
      </c>
      <c r="H33" s="52">
        <f>G33*1000-27</f>
        <v>177973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