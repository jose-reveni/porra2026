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<sst xmlns="http://schemas.openxmlformats.org/spreadsheetml/2006/main" count="3227" uniqueCount="534">
  <si>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</si>
  <si>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</si>
  <si>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</si>
  <si>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</si>
  <si>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</si>
  <si>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</si>
  <si>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</si>
  <si>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</si>
  <si>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</si>
  <si>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</si>
  <si>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</si>
  <si>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</si>
  <si>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</si>
  <si>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</si>
  <si>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</si>
  <si>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</si>
  <si>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</si>
  <si>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</si>
  <si>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</si>
  <si>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</si>
  <si>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</si>
  <si>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</si>
  <si>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</si>
  <si>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</si>
  <si>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</si>
  <si>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</si>
  <si>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</si>
  <si>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</si>
  <si>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</si>
  <si>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</si>
  <si>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</si>
  <si>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</si>
  <si>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</si>
  <si>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</si>
  <si>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</si>
  <si>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</si>
  <si>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</si>
  <si>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</si>
  <si>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</si>
  <si>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</si>
  <si>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</si>
  <si>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</si>
  <si>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</si>
  <si>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</si>
  <si>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</si>
  <si>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</si>
  <si>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</si>
  <si>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</si>
  <si>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</si>
  <si>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</si>
  <si>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</si>
  <si>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</si>
  <si>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</si>
  <si>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</si>
  <si>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</si>
  <si>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</si>
  <si>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</si>
  <si>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</si>
  <si>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</si>
  <si>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</si>
  <si>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</si>
  <si>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</si>
  <si>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</si>
  <si>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</si>
  <si>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</si>
  <si>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</si>
  <si>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</si>
  <si>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</si>
  <si>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</si>
  <si>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</si>
  <si>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</si>
  <si>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</si>
  <si>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</si>
  <si>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</si>
  <si>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</si>
  <si>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</si>
  <si>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</si>
  <si>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</si>
  <si>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</si>
  <si>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</si>
  <si>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</si>
  <si>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</si>
  <si>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</si>
  <si>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</si>
  <si>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</si>
  <si>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</si>
  <si>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</si>
  <si>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</si>
  <si>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</si>
  <si>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</si>
  <si>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</si>
  <si>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</si>
  <si>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</si>
  <si>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</si>
  <si>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</si>
  <si>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</si>
  <si>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</si>
  <si>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</si>
  <si>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</si>
  <si>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</si>
  <si>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</si>
  <si>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</si>
  <si>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</si>
  <si>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</si>
  <si>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</si>
  <si>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</si>
  <si>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</si>
  <si>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</si>
  <si>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</si>
  <si>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</si>
  <si>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</si>
  <si>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</si>
  <si>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</si>
  <si>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</si>
  <si>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</si>
  <si>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</si>
  <si>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</si>
  <si>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</si>
  <si>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</si>
  <si>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</si>
  <si>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</si>
  <si>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</si>
  <si>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</si>
  <si>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</si>
  <si>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</si>
  <si>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</si>
  <si>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</si>
  <si>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</si>
  <si>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</si>
  <si>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</si>
  <si>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</si>
  <si>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</si>
  <si>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</si>
  <si>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</si>
  <si>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</si>
  <si>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</si>
  <si>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</si>
  <si>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</si>
  <si>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</si>
  <si>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</si>
  <si>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</si>
  <si>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</si>
  <si>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</si>
  <si>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</si>
  <si>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</si>
  <si>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</si>
  <si>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</si>
  <si>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</si>
  <si>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</si>
  <si>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</si>
  <si>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</si>
  <si>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</si>
  <si>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</si>
  <si>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</si>
  <si>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</si>
  <si>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</si>
  <si>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</si>
  <si>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</si>
  <si>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</si>
  <si>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</si>
  <si>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</si>
  <si>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</si>
  <si>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</si>
  <si>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</si>
  <si>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</si>
  <si>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</si>
  <si>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</si>
  <si>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</si>
  <si>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</si>
  <si>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</si>
  <si>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</si>
  <si>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</si>
  <si>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</si>
  <si>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</si>
  <si>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</si>
  <si>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</si>
  <si>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</si>
  <si>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</si>
  <si>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</si>
  <si>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</si>
  <si>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</si>
  <si>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</si>
  <si>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</si>
  <si>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</si>
  <si>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</si>
  <si>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</si>
  <si>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</si>
  <si>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</si>
  <si>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</si>
  <si>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</si>
  <si>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</si>
  <si>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</si>
  <si>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</si>
  <si>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</si>
  <si>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</si>
  <si>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</si>
  <si>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</si>
  <si>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</si>
  <si>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</si>
  <si>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</si>
  <si>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</si>
  <si>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</si>
  <si>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</si>
  <si>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</si>
  <si>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</si>
  <si>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</si>
  <si>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</si>
  <si>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</si>
  <si>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</si>
  <si>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</si>
  <si>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</si>
  <si>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</si>
  <si>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</si>
  <si>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</si>
  <si>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</si>
  <si>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</si>
  <si>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</si>
  <si>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</si>
  <si>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</si>
  <si>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</si>
  <si>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</si>
  <si>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</si>
  <si>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</si>
  <si>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</si>
  <si>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</si>
  <si>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</si>
  <si>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</si>
  <si>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</si>
  <si>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</si>
  <si>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</si>
  <si>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</si>
  <si>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</si>
  <si>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</si>
  <si>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</si>
  <si>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</si>
  <si>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</si>
  <si>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</si>
  <si>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</si>
  <si>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</si>
  <si>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</si>
  <si>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</si>
  <si>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</si>
  <si>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</si>
  <si>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</si>
  <si>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</si>
  <si>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</si>
  <si>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</si>
  <si>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</si>
  <si>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</si>
  <si>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</si>
  <si>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</si>
  <si>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</si>
  <si>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</si>
  <si>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</si>
  <si>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</si>
  <si>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</si>
  <si>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</si>
  <si>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</si>
  <si>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</si>
  <si>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</si>
  <si>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</si>
  <si>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</si>
  <si>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</si>
  <si>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</si>
  <si>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</si>
  <si>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</si>
  <si>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</si>
  <si>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</si>
  <si>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</si>
  <si>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</si>
  <si>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</si>
  <si>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</si>
  <si>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</si>
  <si>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</si>
  <si>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</si>
  <si>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</si>
  <si>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</si>
  <si>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</si>
  <si>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</si>
  <si>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</si>
  <si>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</si>
  <si>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</si>
  <si>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</si>
  <si>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</si>
  <si>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</si>
  <si>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</si>
  <si>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</si>
  <si>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</si>
  <si>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</si>
  <si>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</si>
  <si>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</si>
  <si>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</si>
  <si>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</si>
  <si>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</si>
  <si>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</si>
  <si>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</si>
  <si>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</si>
  <si>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</si>
  <si>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</si>
  <si>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</si>
  <si>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</si>
  <si>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</si>
  <si>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</si>
  <si>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</si>
  <si>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</si>
  <si>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</si>
  <si>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</si>
  <si>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</si>
  <si>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</si>
  <si>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</si>
  <si>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</si>
  <si>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</si>
  <si>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</si>
  <si>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</si>
  <si>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</si>
  <si>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</si>
  <si>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</si>
  <si>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</si>
  <si>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</si>
  <si>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</si>
  <si>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</si>
  <si>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</si>
  <si>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</si>
  <si>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</si>
  <si>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</si>
  <si>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</si>
  <si>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</si>
  <si>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</si>
  <si>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</si>
  <si>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</si>
  <si>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</si>
  <si>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</si>
  <si>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</si>
  <si>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</si>
  <si>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</si>
  <si>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</si>
  <si>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</si>
  <si>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</si>
  <si>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</si>
  <si>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</si>
  <si>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</si>
  <si>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</si>
  <si>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</si>
  <si>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</si>
  <si>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</si>
  <si>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</si>
  <si>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</si>
  <si>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</si>
  <si>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</si>
  <si>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</si>
  <si>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</si>
  <si>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</si>
  <si>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</si>
  <si>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</si>
  <si>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</si>
  <si>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</si>
  <si>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</si>
  <si>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</si>
  <si>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</si>
  <si>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</si>
  <si>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</si>
  <si>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</si>
  <si>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</si>
  <si>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</si>
  <si>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</si>
  <si>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</si>
  <si>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Yamal</t>
  </si>
  <si>
    <t>Dembelé</t>
  </si>
  <si>
    <t>Lamine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</si>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</sst>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4">
        <v>2.0</v>
      </c>
      <c r="D200" s="14">
        <v>0.0</v>
      </c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5" t="s">
        <v>149</v>
      </c>
      <c r="D202" s="16"/>
      <c r="E202" s="1"/>
    </row>
    <row r="203" ht="18.0" customHeight="1">
      <c r="A203" s="1"/>
      <c r="B203" s="13" t="s">
        <v>259</v>
      </c>
      <c r="C203" s="14">
        <v>2.0</v>
      </c>
      <c r="D203" s="14">
        <v>1.0</v>
      </c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5" t="s">
        <v>143</v>
      </c>
      <c r="D205" s="16"/>
      <c r="E205" s="1"/>
    </row>
    <row r="206" ht="18.0" customHeight="1">
      <c r="A206" s="1"/>
      <c r="B206" s="13" t="s">
        <v>262</v>
      </c>
      <c r="C206" s="14">
        <v>1.0</v>
      </c>
      <c r="D206" s="14">
        <v>1.0</v>
      </c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5" t="s">
        <v>167</v>
      </c>
      <c r="D208" s="16"/>
      <c r="E208" s="1"/>
    </row>
    <row r="209" ht="18.0" customHeight="1">
      <c r="A209" s="1"/>
      <c r="B209" s="13" t="s">
        <v>265</v>
      </c>
      <c r="C209" s="14">
        <v>1.0</v>
      </c>
      <c r="D209" s="14">
        <v>1.0</v>
      </c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5" t="s">
        <v>155</v>
      </c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4">
        <v>0.0</v>
      </c>
      <c r="D213" s="14">
        <v>2.0</v>
      </c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5" t="s">
        <v>143</v>
      </c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3.0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1.0</v>
      </c>
      <c r="AF135" s="27">
        <v>1.0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2.0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 t="s">
        <v>359</v>
      </c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163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3.0</v>
      </c>
      <c r="AF141" s="27">
        <v>0.0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143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119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1.0</v>
      </c>
      <c r="AF147" s="27">
        <v>2.0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153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3.0</v>
      </c>
      <c r="AF150" s="27">
        <v>2.0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/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113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1.0</v>
      </c>
      <c r="AF153" s="27">
        <v>2.0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151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3.0</v>
      </c>
      <c r="AF156" s="27">
        <v>2.0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101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3.0</v>
      </c>
      <c r="AF159" s="27">
        <v>1.0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167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1.0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 t="s">
        <v>359</v>
      </c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121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2.0</v>
      </c>
      <c r="AF168" s="27">
        <v>1.0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107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1.0</v>
      </c>
      <c r="AF171" s="27">
        <v>0.0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2.0</v>
      </c>
      <c r="AF175" s="27">
        <v>3.0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1.0</v>
      </c>
      <c r="AF178" s="27">
        <v>2.0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/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27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1.0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 t="s">
        <v>359</v>
      </c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119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27">
        <v>3.0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113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0.0</v>
      </c>
      <c r="AF196" s="27">
        <v>1.0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3.0</v>
      </c>
      <c r="AF200" s="27">
        <v>2.0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2.0</v>
      </c>
      <c r="AF203" s="27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2.0</v>
      </c>
      <c r="AF206" s="27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113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2.0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 t="s">
        <v>359</v>
      </c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2.0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1.0</v>
      </c>
      <c r="BF213" s="30">
        <v>2.0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 t="s">
        <v>25</v>
      </c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1.0</v>
      </c>
      <c r="AF216" s="27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3.0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/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155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155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2.0</v>
      </c>
      <c r="AF220" s="27">
        <v>1.0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30">
        <v>1.0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149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31" t="s">
        <v>149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2.0</v>
      </c>
      <c r="AF223" s="27">
        <v>1.0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30">
        <v>3.0</v>
      </c>
      <c r="BF223" s="30">
        <v>0.0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155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31" t="s">
        <v>155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29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368</v>
      </c>
      <c r="AP229" s="16"/>
      <c r="AQ229" s="28" t="s">
        <v>369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368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370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371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372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373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374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375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376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377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378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379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380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381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382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383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384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385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386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387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388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389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390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391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392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393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394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395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396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397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398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399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400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401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402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403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404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405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406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407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408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409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410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411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412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413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414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415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416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417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418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419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420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421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422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423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424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425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5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426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427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428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429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430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431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5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432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433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434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435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436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1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437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5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438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439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1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440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441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442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1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443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444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445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446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3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447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448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1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449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5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450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451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1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452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453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454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1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455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3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456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457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1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458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459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460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461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5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462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463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0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464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3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465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466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1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467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5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468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469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470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61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471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472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473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474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475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3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476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477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478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479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480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481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482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483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484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485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486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0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487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488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489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490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491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492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493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494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495</v>
      </c>
      <c r="C203" s="42">
        <f>IFERROR(IF(AND('Real results'!C198&lt;&gt;"",'Raw data'!C198&lt;&gt;"",UPPER(TRIM('Real results'!C198))=UPPER(TRIM('Raw data'!C198))),2,0),0)</f>
        <v>2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496</v>
      </c>
      <c r="C204" s="44">
        <f>SUM(C180:C203)</f>
        <v>27</v>
      </c>
      <c r="D204" s="40"/>
      <c r="E204" s="44">
        <f>SUM(E180:E203)</f>
        <v>29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23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25</v>
      </c>
      <c r="AF204" s="40"/>
      <c r="AG204" s="44">
        <f>SUM(AG180:AG203)</f>
        <v>24</v>
      </c>
      <c r="AH204" s="40"/>
      <c r="AI204" s="44">
        <f>SUM(AI180:AI203)</f>
        <v>22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497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498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5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3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3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5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3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3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3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3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3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3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3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3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3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5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3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3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3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5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3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3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3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5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3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499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500</v>
      </c>
      <c r="C208" s="42">
        <f>IFERROR(IF(AND('Real results'!C202&lt;&gt;"",'Raw data'!C202&lt;&gt;"",UPPER(TRIM('Real results'!C202))=UPPER(TRIM('Raw data'!C202))),4,0),0)</f>
        <v>4</v>
      </c>
      <c r="D208" s="40"/>
      <c r="E208" s="42">
        <f>IFERROR(IF(AND('Real results'!C202&lt;&gt;"",'Raw data'!E202&lt;&gt;"",UPPER(TRIM('Real results'!C202))=UPPER(TRIM('Raw data'!E202))),4,0),0)</f>
        <v>4</v>
      </c>
      <c r="F208" s="40"/>
      <c r="G208" s="42">
        <f>IFERROR(IF(AND('Real results'!C202&lt;&gt;"",'Raw data'!G202&lt;&gt;"",UPPER(TRIM('Real results'!C202))=UPPER(TRIM('Raw data'!G202))),4,0),0)</f>
        <v>4</v>
      </c>
      <c r="H208" s="40"/>
      <c r="I208" s="42">
        <f>IFERROR(IF(AND('Real results'!C202&lt;&gt;"",'Raw data'!I202&lt;&gt;"",UPPER(TRIM('Real results'!C202))=UPPER(TRIM('Raw data'!I202))),4,0),0)</f>
        <v>4</v>
      </c>
      <c r="J208" s="40"/>
      <c r="K208" s="42">
        <f>IFERROR(IF(AND('Real results'!C202&lt;&gt;"",'Raw data'!K202&lt;&gt;"",UPPER(TRIM('Real results'!C202))=UPPER(TRIM('Raw data'!K202))),4,0),0)</f>
        <v>4</v>
      </c>
      <c r="L208" s="40"/>
      <c r="M208" s="42">
        <f>IFERROR(IF(AND('Real results'!C202&lt;&gt;"",'Raw data'!M202&lt;&gt;"",UPPER(TRIM('Real results'!C202))=UPPER(TRIM('Raw data'!M202))),4,0),0)</f>
        <v>4</v>
      </c>
      <c r="N208" s="40"/>
      <c r="O208" s="42">
        <f>IFERROR(IF(AND('Real results'!C202&lt;&gt;"",'Raw data'!O202&lt;&gt;"",UPPER(TRIM('Real results'!C202))=UPPER(TRIM('Raw data'!O202))),4,0),0)</f>
        <v>4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4</v>
      </c>
      <c r="T208" s="40"/>
      <c r="U208" s="42">
        <f>IFERROR(IF(AND('Real results'!C202&lt;&gt;"",'Raw data'!U202&lt;&gt;"",UPPER(TRIM('Real results'!C202))=UPPER(TRIM('Raw data'!U202))),4,0),0)</f>
        <v>4</v>
      </c>
      <c r="V208" s="40"/>
      <c r="W208" s="42">
        <f>IFERROR(IF(AND('Real results'!C202&lt;&gt;"",'Raw data'!W202&lt;&gt;"",UPPER(TRIM('Real results'!C202))=UPPER(TRIM('Raw data'!W202))),4,0),0)</f>
        <v>4</v>
      </c>
      <c r="X208" s="40"/>
      <c r="Y208" s="42">
        <f>IFERROR(IF(AND('Real results'!C202&lt;&gt;"",'Raw data'!Y202&lt;&gt;"",UPPER(TRIM('Real results'!C202))=UPPER(TRIM('Raw data'!Y202))),4,0),0)</f>
        <v>4</v>
      </c>
      <c r="Z208" s="40"/>
      <c r="AA208" s="42">
        <f>IFERROR(IF(AND('Real results'!C202&lt;&gt;"",'Raw data'!AA202&lt;&gt;"",UPPER(TRIM('Real results'!C202))=UPPER(TRIM('Raw data'!AA202))),4,0),0)</f>
        <v>4</v>
      </c>
      <c r="AB208" s="40"/>
      <c r="AC208" s="42">
        <f>IFERROR(IF(AND('Real results'!C202&lt;&gt;"",'Raw data'!AC202&lt;&gt;"",UPPER(TRIM('Real results'!C202))=UPPER(TRIM('Raw data'!AC202))),4,0),0)</f>
        <v>4</v>
      </c>
      <c r="AD208" s="40"/>
      <c r="AE208" s="42">
        <f>IFERROR(IF(AND('Real results'!C202&lt;&gt;"",'Raw data'!AE202&lt;&gt;"",UPPER(TRIM('Real results'!C202))=UPPER(TRIM('Raw data'!AE202))),4,0),0)</f>
        <v>4</v>
      </c>
      <c r="AF208" s="40"/>
      <c r="AG208" s="42">
        <f>IFERROR(IF(AND('Real results'!C202&lt;&gt;"",'Raw data'!AG202&lt;&gt;"",UPPER(TRIM('Real results'!C202))=UPPER(TRIM('Raw data'!AG202))),4,0),0)</f>
        <v>4</v>
      </c>
      <c r="AH208" s="40"/>
      <c r="AI208" s="42">
        <f>IFERROR(IF(AND('Real results'!C202&lt;&gt;"",'Raw data'!AI202&lt;&gt;"",UPPER(TRIM('Real results'!C202))=UPPER(TRIM('Raw data'!AI202))),4,0),0)</f>
        <v>4</v>
      </c>
      <c r="AJ208" s="40"/>
      <c r="AK208" s="42">
        <f>IFERROR(IF(AND('Real results'!C202&lt;&gt;"",'Raw data'!AK202&lt;&gt;"",UPPER(TRIM('Real results'!C202))=UPPER(TRIM('Raw data'!AK202))),4,0),0)</f>
        <v>4</v>
      </c>
      <c r="AL208" s="40"/>
      <c r="AM208" s="42">
        <f>IFERROR(IF(AND('Real results'!C202&lt;&gt;"",'Raw data'!AM202&lt;&gt;"",UPPER(TRIM('Real results'!C202))=UPPER(TRIM('Raw data'!AM202))),4,0),0)</f>
        <v>4</v>
      </c>
      <c r="AN208" s="40"/>
      <c r="AO208" s="42">
        <f>IFERROR(IF(AND('Real results'!C202&lt;&gt;"",'Raw data'!AO202&lt;&gt;"",UPPER(TRIM('Real results'!C202))=UPPER(TRIM('Raw data'!AO202))),4,0),0)</f>
        <v>4</v>
      </c>
      <c r="AP208" s="40"/>
      <c r="AQ208" s="42">
        <f>IFERROR(IF(AND('Real results'!C202&lt;&gt;"",'Raw data'!AQ202&lt;&gt;"",UPPER(TRIM('Real results'!C202))=UPPER(TRIM('Raw data'!AQ202))),4,0),0)</f>
        <v>4</v>
      </c>
      <c r="AR208" s="40"/>
      <c r="AS208" s="42">
        <f>IFERROR(IF(AND('Real results'!C202&lt;&gt;"",'Raw data'!AS202&lt;&gt;"",UPPER(TRIM('Real results'!C202))=UPPER(TRIM('Raw data'!AS202))),4,0),0)</f>
        <v>4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4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4</v>
      </c>
      <c r="BB208" s="40"/>
      <c r="BC208" s="42">
        <f>IFERROR(IF(AND('Real results'!C202&lt;&gt;"",'Raw data'!BC202&lt;&gt;"",UPPER(TRIM('Real results'!C202))=UPPER(TRIM('Raw data'!BC202))),4,0),0)</f>
        <v>4</v>
      </c>
      <c r="BD208" s="40"/>
      <c r="BE208" s="42">
        <f>IFERROR(IF(AND('Real results'!C202&lt;&gt;"",'Raw data'!BE202&lt;&gt;"",UPPER(TRIM('Real results'!C202))=UPPER(TRIM('Raw data'!BE202))),4,0),0)</f>
        <v>4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501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3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3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3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5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3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5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5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5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3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3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3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5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3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5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5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3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5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5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3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5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3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3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5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5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3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3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502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503</v>
      </c>
      <c r="C211" s="42">
        <f>IFERROR(IF(AND('Real results'!C205&lt;&gt;"",'Raw data'!C205&lt;&gt;"",UPPER(TRIM('Real results'!C205))=UPPER(TRIM('Raw data'!C205))),4,0),0)</f>
        <v>4</v>
      </c>
      <c r="D211" s="40"/>
      <c r="E211" s="42">
        <f>IFERROR(IF(AND('Real results'!C205&lt;&gt;"",'Raw data'!E205&lt;&gt;"",UPPER(TRIM('Real results'!C205))=UPPER(TRIM('Raw data'!E205))),4,0),0)</f>
        <v>4</v>
      </c>
      <c r="F211" s="40"/>
      <c r="G211" s="42">
        <f>IFERROR(IF(AND('Real results'!C205&lt;&gt;"",'Raw data'!G205&lt;&gt;"",UPPER(TRIM('Real results'!C205))=UPPER(TRIM('Raw data'!G205))),4,0),0)</f>
        <v>4</v>
      </c>
      <c r="H211" s="40"/>
      <c r="I211" s="42">
        <f>IFERROR(IF(AND('Real results'!C205&lt;&gt;"",'Raw data'!I205&lt;&gt;"",UPPER(TRIM('Real results'!C205))=UPPER(TRIM('Raw data'!I205))),4,0),0)</f>
        <v>4</v>
      </c>
      <c r="J211" s="40"/>
      <c r="K211" s="42">
        <f>IFERROR(IF(AND('Real results'!C205&lt;&gt;"",'Raw data'!K205&lt;&gt;"",UPPER(TRIM('Real results'!C205))=UPPER(TRIM('Raw data'!K205))),4,0),0)</f>
        <v>4</v>
      </c>
      <c r="L211" s="40"/>
      <c r="M211" s="42">
        <f>IFERROR(IF(AND('Real results'!C205&lt;&gt;"",'Raw data'!M205&lt;&gt;"",UPPER(TRIM('Real results'!C205))=UPPER(TRIM('Raw data'!M205))),4,0),0)</f>
        <v>4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4</v>
      </c>
      <c r="R211" s="40"/>
      <c r="S211" s="42">
        <f>IFERROR(IF(AND('Real results'!C205&lt;&gt;"",'Raw data'!S205&lt;&gt;"",UPPER(TRIM('Real results'!C205))=UPPER(TRIM('Raw data'!S205))),4,0),0)</f>
        <v>4</v>
      </c>
      <c r="T211" s="40"/>
      <c r="U211" s="42">
        <f>IFERROR(IF(AND('Real results'!C205&lt;&gt;"",'Raw data'!U205&lt;&gt;"",UPPER(TRIM('Real results'!C205))=UPPER(TRIM('Raw data'!U205))),4,0),0)</f>
        <v>4</v>
      </c>
      <c r="V211" s="40"/>
      <c r="W211" s="42">
        <f>IFERROR(IF(AND('Real results'!C205&lt;&gt;"",'Raw data'!W205&lt;&gt;"",UPPER(TRIM('Real results'!C205))=UPPER(TRIM('Raw data'!W205))),4,0),0)</f>
        <v>4</v>
      </c>
      <c r="X211" s="40"/>
      <c r="Y211" s="42">
        <f>IFERROR(IF(AND('Real results'!C205&lt;&gt;"",'Raw data'!Y205&lt;&gt;"",UPPER(TRIM('Real results'!C205))=UPPER(TRIM('Raw data'!Y205))),4,0),0)</f>
        <v>4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4</v>
      </c>
      <c r="AD211" s="40"/>
      <c r="AE211" s="42">
        <f>IFERROR(IF(AND('Real results'!C205&lt;&gt;"",'Raw data'!AE205&lt;&gt;"",UPPER(TRIM('Real results'!C205))=UPPER(TRIM('Raw data'!AE205))),4,0),0)</f>
        <v>4</v>
      </c>
      <c r="AF211" s="40"/>
      <c r="AG211" s="42">
        <f>IFERROR(IF(AND('Real results'!C205&lt;&gt;"",'Raw data'!AG205&lt;&gt;"",UPPER(TRIM('Real results'!C205))=UPPER(TRIM('Raw data'!AG205))),4,0),0)</f>
        <v>4</v>
      </c>
      <c r="AH211" s="40"/>
      <c r="AI211" s="42">
        <f>IFERROR(IF(AND('Real results'!C205&lt;&gt;"",'Raw data'!AI205&lt;&gt;"",UPPER(TRIM('Real results'!C205))=UPPER(TRIM('Raw data'!AI205))),4,0),0)</f>
        <v>4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4</v>
      </c>
      <c r="AN211" s="40"/>
      <c r="AO211" s="42">
        <f>IFERROR(IF(AND('Real results'!C205&lt;&gt;"",'Raw data'!AO205&lt;&gt;"",UPPER(TRIM('Real results'!C205))=UPPER(TRIM('Raw data'!AO205))),4,0),0)</f>
        <v>4</v>
      </c>
      <c r="AP211" s="40"/>
      <c r="AQ211" s="42">
        <f>IFERROR(IF(AND('Real results'!C205&lt;&gt;"",'Raw data'!AQ205&lt;&gt;"",UPPER(TRIM('Real results'!C205))=UPPER(TRIM('Raw data'!AQ205))),4,0),0)</f>
        <v>4</v>
      </c>
      <c r="AR211" s="40"/>
      <c r="AS211" s="42">
        <f>IFERROR(IF(AND('Real results'!C205&lt;&gt;"",'Raw data'!AS205&lt;&gt;"",UPPER(TRIM('Real results'!C205))=UPPER(TRIM('Raw data'!AS205))),4,0),0)</f>
        <v>4</v>
      </c>
      <c r="AT211" s="40"/>
      <c r="AU211" s="42">
        <f>IFERROR(IF(AND('Real results'!C205&lt;&gt;"",'Raw data'!AU205&lt;&gt;"",UPPER(TRIM('Real results'!C205))=UPPER(TRIM('Raw data'!AU205))),4,0),0)</f>
        <v>4</v>
      </c>
      <c r="AV211" s="40"/>
      <c r="AW211" s="42">
        <f>IFERROR(IF(AND('Real results'!C205&lt;&gt;"",'Raw data'!AW205&lt;&gt;"",UPPER(TRIM('Real results'!C205))=UPPER(TRIM('Raw data'!AW205))),4,0),0)</f>
        <v>4</v>
      </c>
      <c r="AX211" s="40"/>
      <c r="AY211" s="42">
        <f>IFERROR(IF(AND('Real results'!C205&lt;&gt;"",'Raw data'!AY205&lt;&gt;"",UPPER(TRIM('Real results'!C205))=UPPER(TRIM('Raw data'!AY205))),4,0),0)</f>
        <v>4</v>
      </c>
      <c r="AZ211" s="40"/>
      <c r="BA211" s="42">
        <f>IFERROR(IF(AND('Real results'!C205&lt;&gt;"",'Raw data'!BA205&lt;&gt;"",UPPER(TRIM('Real results'!C205))=UPPER(TRIM('Raw data'!BA205))),4,0),0)</f>
        <v>4</v>
      </c>
      <c r="BB211" s="40"/>
      <c r="BC211" s="42">
        <f>IFERROR(IF(AND('Real results'!C205&lt;&gt;"",'Raw data'!BC205&lt;&gt;"",UPPER(TRIM('Real results'!C205))=UPPER(TRIM('Raw data'!BC205))),4,0),0)</f>
        <v>4</v>
      </c>
      <c r="BD211" s="40"/>
      <c r="BE211" s="42">
        <f>IFERROR(IF(AND('Real results'!C205&lt;&gt;"",'Raw data'!BE205&lt;&gt;"",UPPER(TRIM('Real results'!C205))=UPPER(TRIM('Raw data'!BE205))),4,0),0)</f>
        <v>4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504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5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5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3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3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5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5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3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5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5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3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505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506</v>
      </c>
      <c r="C214" s="42">
        <f>IFERROR(IF(AND('Real results'!C208&lt;&gt;"",'Raw data'!C208&lt;&gt;"",UPPER(TRIM('Real results'!C208))=UPPER(TRIM('Raw data'!C208))),4,0),0)</f>
        <v>4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4</v>
      </c>
      <c r="J214" s="40"/>
      <c r="K214" s="42">
        <f>IFERROR(IF(AND('Real results'!C208&lt;&gt;"",'Raw data'!K208&lt;&gt;"",UPPER(TRIM('Real results'!C208))=UPPER(TRIM('Raw data'!K208))),4,0),0)</f>
        <v>4</v>
      </c>
      <c r="L214" s="40"/>
      <c r="M214" s="42">
        <f>IFERROR(IF(AND('Real results'!C208&lt;&gt;"",'Raw data'!M208&lt;&gt;"",UPPER(TRIM('Real results'!C208))=UPPER(TRIM('Raw data'!M208))),4,0),0)</f>
        <v>4</v>
      </c>
      <c r="N214" s="40"/>
      <c r="O214" s="42">
        <f>IFERROR(IF(AND('Real results'!C208&lt;&gt;"",'Raw data'!O208&lt;&gt;"",UPPER(TRIM('Real results'!C208))=UPPER(TRIM('Raw data'!O208))),4,0),0)</f>
        <v>4</v>
      </c>
      <c r="P214" s="40"/>
      <c r="Q214" s="42">
        <f>IFERROR(IF(AND('Real results'!C208&lt;&gt;"",'Raw data'!Q208&lt;&gt;"",UPPER(TRIM('Real results'!C208))=UPPER(TRIM('Raw data'!Q208))),4,0),0)</f>
        <v>4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4</v>
      </c>
      <c r="AH214" s="40"/>
      <c r="AI214" s="42">
        <f>IFERROR(IF(AND('Real results'!C208&lt;&gt;"",'Raw data'!AI208&lt;&gt;"",UPPER(TRIM('Real results'!C208))=UPPER(TRIM('Raw data'!AI208))),4,0),0)</f>
        <v>4</v>
      </c>
      <c r="AJ214" s="40"/>
      <c r="AK214" s="42">
        <f>IFERROR(IF(AND('Real results'!C208&lt;&gt;"",'Raw data'!AK208&lt;&gt;"",UPPER(TRIM('Real results'!C208))=UPPER(TRIM('Raw data'!AK208))),4,0),0)</f>
        <v>4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4</v>
      </c>
      <c r="BB214" s="40"/>
      <c r="BC214" s="42">
        <f>IFERROR(IF(AND('Real results'!C208&lt;&gt;"",'Raw data'!BC208&lt;&gt;"",UPPER(TRIM('Real results'!C208))=UPPER(TRIM('Raw data'!BC208))),4,0),0)</f>
        <v>4</v>
      </c>
      <c r="BD214" s="40"/>
      <c r="BE214" s="42">
        <f>IFERROR(IF(AND('Real results'!C208&lt;&gt;"",'Raw data'!BE208&lt;&gt;"",UPPER(TRIM('Real results'!C208))=UPPER(TRIM('Raw data'!BE208))),4,0),0)</f>
        <v>4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507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5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5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3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5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3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508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509</v>
      </c>
      <c r="C217" s="42">
        <f>IFERROR(IF(AND('Real results'!C211&lt;&gt;"",'Raw data'!C211&lt;&gt;"",UPPER(TRIM('Real results'!C211))=UPPER(TRIM('Raw data'!C211))),4,0),0)</f>
        <v>4</v>
      </c>
      <c r="D217" s="40"/>
      <c r="E217" s="42">
        <f>IFERROR(IF(AND('Real results'!C211&lt;&gt;"",'Raw data'!E211&lt;&gt;"",UPPER(TRIM('Real results'!C211))=UPPER(TRIM('Raw data'!E211))),4,0),0)</f>
        <v>4</v>
      </c>
      <c r="F217" s="40"/>
      <c r="G217" s="42">
        <f>IFERROR(IF(AND('Real results'!C211&lt;&gt;"",'Raw data'!G211&lt;&gt;"",UPPER(TRIM('Real results'!C211))=UPPER(TRIM('Raw data'!G211))),4,0),0)</f>
        <v>4</v>
      </c>
      <c r="H217" s="40"/>
      <c r="I217" s="42">
        <f>IFERROR(IF(AND('Real results'!C211&lt;&gt;"",'Raw data'!I211&lt;&gt;"",UPPER(TRIM('Real results'!C211))=UPPER(TRIM('Raw data'!I211))),4,0),0)</f>
        <v>4</v>
      </c>
      <c r="J217" s="40"/>
      <c r="K217" s="42">
        <f>IFERROR(IF(AND('Real results'!C211&lt;&gt;"",'Raw data'!K211&lt;&gt;"",UPPER(TRIM('Real results'!C211))=UPPER(TRIM('Raw data'!K211))),4,0),0)</f>
        <v>4</v>
      </c>
      <c r="L217" s="40"/>
      <c r="M217" s="42">
        <f>IFERROR(IF(AND('Real results'!C211&lt;&gt;"",'Raw data'!M211&lt;&gt;"",UPPER(TRIM('Real results'!C211))=UPPER(TRIM('Raw data'!M211))),4,0),0)</f>
        <v>4</v>
      </c>
      <c r="N217" s="40"/>
      <c r="O217" s="42">
        <f>IFERROR(IF(AND('Real results'!C211&lt;&gt;"",'Raw data'!O211&lt;&gt;"",UPPER(TRIM('Real results'!C211))=UPPER(TRIM('Raw data'!O211))),4,0),0)</f>
        <v>4</v>
      </c>
      <c r="P217" s="40"/>
      <c r="Q217" s="42">
        <f>IFERROR(IF(AND('Real results'!C211&lt;&gt;"",'Raw data'!Q211&lt;&gt;"",UPPER(TRIM('Real results'!C211))=UPPER(TRIM('Raw data'!Q211))),4,0),0)</f>
        <v>4</v>
      </c>
      <c r="R217" s="40"/>
      <c r="S217" s="42">
        <f>IFERROR(IF(AND('Real results'!C211&lt;&gt;"",'Raw data'!S211&lt;&gt;"",UPPER(TRIM('Real results'!C211))=UPPER(TRIM('Raw data'!S211))),4,0),0)</f>
        <v>4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4</v>
      </c>
      <c r="X217" s="40"/>
      <c r="Y217" s="42">
        <f>IFERROR(IF(AND('Real results'!C211&lt;&gt;"",'Raw data'!Y211&lt;&gt;"",UPPER(TRIM('Real results'!C211))=UPPER(TRIM('Raw data'!Y211))),4,0),0)</f>
        <v>4</v>
      </c>
      <c r="Z217" s="40"/>
      <c r="AA217" s="42">
        <f>IFERROR(IF(AND('Real results'!C211&lt;&gt;"",'Raw data'!AA211&lt;&gt;"",UPPER(TRIM('Real results'!C211))=UPPER(TRIM('Raw data'!AA211))),4,0),0)</f>
        <v>4</v>
      </c>
      <c r="AB217" s="40"/>
      <c r="AC217" s="42">
        <f>IFERROR(IF(AND('Real results'!C211&lt;&gt;"",'Raw data'!AC211&lt;&gt;"",UPPER(TRIM('Real results'!C211))=UPPER(TRIM('Raw data'!AC211))),4,0),0)</f>
        <v>4</v>
      </c>
      <c r="AD217" s="40"/>
      <c r="AE217" s="42">
        <f>IFERROR(IF(AND('Real results'!C211&lt;&gt;"",'Raw data'!AE211&lt;&gt;"",UPPER(TRIM('Real results'!C211))=UPPER(TRIM('Raw data'!AE211))),4,0),0)</f>
        <v>4</v>
      </c>
      <c r="AF217" s="40"/>
      <c r="AG217" s="42">
        <f>IFERROR(IF(AND('Real results'!C211&lt;&gt;"",'Raw data'!AG211&lt;&gt;"",UPPER(TRIM('Real results'!C211))=UPPER(TRIM('Raw data'!AG211))),4,0),0)</f>
        <v>4</v>
      </c>
      <c r="AH217" s="40"/>
      <c r="AI217" s="42">
        <f>IFERROR(IF(AND('Real results'!C211&lt;&gt;"",'Raw data'!AI211&lt;&gt;"",UPPER(TRIM('Real results'!C211))=UPPER(TRIM('Raw data'!AI211))),4,0),0)</f>
        <v>4</v>
      </c>
      <c r="AJ217" s="40"/>
      <c r="AK217" s="42">
        <f>IFERROR(IF(AND('Real results'!C211&lt;&gt;"",'Raw data'!AK211&lt;&gt;"",UPPER(TRIM('Real results'!C211))=UPPER(TRIM('Raw data'!AK211))),4,0),0)</f>
        <v>4</v>
      </c>
      <c r="AL217" s="40"/>
      <c r="AM217" s="42">
        <f>IFERROR(IF(AND('Real results'!C211&lt;&gt;"",'Raw data'!AM211&lt;&gt;"",UPPER(TRIM('Real results'!C211))=UPPER(TRIM('Raw data'!AM211))),4,0),0)</f>
        <v>4</v>
      </c>
      <c r="AN217" s="40"/>
      <c r="AO217" s="42">
        <f>IFERROR(IF(AND('Real results'!C211&lt;&gt;"",'Raw data'!AO211&lt;&gt;"",UPPER(TRIM('Real results'!C211))=UPPER(TRIM('Raw data'!AO211))),4,0),0)</f>
        <v>4</v>
      </c>
      <c r="AP217" s="40"/>
      <c r="AQ217" s="42">
        <f>IFERROR(IF(AND('Real results'!C211&lt;&gt;"",'Raw data'!AQ211&lt;&gt;"",UPPER(TRIM('Real results'!C211))=UPPER(TRIM('Raw data'!AQ211))),4,0),0)</f>
        <v>4</v>
      </c>
      <c r="AR217" s="40"/>
      <c r="AS217" s="42">
        <f>IFERROR(IF(AND('Real results'!C211&lt;&gt;"",'Raw data'!AS211&lt;&gt;"",UPPER(TRIM('Real results'!C211))=UPPER(TRIM('Raw data'!AS211))),4,0),0)</f>
        <v>4</v>
      </c>
      <c r="AT217" s="40"/>
      <c r="AU217" s="42">
        <f>IFERROR(IF(AND('Real results'!C211&lt;&gt;"",'Raw data'!AU211&lt;&gt;"",UPPER(TRIM('Real results'!C211))=UPPER(TRIM('Raw data'!AU211))),4,0),0)</f>
        <v>4</v>
      </c>
      <c r="AV217" s="40"/>
      <c r="AW217" s="42">
        <f>IFERROR(IF(AND('Real results'!C211&lt;&gt;"",'Raw data'!AW211&lt;&gt;"",UPPER(TRIM('Real results'!C211))=UPPER(TRIM('Raw data'!AW211))),4,0),0)</f>
        <v>4</v>
      </c>
      <c r="AX217" s="40"/>
      <c r="AY217" s="42">
        <f>IFERROR(IF(AND('Real results'!C211&lt;&gt;"",'Raw data'!AY211&lt;&gt;"",UPPER(TRIM('Real results'!C211))=UPPER(TRIM('Raw data'!AY211))),4,0),0)</f>
        <v>4</v>
      </c>
      <c r="AZ217" s="40"/>
      <c r="BA217" s="42">
        <f>IFERROR(IF(AND('Real results'!C211&lt;&gt;"",'Raw data'!BA211&lt;&gt;"",UPPER(TRIM('Real results'!C211))=UPPER(TRIM('Raw data'!BA211))),4,0),0)</f>
        <v>4</v>
      </c>
      <c r="BB217" s="40"/>
      <c r="BC217" s="42">
        <f>IFERROR(IF(AND('Real results'!C211&lt;&gt;"",'Raw data'!BC211&lt;&gt;"",UPPER(TRIM('Real results'!C211))=UPPER(TRIM('Raw data'!BC211))),4,0),0)</f>
        <v>4</v>
      </c>
      <c r="BD217" s="40"/>
      <c r="BE217" s="42">
        <f>IFERROR(IF(AND('Real results'!C211&lt;&gt;"",'Raw data'!BE211&lt;&gt;"",UPPER(TRIM('Real results'!C211))=UPPER(TRIM('Raw data'!BE211))),4,0),0)</f>
        <v>4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510</v>
      </c>
      <c r="C218" s="44">
        <f>SUM(C206:C217)</f>
        <v>29</v>
      </c>
      <c r="D218" s="40"/>
      <c r="E218" s="44">
        <f>SUM(E206:E217)</f>
        <v>18</v>
      </c>
      <c r="F218" s="40"/>
      <c r="G218" s="44">
        <f>SUM(G206:G217)</f>
        <v>23</v>
      </c>
      <c r="H218" s="40"/>
      <c r="I218" s="44">
        <f>SUM(I206:I217)</f>
        <v>26</v>
      </c>
      <c r="J218" s="40"/>
      <c r="K218" s="44">
        <f>SUM(K206:K217)</f>
        <v>22</v>
      </c>
      <c r="L218" s="40"/>
      <c r="M218" s="44">
        <f>SUM(M206:M217)</f>
        <v>24</v>
      </c>
      <c r="N218" s="40"/>
      <c r="O218" s="44">
        <f>SUM(O206:O217)</f>
        <v>23</v>
      </c>
      <c r="P218" s="40"/>
      <c r="Q218" s="44">
        <f>SUM(Q206:Q217)</f>
        <v>20</v>
      </c>
      <c r="R218" s="40"/>
      <c r="S218" s="44">
        <f>SUM(S206:S217)</f>
        <v>15</v>
      </c>
      <c r="T218" s="40"/>
      <c r="U218" s="44">
        <f>SUM(U206:U217)</f>
        <v>19</v>
      </c>
      <c r="V218" s="40"/>
      <c r="W218" s="44">
        <f>SUM(W206:W217)</f>
        <v>15</v>
      </c>
      <c r="X218" s="40"/>
      <c r="Y218" s="44">
        <f>SUM(Y206:Y217)</f>
        <v>20</v>
      </c>
      <c r="Z218" s="40"/>
      <c r="AA218" s="44">
        <f>SUM(AA206:AA217)</f>
        <v>26</v>
      </c>
      <c r="AB218" s="40"/>
      <c r="AC218" s="44">
        <f>SUM(AC206:AC217)</f>
        <v>18</v>
      </c>
      <c r="AD218" s="40"/>
      <c r="AE218" s="44">
        <f>SUM(AE206:AE217)</f>
        <v>26</v>
      </c>
      <c r="AF218" s="40"/>
      <c r="AG218" s="44">
        <f>SUM(AG206:AG217)</f>
        <v>34</v>
      </c>
      <c r="AH218" s="40"/>
      <c r="AI218" s="44">
        <f>SUM(AI206:AI217)</f>
        <v>24</v>
      </c>
      <c r="AJ218" s="40"/>
      <c r="AK218" s="44">
        <f>SUM(AK206:AK217)</f>
        <v>25</v>
      </c>
      <c r="AL218" s="40"/>
      <c r="AM218" s="44">
        <f>SUM(AM206:AM217)</f>
        <v>20</v>
      </c>
      <c r="AN218" s="40"/>
      <c r="AO218" s="44">
        <f>SUM(AO206:AO217)</f>
        <v>15</v>
      </c>
      <c r="AP218" s="40"/>
      <c r="AQ218" s="44">
        <f>SUM(AQ206:AQ217)</f>
        <v>20</v>
      </c>
      <c r="AR218" s="40"/>
      <c r="AS218" s="44">
        <f>SUM(AS206:AS217)</f>
        <v>20</v>
      </c>
      <c r="AT218" s="40"/>
      <c r="AU218" s="44">
        <f>SUM(AU206:AU217)</f>
        <v>11</v>
      </c>
      <c r="AV218" s="40"/>
      <c r="AW218" s="44">
        <f>SUM(AW206:AW217)</f>
        <v>18</v>
      </c>
      <c r="AX218" s="40"/>
      <c r="AY218" s="44">
        <f>SUM(AY206:AY217)</f>
        <v>13</v>
      </c>
      <c r="AZ218" s="40"/>
      <c r="BA218" s="44">
        <f>SUM(BA206:BA217)</f>
        <v>24</v>
      </c>
      <c r="BB218" s="40"/>
      <c r="BC218" s="44">
        <f>SUM(BC206:BC217)</f>
        <v>27</v>
      </c>
      <c r="BD218" s="40"/>
      <c r="BE218" s="44">
        <f>SUM(BE206:BE217)</f>
        <v>25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511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512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3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3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3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3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3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3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3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3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513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514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6</v>
      </c>
      <c r="F222" s="40"/>
      <c r="G222" s="42">
        <f>IFERROR(IF(AND('Real results'!C215&lt;&gt;"",'Raw data'!G215&lt;&gt;"",UPPER(TRIM('Real results'!C215))=UPPER(TRIM('Raw data'!G215))),6,0),0)</f>
        <v>6</v>
      </c>
      <c r="H222" s="40"/>
      <c r="I222" s="42">
        <f>IFERROR(IF(AND('Real results'!C215&lt;&gt;"",'Raw data'!I215&lt;&gt;"",UPPER(TRIM('Real results'!C215))=UPPER(TRIM('Raw data'!I215))),6,0),0)</f>
        <v>6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6</v>
      </c>
      <c r="X222" s="40"/>
      <c r="Y222" s="42">
        <f>IFERROR(IF(AND('Real results'!C215&lt;&gt;"",'Raw data'!Y215&lt;&gt;"",UPPER(TRIM('Real results'!C215))=UPPER(TRIM('Raw data'!Y215))),6,0),0)</f>
        <v>6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6</v>
      </c>
      <c r="AD222" s="40"/>
      <c r="AE222" s="42">
        <f>IFERROR(IF(AND('Real results'!C215&lt;&gt;"",'Raw data'!AE215&lt;&gt;"",UPPER(TRIM('Real results'!C215))=UPPER(TRIM('Raw data'!AE215))),6,0),0)</f>
        <v>6</v>
      </c>
      <c r="AF222" s="40"/>
      <c r="AG222" s="42">
        <f>IFERROR(IF(AND('Real results'!C215&lt;&gt;"",'Raw data'!AG215&lt;&gt;"",UPPER(TRIM('Real results'!C215))=UPPER(TRIM('Raw data'!AG215))),6,0),0)</f>
        <v>6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6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6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6</v>
      </c>
      <c r="AZ222" s="40"/>
      <c r="BA222" s="42">
        <f>IFERROR(IF(AND('Real results'!C215&lt;&gt;"",'Raw data'!BA215&lt;&gt;"",UPPER(TRIM('Real results'!C215))=UPPER(TRIM('Raw data'!BA215))),6,0),0)</f>
        <v>6</v>
      </c>
      <c r="BB222" s="40"/>
      <c r="BC222" s="42">
        <f>IFERROR(IF(AND('Real results'!C215&lt;&gt;"",'Raw data'!BC215&lt;&gt;"",UPPER(TRIM('Real results'!C215))=UPPER(TRIM('Raw data'!BC215))),6,0),0)</f>
        <v>6</v>
      </c>
      <c r="BD222" s="40"/>
      <c r="BE222" s="42">
        <f>IFERROR(IF(AND('Real results'!C215&lt;&gt;"",'Raw data'!BE215&lt;&gt;"",UPPER(TRIM('Real results'!C215))=UPPER(TRIM('Raw data'!BE215))),6,0),0)</f>
        <v>6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515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516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517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518</v>
      </c>
      <c r="C226" s="44">
        <f>SUM(C220:C225)</f>
        <v>0</v>
      </c>
      <c r="D226" s="40"/>
      <c r="E226" s="44">
        <f>SUM(E220:E225)</f>
        <v>6</v>
      </c>
      <c r="F226" s="40"/>
      <c r="G226" s="44">
        <f>SUM(G220:G225)</f>
        <v>9</v>
      </c>
      <c r="H226" s="40"/>
      <c r="I226" s="44">
        <f>SUM(I220:I225)</f>
        <v>9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9</v>
      </c>
      <c r="X226" s="40"/>
      <c r="Y226" s="44">
        <f>SUM(Y220:Y225)</f>
        <v>6</v>
      </c>
      <c r="Z226" s="40"/>
      <c r="AA226" s="44">
        <f>SUM(AA220:AA225)</f>
        <v>0</v>
      </c>
      <c r="AB226" s="40"/>
      <c r="AC226" s="44">
        <f>SUM(AC220:AC225)</f>
        <v>9</v>
      </c>
      <c r="AD226" s="40"/>
      <c r="AE226" s="44">
        <f>SUM(AE220:AE225)</f>
        <v>6</v>
      </c>
      <c r="AF226" s="40"/>
      <c r="AG226" s="44">
        <f>SUM(AG220:AG225)</f>
        <v>6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6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9</v>
      </c>
      <c r="AV226" s="40"/>
      <c r="AW226" s="44">
        <f>SUM(AW220:AW225)</f>
        <v>0</v>
      </c>
      <c r="AX226" s="40"/>
      <c r="AY226" s="44">
        <f>SUM(AY220:AY225)</f>
        <v>6</v>
      </c>
      <c r="AZ226" s="40"/>
      <c r="BA226" s="44">
        <f>SUM(BA220:BA225)</f>
        <v>9</v>
      </c>
      <c r="BB226" s="40"/>
      <c r="BC226" s="44">
        <f>SUM(BC220:BC225)</f>
        <v>9</v>
      </c>
      <c r="BD226" s="40"/>
      <c r="BE226" s="44">
        <f>SUM(BE220:BE225)</f>
        <v>9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519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520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521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522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523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524</v>
      </c>
      <c r="C241" s="47">
        <f>SUMIF($B$7:$B$240,"Subtotal*",C$7:C$240)</f>
        <v>256</v>
      </c>
      <c r="D241" s="40"/>
      <c r="E241" s="47">
        <f>SUMIF($B$7:$B$240,"Subtotal*",E$7:E$240)</f>
        <v>249</v>
      </c>
      <c r="F241" s="40"/>
      <c r="G241" s="47">
        <f>SUMIF($B$7:$B$240,"Subtotal*",G$7:G$240)</f>
        <v>244</v>
      </c>
      <c r="H241" s="40"/>
      <c r="I241" s="47">
        <f>SUMIF($B$7:$B$240,"Subtotal*",I$7:I$240)</f>
        <v>259</v>
      </c>
      <c r="J241" s="40"/>
      <c r="K241" s="47">
        <f>SUMIF($B$7:$B$240,"Subtotal*",K$7:K$240)</f>
        <v>237</v>
      </c>
      <c r="L241" s="40"/>
      <c r="M241" s="47">
        <f>SUMIF($B$7:$B$240,"Subtotal*",M$7:M$240)</f>
        <v>258</v>
      </c>
      <c r="N241" s="40"/>
      <c r="O241" s="47">
        <f>SUMIF($B$7:$B$240,"Subtotal*",O$7:O$240)</f>
        <v>241</v>
      </c>
      <c r="P241" s="40"/>
      <c r="Q241" s="47">
        <f>SUMIF($B$7:$B$240,"Subtotal*",Q$7:Q$240)</f>
        <v>241</v>
      </c>
      <c r="R241" s="40"/>
      <c r="S241" s="47">
        <f>SUMIF($B$7:$B$240,"Subtotal*",S$7:S$240)</f>
        <v>245</v>
      </c>
      <c r="T241" s="40"/>
      <c r="U241" s="47">
        <f>SUMIF($B$7:$B$240,"Subtotal*",U$7:U$240)</f>
        <v>248</v>
      </c>
      <c r="V241" s="40"/>
      <c r="W241" s="47">
        <f>SUMIF($B$7:$B$240,"Subtotal*",W$7:W$240)</f>
        <v>231</v>
      </c>
      <c r="X241" s="40"/>
      <c r="Y241" s="47">
        <f>SUMIF($B$7:$B$240,"Subtotal*",Y$7:Y$240)</f>
        <v>238</v>
      </c>
      <c r="Z241" s="40"/>
      <c r="AA241" s="47">
        <f>SUMIF($B$7:$B$240,"Subtotal*",AA$7:AA$240)</f>
        <v>244</v>
      </c>
      <c r="AB241" s="40"/>
      <c r="AC241" s="47">
        <f>SUMIF($B$7:$B$240,"Subtotal*",AC$7:AC$240)</f>
        <v>234</v>
      </c>
      <c r="AD241" s="40"/>
      <c r="AE241" s="47">
        <f>SUMIF($B$7:$B$240,"Subtotal*",AE$7:AE$240)</f>
        <v>284</v>
      </c>
      <c r="AF241" s="40"/>
      <c r="AG241" s="47">
        <f>SUMIF($B$7:$B$240,"Subtotal*",AG$7:AG$240)</f>
        <v>265</v>
      </c>
      <c r="AH241" s="40"/>
      <c r="AI241" s="47">
        <f>SUMIF($B$7:$B$240,"Subtotal*",AI$7:AI$240)</f>
        <v>249</v>
      </c>
      <c r="AJ241" s="40"/>
      <c r="AK241" s="47">
        <f>SUMIF($B$7:$B$240,"Subtotal*",AK$7:AK$240)</f>
        <v>271</v>
      </c>
      <c r="AL241" s="40"/>
      <c r="AM241" s="47">
        <f>SUMIF($B$7:$B$240,"Subtotal*",AM$7:AM$240)</f>
        <v>259</v>
      </c>
      <c r="AN241" s="40"/>
      <c r="AO241" s="47">
        <f>SUMIF($B$7:$B$240,"Subtotal*",AO$7:AO$240)</f>
        <v>266</v>
      </c>
      <c r="AP241" s="40"/>
      <c r="AQ241" s="47">
        <f>SUMIF($B$7:$B$240,"Subtotal*",AQ$7:AQ$240)</f>
        <v>232</v>
      </c>
      <c r="AR241" s="40"/>
      <c r="AS241" s="47">
        <f>SUMIF($B$7:$B$240,"Subtotal*",AS$7:AS$240)</f>
        <v>235</v>
      </c>
      <c r="AT241" s="40"/>
      <c r="AU241" s="47">
        <f>SUMIF($B$7:$B$240,"Subtotal*",AU$7:AU$240)</f>
        <v>257</v>
      </c>
      <c r="AV241" s="40"/>
      <c r="AW241" s="47">
        <f>SUMIF($B$7:$B$240,"Subtotal*",AW$7:AW$240)</f>
        <v>225</v>
      </c>
      <c r="AX241" s="40"/>
      <c r="AY241" s="47">
        <f>SUMIF($B$7:$B$240,"Subtotal*",AY$7:AY$240)</f>
        <v>241</v>
      </c>
      <c r="AZ241" s="40"/>
      <c r="BA241" s="47">
        <f>SUMIF($B$7:$B$240,"Subtotal*",BA$7:BA$240)</f>
        <v>241</v>
      </c>
      <c r="BB241" s="40"/>
      <c r="BC241" s="47">
        <f>SUMIF($B$7:$B$240,"Subtotal*",BC$7:BC$240)</f>
        <v>265</v>
      </c>
      <c r="BD241" s="40"/>
      <c r="BE241" s="47">
        <f>SUMIF($B$7:$B$240,"Subtotal*",BE$7:BE$240)</f>
        <v>250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525</v>
      </c>
      <c r="E2" s="1"/>
      <c r="F2" s="1"/>
      <c r="G2" s="1"/>
      <c r="H2" s="1"/>
    </row>
    <row r="3" ht="21.75" customHeight="1">
      <c r="A3" s="1"/>
      <c r="B3" s="9" t="s">
        <v>526</v>
      </c>
      <c r="E3" s="1"/>
      <c r="F3" s="49" t="s">
        <v>527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528</v>
      </c>
      <c r="C5" s="10" t="s">
        <v>529</v>
      </c>
      <c r="D5" s="10" t="s">
        <v>530</v>
      </c>
      <c r="E5" s="1"/>
      <c r="F5" s="49" t="s">
        <v>531</v>
      </c>
      <c r="G5" s="49" t="s">
        <v>532</v>
      </c>
      <c r="H5" s="49" t="s">
        <v>533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Toño</v>
      </c>
      <c r="D6" s="52">
        <f t="array" ref="D6">IFERROR(INDEX(G6:G35,MATCH(LARGE(H6:H35,1),H6:H35,0)),"")</f>
        <v>284</v>
      </c>
      <c r="E6" s="1"/>
      <c r="F6" s="53" t="str">
        <f>'Raw data'!C6</f>
        <v>Matt</v>
      </c>
      <c r="G6" s="53">
        <f>Calculation!C241</f>
        <v>256</v>
      </c>
      <c r="H6" s="53">
        <f>G6*1000-0</f>
        <v>256000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Irene</v>
      </c>
      <c r="D7" s="56">
        <f t="array" ref="D7">IFERROR(INDEX(G6:G35,MATCH(LARGE(H6:H35,2),H6:H35,0)),"")</f>
        <v>271</v>
      </c>
      <c r="E7" s="1"/>
      <c r="F7" s="53" t="str">
        <f>'Raw data'!E6</f>
        <v>Fer</v>
      </c>
      <c r="G7" s="53">
        <f>Calculation!E241</f>
        <v>249</v>
      </c>
      <c r="H7" s="53">
        <f>G7*1000-1</f>
        <v>248999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Adri</v>
      </c>
      <c r="D8" s="59">
        <f t="array" ref="D8">IFERROR(INDEX(G6:G35,MATCH(LARGE(H6:H35,3),H6:H35,0)),"")</f>
        <v>266</v>
      </c>
      <c r="E8" s="1"/>
      <c r="F8" s="53" t="str">
        <f>'Raw data'!G6</f>
        <v>Pano</v>
      </c>
      <c r="G8" s="53">
        <f>Calculation!G241</f>
        <v>244</v>
      </c>
      <c r="H8" s="53">
        <f>G8*1000-2</f>
        <v>243998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Juanin</v>
      </c>
      <c r="D9" s="62">
        <f t="array" ref="D9">IFERROR(INDEX(G6:G35,MATCH(LARGE(H6:H35,4),H6:H35,0)),"")</f>
        <v>265</v>
      </c>
      <c r="E9" s="1"/>
      <c r="F9" s="53" t="str">
        <f>'Raw data'!I6</f>
        <v>Tere y Edu</v>
      </c>
      <c r="G9" s="53">
        <f>Calculation!I241</f>
        <v>259</v>
      </c>
      <c r="H9" s="53">
        <f>G9*1000-3</f>
        <v>258997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Emilio</v>
      </c>
      <c r="D10" s="62">
        <f t="array" ref="D10">IFERROR(INDEX(G6:G35,MATCH(LARGE(H6:H35,5),H6:H35,0)),"")</f>
        <v>265</v>
      </c>
      <c r="E10" s="1"/>
      <c r="F10" s="53" t="str">
        <f>'Raw data'!K6</f>
        <v>Nadia</v>
      </c>
      <c r="G10" s="53">
        <f>Calculation!K241</f>
        <v>237</v>
      </c>
      <c r="H10" s="53">
        <f>G10*1000-4</f>
        <v>236996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Tere y Edu</v>
      </c>
      <c r="D11" s="62">
        <f t="array" ref="D11">IFERROR(INDEX(G6:G35,MATCH(LARGE(H6:H35,6),H6:H35,0)),"")</f>
        <v>259</v>
      </c>
      <c r="E11" s="1"/>
      <c r="F11" s="53" t="str">
        <f>'Raw data'!M6</f>
        <v>JE</v>
      </c>
      <c r="G11" s="53">
        <f>Calculation!M241</f>
        <v>258</v>
      </c>
      <c r="H11" s="53">
        <f>G11*1000-5</f>
        <v>257995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Andy</v>
      </c>
      <c r="D12" s="62">
        <f t="array" ref="D12">IFERROR(INDEX(G6:G35,MATCH(LARGE(H6:H35,7),H6:H35,0)),"")</f>
        <v>259</v>
      </c>
      <c r="E12" s="1"/>
      <c r="F12" s="53" t="str">
        <f>'Raw data'!O6</f>
        <v>Lucía</v>
      </c>
      <c r="G12" s="53">
        <f>Calculation!O241</f>
        <v>241</v>
      </c>
      <c r="H12" s="53">
        <f>G12*1000-6</f>
        <v>240994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JE</v>
      </c>
      <c r="D13" s="62">
        <f t="array" ref="D13">IFERROR(INDEX(G6:G35,MATCH(LARGE(H6:H35,8),H6:H35,0)),"")</f>
        <v>258</v>
      </c>
      <c r="E13" s="1"/>
      <c r="F13" s="53" t="str">
        <f>'Raw data'!Q6</f>
        <v>Kike</v>
      </c>
      <c r="G13" s="53">
        <f>Calculation!Q241</f>
        <v>241</v>
      </c>
      <c r="H13" s="53">
        <f>G13*1000-7</f>
        <v>240993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Mile</v>
      </c>
      <c r="D14" s="62">
        <f t="array" ref="D14">IFERROR(INDEX(G6:G35,MATCH(LARGE(H6:H35,9),H6:H35,0)),"")</f>
        <v>257</v>
      </c>
      <c r="E14" s="1"/>
      <c r="F14" s="53" t="str">
        <f>'Raw data'!S6</f>
        <v>Paibol</v>
      </c>
      <c r="G14" s="53">
        <f>Calculation!S241</f>
        <v>245</v>
      </c>
      <c r="H14" s="53">
        <f>G14*1000-8</f>
        <v>244992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Matt</v>
      </c>
      <c r="D15" s="62">
        <f t="array" ref="D15">IFERROR(INDEX(G6:G35,MATCH(LARGE(H6:H35,10),H6:H35,0)),"")</f>
        <v>256</v>
      </c>
      <c r="E15" s="1"/>
      <c r="F15" s="53" t="str">
        <f>'Raw data'!U6</f>
        <v>Pablo</v>
      </c>
      <c r="G15" s="53">
        <f>Calculation!U241</f>
        <v>248</v>
      </c>
      <c r="H15" s="53">
        <f>G15*1000-9</f>
        <v>247991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Manu</v>
      </c>
      <c r="D16" s="62">
        <f t="array" ref="D16">IFERROR(INDEX(G6:G35,MATCH(LARGE(H6:H35,11),H6:H35,0)),"")</f>
        <v>250</v>
      </c>
      <c r="E16" s="1"/>
      <c r="F16" s="53" t="str">
        <f>'Raw data'!W6</f>
        <v>Almu</v>
      </c>
      <c r="G16" s="53">
        <f>Calculation!W241</f>
        <v>231</v>
      </c>
      <c r="H16" s="53">
        <f>G16*1000-10</f>
        <v>230990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Fer</v>
      </c>
      <c r="D17" s="62">
        <f t="array" ref="D17">IFERROR(INDEX(G6:G35,MATCH(LARGE(H6:H35,12),H6:H35,0)),"")</f>
        <v>249</v>
      </c>
      <c r="E17" s="1"/>
      <c r="F17" s="53" t="str">
        <f>'Raw data'!Y6</f>
        <v>Juanorro</v>
      </c>
      <c r="G17" s="53">
        <f>Calculation!Y241</f>
        <v>238</v>
      </c>
      <c r="H17" s="53">
        <f>G17*1000-11</f>
        <v>237989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Meg</v>
      </c>
      <c r="D18" s="62">
        <f t="array" ref="D18">IFERROR(INDEX(G6:G35,MATCH(LARGE(H6:H35,13),H6:H35,0)),"")</f>
        <v>249</v>
      </c>
      <c r="E18" s="1"/>
      <c r="F18" s="53" t="str">
        <f>'Raw data'!AA6</f>
        <v>Cillian</v>
      </c>
      <c r="G18" s="53">
        <f>Calculation!AA241</f>
        <v>244</v>
      </c>
      <c r="H18" s="53">
        <f>G18*1000-12</f>
        <v>243988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Pablo</v>
      </c>
      <c r="D19" s="62">
        <f t="array" ref="D19">IFERROR(INDEX(G6:G35,MATCH(LARGE(H6:H35,14),H6:H35,0)),"")</f>
        <v>248</v>
      </c>
      <c r="E19" s="1"/>
      <c r="F19" s="53" t="str">
        <f>'Raw data'!AC6</f>
        <v>July</v>
      </c>
      <c r="G19" s="53">
        <f>Calculation!AC241</f>
        <v>234</v>
      </c>
      <c r="H19" s="53">
        <f>G19*1000-13</f>
        <v>233987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Paibol</v>
      </c>
      <c r="D20" s="62">
        <f t="array" ref="D20">IFERROR(INDEX(G6:G35,MATCH(LARGE(H6:H35,15),H6:H35,0)),"")</f>
        <v>245</v>
      </c>
      <c r="E20" s="1"/>
      <c r="F20" s="53" t="str">
        <f>'Raw data'!AE6</f>
        <v>Toño</v>
      </c>
      <c r="G20" s="53">
        <f>Calculation!AE241</f>
        <v>284</v>
      </c>
      <c r="H20" s="53">
        <f>G20*1000-14</f>
        <v>283986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Pano</v>
      </c>
      <c r="D21" s="62">
        <f t="array" ref="D21">IFERROR(INDEX(G6:G35,MATCH(LARGE(H6:H35,16),H6:H35,0)),"")</f>
        <v>244</v>
      </c>
      <c r="E21" s="1"/>
      <c r="F21" s="53" t="str">
        <f>'Raw data'!AG6</f>
        <v>Juanin</v>
      </c>
      <c r="G21" s="53">
        <f>Calculation!AG241</f>
        <v>265</v>
      </c>
      <c r="H21" s="53">
        <f>G21*1000-15</f>
        <v>264985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Cillian</v>
      </c>
      <c r="D22" s="62">
        <f t="array" ref="D22">IFERROR(INDEX(G6:G35,MATCH(LARGE(H6:H35,17),H6:H35,0)),"")</f>
        <v>244</v>
      </c>
      <c r="E22" s="1"/>
      <c r="F22" s="53" t="str">
        <f>'Raw data'!AI6</f>
        <v>Meg</v>
      </c>
      <c r="G22" s="53">
        <f>Calculation!AI241</f>
        <v>249</v>
      </c>
      <c r="H22" s="53">
        <f>G22*1000-16</f>
        <v>248984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Lucía</v>
      </c>
      <c r="D23" s="62">
        <f t="array" ref="D23">IFERROR(INDEX(G6:G35,MATCH(LARGE(H6:H35,18),H6:H35,0)),"")</f>
        <v>241</v>
      </c>
      <c r="E23" s="1"/>
      <c r="F23" s="53" t="str">
        <f>'Raw data'!AK6</f>
        <v>Irene</v>
      </c>
      <c r="G23" s="53">
        <f>Calculation!AK241</f>
        <v>271</v>
      </c>
      <c r="H23" s="53">
        <f>G23*1000-17</f>
        <v>270983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Kike</v>
      </c>
      <c r="D24" s="62">
        <f t="array" ref="D24">IFERROR(INDEX(G6:G35,MATCH(LARGE(H6:H35,19),H6:H35,0)),"")</f>
        <v>241</v>
      </c>
      <c r="E24" s="1"/>
      <c r="F24" s="53" t="str">
        <f>'Raw data'!AM6</f>
        <v>Andy</v>
      </c>
      <c r="G24" s="53">
        <f>Calculation!AM241</f>
        <v>259</v>
      </c>
      <c r="H24" s="53">
        <f>G24*1000-18</f>
        <v>258982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Hugo</v>
      </c>
      <c r="D25" s="62">
        <f t="array" ref="D25">IFERROR(INDEX(G6:G35,MATCH(LARGE(H6:H35,20),H6:H35,0)),"")</f>
        <v>241</v>
      </c>
      <c r="E25" s="1"/>
      <c r="F25" s="53" t="str">
        <f>'Raw data'!AO6</f>
        <v>Adri</v>
      </c>
      <c r="G25" s="53">
        <f>Calculation!AO241</f>
        <v>266</v>
      </c>
      <c r="H25" s="53">
        <f>G25*1000-19</f>
        <v>265981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Jaime</v>
      </c>
      <c r="D26" s="62">
        <f t="array" ref="D26">IFERROR(INDEX(G6:G35,MATCH(LARGE(H6:H35,21),H6:H35,0)),"")</f>
        <v>241</v>
      </c>
      <c r="E26" s="1"/>
      <c r="F26" s="53" t="str">
        <f>'Raw data'!AQ6</f>
        <v>Ben</v>
      </c>
      <c r="G26" s="53">
        <f>Calculation!AQ241</f>
        <v>232</v>
      </c>
      <c r="H26" s="53">
        <f>G26*1000-20</f>
        <v>231980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Juanorro</v>
      </c>
      <c r="D27" s="62">
        <f t="array" ref="D27">IFERROR(INDEX(G6:G35,MATCH(LARGE(H6:H35,22),H6:H35,0)),"")</f>
        <v>238</v>
      </c>
      <c r="E27" s="1"/>
      <c r="F27" s="53" t="str">
        <f>'Raw data'!AS6</f>
        <v>Gon </v>
      </c>
      <c r="G27" s="53">
        <f>Calculation!AS241</f>
        <v>235</v>
      </c>
      <c r="H27" s="53">
        <f>G27*1000-21</f>
        <v>234979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Nadia</v>
      </c>
      <c r="D28" s="62">
        <f t="array" ref="D28">IFERROR(INDEX(G6:G35,MATCH(LARGE(H6:H35,23),H6:H35,0)),"")</f>
        <v>237</v>
      </c>
      <c r="E28" s="1"/>
      <c r="F28" s="53" t="str">
        <f>'Raw data'!AU6</f>
        <v>Mile</v>
      </c>
      <c r="G28" s="53">
        <f>Calculation!AU241</f>
        <v>257</v>
      </c>
      <c r="H28" s="53">
        <f>G28*1000-22</f>
        <v>256978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Gon </v>
      </c>
      <c r="D29" s="62">
        <f t="array" ref="D29">IFERROR(INDEX(G6:G35,MATCH(LARGE(H6:H35,24),H6:H35,0)),"")</f>
        <v>235</v>
      </c>
      <c r="E29" s="1"/>
      <c r="F29" s="53" t="str">
        <f>'Raw data'!AW6</f>
        <v>Cami</v>
      </c>
      <c r="G29" s="53">
        <f>Calculation!AW241</f>
        <v>225</v>
      </c>
      <c r="H29" s="53">
        <f>G29*1000-23</f>
        <v>224977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July</v>
      </c>
      <c r="D30" s="62">
        <f t="array" ref="D30">IFERROR(INDEX(G6:G35,MATCH(LARGE(H6:H35,25),H6:H35,0)),"")</f>
        <v>234</v>
      </c>
      <c r="E30" s="1"/>
      <c r="F30" s="53" t="str">
        <f>'Raw data'!AY6</f>
        <v>Hugo</v>
      </c>
      <c r="G30" s="53">
        <f>Calculation!AY241</f>
        <v>241</v>
      </c>
      <c r="H30" s="53">
        <f>G30*1000-24</f>
        <v>240976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Ben</v>
      </c>
      <c r="D31" s="62">
        <f t="array" ref="D31">IFERROR(INDEX(G6:G35,MATCH(LARGE(H6:H35,26),H6:H35,0)),"")</f>
        <v>232</v>
      </c>
      <c r="E31" s="1"/>
      <c r="F31" s="53" t="str">
        <f>'Raw data'!BA6</f>
        <v>Jaime</v>
      </c>
      <c r="G31" s="53">
        <f>Calculation!BA241</f>
        <v>241</v>
      </c>
      <c r="H31" s="53">
        <f>G31*1000-25</f>
        <v>240975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Almu</v>
      </c>
      <c r="D32" s="62">
        <f t="array" ref="D32">IFERROR(INDEX(G6:G35,MATCH(LARGE(H6:H35,27),H6:H35,0)),"")</f>
        <v>231</v>
      </c>
      <c r="E32" s="1"/>
      <c r="F32" s="53" t="str">
        <f>'Raw data'!BC6</f>
        <v>Emilio</v>
      </c>
      <c r="G32" s="53">
        <f>Calculation!BC241</f>
        <v>265</v>
      </c>
      <c r="H32" s="53">
        <f>G32*1000-26</f>
        <v>264974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Cami</v>
      </c>
      <c r="D33" s="62">
        <f t="array" ref="D33">IFERROR(INDEX(G6:G35,MATCH(LARGE(H6:H35,28),H6:H35,0)),"")</f>
        <v>225</v>
      </c>
      <c r="E33" s="1"/>
      <c r="F33" s="53" t="str">
        <f>'Raw data'!BE6</f>
        <v>Manu</v>
      </c>
      <c r="G33" s="53">
        <f>Calculation!BE241</f>
        <v>250</v>
      </c>
      <c r="H33" s="53">
        <f>G33*1000-27</f>
        <v>249973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