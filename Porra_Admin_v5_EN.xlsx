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<sst xmlns="http://schemas.openxmlformats.org/spreadsheetml/2006/main" count="3203" uniqueCount="533">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</sst>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5" fillId="6" fontId="16" numFmtId="0" xfId="0" applyAlignment="1" applyBorder="1" applyFont="1">
      <alignment horizontal="center" readingOrder="0" shrinkToFit="0" vertical="center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8"/>
      <c r="D129" s="18"/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7"/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8"/>
      <c r="D138" s="18"/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7"/>
      <c r="D140" s="16"/>
      <c r="E140" s="1"/>
    </row>
    <row r="141" ht="18.0" customHeight="1">
      <c r="A141" s="1"/>
      <c r="B141" s="13" t="s">
        <v>197</v>
      </c>
      <c r="C141" s="18"/>
      <c r="D141" s="18"/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7"/>
      <c r="D143" s="16"/>
      <c r="E143" s="1"/>
    </row>
    <row r="144" ht="18.0" customHeight="1">
      <c r="A144" s="1"/>
      <c r="B144" s="13" t="s">
        <v>200</v>
      </c>
      <c r="C144" s="18"/>
      <c r="D144" s="18"/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7"/>
      <c r="D146" s="16"/>
      <c r="E146" s="1"/>
    </row>
    <row r="147" ht="18.0" customHeight="1">
      <c r="A147" s="1"/>
      <c r="B147" s="13" t="s">
        <v>203</v>
      </c>
      <c r="C147" s="18"/>
      <c r="D147" s="18"/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7"/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8"/>
      <c r="D156" s="18"/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7"/>
      <c r="D158" s="16"/>
      <c r="E158" s="1"/>
    </row>
    <row r="159" ht="18.0" customHeight="1">
      <c r="A159" s="1"/>
      <c r="B159" s="13" t="s">
        <v>215</v>
      </c>
      <c r="C159" s="18"/>
      <c r="D159" s="18"/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7"/>
      <c r="D161" s="16"/>
      <c r="E161" s="1"/>
    </row>
    <row r="162" ht="18.0" customHeight="1">
      <c r="A162" s="1"/>
      <c r="B162" s="13" t="s">
        <v>218</v>
      </c>
      <c r="C162" s="18"/>
      <c r="D162" s="18"/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7"/>
      <c r="D164" s="16"/>
      <c r="E164" s="1"/>
    </row>
    <row r="165" ht="18.0" customHeight="1">
      <c r="A165" s="1"/>
      <c r="B165" s="13" t="s">
        <v>221</v>
      </c>
      <c r="C165" s="18"/>
      <c r="D165" s="18"/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7"/>
      <c r="D167" s="16"/>
      <c r="E167" s="1"/>
    </row>
    <row r="168" ht="18.0" customHeight="1">
      <c r="A168" s="1"/>
      <c r="B168" s="13" t="s">
        <v>224</v>
      </c>
      <c r="C168" s="18"/>
      <c r="D168" s="18"/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7"/>
      <c r="D170" s="16"/>
      <c r="E170" s="1"/>
    </row>
    <row r="171" ht="18.0" customHeight="1">
      <c r="A171" s="1"/>
      <c r="B171" s="13" t="s">
        <v>227</v>
      </c>
      <c r="C171" s="18"/>
      <c r="D171" s="18"/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7"/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8"/>
      <c r="D175" s="18"/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7"/>
      <c r="D177" s="16"/>
      <c r="E177" s="1"/>
    </row>
    <row r="178" ht="18.0" customHeight="1">
      <c r="A178" s="1"/>
      <c r="B178" s="13" t="s">
        <v>234</v>
      </c>
      <c r="C178" s="18"/>
      <c r="D178" s="18"/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7"/>
      <c r="D180" s="16"/>
      <c r="E180" s="1"/>
    </row>
    <row r="181" ht="18.0" customHeight="1">
      <c r="A181" s="1"/>
      <c r="B181" s="13" t="s">
        <v>237</v>
      </c>
      <c r="C181" s="18"/>
      <c r="D181" s="18"/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7"/>
      <c r="D183" s="16"/>
      <c r="E183" s="1"/>
    </row>
    <row r="184" ht="18.0" customHeight="1">
      <c r="A184" s="1"/>
      <c r="B184" s="13" t="s">
        <v>240</v>
      </c>
      <c r="C184" s="18"/>
      <c r="D184" s="18"/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7"/>
      <c r="D186" s="16"/>
      <c r="E186" s="1"/>
    </row>
    <row r="187" ht="18.0" customHeight="1">
      <c r="A187" s="1"/>
      <c r="B187" s="13" t="s">
        <v>243</v>
      </c>
      <c r="C187" s="18"/>
      <c r="D187" s="18"/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7"/>
      <c r="D189" s="16"/>
      <c r="E189" s="1"/>
    </row>
    <row r="190" ht="18.0" customHeight="1">
      <c r="A190" s="1"/>
      <c r="B190" s="13" t="s">
        <v>246</v>
      </c>
      <c r="C190" s="18"/>
      <c r="D190" s="18"/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7"/>
      <c r="D192" s="16"/>
      <c r="E192" s="1"/>
    </row>
    <row r="193" ht="18.0" customHeight="1">
      <c r="A193" s="1"/>
      <c r="B193" s="13" t="s">
        <v>249</v>
      </c>
      <c r="C193" s="18"/>
      <c r="D193" s="18"/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7"/>
      <c r="D195" s="16"/>
      <c r="E195" s="1"/>
    </row>
    <row r="196" ht="18.0" customHeight="1">
      <c r="A196" s="1"/>
      <c r="B196" s="13" t="s">
        <v>252</v>
      </c>
      <c r="C196" s="18"/>
      <c r="D196" s="18"/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7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8"/>
      <c r="D200" s="18"/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7"/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20.43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27">
        <v>2.0</v>
      </c>
      <c r="L181" s="27">
        <v>0.0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27">
        <v>2.0</v>
      </c>
      <c r="AB181" s="27">
        <v>1.0</v>
      </c>
      <c r="AC181" s="27">
        <v>1.0</v>
      </c>
      <c r="AD181" s="27">
        <v>2.0</v>
      </c>
      <c r="AE181" s="27">
        <v>2.0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27">
        <v>2.0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 t="s">
        <v>25</v>
      </c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28" t="s">
        <v>113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113</v>
      </c>
      <c r="AB183" s="16"/>
      <c r="AC183" s="28" t="s">
        <v>143</v>
      </c>
      <c r="AD183" s="16"/>
      <c r="AE183" s="28" t="s">
        <v>151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151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27">
        <v>1.0</v>
      </c>
      <c r="L184" s="27">
        <v>3.0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27">
        <v>1.0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27">
        <v>3.0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28" t="s">
        <v>167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28" t="s">
        <v>101</v>
      </c>
      <c r="AB186" s="16"/>
      <c r="AC186" s="28" t="s">
        <v>137</v>
      </c>
      <c r="AD186" s="16"/>
      <c r="AE186" s="28" t="s">
        <v>167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167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27">
        <v>1.0</v>
      </c>
      <c r="L187" s="27">
        <v>1.0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27">
        <v>0.0</v>
      </c>
      <c r="AB187" s="27">
        <v>2.0</v>
      </c>
      <c r="AC187" s="27">
        <v>2.0</v>
      </c>
      <c r="AD187" s="27">
        <v>0.0</v>
      </c>
      <c r="AE187" s="27">
        <v>0.0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27">
        <v>3.0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 t="s">
        <v>25</v>
      </c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28" t="s">
        <v>143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28" t="s">
        <v>143</v>
      </c>
      <c r="AB189" s="16"/>
      <c r="AC189" s="28" t="s">
        <v>113</v>
      </c>
      <c r="AD189" s="16"/>
      <c r="AE189" s="28" t="s">
        <v>143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143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27">
        <v>2.0</v>
      </c>
      <c r="L190" s="27">
        <v>1.0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27">
        <v>2.0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27">
        <v>1.0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28" t="s">
        <v>119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28" t="s">
        <v>153</v>
      </c>
      <c r="AB192" s="16"/>
      <c r="AC192" s="28" t="s">
        <v>167</v>
      </c>
      <c r="AD192" s="16"/>
      <c r="AE192" s="28" t="s">
        <v>153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119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0"/>
      <c r="AJ199" s="30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1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27">
        <v>2.0</v>
      </c>
      <c r="L203" s="27">
        <v>2.0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27">
        <v>1.0</v>
      </c>
      <c r="AB203" s="27">
        <v>1.0</v>
      </c>
      <c r="AC203" s="27">
        <v>2.0</v>
      </c>
      <c r="AD203" s="27">
        <v>0.0</v>
      </c>
      <c r="AE203" s="27">
        <v>1.0</v>
      </c>
      <c r="AF203" s="27">
        <v>2.0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27">
        <v>2.0</v>
      </c>
      <c r="BF203" s="27">
        <v>2.0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28" t="s">
        <v>167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113</v>
      </c>
      <c r="AB205" s="16"/>
      <c r="AC205" s="28" t="s">
        <v>143</v>
      </c>
      <c r="AD205" s="16"/>
      <c r="AE205" s="28" t="s">
        <v>167</v>
      </c>
      <c r="AF205" s="16"/>
      <c r="AG205" s="28" t="s">
        <v>143</v>
      </c>
      <c r="AH205" s="16"/>
      <c r="AI205" s="27" t="s">
        <v>143</v>
      </c>
      <c r="AJ205" s="31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167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27">
        <v>3.0</v>
      </c>
      <c r="L206" s="27">
        <v>1.0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27">
        <v>2.0</v>
      </c>
      <c r="AB206" s="27">
        <v>1.0</v>
      </c>
      <c r="AC206" s="27">
        <v>2.0</v>
      </c>
      <c r="AD206" s="27">
        <v>1.0</v>
      </c>
      <c r="AE206" s="27">
        <v>1.0</v>
      </c>
      <c r="AF206" s="27">
        <v>1.0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27">
        <v>3.0</v>
      </c>
      <c r="BF206" s="27">
        <v>1.0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28" t="s">
        <v>143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143</v>
      </c>
      <c r="AB208" s="16"/>
      <c r="AC208" s="28" t="s">
        <v>113</v>
      </c>
      <c r="AD208" s="16"/>
      <c r="AE208" s="28" t="s">
        <v>143</v>
      </c>
      <c r="AF208" s="16"/>
      <c r="AG208" s="28" t="s">
        <v>167</v>
      </c>
      <c r="AH208" s="16"/>
      <c r="AI208" s="27" t="s">
        <v>167</v>
      </c>
      <c r="AJ208" s="31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143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1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27">
        <v>2.0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27">
        <v>2.0</v>
      </c>
      <c r="BF213" s="27">
        <v>1.0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/>
      <c r="AJ214" s="31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149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149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27">
        <v>3.0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27">
        <v>3.0</v>
      </c>
      <c r="BF216" s="27">
        <v>0.0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 t="s">
        <v>359</v>
      </c>
      <c r="AJ217" s="31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143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28" t="s">
        <v>143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1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0"/>
      <c r="AJ227" s="30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2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2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2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2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2" t="s">
        <v>361</v>
      </c>
      <c r="AZ228" s="16"/>
      <c r="BA228" s="32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2" t="s">
        <v>361</v>
      </c>
      <c r="N229" s="16"/>
      <c r="O229" s="28" t="s">
        <v>361</v>
      </c>
      <c r="P229" s="16"/>
      <c r="Q229" s="28" t="s">
        <v>361</v>
      </c>
      <c r="R229" s="16"/>
      <c r="S229" s="32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2" t="s">
        <v>362</v>
      </c>
      <c r="AD229" s="16"/>
      <c r="AE229" s="32" t="s">
        <v>366</v>
      </c>
      <c r="AF229" s="16"/>
      <c r="AG229" s="28" t="s">
        <v>361</v>
      </c>
      <c r="AH229" s="16"/>
      <c r="AI229" s="32" t="s">
        <v>367</v>
      </c>
      <c r="AJ229" s="16"/>
      <c r="AK229" s="28" t="s">
        <v>362</v>
      </c>
      <c r="AL229" s="16"/>
      <c r="AM229" s="32" t="s">
        <v>362</v>
      </c>
      <c r="AN229" s="16"/>
      <c r="AO229" s="32" t="s">
        <v>366</v>
      </c>
      <c r="AP229" s="16"/>
      <c r="AQ229" s="28" t="s">
        <v>368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2" t="s">
        <v>361</v>
      </c>
      <c r="AZ229" s="16"/>
      <c r="BA229" s="32" t="s">
        <v>366</v>
      </c>
      <c r="BB229" s="16"/>
      <c r="BC229" s="28" t="s">
        <v>361</v>
      </c>
      <c r="BD229" s="16"/>
      <c r="BE229" s="32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3"/>
      <c r="AJ230" s="33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3"/>
      <c r="AX230" s="33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4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4"/>
      <c r="AF231" s="1"/>
      <c r="AG231" s="1"/>
      <c r="AH231" s="1"/>
      <c r="AI231" s="1"/>
      <c r="AJ231" s="1"/>
      <c r="AK231" s="1"/>
      <c r="AL231" s="1"/>
      <c r="AM231" s="34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3"/>
      <c r="AJ233" s="33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3"/>
      <c r="AX233" s="33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3"/>
      <c r="AJ236" s="33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3"/>
      <c r="AX236" s="33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3"/>
      <c r="AJ239" s="33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3"/>
      <c r="AX239" s="33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3"/>
      <c r="AJ242" s="33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3"/>
      <c r="AX242" s="33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3"/>
      <c r="AJ245" s="33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3"/>
      <c r="AX245" s="33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3"/>
      <c r="AJ249" s="33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3"/>
      <c r="AX249" s="33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3"/>
      <c r="AJ252" s="33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3"/>
      <c r="AX252" s="33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3"/>
      <c r="AJ255" s="33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3"/>
      <c r="AX255" s="33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3"/>
      <c r="AJ258" s="33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3"/>
      <c r="AX258" s="33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3"/>
      <c r="AJ262" s="33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3"/>
      <c r="AX262" s="33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3"/>
      <c r="AJ265" s="33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3"/>
      <c r="AX265" s="33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3"/>
      <c r="AJ269" s="33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3"/>
      <c r="AX269" s="33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3"/>
      <c r="AJ272" s="33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3"/>
      <c r="AX272" s="33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5" t="str">
        <f>'Raw data'!C6</f>
        <v>Matt</v>
      </c>
      <c r="E5" s="35" t="str">
        <f>'Raw data'!E6</f>
        <v>Fer</v>
      </c>
      <c r="G5" s="35" t="str">
        <f>'Raw data'!G6</f>
        <v>Pano</v>
      </c>
      <c r="I5" s="35" t="str">
        <f>'Raw data'!I6</f>
        <v>Tere y Edu</v>
      </c>
      <c r="K5" s="35" t="str">
        <f>'Raw data'!K6</f>
        <v>Nadia</v>
      </c>
      <c r="M5" s="35" t="str">
        <f>'Raw data'!M6</f>
        <v>JE</v>
      </c>
      <c r="O5" s="35" t="str">
        <f>'Raw data'!O6</f>
        <v>Lucía</v>
      </c>
      <c r="Q5" s="35" t="str">
        <f>'Raw data'!Q6</f>
        <v>Kike</v>
      </c>
      <c r="S5" s="35" t="str">
        <f>'Raw data'!S6</f>
        <v>Paibol</v>
      </c>
      <c r="U5" s="35" t="str">
        <f>'Raw data'!U6</f>
        <v>Pablo</v>
      </c>
      <c r="W5" s="35" t="str">
        <f>'Raw data'!W6</f>
        <v>Almu</v>
      </c>
      <c r="Y5" s="35" t="str">
        <f>'Raw data'!Y6</f>
        <v>Juanorro</v>
      </c>
      <c r="AA5" s="35" t="str">
        <f>'Raw data'!AA6</f>
        <v>Cillian</v>
      </c>
      <c r="AC5" s="35" t="str">
        <f>'Raw data'!AC6</f>
        <v>July</v>
      </c>
      <c r="AE5" s="35" t="str">
        <f>'Raw data'!AE6</f>
        <v>Toño</v>
      </c>
      <c r="AG5" s="35" t="str">
        <f>'Raw data'!AG6</f>
        <v>Juanin</v>
      </c>
      <c r="AI5" s="35" t="str">
        <f>'Raw data'!AI6</f>
        <v>Meg</v>
      </c>
      <c r="AK5" s="35" t="str">
        <f>'Raw data'!AK6</f>
        <v>Irene</v>
      </c>
      <c r="AM5" s="35" t="str">
        <f>'Raw data'!AM6</f>
        <v>Andy</v>
      </c>
      <c r="AO5" s="35" t="str">
        <f>'Raw data'!AO6</f>
        <v>Adri</v>
      </c>
      <c r="AQ5" s="35" t="str">
        <f>'Raw data'!AQ6</f>
        <v>Ben</v>
      </c>
      <c r="AS5" s="35" t="str">
        <f>'Raw data'!AS6</f>
        <v>Gon </v>
      </c>
      <c r="AU5" s="35" t="str">
        <f>'Raw data'!AU6</f>
        <v>Mile</v>
      </c>
      <c r="AW5" s="35" t="str">
        <f>'Raw data'!AW6</f>
        <v>Cami</v>
      </c>
      <c r="AY5" s="35" t="str">
        <f>'Raw data'!AY6</f>
        <v>Hugo</v>
      </c>
      <c r="BA5" s="35" t="str">
        <f>'Raw data'!BA6</f>
        <v>Jaime</v>
      </c>
      <c r="BC5" s="35" t="str">
        <f>'Raw data'!BC6</f>
        <v>Emilio</v>
      </c>
      <c r="BE5" s="35" t="str">
        <f>'Raw data'!BE6</f>
        <v>Manu</v>
      </c>
      <c r="BG5" s="35" t="str">
        <f>'Raw data'!BG6</f>
        <v/>
      </c>
      <c r="BI5" s="35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6"/>
      <c r="B7" s="37" t="s">
        <v>370</v>
      </c>
      <c r="C7" s="38"/>
      <c r="D7" s="39"/>
      <c r="E7" s="38"/>
      <c r="F7" s="39"/>
      <c r="G7" s="38"/>
      <c r="H7" s="39"/>
      <c r="I7" s="38"/>
      <c r="J7" s="39"/>
      <c r="K7" s="38"/>
      <c r="L7" s="39"/>
      <c r="M7" s="38"/>
      <c r="N7" s="39"/>
      <c r="O7" s="38"/>
      <c r="P7" s="39"/>
      <c r="Q7" s="38"/>
      <c r="R7" s="39"/>
      <c r="S7" s="38"/>
      <c r="T7" s="39"/>
      <c r="U7" s="38"/>
      <c r="V7" s="39"/>
      <c r="W7" s="38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8"/>
      <c r="AJ7" s="39"/>
      <c r="AK7" s="38"/>
      <c r="AL7" s="39"/>
      <c r="AM7" s="38"/>
      <c r="AN7" s="39"/>
      <c r="AO7" s="38"/>
      <c r="AP7" s="39"/>
      <c r="AQ7" s="38"/>
      <c r="AR7" s="39"/>
      <c r="AS7" s="38"/>
      <c r="AT7" s="39"/>
      <c r="AU7" s="38"/>
      <c r="AV7" s="39"/>
      <c r="AW7" s="38"/>
      <c r="AX7" s="39"/>
      <c r="AY7" s="38"/>
      <c r="AZ7" s="39"/>
      <c r="BA7" s="38"/>
      <c r="BB7" s="39"/>
      <c r="BC7" s="38"/>
      <c r="BD7" s="39"/>
      <c r="BE7" s="38"/>
      <c r="BF7" s="39"/>
      <c r="BG7" s="38"/>
      <c r="BH7" s="39"/>
      <c r="BI7" s="38"/>
    </row>
    <row r="8" ht="18.0" customHeight="1">
      <c r="A8" s="36"/>
      <c r="B8" s="40" t="s">
        <v>27</v>
      </c>
      <c r="C8" s="41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39"/>
      <c r="E8" s="41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39"/>
      <c r="G8" s="41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39"/>
      <c r="I8" s="41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39"/>
      <c r="K8" s="41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39"/>
      <c r="M8" s="41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39"/>
      <c r="O8" s="41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39"/>
      <c r="Q8" s="41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39"/>
      <c r="S8" s="41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39"/>
      <c r="U8" s="41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39"/>
      <c r="W8" s="41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39"/>
      <c r="Y8" s="41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39"/>
      <c r="AA8" s="41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39"/>
      <c r="AC8" s="41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39"/>
      <c r="AE8" s="41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39"/>
      <c r="AG8" s="41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39"/>
      <c r="AI8" s="41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39"/>
      <c r="AK8" s="41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39"/>
      <c r="AM8" s="41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39"/>
      <c r="AO8" s="41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39"/>
      <c r="AQ8" s="41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39"/>
      <c r="AS8" s="41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39"/>
      <c r="AU8" s="41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39"/>
      <c r="AW8" s="41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39"/>
      <c r="AY8" s="41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39"/>
      <c r="BA8" s="41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39"/>
      <c r="BC8" s="41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39"/>
      <c r="BE8" s="41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39"/>
      <c r="BG8" s="41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39"/>
      <c r="BI8" s="41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6"/>
      <c r="B9" s="40" t="s">
        <v>28</v>
      </c>
      <c r="C9" s="41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39"/>
      <c r="E9" s="41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39"/>
      <c r="G9" s="41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39"/>
      <c r="I9" s="41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39"/>
      <c r="K9" s="41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39"/>
      <c r="M9" s="41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39"/>
      <c r="O9" s="41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39"/>
      <c r="Q9" s="41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39"/>
      <c r="S9" s="41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39"/>
      <c r="U9" s="41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39"/>
      <c r="W9" s="41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39"/>
      <c r="Y9" s="41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39"/>
      <c r="AA9" s="41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39"/>
      <c r="AC9" s="41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39"/>
      <c r="AE9" s="41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39"/>
      <c r="AG9" s="41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39"/>
      <c r="AI9" s="41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39"/>
      <c r="AK9" s="41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39"/>
      <c r="AM9" s="41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39"/>
      <c r="AO9" s="41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39"/>
      <c r="AQ9" s="41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39"/>
      <c r="AS9" s="41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39"/>
      <c r="AU9" s="41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39"/>
      <c r="AW9" s="41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39"/>
      <c r="AY9" s="41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39"/>
      <c r="BA9" s="41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39"/>
      <c r="BC9" s="41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39"/>
      <c r="BE9" s="41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39"/>
      <c r="BG9" s="41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39"/>
      <c r="BI9" s="41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6"/>
      <c r="B10" s="40" t="s">
        <v>29</v>
      </c>
      <c r="C10" s="41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39"/>
      <c r="E10" s="41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39"/>
      <c r="G10" s="41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39"/>
      <c r="I10" s="41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39"/>
      <c r="K10" s="41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39"/>
      <c r="M10" s="41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39"/>
      <c r="O10" s="41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39"/>
      <c r="Q10" s="41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39"/>
      <c r="S10" s="41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39"/>
      <c r="U10" s="41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39"/>
      <c r="W10" s="41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39"/>
      <c r="Y10" s="41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39"/>
      <c r="AA10" s="41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39"/>
      <c r="AC10" s="41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39"/>
      <c r="AE10" s="41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39"/>
      <c r="AG10" s="41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39"/>
      <c r="AI10" s="41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39"/>
      <c r="AK10" s="41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39"/>
      <c r="AM10" s="41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39"/>
      <c r="AO10" s="41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39"/>
      <c r="AQ10" s="41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39"/>
      <c r="AS10" s="41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39"/>
      <c r="AU10" s="41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39"/>
      <c r="AW10" s="41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39"/>
      <c r="AY10" s="41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39"/>
      <c r="BA10" s="41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39"/>
      <c r="BC10" s="41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39"/>
      <c r="BE10" s="41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39"/>
      <c r="BG10" s="41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39"/>
      <c r="BI10" s="41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6"/>
      <c r="B11" s="40" t="s">
        <v>30</v>
      </c>
      <c r="C11" s="41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39"/>
      <c r="E11" s="41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39"/>
      <c r="G11" s="41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39"/>
      <c r="I11" s="41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39"/>
      <c r="K11" s="41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39"/>
      <c r="M11" s="41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39"/>
      <c r="O11" s="41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39"/>
      <c r="Q11" s="41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39"/>
      <c r="S11" s="41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39"/>
      <c r="U11" s="41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39"/>
      <c r="W11" s="41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39"/>
      <c r="Y11" s="41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39"/>
      <c r="AA11" s="41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39"/>
      <c r="AC11" s="41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39"/>
      <c r="AE11" s="41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39"/>
      <c r="AG11" s="41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39"/>
      <c r="AI11" s="41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39"/>
      <c r="AK11" s="41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39"/>
      <c r="AM11" s="41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39"/>
      <c r="AO11" s="41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39"/>
      <c r="AQ11" s="41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39"/>
      <c r="AS11" s="41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39"/>
      <c r="AU11" s="41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39"/>
      <c r="AW11" s="41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39"/>
      <c r="AY11" s="41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39"/>
      <c r="BA11" s="41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39"/>
      <c r="BC11" s="41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39"/>
      <c r="BE11" s="41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39"/>
      <c r="BG11" s="41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39"/>
      <c r="BI11" s="41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6"/>
      <c r="B12" s="40" t="s">
        <v>31</v>
      </c>
      <c r="C12" s="41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39"/>
      <c r="E12" s="41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39"/>
      <c r="G12" s="41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39"/>
      <c r="I12" s="41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39"/>
      <c r="K12" s="41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39"/>
      <c r="M12" s="41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39"/>
      <c r="O12" s="41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39"/>
      <c r="Q12" s="41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39"/>
      <c r="S12" s="41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39"/>
      <c r="U12" s="41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39"/>
      <c r="W12" s="41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39"/>
      <c r="Y12" s="41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39"/>
      <c r="AA12" s="41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39"/>
      <c r="AC12" s="41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39"/>
      <c r="AE12" s="41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39"/>
      <c r="AG12" s="41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39"/>
      <c r="AI12" s="41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39"/>
      <c r="AK12" s="41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39"/>
      <c r="AM12" s="41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39"/>
      <c r="AO12" s="41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39"/>
      <c r="AQ12" s="41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39"/>
      <c r="AS12" s="41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39"/>
      <c r="AU12" s="41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39"/>
      <c r="AW12" s="41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39"/>
      <c r="AY12" s="41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39"/>
      <c r="BA12" s="41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39"/>
      <c r="BC12" s="41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39"/>
      <c r="BE12" s="41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39"/>
      <c r="BG12" s="41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39"/>
      <c r="BI12" s="41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6"/>
      <c r="B13" s="40" t="s">
        <v>32</v>
      </c>
      <c r="C13" s="41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39"/>
      <c r="E13" s="41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39"/>
      <c r="G13" s="41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39"/>
      <c r="I13" s="41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39"/>
      <c r="K13" s="41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39"/>
      <c r="M13" s="41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39"/>
      <c r="O13" s="41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39"/>
      <c r="Q13" s="41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39"/>
      <c r="S13" s="41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39"/>
      <c r="U13" s="41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39"/>
      <c r="W13" s="41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39"/>
      <c r="Y13" s="41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39"/>
      <c r="AA13" s="41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39"/>
      <c r="AC13" s="41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39"/>
      <c r="AE13" s="41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39"/>
      <c r="AG13" s="41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39"/>
      <c r="AI13" s="41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39"/>
      <c r="AK13" s="41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39"/>
      <c r="AM13" s="41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39"/>
      <c r="AO13" s="41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39"/>
      <c r="AQ13" s="41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39"/>
      <c r="AS13" s="41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39"/>
      <c r="AU13" s="41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39"/>
      <c r="AW13" s="41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39"/>
      <c r="AY13" s="41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39"/>
      <c r="BA13" s="41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39"/>
      <c r="BC13" s="41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39"/>
      <c r="BE13" s="41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39"/>
      <c r="BG13" s="41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39"/>
      <c r="BI13" s="41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6"/>
      <c r="B14" s="40" t="s">
        <v>33</v>
      </c>
      <c r="C14" s="41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39"/>
      <c r="E14" s="41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39"/>
      <c r="G14" s="41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39"/>
      <c r="I14" s="41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39"/>
      <c r="K14" s="41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39"/>
      <c r="M14" s="41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39"/>
      <c r="O14" s="41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39"/>
      <c r="Q14" s="41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39"/>
      <c r="S14" s="41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39"/>
      <c r="U14" s="41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39"/>
      <c r="W14" s="41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39"/>
      <c r="Y14" s="41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39"/>
      <c r="AA14" s="41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39"/>
      <c r="AC14" s="41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39"/>
      <c r="AE14" s="41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39"/>
      <c r="AG14" s="41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39"/>
      <c r="AI14" s="41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39"/>
      <c r="AK14" s="41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39"/>
      <c r="AM14" s="41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39"/>
      <c r="AO14" s="41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39"/>
      <c r="AQ14" s="41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39"/>
      <c r="AS14" s="41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39"/>
      <c r="AU14" s="41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39"/>
      <c r="AW14" s="41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39"/>
      <c r="AY14" s="41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39"/>
      <c r="BA14" s="41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39"/>
      <c r="BC14" s="41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39"/>
      <c r="BE14" s="41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39"/>
      <c r="BG14" s="41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39"/>
      <c r="BI14" s="41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6"/>
      <c r="B15" s="40" t="s">
        <v>34</v>
      </c>
      <c r="C15" s="41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39"/>
      <c r="E15" s="41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39"/>
      <c r="G15" s="41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39"/>
      <c r="I15" s="41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39"/>
      <c r="K15" s="41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39"/>
      <c r="M15" s="41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39"/>
      <c r="O15" s="41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39"/>
      <c r="Q15" s="41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39"/>
      <c r="S15" s="41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39"/>
      <c r="U15" s="41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39"/>
      <c r="W15" s="41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39"/>
      <c r="Y15" s="41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39"/>
      <c r="AA15" s="41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39"/>
      <c r="AC15" s="41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39"/>
      <c r="AE15" s="41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39"/>
      <c r="AG15" s="41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39"/>
      <c r="AI15" s="41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39"/>
      <c r="AK15" s="41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39"/>
      <c r="AM15" s="41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39"/>
      <c r="AO15" s="41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39"/>
      <c r="AQ15" s="41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39"/>
      <c r="AS15" s="41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39"/>
      <c r="AU15" s="41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39"/>
      <c r="AW15" s="41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39"/>
      <c r="AY15" s="41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39"/>
      <c r="BA15" s="41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39"/>
      <c r="BC15" s="41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39"/>
      <c r="BE15" s="41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39"/>
      <c r="BG15" s="41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39"/>
      <c r="BI15" s="41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6"/>
      <c r="B16" s="40" t="s">
        <v>35</v>
      </c>
      <c r="C16" s="41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39"/>
      <c r="E16" s="41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39"/>
      <c r="G16" s="41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39"/>
      <c r="I16" s="41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39"/>
      <c r="K16" s="41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39"/>
      <c r="M16" s="41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39"/>
      <c r="O16" s="41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39"/>
      <c r="Q16" s="41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39"/>
      <c r="S16" s="41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39"/>
      <c r="U16" s="41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39"/>
      <c r="W16" s="41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39"/>
      <c r="Y16" s="41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39"/>
      <c r="AA16" s="41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39"/>
      <c r="AC16" s="41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39"/>
      <c r="AE16" s="41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39"/>
      <c r="AG16" s="41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39"/>
      <c r="AI16" s="41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39"/>
      <c r="AK16" s="41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39"/>
      <c r="AM16" s="41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39"/>
      <c r="AO16" s="41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39"/>
      <c r="AQ16" s="41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39"/>
      <c r="AS16" s="41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39"/>
      <c r="AU16" s="41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39"/>
      <c r="AW16" s="41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39"/>
      <c r="AY16" s="41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39"/>
      <c r="BA16" s="41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39"/>
      <c r="BC16" s="41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39"/>
      <c r="BE16" s="41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39"/>
      <c r="BG16" s="41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39"/>
      <c r="BI16" s="41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6"/>
      <c r="B17" s="40" t="s">
        <v>36</v>
      </c>
      <c r="C17" s="41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39"/>
      <c r="E17" s="41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39"/>
      <c r="G17" s="41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39"/>
      <c r="I17" s="41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39"/>
      <c r="K17" s="41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39"/>
      <c r="M17" s="41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39"/>
      <c r="O17" s="41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39"/>
      <c r="Q17" s="41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39"/>
      <c r="S17" s="41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39"/>
      <c r="U17" s="41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39"/>
      <c r="W17" s="41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39"/>
      <c r="Y17" s="41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39"/>
      <c r="AA17" s="41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39"/>
      <c r="AC17" s="41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39"/>
      <c r="AE17" s="41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39"/>
      <c r="AG17" s="41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39"/>
      <c r="AI17" s="41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39"/>
      <c r="AK17" s="41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39"/>
      <c r="AM17" s="41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39"/>
      <c r="AO17" s="41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39"/>
      <c r="AQ17" s="41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39"/>
      <c r="AS17" s="41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39"/>
      <c r="AU17" s="41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39"/>
      <c r="AW17" s="41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39"/>
      <c r="AY17" s="41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39"/>
      <c r="BA17" s="41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39"/>
      <c r="BC17" s="41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39"/>
      <c r="BE17" s="41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39"/>
      <c r="BG17" s="41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39"/>
      <c r="BI17" s="41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6"/>
      <c r="B18" s="40" t="s">
        <v>37</v>
      </c>
      <c r="C18" s="41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39"/>
      <c r="E18" s="41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39"/>
      <c r="G18" s="41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39"/>
      <c r="I18" s="41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39"/>
      <c r="K18" s="41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39"/>
      <c r="M18" s="41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39"/>
      <c r="O18" s="41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39"/>
      <c r="Q18" s="41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39"/>
      <c r="S18" s="41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39"/>
      <c r="U18" s="41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39"/>
      <c r="W18" s="41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39"/>
      <c r="Y18" s="41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39"/>
      <c r="AA18" s="41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39"/>
      <c r="AC18" s="41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39"/>
      <c r="AE18" s="41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39"/>
      <c r="AG18" s="41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39"/>
      <c r="AI18" s="41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39"/>
      <c r="AK18" s="41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39"/>
      <c r="AM18" s="41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39"/>
      <c r="AO18" s="41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39"/>
      <c r="AQ18" s="41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39"/>
      <c r="AS18" s="41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39"/>
      <c r="AU18" s="41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39"/>
      <c r="AW18" s="41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39"/>
      <c r="AY18" s="41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39"/>
      <c r="BA18" s="41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39"/>
      <c r="BC18" s="41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39"/>
      <c r="BE18" s="41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39"/>
      <c r="BG18" s="41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39"/>
      <c r="BI18" s="41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6"/>
      <c r="B19" s="40" t="s">
        <v>38</v>
      </c>
      <c r="C19" s="41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39"/>
      <c r="E19" s="41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39"/>
      <c r="G19" s="41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39"/>
      <c r="I19" s="41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39"/>
      <c r="K19" s="41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39"/>
      <c r="M19" s="41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39"/>
      <c r="O19" s="41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39"/>
      <c r="Q19" s="41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39"/>
      <c r="S19" s="41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39"/>
      <c r="U19" s="41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39"/>
      <c r="W19" s="41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39"/>
      <c r="Y19" s="41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39"/>
      <c r="AA19" s="41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39"/>
      <c r="AC19" s="41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39"/>
      <c r="AE19" s="41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39"/>
      <c r="AG19" s="41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39"/>
      <c r="AI19" s="41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39"/>
      <c r="AK19" s="41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39"/>
      <c r="AM19" s="41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39"/>
      <c r="AO19" s="41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39"/>
      <c r="AQ19" s="41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39"/>
      <c r="AS19" s="41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39"/>
      <c r="AU19" s="41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39"/>
      <c r="AW19" s="41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39"/>
      <c r="AY19" s="41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39"/>
      <c r="BA19" s="41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39"/>
      <c r="BC19" s="41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39"/>
      <c r="BE19" s="41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39"/>
      <c r="BG19" s="41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39"/>
      <c r="BI19" s="41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6"/>
      <c r="B20" s="40" t="s">
        <v>39</v>
      </c>
      <c r="C20" s="41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39"/>
      <c r="E20" s="41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39"/>
      <c r="G20" s="41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39"/>
      <c r="I20" s="41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39"/>
      <c r="K20" s="41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39"/>
      <c r="M20" s="41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39"/>
      <c r="O20" s="41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39"/>
      <c r="Q20" s="41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39"/>
      <c r="S20" s="41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39"/>
      <c r="U20" s="41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39"/>
      <c r="W20" s="41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39"/>
      <c r="Y20" s="41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39"/>
      <c r="AA20" s="41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39"/>
      <c r="AC20" s="41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39"/>
      <c r="AE20" s="41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39"/>
      <c r="AG20" s="41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39"/>
      <c r="AI20" s="41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39"/>
      <c r="AK20" s="41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39"/>
      <c r="AM20" s="41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39"/>
      <c r="AO20" s="41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39"/>
      <c r="AQ20" s="41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39"/>
      <c r="AS20" s="41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39"/>
      <c r="AU20" s="41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39"/>
      <c r="AW20" s="41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39"/>
      <c r="AY20" s="41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39"/>
      <c r="BA20" s="41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39"/>
      <c r="BC20" s="41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39"/>
      <c r="BE20" s="41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39"/>
      <c r="BG20" s="41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39"/>
      <c r="BI20" s="41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6"/>
      <c r="B21" s="40" t="s">
        <v>40</v>
      </c>
      <c r="C21" s="41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39"/>
      <c r="E21" s="41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39"/>
      <c r="G21" s="41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39"/>
      <c r="I21" s="41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39"/>
      <c r="K21" s="41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39"/>
      <c r="M21" s="41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39"/>
      <c r="O21" s="41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39"/>
      <c r="Q21" s="41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39"/>
      <c r="S21" s="41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39"/>
      <c r="U21" s="41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39"/>
      <c r="W21" s="41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39"/>
      <c r="Y21" s="41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39"/>
      <c r="AA21" s="41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39"/>
      <c r="AC21" s="41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39"/>
      <c r="AE21" s="41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39"/>
      <c r="AG21" s="41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39"/>
      <c r="AI21" s="41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39"/>
      <c r="AK21" s="41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39"/>
      <c r="AM21" s="41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39"/>
      <c r="AO21" s="41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39"/>
      <c r="AQ21" s="41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39"/>
      <c r="AS21" s="41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39"/>
      <c r="AU21" s="41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39"/>
      <c r="AW21" s="41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39"/>
      <c r="AY21" s="41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39"/>
      <c r="BA21" s="41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39"/>
      <c r="BC21" s="41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39"/>
      <c r="BE21" s="41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39"/>
      <c r="BG21" s="41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39"/>
      <c r="BI21" s="41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6"/>
      <c r="B22" s="40" t="s">
        <v>41</v>
      </c>
      <c r="C22" s="41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39"/>
      <c r="E22" s="41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39"/>
      <c r="G22" s="41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39"/>
      <c r="I22" s="41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39"/>
      <c r="K22" s="41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39"/>
      <c r="M22" s="41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39"/>
      <c r="O22" s="41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39"/>
      <c r="Q22" s="41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39"/>
      <c r="S22" s="41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39"/>
      <c r="U22" s="41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39"/>
      <c r="W22" s="41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39"/>
      <c r="Y22" s="41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39"/>
      <c r="AA22" s="41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39"/>
      <c r="AC22" s="41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39"/>
      <c r="AE22" s="41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39"/>
      <c r="AG22" s="41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39"/>
      <c r="AI22" s="41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39"/>
      <c r="AK22" s="41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39"/>
      <c r="AM22" s="41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39"/>
      <c r="AO22" s="41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39"/>
      <c r="AQ22" s="41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39"/>
      <c r="AS22" s="41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39"/>
      <c r="AU22" s="41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39"/>
      <c r="AW22" s="41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39"/>
      <c r="AY22" s="41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39"/>
      <c r="BA22" s="41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39"/>
      <c r="BC22" s="41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39"/>
      <c r="BE22" s="41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39"/>
      <c r="BG22" s="41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39"/>
      <c r="BI22" s="41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6"/>
      <c r="B23" s="40" t="s">
        <v>42</v>
      </c>
      <c r="C23" s="41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39"/>
      <c r="E23" s="41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39"/>
      <c r="G23" s="41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39"/>
      <c r="I23" s="41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39"/>
      <c r="K23" s="41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39"/>
      <c r="M23" s="41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39"/>
      <c r="O23" s="41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39"/>
      <c r="Q23" s="41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39"/>
      <c r="S23" s="41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39"/>
      <c r="U23" s="41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39"/>
      <c r="W23" s="41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39"/>
      <c r="Y23" s="41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39"/>
      <c r="AA23" s="41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39"/>
      <c r="AC23" s="41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39"/>
      <c r="AE23" s="41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39"/>
      <c r="AG23" s="41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39"/>
      <c r="AI23" s="41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39"/>
      <c r="AK23" s="41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39"/>
      <c r="AM23" s="41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39"/>
      <c r="AO23" s="41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39"/>
      <c r="AQ23" s="41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39"/>
      <c r="AS23" s="41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39"/>
      <c r="AU23" s="41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39"/>
      <c r="AW23" s="41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39"/>
      <c r="AY23" s="41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39"/>
      <c r="BA23" s="41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39"/>
      <c r="BC23" s="41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39"/>
      <c r="BE23" s="41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39"/>
      <c r="BG23" s="41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39"/>
      <c r="BI23" s="41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6"/>
      <c r="B24" s="40" t="s">
        <v>43</v>
      </c>
      <c r="C24" s="41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39"/>
      <c r="E24" s="41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39"/>
      <c r="G24" s="41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39"/>
      <c r="I24" s="41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39"/>
      <c r="K24" s="41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39"/>
      <c r="M24" s="41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39"/>
      <c r="O24" s="41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39"/>
      <c r="Q24" s="41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39"/>
      <c r="S24" s="41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39"/>
      <c r="U24" s="41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39"/>
      <c r="W24" s="41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39"/>
      <c r="Y24" s="41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39"/>
      <c r="AA24" s="41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39"/>
      <c r="AC24" s="41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39"/>
      <c r="AE24" s="41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39"/>
      <c r="AG24" s="41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39"/>
      <c r="AI24" s="41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39"/>
      <c r="AK24" s="41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39"/>
      <c r="AM24" s="41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39"/>
      <c r="AO24" s="41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39"/>
      <c r="AQ24" s="41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39"/>
      <c r="AS24" s="41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39"/>
      <c r="AU24" s="41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39"/>
      <c r="AW24" s="41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39"/>
      <c r="AY24" s="41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39"/>
      <c r="BA24" s="41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39"/>
      <c r="BC24" s="41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39"/>
      <c r="BE24" s="41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39"/>
      <c r="BG24" s="41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39"/>
      <c r="BI24" s="41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6"/>
      <c r="B25" s="40" t="s">
        <v>44</v>
      </c>
      <c r="C25" s="41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39"/>
      <c r="E25" s="41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39"/>
      <c r="G25" s="41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39"/>
      <c r="I25" s="41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39"/>
      <c r="K25" s="41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39"/>
      <c r="M25" s="41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39"/>
      <c r="O25" s="41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39"/>
      <c r="Q25" s="41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39"/>
      <c r="S25" s="41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39"/>
      <c r="U25" s="41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39"/>
      <c r="W25" s="41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39"/>
      <c r="Y25" s="41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39"/>
      <c r="AA25" s="41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39"/>
      <c r="AC25" s="41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39"/>
      <c r="AE25" s="41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39"/>
      <c r="AG25" s="41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39"/>
      <c r="AI25" s="41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39"/>
      <c r="AK25" s="41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39"/>
      <c r="AM25" s="41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39"/>
      <c r="AO25" s="41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39"/>
      <c r="AQ25" s="41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39"/>
      <c r="AS25" s="41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39"/>
      <c r="AU25" s="41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39"/>
      <c r="AW25" s="41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39"/>
      <c r="AY25" s="41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39"/>
      <c r="BA25" s="41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39"/>
      <c r="BC25" s="41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39"/>
      <c r="BE25" s="41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39"/>
      <c r="BG25" s="41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39"/>
      <c r="BI25" s="41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6"/>
      <c r="B26" s="40" t="s">
        <v>45</v>
      </c>
      <c r="C26" s="41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39"/>
      <c r="E26" s="41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39"/>
      <c r="G26" s="41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39"/>
      <c r="I26" s="41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39"/>
      <c r="K26" s="41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39"/>
      <c r="M26" s="41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39"/>
      <c r="O26" s="41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39"/>
      <c r="Q26" s="41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39"/>
      <c r="S26" s="41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39"/>
      <c r="U26" s="41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39"/>
      <c r="W26" s="41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39"/>
      <c r="Y26" s="41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39"/>
      <c r="AA26" s="41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39"/>
      <c r="AC26" s="41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39"/>
      <c r="AE26" s="41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39"/>
      <c r="AG26" s="41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39"/>
      <c r="AI26" s="41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39"/>
      <c r="AK26" s="41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39"/>
      <c r="AM26" s="41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39"/>
      <c r="AO26" s="41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39"/>
      <c r="AQ26" s="41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39"/>
      <c r="AS26" s="41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39"/>
      <c r="AU26" s="41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39"/>
      <c r="AW26" s="41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39"/>
      <c r="AY26" s="41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39"/>
      <c r="BA26" s="41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39"/>
      <c r="BC26" s="41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39"/>
      <c r="BE26" s="41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39"/>
      <c r="BG26" s="41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39"/>
      <c r="BI26" s="41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6"/>
      <c r="B27" s="40" t="s">
        <v>46</v>
      </c>
      <c r="C27" s="41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39"/>
      <c r="E27" s="41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39"/>
      <c r="G27" s="41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39"/>
      <c r="I27" s="41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39"/>
      <c r="K27" s="41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39"/>
      <c r="M27" s="41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39"/>
      <c r="O27" s="41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39"/>
      <c r="Q27" s="41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39"/>
      <c r="S27" s="41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39"/>
      <c r="U27" s="41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39"/>
      <c r="W27" s="41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39"/>
      <c r="Y27" s="41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39"/>
      <c r="AA27" s="41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39"/>
      <c r="AC27" s="41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39"/>
      <c r="AE27" s="41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39"/>
      <c r="AG27" s="41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39"/>
      <c r="AI27" s="41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39"/>
      <c r="AK27" s="41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39"/>
      <c r="AM27" s="41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39"/>
      <c r="AO27" s="41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39"/>
      <c r="AQ27" s="41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39"/>
      <c r="AS27" s="41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39"/>
      <c r="AU27" s="41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39"/>
      <c r="AW27" s="41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39"/>
      <c r="AY27" s="41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39"/>
      <c r="BA27" s="41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39"/>
      <c r="BC27" s="41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39"/>
      <c r="BE27" s="41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39"/>
      <c r="BG27" s="41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39"/>
      <c r="BI27" s="41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6"/>
      <c r="B28" s="40" t="s">
        <v>47</v>
      </c>
      <c r="C28" s="41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39"/>
      <c r="E28" s="41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39"/>
      <c r="G28" s="41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39"/>
      <c r="I28" s="41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39"/>
      <c r="K28" s="41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39"/>
      <c r="M28" s="41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39"/>
      <c r="O28" s="41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39"/>
      <c r="Q28" s="41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39"/>
      <c r="S28" s="41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39"/>
      <c r="U28" s="41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39"/>
      <c r="W28" s="41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39"/>
      <c r="Y28" s="41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39"/>
      <c r="AA28" s="41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39"/>
      <c r="AC28" s="41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39"/>
      <c r="AE28" s="41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39"/>
      <c r="AG28" s="41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39"/>
      <c r="AI28" s="41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39"/>
      <c r="AK28" s="41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39"/>
      <c r="AM28" s="41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39"/>
      <c r="AO28" s="41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39"/>
      <c r="AQ28" s="41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39"/>
      <c r="AS28" s="41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39"/>
      <c r="AU28" s="41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39"/>
      <c r="AW28" s="41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39"/>
      <c r="AY28" s="41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39"/>
      <c r="BA28" s="41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39"/>
      <c r="BC28" s="41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39"/>
      <c r="BE28" s="41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39"/>
      <c r="BG28" s="41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39"/>
      <c r="BI28" s="41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6"/>
      <c r="B29" s="40" t="s">
        <v>48</v>
      </c>
      <c r="C29" s="41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39"/>
      <c r="E29" s="41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39"/>
      <c r="G29" s="41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39"/>
      <c r="I29" s="41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39"/>
      <c r="K29" s="41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39"/>
      <c r="M29" s="41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39"/>
      <c r="O29" s="41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39"/>
      <c r="Q29" s="41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39"/>
      <c r="S29" s="41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39"/>
      <c r="U29" s="41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39"/>
      <c r="W29" s="41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39"/>
      <c r="Y29" s="41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39"/>
      <c r="AA29" s="41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39"/>
      <c r="AC29" s="41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39"/>
      <c r="AE29" s="41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39"/>
      <c r="AG29" s="41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39"/>
      <c r="AI29" s="41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39"/>
      <c r="AK29" s="41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39"/>
      <c r="AM29" s="41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39"/>
      <c r="AO29" s="41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39"/>
      <c r="AQ29" s="41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39"/>
      <c r="AS29" s="41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39"/>
      <c r="AU29" s="41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39"/>
      <c r="AW29" s="41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39"/>
      <c r="AY29" s="41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39"/>
      <c r="BA29" s="41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39"/>
      <c r="BC29" s="41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39"/>
      <c r="BE29" s="41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39"/>
      <c r="BG29" s="41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39"/>
      <c r="BI29" s="41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6"/>
      <c r="B30" s="40" t="s">
        <v>49</v>
      </c>
      <c r="C30" s="41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39"/>
      <c r="E30" s="41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39"/>
      <c r="G30" s="41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39"/>
      <c r="I30" s="41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39"/>
      <c r="K30" s="41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39"/>
      <c r="M30" s="41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39"/>
      <c r="O30" s="41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39"/>
      <c r="Q30" s="41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39"/>
      <c r="S30" s="41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39"/>
      <c r="U30" s="41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39"/>
      <c r="W30" s="41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39"/>
      <c r="Y30" s="41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39"/>
      <c r="AA30" s="41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39"/>
      <c r="AC30" s="41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39"/>
      <c r="AE30" s="41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39"/>
      <c r="AG30" s="41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39"/>
      <c r="AI30" s="41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39"/>
      <c r="AK30" s="41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39"/>
      <c r="AM30" s="41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39"/>
      <c r="AO30" s="41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39"/>
      <c r="AQ30" s="41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39"/>
      <c r="AS30" s="41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39"/>
      <c r="AU30" s="41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39"/>
      <c r="AW30" s="41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39"/>
      <c r="AY30" s="41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39"/>
      <c r="BA30" s="41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39"/>
      <c r="BC30" s="41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39"/>
      <c r="BE30" s="41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39"/>
      <c r="BG30" s="41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39"/>
      <c r="BI30" s="41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6"/>
      <c r="B31" s="40" t="s">
        <v>50</v>
      </c>
      <c r="C31" s="41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39"/>
      <c r="E31" s="41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39"/>
      <c r="G31" s="41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39"/>
      <c r="I31" s="41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39"/>
      <c r="K31" s="41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39"/>
      <c r="M31" s="41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39"/>
      <c r="O31" s="41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39"/>
      <c r="Q31" s="41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39"/>
      <c r="S31" s="41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39"/>
      <c r="U31" s="41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39"/>
      <c r="W31" s="41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39"/>
      <c r="Y31" s="41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39"/>
      <c r="AA31" s="41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39"/>
      <c r="AC31" s="41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39"/>
      <c r="AE31" s="41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39"/>
      <c r="AG31" s="41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39"/>
      <c r="AI31" s="41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39"/>
      <c r="AK31" s="41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39"/>
      <c r="AM31" s="41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39"/>
      <c r="AO31" s="41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39"/>
      <c r="AQ31" s="41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39"/>
      <c r="AS31" s="41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39"/>
      <c r="AU31" s="41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39"/>
      <c r="AW31" s="41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39"/>
      <c r="AY31" s="41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39"/>
      <c r="BA31" s="41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39"/>
      <c r="BC31" s="41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39"/>
      <c r="BE31" s="41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39"/>
      <c r="BG31" s="41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39"/>
      <c r="BI31" s="41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6"/>
      <c r="B32" s="40" t="s">
        <v>51</v>
      </c>
      <c r="C32" s="41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39"/>
      <c r="E32" s="41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39"/>
      <c r="G32" s="41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39"/>
      <c r="I32" s="41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39"/>
      <c r="K32" s="41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39"/>
      <c r="M32" s="41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39"/>
      <c r="O32" s="41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39"/>
      <c r="Q32" s="41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39"/>
      <c r="S32" s="41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39"/>
      <c r="U32" s="41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39"/>
      <c r="W32" s="41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39"/>
      <c r="Y32" s="41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39"/>
      <c r="AA32" s="41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39"/>
      <c r="AC32" s="41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39"/>
      <c r="AE32" s="41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39"/>
      <c r="AG32" s="41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39"/>
      <c r="AI32" s="41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39"/>
      <c r="AK32" s="41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39"/>
      <c r="AM32" s="41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39"/>
      <c r="AO32" s="41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39"/>
      <c r="AQ32" s="41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39"/>
      <c r="AS32" s="41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39"/>
      <c r="AU32" s="41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39"/>
      <c r="AW32" s="41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39"/>
      <c r="AY32" s="41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39"/>
      <c r="BA32" s="41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39"/>
      <c r="BC32" s="41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39"/>
      <c r="BE32" s="41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39"/>
      <c r="BG32" s="41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39"/>
      <c r="BI32" s="41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6"/>
      <c r="B33" s="40" t="s">
        <v>52</v>
      </c>
      <c r="C33" s="41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39"/>
      <c r="E33" s="41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39"/>
      <c r="G33" s="41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39"/>
      <c r="I33" s="41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39"/>
      <c r="K33" s="41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39"/>
      <c r="M33" s="41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39"/>
      <c r="O33" s="41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39"/>
      <c r="Q33" s="41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39"/>
      <c r="S33" s="41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39"/>
      <c r="U33" s="41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39"/>
      <c r="W33" s="41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39"/>
      <c r="Y33" s="41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39"/>
      <c r="AA33" s="41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39"/>
      <c r="AC33" s="41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39"/>
      <c r="AE33" s="41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39"/>
      <c r="AG33" s="41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39"/>
      <c r="AI33" s="41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39"/>
      <c r="AK33" s="41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39"/>
      <c r="AM33" s="41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39"/>
      <c r="AO33" s="41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39"/>
      <c r="AQ33" s="41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39"/>
      <c r="AS33" s="41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39"/>
      <c r="AU33" s="41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39"/>
      <c r="AW33" s="41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39"/>
      <c r="AY33" s="41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39"/>
      <c r="BA33" s="41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39"/>
      <c r="BC33" s="41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39"/>
      <c r="BE33" s="41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39"/>
      <c r="BG33" s="41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39"/>
      <c r="BI33" s="41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6"/>
      <c r="B34" s="40" t="s">
        <v>53</v>
      </c>
      <c r="C34" s="41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39"/>
      <c r="E34" s="41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39"/>
      <c r="G34" s="41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39"/>
      <c r="I34" s="41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39"/>
      <c r="K34" s="41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39"/>
      <c r="M34" s="41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39"/>
      <c r="O34" s="41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39"/>
      <c r="Q34" s="41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39"/>
      <c r="S34" s="41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39"/>
      <c r="U34" s="41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39"/>
      <c r="W34" s="41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39"/>
      <c r="Y34" s="41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39"/>
      <c r="AA34" s="41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39"/>
      <c r="AC34" s="41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39"/>
      <c r="AE34" s="41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39"/>
      <c r="AG34" s="41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39"/>
      <c r="AI34" s="41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39"/>
      <c r="AK34" s="41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39"/>
      <c r="AM34" s="41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39"/>
      <c r="AO34" s="41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39"/>
      <c r="AQ34" s="41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39"/>
      <c r="AS34" s="41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39"/>
      <c r="AU34" s="41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39"/>
      <c r="AW34" s="41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39"/>
      <c r="AY34" s="41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39"/>
      <c r="BA34" s="41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39"/>
      <c r="BC34" s="41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39"/>
      <c r="BE34" s="41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39"/>
      <c r="BG34" s="41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39"/>
      <c r="BI34" s="41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6"/>
      <c r="B35" s="40" t="s">
        <v>54</v>
      </c>
      <c r="C35" s="41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39"/>
      <c r="E35" s="41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39"/>
      <c r="G35" s="41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39"/>
      <c r="I35" s="41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39"/>
      <c r="K35" s="41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39"/>
      <c r="M35" s="41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39"/>
      <c r="O35" s="41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39"/>
      <c r="Q35" s="41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39"/>
      <c r="S35" s="41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39"/>
      <c r="U35" s="41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39"/>
      <c r="W35" s="41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39"/>
      <c r="Y35" s="41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39"/>
      <c r="AA35" s="41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39"/>
      <c r="AC35" s="41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39"/>
      <c r="AE35" s="41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39"/>
      <c r="AG35" s="41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39"/>
      <c r="AI35" s="41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39"/>
      <c r="AK35" s="41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39"/>
      <c r="AM35" s="41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39"/>
      <c r="AO35" s="41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39"/>
      <c r="AQ35" s="41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39"/>
      <c r="AS35" s="41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39"/>
      <c r="AU35" s="41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39"/>
      <c r="AW35" s="41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39"/>
      <c r="AY35" s="41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39"/>
      <c r="BA35" s="41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39"/>
      <c r="BC35" s="41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39"/>
      <c r="BE35" s="41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39"/>
      <c r="BG35" s="41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39"/>
      <c r="BI35" s="41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6"/>
      <c r="B36" s="40" t="s">
        <v>55</v>
      </c>
      <c r="C36" s="41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39"/>
      <c r="E36" s="41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39"/>
      <c r="G36" s="41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39"/>
      <c r="I36" s="41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39"/>
      <c r="K36" s="41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39"/>
      <c r="M36" s="41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39"/>
      <c r="O36" s="41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39"/>
      <c r="Q36" s="41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39"/>
      <c r="S36" s="41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39"/>
      <c r="U36" s="41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39"/>
      <c r="W36" s="41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39"/>
      <c r="Y36" s="41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39"/>
      <c r="AA36" s="41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39"/>
      <c r="AC36" s="41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39"/>
      <c r="AE36" s="41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39"/>
      <c r="AG36" s="41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39"/>
      <c r="AI36" s="41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39"/>
      <c r="AK36" s="41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39"/>
      <c r="AM36" s="41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39"/>
      <c r="AO36" s="41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39"/>
      <c r="AQ36" s="41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39"/>
      <c r="AS36" s="41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39"/>
      <c r="AU36" s="41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39"/>
      <c r="AW36" s="41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39"/>
      <c r="AY36" s="41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39"/>
      <c r="BA36" s="41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39"/>
      <c r="BC36" s="41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39"/>
      <c r="BE36" s="41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39"/>
      <c r="BG36" s="41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39"/>
      <c r="BI36" s="41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6"/>
      <c r="B37" s="40" t="s">
        <v>56</v>
      </c>
      <c r="C37" s="41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39"/>
      <c r="E37" s="41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39"/>
      <c r="G37" s="41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39"/>
      <c r="I37" s="41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39"/>
      <c r="K37" s="41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39"/>
      <c r="M37" s="41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39"/>
      <c r="O37" s="41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39"/>
      <c r="Q37" s="41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39"/>
      <c r="S37" s="41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39"/>
      <c r="U37" s="41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39"/>
      <c r="W37" s="41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39"/>
      <c r="Y37" s="41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39"/>
      <c r="AA37" s="41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39"/>
      <c r="AC37" s="41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39"/>
      <c r="AE37" s="41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39"/>
      <c r="AG37" s="41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39"/>
      <c r="AI37" s="41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39"/>
      <c r="AK37" s="41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39"/>
      <c r="AM37" s="41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39"/>
      <c r="AO37" s="41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39"/>
      <c r="AQ37" s="41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39"/>
      <c r="AS37" s="41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39"/>
      <c r="AU37" s="41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39"/>
      <c r="AW37" s="41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39"/>
      <c r="AY37" s="41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39"/>
      <c r="BA37" s="41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39"/>
      <c r="BC37" s="41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39"/>
      <c r="BE37" s="41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39"/>
      <c r="BG37" s="41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39"/>
      <c r="BI37" s="41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6"/>
      <c r="B38" s="40" t="s">
        <v>57</v>
      </c>
      <c r="C38" s="41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39"/>
      <c r="E38" s="41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39"/>
      <c r="G38" s="41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39"/>
      <c r="I38" s="41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39"/>
      <c r="K38" s="41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39"/>
      <c r="M38" s="41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39"/>
      <c r="O38" s="41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39"/>
      <c r="Q38" s="41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39"/>
      <c r="S38" s="41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39"/>
      <c r="U38" s="41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39"/>
      <c r="W38" s="41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39"/>
      <c r="Y38" s="41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39"/>
      <c r="AA38" s="41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39"/>
      <c r="AC38" s="41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39"/>
      <c r="AE38" s="41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39"/>
      <c r="AG38" s="41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39"/>
      <c r="AI38" s="41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39"/>
      <c r="AK38" s="41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39"/>
      <c r="AM38" s="41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39"/>
      <c r="AO38" s="41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39"/>
      <c r="AQ38" s="41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39"/>
      <c r="AS38" s="41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39"/>
      <c r="AU38" s="41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39"/>
      <c r="AW38" s="41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39"/>
      <c r="AY38" s="41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39"/>
      <c r="BA38" s="41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39"/>
      <c r="BC38" s="41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39"/>
      <c r="BE38" s="41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39"/>
      <c r="BG38" s="41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39"/>
      <c r="BI38" s="41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6"/>
      <c r="B39" s="40" t="s">
        <v>58</v>
      </c>
      <c r="C39" s="41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39"/>
      <c r="E39" s="41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39"/>
      <c r="G39" s="41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39"/>
      <c r="I39" s="41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39"/>
      <c r="K39" s="41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39"/>
      <c r="M39" s="41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39"/>
      <c r="O39" s="41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39"/>
      <c r="Q39" s="41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39"/>
      <c r="S39" s="41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39"/>
      <c r="U39" s="41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39"/>
      <c r="W39" s="41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39"/>
      <c r="Y39" s="41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39"/>
      <c r="AA39" s="41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39"/>
      <c r="AC39" s="41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39"/>
      <c r="AE39" s="41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39"/>
      <c r="AG39" s="41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39"/>
      <c r="AI39" s="41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39"/>
      <c r="AK39" s="41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39"/>
      <c r="AM39" s="41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39"/>
      <c r="AO39" s="41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39"/>
      <c r="AQ39" s="41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39"/>
      <c r="AS39" s="41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39"/>
      <c r="AU39" s="41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39"/>
      <c r="AW39" s="41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39"/>
      <c r="AY39" s="41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39"/>
      <c r="BA39" s="41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39"/>
      <c r="BC39" s="41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39"/>
      <c r="BE39" s="41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39"/>
      <c r="BG39" s="41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39"/>
      <c r="BI39" s="41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6"/>
      <c r="B40" s="40" t="s">
        <v>59</v>
      </c>
      <c r="C40" s="41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39"/>
      <c r="E40" s="41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39"/>
      <c r="G40" s="41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39"/>
      <c r="I40" s="41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39"/>
      <c r="K40" s="41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39"/>
      <c r="M40" s="41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39"/>
      <c r="O40" s="41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39"/>
      <c r="Q40" s="41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39"/>
      <c r="S40" s="41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39"/>
      <c r="U40" s="41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39"/>
      <c r="W40" s="41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39"/>
      <c r="Y40" s="41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39"/>
      <c r="AA40" s="41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39"/>
      <c r="AC40" s="41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39"/>
      <c r="AE40" s="41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39"/>
      <c r="AG40" s="41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39"/>
      <c r="AI40" s="41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39"/>
      <c r="AK40" s="41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39"/>
      <c r="AM40" s="41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39"/>
      <c r="AO40" s="41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39"/>
      <c r="AQ40" s="41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39"/>
      <c r="AS40" s="41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39"/>
      <c r="AU40" s="41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39"/>
      <c r="AW40" s="41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39"/>
      <c r="AY40" s="41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39"/>
      <c r="BA40" s="41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39"/>
      <c r="BC40" s="41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39"/>
      <c r="BE40" s="41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39"/>
      <c r="BG40" s="41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39"/>
      <c r="BI40" s="41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6"/>
      <c r="B41" s="40" t="s">
        <v>60</v>
      </c>
      <c r="C41" s="41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39"/>
      <c r="E41" s="41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39"/>
      <c r="G41" s="41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39"/>
      <c r="I41" s="41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39"/>
      <c r="K41" s="41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39"/>
      <c r="M41" s="41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39"/>
      <c r="O41" s="41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39"/>
      <c r="Q41" s="41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39"/>
      <c r="S41" s="41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39"/>
      <c r="U41" s="41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39"/>
      <c r="W41" s="41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39"/>
      <c r="Y41" s="41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39"/>
      <c r="AA41" s="41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39"/>
      <c r="AC41" s="41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39"/>
      <c r="AE41" s="41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39"/>
      <c r="AG41" s="41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39"/>
      <c r="AI41" s="41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39"/>
      <c r="AK41" s="41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39"/>
      <c r="AM41" s="41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39"/>
      <c r="AO41" s="41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39"/>
      <c r="AQ41" s="41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39"/>
      <c r="AS41" s="41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39"/>
      <c r="AU41" s="41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39"/>
      <c r="AW41" s="41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39"/>
      <c r="AY41" s="41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39"/>
      <c r="BA41" s="41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39"/>
      <c r="BC41" s="41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39"/>
      <c r="BE41" s="41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39"/>
      <c r="BG41" s="41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39"/>
      <c r="BI41" s="41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6"/>
      <c r="B42" s="40" t="s">
        <v>61</v>
      </c>
      <c r="C42" s="41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39"/>
      <c r="E42" s="41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39"/>
      <c r="G42" s="41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39"/>
      <c r="I42" s="41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39"/>
      <c r="K42" s="41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39"/>
      <c r="M42" s="41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39"/>
      <c r="O42" s="41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39"/>
      <c r="Q42" s="41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39"/>
      <c r="S42" s="41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39"/>
      <c r="U42" s="41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39"/>
      <c r="W42" s="41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39"/>
      <c r="Y42" s="41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39"/>
      <c r="AA42" s="41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39"/>
      <c r="AC42" s="41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39"/>
      <c r="AE42" s="41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39"/>
      <c r="AG42" s="41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39"/>
      <c r="AI42" s="41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39"/>
      <c r="AK42" s="41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39"/>
      <c r="AM42" s="41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39"/>
      <c r="AO42" s="41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39"/>
      <c r="AQ42" s="41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39"/>
      <c r="AS42" s="41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39"/>
      <c r="AU42" s="41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39"/>
      <c r="AW42" s="41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39"/>
      <c r="AY42" s="41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39"/>
      <c r="BA42" s="41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39"/>
      <c r="BC42" s="41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39"/>
      <c r="BE42" s="41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39"/>
      <c r="BG42" s="41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39"/>
      <c r="BI42" s="41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6"/>
      <c r="B43" s="40" t="s">
        <v>62</v>
      </c>
      <c r="C43" s="41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39"/>
      <c r="E43" s="41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39"/>
      <c r="G43" s="41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39"/>
      <c r="I43" s="41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39"/>
      <c r="K43" s="41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39"/>
      <c r="M43" s="41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39"/>
      <c r="O43" s="41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39"/>
      <c r="Q43" s="41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39"/>
      <c r="S43" s="41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39"/>
      <c r="U43" s="41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39"/>
      <c r="W43" s="41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39"/>
      <c r="Y43" s="41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39"/>
      <c r="AA43" s="41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39"/>
      <c r="AC43" s="41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39"/>
      <c r="AE43" s="41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39"/>
      <c r="AG43" s="41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39"/>
      <c r="AI43" s="41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39"/>
      <c r="AK43" s="41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39"/>
      <c r="AM43" s="41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39"/>
      <c r="AO43" s="41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39"/>
      <c r="AQ43" s="41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39"/>
      <c r="AS43" s="41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39"/>
      <c r="AU43" s="41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39"/>
      <c r="AW43" s="41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39"/>
      <c r="AY43" s="41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39"/>
      <c r="BA43" s="41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39"/>
      <c r="BC43" s="41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39"/>
      <c r="BE43" s="41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39"/>
      <c r="BG43" s="41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39"/>
      <c r="BI43" s="41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6"/>
      <c r="B44" s="40" t="s">
        <v>63</v>
      </c>
      <c r="C44" s="41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39"/>
      <c r="E44" s="41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39"/>
      <c r="G44" s="41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39"/>
      <c r="I44" s="41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39"/>
      <c r="K44" s="41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39"/>
      <c r="M44" s="41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39"/>
      <c r="O44" s="41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39"/>
      <c r="Q44" s="41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39"/>
      <c r="S44" s="41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39"/>
      <c r="U44" s="41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39"/>
      <c r="W44" s="41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39"/>
      <c r="Y44" s="41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39"/>
      <c r="AA44" s="41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39"/>
      <c r="AC44" s="41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39"/>
      <c r="AE44" s="41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39"/>
      <c r="AG44" s="41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39"/>
      <c r="AI44" s="41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39"/>
      <c r="AK44" s="41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39"/>
      <c r="AM44" s="41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39"/>
      <c r="AO44" s="41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39"/>
      <c r="AQ44" s="41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39"/>
      <c r="AS44" s="41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39"/>
      <c r="AU44" s="41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39"/>
      <c r="AW44" s="41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39"/>
      <c r="AY44" s="41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39"/>
      <c r="BA44" s="41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39"/>
      <c r="BC44" s="41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39"/>
      <c r="BE44" s="41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39"/>
      <c r="BG44" s="41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39"/>
      <c r="BI44" s="41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6"/>
      <c r="B45" s="40" t="s">
        <v>64</v>
      </c>
      <c r="C45" s="41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39"/>
      <c r="E45" s="41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39"/>
      <c r="G45" s="41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39"/>
      <c r="I45" s="41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39"/>
      <c r="K45" s="41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39"/>
      <c r="M45" s="41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39"/>
      <c r="O45" s="41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39"/>
      <c r="Q45" s="41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39"/>
      <c r="S45" s="41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39"/>
      <c r="U45" s="41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39"/>
      <c r="W45" s="41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39"/>
      <c r="Y45" s="41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39"/>
      <c r="AA45" s="41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39"/>
      <c r="AC45" s="41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39"/>
      <c r="AE45" s="41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39"/>
      <c r="AG45" s="41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39"/>
      <c r="AI45" s="41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39"/>
      <c r="AK45" s="41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39"/>
      <c r="AM45" s="41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39"/>
      <c r="AO45" s="41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39"/>
      <c r="AQ45" s="41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39"/>
      <c r="AS45" s="41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39"/>
      <c r="AU45" s="41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39"/>
      <c r="AW45" s="41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39"/>
      <c r="AY45" s="41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39"/>
      <c r="BA45" s="41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39"/>
      <c r="BC45" s="41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39"/>
      <c r="BE45" s="41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39"/>
      <c r="BG45" s="41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39"/>
      <c r="BI45" s="41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6"/>
      <c r="B46" s="40" t="s">
        <v>65</v>
      </c>
      <c r="C46" s="41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39"/>
      <c r="E46" s="41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39"/>
      <c r="G46" s="41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39"/>
      <c r="I46" s="41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39"/>
      <c r="K46" s="41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39"/>
      <c r="M46" s="41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39"/>
      <c r="O46" s="41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39"/>
      <c r="Q46" s="41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39"/>
      <c r="S46" s="41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39"/>
      <c r="U46" s="41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39"/>
      <c r="W46" s="41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39"/>
      <c r="Y46" s="41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39"/>
      <c r="AA46" s="41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39"/>
      <c r="AC46" s="41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39"/>
      <c r="AE46" s="41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39"/>
      <c r="AG46" s="41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39"/>
      <c r="AI46" s="41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39"/>
      <c r="AK46" s="41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39"/>
      <c r="AM46" s="41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39"/>
      <c r="AO46" s="41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39"/>
      <c r="AQ46" s="41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39"/>
      <c r="AS46" s="41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39"/>
      <c r="AU46" s="41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39"/>
      <c r="AW46" s="41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39"/>
      <c r="AY46" s="41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39"/>
      <c r="BA46" s="41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39"/>
      <c r="BC46" s="41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39"/>
      <c r="BE46" s="41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39"/>
      <c r="BG46" s="41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39"/>
      <c r="BI46" s="41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6"/>
      <c r="B47" s="40" t="s">
        <v>66</v>
      </c>
      <c r="C47" s="41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39"/>
      <c r="E47" s="41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39"/>
      <c r="G47" s="41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39"/>
      <c r="I47" s="41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39"/>
      <c r="K47" s="41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39"/>
      <c r="M47" s="41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39"/>
      <c r="O47" s="41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39"/>
      <c r="Q47" s="41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39"/>
      <c r="S47" s="41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39"/>
      <c r="U47" s="41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39"/>
      <c r="W47" s="41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39"/>
      <c r="Y47" s="41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39"/>
      <c r="AA47" s="41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39"/>
      <c r="AC47" s="41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39"/>
      <c r="AE47" s="41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39"/>
      <c r="AG47" s="41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39"/>
      <c r="AI47" s="41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39"/>
      <c r="AK47" s="41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39"/>
      <c r="AM47" s="41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39"/>
      <c r="AO47" s="41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39"/>
      <c r="AQ47" s="41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39"/>
      <c r="AS47" s="41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39"/>
      <c r="AU47" s="41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39"/>
      <c r="AW47" s="41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39"/>
      <c r="AY47" s="41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39"/>
      <c r="BA47" s="41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39"/>
      <c r="BC47" s="41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39"/>
      <c r="BE47" s="41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39"/>
      <c r="BG47" s="41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39"/>
      <c r="BI47" s="41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6"/>
      <c r="B48" s="40" t="s">
        <v>67</v>
      </c>
      <c r="C48" s="41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39"/>
      <c r="E48" s="41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39"/>
      <c r="G48" s="41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39"/>
      <c r="I48" s="41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39"/>
      <c r="K48" s="41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39"/>
      <c r="M48" s="41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39"/>
      <c r="O48" s="41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39"/>
      <c r="Q48" s="41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39"/>
      <c r="S48" s="41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39"/>
      <c r="U48" s="41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39"/>
      <c r="W48" s="41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39"/>
      <c r="Y48" s="41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39"/>
      <c r="AA48" s="41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39"/>
      <c r="AC48" s="41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39"/>
      <c r="AE48" s="41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39"/>
      <c r="AG48" s="41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39"/>
      <c r="AI48" s="41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39"/>
      <c r="AK48" s="41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39"/>
      <c r="AM48" s="41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39"/>
      <c r="AO48" s="41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39"/>
      <c r="AQ48" s="41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39"/>
      <c r="AS48" s="41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39"/>
      <c r="AU48" s="41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39"/>
      <c r="AW48" s="41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39"/>
      <c r="AY48" s="41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39"/>
      <c r="BA48" s="41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39"/>
      <c r="BC48" s="41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39"/>
      <c r="BE48" s="41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39"/>
      <c r="BG48" s="41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39"/>
      <c r="BI48" s="41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6"/>
      <c r="B49" s="40" t="s">
        <v>68</v>
      </c>
      <c r="C49" s="41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39"/>
      <c r="E49" s="41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39"/>
      <c r="G49" s="41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39"/>
      <c r="I49" s="41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39"/>
      <c r="K49" s="41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39"/>
      <c r="M49" s="41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39"/>
      <c r="O49" s="41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39"/>
      <c r="Q49" s="41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39"/>
      <c r="S49" s="41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39"/>
      <c r="U49" s="41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39"/>
      <c r="W49" s="41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39"/>
      <c r="Y49" s="41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39"/>
      <c r="AA49" s="41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39"/>
      <c r="AC49" s="41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39"/>
      <c r="AE49" s="41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39"/>
      <c r="AG49" s="41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39"/>
      <c r="AI49" s="41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39"/>
      <c r="AK49" s="41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39"/>
      <c r="AM49" s="41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39"/>
      <c r="AO49" s="41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39"/>
      <c r="AQ49" s="41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39"/>
      <c r="AS49" s="41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39"/>
      <c r="AU49" s="41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39"/>
      <c r="AW49" s="41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39"/>
      <c r="AY49" s="41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39"/>
      <c r="BA49" s="41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39"/>
      <c r="BC49" s="41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39"/>
      <c r="BE49" s="41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39"/>
      <c r="BG49" s="41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39"/>
      <c r="BI49" s="41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6"/>
      <c r="B50" s="40" t="s">
        <v>69</v>
      </c>
      <c r="C50" s="41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39"/>
      <c r="E50" s="41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39"/>
      <c r="G50" s="41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39"/>
      <c r="I50" s="41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39"/>
      <c r="K50" s="41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39"/>
      <c r="M50" s="41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39"/>
      <c r="O50" s="41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39"/>
      <c r="Q50" s="41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39"/>
      <c r="S50" s="41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39"/>
      <c r="U50" s="41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39"/>
      <c r="W50" s="41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39"/>
      <c r="Y50" s="41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39"/>
      <c r="AA50" s="41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39"/>
      <c r="AC50" s="41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39"/>
      <c r="AE50" s="41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39"/>
      <c r="AG50" s="41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39"/>
      <c r="AI50" s="41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39"/>
      <c r="AK50" s="41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39"/>
      <c r="AM50" s="41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39"/>
      <c r="AO50" s="41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39"/>
      <c r="AQ50" s="41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39"/>
      <c r="AS50" s="41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39"/>
      <c r="AU50" s="41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39"/>
      <c r="AW50" s="41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39"/>
      <c r="AY50" s="41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39"/>
      <c r="BA50" s="41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39"/>
      <c r="BC50" s="41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39"/>
      <c r="BE50" s="41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39"/>
      <c r="BG50" s="41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39"/>
      <c r="BI50" s="41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6"/>
      <c r="B51" s="40" t="s">
        <v>70</v>
      </c>
      <c r="C51" s="41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39"/>
      <c r="E51" s="41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39"/>
      <c r="G51" s="41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39"/>
      <c r="I51" s="41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39"/>
      <c r="K51" s="41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39"/>
      <c r="M51" s="41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39"/>
      <c r="O51" s="41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39"/>
      <c r="Q51" s="41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39"/>
      <c r="S51" s="41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39"/>
      <c r="U51" s="41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39"/>
      <c r="W51" s="41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39"/>
      <c r="Y51" s="41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39"/>
      <c r="AA51" s="41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39"/>
      <c r="AC51" s="41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39"/>
      <c r="AE51" s="41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39"/>
      <c r="AG51" s="41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39"/>
      <c r="AI51" s="41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39"/>
      <c r="AK51" s="41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39"/>
      <c r="AM51" s="41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39"/>
      <c r="AO51" s="41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39"/>
      <c r="AQ51" s="41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39"/>
      <c r="AS51" s="41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39"/>
      <c r="AU51" s="41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39"/>
      <c r="AW51" s="41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39"/>
      <c r="AY51" s="41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39"/>
      <c r="BA51" s="41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39"/>
      <c r="BC51" s="41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39"/>
      <c r="BE51" s="41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39"/>
      <c r="BG51" s="41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39"/>
      <c r="BI51" s="41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6"/>
      <c r="B52" s="40" t="s">
        <v>71</v>
      </c>
      <c r="C52" s="41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39"/>
      <c r="E52" s="41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39"/>
      <c r="G52" s="41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39"/>
      <c r="I52" s="41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39"/>
      <c r="K52" s="41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39"/>
      <c r="M52" s="41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39"/>
      <c r="O52" s="41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39"/>
      <c r="Q52" s="41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39"/>
      <c r="S52" s="41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39"/>
      <c r="U52" s="41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39"/>
      <c r="W52" s="41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39"/>
      <c r="Y52" s="41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39"/>
      <c r="AA52" s="41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39"/>
      <c r="AC52" s="41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39"/>
      <c r="AE52" s="41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39"/>
      <c r="AG52" s="41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39"/>
      <c r="AI52" s="41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39"/>
      <c r="AK52" s="41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39"/>
      <c r="AM52" s="41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39"/>
      <c r="AO52" s="41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39"/>
      <c r="AQ52" s="41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39"/>
      <c r="AS52" s="41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39"/>
      <c r="AU52" s="41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39"/>
      <c r="AW52" s="41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39"/>
      <c r="AY52" s="41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39"/>
      <c r="BA52" s="41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39"/>
      <c r="BC52" s="41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39"/>
      <c r="BE52" s="41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39"/>
      <c r="BG52" s="41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39"/>
      <c r="BI52" s="41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6"/>
      <c r="B53" s="40" t="s">
        <v>72</v>
      </c>
      <c r="C53" s="41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39"/>
      <c r="E53" s="41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39"/>
      <c r="G53" s="41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39"/>
      <c r="I53" s="41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39"/>
      <c r="K53" s="41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39"/>
      <c r="M53" s="41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39"/>
      <c r="O53" s="41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39"/>
      <c r="Q53" s="41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39"/>
      <c r="S53" s="41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39"/>
      <c r="U53" s="41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39"/>
      <c r="W53" s="41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39"/>
      <c r="Y53" s="41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39"/>
      <c r="AA53" s="41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39"/>
      <c r="AC53" s="41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39"/>
      <c r="AE53" s="41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39"/>
      <c r="AG53" s="41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39"/>
      <c r="AI53" s="41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39"/>
      <c r="AK53" s="41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39"/>
      <c r="AM53" s="41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39"/>
      <c r="AO53" s="41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39"/>
      <c r="AQ53" s="41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39"/>
      <c r="AS53" s="41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39"/>
      <c r="AU53" s="41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39"/>
      <c r="AW53" s="41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39"/>
      <c r="AY53" s="41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39"/>
      <c r="BA53" s="41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39"/>
      <c r="BC53" s="41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39"/>
      <c r="BE53" s="41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39"/>
      <c r="BG53" s="41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39"/>
      <c r="BI53" s="41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6"/>
      <c r="B54" s="40" t="s">
        <v>73</v>
      </c>
      <c r="C54" s="41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39"/>
      <c r="E54" s="41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39"/>
      <c r="G54" s="41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39"/>
      <c r="I54" s="41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39"/>
      <c r="K54" s="41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39"/>
      <c r="M54" s="41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39"/>
      <c r="O54" s="41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39"/>
      <c r="Q54" s="41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39"/>
      <c r="S54" s="41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39"/>
      <c r="U54" s="41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39"/>
      <c r="W54" s="41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39"/>
      <c r="Y54" s="41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39"/>
      <c r="AA54" s="41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39"/>
      <c r="AC54" s="41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39"/>
      <c r="AE54" s="41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39"/>
      <c r="AG54" s="41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39"/>
      <c r="AI54" s="41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39"/>
      <c r="AK54" s="41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39"/>
      <c r="AM54" s="41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39"/>
      <c r="AO54" s="41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39"/>
      <c r="AQ54" s="41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39"/>
      <c r="AS54" s="41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39"/>
      <c r="AU54" s="41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39"/>
      <c r="AW54" s="41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39"/>
      <c r="AY54" s="41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39"/>
      <c r="BA54" s="41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39"/>
      <c r="BC54" s="41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39"/>
      <c r="BE54" s="41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39"/>
      <c r="BG54" s="41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39"/>
      <c r="BI54" s="41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6"/>
      <c r="B55" s="40" t="s">
        <v>74</v>
      </c>
      <c r="C55" s="41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39"/>
      <c r="E55" s="41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39"/>
      <c r="G55" s="41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39"/>
      <c r="I55" s="41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39"/>
      <c r="K55" s="41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39"/>
      <c r="M55" s="41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39"/>
      <c r="O55" s="41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39"/>
      <c r="Q55" s="41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39"/>
      <c r="S55" s="41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39"/>
      <c r="U55" s="41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39"/>
      <c r="W55" s="41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39"/>
      <c r="Y55" s="41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39"/>
      <c r="AA55" s="41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39"/>
      <c r="AC55" s="41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39"/>
      <c r="AE55" s="41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39"/>
      <c r="AG55" s="41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39"/>
      <c r="AI55" s="41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39"/>
      <c r="AK55" s="41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39"/>
      <c r="AM55" s="41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39"/>
      <c r="AO55" s="41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39"/>
      <c r="AQ55" s="41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39"/>
      <c r="AS55" s="41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39"/>
      <c r="AU55" s="41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39"/>
      <c r="AW55" s="41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39"/>
      <c r="AY55" s="41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39"/>
      <c r="BA55" s="41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39"/>
      <c r="BC55" s="41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39"/>
      <c r="BE55" s="41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39"/>
      <c r="BG55" s="41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39"/>
      <c r="BI55" s="41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6"/>
      <c r="B56" s="40" t="s">
        <v>75</v>
      </c>
      <c r="C56" s="41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39"/>
      <c r="E56" s="41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39"/>
      <c r="G56" s="41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39"/>
      <c r="I56" s="41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39"/>
      <c r="K56" s="41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39"/>
      <c r="M56" s="41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39"/>
      <c r="O56" s="41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39"/>
      <c r="Q56" s="41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39"/>
      <c r="S56" s="41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39"/>
      <c r="U56" s="41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39"/>
      <c r="W56" s="41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39"/>
      <c r="Y56" s="41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39"/>
      <c r="AA56" s="41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39"/>
      <c r="AC56" s="41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39"/>
      <c r="AE56" s="41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39"/>
      <c r="AG56" s="41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39"/>
      <c r="AI56" s="41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39"/>
      <c r="AK56" s="41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39"/>
      <c r="AM56" s="41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39"/>
      <c r="AO56" s="41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39"/>
      <c r="AQ56" s="41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39"/>
      <c r="AS56" s="41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39"/>
      <c r="AU56" s="41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39"/>
      <c r="AW56" s="41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39"/>
      <c r="AY56" s="41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39"/>
      <c r="BA56" s="41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39"/>
      <c r="BC56" s="41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39"/>
      <c r="BE56" s="41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39"/>
      <c r="BG56" s="41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39"/>
      <c r="BI56" s="41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6"/>
      <c r="B57" s="40" t="s">
        <v>76</v>
      </c>
      <c r="C57" s="41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39"/>
      <c r="E57" s="41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39"/>
      <c r="G57" s="41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39"/>
      <c r="I57" s="41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39"/>
      <c r="K57" s="41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39"/>
      <c r="M57" s="41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39"/>
      <c r="O57" s="41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39"/>
      <c r="Q57" s="41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39"/>
      <c r="S57" s="41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39"/>
      <c r="U57" s="41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39"/>
      <c r="W57" s="41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39"/>
      <c r="Y57" s="41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39"/>
      <c r="AA57" s="41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39"/>
      <c r="AC57" s="41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39"/>
      <c r="AE57" s="41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39"/>
      <c r="AG57" s="41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39"/>
      <c r="AI57" s="41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39"/>
      <c r="AK57" s="41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39"/>
      <c r="AM57" s="41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39"/>
      <c r="AO57" s="41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39"/>
      <c r="AQ57" s="41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39"/>
      <c r="AS57" s="41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39"/>
      <c r="AU57" s="41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39"/>
      <c r="AW57" s="41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39"/>
      <c r="AY57" s="41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39"/>
      <c r="BA57" s="41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39"/>
      <c r="BC57" s="41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39"/>
      <c r="BE57" s="41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39"/>
      <c r="BG57" s="41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39"/>
      <c r="BI57" s="41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6"/>
      <c r="B58" s="40" t="s">
        <v>77</v>
      </c>
      <c r="C58" s="41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39"/>
      <c r="E58" s="41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39"/>
      <c r="G58" s="41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39"/>
      <c r="I58" s="41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39"/>
      <c r="K58" s="41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39"/>
      <c r="M58" s="41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39"/>
      <c r="O58" s="41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39"/>
      <c r="Q58" s="41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39"/>
      <c r="S58" s="41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39"/>
      <c r="U58" s="41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39"/>
      <c r="W58" s="41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39"/>
      <c r="Y58" s="41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39"/>
      <c r="AA58" s="41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39"/>
      <c r="AC58" s="41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39"/>
      <c r="AE58" s="41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39"/>
      <c r="AG58" s="41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39"/>
      <c r="AI58" s="41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39"/>
      <c r="AK58" s="41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39"/>
      <c r="AM58" s="41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39"/>
      <c r="AO58" s="41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39"/>
      <c r="AQ58" s="41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39"/>
      <c r="AS58" s="41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39"/>
      <c r="AU58" s="41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39"/>
      <c r="AW58" s="41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39"/>
      <c r="AY58" s="41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39"/>
      <c r="BA58" s="41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39"/>
      <c r="BC58" s="41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39"/>
      <c r="BE58" s="41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39"/>
      <c r="BG58" s="41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39"/>
      <c r="BI58" s="41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6"/>
      <c r="B59" s="40" t="s">
        <v>78</v>
      </c>
      <c r="C59" s="41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39"/>
      <c r="E59" s="41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39"/>
      <c r="G59" s="41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39"/>
      <c r="I59" s="41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39"/>
      <c r="K59" s="41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39"/>
      <c r="M59" s="41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39"/>
      <c r="O59" s="41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39"/>
      <c r="Q59" s="41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39"/>
      <c r="S59" s="41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39"/>
      <c r="U59" s="41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39"/>
      <c r="W59" s="41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39"/>
      <c r="Y59" s="41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39"/>
      <c r="AA59" s="41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39"/>
      <c r="AC59" s="41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39"/>
      <c r="AE59" s="41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39"/>
      <c r="AG59" s="41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39"/>
      <c r="AI59" s="41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39"/>
      <c r="AK59" s="41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39"/>
      <c r="AM59" s="41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39"/>
      <c r="AO59" s="41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39"/>
      <c r="AQ59" s="41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39"/>
      <c r="AS59" s="41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39"/>
      <c r="AU59" s="41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39"/>
      <c r="AW59" s="41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39"/>
      <c r="AY59" s="41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39"/>
      <c r="BA59" s="41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39"/>
      <c r="BC59" s="41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39"/>
      <c r="BE59" s="41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39"/>
      <c r="BG59" s="41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39"/>
      <c r="BI59" s="41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6"/>
      <c r="B60" s="40" t="s">
        <v>79</v>
      </c>
      <c r="C60" s="41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39"/>
      <c r="E60" s="41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39"/>
      <c r="G60" s="41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39"/>
      <c r="I60" s="41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39"/>
      <c r="K60" s="41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39"/>
      <c r="M60" s="41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39"/>
      <c r="O60" s="41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39"/>
      <c r="Q60" s="41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39"/>
      <c r="S60" s="41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39"/>
      <c r="U60" s="41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39"/>
      <c r="W60" s="41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39"/>
      <c r="Y60" s="41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39"/>
      <c r="AA60" s="41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39"/>
      <c r="AC60" s="41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39"/>
      <c r="AE60" s="41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39"/>
      <c r="AG60" s="41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39"/>
      <c r="AI60" s="41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39"/>
      <c r="AK60" s="41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39"/>
      <c r="AM60" s="41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39"/>
      <c r="AO60" s="41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39"/>
      <c r="AQ60" s="41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39"/>
      <c r="AS60" s="41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39"/>
      <c r="AU60" s="41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39"/>
      <c r="AW60" s="41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39"/>
      <c r="AY60" s="41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39"/>
      <c r="BA60" s="41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39"/>
      <c r="BC60" s="41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39"/>
      <c r="BE60" s="41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39"/>
      <c r="BG60" s="41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39"/>
      <c r="BI60" s="41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6"/>
      <c r="B61" s="40" t="s">
        <v>80</v>
      </c>
      <c r="C61" s="41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39"/>
      <c r="E61" s="41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39"/>
      <c r="G61" s="41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39"/>
      <c r="I61" s="41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39"/>
      <c r="K61" s="41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39"/>
      <c r="M61" s="41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39"/>
      <c r="O61" s="41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39"/>
      <c r="Q61" s="41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39"/>
      <c r="S61" s="41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39"/>
      <c r="U61" s="41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39"/>
      <c r="W61" s="41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39"/>
      <c r="Y61" s="41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39"/>
      <c r="AA61" s="41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39"/>
      <c r="AC61" s="41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39"/>
      <c r="AE61" s="41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39"/>
      <c r="AG61" s="41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39"/>
      <c r="AI61" s="41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39"/>
      <c r="AK61" s="41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39"/>
      <c r="AM61" s="41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39"/>
      <c r="AO61" s="41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39"/>
      <c r="AQ61" s="41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39"/>
      <c r="AS61" s="41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39"/>
      <c r="AU61" s="41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39"/>
      <c r="AW61" s="41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39"/>
      <c r="AY61" s="41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39"/>
      <c r="BA61" s="41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39"/>
      <c r="BC61" s="41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39"/>
      <c r="BE61" s="41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39"/>
      <c r="BG61" s="41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39"/>
      <c r="BI61" s="41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6"/>
      <c r="B62" s="40" t="s">
        <v>81</v>
      </c>
      <c r="C62" s="41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39"/>
      <c r="E62" s="41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39"/>
      <c r="G62" s="41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39"/>
      <c r="I62" s="41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39"/>
      <c r="K62" s="41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39"/>
      <c r="M62" s="41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39"/>
      <c r="O62" s="41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39"/>
      <c r="Q62" s="41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39"/>
      <c r="S62" s="41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39"/>
      <c r="U62" s="41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39"/>
      <c r="W62" s="41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39"/>
      <c r="Y62" s="41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39"/>
      <c r="AA62" s="41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39"/>
      <c r="AC62" s="41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39"/>
      <c r="AE62" s="41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39"/>
      <c r="AG62" s="41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39"/>
      <c r="AI62" s="41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39"/>
      <c r="AK62" s="41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39"/>
      <c r="AM62" s="41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39"/>
      <c r="AO62" s="41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39"/>
      <c r="AQ62" s="41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39"/>
      <c r="AS62" s="41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39"/>
      <c r="AU62" s="41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39"/>
      <c r="AW62" s="41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39"/>
      <c r="AY62" s="41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39"/>
      <c r="BA62" s="41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39"/>
      <c r="BC62" s="41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39"/>
      <c r="BE62" s="41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39"/>
      <c r="BG62" s="41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39"/>
      <c r="BI62" s="41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6"/>
      <c r="B63" s="40" t="s">
        <v>82</v>
      </c>
      <c r="C63" s="41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39"/>
      <c r="E63" s="41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39"/>
      <c r="G63" s="41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39"/>
      <c r="I63" s="41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39"/>
      <c r="K63" s="41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39"/>
      <c r="M63" s="41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39"/>
      <c r="O63" s="41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39"/>
      <c r="Q63" s="41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39"/>
      <c r="S63" s="41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39"/>
      <c r="U63" s="41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39"/>
      <c r="W63" s="41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39"/>
      <c r="Y63" s="41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39"/>
      <c r="AA63" s="41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39"/>
      <c r="AC63" s="41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39"/>
      <c r="AE63" s="41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39"/>
      <c r="AG63" s="41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39"/>
      <c r="AI63" s="41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39"/>
      <c r="AK63" s="41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39"/>
      <c r="AM63" s="41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39"/>
      <c r="AO63" s="41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39"/>
      <c r="AQ63" s="41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39"/>
      <c r="AS63" s="41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39"/>
      <c r="AU63" s="41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39"/>
      <c r="AW63" s="41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39"/>
      <c r="AY63" s="41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39"/>
      <c r="BA63" s="41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39"/>
      <c r="BC63" s="41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39"/>
      <c r="BE63" s="41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39"/>
      <c r="BG63" s="41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39"/>
      <c r="BI63" s="41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6"/>
      <c r="B64" s="40" t="s">
        <v>83</v>
      </c>
      <c r="C64" s="41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39"/>
      <c r="E64" s="41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39"/>
      <c r="G64" s="41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39"/>
      <c r="I64" s="41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39"/>
      <c r="K64" s="41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39"/>
      <c r="M64" s="41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39"/>
      <c r="O64" s="41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39"/>
      <c r="Q64" s="41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39"/>
      <c r="S64" s="41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39"/>
      <c r="U64" s="41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39"/>
      <c r="W64" s="41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39"/>
      <c r="Y64" s="41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39"/>
      <c r="AA64" s="41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39"/>
      <c r="AC64" s="41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39"/>
      <c r="AE64" s="41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39"/>
      <c r="AG64" s="41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39"/>
      <c r="AI64" s="41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39"/>
      <c r="AK64" s="41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39"/>
      <c r="AM64" s="41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39"/>
      <c r="AO64" s="41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39"/>
      <c r="AQ64" s="41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39"/>
      <c r="AS64" s="41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39"/>
      <c r="AU64" s="41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39"/>
      <c r="AW64" s="41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39"/>
      <c r="AY64" s="41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39"/>
      <c r="BA64" s="41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39"/>
      <c r="BC64" s="41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39"/>
      <c r="BE64" s="41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39"/>
      <c r="BG64" s="41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39"/>
      <c r="BI64" s="41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6"/>
      <c r="B65" s="40" t="s">
        <v>84</v>
      </c>
      <c r="C65" s="41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39"/>
      <c r="E65" s="41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39"/>
      <c r="G65" s="41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39"/>
      <c r="I65" s="41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39"/>
      <c r="K65" s="41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39"/>
      <c r="M65" s="41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39"/>
      <c r="O65" s="41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39"/>
      <c r="Q65" s="41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39"/>
      <c r="S65" s="41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39"/>
      <c r="U65" s="41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39"/>
      <c r="W65" s="41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39"/>
      <c r="Y65" s="41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39"/>
      <c r="AA65" s="41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39"/>
      <c r="AC65" s="41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39"/>
      <c r="AE65" s="41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39"/>
      <c r="AG65" s="41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39"/>
      <c r="AI65" s="41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39"/>
      <c r="AK65" s="41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39"/>
      <c r="AM65" s="41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39"/>
      <c r="AO65" s="41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39"/>
      <c r="AQ65" s="41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39"/>
      <c r="AS65" s="41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39"/>
      <c r="AU65" s="41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39"/>
      <c r="AW65" s="41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39"/>
      <c r="AY65" s="41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39"/>
      <c r="BA65" s="41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39"/>
      <c r="BC65" s="41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39"/>
      <c r="BE65" s="41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39"/>
      <c r="BG65" s="41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39"/>
      <c r="BI65" s="41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6"/>
      <c r="B66" s="40" t="s">
        <v>85</v>
      </c>
      <c r="C66" s="41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39"/>
      <c r="E66" s="41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39"/>
      <c r="G66" s="41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39"/>
      <c r="I66" s="41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39"/>
      <c r="K66" s="41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39"/>
      <c r="M66" s="41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39"/>
      <c r="O66" s="41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39"/>
      <c r="Q66" s="41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39"/>
      <c r="S66" s="41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39"/>
      <c r="U66" s="41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39"/>
      <c r="W66" s="41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39"/>
      <c r="Y66" s="41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39"/>
      <c r="AA66" s="41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39"/>
      <c r="AC66" s="41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39"/>
      <c r="AE66" s="41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39"/>
      <c r="AG66" s="41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39"/>
      <c r="AI66" s="41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39"/>
      <c r="AK66" s="41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39"/>
      <c r="AM66" s="41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39"/>
      <c r="AO66" s="41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39"/>
      <c r="AQ66" s="41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39"/>
      <c r="AS66" s="41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39"/>
      <c r="AU66" s="41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39"/>
      <c r="AW66" s="41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39"/>
      <c r="AY66" s="41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39"/>
      <c r="BA66" s="41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39"/>
      <c r="BC66" s="41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39"/>
      <c r="BE66" s="41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39"/>
      <c r="BG66" s="41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39"/>
      <c r="BI66" s="41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6"/>
      <c r="B67" s="40" t="s">
        <v>86</v>
      </c>
      <c r="C67" s="41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39"/>
      <c r="E67" s="41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39"/>
      <c r="G67" s="41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39"/>
      <c r="I67" s="41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39"/>
      <c r="K67" s="41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39"/>
      <c r="M67" s="41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39"/>
      <c r="O67" s="41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39"/>
      <c r="Q67" s="41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39"/>
      <c r="S67" s="41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39"/>
      <c r="U67" s="41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39"/>
      <c r="W67" s="41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39"/>
      <c r="Y67" s="41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39"/>
      <c r="AA67" s="41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39"/>
      <c r="AC67" s="41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39"/>
      <c r="AE67" s="41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39"/>
      <c r="AG67" s="41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39"/>
      <c r="AI67" s="41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39"/>
      <c r="AK67" s="41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39"/>
      <c r="AM67" s="41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39"/>
      <c r="AO67" s="41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39"/>
      <c r="AQ67" s="41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39"/>
      <c r="AS67" s="41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39"/>
      <c r="AU67" s="41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39"/>
      <c r="AW67" s="41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39"/>
      <c r="AY67" s="41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39"/>
      <c r="BA67" s="41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39"/>
      <c r="BC67" s="41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39"/>
      <c r="BE67" s="41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39"/>
      <c r="BG67" s="41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39"/>
      <c r="BI67" s="41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6"/>
      <c r="B68" s="40" t="s">
        <v>87</v>
      </c>
      <c r="C68" s="41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39"/>
      <c r="E68" s="41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39"/>
      <c r="G68" s="41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39"/>
      <c r="I68" s="41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39"/>
      <c r="K68" s="41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39"/>
      <c r="M68" s="41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39"/>
      <c r="O68" s="41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39"/>
      <c r="Q68" s="41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39"/>
      <c r="S68" s="41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39"/>
      <c r="U68" s="41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39"/>
      <c r="W68" s="41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39"/>
      <c r="Y68" s="41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39"/>
      <c r="AA68" s="41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39"/>
      <c r="AC68" s="41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39"/>
      <c r="AE68" s="41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39"/>
      <c r="AG68" s="41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39"/>
      <c r="AI68" s="41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39"/>
      <c r="AK68" s="41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39"/>
      <c r="AM68" s="41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39"/>
      <c r="AO68" s="41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39"/>
      <c r="AQ68" s="41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39"/>
      <c r="AS68" s="41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39"/>
      <c r="AU68" s="41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39"/>
      <c r="AW68" s="41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39"/>
      <c r="AY68" s="41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39"/>
      <c r="BA68" s="41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39"/>
      <c r="BC68" s="41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39"/>
      <c r="BE68" s="41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39"/>
      <c r="BG68" s="41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39"/>
      <c r="BI68" s="41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6"/>
      <c r="B69" s="40" t="s">
        <v>88</v>
      </c>
      <c r="C69" s="41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39"/>
      <c r="E69" s="41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39"/>
      <c r="G69" s="41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39"/>
      <c r="I69" s="41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39"/>
      <c r="K69" s="41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39"/>
      <c r="M69" s="41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39"/>
      <c r="O69" s="41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39"/>
      <c r="Q69" s="41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39"/>
      <c r="S69" s="41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39"/>
      <c r="U69" s="41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39"/>
      <c r="W69" s="41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39"/>
      <c r="Y69" s="41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39"/>
      <c r="AA69" s="41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39"/>
      <c r="AC69" s="41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39"/>
      <c r="AE69" s="41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39"/>
      <c r="AG69" s="41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39"/>
      <c r="AI69" s="41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39"/>
      <c r="AK69" s="41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39"/>
      <c r="AM69" s="41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39"/>
      <c r="AO69" s="41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39"/>
      <c r="AQ69" s="41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39"/>
      <c r="AS69" s="41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39"/>
      <c r="AU69" s="41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39"/>
      <c r="AW69" s="41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39"/>
      <c r="AY69" s="41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39"/>
      <c r="BA69" s="41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39"/>
      <c r="BC69" s="41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39"/>
      <c r="BE69" s="41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39"/>
      <c r="BG69" s="41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39"/>
      <c r="BI69" s="41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6"/>
      <c r="B70" s="40" t="s">
        <v>89</v>
      </c>
      <c r="C70" s="41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39"/>
      <c r="E70" s="41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39"/>
      <c r="G70" s="41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39"/>
      <c r="I70" s="41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39"/>
      <c r="K70" s="41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39"/>
      <c r="M70" s="41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39"/>
      <c r="O70" s="41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39"/>
      <c r="Q70" s="41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39"/>
      <c r="S70" s="41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39"/>
      <c r="U70" s="41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39"/>
      <c r="W70" s="41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39"/>
      <c r="Y70" s="41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39"/>
      <c r="AA70" s="41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39"/>
      <c r="AC70" s="41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39"/>
      <c r="AE70" s="41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39"/>
      <c r="AG70" s="41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39"/>
      <c r="AI70" s="41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39"/>
      <c r="AK70" s="41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39"/>
      <c r="AM70" s="41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39"/>
      <c r="AO70" s="41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39"/>
      <c r="AQ70" s="41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39"/>
      <c r="AS70" s="41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39"/>
      <c r="AU70" s="41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39"/>
      <c r="AW70" s="41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39"/>
      <c r="AY70" s="41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39"/>
      <c r="BA70" s="41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39"/>
      <c r="BC70" s="41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39"/>
      <c r="BE70" s="41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39"/>
      <c r="BG70" s="41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39"/>
      <c r="BI70" s="41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6"/>
      <c r="B71" s="40" t="s">
        <v>90</v>
      </c>
      <c r="C71" s="41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39"/>
      <c r="E71" s="41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39"/>
      <c r="G71" s="41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39"/>
      <c r="I71" s="41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39"/>
      <c r="K71" s="41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39"/>
      <c r="M71" s="41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39"/>
      <c r="O71" s="41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39"/>
      <c r="Q71" s="41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39"/>
      <c r="S71" s="41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39"/>
      <c r="U71" s="41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39"/>
      <c r="W71" s="41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39"/>
      <c r="Y71" s="41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39"/>
      <c r="AA71" s="41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39"/>
      <c r="AC71" s="41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39"/>
      <c r="AE71" s="41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39"/>
      <c r="AG71" s="41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39"/>
      <c r="AI71" s="41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39"/>
      <c r="AK71" s="41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39"/>
      <c r="AM71" s="41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39"/>
      <c r="AO71" s="41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39"/>
      <c r="AQ71" s="41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39"/>
      <c r="AS71" s="41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39"/>
      <c r="AU71" s="41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39"/>
      <c r="AW71" s="41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39"/>
      <c r="AY71" s="41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39"/>
      <c r="BA71" s="41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39"/>
      <c r="BC71" s="41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39"/>
      <c r="BE71" s="41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39"/>
      <c r="BG71" s="41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39"/>
      <c r="BI71" s="41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6"/>
      <c r="B72" s="40" t="s">
        <v>91</v>
      </c>
      <c r="C72" s="41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39"/>
      <c r="E72" s="41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39"/>
      <c r="G72" s="41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39"/>
      <c r="I72" s="41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39"/>
      <c r="K72" s="41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39"/>
      <c r="M72" s="41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39"/>
      <c r="O72" s="41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39"/>
      <c r="Q72" s="41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39"/>
      <c r="S72" s="41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39"/>
      <c r="U72" s="41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39"/>
      <c r="W72" s="41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39"/>
      <c r="Y72" s="41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39"/>
      <c r="AA72" s="41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39"/>
      <c r="AC72" s="41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39"/>
      <c r="AE72" s="41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39"/>
      <c r="AG72" s="41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39"/>
      <c r="AI72" s="41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39"/>
      <c r="AK72" s="41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39"/>
      <c r="AM72" s="41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39"/>
      <c r="AO72" s="41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39"/>
      <c r="AQ72" s="41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39"/>
      <c r="AS72" s="41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39"/>
      <c r="AU72" s="41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39"/>
      <c r="AW72" s="41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39"/>
      <c r="AY72" s="41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39"/>
      <c r="BA72" s="41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39"/>
      <c r="BC72" s="41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39"/>
      <c r="BE72" s="41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39"/>
      <c r="BG72" s="41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39"/>
      <c r="BI72" s="41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6"/>
      <c r="B73" s="40" t="s">
        <v>92</v>
      </c>
      <c r="C73" s="41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39"/>
      <c r="E73" s="41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39"/>
      <c r="G73" s="41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39"/>
      <c r="I73" s="41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39"/>
      <c r="K73" s="41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39"/>
      <c r="M73" s="41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39"/>
      <c r="O73" s="41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39"/>
      <c r="Q73" s="41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39"/>
      <c r="S73" s="41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39"/>
      <c r="U73" s="41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39"/>
      <c r="W73" s="41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39"/>
      <c r="Y73" s="41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39"/>
      <c r="AA73" s="41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39"/>
      <c r="AC73" s="41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39"/>
      <c r="AE73" s="41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39"/>
      <c r="AG73" s="41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39"/>
      <c r="AI73" s="41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39"/>
      <c r="AK73" s="41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39"/>
      <c r="AM73" s="41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39"/>
      <c r="AO73" s="41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39"/>
      <c r="AQ73" s="41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39"/>
      <c r="AS73" s="41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39"/>
      <c r="AU73" s="41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39"/>
      <c r="AW73" s="41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39"/>
      <c r="AY73" s="41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39"/>
      <c r="BA73" s="41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39"/>
      <c r="BC73" s="41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39"/>
      <c r="BE73" s="41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39"/>
      <c r="BG73" s="41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39"/>
      <c r="BI73" s="41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6"/>
      <c r="B74" s="40" t="s">
        <v>93</v>
      </c>
      <c r="C74" s="41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39"/>
      <c r="E74" s="41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39"/>
      <c r="G74" s="41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39"/>
      <c r="I74" s="41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39"/>
      <c r="K74" s="41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39"/>
      <c r="M74" s="41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39"/>
      <c r="O74" s="41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39"/>
      <c r="Q74" s="41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39"/>
      <c r="S74" s="41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39"/>
      <c r="U74" s="41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39"/>
      <c r="W74" s="41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39"/>
      <c r="Y74" s="41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39"/>
      <c r="AA74" s="41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39"/>
      <c r="AC74" s="41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39"/>
      <c r="AE74" s="41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39"/>
      <c r="AG74" s="41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39"/>
      <c r="AI74" s="41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39"/>
      <c r="AK74" s="41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39"/>
      <c r="AM74" s="41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39"/>
      <c r="AO74" s="41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39"/>
      <c r="AQ74" s="41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39"/>
      <c r="AS74" s="41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39"/>
      <c r="AU74" s="41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39"/>
      <c r="AW74" s="41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39"/>
      <c r="AY74" s="41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39"/>
      <c r="BA74" s="41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39"/>
      <c r="BC74" s="41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39"/>
      <c r="BE74" s="41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39"/>
      <c r="BG74" s="41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39"/>
      <c r="BI74" s="41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6"/>
      <c r="B75" s="40" t="s">
        <v>94</v>
      </c>
      <c r="C75" s="41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39"/>
      <c r="E75" s="41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39"/>
      <c r="G75" s="41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39"/>
      <c r="I75" s="41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39"/>
      <c r="K75" s="41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39"/>
      <c r="M75" s="41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39"/>
      <c r="O75" s="41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39"/>
      <c r="Q75" s="41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39"/>
      <c r="S75" s="41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39"/>
      <c r="U75" s="41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39"/>
      <c r="W75" s="41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39"/>
      <c r="Y75" s="41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39"/>
      <c r="AA75" s="41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39"/>
      <c r="AC75" s="41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39"/>
      <c r="AE75" s="41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39"/>
      <c r="AG75" s="41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39"/>
      <c r="AI75" s="41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39"/>
      <c r="AK75" s="41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39"/>
      <c r="AM75" s="41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39"/>
      <c r="AO75" s="41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39"/>
      <c r="AQ75" s="41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39"/>
      <c r="AS75" s="41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39"/>
      <c r="AU75" s="41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39"/>
      <c r="AW75" s="41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39"/>
      <c r="AY75" s="41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39"/>
      <c r="BA75" s="41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39"/>
      <c r="BC75" s="41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39"/>
      <c r="BE75" s="41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39"/>
      <c r="BG75" s="41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39"/>
      <c r="BI75" s="41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6"/>
      <c r="B76" s="40" t="s">
        <v>95</v>
      </c>
      <c r="C76" s="41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39"/>
      <c r="E76" s="41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39"/>
      <c r="G76" s="41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39"/>
      <c r="I76" s="41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39"/>
      <c r="K76" s="41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39"/>
      <c r="M76" s="41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39"/>
      <c r="O76" s="41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39"/>
      <c r="Q76" s="41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39"/>
      <c r="S76" s="41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39"/>
      <c r="U76" s="41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39"/>
      <c r="W76" s="41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39"/>
      <c r="Y76" s="41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39"/>
      <c r="AA76" s="41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39"/>
      <c r="AC76" s="41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39"/>
      <c r="AE76" s="41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39"/>
      <c r="AG76" s="41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39"/>
      <c r="AI76" s="41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39"/>
      <c r="AK76" s="41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39"/>
      <c r="AM76" s="41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39"/>
      <c r="AO76" s="41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39"/>
      <c r="AQ76" s="41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39"/>
      <c r="AS76" s="41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39"/>
      <c r="AU76" s="41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39"/>
      <c r="AW76" s="41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39"/>
      <c r="AY76" s="41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39"/>
      <c r="BA76" s="41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39"/>
      <c r="BC76" s="41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39"/>
      <c r="BE76" s="41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39"/>
      <c r="BG76" s="41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39"/>
      <c r="BI76" s="41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6"/>
      <c r="B77" s="40" t="s">
        <v>96</v>
      </c>
      <c r="C77" s="41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39"/>
      <c r="E77" s="41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39"/>
      <c r="G77" s="41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39"/>
      <c r="I77" s="41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39"/>
      <c r="K77" s="41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39"/>
      <c r="M77" s="41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39"/>
      <c r="O77" s="41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39"/>
      <c r="Q77" s="41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39"/>
      <c r="S77" s="41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39"/>
      <c r="U77" s="41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39"/>
      <c r="W77" s="41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39"/>
      <c r="Y77" s="41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39"/>
      <c r="AA77" s="41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39"/>
      <c r="AC77" s="41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39"/>
      <c r="AE77" s="41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39"/>
      <c r="AG77" s="41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39"/>
      <c r="AI77" s="41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39"/>
      <c r="AK77" s="41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39"/>
      <c r="AM77" s="41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39"/>
      <c r="AO77" s="41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39"/>
      <c r="AQ77" s="41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39"/>
      <c r="AS77" s="41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39"/>
      <c r="AU77" s="41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39"/>
      <c r="AW77" s="41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39"/>
      <c r="AY77" s="41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39"/>
      <c r="BA77" s="41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39"/>
      <c r="BC77" s="41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39"/>
      <c r="BE77" s="41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39"/>
      <c r="BG77" s="41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39"/>
      <c r="BI77" s="41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6"/>
      <c r="B78" s="40" t="s">
        <v>97</v>
      </c>
      <c r="C78" s="41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39"/>
      <c r="E78" s="41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39"/>
      <c r="G78" s="41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39"/>
      <c r="I78" s="41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39"/>
      <c r="K78" s="41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39"/>
      <c r="M78" s="41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39"/>
      <c r="O78" s="41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39"/>
      <c r="Q78" s="41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39"/>
      <c r="S78" s="41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39"/>
      <c r="U78" s="41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39"/>
      <c r="W78" s="41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39"/>
      <c r="Y78" s="41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39"/>
      <c r="AA78" s="41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39"/>
      <c r="AC78" s="41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39"/>
      <c r="AE78" s="41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39"/>
      <c r="AG78" s="41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39"/>
      <c r="AI78" s="41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39"/>
      <c r="AK78" s="41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39"/>
      <c r="AM78" s="41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39"/>
      <c r="AO78" s="41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39"/>
      <c r="AQ78" s="41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39"/>
      <c r="AS78" s="41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39"/>
      <c r="AU78" s="41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39"/>
      <c r="AW78" s="41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39"/>
      <c r="AY78" s="41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39"/>
      <c r="BA78" s="41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39"/>
      <c r="BC78" s="41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39"/>
      <c r="BE78" s="41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39"/>
      <c r="BG78" s="41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39"/>
      <c r="BI78" s="41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6"/>
      <c r="B79" s="40" t="s">
        <v>98</v>
      </c>
      <c r="C79" s="41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39"/>
      <c r="E79" s="41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39"/>
      <c r="G79" s="41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39"/>
      <c r="I79" s="41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39"/>
      <c r="K79" s="41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39"/>
      <c r="M79" s="41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39"/>
      <c r="O79" s="41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39"/>
      <c r="Q79" s="41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39"/>
      <c r="S79" s="41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39"/>
      <c r="U79" s="41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39"/>
      <c r="W79" s="41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39"/>
      <c r="Y79" s="41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39"/>
      <c r="AA79" s="41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39"/>
      <c r="AC79" s="41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39"/>
      <c r="AE79" s="41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39"/>
      <c r="AG79" s="41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39"/>
      <c r="AI79" s="41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39"/>
      <c r="AK79" s="41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39"/>
      <c r="AM79" s="41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39"/>
      <c r="AO79" s="41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39"/>
      <c r="AQ79" s="41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39"/>
      <c r="AS79" s="41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39"/>
      <c r="AU79" s="41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39"/>
      <c r="AW79" s="41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39"/>
      <c r="AY79" s="41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39"/>
      <c r="BA79" s="41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39"/>
      <c r="BC79" s="41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39"/>
      <c r="BE79" s="41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39"/>
      <c r="BG79" s="41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39"/>
      <c r="BI79" s="41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6"/>
      <c r="B80" s="42" t="s">
        <v>371</v>
      </c>
      <c r="C80" s="43">
        <f>SUM(C8:C79)</f>
        <v>96</v>
      </c>
      <c r="D80" s="39"/>
      <c r="E80" s="43">
        <f>SUM(E8:E79)</f>
        <v>100</v>
      </c>
      <c r="F80" s="39"/>
      <c r="G80" s="43">
        <f>SUM(G8:G79)</f>
        <v>96</v>
      </c>
      <c r="H80" s="39"/>
      <c r="I80" s="43">
        <f>SUM(I8:I79)</f>
        <v>100</v>
      </c>
      <c r="J80" s="39"/>
      <c r="K80" s="43">
        <f>SUM(K8:K79)</f>
        <v>104</v>
      </c>
      <c r="L80" s="39"/>
      <c r="M80" s="43">
        <f>SUM(M8:M79)</f>
        <v>98</v>
      </c>
      <c r="N80" s="39"/>
      <c r="O80" s="43">
        <f>SUM(O8:O79)</f>
        <v>92</v>
      </c>
      <c r="P80" s="39"/>
      <c r="Q80" s="43">
        <f>SUM(Q8:Q79)</f>
        <v>106</v>
      </c>
      <c r="R80" s="39"/>
      <c r="S80" s="43">
        <f>SUM(S8:S79)</f>
        <v>98</v>
      </c>
      <c r="T80" s="39"/>
      <c r="U80" s="43">
        <f>SUM(U8:U79)</f>
        <v>102</v>
      </c>
      <c r="V80" s="39"/>
      <c r="W80" s="43">
        <f>SUM(W8:W79)</f>
        <v>98</v>
      </c>
      <c r="X80" s="39"/>
      <c r="Y80" s="43">
        <f>SUM(Y8:Y79)</f>
        <v>90</v>
      </c>
      <c r="Z80" s="39"/>
      <c r="AA80" s="43">
        <f>SUM(AA8:AA79)</f>
        <v>102</v>
      </c>
      <c r="AB80" s="39"/>
      <c r="AC80" s="43">
        <f>SUM(AC8:AC79)</f>
        <v>82</v>
      </c>
      <c r="AD80" s="39"/>
      <c r="AE80" s="43">
        <f>SUM(AE8:AE79)</f>
        <v>106</v>
      </c>
      <c r="AF80" s="39"/>
      <c r="AG80" s="43">
        <f>SUM(AG8:AG79)</f>
        <v>98</v>
      </c>
      <c r="AH80" s="39"/>
      <c r="AI80" s="43">
        <f>SUM(AI8:AI79)</f>
        <v>98</v>
      </c>
      <c r="AJ80" s="39"/>
      <c r="AK80" s="43">
        <f>SUM(AK8:AK79)</f>
        <v>110</v>
      </c>
      <c r="AL80" s="39"/>
      <c r="AM80" s="43">
        <f>SUM(AM8:AM79)</f>
        <v>100</v>
      </c>
      <c r="AN80" s="39"/>
      <c r="AO80" s="43">
        <f>SUM(AO8:AO79)</f>
        <v>112</v>
      </c>
      <c r="AP80" s="39"/>
      <c r="AQ80" s="43">
        <f>SUM(AQ8:AQ79)</f>
        <v>86</v>
      </c>
      <c r="AR80" s="39"/>
      <c r="AS80" s="43">
        <f>SUM(AS8:AS79)</f>
        <v>102</v>
      </c>
      <c r="AT80" s="39"/>
      <c r="AU80" s="43">
        <f>SUM(AU8:AU79)</f>
        <v>102</v>
      </c>
      <c r="AV80" s="39"/>
      <c r="AW80" s="43">
        <f>SUM(AW8:AW79)</f>
        <v>86</v>
      </c>
      <c r="AX80" s="39"/>
      <c r="AY80" s="43">
        <f>SUM(AY8:AY79)</f>
        <v>110</v>
      </c>
      <c r="AZ80" s="39"/>
      <c r="BA80" s="43">
        <f>SUM(BA8:BA79)</f>
        <v>90</v>
      </c>
      <c r="BB80" s="39"/>
      <c r="BC80" s="43">
        <f>SUM(BC8:BC79)</f>
        <v>98</v>
      </c>
      <c r="BD80" s="39"/>
      <c r="BE80" s="43">
        <f>SUM(BE8:BE79)</f>
        <v>100</v>
      </c>
      <c r="BF80" s="39"/>
      <c r="BG80" s="43">
        <f>SUM(BG8:BG79)</f>
        <v>0</v>
      </c>
      <c r="BH80" s="39"/>
      <c r="BI80" s="43">
        <f>SUM(BI8:BI79)</f>
        <v>0</v>
      </c>
    </row>
    <row r="81" ht="19.5" customHeight="1">
      <c r="A81" s="36"/>
      <c r="B81" s="37" t="s">
        <v>372</v>
      </c>
      <c r="C81" s="38"/>
      <c r="D81" s="39"/>
      <c r="E81" s="38"/>
      <c r="F81" s="39"/>
      <c r="G81" s="38"/>
      <c r="H81" s="39"/>
      <c r="I81" s="38"/>
      <c r="J81" s="39"/>
      <c r="K81" s="38"/>
      <c r="L81" s="39"/>
      <c r="M81" s="38"/>
      <c r="N81" s="39"/>
      <c r="O81" s="38"/>
      <c r="P81" s="39"/>
      <c r="Q81" s="38"/>
      <c r="R81" s="39"/>
      <c r="S81" s="38"/>
      <c r="T81" s="39"/>
      <c r="U81" s="38"/>
      <c r="V81" s="39"/>
      <c r="W81" s="38"/>
      <c r="X81" s="39"/>
      <c r="Y81" s="38"/>
      <c r="Z81" s="39"/>
      <c r="AA81" s="38"/>
      <c r="AB81" s="39"/>
      <c r="AC81" s="38"/>
      <c r="AD81" s="39"/>
      <c r="AE81" s="38"/>
      <c r="AF81" s="39"/>
      <c r="AG81" s="38"/>
      <c r="AH81" s="39"/>
      <c r="AI81" s="38"/>
      <c r="AJ81" s="39"/>
      <c r="AK81" s="38"/>
      <c r="AL81" s="39"/>
      <c r="AM81" s="38"/>
      <c r="AN81" s="39"/>
      <c r="AO81" s="38"/>
      <c r="AP81" s="39"/>
      <c r="AQ81" s="38"/>
      <c r="AR81" s="39"/>
      <c r="AS81" s="38"/>
      <c r="AT81" s="39"/>
      <c r="AU81" s="38"/>
      <c r="AV81" s="39"/>
      <c r="AW81" s="38"/>
      <c r="AX81" s="39"/>
      <c r="AY81" s="38"/>
      <c r="AZ81" s="39"/>
      <c r="BA81" s="38"/>
      <c r="BB81" s="39"/>
      <c r="BC81" s="38"/>
      <c r="BD81" s="39"/>
      <c r="BE81" s="38"/>
      <c r="BF81" s="39"/>
      <c r="BG81" s="38"/>
      <c r="BH81" s="39"/>
      <c r="BI81" s="38"/>
    </row>
    <row r="82" ht="18.0" customHeight="1">
      <c r="A82" s="36"/>
      <c r="B82" s="40" t="s">
        <v>373</v>
      </c>
      <c r="C82" s="41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39"/>
      <c r="E82" s="41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39"/>
      <c r="G82" s="41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39"/>
      <c r="I82" s="41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39"/>
      <c r="K82" s="41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39"/>
      <c r="M82" s="41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39"/>
      <c r="O82" s="41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39"/>
      <c r="Q82" s="41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39"/>
      <c r="S82" s="41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39"/>
      <c r="U82" s="41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39"/>
      <c r="W82" s="41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39"/>
      <c r="Y82" s="41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39"/>
      <c r="AA82" s="41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39"/>
      <c r="AC82" s="41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39"/>
      <c r="AE82" s="41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39"/>
      <c r="AG82" s="41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39"/>
      <c r="AI82" s="41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39"/>
      <c r="AK82" s="41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39"/>
      <c r="AM82" s="41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39"/>
      <c r="AO82" s="41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39"/>
      <c r="AQ82" s="41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39"/>
      <c r="AS82" s="41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39"/>
      <c r="AU82" s="41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39"/>
      <c r="AW82" s="41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39"/>
      <c r="AY82" s="41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39"/>
      <c r="BA82" s="41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39"/>
      <c r="BC82" s="41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39"/>
      <c r="BE82" s="41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39"/>
      <c r="BG82" s="41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39"/>
      <c r="BI82" s="41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6"/>
      <c r="B83" s="40" t="s">
        <v>374</v>
      </c>
      <c r="C83" s="41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39"/>
      <c r="E83" s="41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39"/>
      <c r="G83" s="41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39"/>
      <c r="I83" s="41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39"/>
      <c r="K83" s="41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39"/>
      <c r="M83" s="41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39"/>
      <c r="O83" s="41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39"/>
      <c r="Q83" s="41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39"/>
      <c r="S83" s="41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39"/>
      <c r="U83" s="41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39"/>
      <c r="W83" s="41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39"/>
      <c r="Y83" s="41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39"/>
      <c r="AA83" s="41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39"/>
      <c r="AC83" s="41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39"/>
      <c r="AE83" s="41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39"/>
      <c r="AG83" s="41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39"/>
      <c r="AI83" s="41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39"/>
      <c r="AK83" s="41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39"/>
      <c r="AM83" s="41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39"/>
      <c r="AO83" s="41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39"/>
      <c r="AQ83" s="41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39"/>
      <c r="AS83" s="41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39"/>
      <c r="AU83" s="41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39"/>
      <c r="AW83" s="41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39"/>
      <c r="AY83" s="41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39"/>
      <c r="BA83" s="41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39"/>
      <c r="BC83" s="41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39"/>
      <c r="BE83" s="41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39"/>
      <c r="BG83" s="41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39"/>
      <c r="BI83" s="41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6"/>
      <c r="B84" s="40" t="s">
        <v>375</v>
      </c>
      <c r="C84" s="41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39"/>
      <c r="E84" s="41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39"/>
      <c r="G84" s="41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39"/>
      <c r="I84" s="41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39"/>
      <c r="K84" s="41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39"/>
      <c r="M84" s="41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39"/>
      <c r="O84" s="41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39"/>
      <c r="Q84" s="41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39"/>
      <c r="S84" s="41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39"/>
      <c r="U84" s="41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39"/>
      <c r="W84" s="41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39"/>
      <c r="Y84" s="41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39"/>
      <c r="AA84" s="41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39"/>
      <c r="AC84" s="41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39"/>
      <c r="AE84" s="41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39"/>
      <c r="AG84" s="41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39"/>
      <c r="AI84" s="41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39"/>
      <c r="AK84" s="41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39"/>
      <c r="AM84" s="41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39"/>
      <c r="AO84" s="41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39"/>
      <c r="AQ84" s="41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39"/>
      <c r="AS84" s="41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39"/>
      <c r="AU84" s="41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39"/>
      <c r="AW84" s="41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39"/>
      <c r="AY84" s="41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39"/>
      <c r="BA84" s="41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39"/>
      <c r="BC84" s="41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39"/>
      <c r="BE84" s="41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39"/>
      <c r="BG84" s="41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39"/>
      <c r="BI84" s="41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6"/>
      <c r="B85" s="40" t="s">
        <v>376</v>
      </c>
      <c r="C85" s="41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39"/>
      <c r="E85" s="41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39"/>
      <c r="G85" s="41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39"/>
      <c r="I85" s="41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39"/>
      <c r="K85" s="41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39"/>
      <c r="M85" s="41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39"/>
      <c r="O85" s="41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39"/>
      <c r="Q85" s="41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39"/>
      <c r="S85" s="41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39"/>
      <c r="U85" s="41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39"/>
      <c r="W85" s="41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39"/>
      <c r="Y85" s="41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39"/>
      <c r="AA85" s="41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39"/>
      <c r="AC85" s="41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39"/>
      <c r="AE85" s="41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39"/>
      <c r="AG85" s="41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39"/>
      <c r="AI85" s="41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39"/>
      <c r="AK85" s="41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39"/>
      <c r="AM85" s="41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39"/>
      <c r="AO85" s="41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39"/>
      <c r="AQ85" s="41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39"/>
      <c r="AS85" s="41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39"/>
      <c r="AU85" s="41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39"/>
      <c r="AW85" s="41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39"/>
      <c r="AY85" s="41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39"/>
      <c r="BA85" s="41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39"/>
      <c r="BC85" s="41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39"/>
      <c r="BE85" s="41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39"/>
      <c r="BG85" s="41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39"/>
      <c r="BI85" s="41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6"/>
      <c r="B86" s="40" t="s">
        <v>377</v>
      </c>
      <c r="C86" s="41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39"/>
      <c r="E86" s="41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39"/>
      <c r="G86" s="41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39"/>
      <c r="I86" s="41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39"/>
      <c r="K86" s="41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39"/>
      <c r="M86" s="41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39"/>
      <c r="O86" s="41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39"/>
      <c r="Q86" s="41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39"/>
      <c r="S86" s="41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39"/>
      <c r="U86" s="41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39"/>
      <c r="W86" s="41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39"/>
      <c r="Y86" s="41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39"/>
      <c r="AA86" s="41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39"/>
      <c r="AC86" s="41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39"/>
      <c r="AE86" s="41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39"/>
      <c r="AG86" s="41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39"/>
      <c r="AI86" s="41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39"/>
      <c r="AK86" s="41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39"/>
      <c r="AM86" s="41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39"/>
      <c r="AO86" s="41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39"/>
      <c r="AQ86" s="41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39"/>
      <c r="AS86" s="41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39"/>
      <c r="AU86" s="41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39"/>
      <c r="AW86" s="41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39"/>
      <c r="AY86" s="41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39"/>
      <c r="BA86" s="41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39"/>
      <c r="BC86" s="41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39"/>
      <c r="BE86" s="41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39"/>
      <c r="BG86" s="41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39"/>
      <c r="BI86" s="41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6"/>
      <c r="B87" s="40" t="s">
        <v>378</v>
      </c>
      <c r="C87" s="41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39"/>
      <c r="E87" s="41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39"/>
      <c r="G87" s="41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39"/>
      <c r="I87" s="41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39"/>
      <c r="K87" s="41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39"/>
      <c r="M87" s="41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39"/>
      <c r="O87" s="41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39"/>
      <c r="Q87" s="41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39"/>
      <c r="S87" s="41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39"/>
      <c r="U87" s="41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39"/>
      <c r="W87" s="41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39"/>
      <c r="Y87" s="41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39"/>
      <c r="AA87" s="41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39"/>
      <c r="AC87" s="41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39"/>
      <c r="AE87" s="41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39"/>
      <c r="AG87" s="41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39"/>
      <c r="AI87" s="41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39"/>
      <c r="AK87" s="41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39"/>
      <c r="AM87" s="41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39"/>
      <c r="AO87" s="41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39"/>
      <c r="AQ87" s="41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39"/>
      <c r="AS87" s="41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39"/>
      <c r="AU87" s="41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39"/>
      <c r="AW87" s="41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39"/>
      <c r="AY87" s="41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39"/>
      <c r="BA87" s="41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39"/>
      <c r="BC87" s="41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39"/>
      <c r="BE87" s="41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39"/>
      <c r="BG87" s="41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39"/>
      <c r="BI87" s="41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6"/>
      <c r="B88" s="40" t="s">
        <v>379</v>
      </c>
      <c r="C88" s="41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39"/>
      <c r="E88" s="41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39"/>
      <c r="G88" s="41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39"/>
      <c r="I88" s="41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39"/>
      <c r="K88" s="41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39"/>
      <c r="M88" s="41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39"/>
      <c r="O88" s="41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39"/>
      <c r="Q88" s="41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39"/>
      <c r="S88" s="41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39"/>
      <c r="U88" s="41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39"/>
      <c r="W88" s="41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39"/>
      <c r="Y88" s="41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39"/>
      <c r="AA88" s="41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39"/>
      <c r="AC88" s="41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39"/>
      <c r="AE88" s="41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39"/>
      <c r="AG88" s="41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39"/>
      <c r="AI88" s="41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39"/>
      <c r="AK88" s="41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39"/>
      <c r="AM88" s="41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39"/>
      <c r="AO88" s="41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39"/>
      <c r="AQ88" s="41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39"/>
      <c r="AS88" s="41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39"/>
      <c r="AU88" s="41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39"/>
      <c r="AW88" s="41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39"/>
      <c r="AY88" s="41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39"/>
      <c r="BA88" s="41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39"/>
      <c r="BC88" s="41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39"/>
      <c r="BE88" s="41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39"/>
      <c r="BG88" s="41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39"/>
      <c r="BI88" s="41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6"/>
      <c r="B89" s="40" t="s">
        <v>380</v>
      </c>
      <c r="C89" s="41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39"/>
      <c r="E89" s="41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39"/>
      <c r="G89" s="41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39"/>
      <c r="I89" s="41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39"/>
      <c r="K89" s="41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39"/>
      <c r="M89" s="41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39"/>
      <c r="O89" s="41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39"/>
      <c r="Q89" s="41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39"/>
      <c r="S89" s="41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39"/>
      <c r="U89" s="41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39"/>
      <c r="W89" s="41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39"/>
      <c r="Y89" s="41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39"/>
      <c r="AA89" s="41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39"/>
      <c r="AC89" s="41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39"/>
      <c r="AE89" s="41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39"/>
      <c r="AG89" s="41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39"/>
      <c r="AI89" s="41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39"/>
      <c r="AK89" s="41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39"/>
      <c r="AM89" s="41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39"/>
      <c r="AO89" s="41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39"/>
      <c r="AQ89" s="41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39"/>
      <c r="AS89" s="41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39"/>
      <c r="AU89" s="41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39"/>
      <c r="AW89" s="41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39"/>
      <c r="AY89" s="41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39"/>
      <c r="BA89" s="41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39"/>
      <c r="BC89" s="41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39"/>
      <c r="BE89" s="41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39"/>
      <c r="BG89" s="41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39"/>
      <c r="BI89" s="41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6"/>
      <c r="B90" s="40" t="s">
        <v>381</v>
      </c>
      <c r="C90" s="41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39"/>
      <c r="E90" s="41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39"/>
      <c r="G90" s="41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39"/>
      <c r="I90" s="41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39"/>
      <c r="K90" s="41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39"/>
      <c r="M90" s="41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39"/>
      <c r="O90" s="41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39"/>
      <c r="Q90" s="41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39"/>
      <c r="S90" s="41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39"/>
      <c r="U90" s="41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39"/>
      <c r="W90" s="41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39"/>
      <c r="Y90" s="41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39"/>
      <c r="AA90" s="41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39"/>
      <c r="AC90" s="41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39"/>
      <c r="AE90" s="41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39"/>
      <c r="AG90" s="41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39"/>
      <c r="AI90" s="41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39"/>
      <c r="AK90" s="41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39"/>
      <c r="AM90" s="41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39"/>
      <c r="AO90" s="41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39"/>
      <c r="AQ90" s="41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39"/>
      <c r="AS90" s="41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39"/>
      <c r="AU90" s="41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39"/>
      <c r="AW90" s="41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39"/>
      <c r="AY90" s="41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39"/>
      <c r="BA90" s="41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39"/>
      <c r="BC90" s="41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39"/>
      <c r="BE90" s="41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39"/>
      <c r="BG90" s="41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39"/>
      <c r="BI90" s="41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6"/>
      <c r="B91" s="40" t="s">
        <v>382</v>
      </c>
      <c r="C91" s="41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39"/>
      <c r="E91" s="41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39"/>
      <c r="G91" s="41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39"/>
      <c r="I91" s="41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39"/>
      <c r="K91" s="41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39"/>
      <c r="M91" s="41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39"/>
      <c r="O91" s="41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39"/>
      <c r="Q91" s="41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39"/>
      <c r="S91" s="41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39"/>
      <c r="U91" s="41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39"/>
      <c r="W91" s="41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39"/>
      <c r="Y91" s="41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39"/>
      <c r="AA91" s="41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39"/>
      <c r="AC91" s="41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39"/>
      <c r="AE91" s="41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39"/>
      <c r="AG91" s="41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39"/>
      <c r="AI91" s="41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39"/>
      <c r="AK91" s="41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39"/>
      <c r="AM91" s="41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39"/>
      <c r="AO91" s="41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39"/>
      <c r="AQ91" s="41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39"/>
      <c r="AS91" s="41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39"/>
      <c r="AU91" s="41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39"/>
      <c r="AW91" s="41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39"/>
      <c r="AY91" s="41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39"/>
      <c r="BA91" s="41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39"/>
      <c r="BC91" s="41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39"/>
      <c r="BE91" s="41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39"/>
      <c r="BG91" s="41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39"/>
      <c r="BI91" s="41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6"/>
      <c r="B92" s="40" t="s">
        <v>383</v>
      </c>
      <c r="C92" s="41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39"/>
      <c r="E92" s="41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39"/>
      <c r="G92" s="41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39"/>
      <c r="I92" s="41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39"/>
      <c r="K92" s="41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39"/>
      <c r="M92" s="41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39"/>
      <c r="O92" s="41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39"/>
      <c r="Q92" s="41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39"/>
      <c r="S92" s="41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39"/>
      <c r="U92" s="41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39"/>
      <c r="W92" s="41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39"/>
      <c r="Y92" s="41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39"/>
      <c r="AA92" s="41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39"/>
      <c r="AC92" s="41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39"/>
      <c r="AE92" s="41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39"/>
      <c r="AG92" s="41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39"/>
      <c r="AI92" s="41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39"/>
      <c r="AK92" s="41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39"/>
      <c r="AM92" s="41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39"/>
      <c r="AO92" s="41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39"/>
      <c r="AQ92" s="41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39"/>
      <c r="AS92" s="41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39"/>
      <c r="AU92" s="41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39"/>
      <c r="AW92" s="41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39"/>
      <c r="AY92" s="41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39"/>
      <c r="BA92" s="41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39"/>
      <c r="BC92" s="41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39"/>
      <c r="BE92" s="41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39"/>
      <c r="BG92" s="41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39"/>
      <c r="BI92" s="41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6"/>
      <c r="B93" s="40" t="s">
        <v>384</v>
      </c>
      <c r="C93" s="41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39"/>
      <c r="E93" s="41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39"/>
      <c r="G93" s="41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39"/>
      <c r="I93" s="41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39"/>
      <c r="K93" s="41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39"/>
      <c r="M93" s="41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39"/>
      <c r="O93" s="41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39"/>
      <c r="Q93" s="41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39"/>
      <c r="S93" s="41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39"/>
      <c r="U93" s="41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39"/>
      <c r="W93" s="41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39"/>
      <c r="Y93" s="41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39"/>
      <c r="AA93" s="41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39"/>
      <c r="AC93" s="41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39"/>
      <c r="AE93" s="41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39"/>
      <c r="AG93" s="41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39"/>
      <c r="AI93" s="41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39"/>
      <c r="AK93" s="41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39"/>
      <c r="AM93" s="41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39"/>
      <c r="AO93" s="41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39"/>
      <c r="AQ93" s="41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39"/>
      <c r="AS93" s="41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39"/>
      <c r="AU93" s="41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39"/>
      <c r="AW93" s="41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39"/>
      <c r="AY93" s="41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39"/>
      <c r="BA93" s="41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39"/>
      <c r="BC93" s="41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39"/>
      <c r="BE93" s="41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39"/>
      <c r="BG93" s="41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39"/>
      <c r="BI93" s="41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6"/>
      <c r="B94" s="40" t="s">
        <v>385</v>
      </c>
      <c r="C94" s="41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39"/>
      <c r="E94" s="41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39"/>
      <c r="G94" s="41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39"/>
      <c r="I94" s="41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39"/>
      <c r="K94" s="41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39"/>
      <c r="M94" s="41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39"/>
      <c r="O94" s="41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39"/>
      <c r="Q94" s="41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39"/>
      <c r="S94" s="41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39"/>
      <c r="U94" s="41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39"/>
      <c r="W94" s="41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39"/>
      <c r="Y94" s="41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39"/>
      <c r="AA94" s="41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39"/>
      <c r="AC94" s="41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39"/>
      <c r="AE94" s="41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39"/>
      <c r="AG94" s="41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39"/>
      <c r="AI94" s="41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39"/>
      <c r="AK94" s="41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39"/>
      <c r="AM94" s="41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39"/>
      <c r="AO94" s="41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39"/>
      <c r="AQ94" s="41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39"/>
      <c r="AS94" s="41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39"/>
      <c r="AU94" s="41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39"/>
      <c r="AW94" s="41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39"/>
      <c r="AY94" s="41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39"/>
      <c r="BA94" s="41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39"/>
      <c r="BC94" s="41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39"/>
      <c r="BE94" s="41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39"/>
      <c r="BG94" s="41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39"/>
      <c r="BI94" s="41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6"/>
      <c r="B95" s="40" t="s">
        <v>386</v>
      </c>
      <c r="C95" s="41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39"/>
      <c r="E95" s="41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39"/>
      <c r="G95" s="41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39"/>
      <c r="I95" s="41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39"/>
      <c r="K95" s="41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39"/>
      <c r="M95" s="41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39"/>
      <c r="O95" s="41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39"/>
      <c r="Q95" s="41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39"/>
      <c r="S95" s="41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39"/>
      <c r="U95" s="41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39"/>
      <c r="W95" s="41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39"/>
      <c r="Y95" s="41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39"/>
      <c r="AA95" s="41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39"/>
      <c r="AC95" s="41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39"/>
      <c r="AE95" s="41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39"/>
      <c r="AG95" s="41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39"/>
      <c r="AI95" s="41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39"/>
      <c r="AK95" s="41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39"/>
      <c r="AM95" s="41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39"/>
      <c r="AO95" s="41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39"/>
      <c r="AQ95" s="41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39"/>
      <c r="AS95" s="41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39"/>
      <c r="AU95" s="41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39"/>
      <c r="AW95" s="41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39"/>
      <c r="AY95" s="41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39"/>
      <c r="BA95" s="41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39"/>
      <c r="BC95" s="41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39"/>
      <c r="BE95" s="41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39"/>
      <c r="BG95" s="41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39"/>
      <c r="BI95" s="41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6"/>
      <c r="B96" s="40" t="s">
        <v>387</v>
      </c>
      <c r="C96" s="41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39"/>
      <c r="E96" s="41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39"/>
      <c r="G96" s="41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39"/>
      <c r="I96" s="41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39"/>
      <c r="K96" s="41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39"/>
      <c r="M96" s="41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39"/>
      <c r="O96" s="41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39"/>
      <c r="Q96" s="41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39"/>
      <c r="S96" s="41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39"/>
      <c r="U96" s="41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39"/>
      <c r="W96" s="41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39"/>
      <c r="Y96" s="41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39"/>
      <c r="AA96" s="41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39"/>
      <c r="AC96" s="41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39"/>
      <c r="AE96" s="41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39"/>
      <c r="AG96" s="41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39"/>
      <c r="AI96" s="41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39"/>
      <c r="AK96" s="41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39"/>
      <c r="AM96" s="41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39"/>
      <c r="AO96" s="41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39"/>
      <c r="AQ96" s="41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39"/>
      <c r="AS96" s="41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39"/>
      <c r="AU96" s="41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39"/>
      <c r="AW96" s="41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39"/>
      <c r="AY96" s="41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39"/>
      <c r="BA96" s="41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39"/>
      <c r="BC96" s="41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39"/>
      <c r="BE96" s="41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39"/>
      <c r="BG96" s="41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39"/>
      <c r="BI96" s="41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6"/>
      <c r="B97" s="40" t="s">
        <v>388</v>
      </c>
      <c r="C97" s="41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39"/>
      <c r="E97" s="41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39"/>
      <c r="G97" s="41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39"/>
      <c r="I97" s="41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39"/>
      <c r="K97" s="41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39"/>
      <c r="M97" s="41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39"/>
      <c r="O97" s="41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39"/>
      <c r="Q97" s="41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39"/>
      <c r="S97" s="41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39"/>
      <c r="U97" s="41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39"/>
      <c r="W97" s="41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39"/>
      <c r="Y97" s="41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39"/>
      <c r="AA97" s="41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39"/>
      <c r="AC97" s="41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39"/>
      <c r="AE97" s="41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39"/>
      <c r="AG97" s="41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39"/>
      <c r="AI97" s="41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39"/>
      <c r="AK97" s="41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39"/>
      <c r="AM97" s="41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39"/>
      <c r="AO97" s="41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39"/>
      <c r="AQ97" s="41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39"/>
      <c r="AS97" s="41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39"/>
      <c r="AU97" s="41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39"/>
      <c r="AW97" s="41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39"/>
      <c r="AY97" s="41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39"/>
      <c r="BA97" s="41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39"/>
      <c r="BC97" s="41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39"/>
      <c r="BE97" s="41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39"/>
      <c r="BG97" s="41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39"/>
      <c r="BI97" s="41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6"/>
      <c r="B98" s="40" t="s">
        <v>389</v>
      </c>
      <c r="C98" s="41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39"/>
      <c r="E98" s="41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39"/>
      <c r="G98" s="41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39"/>
      <c r="I98" s="41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39"/>
      <c r="K98" s="41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39"/>
      <c r="M98" s="41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39"/>
      <c r="O98" s="41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39"/>
      <c r="Q98" s="41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39"/>
      <c r="S98" s="41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39"/>
      <c r="U98" s="41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39"/>
      <c r="W98" s="41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39"/>
      <c r="Y98" s="41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39"/>
      <c r="AA98" s="41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39"/>
      <c r="AC98" s="41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39"/>
      <c r="AE98" s="41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39"/>
      <c r="AG98" s="41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39"/>
      <c r="AI98" s="41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39"/>
      <c r="AK98" s="41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39"/>
      <c r="AM98" s="41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39"/>
      <c r="AO98" s="41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39"/>
      <c r="AQ98" s="41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39"/>
      <c r="AS98" s="41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39"/>
      <c r="AU98" s="41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39"/>
      <c r="AW98" s="41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39"/>
      <c r="AY98" s="41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39"/>
      <c r="BA98" s="41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39"/>
      <c r="BC98" s="41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39"/>
      <c r="BE98" s="41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39"/>
      <c r="BG98" s="41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39"/>
      <c r="BI98" s="41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6"/>
      <c r="B99" s="40" t="s">
        <v>390</v>
      </c>
      <c r="C99" s="41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39"/>
      <c r="E99" s="41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39"/>
      <c r="G99" s="41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39"/>
      <c r="I99" s="41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39"/>
      <c r="K99" s="41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39"/>
      <c r="M99" s="41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39"/>
      <c r="O99" s="41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39"/>
      <c r="Q99" s="41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39"/>
      <c r="S99" s="41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39"/>
      <c r="U99" s="41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39"/>
      <c r="W99" s="41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39"/>
      <c r="Y99" s="41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39"/>
      <c r="AA99" s="41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39"/>
      <c r="AC99" s="41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39"/>
      <c r="AE99" s="41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39"/>
      <c r="AG99" s="41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39"/>
      <c r="AI99" s="41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39"/>
      <c r="AK99" s="41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39"/>
      <c r="AM99" s="41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39"/>
      <c r="AO99" s="41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39"/>
      <c r="AQ99" s="41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39"/>
      <c r="AS99" s="41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39"/>
      <c r="AU99" s="41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39"/>
      <c r="AW99" s="41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39"/>
      <c r="AY99" s="41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39"/>
      <c r="BA99" s="41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39"/>
      <c r="BC99" s="41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39"/>
      <c r="BE99" s="41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39"/>
      <c r="BG99" s="41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39"/>
      <c r="BI99" s="41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6"/>
      <c r="B100" s="40" t="s">
        <v>391</v>
      </c>
      <c r="C100" s="41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39"/>
      <c r="E100" s="41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39"/>
      <c r="G100" s="41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39"/>
      <c r="I100" s="41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39"/>
      <c r="K100" s="41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39"/>
      <c r="M100" s="41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39"/>
      <c r="O100" s="41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39"/>
      <c r="Q100" s="41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39"/>
      <c r="S100" s="41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39"/>
      <c r="U100" s="41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39"/>
      <c r="W100" s="41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39"/>
      <c r="Y100" s="41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39"/>
      <c r="AA100" s="41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39"/>
      <c r="AC100" s="41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39"/>
      <c r="AE100" s="41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39"/>
      <c r="AG100" s="41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39"/>
      <c r="AI100" s="41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39"/>
      <c r="AK100" s="41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39"/>
      <c r="AM100" s="41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39"/>
      <c r="AO100" s="41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39"/>
      <c r="AQ100" s="41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39"/>
      <c r="AS100" s="41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39"/>
      <c r="AU100" s="41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39"/>
      <c r="AW100" s="41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39"/>
      <c r="AY100" s="41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39"/>
      <c r="BA100" s="41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39"/>
      <c r="BC100" s="41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39"/>
      <c r="BE100" s="41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39"/>
      <c r="BG100" s="41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39"/>
      <c r="BI100" s="41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6"/>
      <c r="B101" s="40" t="s">
        <v>392</v>
      </c>
      <c r="C101" s="41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39"/>
      <c r="E101" s="41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39"/>
      <c r="G101" s="41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39"/>
      <c r="I101" s="41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39"/>
      <c r="K101" s="41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39"/>
      <c r="M101" s="41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39"/>
      <c r="O101" s="41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39"/>
      <c r="Q101" s="41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39"/>
      <c r="S101" s="41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39"/>
      <c r="U101" s="41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39"/>
      <c r="W101" s="41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39"/>
      <c r="Y101" s="41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39"/>
      <c r="AA101" s="41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39"/>
      <c r="AC101" s="41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39"/>
      <c r="AE101" s="41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39"/>
      <c r="AG101" s="41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39"/>
      <c r="AI101" s="41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39"/>
      <c r="AK101" s="41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39"/>
      <c r="AM101" s="41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39"/>
      <c r="AO101" s="41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39"/>
      <c r="AQ101" s="41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39"/>
      <c r="AS101" s="41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39"/>
      <c r="AU101" s="41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39"/>
      <c r="AW101" s="41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39"/>
      <c r="AY101" s="41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39"/>
      <c r="BA101" s="41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39"/>
      <c r="BC101" s="41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39"/>
      <c r="BE101" s="41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39"/>
      <c r="BG101" s="41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39"/>
      <c r="BI101" s="41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6"/>
      <c r="B102" s="40" t="s">
        <v>393</v>
      </c>
      <c r="C102" s="41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39"/>
      <c r="E102" s="41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39"/>
      <c r="G102" s="41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39"/>
      <c r="I102" s="41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39"/>
      <c r="K102" s="41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39"/>
      <c r="M102" s="41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39"/>
      <c r="O102" s="41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39"/>
      <c r="Q102" s="41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39"/>
      <c r="S102" s="41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39"/>
      <c r="U102" s="41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39"/>
      <c r="W102" s="41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39"/>
      <c r="Y102" s="41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39"/>
      <c r="AA102" s="41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39"/>
      <c r="AC102" s="41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39"/>
      <c r="AE102" s="41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39"/>
      <c r="AG102" s="41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39"/>
      <c r="AI102" s="41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39"/>
      <c r="AK102" s="41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39"/>
      <c r="AM102" s="41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39"/>
      <c r="AO102" s="41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39"/>
      <c r="AQ102" s="41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39"/>
      <c r="AS102" s="41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39"/>
      <c r="AU102" s="41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39"/>
      <c r="AW102" s="41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39"/>
      <c r="AY102" s="41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39"/>
      <c r="BA102" s="41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39"/>
      <c r="BC102" s="41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39"/>
      <c r="BE102" s="41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39"/>
      <c r="BG102" s="41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39"/>
      <c r="BI102" s="41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6"/>
      <c r="B103" s="40" t="s">
        <v>394</v>
      </c>
      <c r="C103" s="41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39"/>
      <c r="E103" s="41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39"/>
      <c r="G103" s="41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39"/>
      <c r="I103" s="41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39"/>
      <c r="K103" s="41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39"/>
      <c r="M103" s="41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39"/>
      <c r="O103" s="41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39"/>
      <c r="Q103" s="41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39"/>
      <c r="S103" s="41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39"/>
      <c r="U103" s="41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39"/>
      <c r="W103" s="41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39"/>
      <c r="Y103" s="41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39"/>
      <c r="AA103" s="41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39"/>
      <c r="AC103" s="41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39"/>
      <c r="AE103" s="41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39"/>
      <c r="AG103" s="41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39"/>
      <c r="AI103" s="41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39"/>
      <c r="AK103" s="41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39"/>
      <c r="AM103" s="41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39"/>
      <c r="AO103" s="41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39"/>
      <c r="AQ103" s="41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39"/>
      <c r="AS103" s="41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39"/>
      <c r="AU103" s="41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39"/>
      <c r="AW103" s="41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39"/>
      <c r="AY103" s="41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39"/>
      <c r="BA103" s="41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39"/>
      <c r="BC103" s="41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39"/>
      <c r="BE103" s="41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39"/>
      <c r="BG103" s="41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39"/>
      <c r="BI103" s="41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6"/>
      <c r="B104" s="40" t="s">
        <v>395</v>
      </c>
      <c r="C104" s="41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39"/>
      <c r="E104" s="41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39"/>
      <c r="G104" s="41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39"/>
      <c r="I104" s="41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39"/>
      <c r="K104" s="41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39"/>
      <c r="M104" s="41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39"/>
      <c r="O104" s="41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39"/>
      <c r="Q104" s="41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39"/>
      <c r="S104" s="41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39"/>
      <c r="U104" s="41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39"/>
      <c r="W104" s="41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39"/>
      <c r="Y104" s="41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39"/>
      <c r="AA104" s="41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39"/>
      <c r="AC104" s="41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39"/>
      <c r="AE104" s="41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39"/>
      <c r="AG104" s="41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39"/>
      <c r="AI104" s="41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39"/>
      <c r="AK104" s="41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39"/>
      <c r="AM104" s="41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39"/>
      <c r="AO104" s="41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39"/>
      <c r="AQ104" s="41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39"/>
      <c r="AS104" s="41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39"/>
      <c r="AU104" s="41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39"/>
      <c r="AW104" s="41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39"/>
      <c r="AY104" s="41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39"/>
      <c r="BA104" s="41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39"/>
      <c r="BC104" s="41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39"/>
      <c r="BE104" s="41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39"/>
      <c r="BG104" s="41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39"/>
      <c r="BI104" s="41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6"/>
      <c r="B105" s="40" t="s">
        <v>396</v>
      </c>
      <c r="C105" s="41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39"/>
      <c r="E105" s="41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39"/>
      <c r="G105" s="41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39"/>
      <c r="I105" s="41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39"/>
      <c r="K105" s="41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39"/>
      <c r="M105" s="41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39"/>
      <c r="O105" s="41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39"/>
      <c r="Q105" s="41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39"/>
      <c r="S105" s="41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39"/>
      <c r="U105" s="41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39"/>
      <c r="W105" s="41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39"/>
      <c r="Y105" s="41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39"/>
      <c r="AA105" s="41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39"/>
      <c r="AC105" s="41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39"/>
      <c r="AE105" s="41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39"/>
      <c r="AG105" s="41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39"/>
      <c r="AI105" s="41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39"/>
      <c r="AK105" s="41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39"/>
      <c r="AM105" s="41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39"/>
      <c r="AO105" s="41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39"/>
      <c r="AQ105" s="41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39"/>
      <c r="AS105" s="41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39"/>
      <c r="AU105" s="41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39"/>
      <c r="AW105" s="41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39"/>
      <c r="AY105" s="41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39"/>
      <c r="BA105" s="41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39"/>
      <c r="BC105" s="41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39"/>
      <c r="BE105" s="41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39"/>
      <c r="BG105" s="41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39"/>
      <c r="BI105" s="41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6"/>
      <c r="B106" s="40" t="s">
        <v>397</v>
      </c>
      <c r="C106" s="41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39"/>
      <c r="E106" s="41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39"/>
      <c r="G106" s="41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39"/>
      <c r="I106" s="41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39"/>
      <c r="K106" s="41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39"/>
      <c r="M106" s="41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39"/>
      <c r="O106" s="41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39"/>
      <c r="Q106" s="41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39"/>
      <c r="S106" s="41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39"/>
      <c r="U106" s="41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39"/>
      <c r="W106" s="41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39"/>
      <c r="Y106" s="41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39"/>
      <c r="AA106" s="41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39"/>
      <c r="AC106" s="41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39"/>
      <c r="AE106" s="41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39"/>
      <c r="AG106" s="41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39"/>
      <c r="AI106" s="41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39"/>
      <c r="AK106" s="41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39"/>
      <c r="AM106" s="41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39"/>
      <c r="AO106" s="41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39"/>
      <c r="AQ106" s="41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39"/>
      <c r="AS106" s="41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39"/>
      <c r="AU106" s="41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39"/>
      <c r="AW106" s="41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39"/>
      <c r="AY106" s="41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39"/>
      <c r="BA106" s="41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39"/>
      <c r="BC106" s="41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39"/>
      <c r="BE106" s="41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39"/>
      <c r="BG106" s="41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39"/>
      <c r="BI106" s="41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6"/>
      <c r="B107" s="40" t="s">
        <v>398</v>
      </c>
      <c r="C107" s="41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39"/>
      <c r="E107" s="41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39"/>
      <c r="G107" s="41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39"/>
      <c r="I107" s="41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39"/>
      <c r="K107" s="41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39"/>
      <c r="M107" s="41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39"/>
      <c r="O107" s="41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39"/>
      <c r="Q107" s="41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39"/>
      <c r="S107" s="41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39"/>
      <c r="U107" s="41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39"/>
      <c r="W107" s="41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39"/>
      <c r="Y107" s="41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39"/>
      <c r="AA107" s="41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39"/>
      <c r="AC107" s="41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39"/>
      <c r="AE107" s="41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39"/>
      <c r="AG107" s="41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39"/>
      <c r="AI107" s="41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39"/>
      <c r="AK107" s="41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39"/>
      <c r="AM107" s="41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39"/>
      <c r="AO107" s="41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39"/>
      <c r="AQ107" s="41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39"/>
      <c r="AS107" s="41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39"/>
      <c r="AU107" s="41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39"/>
      <c r="AW107" s="41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39"/>
      <c r="AY107" s="41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39"/>
      <c r="BA107" s="41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39"/>
      <c r="BC107" s="41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39"/>
      <c r="BE107" s="41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39"/>
      <c r="BG107" s="41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39"/>
      <c r="BI107" s="41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6"/>
      <c r="B108" s="40" t="s">
        <v>399</v>
      </c>
      <c r="C108" s="41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39"/>
      <c r="E108" s="41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39"/>
      <c r="G108" s="41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39"/>
      <c r="I108" s="41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39"/>
      <c r="K108" s="41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39"/>
      <c r="M108" s="41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39"/>
      <c r="O108" s="41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39"/>
      <c r="Q108" s="41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39"/>
      <c r="S108" s="41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39"/>
      <c r="U108" s="41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39"/>
      <c r="W108" s="41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39"/>
      <c r="Y108" s="41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39"/>
      <c r="AA108" s="41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39"/>
      <c r="AC108" s="41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39"/>
      <c r="AE108" s="41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39"/>
      <c r="AG108" s="41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39"/>
      <c r="AI108" s="41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39"/>
      <c r="AK108" s="41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39"/>
      <c r="AM108" s="41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39"/>
      <c r="AO108" s="41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39"/>
      <c r="AQ108" s="41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39"/>
      <c r="AS108" s="41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39"/>
      <c r="AU108" s="41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39"/>
      <c r="AW108" s="41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39"/>
      <c r="AY108" s="41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39"/>
      <c r="BA108" s="41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39"/>
      <c r="BC108" s="41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39"/>
      <c r="BE108" s="41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39"/>
      <c r="BG108" s="41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39"/>
      <c r="BI108" s="41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6"/>
      <c r="B109" s="40" t="s">
        <v>400</v>
      </c>
      <c r="C109" s="41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39"/>
      <c r="E109" s="41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39"/>
      <c r="G109" s="41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39"/>
      <c r="I109" s="41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39"/>
      <c r="K109" s="41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39"/>
      <c r="M109" s="41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39"/>
      <c r="O109" s="41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39"/>
      <c r="Q109" s="41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39"/>
      <c r="S109" s="41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39"/>
      <c r="U109" s="41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39"/>
      <c r="W109" s="41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39"/>
      <c r="Y109" s="41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39"/>
      <c r="AA109" s="41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39"/>
      <c r="AC109" s="41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39"/>
      <c r="AE109" s="41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39"/>
      <c r="AG109" s="41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39"/>
      <c r="AI109" s="41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39"/>
      <c r="AK109" s="41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39"/>
      <c r="AM109" s="41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39"/>
      <c r="AO109" s="41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39"/>
      <c r="AQ109" s="41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39"/>
      <c r="AS109" s="41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39"/>
      <c r="AU109" s="41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39"/>
      <c r="AW109" s="41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39"/>
      <c r="AY109" s="41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39"/>
      <c r="BA109" s="41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39"/>
      <c r="BC109" s="41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39"/>
      <c r="BE109" s="41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39"/>
      <c r="BG109" s="41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39"/>
      <c r="BI109" s="41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6"/>
      <c r="B110" s="40" t="s">
        <v>401</v>
      </c>
      <c r="C110" s="41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39"/>
      <c r="E110" s="41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39"/>
      <c r="G110" s="41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39"/>
      <c r="I110" s="41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39"/>
      <c r="K110" s="41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39"/>
      <c r="M110" s="41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39"/>
      <c r="O110" s="41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39"/>
      <c r="Q110" s="41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39"/>
      <c r="S110" s="41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39"/>
      <c r="U110" s="41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39"/>
      <c r="W110" s="41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39"/>
      <c r="Y110" s="41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39"/>
      <c r="AA110" s="41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39"/>
      <c r="AC110" s="41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39"/>
      <c r="AE110" s="41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39"/>
      <c r="AG110" s="41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39"/>
      <c r="AI110" s="41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39"/>
      <c r="AK110" s="41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39"/>
      <c r="AM110" s="41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39"/>
      <c r="AO110" s="41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39"/>
      <c r="AQ110" s="41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39"/>
      <c r="AS110" s="41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39"/>
      <c r="AU110" s="41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39"/>
      <c r="AW110" s="41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39"/>
      <c r="AY110" s="41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39"/>
      <c r="BA110" s="41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39"/>
      <c r="BC110" s="41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39"/>
      <c r="BE110" s="41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39"/>
      <c r="BG110" s="41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39"/>
      <c r="BI110" s="41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6"/>
      <c r="B111" s="40" t="s">
        <v>402</v>
      </c>
      <c r="C111" s="41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39"/>
      <c r="E111" s="41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39"/>
      <c r="G111" s="41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39"/>
      <c r="I111" s="41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39"/>
      <c r="K111" s="41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39"/>
      <c r="M111" s="41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39"/>
      <c r="O111" s="41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39"/>
      <c r="Q111" s="41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39"/>
      <c r="S111" s="41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39"/>
      <c r="U111" s="41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39"/>
      <c r="W111" s="41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39"/>
      <c r="Y111" s="41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39"/>
      <c r="AA111" s="41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39"/>
      <c r="AC111" s="41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39"/>
      <c r="AE111" s="41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39"/>
      <c r="AG111" s="41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39"/>
      <c r="AI111" s="41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39"/>
      <c r="AK111" s="41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39"/>
      <c r="AM111" s="41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39"/>
      <c r="AO111" s="41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39"/>
      <c r="AQ111" s="41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39"/>
      <c r="AS111" s="41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39"/>
      <c r="AU111" s="41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39"/>
      <c r="AW111" s="41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39"/>
      <c r="AY111" s="41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39"/>
      <c r="BA111" s="41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39"/>
      <c r="BC111" s="41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39"/>
      <c r="BE111" s="41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39"/>
      <c r="BG111" s="41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39"/>
      <c r="BI111" s="41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6"/>
      <c r="B112" s="40" t="s">
        <v>403</v>
      </c>
      <c r="C112" s="41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39"/>
      <c r="E112" s="41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39"/>
      <c r="G112" s="41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39"/>
      <c r="I112" s="41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39"/>
      <c r="K112" s="41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39"/>
      <c r="M112" s="41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39"/>
      <c r="O112" s="41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39"/>
      <c r="Q112" s="41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39"/>
      <c r="S112" s="41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39"/>
      <c r="U112" s="41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39"/>
      <c r="W112" s="41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39"/>
      <c r="Y112" s="41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39"/>
      <c r="AA112" s="41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39"/>
      <c r="AC112" s="41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39"/>
      <c r="AE112" s="41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39"/>
      <c r="AG112" s="41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39"/>
      <c r="AI112" s="41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39"/>
      <c r="AK112" s="41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39"/>
      <c r="AM112" s="41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39"/>
      <c r="AO112" s="41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39"/>
      <c r="AQ112" s="41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39"/>
      <c r="AS112" s="41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39"/>
      <c r="AU112" s="41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39"/>
      <c r="AW112" s="41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39"/>
      <c r="AY112" s="41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39"/>
      <c r="BA112" s="41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39"/>
      <c r="BC112" s="41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39"/>
      <c r="BE112" s="41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39"/>
      <c r="BG112" s="41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39"/>
      <c r="BI112" s="41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6"/>
      <c r="B113" s="40" t="s">
        <v>404</v>
      </c>
      <c r="C113" s="41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39"/>
      <c r="E113" s="41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39"/>
      <c r="G113" s="41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39"/>
      <c r="I113" s="41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39"/>
      <c r="K113" s="41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39"/>
      <c r="M113" s="41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39"/>
      <c r="O113" s="41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39"/>
      <c r="Q113" s="41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39"/>
      <c r="S113" s="41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39"/>
      <c r="U113" s="41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39"/>
      <c r="W113" s="41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39"/>
      <c r="Y113" s="41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39"/>
      <c r="AA113" s="41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39"/>
      <c r="AC113" s="41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39"/>
      <c r="AE113" s="41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39"/>
      <c r="AG113" s="41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39"/>
      <c r="AI113" s="41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39"/>
      <c r="AK113" s="41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39"/>
      <c r="AM113" s="41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39"/>
      <c r="AO113" s="41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39"/>
      <c r="AQ113" s="41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39"/>
      <c r="AS113" s="41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39"/>
      <c r="AU113" s="41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39"/>
      <c r="AW113" s="41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39"/>
      <c r="AY113" s="41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39"/>
      <c r="BA113" s="41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39"/>
      <c r="BC113" s="41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39"/>
      <c r="BE113" s="41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39"/>
      <c r="BG113" s="41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39"/>
      <c r="BI113" s="41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6"/>
      <c r="B114" s="40" t="s">
        <v>405</v>
      </c>
      <c r="C114" s="41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39"/>
      <c r="E114" s="41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39"/>
      <c r="G114" s="41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39"/>
      <c r="I114" s="41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39"/>
      <c r="K114" s="41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39"/>
      <c r="M114" s="41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39"/>
      <c r="O114" s="41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39"/>
      <c r="Q114" s="41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39"/>
      <c r="S114" s="41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39"/>
      <c r="U114" s="41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39"/>
      <c r="W114" s="41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39"/>
      <c r="Y114" s="41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39"/>
      <c r="AA114" s="41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39"/>
      <c r="AC114" s="41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39"/>
      <c r="AE114" s="41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39"/>
      <c r="AG114" s="41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39"/>
      <c r="AI114" s="41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39"/>
      <c r="AK114" s="41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39"/>
      <c r="AM114" s="41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39"/>
      <c r="AO114" s="41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39"/>
      <c r="AQ114" s="41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39"/>
      <c r="AS114" s="41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39"/>
      <c r="AU114" s="41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39"/>
      <c r="AW114" s="41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39"/>
      <c r="AY114" s="41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39"/>
      <c r="BA114" s="41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39"/>
      <c r="BC114" s="41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39"/>
      <c r="BE114" s="41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39"/>
      <c r="BG114" s="41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39"/>
      <c r="BI114" s="41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6"/>
      <c r="B115" s="40" t="s">
        <v>406</v>
      </c>
      <c r="C115" s="41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39"/>
      <c r="E115" s="41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39"/>
      <c r="G115" s="41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39"/>
      <c r="I115" s="41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39"/>
      <c r="K115" s="41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39"/>
      <c r="M115" s="41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39"/>
      <c r="O115" s="41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39"/>
      <c r="Q115" s="41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39"/>
      <c r="S115" s="41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39"/>
      <c r="U115" s="41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39"/>
      <c r="W115" s="41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39"/>
      <c r="Y115" s="41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39"/>
      <c r="AA115" s="41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39"/>
      <c r="AC115" s="41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39"/>
      <c r="AE115" s="41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39"/>
      <c r="AG115" s="41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39"/>
      <c r="AI115" s="41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39"/>
      <c r="AK115" s="41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39"/>
      <c r="AM115" s="41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39"/>
      <c r="AO115" s="41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39"/>
      <c r="AQ115" s="41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39"/>
      <c r="AS115" s="41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39"/>
      <c r="AU115" s="41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39"/>
      <c r="AW115" s="41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39"/>
      <c r="AY115" s="41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39"/>
      <c r="BA115" s="41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39"/>
      <c r="BC115" s="41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39"/>
      <c r="BE115" s="41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39"/>
      <c r="BG115" s="41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39"/>
      <c r="BI115" s="41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6"/>
      <c r="B116" s="40" t="s">
        <v>407</v>
      </c>
      <c r="C116" s="41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39"/>
      <c r="E116" s="41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39"/>
      <c r="G116" s="41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39"/>
      <c r="I116" s="41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39"/>
      <c r="K116" s="41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39"/>
      <c r="M116" s="41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39"/>
      <c r="O116" s="41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39"/>
      <c r="Q116" s="41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39"/>
      <c r="S116" s="41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39"/>
      <c r="U116" s="41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39"/>
      <c r="W116" s="41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39"/>
      <c r="Y116" s="41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39"/>
      <c r="AA116" s="41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39"/>
      <c r="AC116" s="41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39"/>
      <c r="AE116" s="41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39"/>
      <c r="AG116" s="41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39"/>
      <c r="AI116" s="41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39"/>
      <c r="AK116" s="41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39"/>
      <c r="AM116" s="41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39"/>
      <c r="AO116" s="41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39"/>
      <c r="AQ116" s="41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39"/>
      <c r="AS116" s="41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39"/>
      <c r="AU116" s="41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39"/>
      <c r="AW116" s="41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39"/>
      <c r="AY116" s="41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39"/>
      <c r="BA116" s="41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39"/>
      <c r="BC116" s="41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39"/>
      <c r="BE116" s="41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39"/>
      <c r="BG116" s="41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39"/>
      <c r="BI116" s="41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6"/>
      <c r="B117" s="40" t="s">
        <v>408</v>
      </c>
      <c r="C117" s="41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39"/>
      <c r="E117" s="41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39"/>
      <c r="G117" s="41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39"/>
      <c r="I117" s="41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39"/>
      <c r="K117" s="41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39"/>
      <c r="M117" s="41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39"/>
      <c r="O117" s="41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39"/>
      <c r="Q117" s="41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39"/>
      <c r="S117" s="41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39"/>
      <c r="U117" s="41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39"/>
      <c r="W117" s="41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39"/>
      <c r="Y117" s="41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39"/>
      <c r="AA117" s="41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39"/>
      <c r="AC117" s="41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39"/>
      <c r="AE117" s="41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39"/>
      <c r="AG117" s="41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39"/>
      <c r="AI117" s="41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39"/>
      <c r="AK117" s="41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39"/>
      <c r="AM117" s="41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39"/>
      <c r="AO117" s="41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39"/>
      <c r="AQ117" s="41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39"/>
      <c r="AS117" s="41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39"/>
      <c r="AU117" s="41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39"/>
      <c r="AW117" s="41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39"/>
      <c r="AY117" s="41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39"/>
      <c r="BA117" s="41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39"/>
      <c r="BC117" s="41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39"/>
      <c r="BE117" s="41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39"/>
      <c r="BG117" s="41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39"/>
      <c r="BI117" s="41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6"/>
      <c r="B118" s="42" t="s">
        <v>409</v>
      </c>
      <c r="C118" s="43">
        <f>SUM(C82:C117)</f>
        <v>49</v>
      </c>
      <c r="D118" s="39"/>
      <c r="E118" s="43">
        <f>SUM(E82:E117)</f>
        <v>53</v>
      </c>
      <c r="F118" s="39"/>
      <c r="G118" s="43">
        <f>SUM(G82:G117)</f>
        <v>48</v>
      </c>
      <c r="H118" s="39"/>
      <c r="I118" s="43">
        <f>SUM(I82:I117)</f>
        <v>48</v>
      </c>
      <c r="J118" s="39"/>
      <c r="K118" s="43">
        <f>SUM(K82:K117)</f>
        <v>51</v>
      </c>
      <c r="L118" s="39"/>
      <c r="M118" s="43">
        <f>SUM(M82:M117)</f>
        <v>52</v>
      </c>
      <c r="N118" s="39"/>
      <c r="O118" s="43">
        <f>SUM(O82:O117)</f>
        <v>49</v>
      </c>
      <c r="P118" s="39"/>
      <c r="Q118" s="43">
        <f>SUM(Q82:Q117)</f>
        <v>47</v>
      </c>
      <c r="R118" s="39"/>
      <c r="S118" s="43">
        <f>SUM(S82:S117)</f>
        <v>55</v>
      </c>
      <c r="T118" s="39"/>
      <c r="U118" s="43">
        <f>SUM(U82:U117)</f>
        <v>52</v>
      </c>
      <c r="V118" s="39"/>
      <c r="W118" s="43">
        <f>SUM(W82:W117)</f>
        <v>51</v>
      </c>
      <c r="X118" s="39"/>
      <c r="Y118" s="43">
        <f>SUM(Y82:Y117)</f>
        <v>46</v>
      </c>
      <c r="Z118" s="39"/>
      <c r="AA118" s="43">
        <f>SUM(AA82:AA117)</f>
        <v>53</v>
      </c>
      <c r="AB118" s="39"/>
      <c r="AC118" s="43">
        <f>SUM(AC82:AC117)</f>
        <v>49</v>
      </c>
      <c r="AD118" s="39"/>
      <c r="AE118" s="43">
        <f>SUM(AE82:AE117)</f>
        <v>55</v>
      </c>
      <c r="AF118" s="39"/>
      <c r="AG118" s="43">
        <f>SUM(AG82:AG117)</f>
        <v>53</v>
      </c>
      <c r="AH118" s="39"/>
      <c r="AI118" s="43">
        <f>SUM(AI82:AI117)</f>
        <v>49</v>
      </c>
      <c r="AJ118" s="39"/>
      <c r="AK118" s="43">
        <f>SUM(AK82:AK117)</f>
        <v>52</v>
      </c>
      <c r="AL118" s="39"/>
      <c r="AM118" s="43">
        <f>SUM(AM82:AM117)</f>
        <v>53</v>
      </c>
      <c r="AN118" s="39"/>
      <c r="AO118" s="43">
        <f>SUM(AO82:AO117)</f>
        <v>56</v>
      </c>
      <c r="AP118" s="39"/>
      <c r="AQ118" s="43">
        <f>SUM(AQ82:AQ117)</f>
        <v>53</v>
      </c>
      <c r="AR118" s="39"/>
      <c r="AS118" s="43">
        <f>SUM(AS82:AS117)</f>
        <v>39</v>
      </c>
      <c r="AT118" s="39"/>
      <c r="AU118" s="43">
        <f>SUM(AU82:AU117)</f>
        <v>55</v>
      </c>
      <c r="AV118" s="39"/>
      <c r="AW118" s="43">
        <f>SUM(AW82:AW117)</f>
        <v>38</v>
      </c>
      <c r="AX118" s="39"/>
      <c r="AY118" s="43">
        <f>SUM(AY82:AY117)</f>
        <v>52</v>
      </c>
      <c r="AZ118" s="39"/>
      <c r="BA118" s="43">
        <f>SUM(BA82:BA117)</f>
        <v>50</v>
      </c>
      <c r="BB118" s="39"/>
      <c r="BC118" s="43">
        <f>SUM(BC82:BC117)</f>
        <v>53</v>
      </c>
      <c r="BD118" s="39"/>
      <c r="BE118" s="43">
        <f>SUM(BE82:BE117)</f>
        <v>50</v>
      </c>
      <c r="BF118" s="39"/>
      <c r="BG118" s="43">
        <f>SUM(BG82:BG117)</f>
        <v>0</v>
      </c>
      <c r="BH118" s="39"/>
      <c r="BI118" s="43">
        <f>SUM(BI82:BI117)</f>
        <v>0</v>
      </c>
    </row>
    <row r="119" ht="19.5" customHeight="1">
      <c r="A119" s="36"/>
      <c r="B119" s="37" t="s">
        <v>410</v>
      </c>
      <c r="C119" s="38"/>
      <c r="D119" s="39"/>
      <c r="E119" s="38"/>
      <c r="F119" s="39"/>
      <c r="G119" s="38"/>
      <c r="H119" s="39"/>
      <c r="I119" s="38"/>
      <c r="J119" s="39"/>
      <c r="K119" s="38"/>
      <c r="L119" s="39"/>
      <c r="M119" s="38"/>
      <c r="N119" s="39"/>
      <c r="O119" s="38"/>
      <c r="P119" s="39"/>
      <c r="Q119" s="38"/>
      <c r="R119" s="39"/>
      <c r="S119" s="38"/>
      <c r="T119" s="39"/>
      <c r="U119" s="38"/>
      <c r="V119" s="39"/>
      <c r="W119" s="38"/>
      <c r="X119" s="39"/>
      <c r="Y119" s="38"/>
      <c r="Z119" s="39"/>
      <c r="AA119" s="38"/>
      <c r="AB119" s="39"/>
      <c r="AC119" s="38"/>
      <c r="AD119" s="39"/>
      <c r="AE119" s="38"/>
      <c r="AF119" s="39"/>
      <c r="AG119" s="38"/>
      <c r="AH119" s="39"/>
      <c r="AI119" s="38"/>
      <c r="AJ119" s="39"/>
      <c r="AK119" s="38"/>
      <c r="AL119" s="39"/>
      <c r="AM119" s="38"/>
      <c r="AN119" s="39"/>
      <c r="AO119" s="38"/>
      <c r="AP119" s="39"/>
      <c r="AQ119" s="38"/>
      <c r="AR119" s="39"/>
      <c r="AS119" s="38"/>
      <c r="AT119" s="39"/>
      <c r="AU119" s="38"/>
      <c r="AV119" s="39"/>
      <c r="AW119" s="38"/>
      <c r="AX119" s="39"/>
      <c r="AY119" s="38"/>
      <c r="AZ119" s="39"/>
      <c r="BA119" s="38"/>
      <c r="BB119" s="39"/>
      <c r="BC119" s="38"/>
      <c r="BD119" s="39"/>
      <c r="BE119" s="38"/>
      <c r="BF119" s="39"/>
      <c r="BG119" s="38"/>
      <c r="BH119" s="39"/>
      <c r="BI119" s="38"/>
    </row>
    <row r="120" ht="18.0" customHeight="1">
      <c r="A120" s="36"/>
      <c r="B120" s="40" t="s">
        <v>411</v>
      </c>
      <c r="C120" s="41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39"/>
      <c r="E120" s="41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39"/>
      <c r="G120" s="41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39"/>
      <c r="I120" s="41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39"/>
      <c r="K120" s="41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39"/>
      <c r="M120" s="41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39"/>
      <c r="O120" s="41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39"/>
      <c r="Q120" s="41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39"/>
      <c r="S120" s="41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39"/>
      <c r="U120" s="41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39"/>
      <c r="W120" s="41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39"/>
      <c r="Y120" s="41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39"/>
      <c r="AA120" s="41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39"/>
      <c r="AC120" s="41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39"/>
      <c r="AE120" s="41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39"/>
      <c r="AG120" s="41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39"/>
      <c r="AI120" s="41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39"/>
      <c r="AK120" s="41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39"/>
      <c r="AM120" s="41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39"/>
      <c r="AO120" s="41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39"/>
      <c r="AQ120" s="41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39"/>
      <c r="AS120" s="41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39"/>
      <c r="AU120" s="41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39"/>
      <c r="AW120" s="41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39"/>
      <c r="AY120" s="41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39"/>
      <c r="BA120" s="41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39"/>
      <c r="BC120" s="41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39"/>
      <c r="BE120" s="41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39"/>
      <c r="BG120" s="41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39"/>
      <c r="BI120" s="41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6"/>
      <c r="B121" s="40" t="s">
        <v>412</v>
      </c>
      <c r="C121" s="41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39"/>
      <c r="E121" s="41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39"/>
      <c r="G121" s="41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39"/>
      <c r="I121" s="41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39"/>
      <c r="K121" s="41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39"/>
      <c r="M121" s="41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39"/>
      <c r="O121" s="41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39"/>
      <c r="Q121" s="41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39"/>
      <c r="S121" s="41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39"/>
      <c r="U121" s="41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39"/>
      <c r="W121" s="41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39"/>
      <c r="Y121" s="41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39"/>
      <c r="AA121" s="41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39"/>
      <c r="AC121" s="41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39"/>
      <c r="AE121" s="41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39"/>
      <c r="AG121" s="41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39"/>
      <c r="AI121" s="41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39"/>
      <c r="AK121" s="41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39"/>
      <c r="AM121" s="41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39"/>
      <c r="AO121" s="41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39"/>
      <c r="AQ121" s="41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39"/>
      <c r="AS121" s="41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39"/>
      <c r="AU121" s="41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39"/>
      <c r="AW121" s="41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39"/>
      <c r="AY121" s="41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39"/>
      <c r="BA121" s="41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39"/>
      <c r="BC121" s="41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39"/>
      <c r="BE121" s="41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39"/>
      <c r="BG121" s="41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39"/>
      <c r="BI121" s="41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6"/>
      <c r="B122" s="40" t="s">
        <v>413</v>
      </c>
      <c r="C122" s="41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39"/>
      <c r="E122" s="41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39"/>
      <c r="G122" s="41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39"/>
      <c r="I122" s="41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39"/>
      <c r="K122" s="41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39"/>
      <c r="M122" s="41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39"/>
      <c r="O122" s="41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39"/>
      <c r="Q122" s="41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39"/>
      <c r="S122" s="41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39"/>
      <c r="U122" s="41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39"/>
      <c r="W122" s="41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39"/>
      <c r="Y122" s="41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39"/>
      <c r="AA122" s="41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39"/>
      <c r="AC122" s="41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39"/>
      <c r="AE122" s="41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39"/>
      <c r="AG122" s="41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39"/>
      <c r="AI122" s="41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39"/>
      <c r="AK122" s="41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39"/>
      <c r="AM122" s="41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39"/>
      <c r="AO122" s="41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39"/>
      <c r="AQ122" s="41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39"/>
      <c r="AS122" s="41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39"/>
      <c r="AU122" s="41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39"/>
      <c r="AW122" s="41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39"/>
      <c r="AY122" s="41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39"/>
      <c r="BA122" s="41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39"/>
      <c r="BC122" s="41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39"/>
      <c r="BE122" s="41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39"/>
      <c r="BG122" s="41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39"/>
      <c r="BI122" s="41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6"/>
      <c r="B123" s="40" t="s">
        <v>414</v>
      </c>
      <c r="C123" s="41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39"/>
      <c r="E123" s="41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39"/>
      <c r="G123" s="41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39"/>
      <c r="I123" s="41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39"/>
      <c r="K123" s="41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39"/>
      <c r="M123" s="41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39"/>
      <c r="O123" s="41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39"/>
      <c r="Q123" s="41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39"/>
      <c r="S123" s="41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39"/>
      <c r="U123" s="41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39"/>
      <c r="W123" s="41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39"/>
      <c r="Y123" s="41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39"/>
      <c r="AA123" s="41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39"/>
      <c r="AC123" s="41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39"/>
      <c r="AE123" s="41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39"/>
      <c r="AG123" s="41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39"/>
      <c r="AI123" s="41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39"/>
      <c r="AK123" s="41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39"/>
      <c r="AM123" s="41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39"/>
      <c r="AO123" s="41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39"/>
      <c r="AQ123" s="41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39"/>
      <c r="AS123" s="41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39"/>
      <c r="AU123" s="41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39"/>
      <c r="AW123" s="41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39"/>
      <c r="AY123" s="41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39"/>
      <c r="BA123" s="41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39"/>
      <c r="BC123" s="41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39"/>
      <c r="BE123" s="41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39"/>
      <c r="BG123" s="41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39"/>
      <c r="BI123" s="41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6"/>
      <c r="B124" s="40" t="s">
        <v>415</v>
      </c>
      <c r="C124" s="41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39"/>
      <c r="E124" s="41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39"/>
      <c r="G124" s="41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39"/>
      <c r="I124" s="41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39"/>
      <c r="K124" s="41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39"/>
      <c r="M124" s="41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39"/>
      <c r="O124" s="41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39"/>
      <c r="Q124" s="41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39"/>
      <c r="S124" s="41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39"/>
      <c r="U124" s="41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39"/>
      <c r="W124" s="41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39"/>
      <c r="Y124" s="41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39"/>
      <c r="AA124" s="41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39"/>
      <c r="AC124" s="41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39"/>
      <c r="AE124" s="41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39"/>
      <c r="AG124" s="41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39"/>
      <c r="AI124" s="41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39"/>
      <c r="AK124" s="41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39"/>
      <c r="AM124" s="41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39"/>
      <c r="AO124" s="41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39"/>
      <c r="AQ124" s="41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39"/>
      <c r="AS124" s="41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39"/>
      <c r="AU124" s="41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39"/>
      <c r="AW124" s="41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39"/>
      <c r="AY124" s="41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39"/>
      <c r="BA124" s="41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39"/>
      <c r="BC124" s="41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39"/>
      <c r="BE124" s="41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39"/>
      <c r="BG124" s="41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39"/>
      <c r="BI124" s="41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6"/>
      <c r="B125" s="40" t="s">
        <v>416</v>
      </c>
      <c r="C125" s="41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39"/>
      <c r="E125" s="41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39"/>
      <c r="G125" s="41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39"/>
      <c r="I125" s="41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39"/>
      <c r="K125" s="41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39"/>
      <c r="M125" s="41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39"/>
      <c r="O125" s="41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39"/>
      <c r="Q125" s="41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39"/>
      <c r="S125" s="41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39"/>
      <c r="U125" s="41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39"/>
      <c r="W125" s="41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39"/>
      <c r="Y125" s="41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39"/>
      <c r="AA125" s="41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39"/>
      <c r="AC125" s="41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39"/>
      <c r="AE125" s="41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39"/>
      <c r="AG125" s="41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39"/>
      <c r="AI125" s="41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39"/>
      <c r="AK125" s="41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39"/>
      <c r="AM125" s="41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39"/>
      <c r="AO125" s="41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39"/>
      <c r="AQ125" s="41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39"/>
      <c r="AS125" s="41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39"/>
      <c r="AU125" s="41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39"/>
      <c r="AW125" s="41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39"/>
      <c r="AY125" s="41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39"/>
      <c r="BA125" s="41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39"/>
      <c r="BC125" s="41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39"/>
      <c r="BE125" s="41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39"/>
      <c r="BG125" s="41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39"/>
      <c r="BI125" s="41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6"/>
      <c r="B126" s="40" t="s">
        <v>417</v>
      </c>
      <c r="C126" s="41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39"/>
      <c r="E126" s="41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39"/>
      <c r="G126" s="41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39"/>
      <c r="I126" s="41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39"/>
      <c r="K126" s="41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39"/>
      <c r="M126" s="41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39"/>
      <c r="O126" s="41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39"/>
      <c r="Q126" s="41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39"/>
      <c r="S126" s="41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39"/>
      <c r="U126" s="41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39"/>
      <c r="W126" s="41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39"/>
      <c r="Y126" s="41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39"/>
      <c r="AA126" s="41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39"/>
      <c r="AC126" s="41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39"/>
      <c r="AE126" s="41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39"/>
      <c r="AG126" s="41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39"/>
      <c r="AI126" s="41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39"/>
      <c r="AK126" s="41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39"/>
      <c r="AM126" s="41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39"/>
      <c r="AO126" s="41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39"/>
      <c r="AQ126" s="41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39"/>
      <c r="AS126" s="41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39"/>
      <c r="AU126" s="41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39"/>
      <c r="AW126" s="41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39"/>
      <c r="AY126" s="41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39"/>
      <c r="BA126" s="41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39"/>
      <c r="BC126" s="41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39"/>
      <c r="BE126" s="41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39"/>
      <c r="BG126" s="41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39"/>
      <c r="BI126" s="41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6"/>
      <c r="B127" s="40" t="s">
        <v>418</v>
      </c>
      <c r="C127" s="41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39"/>
      <c r="E127" s="41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39"/>
      <c r="G127" s="41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39"/>
      <c r="I127" s="41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39"/>
      <c r="K127" s="41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39"/>
      <c r="M127" s="41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39"/>
      <c r="O127" s="41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39"/>
      <c r="Q127" s="41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39"/>
      <c r="S127" s="41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39"/>
      <c r="U127" s="41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39"/>
      <c r="W127" s="41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39"/>
      <c r="Y127" s="41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39"/>
      <c r="AA127" s="41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39"/>
      <c r="AC127" s="41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39"/>
      <c r="AE127" s="41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39"/>
      <c r="AG127" s="41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39"/>
      <c r="AI127" s="41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39"/>
      <c r="AK127" s="41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39"/>
      <c r="AM127" s="41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39"/>
      <c r="AO127" s="41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39"/>
      <c r="AQ127" s="41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39"/>
      <c r="AS127" s="41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39"/>
      <c r="AU127" s="41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39"/>
      <c r="AW127" s="41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39"/>
      <c r="AY127" s="41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39"/>
      <c r="BA127" s="41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39"/>
      <c r="BC127" s="41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39"/>
      <c r="BE127" s="41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39"/>
      <c r="BG127" s="41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39"/>
      <c r="BI127" s="41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6"/>
      <c r="B128" s="42" t="s">
        <v>419</v>
      </c>
      <c r="C128" s="43">
        <f>SUM(C120:C127)</f>
        <v>2</v>
      </c>
      <c r="D128" s="39"/>
      <c r="E128" s="43">
        <f>SUM(E120:E127)</f>
        <v>4</v>
      </c>
      <c r="F128" s="39"/>
      <c r="G128" s="43">
        <f>SUM(G120:G127)</f>
        <v>1</v>
      </c>
      <c r="H128" s="39"/>
      <c r="I128" s="43">
        <f>SUM(I120:I127)</f>
        <v>3</v>
      </c>
      <c r="J128" s="39"/>
      <c r="K128" s="43">
        <f>SUM(K120:K127)</f>
        <v>4</v>
      </c>
      <c r="L128" s="39"/>
      <c r="M128" s="43">
        <f>SUM(M120:M127)</f>
        <v>2</v>
      </c>
      <c r="N128" s="39"/>
      <c r="O128" s="43">
        <f>SUM(O120:O127)</f>
        <v>2</v>
      </c>
      <c r="P128" s="39"/>
      <c r="Q128" s="43">
        <f>SUM(Q120:Q127)</f>
        <v>3</v>
      </c>
      <c r="R128" s="39"/>
      <c r="S128" s="43">
        <f>SUM(S120:S127)</f>
        <v>2</v>
      </c>
      <c r="T128" s="39"/>
      <c r="U128" s="43">
        <f>SUM(U120:U127)</f>
        <v>5</v>
      </c>
      <c r="V128" s="39"/>
      <c r="W128" s="43">
        <f>SUM(W120:W127)</f>
        <v>4</v>
      </c>
      <c r="X128" s="39"/>
      <c r="Y128" s="43">
        <f>SUM(Y120:Y127)</f>
        <v>3</v>
      </c>
      <c r="Z128" s="39"/>
      <c r="AA128" s="43">
        <f>SUM(AA120:AA127)</f>
        <v>6</v>
      </c>
      <c r="AB128" s="39"/>
      <c r="AC128" s="43">
        <f>SUM(AC120:AC127)</f>
        <v>1</v>
      </c>
      <c r="AD128" s="39"/>
      <c r="AE128" s="43">
        <f>SUM(AE120:AE127)</f>
        <v>5</v>
      </c>
      <c r="AF128" s="39"/>
      <c r="AG128" s="43">
        <f>SUM(AG120:AG127)</f>
        <v>2</v>
      </c>
      <c r="AH128" s="39"/>
      <c r="AI128" s="43">
        <f>SUM(AI120:AI127)</f>
        <v>5</v>
      </c>
      <c r="AJ128" s="39"/>
      <c r="AK128" s="43">
        <f>SUM(AK120:AK127)</f>
        <v>4</v>
      </c>
      <c r="AL128" s="39"/>
      <c r="AM128" s="43">
        <f>SUM(AM120:AM127)</f>
        <v>4</v>
      </c>
      <c r="AN128" s="39"/>
      <c r="AO128" s="43">
        <f>SUM(AO120:AO127)</f>
        <v>5</v>
      </c>
      <c r="AP128" s="39"/>
      <c r="AQ128" s="43">
        <f>SUM(AQ120:AQ127)</f>
        <v>2</v>
      </c>
      <c r="AR128" s="39"/>
      <c r="AS128" s="43">
        <f>SUM(AS120:AS127)</f>
        <v>3</v>
      </c>
      <c r="AT128" s="39"/>
      <c r="AU128" s="43">
        <f>SUM(AU120:AU127)</f>
        <v>4</v>
      </c>
      <c r="AV128" s="39"/>
      <c r="AW128" s="43">
        <f>SUM(AW120:AW127)</f>
        <v>1</v>
      </c>
      <c r="AX128" s="39"/>
      <c r="AY128" s="43">
        <f>SUM(AY120:AY127)</f>
        <v>5</v>
      </c>
      <c r="AZ128" s="39"/>
      <c r="BA128" s="43">
        <f>SUM(BA120:BA127)</f>
        <v>1</v>
      </c>
      <c r="BB128" s="39"/>
      <c r="BC128" s="43">
        <f>SUM(BC120:BC127)</f>
        <v>4</v>
      </c>
      <c r="BD128" s="39"/>
      <c r="BE128" s="43">
        <f>SUM(BE120:BE127)</f>
        <v>6</v>
      </c>
      <c r="BF128" s="39"/>
      <c r="BG128" s="43">
        <f>SUM(BG120:BG127)</f>
        <v>0</v>
      </c>
      <c r="BH128" s="39"/>
      <c r="BI128" s="43">
        <f>SUM(BI120:BI127)</f>
        <v>0</v>
      </c>
    </row>
    <row r="129" ht="19.5" customHeight="1">
      <c r="A129" s="36"/>
      <c r="B129" s="37" t="s">
        <v>420</v>
      </c>
      <c r="C129" s="38"/>
      <c r="D129" s="39"/>
      <c r="E129" s="38"/>
      <c r="F129" s="39"/>
      <c r="G129" s="38"/>
      <c r="H129" s="39"/>
      <c r="I129" s="38"/>
      <c r="J129" s="39"/>
      <c r="K129" s="38"/>
      <c r="L129" s="39"/>
      <c r="M129" s="38"/>
      <c r="N129" s="39"/>
      <c r="O129" s="38"/>
      <c r="P129" s="39"/>
      <c r="Q129" s="38"/>
      <c r="R129" s="39"/>
      <c r="S129" s="38"/>
      <c r="T129" s="39"/>
      <c r="U129" s="38"/>
      <c r="V129" s="39"/>
      <c r="W129" s="38"/>
      <c r="X129" s="39"/>
      <c r="Y129" s="38"/>
      <c r="Z129" s="39"/>
      <c r="AA129" s="38"/>
      <c r="AB129" s="39"/>
      <c r="AC129" s="38"/>
      <c r="AD129" s="39"/>
      <c r="AE129" s="38"/>
      <c r="AF129" s="39"/>
      <c r="AG129" s="38"/>
      <c r="AH129" s="39"/>
      <c r="AI129" s="38"/>
      <c r="AJ129" s="39"/>
      <c r="AK129" s="38"/>
      <c r="AL129" s="39"/>
      <c r="AM129" s="38"/>
      <c r="AN129" s="39"/>
      <c r="AO129" s="38"/>
      <c r="AP129" s="39"/>
      <c r="AQ129" s="38"/>
      <c r="AR129" s="39"/>
      <c r="AS129" s="38"/>
      <c r="AT129" s="39"/>
      <c r="AU129" s="38"/>
      <c r="AV129" s="39"/>
      <c r="AW129" s="38"/>
      <c r="AX129" s="39"/>
      <c r="AY129" s="38"/>
      <c r="AZ129" s="39"/>
      <c r="BA129" s="38"/>
      <c r="BB129" s="39"/>
      <c r="BC129" s="38"/>
      <c r="BD129" s="39"/>
      <c r="BE129" s="38"/>
      <c r="BF129" s="39"/>
      <c r="BG129" s="38"/>
      <c r="BH129" s="39"/>
      <c r="BI129" s="38"/>
    </row>
    <row r="130" ht="18.0" customHeight="1">
      <c r="A130" s="36"/>
      <c r="B130" s="40" t="s">
        <v>421</v>
      </c>
      <c r="C130" s="41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39"/>
      <c r="E130" s="41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39"/>
      <c r="G130" s="41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39"/>
      <c r="I130" s="41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39"/>
      <c r="K130" s="41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39"/>
      <c r="M130" s="41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39"/>
      <c r="O130" s="41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39"/>
      <c r="Q130" s="41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39"/>
      <c r="S130" s="41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39"/>
      <c r="U130" s="41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39"/>
      <c r="W130" s="41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39"/>
      <c r="Y130" s="41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39"/>
      <c r="AA130" s="41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39"/>
      <c r="AC130" s="41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39"/>
      <c r="AE130" s="41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39"/>
      <c r="AG130" s="41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39"/>
      <c r="AI130" s="41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39"/>
      <c r="AK130" s="41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39"/>
      <c r="AM130" s="41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39"/>
      <c r="AO130" s="41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39"/>
      <c r="AQ130" s="41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39"/>
      <c r="AS130" s="41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39"/>
      <c r="AU130" s="41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39"/>
      <c r="AW130" s="41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39"/>
      <c r="AY130" s="41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39"/>
      <c r="BA130" s="41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39"/>
      <c r="BC130" s="41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39"/>
      <c r="BE130" s="41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39"/>
      <c r="BG130" s="41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39"/>
      <c r="BI130" s="41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6"/>
      <c r="B131" s="40" t="s">
        <v>422</v>
      </c>
      <c r="C131" s="44">
        <f>0</f>
        <v>0</v>
      </c>
      <c r="D131" s="39"/>
      <c r="E131" s="44">
        <f>0</f>
        <v>0</v>
      </c>
      <c r="F131" s="39"/>
      <c r="G131" s="44">
        <f>0</f>
        <v>0</v>
      </c>
      <c r="H131" s="39"/>
      <c r="I131" s="44">
        <f>0</f>
        <v>0</v>
      </c>
      <c r="J131" s="39"/>
      <c r="K131" s="44">
        <f>0</f>
        <v>0</v>
      </c>
      <c r="L131" s="39"/>
      <c r="M131" s="44">
        <f>0</f>
        <v>0</v>
      </c>
      <c r="N131" s="39"/>
      <c r="O131" s="44">
        <f>0</f>
        <v>0</v>
      </c>
      <c r="P131" s="39"/>
      <c r="Q131" s="44">
        <f>0</f>
        <v>0</v>
      </c>
      <c r="R131" s="39"/>
      <c r="S131" s="44">
        <f>0</f>
        <v>0</v>
      </c>
      <c r="T131" s="39"/>
      <c r="U131" s="44">
        <f>0</f>
        <v>0</v>
      </c>
      <c r="V131" s="39"/>
      <c r="W131" s="44">
        <f>0</f>
        <v>0</v>
      </c>
      <c r="X131" s="39"/>
      <c r="Y131" s="44">
        <f>0</f>
        <v>0</v>
      </c>
      <c r="Z131" s="39"/>
      <c r="AA131" s="44">
        <f>0</f>
        <v>0</v>
      </c>
      <c r="AB131" s="39"/>
      <c r="AC131" s="44">
        <f>0</f>
        <v>0</v>
      </c>
      <c r="AD131" s="39"/>
      <c r="AE131" s="44">
        <f>0</f>
        <v>0</v>
      </c>
      <c r="AF131" s="39"/>
      <c r="AG131" s="44">
        <f>0</f>
        <v>0</v>
      </c>
      <c r="AH131" s="39"/>
      <c r="AI131" s="44">
        <f>0</f>
        <v>0</v>
      </c>
      <c r="AJ131" s="39"/>
      <c r="AK131" s="44">
        <f>0</f>
        <v>0</v>
      </c>
      <c r="AL131" s="39"/>
      <c r="AM131" s="44">
        <f>0</f>
        <v>0</v>
      </c>
      <c r="AN131" s="39"/>
      <c r="AO131" s="44">
        <f>0</f>
        <v>0</v>
      </c>
      <c r="AP131" s="39"/>
      <c r="AQ131" s="44">
        <f>0</f>
        <v>0</v>
      </c>
      <c r="AR131" s="39"/>
      <c r="AS131" s="44">
        <f>0</f>
        <v>0</v>
      </c>
      <c r="AT131" s="39"/>
      <c r="AU131" s="44">
        <f>0</f>
        <v>0</v>
      </c>
      <c r="AV131" s="39"/>
      <c r="AW131" s="44">
        <f>0</f>
        <v>0</v>
      </c>
      <c r="AX131" s="39"/>
      <c r="AY131" s="44">
        <f>0</f>
        <v>0</v>
      </c>
      <c r="AZ131" s="39"/>
      <c r="BA131" s="44">
        <f>0</f>
        <v>0</v>
      </c>
      <c r="BB131" s="39"/>
      <c r="BC131" s="44">
        <f>0</f>
        <v>0</v>
      </c>
      <c r="BD131" s="39"/>
      <c r="BE131" s="44">
        <f>0</f>
        <v>0</v>
      </c>
      <c r="BF131" s="39"/>
      <c r="BG131" s="44">
        <f>IFERROR(IF(AND('Real results'!C127&lt;&gt;"",'Raw data'!BG127&lt;&gt;"",UPPER(TRIM('Real results'!C127))=UPPER(TRIM('Raw data'!BG127))),1,0),0)</f>
        <v>0</v>
      </c>
      <c r="BH131" s="39"/>
      <c r="BI131" s="41">
        <f>IFERROR(IF(AND('Real results'!C127&lt;&gt;"",'Raw data'!BI127&lt;&gt;"",UPPER(TRIM('Real results'!C127))=UPPER(TRIM('Raw data'!BI127))),1,0),0)</f>
        <v>0</v>
      </c>
    </row>
    <row r="132" ht="18.0" customHeight="1">
      <c r="A132" s="36"/>
      <c r="B132" s="40" t="s">
        <v>423</v>
      </c>
      <c r="C132" s="41">
        <f>IFERROR(IF(AND('Real results'!C128&lt;&gt;"",'Raw data'!C128&lt;&gt;"",UPPER(TRIM('Real results'!C128))=UPPER(TRIM('Raw data'!C128))),1,0),0)</f>
        <v>0</v>
      </c>
      <c r="D132" s="39"/>
      <c r="E132" s="41">
        <f>IFERROR(IF(AND('Real results'!C128&lt;&gt;"",'Raw data'!E128&lt;&gt;"",UPPER(TRIM('Real results'!C128))=UPPER(TRIM('Raw data'!E128))),1,0),0)</f>
        <v>0</v>
      </c>
      <c r="F132" s="39"/>
      <c r="G132" s="41">
        <f>IFERROR(IF(AND('Real results'!C128&lt;&gt;"",'Raw data'!G128&lt;&gt;"",UPPER(TRIM('Real results'!C128))=UPPER(TRIM('Raw data'!G128))),1,0),0)</f>
        <v>0</v>
      </c>
      <c r="H132" s="39"/>
      <c r="I132" s="41">
        <f>IFERROR(IF(AND('Real results'!C128&lt;&gt;"",'Raw data'!I128&lt;&gt;"",UPPER(TRIM('Real results'!C128))=UPPER(TRIM('Raw data'!I128))),1,0),0)</f>
        <v>0</v>
      </c>
      <c r="J132" s="39"/>
      <c r="K132" s="41">
        <f>IFERROR(IF(AND('Real results'!C128&lt;&gt;"",'Raw data'!K128&lt;&gt;"",UPPER(TRIM('Real results'!C128))=UPPER(TRIM('Raw data'!K128))),1,0),0)</f>
        <v>0</v>
      </c>
      <c r="L132" s="39"/>
      <c r="M132" s="41">
        <f>IFERROR(IF(AND('Real results'!C128&lt;&gt;"",'Raw data'!M128&lt;&gt;"",UPPER(TRIM('Real results'!C128))=UPPER(TRIM('Raw data'!M128))),1,0),0)</f>
        <v>0</v>
      </c>
      <c r="N132" s="39"/>
      <c r="O132" s="41">
        <f>IFERROR(IF(AND('Real results'!C128&lt;&gt;"",'Raw data'!O128&lt;&gt;"",UPPER(TRIM('Real results'!C128))=UPPER(TRIM('Raw data'!O128))),1,0),0)</f>
        <v>0</v>
      </c>
      <c r="P132" s="39"/>
      <c r="Q132" s="41">
        <f>IFERROR(IF(AND('Real results'!C128&lt;&gt;"",'Raw data'!Q128&lt;&gt;"",UPPER(TRIM('Real results'!C128))=UPPER(TRIM('Raw data'!Q128))),1,0),0)</f>
        <v>0</v>
      </c>
      <c r="R132" s="39"/>
      <c r="S132" s="41">
        <f>IFERROR(IF(AND('Real results'!C128&lt;&gt;"",'Raw data'!S128&lt;&gt;"",UPPER(TRIM('Real results'!C128))=UPPER(TRIM('Raw data'!S128))),1,0),0)</f>
        <v>0</v>
      </c>
      <c r="T132" s="39"/>
      <c r="U132" s="41">
        <f>IFERROR(IF(AND('Real results'!C128&lt;&gt;"",'Raw data'!U128&lt;&gt;"",UPPER(TRIM('Real results'!C128))=UPPER(TRIM('Raw data'!U128))),1,0),0)</f>
        <v>0</v>
      </c>
      <c r="V132" s="39"/>
      <c r="W132" s="41">
        <f>IFERROR(IF(AND('Real results'!C128&lt;&gt;"",'Raw data'!W128&lt;&gt;"",UPPER(TRIM('Real results'!C128))=UPPER(TRIM('Raw data'!W128))),1,0),0)</f>
        <v>0</v>
      </c>
      <c r="X132" s="39"/>
      <c r="Y132" s="41">
        <f>IFERROR(IF(AND('Real results'!C128&lt;&gt;"",'Raw data'!Y128&lt;&gt;"",UPPER(TRIM('Real results'!C128))=UPPER(TRIM('Raw data'!Y128))),1,0),0)</f>
        <v>0</v>
      </c>
      <c r="Z132" s="39"/>
      <c r="AA132" s="41">
        <f>IFERROR(IF(AND('Real results'!C128&lt;&gt;"",'Raw data'!AA128&lt;&gt;"",UPPER(TRIM('Real results'!C128))=UPPER(TRIM('Raw data'!AA128))),1,0),0)</f>
        <v>0</v>
      </c>
      <c r="AB132" s="39"/>
      <c r="AC132" s="41">
        <f>IFERROR(IF(AND('Real results'!C128&lt;&gt;"",'Raw data'!AC128&lt;&gt;"",UPPER(TRIM('Real results'!C128))=UPPER(TRIM('Raw data'!AC128))),1,0),0)</f>
        <v>0</v>
      </c>
      <c r="AD132" s="39"/>
      <c r="AE132" s="41">
        <f>IFERROR(IF(AND('Real results'!C128&lt;&gt;"",'Raw data'!AE128&lt;&gt;"",UPPER(TRIM('Real results'!C128))=UPPER(TRIM('Raw data'!AE128))),1,0),0)</f>
        <v>0</v>
      </c>
      <c r="AF132" s="39"/>
      <c r="AG132" s="41">
        <f>IFERROR(IF(AND('Real results'!C128&lt;&gt;"",'Raw data'!AG128&lt;&gt;"",UPPER(TRIM('Real results'!C128))=UPPER(TRIM('Raw data'!AG128))),1,0),0)</f>
        <v>0</v>
      </c>
      <c r="AH132" s="39"/>
      <c r="AI132" s="41">
        <f>IFERROR(IF(AND('Real results'!C128&lt;&gt;"",'Raw data'!AI128&lt;&gt;"",UPPER(TRIM('Real results'!C128))=UPPER(TRIM('Raw data'!AI128))),1,0),0)</f>
        <v>0</v>
      </c>
      <c r="AJ132" s="39"/>
      <c r="AK132" s="41">
        <f>IFERROR(IF(AND('Real results'!C128&lt;&gt;"",'Raw data'!AK128&lt;&gt;"",UPPER(TRIM('Real results'!C128))=UPPER(TRIM('Raw data'!AK128))),1,0),0)</f>
        <v>0</v>
      </c>
      <c r="AL132" s="39"/>
      <c r="AM132" s="41">
        <f>IFERROR(IF(AND('Real results'!C128&lt;&gt;"",'Raw data'!AM128&lt;&gt;"",UPPER(TRIM('Real results'!C128))=UPPER(TRIM('Raw data'!AM128))),1,0),0)</f>
        <v>0</v>
      </c>
      <c r="AN132" s="39"/>
      <c r="AO132" s="41">
        <f>IFERROR(IF(AND('Real results'!C128&lt;&gt;"",'Raw data'!AO128&lt;&gt;"",UPPER(TRIM('Real results'!C128))=UPPER(TRIM('Raw data'!AO128))),1,0),0)</f>
        <v>0</v>
      </c>
      <c r="AP132" s="39"/>
      <c r="AQ132" s="41">
        <f>IFERROR(IF(AND('Real results'!C128&lt;&gt;"",'Raw data'!AQ128&lt;&gt;"",UPPER(TRIM('Real results'!C128))=UPPER(TRIM('Raw data'!AQ128))),1,0),0)</f>
        <v>0</v>
      </c>
      <c r="AR132" s="39"/>
      <c r="AS132" s="41">
        <f>IFERROR(IF(AND('Real results'!C128&lt;&gt;"",'Raw data'!AS128&lt;&gt;"",UPPER(TRIM('Real results'!C128))=UPPER(TRIM('Raw data'!AS128))),1,0),0)</f>
        <v>0</v>
      </c>
      <c r="AT132" s="39"/>
      <c r="AU132" s="41">
        <f>IFERROR(IF(AND('Real results'!C128&lt;&gt;"",'Raw data'!AU128&lt;&gt;"",UPPER(TRIM('Real results'!C128))=UPPER(TRIM('Raw data'!AU128))),1,0),0)</f>
        <v>0</v>
      </c>
      <c r="AV132" s="39"/>
      <c r="AW132" s="41">
        <f>IFERROR(IF(AND('Real results'!C128&lt;&gt;"",'Raw data'!AW128&lt;&gt;"",UPPER(TRIM('Real results'!C128))=UPPER(TRIM('Raw data'!AW128))),1,0),0)</f>
        <v>0</v>
      </c>
      <c r="AX132" s="39"/>
      <c r="AY132" s="41">
        <f>IFERROR(IF(AND('Real results'!C128&lt;&gt;"",'Raw data'!AY128&lt;&gt;"",UPPER(TRIM('Real results'!C128))=UPPER(TRIM('Raw data'!AY128))),1,0),0)</f>
        <v>0</v>
      </c>
      <c r="AZ132" s="39"/>
      <c r="BA132" s="41">
        <f>IFERROR(IF(AND('Real results'!C128&lt;&gt;"",'Raw data'!BA128&lt;&gt;"",UPPER(TRIM('Real results'!C128))=UPPER(TRIM('Raw data'!BA128))),1,0),0)</f>
        <v>0</v>
      </c>
      <c r="BB132" s="39"/>
      <c r="BC132" s="41">
        <f>IFERROR(IF(AND('Real results'!C128&lt;&gt;"",'Raw data'!BC128&lt;&gt;"",UPPER(TRIM('Real results'!C128))=UPPER(TRIM('Raw data'!BC128))),1,0),0)</f>
        <v>0</v>
      </c>
      <c r="BD132" s="39"/>
      <c r="BE132" s="41">
        <f>IFERROR(IF(AND('Real results'!C128&lt;&gt;"",'Raw data'!BE128&lt;&gt;"",UPPER(TRIM('Real results'!C128))=UPPER(TRIM('Raw data'!BE128))),1,0),0)</f>
        <v>0</v>
      </c>
      <c r="BF132" s="39"/>
      <c r="BG132" s="41">
        <f>IFERROR(IF(AND('Real results'!C128&lt;&gt;"",'Raw data'!BG128&lt;&gt;"",UPPER(TRIM('Real results'!C128))=UPPER(TRIM('Raw data'!BG128))),1,0),0)</f>
        <v>0</v>
      </c>
      <c r="BH132" s="39"/>
      <c r="BI132" s="41">
        <f>IFERROR(IF(AND('Real results'!C128&lt;&gt;"",'Raw data'!BI128&lt;&gt;"",UPPER(TRIM('Real results'!C128))=UPPER(TRIM('Raw data'!BI128))),1,0),0)</f>
        <v>0</v>
      </c>
    </row>
    <row r="133" ht="18.0" customHeight="1">
      <c r="A133" s="36"/>
      <c r="B133" s="40" t="s">
        <v>424</v>
      </c>
      <c r="C133" s="41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D133" s="39"/>
      <c r="E133" s="41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F133" s="39"/>
      <c r="G133" s="41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H133" s="39"/>
      <c r="I133" s="41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J133" s="39"/>
      <c r="K133" s="41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L133" s="39"/>
      <c r="M133" s="41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N133" s="39"/>
      <c r="O133" s="41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P133" s="39"/>
      <c r="Q133" s="41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R133" s="39"/>
      <c r="S133" s="41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T133" s="39"/>
      <c r="U133" s="41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V133" s="39"/>
      <c r="W133" s="41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X133" s="39"/>
      <c r="Y133" s="41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Z133" s="39"/>
      <c r="AA133" s="41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B133" s="39"/>
      <c r="AC133" s="41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D133" s="39"/>
      <c r="AE133" s="41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F133" s="39"/>
      <c r="AG133" s="41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H133" s="39"/>
      <c r="AI133" s="41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J133" s="39"/>
      <c r="AK133" s="41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L133" s="39"/>
      <c r="AM133" s="41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N133" s="39"/>
      <c r="AO133" s="41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P133" s="39"/>
      <c r="AQ133" s="41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R133" s="39"/>
      <c r="AS133" s="41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T133" s="39"/>
      <c r="AU133" s="41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V133" s="39"/>
      <c r="AW133" s="41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X133" s="39"/>
      <c r="AY133" s="41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AZ133" s="39"/>
      <c r="BA133" s="41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B133" s="39"/>
      <c r="BC133" s="41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D133" s="39"/>
      <c r="BE133" s="41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F133" s="39"/>
      <c r="BG133" s="41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39"/>
      <c r="BI133" s="41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6"/>
      <c r="B134" s="40" t="s">
        <v>425</v>
      </c>
      <c r="C134" s="44">
        <f>0</f>
        <v>0</v>
      </c>
      <c r="D134" s="39"/>
      <c r="E134" s="41">
        <f>0</f>
        <v>0</v>
      </c>
      <c r="F134" s="39"/>
      <c r="G134" s="41">
        <f>0</f>
        <v>0</v>
      </c>
      <c r="H134" s="39"/>
      <c r="I134" s="41">
        <f>0</f>
        <v>0</v>
      </c>
      <c r="J134" s="39"/>
      <c r="K134" s="41">
        <f>0</f>
        <v>0</v>
      </c>
      <c r="L134" s="39"/>
      <c r="M134" s="41">
        <f>0</f>
        <v>0</v>
      </c>
      <c r="N134" s="39"/>
      <c r="O134" s="41">
        <f>0</f>
        <v>0</v>
      </c>
      <c r="P134" s="39"/>
      <c r="Q134" s="41">
        <f>0</f>
        <v>0</v>
      </c>
      <c r="R134" s="39"/>
      <c r="S134" s="41">
        <f>0</f>
        <v>0</v>
      </c>
      <c r="T134" s="39"/>
      <c r="U134" s="41">
        <f>0</f>
        <v>0</v>
      </c>
      <c r="V134" s="39"/>
      <c r="W134" s="41">
        <f>0</f>
        <v>0</v>
      </c>
      <c r="X134" s="39"/>
      <c r="Y134" s="41">
        <f>0</f>
        <v>0</v>
      </c>
      <c r="Z134" s="39"/>
      <c r="AA134" s="41">
        <f>0</f>
        <v>0</v>
      </c>
      <c r="AB134" s="39"/>
      <c r="AC134" s="41">
        <f>0</f>
        <v>0</v>
      </c>
      <c r="AD134" s="39"/>
      <c r="AE134" s="41">
        <f>0</f>
        <v>0</v>
      </c>
      <c r="AF134" s="39"/>
      <c r="AG134" s="41">
        <f>0</f>
        <v>0</v>
      </c>
      <c r="AH134" s="39"/>
      <c r="AI134" s="41">
        <f>0</f>
        <v>0</v>
      </c>
      <c r="AJ134" s="39"/>
      <c r="AK134" s="41">
        <f>0</f>
        <v>0</v>
      </c>
      <c r="AL134" s="39"/>
      <c r="AM134" s="41">
        <f>0</f>
        <v>0</v>
      </c>
      <c r="AN134" s="39"/>
      <c r="AO134" s="41">
        <f>0</f>
        <v>0</v>
      </c>
      <c r="AP134" s="39"/>
      <c r="AQ134" s="41">
        <f>0</f>
        <v>0</v>
      </c>
      <c r="AR134" s="39"/>
      <c r="AS134" s="41">
        <f>0</f>
        <v>0</v>
      </c>
      <c r="AT134" s="39"/>
      <c r="AU134" s="41">
        <f>0</f>
        <v>0</v>
      </c>
      <c r="AV134" s="39"/>
      <c r="AW134" s="41">
        <f>0</f>
        <v>0</v>
      </c>
      <c r="AX134" s="39"/>
      <c r="AY134" s="41">
        <f>0</f>
        <v>0</v>
      </c>
      <c r="AZ134" s="39"/>
      <c r="BA134" s="41">
        <f>0</f>
        <v>0</v>
      </c>
      <c r="BB134" s="39"/>
      <c r="BC134" s="41">
        <f>0</f>
        <v>0</v>
      </c>
      <c r="BD134" s="39"/>
      <c r="BE134" s="41">
        <f>0</f>
        <v>0</v>
      </c>
      <c r="BF134" s="39"/>
      <c r="BG134" s="41">
        <f>IFERROR(IF(AND('Real results'!C130&lt;&gt;"",'Raw data'!BG130&lt;&gt;"",UPPER(TRIM('Real results'!C130))=UPPER(TRIM('Raw data'!BG130))),1,0),0)</f>
        <v>0</v>
      </c>
      <c r="BH134" s="39"/>
      <c r="BI134" s="41">
        <f>IFERROR(IF(AND('Real results'!C130&lt;&gt;"",'Raw data'!BI130&lt;&gt;"",UPPER(TRIM('Real results'!C130))=UPPER(TRIM('Raw data'!BI130))),1,0),0)</f>
        <v>0</v>
      </c>
    </row>
    <row r="135" ht="18.0" customHeight="1">
      <c r="A135" s="36"/>
      <c r="B135" s="40" t="s">
        <v>426</v>
      </c>
      <c r="C135" s="41">
        <f>IFERROR(IF(AND('Real results'!C131&lt;&gt;"",'Raw data'!C131&lt;&gt;"",UPPER(TRIM('Real results'!C131))=UPPER(TRIM('Raw data'!C131))),1,0),0)</f>
        <v>0</v>
      </c>
      <c r="D135" s="39"/>
      <c r="E135" s="41">
        <f>IFERROR(IF(AND('Real results'!C131&lt;&gt;"",'Raw data'!E131&lt;&gt;"",UPPER(TRIM('Real results'!C131))=UPPER(TRIM('Raw data'!E131))),1,0),0)</f>
        <v>0</v>
      </c>
      <c r="F135" s="39"/>
      <c r="G135" s="41">
        <f>IFERROR(IF(AND('Real results'!C131&lt;&gt;"",'Raw data'!G131&lt;&gt;"",UPPER(TRIM('Real results'!C131))=UPPER(TRIM('Raw data'!G131))),1,0),0)</f>
        <v>0</v>
      </c>
      <c r="H135" s="39"/>
      <c r="I135" s="41">
        <f>IFERROR(IF(AND('Real results'!C131&lt;&gt;"",'Raw data'!I131&lt;&gt;"",UPPER(TRIM('Real results'!C131))=UPPER(TRIM('Raw data'!I131))),1,0),0)</f>
        <v>0</v>
      </c>
      <c r="J135" s="39"/>
      <c r="K135" s="41">
        <f>IFERROR(IF(AND('Real results'!C131&lt;&gt;"",'Raw data'!K131&lt;&gt;"",UPPER(TRIM('Real results'!C131))=UPPER(TRIM('Raw data'!K131))),1,0),0)</f>
        <v>0</v>
      </c>
      <c r="L135" s="39"/>
      <c r="M135" s="41">
        <f>IFERROR(IF(AND('Real results'!C131&lt;&gt;"",'Raw data'!M131&lt;&gt;"",UPPER(TRIM('Real results'!C131))=UPPER(TRIM('Raw data'!M131))),1,0),0)</f>
        <v>0</v>
      </c>
      <c r="N135" s="39"/>
      <c r="O135" s="41">
        <f>IFERROR(IF(AND('Real results'!C131&lt;&gt;"",'Raw data'!O131&lt;&gt;"",UPPER(TRIM('Real results'!C131))=UPPER(TRIM('Raw data'!O131))),1,0),0)</f>
        <v>0</v>
      </c>
      <c r="P135" s="39"/>
      <c r="Q135" s="41">
        <f>IFERROR(IF(AND('Real results'!C131&lt;&gt;"",'Raw data'!Q131&lt;&gt;"",UPPER(TRIM('Real results'!C131))=UPPER(TRIM('Raw data'!Q131))),1,0),0)</f>
        <v>0</v>
      </c>
      <c r="R135" s="39"/>
      <c r="S135" s="41">
        <f>IFERROR(IF(AND('Real results'!C131&lt;&gt;"",'Raw data'!S131&lt;&gt;"",UPPER(TRIM('Real results'!C131))=UPPER(TRIM('Raw data'!S131))),1,0),0)</f>
        <v>0</v>
      </c>
      <c r="T135" s="39"/>
      <c r="U135" s="41">
        <f>IFERROR(IF(AND('Real results'!C131&lt;&gt;"",'Raw data'!U131&lt;&gt;"",UPPER(TRIM('Real results'!C131))=UPPER(TRIM('Raw data'!U131))),1,0),0)</f>
        <v>0</v>
      </c>
      <c r="V135" s="39"/>
      <c r="W135" s="41">
        <f>IFERROR(IF(AND('Real results'!C131&lt;&gt;"",'Raw data'!W131&lt;&gt;"",UPPER(TRIM('Real results'!C131))=UPPER(TRIM('Raw data'!W131))),1,0),0)</f>
        <v>0</v>
      </c>
      <c r="X135" s="39"/>
      <c r="Y135" s="41">
        <f>IFERROR(IF(AND('Real results'!C131&lt;&gt;"",'Raw data'!Y131&lt;&gt;"",UPPER(TRIM('Real results'!C131))=UPPER(TRIM('Raw data'!Y131))),1,0),0)</f>
        <v>0</v>
      </c>
      <c r="Z135" s="39"/>
      <c r="AA135" s="41">
        <f>IFERROR(IF(AND('Real results'!C131&lt;&gt;"",'Raw data'!AA131&lt;&gt;"",UPPER(TRIM('Real results'!C131))=UPPER(TRIM('Raw data'!AA131))),1,0),0)</f>
        <v>0</v>
      </c>
      <c r="AB135" s="39"/>
      <c r="AC135" s="41">
        <f>IFERROR(IF(AND('Real results'!C131&lt;&gt;"",'Raw data'!AC131&lt;&gt;"",UPPER(TRIM('Real results'!C131))=UPPER(TRIM('Raw data'!AC131))),1,0),0)</f>
        <v>0</v>
      </c>
      <c r="AD135" s="39"/>
      <c r="AE135" s="41">
        <f>IFERROR(IF(AND('Real results'!C131&lt;&gt;"",'Raw data'!AE131&lt;&gt;"",UPPER(TRIM('Real results'!C131))=UPPER(TRIM('Raw data'!AE131))),1,0),0)</f>
        <v>0</v>
      </c>
      <c r="AF135" s="39"/>
      <c r="AG135" s="41">
        <f>IFERROR(IF(AND('Real results'!C131&lt;&gt;"",'Raw data'!AG131&lt;&gt;"",UPPER(TRIM('Real results'!C131))=UPPER(TRIM('Raw data'!AG131))),1,0),0)</f>
        <v>0</v>
      </c>
      <c r="AH135" s="39"/>
      <c r="AI135" s="41">
        <f>IFERROR(IF(AND('Real results'!C131&lt;&gt;"",'Raw data'!AI131&lt;&gt;"",UPPER(TRIM('Real results'!C131))=UPPER(TRIM('Raw data'!AI131))),1,0),0)</f>
        <v>0</v>
      </c>
      <c r="AJ135" s="39"/>
      <c r="AK135" s="41">
        <f>IFERROR(IF(AND('Real results'!C131&lt;&gt;"",'Raw data'!AK131&lt;&gt;"",UPPER(TRIM('Real results'!C131))=UPPER(TRIM('Raw data'!AK131))),1,0),0)</f>
        <v>0</v>
      </c>
      <c r="AL135" s="39"/>
      <c r="AM135" s="41">
        <f>IFERROR(IF(AND('Real results'!C131&lt;&gt;"",'Raw data'!AM131&lt;&gt;"",UPPER(TRIM('Real results'!C131))=UPPER(TRIM('Raw data'!AM131))),1,0),0)</f>
        <v>0</v>
      </c>
      <c r="AN135" s="39"/>
      <c r="AO135" s="41">
        <f>IFERROR(IF(AND('Real results'!C131&lt;&gt;"",'Raw data'!AO131&lt;&gt;"",UPPER(TRIM('Real results'!C131))=UPPER(TRIM('Raw data'!AO131))),1,0),0)</f>
        <v>0</v>
      </c>
      <c r="AP135" s="39"/>
      <c r="AQ135" s="41">
        <f>IFERROR(IF(AND('Real results'!C131&lt;&gt;"",'Raw data'!AQ131&lt;&gt;"",UPPER(TRIM('Real results'!C131))=UPPER(TRIM('Raw data'!AQ131))),1,0),0)</f>
        <v>0</v>
      </c>
      <c r="AR135" s="39"/>
      <c r="AS135" s="41">
        <f>IFERROR(IF(AND('Real results'!C131&lt;&gt;"",'Raw data'!AS131&lt;&gt;"",UPPER(TRIM('Real results'!C131))=UPPER(TRIM('Raw data'!AS131))),1,0),0)</f>
        <v>0</v>
      </c>
      <c r="AT135" s="39"/>
      <c r="AU135" s="41">
        <f>IFERROR(IF(AND('Real results'!C131&lt;&gt;"",'Raw data'!AU131&lt;&gt;"",UPPER(TRIM('Real results'!C131))=UPPER(TRIM('Raw data'!AU131))),1,0),0)</f>
        <v>0</v>
      </c>
      <c r="AV135" s="39"/>
      <c r="AW135" s="41">
        <f>IFERROR(IF(AND('Real results'!C131&lt;&gt;"",'Raw data'!AW131&lt;&gt;"",UPPER(TRIM('Real results'!C131))=UPPER(TRIM('Raw data'!AW131))),1,0),0)</f>
        <v>0</v>
      </c>
      <c r="AX135" s="39"/>
      <c r="AY135" s="41">
        <f>IFERROR(IF(AND('Real results'!C131&lt;&gt;"",'Raw data'!AY131&lt;&gt;"",UPPER(TRIM('Real results'!C131))=UPPER(TRIM('Raw data'!AY131))),1,0),0)</f>
        <v>0</v>
      </c>
      <c r="AZ135" s="39"/>
      <c r="BA135" s="41">
        <f>IFERROR(IF(AND('Real results'!C131&lt;&gt;"",'Raw data'!BA131&lt;&gt;"",UPPER(TRIM('Real results'!C131))=UPPER(TRIM('Raw data'!BA131))),1,0),0)</f>
        <v>0</v>
      </c>
      <c r="BB135" s="39"/>
      <c r="BC135" s="41">
        <f>IFERROR(IF(AND('Real results'!C131&lt;&gt;"",'Raw data'!BC131&lt;&gt;"",UPPER(TRIM('Real results'!C131))=UPPER(TRIM('Raw data'!BC131))),1,0),0)</f>
        <v>0</v>
      </c>
      <c r="BD135" s="39"/>
      <c r="BE135" s="41">
        <f>IFERROR(IF(AND('Real results'!C131&lt;&gt;"",'Raw data'!BE131&lt;&gt;"",UPPER(TRIM('Real results'!C131))=UPPER(TRIM('Raw data'!BE131))),1,0),0)</f>
        <v>0</v>
      </c>
      <c r="BF135" s="39"/>
      <c r="BG135" s="41">
        <f>IFERROR(IF(AND('Real results'!C131&lt;&gt;"",'Raw data'!BG131&lt;&gt;"",UPPER(TRIM('Real results'!C131))=UPPER(TRIM('Raw data'!BG131))),1,0),0)</f>
        <v>0</v>
      </c>
      <c r="BH135" s="39"/>
      <c r="BI135" s="41">
        <f>IFERROR(IF(AND('Real results'!C131&lt;&gt;"",'Raw data'!BI131&lt;&gt;"",UPPER(TRIM('Real results'!C131))=UPPER(TRIM('Raw data'!BI131))),1,0),0)</f>
        <v>0</v>
      </c>
    </row>
    <row r="136" ht="18.0" customHeight="1">
      <c r="A136" s="36"/>
      <c r="B136" s="40" t="s">
        <v>427</v>
      </c>
      <c r="C136" s="41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39"/>
      <c r="E136" s="41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39"/>
      <c r="G136" s="41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39"/>
      <c r="I136" s="41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39"/>
      <c r="K136" s="41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39"/>
      <c r="M136" s="41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39"/>
      <c r="O136" s="41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39"/>
      <c r="Q136" s="41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39"/>
      <c r="S136" s="41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39"/>
      <c r="U136" s="41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39"/>
      <c r="W136" s="41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39"/>
      <c r="Y136" s="41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39"/>
      <c r="AA136" s="41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39"/>
      <c r="AC136" s="41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39"/>
      <c r="AE136" s="41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39"/>
      <c r="AG136" s="41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39"/>
      <c r="AI136" s="41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39"/>
      <c r="AK136" s="41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39"/>
      <c r="AM136" s="41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39"/>
      <c r="AO136" s="41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39"/>
      <c r="AQ136" s="41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39"/>
      <c r="AS136" s="41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39"/>
      <c r="AU136" s="41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39"/>
      <c r="AW136" s="41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39"/>
      <c r="AY136" s="41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39"/>
      <c r="BA136" s="41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39"/>
      <c r="BC136" s="41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39"/>
      <c r="BE136" s="41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39"/>
      <c r="BG136" s="41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39"/>
      <c r="BI136" s="41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6"/>
      <c r="B137" s="40" t="s">
        <v>428</v>
      </c>
      <c r="C137" s="44">
        <f>0</f>
        <v>0</v>
      </c>
      <c r="D137" s="39"/>
      <c r="E137" s="41">
        <f>0</f>
        <v>0</v>
      </c>
      <c r="F137" s="39"/>
      <c r="G137" s="41">
        <f>0</f>
        <v>0</v>
      </c>
      <c r="H137" s="39"/>
      <c r="I137" s="41">
        <f>0</f>
        <v>0</v>
      </c>
      <c r="J137" s="39"/>
      <c r="K137" s="41">
        <f>0</f>
        <v>0</v>
      </c>
      <c r="L137" s="39"/>
      <c r="M137" s="41">
        <f>0</f>
        <v>0</v>
      </c>
      <c r="N137" s="39"/>
      <c r="O137" s="41">
        <f>0</f>
        <v>0</v>
      </c>
      <c r="P137" s="39"/>
      <c r="Q137" s="41">
        <f>0</f>
        <v>0</v>
      </c>
      <c r="R137" s="39"/>
      <c r="S137" s="41">
        <f>0</f>
        <v>0</v>
      </c>
      <c r="T137" s="39"/>
      <c r="U137" s="41">
        <f>0</f>
        <v>0</v>
      </c>
      <c r="V137" s="39"/>
      <c r="W137" s="41">
        <f>0</f>
        <v>0</v>
      </c>
      <c r="X137" s="39"/>
      <c r="Y137" s="41">
        <f>0</f>
        <v>0</v>
      </c>
      <c r="Z137" s="39"/>
      <c r="AA137" s="41">
        <f>0</f>
        <v>0</v>
      </c>
      <c r="AB137" s="39"/>
      <c r="AC137" s="41">
        <f>0</f>
        <v>0</v>
      </c>
      <c r="AD137" s="39"/>
      <c r="AE137" s="41">
        <f>0</f>
        <v>0</v>
      </c>
      <c r="AF137" s="39"/>
      <c r="AG137" s="41">
        <f>0</f>
        <v>0</v>
      </c>
      <c r="AH137" s="39"/>
      <c r="AI137" s="41">
        <f>0</f>
        <v>0</v>
      </c>
      <c r="AJ137" s="39"/>
      <c r="AK137" s="41">
        <f>0</f>
        <v>0</v>
      </c>
      <c r="AL137" s="39"/>
      <c r="AM137" s="41">
        <f>0</f>
        <v>0</v>
      </c>
      <c r="AN137" s="39"/>
      <c r="AO137" s="41">
        <f>0</f>
        <v>0</v>
      </c>
      <c r="AP137" s="39"/>
      <c r="AQ137" s="41">
        <f>0</f>
        <v>0</v>
      </c>
      <c r="AR137" s="39"/>
      <c r="AS137" s="41">
        <f>0</f>
        <v>0</v>
      </c>
      <c r="AT137" s="39"/>
      <c r="AU137" s="41">
        <f>0</f>
        <v>0</v>
      </c>
      <c r="AV137" s="39"/>
      <c r="AW137" s="41">
        <f>0</f>
        <v>0</v>
      </c>
      <c r="AX137" s="39"/>
      <c r="AY137" s="41">
        <f>0</f>
        <v>0</v>
      </c>
      <c r="AZ137" s="39"/>
      <c r="BA137" s="41">
        <f>0</f>
        <v>0</v>
      </c>
      <c r="BB137" s="39"/>
      <c r="BC137" s="41">
        <f>0</f>
        <v>0</v>
      </c>
      <c r="BD137" s="39"/>
      <c r="BE137" s="41">
        <f>0</f>
        <v>0</v>
      </c>
      <c r="BF137" s="39"/>
      <c r="BG137" s="41">
        <f>IFERROR(IF(AND('Real results'!C133&lt;&gt;"",'Raw data'!BG133&lt;&gt;"",UPPER(TRIM('Real results'!C133))=UPPER(TRIM('Raw data'!BG133))),1,0),0)</f>
        <v>0</v>
      </c>
      <c r="BH137" s="39"/>
      <c r="BI137" s="41">
        <f>IFERROR(IF(AND('Real results'!C133&lt;&gt;"",'Raw data'!BI133&lt;&gt;"",UPPER(TRIM('Real results'!C133))=UPPER(TRIM('Raw data'!BI133))),1,0),0)</f>
        <v>0</v>
      </c>
    </row>
    <row r="138" ht="18.0" customHeight="1">
      <c r="A138" s="36"/>
      <c r="B138" s="40" t="s">
        <v>429</v>
      </c>
      <c r="C138" s="41">
        <f>IFERROR(IF(AND('Real results'!C134&lt;&gt;"",'Raw data'!C134&lt;&gt;"",UPPER(TRIM('Real results'!C134))=UPPER(TRIM('Raw data'!C134))),1,0),0)</f>
        <v>1</v>
      </c>
      <c r="D138" s="39"/>
      <c r="E138" s="41">
        <f>IFERROR(IF(AND('Real results'!C134&lt;&gt;"",'Raw data'!E134&lt;&gt;"",UPPER(TRIM('Real results'!C134))=UPPER(TRIM('Raw data'!E134))),1,0),0)</f>
        <v>1</v>
      </c>
      <c r="F138" s="39"/>
      <c r="G138" s="41">
        <f>IFERROR(IF(AND('Real results'!C134&lt;&gt;"",'Raw data'!G134&lt;&gt;"",UPPER(TRIM('Real results'!C134))=UPPER(TRIM('Raw data'!G134))),1,0),0)</f>
        <v>1</v>
      </c>
      <c r="H138" s="39"/>
      <c r="I138" s="41">
        <f>IFERROR(IF(AND('Real results'!C134&lt;&gt;"",'Raw data'!I134&lt;&gt;"",UPPER(TRIM('Real results'!C134))=UPPER(TRIM('Raw data'!I134))),1,0),0)</f>
        <v>1</v>
      </c>
      <c r="J138" s="39"/>
      <c r="K138" s="41">
        <f>IFERROR(IF(AND('Real results'!C134&lt;&gt;"",'Raw data'!K134&lt;&gt;"",UPPER(TRIM('Real results'!C134))=UPPER(TRIM('Raw data'!K134))),1,0),0)</f>
        <v>0</v>
      </c>
      <c r="L138" s="39"/>
      <c r="M138" s="41">
        <f>IFERROR(IF(AND('Real results'!C134&lt;&gt;"",'Raw data'!M134&lt;&gt;"",UPPER(TRIM('Real results'!C134))=UPPER(TRIM('Raw data'!M134))),1,0),0)</f>
        <v>1</v>
      </c>
      <c r="N138" s="39"/>
      <c r="O138" s="41">
        <f>IFERROR(IF(AND('Real results'!C134&lt;&gt;"",'Raw data'!O134&lt;&gt;"",UPPER(TRIM('Real results'!C134))=UPPER(TRIM('Raw data'!O134))),1,0),0)</f>
        <v>1</v>
      </c>
      <c r="P138" s="39"/>
      <c r="Q138" s="41">
        <f>IFERROR(IF(AND('Real results'!C134&lt;&gt;"",'Raw data'!Q134&lt;&gt;"",UPPER(TRIM('Real results'!C134))=UPPER(TRIM('Raw data'!Q134))),1,0),0)</f>
        <v>1</v>
      </c>
      <c r="R138" s="39"/>
      <c r="S138" s="41">
        <f>IFERROR(IF(AND('Real results'!C134&lt;&gt;"",'Raw data'!S134&lt;&gt;"",UPPER(TRIM('Real results'!C134))=UPPER(TRIM('Raw data'!S134))),1,0),0)</f>
        <v>1</v>
      </c>
      <c r="T138" s="39"/>
      <c r="U138" s="41">
        <f>IFERROR(IF(AND('Real results'!C134&lt;&gt;"",'Raw data'!U134&lt;&gt;"",UPPER(TRIM('Real results'!C134))=UPPER(TRIM('Raw data'!U134))),1,0),0)</f>
        <v>1</v>
      </c>
      <c r="V138" s="39"/>
      <c r="W138" s="41">
        <f>IFERROR(IF(AND('Real results'!C134&lt;&gt;"",'Raw data'!W134&lt;&gt;"",UPPER(TRIM('Real results'!C134))=UPPER(TRIM('Raw data'!W134))),1,0),0)</f>
        <v>0</v>
      </c>
      <c r="X138" s="39"/>
      <c r="Y138" s="41">
        <f>IFERROR(IF(AND('Real results'!C134&lt;&gt;"",'Raw data'!Y134&lt;&gt;"",UPPER(TRIM('Real results'!C134))=UPPER(TRIM('Raw data'!Y134))),1,0),0)</f>
        <v>1</v>
      </c>
      <c r="Z138" s="39"/>
      <c r="AA138" s="41">
        <f>IFERROR(IF(AND('Real results'!C134&lt;&gt;"",'Raw data'!AA134&lt;&gt;"",UPPER(TRIM('Real results'!C134))=UPPER(TRIM('Raw data'!AA134))),1,0),0)</f>
        <v>1</v>
      </c>
      <c r="AB138" s="39"/>
      <c r="AC138" s="41">
        <f>IFERROR(IF(AND('Real results'!C134&lt;&gt;"",'Raw data'!AC134&lt;&gt;"",UPPER(TRIM('Real results'!C134))=UPPER(TRIM('Raw data'!AC134))),1,0),0)</f>
        <v>1</v>
      </c>
      <c r="AD138" s="39"/>
      <c r="AE138" s="41">
        <f>IFERROR(IF(AND('Real results'!C134&lt;&gt;"",'Raw data'!AE134&lt;&gt;"",UPPER(TRIM('Real results'!C134))=UPPER(TRIM('Raw data'!AE134))),1,0),0)</f>
        <v>1</v>
      </c>
      <c r="AF138" s="39"/>
      <c r="AG138" s="41">
        <f>IFERROR(IF(AND('Real results'!C134&lt;&gt;"",'Raw data'!AG134&lt;&gt;"",UPPER(TRIM('Real results'!C134))=UPPER(TRIM('Raw data'!AG134))),1,0),0)</f>
        <v>1</v>
      </c>
      <c r="AH138" s="39"/>
      <c r="AI138" s="41">
        <f>IFERROR(IF(AND('Real results'!C134&lt;&gt;"",'Raw data'!AI134&lt;&gt;"",UPPER(TRIM('Real results'!C134))=UPPER(TRIM('Raw data'!AI134))),1,0),0)</f>
        <v>0</v>
      </c>
      <c r="AJ138" s="39"/>
      <c r="AK138" s="41">
        <f>IFERROR(IF(AND('Real results'!C134&lt;&gt;"",'Raw data'!AK134&lt;&gt;"",UPPER(TRIM('Real results'!C134))=UPPER(TRIM('Raw data'!AK134))),1,0),0)</f>
        <v>1</v>
      </c>
      <c r="AL138" s="39"/>
      <c r="AM138" s="41">
        <f>IFERROR(IF(AND('Real results'!C134&lt;&gt;"",'Raw data'!AM134&lt;&gt;"",UPPER(TRIM('Real results'!C134))=UPPER(TRIM('Raw data'!AM134))),1,0),0)</f>
        <v>1</v>
      </c>
      <c r="AN138" s="39"/>
      <c r="AO138" s="41">
        <f>IFERROR(IF(AND('Real results'!C134&lt;&gt;"",'Raw data'!AO134&lt;&gt;"",UPPER(TRIM('Real results'!C134))=UPPER(TRIM('Raw data'!AO134))),1,0),0)</f>
        <v>0</v>
      </c>
      <c r="AP138" s="39"/>
      <c r="AQ138" s="41">
        <f>IFERROR(IF(AND('Real results'!C134&lt;&gt;"",'Raw data'!AQ134&lt;&gt;"",UPPER(TRIM('Real results'!C134))=UPPER(TRIM('Raw data'!AQ134))),1,0),0)</f>
        <v>1</v>
      </c>
      <c r="AR138" s="39"/>
      <c r="AS138" s="41">
        <f>IFERROR(IF(AND('Real results'!C134&lt;&gt;"",'Raw data'!AS134&lt;&gt;"",UPPER(TRIM('Real results'!C134))=UPPER(TRIM('Raw data'!AS134))),1,0),0)</f>
        <v>0</v>
      </c>
      <c r="AT138" s="39"/>
      <c r="AU138" s="41">
        <f>IFERROR(IF(AND('Real results'!C134&lt;&gt;"",'Raw data'!AU134&lt;&gt;"",UPPER(TRIM('Real results'!C134))=UPPER(TRIM('Raw data'!AU134))),1,0),0)</f>
        <v>1</v>
      </c>
      <c r="AV138" s="39"/>
      <c r="AW138" s="41">
        <f>IFERROR(IF(AND('Real results'!C134&lt;&gt;"",'Raw data'!AW134&lt;&gt;"",UPPER(TRIM('Real results'!C134))=UPPER(TRIM('Raw data'!AW134))),1,0),0)</f>
        <v>1</v>
      </c>
      <c r="AX138" s="39"/>
      <c r="AY138" s="41">
        <f>IFERROR(IF(AND('Real results'!C134&lt;&gt;"",'Raw data'!AY134&lt;&gt;"",UPPER(TRIM('Real results'!C134))=UPPER(TRIM('Raw data'!AY134))),1,0),0)</f>
        <v>0</v>
      </c>
      <c r="AZ138" s="39"/>
      <c r="BA138" s="41">
        <f>IFERROR(IF(AND('Real results'!C134&lt;&gt;"",'Raw data'!BA134&lt;&gt;"",UPPER(TRIM('Real results'!C134))=UPPER(TRIM('Raw data'!BA134))),1,0),0)</f>
        <v>0</v>
      </c>
      <c r="BB138" s="39"/>
      <c r="BC138" s="41">
        <f>IFERROR(IF(AND('Real results'!C134&lt;&gt;"",'Raw data'!BC134&lt;&gt;"",UPPER(TRIM('Real results'!C134))=UPPER(TRIM('Raw data'!BC134))),1,0),0)</f>
        <v>1</v>
      </c>
      <c r="BD138" s="39"/>
      <c r="BE138" s="41">
        <f>IFERROR(IF(AND('Real results'!C134&lt;&gt;"",'Raw data'!BE134&lt;&gt;"",UPPER(TRIM('Real results'!C134))=UPPER(TRIM('Raw data'!BE134))),1,0),0)</f>
        <v>0</v>
      </c>
      <c r="BF138" s="39"/>
      <c r="BG138" s="41">
        <f>IFERROR(IF(AND('Real results'!C134&lt;&gt;"",'Raw data'!BG134&lt;&gt;"",UPPER(TRIM('Real results'!C134))=UPPER(TRIM('Raw data'!BG134))),1,0),0)</f>
        <v>0</v>
      </c>
      <c r="BH138" s="39"/>
      <c r="BI138" s="41">
        <f>IFERROR(IF(AND('Real results'!C134&lt;&gt;"",'Raw data'!BI134&lt;&gt;"",UPPER(TRIM('Real results'!C134))=UPPER(TRIM('Raw data'!BI134))),1,0),0)</f>
        <v>0</v>
      </c>
    </row>
    <row r="139" ht="18.0" customHeight="1">
      <c r="A139" s="36"/>
      <c r="B139" s="40" t="s">
        <v>430</v>
      </c>
      <c r="C139" s="41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39"/>
      <c r="E139" s="41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39"/>
      <c r="G139" s="41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39"/>
      <c r="I139" s="41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39"/>
      <c r="K139" s="41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39"/>
      <c r="M139" s="41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39"/>
      <c r="O139" s="41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39"/>
      <c r="Q139" s="41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39"/>
      <c r="S139" s="41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39"/>
      <c r="U139" s="41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39"/>
      <c r="W139" s="41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39"/>
      <c r="Y139" s="41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39"/>
      <c r="AA139" s="41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39"/>
      <c r="AC139" s="41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39"/>
      <c r="AE139" s="41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39"/>
      <c r="AG139" s="41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39"/>
      <c r="AI139" s="41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39"/>
      <c r="AK139" s="41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39"/>
      <c r="AM139" s="41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39"/>
      <c r="AO139" s="41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39"/>
      <c r="AQ139" s="41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39"/>
      <c r="AS139" s="41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39"/>
      <c r="AU139" s="41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39"/>
      <c r="AW139" s="41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39"/>
      <c r="AY139" s="41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39"/>
      <c r="BA139" s="41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39"/>
      <c r="BC139" s="41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39"/>
      <c r="BE139" s="41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39"/>
      <c r="BG139" s="41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39"/>
      <c r="BI139" s="41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6"/>
      <c r="B140" s="40" t="s">
        <v>431</v>
      </c>
      <c r="C140" s="44">
        <f>0</f>
        <v>0</v>
      </c>
      <c r="D140" s="39"/>
      <c r="E140" s="41">
        <f>0</f>
        <v>0</v>
      </c>
      <c r="F140" s="39"/>
      <c r="G140" s="41">
        <f>0</f>
        <v>0</v>
      </c>
      <c r="H140" s="39"/>
      <c r="I140" s="41">
        <f>0</f>
        <v>0</v>
      </c>
      <c r="J140" s="39"/>
      <c r="K140" s="41">
        <f>0</f>
        <v>0</v>
      </c>
      <c r="L140" s="39"/>
      <c r="M140" s="41">
        <f>0</f>
        <v>0</v>
      </c>
      <c r="N140" s="39"/>
      <c r="O140" s="41">
        <f>0</f>
        <v>0</v>
      </c>
      <c r="P140" s="39"/>
      <c r="Q140" s="41">
        <f>0</f>
        <v>0</v>
      </c>
      <c r="R140" s="39"/>
      <c r="S140" s="41">
        <f>0</f>
        <v>0</v>
      </c>
      <c r="T140" s="39"/>
      <c r="U140" s="41">
        <f>0</f>
        <v>0</v>
      </c>
      <c r="V140" s="39"/>
      <c r="W140" s="41">
        <f>0</f>
        <v>0</v>
      </c>
      <c r="X140" s="39"/>
      <c r="Y140" s="41">
        <f>0</f>
        <v>0</v>
      </c>
      <c r="Z140" s="39"/>
      <c r="AA140" s="41">
        <f>0</f>
        <v>0</v>
      </c>
      <c r="AB140" s="39"/>
      <c r="AC140" s="41">
        <f>0</f>
        <v>0</v>
      </c>
      <c r="AD140" s="39"/>
      <c r="AE140" s="41">
        <f>0</f>
        <v>0</v>
      </c>
      <c r="AF140" s="39"/>
      <c r="AG140" s="41">
        <f>0</f>
        <v>0</v>
      </c>
      <c r="AH140" s="39"/>
      <c r="AI140" s="41">
        <f>0</f>
        <v>0</v>
      </c>
      <c r="AJ140" s="39"/>
      <c r="AK140" s="41">
        <f>0</f>
        <v>0</v>
      </c>
      <c r="AL140" s="39"/>
      <c r="AM140" s="41">
        <f>0</f>
        <v>0</v>
      </c>
      <c r="AN140" s="39"/>
      <c r="AO140" s="41">
        <f>0</f>
        <v>0</v>
      </c>
      <c r="AP140" s="39"/>
      <c r="AQ140" s="41">
        <f>0</f>
        <v>0</v>
      </c>
      <c r="AR140" s="39"/>
      <c r="AS140" s="41">
        <f>0</f>
        <v>0</v>
      </c>
      <c r="AT140" s="39"/>
      <c r="AU140" s="41">
        <f>0</f>
        <v>0</v>
      </c>
      <c r="AV140" s="39"/>
      <c r="AW140" s="41">
        <f>0</f>
        <v>0</v>
      </c>
      <c r="AX140" s="39"/>
      <c r="AY140" s="41">
        <f>0</f>
        <v>0</v>
      </c>
      <c r="AZ140" s="39"/>
      <c r="BA140" s="41">
        <f>0</f>
        <v>0</v>
      </c>
      <c r="BB140" s="39"/>
      <c r="BC140" s="41">
        <f>0</f>
        <v>0</v>
      </c>
      <c r="BD140" s="39"/>
      <c r="BE140" s="41">
        <f>0</f>
        <v>0</v>
      </c>
      <c r="BF140" s="39"/>
      <c r="BG140" s="41">
        <f>IFERROR(IF(AND('Real results'!C136&lt;&gt;"",'Raw data'!BG136&lt;&gt;"",UPPER(TRIM('Real results'!C136))=UPPER(TRIM('Raw data'!BG136))),1,0),0)</f>
        <v>0</v>
      </c>
      <c r="BH140" s="39"/>
      <c r="BI140" s="41">
        <f>IFERROR(IF(AND('Real results'!C136&lt;&gt;"",'Raw data'!BI136&lt;&gt;"",UPPER(TRIM('Real results'!C136))=UPPER(TRIM('Raw data'!BI136))),1,0),0)</f>
        <v>0</v>
      </c>
    </row>
    <row r="141" ht="18.0" customHeight="1">
      <c r="A141" s="36"/>
      <c r="B141" s="40" t="s">
        <v>432</v>
      </c>
      <c r="C141" s="41">
        <f>IFERROR(IF(AND('Real results'!C137&lt;&gt;"",'Raw data'!C137&lt;&gt;"",UPPER(TRIM('Real results'!C137))=UPPER(TRIM('Raw data'!C137))),1,0),0)</f>
        <v>0</v>
      </c>
      <c r="D141" s="39"/>
      <c r="E141" s="41">
        <f>IFERROR(IF(AND('Real results'!C137&lt;&gt;"",'Raw data'!E137&lt;&gt;"",UPPER(TRIM('Real results'!C137))=UPPER(TRIM('Raw data'!E137))),1,0),0)</f>
        <v>0</v>
      </c>
      <c r="F141" s="39"/>
      <c r="G141" s="41">
        <f>IFERROR(IF(AND('Real results'!C137&lt;&gt;"",'Raw data'!G137&lt;&gt;"",UPPER(TRIM('Real results'!C137))=UPPER(TRIM('Raw data'!G137))),1,0),0)</f>
        <v>1</v>
      </c>
      <c r="H141" s="39"/>
      <c r="I141" s="41">
        <f>IFERROR(IF(AND('Real results'!C137&lt;&gt;"",'Raw data'!I137&lt;&gt;"",UPPER(TRIM('Real results'!C137))=UPPER(TRIM('Raw data'!I137))),1,0),0)</f>
        <v>0</v>
      </c>
      <c r="J141" s="39"/>
      <c r="K141" s="41">
        <f>IFERROR(IF(AND('Real results'!C137&lt;&gt;"",'Raw data'!K137&lt;&gt;"",UPPER(TRIM('Real results'!C137))=UPPER(TRIM('Raw data'!K137))),1,0),0)</f>
        <v>0</v>
      </c>
      <c r="L141" s="39"/>
      <c r="M141" s="41">
        <f>IFERROR(IF(AND('Real results'!C137&lt;&gt;"",'Raw data'!M137&lt;&gt;"",UPPER(TRIM('Real results'!C137))=UPPER(TRIM('Raw data'!M137))),1,0),0)</f>
        <v>0</v>
      </c>
      <c r="N141" s="39"/>
      <c r="O141" s="41">
        <f>IFERROR(IF(AND('Real results'!C137&lt;&gt;"",'Raw data'!O137&lt;&gt;"",UPPER(TRIM('Real results'!C137))=UPPER(TRIM('Raw data'!O137))),1,0),0)</f>
        <v>0</v>
      </c>
      <c r="P141" s="39"/>
      <c r="Q141" s="41">
        <f>IFERROR(IF(AND('Real results'!C137&lt;&gt;"",'Raw data'!Q137&lt;&gt;"",UPPER(TRIM('Real results'!C137))=UPPER(TRIM('Raw data'!Q137))),1,0),0)</f>
        <v>0</v>
      </c>
      <c r="R141" s="39"/>
      <c r="S141" s="41">
        <f>IFERROR(IF(AND('Real results'!C137&lt;&gt;"",'Raw data'!S137&lt;&gt;"",UPPER(TRIM('Real results'!C137))=UPPER(TRIM('Raw data'!S137))),1,0),0)</f>
        <v>0</v>
      </c>
      <c r="T141" s="39"/>
      <c r="U141" s="41">
        <f>IFERROR(IF(AND('Real results'!C137&lt;&gt;"",'Raw data'!U137&lt;&gt;"",UPPER(TRIM('Real results'!C137))=UPPER(TRIM('Raw data'!U137))),1,0),0)</f>
        <v>1</v>
      </c>
      <c r="V141" s="39"/>
      <c r="W141" s="41">
        <f>IFERROR(IF(AND('Real results'!C137&lt;&gt;"",'Raw data'!W137&lt;&gt;"",UPPER(TRIM('Real results'!C137))=UPPER(TRIM('Raw data'!W137))),1,0),0)</f>
        <v>1</v>
      </c>
      <c r="X141" s="39"/>
      <c r="Y141" s="41">
        <f>IFERROR(IF(AND('Real results'!C137&lt;&gt;"",'Raw data'!Y137&lt;&gt;"",UPPER(TRIM('Real results'!C137))=UPPER(TRIM('Raw data'!Y137))),1,0),0)</f>
        <v>1</v>
      </c>
      <c r="Z141" s="39"/>
      <c r="AA141" s="41">
        <f>IFERROR(IF(AND('Real results'!C137&lt;&gt;"",'Raw data'!AA137&lt;&gt;"",UPPER(TRIM('Real results'!C137))=UPPER(TRIM('Raw data'!AA137))),1,0),0)</f>
        <v>1</v>
      </c>
      <c r="AB141" s="39"/>
      <c r="AC141" s="41">
        <f>IFERROR(IF(AND('Real results'!C137&lt;&gt;"",'Raw data'!AC137&lt;&gt;"",UPPER(TRIM('Real results'!C137))=UPPER(TRIM('Raw data'!AC137))),1,0),0)</f>
        <v>1</v>
      </c>
      <c r="AD141" s="39"/>
      <c r="AE141" s="41">
        <f>IFERROR(IF(AND('Real results'!C137&lt;&gt;"",'Raw data'!AE137&lt;&gt;"",UPPER(TRIM('Real results'!C137))=UPPER(TRIM('Raw data'!AE137))),1,0),0)</f>
        <v>1</v>
      </c>
      <c r="AF141" s="39"/>
      <c r="AG141" s="41">
        <f>IFERROR(IF(AND('Real results'!C137&lt;&gt;"",'Raw data'!AG137&lt;&gt;"",UPPER(TRIM('Real results'!C137))=UPPER(TRIM('Raw data'!AG137))),1,0),0)</f>
        <v>1</v>
      </c>
      <c r="AH141" s="39"/>
      <c r="AI141" s="41">
        <f>IFERROR(IF(AND('Real results'!C137&lt;&gt;"",'Raw data'!AI137&lt;&gt;"",UPPER(TRIM('Real results'!C137))=UPPER(TRIM('Raw data'!AI137))),1,0),0)</f>
        <v>0</v>
      </c>
      <c r="AJ141" s="39"/>
      <c r="AK141" s="41">
        <f>IFERROR(IF(AND('Real results'!C137&lt;&gt;"",'Raw data'!AK137&lt;&gt;"",UPPER(TRIM('Real results'!C137))=UPPER(TRIM('Raw data'!AK137))),1,0),0)</f>
        <v>1</v>
      </c>
      <c r="AL141" s="39"/>
      <c r="AM141" s="41">
        <f>IFERROR(IF(AND('Real results'!C137&lt;&gt;"",'Raw data'!AM137&lt;&gt;"",UPPER(TRIM('Real results'!C137))=UPPER(TRIM('Raw data'!AM137))),1,0),0)</f>
        <v>1</v>
      </c>
      <c r="AN141" s="39"/>
      <c r="AO141" s="41">
        <f>IFERROR(IF(AND('Real results'!C137&lt;&gt;"",'Raw data'!AO137&lt;&gt;"",UPPER(TRIM('Real results'!C137))=UPPER(TRIM('Raw data'!AO137))),1,0),0)</f>
        <v>0</v>
      </c>
      <c r="AP141" s="39"/>
      <c r="AQ141" s="41">
        <f>IFERROR(IF(AND('Real results'!C137&lt;&gt;"",'Raw data'!AQ137&lt;&gt;"",UPPER(TRIM('Real results'!C137))=UPPER(TRIM('Raw data'!AQ137))),1,0),0)</f>
        <v>0</v>
      </c>
      <c r="AR141" s="39"/>
      <c r="AS141" s="41">
        <f>IFERROR(IF(AND('Real results'!C137&lt;&gt;"",'Raw data'!AS137&lt;&gt;"",UPPER(TRIM('Real results'!C137))=UPPER(TRIM('Raw data'!AS137))),1,0),0)</f>
        <v>0</v>
      </c>
      <c r="AT141" s="39"/>
      <c r="AU141" s="41">
        <f>IFERROR(IF(AND('Real results'!C137&lt;&gt;"",'Raw data'!AU137&lt;&gt;"",UPPER(TRIM('Real results'!C137))=UPPER(TRIM('Raw data'!AU137))),1,0),0)</f>
        <v>1</v>
      </c>
      <c r="AV141" s="39"/>
      <c r="AW141" s="41">
        <f>IFERROR(IF(AND('Real results'!C137&lt;&gt;"",'Raw data'!AW137&lt;&gt;"",UPPER(TRIM('Real results'!C137))=UPPER(TRIM('Raw data'!AW137))),1,0),0)</f>
        <v>0</v>
      </c>
      <c r="AX141" s="39"/>
      <c r="AY141" s="41">
        <f>IFERROR(IF(AND('Real results'!C137&lt;&gt;"",'Raw data'!AY137&lt;&gt;"",UPPER(TRIM('Real results'!C137))=UPPER(TRIM('Raw data'!AY137))),1,0),0)</f>
        <v>0</v>
      </c>
      <c r="AZ141" s="39"/>
      <c r="BA141" s="41">
        <f>IFERROR(IF(AND('Real results'!C137&lt;&gt;"",'Raw data'!BA137&lt;&gt;"",UPPER(TRIM('Real results'!C137))=UPPER(TRIM('Raw data'!BA137))),1,0),0)</f>
        <v>0</v>
      </c>
      <c r="BB141" s="39"/>
      <c r="BC141" s="41">
        <f>IFERROR(IF(AND('Real results'!C137&lt;&gt;"",'Raw data'!BC137&lt;&gt;"",UPPER(TRIM('Real results'!C137))=UPPER(TRIM('Raw data'!BC137))),1,0),0)</f>
        <v>1</v>
      </c>
      <c r="BD141" s="39"/>
      <c r="BE141" s="41">
        <f>IFERROR(IF(AND('Real results'!C137&lt;&gt;"",'Raw data'!BE137&lt;&gt;"",UPPER(TRIM('Real results'!C137))=UPPER(TRIM('Raw data'!BE137))),1,0),0)</f>
        <v>0</v>
      </c>
      <c r="BF141" s="39"/>
      <c r="BG141" s="41">
        <f>IFERROR(IF(AND('Real results'!C137&lt;&gt;"",'Raw data'!BG137&lt;&gt;"",UPPER(TRIM('Real results'!C137))=UPPER(TRIM('Raw data'!BG137))),1,0),0)</f>
        <v>0</v>
      </c>
      <c r="BH141" s="39"/>
      <c r="BI141" s="41">
        <f>IFERROR(IF(AND('Real results'!C137&lt;&gt;"",'Raw data'!BI137&lt;&gt;"",UPPER(TRIM('Real results'!C137))=UPPER(TRIM('Raw data'!BI137))),1,0),0)</f>
        <v>0</v>
      </c>
    </row>
    <row r="142" ht="18.0" customHeight="1">
      <c r="A142" s="36"/>
      <c r="B142" s="40" t="s">
        <v>433</v>
      </c>
      <c r="C142" s="41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39"/>
      <c r="E142" s="41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F142" s="39"/>
      <c r="G142" s="41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H142" s="39"/>
      <c r="I142" s="41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J142" s="39"/>
      <c r="K142" s="41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L142" s="39"/>
      <c r="M142" s="41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N142" s="39"/>
      <c r="O142" s="41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39"/>
      <c r="Q142" s="41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39"/>
      <c r="S142" s="41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T142" s="39"/>
      <c r="U142" s="41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39"/>
      <c r="W142" s="41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X142" s="39"/>
      <c r="Y142" s="41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Z142" s="39"/>
      <c r="AA142" s="41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B142" s="39"/>
      <c r="AC142" s="41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D142" s="39"/>
      <c r="AE142" s="41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F142" s="39"/>
      <c r="AG142" s="41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H142" s="39"/>
      <c r="AI142" s="41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J142" s="39"/>
      <c r="AK142" s="41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L142" s="39"/>
      <c r="AM142" s="41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N142" s="39"/>
      <c r="AO142" s="41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39"/>
      <c r="AQ142" s="41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R142" s="39"/>
      <c r="AS142" s="41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39"/>
      <c r="AU142" s="41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V142" s="39"/>
      <c r="AW142" s="41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X142" s="39"/>
      <c r="AY142" s="41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39"/>
      <c r="BA142" s="41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B142" s="39"/>
      <c r="BC142" s="41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D142" s="39"/>
      <c r="BE142" s="41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F142" s="39"/>
      <c r="BG142" s="41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39"/>
      <c r="BI142" s="41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6"/>
      <c r="B143" s="40" t="s">
        <v>434</v>
      </c>
      <c r="C143" s="44">
        <f>0</f>
        <v>0</v>
      </c>
      <c r="D143" s="39"/>
      <c r="E143" s="41">
        <f>0</f>
        <v>0</v>
      </c>
      <c r="F143" s="39"/>
      <c r="G143" s="41">
        <f>0</f>
        <v>0</v>
      </c>
      <c r="H143" s="39"/>
      <c r="I143" s="41">
        <f>0</f>
        <v>0</v>
      </c>
      <c r="J143" s="39"/>
      <c r="K143" s="41">
        <f>0</f>
        <v>0</v>
      </c>
      <c r="L143" s="39"/>
      <c r="M143" s="41">
        <f>0</f>
        <v>0</v>
      </c>
      <c r="N143" s="39"/>
      <c r="O143" s="41">
        <f>0</f>
        <v>0</v>
      </c>
      <c r="P143" s="39"/>
      <c r="Q143" s="41">
        <f>0</f>
        <v>0</v>
      </c>
      <c r="R143" s="39"/>
      <c r="S143" s="41">
        <f>0</f>
        <v>0</v>
      </c>
      <c r="T143" s="39"/>
      <c r="U143" s="41">
        <f>0</f>
        <v>0</v>
      </c>
      <c r="V143" s="39"/>
      <c r="W143" s="41">
        <f>0</f>
        <v>0</v>
      </c>
      <c r="X143" s="39"/>
      <c r="Y143" s="41">
        <f>0</f>
        <v>0</v>
      </c>
      <c r="Z143" s="39"/>
      <c r="AA143" s="41">
        <f>0</f>
        <v>0</v>
      </c>
      <c r="AB143" s="39"/>
      <c r="AC143" s="41">
        <f>0</f>
        <v>0</v>
      </c>
      <c r="AD143" s="39"/>
      <c r="AE143" s="41">
        <f>0</f>
        <v>0</v>
      </c>
      <c r="AF143" s="39"/>
      <c r="AG143" s="41">
        <f>0</f>
        <v>0</v>
      </c>
      <c r="AH143" s="39"/>
      <c r="AI143" s="41">
        <f>0</f>
        <v>0</v>
      </c>
      <c r="AJ143" s="39"/>
      <c r="AK143" s="41">
        <f>0</f>
        <v>0</v>
      </c>
      <c r="AL143" s="39"/>
      <c r="AM143" s="41">
        <f>0</f>
        <v>0</v>
      </c>
      <c r="AN143" s="39"/>
      <c r="AO143" s="41">
        <f>0</f>
        <v>0</v>
      </c>
      <c r="AP143" s="39"/>
      <c r="AQ143" s="41">
        <f>0</f>
        <v>0</v>
      </c>
      <c r="AR143" s="39"/>
      <c r="AS143" s="41">
        <f>0</f>
        <v>0</v>
      </c>
      <c r="AT143" s="39"/>
      <c r="AU143" s="41">
        <f>0</f>
        <v>0</v>
      </c>
      <c r="AV143" s="39"/>
      <c r="AW143" s="41">
        <f>0</f>
        <v>0</v>
      </c>
      <c r="AX143" s="39"/>
      <c r="AY143" s="41">
        <f>0</f>
        <v>0</v>
      </c>
      <c r="AZ143" s="39"/>
      <c r="BA143" s="41">
        <f>0</f>
        <v>0</v>
      </c>
      <c r="BB143" s="39"/>
      <c r="BC143" s="41">
        <f>0</f>
        <v>0</v>
      </c>
      <c r="BD143" s="39"/>
      <c r="BE143" s="41">
        <f>0</f>
        <v>0</v>
      </c>
      <c r="BF143" s="39"/>
      <c r="BG143" s="41">
        <f>IFERROR(IF(AND('Real results'!C139&lt;&gt;"",'Raw data'!BG139&lt;&gt;"",UPPER(TRIM('Real results'!C139))=UPPER(TRIM('Raw data'!BG139))),1,0),0)</f>
        <v>0</v>
      </c>
      <c r="BH143" s="39"/>
      <c r="BI143" s="41">
        <f>IFERROR(IF(AND('Real results'!C139&lt;&gt;"",'Raw data'!BI139&lt;&gt;"",UPPER(TRIM('Real results'!C139))=UPPER(TRIM('Raw data'!BI139))),1,0),0)</f>
        <v>0</v>
      </c>
    </row>
    <row r="144" ht="18.0" customHeight="1">
      <c r="A144" s="36"/>
      <c r="B144" s="40" t="s">
        <v>435</v>
      </c>
      <c r="C144" s="41">
        <f>IFERROR(IF(AND('Real results'!C140&lt;&gt;"",'Raw data'!C140&lt;&gt;"",UPPER(TRIM('Real results'!C140))=UPPER(TRIM('Raw data'!C140))),1,0),0)</f>
        <v>0</v>
      </c>
      <c r="D144" s="39"/>
      <c r="E144" s="41">
        <f>IFERROR(IF(AND('Real results'!C140&lt;&gt;"",'Raw data'!E140&lt;&gt;"",UPPER(TRIM('Real results'!C140))=UPPER(TRIM('Raw data'!E140))),1,0),0)</f>
        <v>0</v>
      </c>
      <c r="F144" s="39"/>
      <c r="G144" s="41">
        <f>IFERROR(IF(AND('Real results'!C140&lt;&gt;"",'Raw data'!G140&lt;&gt;"",UPPER(TRIM('Real results'!C140))=UPPER(TRIM('Raw data'!G140))),1,0),0)</f>
        <v>0</v>
      </c>
      <c r="H144" s="39"/>
      <c r="I144" s="41">
        <f>IFERROR(IF(AND('Real results'!C140&lt;&gt;"",'Raw data'!I140&lt;&gt;"",UPPER(TRIM('Real results'!C140))=UPPER(TRIM('Raw data'!I140))),1,0),0)</f>
        <v>0</v>
      </c>
      <c r="J144" s="39"/>
      <c r="K144" s="41">
        <f>IFERROR(IF(AND('Real results'!C140&lt;&gt;"",'Raw data'!K140&lt;&gt;"",UPPER(TRIM('Real results'!C140))=UPPER(TRIM('Raw data'!K140))),1,0),0)</f>
        <v>0</v>
      </c>
      <c r="L144" s="39"/>
      <c r="M144" s="41">
        <f>IFERROR(IF(AND('Real results'!C140&lt;&gt;"",'Raw data'!M140&lt;&gt;"",UPPER(TRIM('Real results'!C140))=UPPER(TRIM('Raw data'!M140))),1,0),0)</f>
        <v>0</v>
      </c>
      <c r="N144" s="39"/>
      <c r="O144" s="41">
        <f>IFERROR(IF(AND('Real results'!C140&lt;&gt;"",'Raw data'!O140&lt;&gt;"",UPPER(TRIM('Real results'!C140))=UPPER(TRIM('Raw data'!O140))),1,0),0)</f>
        <v>0</v>
      </c>
      <c r="P144" s="39"/>
      <c r="Q144" s="41">
        <f>IFERROR(IF(AND('Real results'!C140&lt;&gt;"",'Raw data'!Q140&lt;&gt;"",UPPER(TRIM('Real results'!C140))=UPPER(TRIM('Raw data'!Q140))),1,0),0)</f>
        <v>0</v>
      </c>
      <c r="R144" s="39"/>
      <c r="S144" s="41">
        <f>IFERROR(IF(AND('Real results'!C140&lt;&gt;"",'Raw data'!S140&lt;&gt;"",UPPER(TRIM('Real results'!C140))=UPPER(TRIM('Raw data'!S140))),1,0),0)</f>
        <v>0</v>
      </c>
      <c r="T144" s="39"/>
      <c r="U144" s="41">
        <f>IFERROR(IF(AND('Real results'!C140&lt;&gt;"",'Raw data'!U140&lt;&gt;"",UPPER(TRIM('Real results'!C140))=UPPER(TRIM('Raw data'!U140))),1,0),0)</f>
        <v>0</v>
      </c>
      <c r="V144" s="39"/>
      <c r="W144" s="41">
        <f>IFERROR(IF(AND('Real results'!C140&lt;&gt;"",'Raw data'!W140&lt;&gt;"",UPPER(TRIM('Real results'!C140))=UPPER(TRIM('Raw data'!W140))),1,0),0)</f>
        <v>0</v>
      </c>
      <c r="X144" s="39"/>
      <c r="Y144" s="41">
        <f>IFERROR(IF(AND('Real results'!C140&lt;&gt;"",'Raw data'!Y140&lt;&gt;"",UPPER(TRIM('Real results'!C140))=UPPER(TRIM('Raw data'!Y140))),1,0),0)</f>
        <v>0</v>
      </c>
      <c r="Z144" s="39"/>
      <c r="AA144" s="41">
        <f>IFERROR(IF(AND('Real results'!C140&lt;&gt;"",'Raw data'!AA140&lt;&gt;"",UPPER(TRIM('Real results'!C140))=UPPER(TRIM('Raw data'!AA140))),1,0),0)</f>
        <v>0</v>
      </c>
      <c r="AB144" s="39"/>
      <c r="AC144" s="41">
        <f>IFERROR(IF(AND('Real results'!C140&lt;&gt;"",'Raw data'!AC140&lt;&gt;"",UPPER(TRIM('Real results'!C140))=UPPER(TRIM('Raw data'!AC140))),1,0),0)</f>
        <v>0</v>
      </c>
      <c r="AD144" s="39"/>
      <c r="AE144" s="41">
        <f>IFERROR(IF(AND('Real results'!C140&lt;&gt;"",'Raw data'!AE140&lt;&gt;"",UPPER(TRIM('Real results'!C140))=UPPER(TRIM('Raw data'!AE140))),1,0),0)</f>
        <v>0</v>
      </c>
      <c r="AF144" s="39"/>
      <c r="AG144" s="41">
        <f>IFERROR(IF(AND('Real results'!C140&lt;&gt;"",'Raw data'!AG140&lt;&gt;"",UPPER(TRIM('Real results'!C140))=UPPER(TRIM('Raw data'!AG140))),1,0),0)</f>
        <v>0</v>
      </c>
      <c r="AH144" s="39"/>
      <c r="AI144" s="41">
        <f>IFERROR(IF(AND('Real results'!C140&lt;&gt;"",'Raw data'!AI140&lt;&gt;"",UPPER(TRIM('Real results'!C140))=UPPER(TRIM('Raw data'!AI140))),1,0),0)</f>
        <v>0</v>
      </c>
      <c r="AJ144" s="39"/>
      <c r="AK144" s="41">
        <f>IFERROR(IF(AND('Real results'!C140&lt;&gt;"",'Raw data'!AK140&lt;&gt;"",UPPER(TRIM('Real results'!C140))=UPPER(TRIM('Raw data'!AK140))),1,0),0)</f>
        <v>0</v>
      </c>
      <c r="AL144" s="39"/>
      <c r="AM144" s="41">
        <f>IFERROR(IF(AND('Real results'!C140&lt;&gt;"",'Raw data'!AM140&lt;&gt;"",UPPER(TRIM('Real results'!C140))=UPPER(TRIM('Raw data'!AM140))),1,0),0)</f>
        <v>0</v>
      </c>
      <c r="AN144" s="39"/>
      <c r="AO144" s="41">
        <f>IFERROR(IF(AND('Real results'!C140&lt;&gt;"",'Raw data'!AO140&lt;&gt;"",UPPER(TRIM('Real results'!C140))=UPPER(TRIM('Raw data'!AO140))),1,0),0)</f>
        <v>0</v>
      </c>
      <c r="AP144" s="39"/>
      <c r="AQ144" s="41">
        <f>IFERROR(IF(AND('Real results'!C140&lt;&gt;"",'Raw data'!AQ140&lt;&gt;"",UPPER(TRIM('Real results'!C140))=UPPER(TRIM('Raw data'!AQ140))),1,0),0)</f>
        <v>0</v>
      </c>
      <c r="AR144" s="39"/>
      <c r="AS144" s="41">
        <f>IFERROR(IF(AND('Real results'!C140&lt;&gt;"",'Raw data'!AS140&lt;&gt;"",UPPER(TRIM('Real results'!C140))=UPPER(TRIM('Raw data'!AS140))),1,0),0)</f>
        <v>0</v>
      </c>
      <c r="AT144" s="39"/>
      <c r="AU144" s="41">
        <f>IFERROR(IF(AND('Real results'!C140&lt;&gt;"",'Raw data'!AU140&lt;&gt;"",UPPER(TRIM('Real results'!C140))=UPPER(TRIM('Raw data'!AU140))),1,0),0)</f>
        <v>0</v>
      </c>
      <c r="AV144" s="39"/>
      <c r="AW144" s="41">
        <f>IFERROR(IF(AND('Real results'!C140&lt;&gt;"",'Raw data'!AW140&lt;&gt;"",UPPER(TRIM('Real results'!C140))=UPPER(TRIM('Raw data'!AW140))),1,0),0)</f>
        <v>0</v>
      </c>
      <c r="AX144" s="39"/>
      <c r="AY144" s="41">
        <f>IFERROR(IF(AND('Real results'!C140&lt;&gt;"",'Raw data'!AY140&lt;&gt;"",UPPER(TRIM('Real results'!C140))=UPPER(TRIM('Raw data'!AY140))),1,0),0)</f>
        <v>0</v>
      </c>
      <c r="AZ144" s="39"/>
      <c r="BA144" s="41">
        <f>IFERROR(IF(AND('Real results'!C140&lt;&gt;"",'Raw data'!BA140&lt;&gt;"",UPPER(TRIM('Real results'!C140))=UPPER(TRIM('Raw data'!BA140))),1,0),0)</f>
        <v>0</v>
      </c>
      <c r="BB144" s="39"/>
      <c r="BC144" s="41">
        <f>IFERROR(IF(AND('Real results'!C140&lt;&gt;"",'Raw data'!BC140&lt;&gt;"",UPPER(TRIM('Real results'!C140))=UPPER(TRIM('Raw data'!BC140))),1,0),0)</f>
        <v>0</v>
      </c>
      <c r="BD144" s="39"/>
      <c r="BE144" s="41">
        <f>IFERROR(IF(AND('Real results'!C140&lt;&gt;"",'Raw data'!BE140&lt;&gt;"",UPPER(TRIM('Real results'!C140))=UPPER(TRIM('Raw data'!BE140))),1,0),0)</f>
        <v>0</v>
      </c>
      <c r="BF144" s="39"/>
      <c r="BG144" s="41">
        <f>IFERROR(IF(AND('Real results'!C140&lt;&gt;"",'Raw data'!BG140&lt;&gt;"",UPPER(TRIM('Real results'!C140))=UPPER(TRIM('Raw data'!BG140))),1,0),0)</f>
        <v>0</v>
      </c>
      <c r="BH144" s="39"/>
      <c r="BI144" s="41">
        <f>IFERROR(IF(AND('Real results'!C140&lt;&gt;"",'Raw data'!BI140&lt;&gt;"",UPPER(TRIM('Real results'!C140))=UPPER(TRIM('Raw data'!BI140))),1,0),0)</f>
        <v>0</v>
      </c>
    </row>
    <row r="145" ht="18.0" customHeight="1">
      <c r="A145" s="36"/>
      <c r="B145" s="40" t="s">
        <v>436</v>
      </c>
      <c r="C145" s="41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D145" s="39"/>
      <c r="E145" s="41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F145" s="39"/>
      <c r="G145" s="41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H145" s="39"/>
      <c r="I145" s="41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J145" s="39"/>
      <c r="K145" s="41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L145" s="39"/>
      <c r="M145" s="41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N145" s="39"/>
      <c r="O145" s="41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P145" s="39"/>
      <c r="Q145" s="41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R145" s="39"/>
      <c r="S145" s="41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T145" s="39"/>
      <c r="U145" s="41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V145" s="39"/>
      <c r="W145" s="41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X145" s="39"/>
      <c r="Y145" s="41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Z145" s="39"/>
      <c r="AA145" s="41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39"/>
      <c r="AC145" s="41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D145" s="39"/>
      <c r="AE145" s="41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39"/>
      <c r="AG145" s="41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H145" s="39"/>
      <c r="AI145" s="41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J145" s="39"/>
      <c r="AK145" s="41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L145" s="39"/>
      <c r="AM145" s="41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N145" s="39"/>
      <c r="AO145" s="41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P145" s="39"/>
      <c r="AQ145" s="41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R145" s="39"/>
      <c r="AS145" s="41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T145" s="39"/>
      <c r="AU145" s="41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V145" s="39"/>
      <c r="AW145" s="41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X145" s="39"/>
      <c r="AY145" s="41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AZ145" s="39"/>
      <c r="BA145" s="41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B145" s="39"/>
      <c r="BC145" s="41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D145" s="39"/>
      <c r="BE145" s="41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39"/>
      <c r="BG145" s="41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39"/>
      <c r="BI145" s="41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6"/>
      <c r="B146" s="40" t="s">
        <v>437</v>
      </c>
      <c r="C146" s="44">
        <f>0</f>
        <v>0</v>
      </c>
      <c r="D146" s="39"/>
      <c r="E146" s="41">
        <f>0</f>
        <v>0</v>
      </c>
      <c r="F146" s="39"/>
      <c r="G146" s="41">
        <f>0</f>
        <v>0</v>
      </c>
      <c r="H146" s="39"/>
      <c r="I146" s="41">
        <f>0</f>
        <v>0</v>
      </c>
      <c r="J146" s="39"/>
      <c r="K146" s="41">
        <f>0</f>
        <v>0</v>
      </c>
      <c r="L146" s="39"/>
      <c r="M146" s="41">
        <f>0</f>
        <v>0</v>
      </c>
      <c r="N146" s="39"/>
      <c r="O146" s="41">
        <f>0</f>
        <v>0</v>
      </c>
      <c r="P146" s="39"/>
      <c r="Q146" s="41">
        <f>0</f>
        <v>0</v>
      </c>
      <c r="R146" s="39"/>
      <c r="S146" s="41">
        <f>0</f>
        <v>0</v>
      </c>
      <c r="T146" s="39"/>
      <c r="U146" s="41">
        <f>0</f>
        <v>0</v>
      </c>
      <c r="V146" s="39"/>
      <c r="W146" s="41">
        <f>0</f>
        <v>0</v>
      </c>
      <c r="X146" s="39"/>
      <c r="Y146" s="41">
        <f>0</f>
        <v>0</v>
      </c>
      <c r="Z146" s="39"/>
      <c r="AA146" s="41">
        <f>0</f>
        <v>0</v>
      </c>
      <c r="AB146" s="39"/>
      <c r="AC146" s="41">
        <f>0</f>
        <v>0</v>
      </c>
      <c r="AD146" s="39"/>
      <c r="AE146" s="41">
        <f>0</f>
        <v>0</v>
      </c>
      <c r="AF146" s="39"/>
      <c r="AG146" s="41">
        <f>0</f>
        <v>0</v>
      </c>
      <c r="AH146" s="39"/>
      <c r="AI146" s="41">
        <f>0</f>
        <v>0</v>
      </c>
      <c r="AJ146" s="39"/>
      <c r="AK146" s="41">
        <f>0</f>
        <v>0</v>
      </c>
      <c r="AL146" s="39"/>
      <c r="AM146" s="41">
        <f>0</f>
        <v>0</v>
      </c>
      <c r="AN146" s="39"/>
      <c r="AO146" s="41">
        <f>0</f>
        <v>0</v>
      </c>
      <c r="AP146" s="39"/>
      <c r="AQ146" s="41">
        <f>0</f>
        <v>0</v>
      </c>
      <c r="AR146" s="39"/>
      <c r="AS146" s="41">
        <f>0</f>
        <v>0</v>
      </c>
      <c r="AT146" s="39"/>
      <c r="AU146" s="41">
        <f>0</f>
        <v>0</v>
      </c>
      <c r="AV146" s="39"/>
      <c r="AW146" s="41">
        <f>0</f>
        <v>0</v>
      </c>
      <c r="AX146" s="39"/>
      <c r="AY146" s="41">
        <f>0</f>
        <v>0</v>
      </c>
      <c r="AZ146" s="39"/>
      <c r="BA146" s="41">
        <f>0</f>
        <v>0</v>
      </c>
      <c r="BB146" s="39"/>
      <c r="BC146" s="41">
        <f>0</f>
        <v>0</v>
      </c>
      <c r="BD146" s="39"/>
      <c r="BE146" s="41">
        <f>0</f>
        <v>0</v>
      </c>
      <c r="BF146" s="39"/>
      <c r="BG146" s="41">
        <f>IFERROR(IF(AND('Real results'!C142&lt;&gt;"",'Raw data'!BG142&lt;&gt;"",UPPER(TRIM('Real results'!C142))=UPPER(TRIM('Raw data'!BG142))),1,0),0)</f>
        <v>0</v>
      </c>
      <c r="BH146" s="39"/>
      <c r="BI146" s="41">
        <f>IFERROR(IF(AND('Real results'!C142&lt;&gt;"",'Raw data'!BI142&lt;&gt;"",UPPER(TRIM('Real results'!C142))=UPPER(TRIM('Raw data'!BI142))),1,0),0)</f>
        <v>0</v>
      </c>
    </row>
    <row r="147" ht="18.0" customHeight="1">
      <c r="A147" s="36"/>
      <c r="B147" s="40" t="s">
        <v>438</v>
      </c>
      <c r="C147" s="41">
        <f>IFERROR(IF(AND('Real results'!C143&lt;&gt;"",'Raw data'!C143&lt;&gt;"",UPPER(TRIM('Real results'!C143))=UPPER(TRIM('Raw data'!C143))),1,0),0)</f>
        <v>0</v>
      </c>
      <c r="D147" s="39"/>
      <c r="E147" s="41">
        <f>IFERROR(IF(AND('Real results'!C143&lt;&gt;"",'Raw data'!E143&lt;&gt;"",UPPER(TRIM('Real results'!C143))=UPPER(TRIM('Raw data'!E143))),1,0),0)</f>
        <v>0</v>
      </c>
      <c r="F147" s="39"/>
      <c r="G147" s="41">
        <f>IFERROR(IF(AND('Real results'!C143&lt;&gt;"",'Raw data'!G143&lt;&gt;"",UPPER(TRIM('Real results'!C143))=UPPER(TRIM('Raw data'!G143))),1,0),0)</f>
        <v>0</v>
      </c>
      <c r="H147" s="39"/>
      <c r="I147" s="41">
        <f>IFERROR(IF(AND('Real results'!C143&lt;&gt;"",'Raw data'!I143&lt;&gt;"",UPPER(TRIM('Real results'!C143))=UPPER(TRIM('Raw data'!I143))),1,0),0)</f>
        <v>0</v>
      </c>
      <c r="J147" s="39"/>
      <c r="K147" s="41">
        <f>IFERROR(IF(AND('Real results'!C143&lt;&gt;"",'Raw data'!K143&lt;&gt;"",UPPER(TRIM('Real results'!C143))=UPPER(TRIM('Raw data'!K143))),1,0),0)</f>
        <v>0</v>
      </c>
      <c r="L147" s="39"/>
      <c r="M147" s="41">
        <f>IFERROR(IF(AND('Real results'!C143&lt;&gt;"",'Raw data'!M143&lt;&gt;"",UPPER(TRIM('Real results'!C143))=UPPER(TRIM('Raw data'!M143))),1,0),0)</f>
        <v>0</v>
      </c>
      <c r="N147" s="39"/>
      <c r="O147" s="41">
        <f>IFERROR(IF(AND('Real results'!C143&lt;&gt;"",'Raw data'!O143&lt;&gt;"",UPPER(TRIM('Real results'!C143))=UPPER(TRIM('Raw data'!O143))),1,0),0)</f>
        <v>0</v>
      </c>
      <c r="P147" s="39"/>
      <c r="Q147" s="41">
        <f>IFERROR(IF(AND('Real results'!C143&lt;&gt;"",'Raw data'!Q143&lt;&gt;"",UPPER(TRIM('Real results'!C143))=UPPER(TRIM('Raw data'!Q143))),1,0),0)</f>
        <v>0</v>
      </c>
      <c r="R147" s="39"/>
      <c r="S147" s="41">
        <f>IFERROR(IF(AND('Real results'!C143&lt;&gt;"",'Raw data'!S143&lt;&gt;"",UPPER(TRIM('Real results'!C143))=UPPER(TRIM('Raw data'!S143))),1,0),0)</f>
        <v>0</v>
      </c>
      <c r="T147" s="39"/>
      <c r="U147" s="41">
        <f>IFERROR(IF(AND('Real results'!C143&lt;&gt;"",'Raw data'!U143&lt;&gt;"",UPPER(TRIM('Real results'!C143))=UPPER(TRIM('Raw data'!U143))),1,0),0)</f>
        <v>0</v>
      </c>
      <c r="V147" s="39"/>
      <c r="W147" s="41">
        <f>IFERROR(IF(AND('Real results'!C143&lt;&gt;"",'Raw data'!W143&lt;&gt;"",UPPER(TRIM('Real results'!C143))=UPPER(TRIM('Raw data'!W143))),1,0),0)</f>
        <v>0</v>
      </c>
      <c r="X147" s="39"/>
      <c r="Y147" s="41">
        <f>IFERROR(IF(AND('Real results'!C143&lt;&gt;"",'Raw data'!Y143&lt;&gt;"",UPPER(TRIM('Real results'!C143))=UPPER(TRIM('Raw data'!Y143))),1,0),0)</f>
        <v>0</v>
      </c>
      <c r="Z147" s="39"/>
      <c r="AA147" s="41">
        <f>IFERROR(IF(AND('Real results'!C143&lt;&gt;"",'Raw data'!AA143&lt;&gt;"",UPPER(TRIM('Real results'!C143))=UPPER(TRIM('Raw data'!AA143))),1,0),0)</f>
        <v>0</v>
      </c>
      <c r="AB147" s="39"/>
      <c r="AC147" s="41">
        <f>IFERROR(IF(AND('Real results'!C143&lt;&gt;"",'Raw data'!AC143&lt;&gt;"",UPPER(TRIM('Real results'!C143))=UPPER(TRIM('Raw data'!AC143))),1,0),0)</f>
        <v>0</v>
      </c>
      <c r="AD147" s="39"/>
      <c r="AE147" s="41">
        <f>IFERROR(IF(AND('Real results'!C143&lt;&gt;"",'Raw data'!AE143&lt;&gt;"",UPPER(TRIM('Real results'!C143))=UPPER(TRIM('Raw data'!AE143))),1,0),0)</f>
        <v>0</v>
      </c>
      <c r="AF147" s="39"/>
      <c r="AG147" s="41">
        <f>IFERROR(IF(AND('Real results'!C143&lt;&gt;"",'Raw data'!AG143&lt;&gt;"",UPPER(TRIM('Real results'!C143))=UPPER(TRIM('Raw data'!AG143))),1,0),0)</f>
        <v>0</v>
      </c>
      <c r="AH147" s="39"/>
      <c r="AI147" s="41">
        <f>IFERROR(IF(AND('Real results'!C143&lt;&gt;"",'Raw data'!AI143&lt;&gt;"",UPPER(TRIM('Real results'!C143))=UPPER(TRIM('Raw data'!AI143))),1,0),0)</f>
        <v>0</v>
      </c>
      <c r="AJ147" s="39"/>
      <c r="AK147" s="41">
        <f>IFERROR(IF(AND('Real results'!C143&lt;&gt;"",'Raw data'!AK143&lt;&gt;"",UPPER(TRIM('Real results'!C143))=UPPER(TRIM('Raw data'!AK143))),1,0),0)</f>
        <v>0</v>
      </c>
      <c r="AL147" s="39"/>
      <c r="AM147" s="41">
        <f>IFERROR(IF(AND('Real results'!C143&lt;&gt;"",'Raw data'!AM143&lt;&gt;"",UPPER(TRIM('Real results'!C143))=UPPER(TRIM('Raw data'!AM143))),1,0),0)</f>
        <v>0</v>
      </c>
      <c r="AN147" s="39"/>
      <c r="AO147" s="41">
        <f>IFERROR(IF(AND('Real results'!C143&lt;&gt;"",'Raw data'!AO143&lt;&gt;"",UPPER(TRIM('Real results'!C143))=UPPER(TRIM('Raw data'!AO143))),1,0),0)</f>
        <v>0</v>
      </c>
      <c r="AP147" s="39"/>
      <c r="AQ147" s="41">
        <f>IFERROR(IF(AND('Real results'!C143&lt;&gt;"",'Raw data'!AQ143&lt;&gt;"",UPPER(TRIM('Real results'!C143))=UPPER(TRIM('Raw data'!AQ143))),1,0),0)</f>
        <v>0</v>
      </c>
      <c r="AR147" s="39"/>
      <c r="AS147" s="41">
        <f>IFERROR(IF(AND('Real results'!C143&lt;&gt;"",'Raw data'!AS143&lt;&gt;"",UPPER(TRIM('Real results'!C143))=UPPER(TRIM('Raw data'!AS143))),1,0),0)</f>
        <v>0</v>
      </c>
      <c r="AT147" s="39"/>
      <c r="AU147" s="41">
        <f>IFERROR(IF(AND('Real results'!C143&lt;&gt;"",'Raw data'!AU143&lt;&gt;"",UPPER(TRIM('Real results'!C143))=UPPER(TRIM('Raw data'!AU143))),1,0),0)</f>
        <v>0</v>
      </c>
      <c r="AV147" s="39"/>
      <c r="AW147" s="41">
        <f>IFERROR(IF(AND('Real results'!C143&lt;&gt;"",'Raw data'!AW143&lt;&gt;"",UPPER(TRIM('Real results'!C143))=UPPER(TRIM('Raw data'!AW143))),1,0),0)</f>
        <v>0</v>
      </c>
      <c r="AX147" s="39"/>
      <c r="AY147" s="41">
        <f>IFERROR(IF(AND('Real results'!C143&lt;&gt;"",'Raw data'!AY143&lt;&gt;"",UPPER(TRIM('Real results'!C143))=UPPER(TRIM('Raw data'!AY143))),1,0),0)</f>
        <v>0</v>
      </c>
      <c r="AZ147" s="39"/>
      <c r="BA147" s="41">
        <f>IFERROR(IF(AND('Real results'!C143&lt;&gt;"",'Raw data'!BA143&lt;&gt;"",UPPER(TRIM('Real results'!C143))=UPPER(TRIM('Raw data'!BA143))),1,0),0)</f>
        <v>0</v>
      </c>
      <c r="BB147" s="39"/>
      <c r="BC147" s="41">
        <f>IFERROR(IF(AND('Real results'!C143&lt;&gt;"",'Raw data'!BC143&lt;&gt;"",UPPER(TRIM('Real results'!C143))=UPPER(TRIM('Raw data'!BC143))),1,0),0)</f>
        <v>0</v>
      </c>
      <c r="BD147" s="39"/>
      <c r="BE147" s="41">
        <f>IFERROR(IF(AND('Real results'!C143&lt;&gt;"",'Raw data'!BE143&lt;&gt;"",UPPER(TRIM('Real results'!C143))=UPPER(TRIM('Raw data'!BE143))),1,0),0)</f>
        <v>0</v>
      </c>
      <c r="BF147" s="39"/>
      <c r="BG147" s="41">
        <f>IFERROR(IF(AND('Real results'!C143&lt;&gt;"",'Raw data'!BG143&lt;&gt;"",UPPER(TRIM('Real results'!C143))=UPPER(TRIM('Raw data'!BG143))),1,0),0)</f>
        <v>0</v>
      </c>
      <c r="BH147" s="39"/>
      <c r="BI147" s="41">
        <f>IFERROR(IF(AND('Real results'!C143&lt;&gt;"",'Raw data'!BI143&lt;&gt;"",UPPER(TRIM('Real results'!C143))=UPPER(TRIM('Raw data'!BI143))),1,0),0)</f>
        <v>0</v>
      </c>
    </row>
    <row r="148" ht="18.0" customHeight="1">
      <c r="A148" s="36"/>
      <c r="B148" s="40" t="s">
        <v>439</v>
      </c>
      <c r="C148" s="41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D148" s="39"/>
      <c r="E148" s="41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39"/>
      <c r="G148" s="41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39"/>
      <c r="I148" s="41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J148" s="39"/>
      <c r="K148" s="41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L148" s="39"/>
      <c r="M148" s="41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N148" s="39"/>
      <c r="O148" s="41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P148" s="39"/>
      <c r="Q148" s="41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39"/>
      <c r="S148" s="41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T148" s="39"/>
      <c r="U148" s="41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V148" s="39"/>
      <c r="W148" s="41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X148" s="39"/>
      <c r="Y148" s="41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39"/>
      <c r="AA148" s="41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B148" s="39"/>
      <c r="AC148" s="41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D148" s="39"/>
      <c r="AE148" s="41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F148" s="39"/>
      <c r="AG148" s="41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39"/>
      <c r="AI148" s="41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J148" s="39"/>
      <c r="AK148" s="41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L148" s="39"/>
      <c r="AM148" s="41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N148" s="39"/>
      <c r="AO148" s="41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P148" s="39"/>
      <c r="AQ148" s="41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R148" s="39"/>
      <c r="AS148" s="41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T148" s="39"/>
      <c r="AU148" s="41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V148" s="39"/>
      <c r="AW148" s="41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X148" s="39"/>
      <c r="AY148" s="41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AZ148" s="39"/>
      <c r="BA148" s="41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39"/>
      <c r="BC148" s="41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D148" s="39"/>
      <c r="BE148" s="41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F148" s="39"/>
      <c r="BG148" s="41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39"/>
      <c r="BI148" s="41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6"/>
      <c r="B149" s="40" t="s">
        <v>440</v>
      </c>
      <c r="C149" s="44">
        <f>0</f>
        <v>0</v>
      </c>
      <c r="D149" s="39"/>
      <c r="E149" s="41">
        <f>0</f>
        <v>0</v>
      </c>
      <c r="F149" s="39"/>
      <c r="G149" s="41">
        <f>0</f>
        <v>0</v>
      </c>
      <c r="H149" s="39"/>
      <c r="I149" s="41">
        <f>0</f>
        <v>0</v>
      </c>
      <c r="J149" s="39"/>
      <c r="K149" s="41">
        <f>0</f>
        <v>0</v>
      </c>
      <c r="L149" s="39"/>
      <c r="M149" s="41">
        <f>0</f>
        <v>0</v>
      </c>
      <c r="N149" s="39"/>
      <c r="O149" s="41">
        <f>0</f>
        <v>0</v>
      </c>
      <c r="P149" s="39"/>
      <c r="Q149" s="41">
        <f>0</f>
        <v>0</v>
      </c>
      <c r="R149" s="39"/>
      <c r="S149" s="41">
        <f>0</f>
        <v>0</v>
      </c>
      <c r="T149" s="39"/>
      <c r="U149" s="41">
        <f>0</f>
        <v>0</v>
      </c>
      <c r="V149" s="39"/>
      <c r="W149" s="41">
        <f>0</f>
        <v>0</v>
      </c>
      <c r="X149" s="39"/>
      <c r="Y149" s="41">
        <f>0</f>
        <v>0</v>
      </c>
      <c r="Z149" s="39"/>
      <c r="AA149" s="41">
        <f>0</f>
        <v>0</v>
      </c>
      <c r="AB149" s="39"/>
      <c r="AC149" s="41">
        <f>0</f>
        <v>0</v>
      </c>
      <c r="AD149" s="39"/>
      <c r="AE149" s="41">
        <f>0</f>
        <v>0</v>
      </c>
      <c r="AF149" s="39"/>
      <c r="AG149" s="41">
        <f>0</f>
        <v>0</v>
      </c>
      <c r="AH149" s="39"/>
      <c r="AI149" s="41">
        <f>0</f>
        <v>0</v>
      </c>
      <c r="AJ149" s="39"/>
      <c r="AK149" s="41">
        <f>0</f>
        <v>0</v>
      </c>
      <c r="AL149" s="39"/>
      <c r="AM149" s="41">
        <f>0</f>
        <v>0</v>
      </c>
      <c r="AN149" s="39"/>
      <c r="AO149" s="41">
        <f>0</f>
        <v>0</v>
      </c>
      <c r="AP149" s="39"/>
      <c r="AQ149" s="41">
        <f>0</f>
        <v>0</v>
      </c>
      <c r="AR149" s="39"/>
      <c r="AS149" s="41">
        <f>0</f>
        <v>0</v>
      </c>
      <c r="AT149" s="39"/>
      <c r="AU149" s="41">
        <f>0</f>
        <v>0</v>
      </c>
      <c r="AV149" s="39"/>
      <c r="AW149" s="41">
        <f>0</f>
        <v>0</v>
      </c>
      <c r="AX149" s="39"/>
      <c r="AY149" s="41">
        <f>0</f>
        <v>0</v>
      </c>
      <c r="AZ149" s="39"/>
      <c r="BA149" s="41">
        <f>0</f>
        <v>0</v>
      </c>
      <c r="BB149" s="39"/>
      <c r="BC149" s="41">
        <f>0</f>
        <v>0</v>
      </c>
      <c r="BD149" s="39"/>
      <c r="BE149" s="41">
        <f>0</f>
        <v>0</v>
      </c>
      <c r="BF149" s="39"/>
      <c r="BG149" s="41">
        <f>IFERROR(IF(AND('Real results'!C145&lt;&gt;"",'Raw data'!BG145&lt;&gt;"",UPPER(TRIM('Real results'!C145))=UPPER(TRIM('Raw data'!BG145))),1,0),0)</f>
        <v>0</v>
      </c>
      <c r="BH149" s="39"/>
      <c r="BI149" s="41">
        <f>IFERROR(IF(AND('Real results'!C145&lt;&gt;"",'Raw data'!BI145&lt;&gt;"",UPPER(TRIM('Real results'!C145))=UPPER(TRIM('Raw data'!BI145))),1,0),0)</f>
        <v>0</v>
      </c>
    </row>
    <row r="150" ht="18.0" customHeight="1">
      <c r="A150" s="36"/>
      <c r="B150" s="40" t="s">
        <v>441</v>
      </c>
      <c r="C150" s="41">
        <f>IFERROR(IF(AND('Real results'!C146&lt;&gt;"",'Raw data'!C146&lt;&gt;"",UPPER(TRIM('Real results'!C146))=UPPER(TRIM('Raw data'!C146))),1,0),0)</f>
        <v>0</v>
      </c>
      <c r="D150" s="39"/>
      <c r="E150" s="41">
        <f>IFERROR(IF(AND('Real results'!C146&lt;&gt;"",'Raw data'!E146&lt;&gt;"",UPPER(TRIM('Real results'!C146))=UPPER(TRIM('Raw data'!E146))),1,0),0)</f>
        <v>0</v>
      </c>
      <c r="F150" s="39"/>
      <c r="G150" s="41">
        <f>IFERROR(IF(AND('Real results'!C146&lt;&gt;"",'Raw data'!G146&lt;&gt;"",UPPER(TRIM('Real results'!C146))=UPPER(TRIM('Raw data'!G146))),1,0),0)</f>
        <v>0</v>
      </c>
      <c r="H150" s="39"/>
      <c r="I150" s="41">
        <f>IFERROR(IF(AND('Real results'!C146&lt;&gt;"",'Raw data'!I146&lt;&gt;"",UPPER(TRIM('Real results'!C146))=UPPER(TRIM('Raw data'!I146))),1,0),0)</f>
        <v>0</v>
      </c>
      <c r="J150" s="39"/>
      <c r="K150" s="41">
        <f>IFERROR(IF(AND('Real results'!C146&lt;&gt;"",'Raw data'!K146&lt;&gt;"",UPPER(TRIM('Real results'!C146))=UPPER(TRIM('Raw data'!K146))),1,0),0)</f>
        <v>0</v>
      </c>
      <c r="L150" s="39"/>
      <c r="M150" s="41">
        <f>IFERROR(IF(AND('Real results'!C146&lt;&gt;"",'Raw data'!M146&lt;&gt;"",UPPER(TRIM('Real results'!C146))=UPPER(TRIM('Raw data'!M146))),1,0),0)</f>
        <v>0</v>
      </c>
      <c r="N150" s="39"/>
      <c r="O150" s="41">
        <f>IFERROR(IF(AND('Real results'!C146&lt;&gt;"",'Raw data'!O146&lt;&gt;"",UPPER(TRIM('Real results'!C146))=UPPER(TRIM('Raw data'!O146))),1,0),0)</f>
        <v>0</v>
      </c>
      <c r="P150" s="39"/>
      <c r="Q150" s="41">
        <f>IFERROR(IF(AND('Real results'!C146&lt;&gt;"",'Raw data'!Q146&lt;&gt;"",UPPER(TRIM('Real results'!C146))=UPPER(TRIM('Raw data'!Q146))),1,0),0)</f>
        <v>0</v>
      </c>
      <c r="R150" s="39"/>
      <c r="S150" s="41">
        <f>IFERROR(IF(AND('Real results'!C146&lt;&gt;"",'Raw data'!S146&lt;&gt;"",UPPER(TRIM('Real results'!C146))=UPPER(TRIM('Raw data'!S146))),1,0),0)</f>
        <v>0</v>
      </c>
      <c r="T150" s="39"/>
      <c r="U150" s="41">
        <f>IFERROR(IF(AND('Real results'!C146&lt;&gt;"",'Raw data'!U146&lt;&gt;"",UPPER(TRIM('Real results'!C146))=UPPER(TRIM('Raw data'!U146))),1,0),0)</f>
        <v>0</v>
      </c>
      <c r="V150" s="39"/>
      <c r="W150" s="41">
        <f>IFERROR(IF(AND('Real results'!C146&lt;&gt;"",'Raw data'!W146&lt;&gt;"",UPPER(TRIM('Real results'!C146))=UPPER(TRIM('Raw data'!W146))),1,0),0)</f>
        <v>0</v>
      </c>
      <c r="X150" s="39"/>
      <c r="Y150" s="41">
        <f>IFERROR(IF(AND('Real results'!C146&lt;&gt;"",'Raw data'!Y146&lt;&gt;"",UPPER(TRIM('Real results'!C146))=UPPER(TRIM('Raw data'!Y146))),1,0),0)</f>
        <v>0</v>
      </c>
      <c r="Z150" s="39"/>
      <c r="AA150" s="41">
        <f>IFERROR(IF(AND('Real results'!C146&lt;&gt;"",'Raw data'!AA146&lt;&gt;"",UPPER(TRIM('Real results'!C146))=UPPER(TRIM('Raw data'!AA146))),1,0),0)</f>
        <v>0</v>
      </c>
      <c r="AB150" s="39"/>
      <c r="AC150" s="41">
        <f>IFERROR(IF(AND('Real results'!C146&lt;&gt;"",'Raw data'!AC146&lt;&gt;"",UPPER(TRIM('Real results'!C146))=UPPER(TRIM('Raw data'!AC146))),1,0),0)</f>
        <v>0</v>
      </c>
      <c r="AD150" s="39"/>
      <c r="AE150" s="41">
        <f>IFERROR(IF(AND('Real results'!C146&lt;&gt;"",'Raw data'!AE146&lt;&gt;"",UPPER(TRIM('Real results'!C146))=UPPER(TRIM('Raw data'!AE146))),1,0),0)</f>
        <v>0</v>
      </c>
      <c r="AF150" s="39"/>
      <c r="AG150" s="41">
        <f>IFERROR(IF(AND('Real results'!C146&lt;&gt;"",'Raw data'!AG146&lt;&gt;"",UPPER(TRIM('Real results'!C146))=UPPER(TRIM('Raw data'!AG146))),1,0),0)</f>
        <v>0</v>
      </c>
      <c r="AH150" s="39"/>
      <c r="AI150" s="41">
        <f>IFERROR(IF(AND('Real results'!C146&lt;&gt;"",'Raw data'!AI146&lt;&gt;"",UPPER(TRIM('Real results'!C146))=UPPER(TRIM('Raw data'!AI146))),1,0),0)</f>
        <v>0</v>
      </c>
      <c r="AJ150" s="39"/>
      <c r="AK150" s="41">
        <f>IFERROR(IF(AND('Real results'!C146&lt;&gt;"",'Raw data'!AK146&lt;&gt;"",UPPER(TRIM('Real results'!C146))=UPPER(TRIM('Raw data'!AK146))),1,0),0)</f>
        <v>0</v>
      </c>
      <c r="AL150" s="39"/>
      <c r="AM150" s="41">
        <f>IFERROR(IF(AND('Real results'!C146&lt;&gt;"",'Raw data'!AM146&lt;&gt;"",UPPER(TRIM('Real results'!C146))=UPPER(TRIM('Raw data'!AM146))),1,0),0)</f>
        <v>0</v>
      </c>
      <c r="AN150" s="39"/>
      <c r="AO150" s="41">
        <f>IFERROR(IF(AND('Real results'!C146&lt;&gt;"",'Raw data'!AO146&lt;&gt;"",UPPER(TRIM('Real results'!C146))=UPPER(TRIM('Raw data'!AO146))),1,0),0)</f>
        <v>0</v>
      </c>
      <c r="AP150" s="39"/>
      <c r="AQ150" s="41">
        <f>IFERROR(IF(AND('Real results'!C146&lt;&gt;"",'Raw data'!AQ146&lt;&gt;"",UPPER(TRIM('Real results'!C146))=UPPER(TRIM('Raw data'!AQ146))),1,0),0)</f>
        <v>0</v>
      </c>
      <c r="AR150" s="39"/>
      <c r="AS150" s="41">
        <f>IFERROR(IF(AND('Real results'!C146&lt;&gt;"",'Raw data'!AS146&lt;&gt;"",UPPER(TRIM('Real results'!C146))=UPPER(TRIM('Raw data'!AS146))),1,0),0)</f>
        <v>0</v>
      </c>
      <c r="AT150" s="39"/>
      <c r="AU150" s="41">
        <f>IFERROR(IF(AND('Real results'!C146&lt;&gt;"",'Raw data'!AU146&lt;&gt;"",UPPER(TRIM('Real results'!C146))=UPPER(TRIM('Raw data'!AU146))),1,0),0)</f>
        <v>0</v>
      </c>
      <c r="AV150" s="39"/>
      <c r="AW150" s="41">
        <f>IFERROR(IF(AND('Real results'!C146&lt;&gt;"",'Raw data'!AW146&lt;&gt;"",UPPER(TRIM('Real results'!C146))=UPPER(TRIM('Raw data'!AW146))),1,0),0)</f>
        <v>0</v>
      </c>
      <c r="AX150" s="39"/>
      <c r="AY150" s="41">
        <f>IFERROR(IF(AND('Real results'!C146&lt;&gt;"",'Raw data'!AY146&lt;&gt;"",UPPER(TRIM('Real results'!C146))=UPPER(TRIM('Raw data'!AY146))),1,0),0)</f>
        <v>0</v>
      </c>
      <c r="AZ150" s="39"/>
      <c r="BA150" s="41">
        <f>IFERROR(IF(AND('Real results'!C146&lt;&gt;"",'Raw data'!BA146&lt;&gt;"",UPPER(TRIM('Real results'!C146))=UPPER(TRIM('Raw data'!BA146))),1,0),0)</f>
        <v>0</v>
      </c>
      <c r="BB150" s="39"/>
      <c r="BC150" s="41">
        <f>IFERROR(IF(AND('Real results'!C146&lt;&gt;"",'Raw data'!BC146&lt;&gt;"",UPPER(TRIM('Real results'!C146))=UPPER(TRIM('Raw data'!BC146))),1,0),0)</f>
        <v>0</v>
      </c>
      <c r="BD150" s="39"/>
      <c r="BE150" s="41">
        <f>IFERROR(IF(AND('Real results'!C146&lt;&gt;"",'Raw data'!BE146&lt;&gt;"",UPPER(TRIM('Real results'!C146))=UPPER(TRIM('Raw data'!BE146))),1,0),0)</f>
        <v>0</v>
      </c>
      <c r="BF150" s="39"/>
      <c r="BG150" s="41">
        <f>IFERROR(IF(AND('Real results'!C146&lt;&gt;"",'Raw data'!BG146&lt;&gt;"",UPPER(TRIM('Real results'!C146))=UPPER(TRIM('Raw data'!BG146))),1,0),0)</f>
        <v>0</v>
      </c>
      <c r="BH150" s="39"/>
      <c r="BI150" s="41">
        <f>IFERROR(IF(AND('Real results'!C146&lt;&gt;"",'Raw data'!BI146&lt;&gt;"",UPPER(TRIM('Real results'!C146))=UPPER(TRIM('Raw data'!BI146))),1,0),0)</f>
        <v>0</v>
      </c>
    </row>
    <row r="151" ht="18.0" customHeight="1">
      <c r="A151" s="36"/>
      <c r="B151" s="40" t="s">
        <v>442</v>
      </c>
      <c r="C151" s="41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39"/>
      <c r="E151" s="41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39"/>
      <c r="G151" s="41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39"/>
      <c r="I151" s="41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39"/>
      <c r="K151" s="41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39"/>
      <c r="M151" s="41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39"/>
      <c r="O151" s="41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P151" s="39"/>
      <c r="Q151" s="41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39"/>
      <c r="S151" s="41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39"/>
      <c r="U151" s="41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V151" s="39"/>
      <c r="W151" s="41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39"/>
      <c r="Y151" s="41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39"/>
      <c r="AA151" s="41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39"/>
      <c r="AC151" s="41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39"/>
      <c r="AE151" s="41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39"/>
      <c r="AG151" s="41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H151" s="39"/>
      <c r="AI151" s="41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39"/>
      <c r="AK151" s="41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L151" s="39"/>
      <c r="AM151" s="41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N151" s="39"/>
      <c r="AO151" s="41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P151" s="39"/>
      <c r="AQ151" s="41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39"/>
      <c r="AS151" s="41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39"/>
      <c r="AU151" s="41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39"/>
      <c r="AW151" s="41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X151" s="39"/>
      <c r="AY151" s="41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39"/>
      <c r="BA151" s="41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39"/>
      <c r="BC151" s="41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D151" s="39"/>
      <c r="BE151" s="41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39"/>
      <c r="BG151" s="41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39"/>
      <c r="BI151" s="41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6"/>
      <c r="B152" s="40" t="s">
        <v>443</v>
      </c>
      <c r="C152" s="44">
        <f>0</f>
        <v>0</v>
      </c>
      <c r="D152" s="39"/>
      <c r="E152" s="41">
        <f>0</f>
        <v>0</v>
      </c>
      <c r="F152" s="39"/>
      <c r="G152" s="41">
        <f>0</f>
        <v>0</v>
      </c>
      <c r="H152" s="39"/>
      <c r="I152" s="41">
        <f>0</f>
        <v>0</v>
      </c>
      <c r="J152" s="39"/>
      <c r="K152" s="41">
        <f>0</f>
        <v>0</v>
      </c>
      <c r="L152" s="39"/>
      <c r="M152" s="41">
        <f>0</f>
        <v>0</v>
      </c>
      <c r="N152" s="39"/>
      <c r="O152" s="41">
        <f>0</f>
        <v>0</v>
      </c>
      <c r="P152" s="39"/>
      <c r="Q152" s="41">
        <f>0</f>
        <v>0</v>
      </c>
      <c r="R152" s="39"/>
      <c r="S152" s="41">
        <f>0</f>
        <v>0</v>
      </c>
      <c r="T152" s="39"/>
      <c r="U152" s="41">
        <f>0</f>
        <v>0</v>
      </c>
      <c r="V152" s="39"/>
      <c r="W152" s="41">
        <f>0</f>
        <v>0</v>
      </c>
      <c r="X152" s="39"/>
      <c r="Y152" s="41">
        <f>0</f>
        <v>0</v>
      </c>
      <c r="Z152" s="39"/>
      <c r="AA152" s="41">
        <f>0</f>
        <v>0</v>
      </c>
      <c r="AB152" s="39"/>
      <c r="AC152" s="41">
        <f>0</f>
        <v>0</v>
      </c>
      <c r="AD152" s="39"/>
      <c r="AE152" s="41">
        <f>0</f>
        <v>0</v>
      </c>
      <c r="AF152" s="39"/>
      <c r="AG152" s="41">
        <f>0</f>
        <v>0</v>
      </c>
      <c r="AH152" s="39"/>
      <c r="AI152" s="41">
        <f>0</f>
        <v>0</v>
      </c>
      <c r="AJ152" s="39"/>
      <c r="AK152" s="41">
        <f>0</f>
        <v>0</v>
      </c>
      <c r="AL152" s="39"/>
      <c r="AM152" s="41">
        <f>0</f>
        <v>0</v>
      </c>
      <c r="AN152" s="39"/>
      <c r="AO152" s="41">
        <f>0</f>
        <v>0</v>
      </c>
      <c r="AP152" s="39"/>
      <c r="AQ152" s="41">
        <f>0</f>
        <v>0</v>
      </c>
      <c r="AR152" s="39"/>
      <c r="AS152" s="41">
        <f>0</f>
        <v>0</v>
      </c>
      <c r="AT152" s="39"/>
      <c r="AU152" s="41">
        <f>0</f>
        <v>0</v>
      </c>
      <c r="AV152" s="39"/>
      <c r="AW152" s="41">
        <f>0</f>
        <v>0</v>
      </c>
      <c r="AX152" s="39"/>
      <c r="AY152" s="41">
        <f>0</f>
        <v>0</v>
      </c>
      <c r="AZ152" s="39"/>
      <c r="BA152" s="41">
        <f>0</f>
        <v>0</v>
      </c>
      <c r="BB152" s="39"/>
      <c r="BC152" s="41">
        <f>0</f>
        <v>0</v>
      </c>
      <c r="BD152" s="39"/>
      <c r="BE152" s="41">
        <f>0</f>
        <v>0</v>
      </c>
      <c r="BF152" s="39"/>
      <c r="BG152" s="41">
        <f>IFERROR(IF(AND('Real results'!C148&lt;&gt;"",'Raw data'!BG148&lt;&gt;"",UPPER(TRIM('Real results'!C148))=UPPER(TRIM('Raw data'!BG148))),1,0),0)</f>
        <v>0</v>
      </c>
      <c r="BH152" s="39"/>
      <c r="BI152" s="41">
        <f>IFERROR(IF(AND('Real results'!C148&lt;&gt;"",'Raw data'!BI148&lt;&gt;"",UPPER(TRIM('Real results'!C148))=UPPER(TRIM('Raw data'!BI148))),1,0),0)</f>
        <v>0</v>
      </c>
    </row>
    <row r="153" ht="18.0" customHeight="1">
      <c r="A153" s="36"/>
      <c r="B153" s="40" t="s">
        <v>444</v>
      </c>
      <c r="C153" s="41">
        <f>IFERROR(IF(AND('Real results'!C149&lt;&gt;"",'Raw data'!C149&lt;&gt;"",UPPER(TRIM('Real results'!C149))=UPPER(TRIM('Raw data'!C149))),1,0),0)</f>
        <v>0</v>
      </c>
      <c r="D153" s="39"/>
      <c r="E153" s="41">
        <f>IFERROR(IF(AND('Real results'!C149&lt;&gt;"",'Raw data'!E149&lt;&gt;"",UPPER(TRIM('Real results'!C149))=UPPER(TRIM('Raw data'!E149))),1,0),0)</f>
        <v>0</v>
      </c>
      <c r="F153" s="39"/>
      <c r="G153" s="41">
        <f>IFERROR(IF(AND('Real results'!C149&lt;&gt;"",'Raw data'!G149&lt;&gt;"",UPPER(TRIM('Real results'!C149))=UPPER(TRIM('Raw data'!G149))),1,0),0)</f>
        <v>0</v>
      </c>
      <c r="H153" s="39"/>
      <c r="I153" s="41">
        <f>IFERROR(IF(AND('Real results'!C149&lt;&gt;"",'Raw data'!I149&lt;&gt;"",UPPER(TRIM('Real results'!C149))=UPPER(TRIM('Raw data'!I149))),1,0),0)</f>
        <v>0</v>
      </c>
      <c r="J153" s="39"/>
      <c r="K153" s="41">
        <f>IFERROR(IF(AND('Real results'!C149&lt;&gt;"",'Raw data'!K149&lt;&gt;"",UPPER(TRIM('Real results'!C149))=UPPER(TRIM('Raw data'!K149))),1,0),0)</f>
        <v>0</v>
      </c>
      <c r="L153" s="39"/>
      <c r="M153" s="41">
        <f>IFERROR(IF(AND('Real results'!C149&lt;&gt;"",'Raw data'!M149&lt;&gt;"",UPPER(TRIM('Real results'!C149))=UPPER(TRIM('Raw data'!M149))),1,0),0)</f>
        <v>0</v>
      </c>
      <c r="N153" s="39"/>
      <c r="O153" s="41">
        <f>IFERROR(IF(AND('Real results'!C149&lt;&gt;"",'Raw data'!O149&lt;&gt;"",UPPER(TRIM('Real results'!C149))=UPPER(TRIM('Raw data'!O149))),1,0),0)</f>
        <v>0</v>
      </c>
      <c r="P153" s="39"/>
      <c r="Q153" s="41">
        <f>IFERROR(IF(AND('Real results'!C149&lt;&gt;"",'Raw data'!Q149&lt;&gt;"",UPPER(TRIM('Real results'!C149))=UPPER(TRIM('Raw data'!Q149))),1,0),0)</f>
        <v>0</v>
      </c>
      <c r="R153" s="39"/>
      <c r="S153" s="41">
        <f>IFERROR(IF(AND('Real results'!C149&lt;&gt;"",'Raw data'!S149&lt;&gt;"",UPPER(TRIM('Real results'!C149))=UPPER(TRIM('Raw data'!S149))),1,0),0)</f>
        <v>0</v>
      </c>
      <c r="T153" s="39"/>
      <c r="U153" s="41">
        <f>IFERROR(IF(AND('Real results'!C149&lt;&gt;"",'Raw data'!U149&lt;&gt;"",UPPER(TRIM('Real results'!C149))=UPPER(TRIM('Raw data'!U149))),1,0),0)</f>
        <v>0</v>
      </c>
      <c r="V153" s="39"/>
      <c r="W153" s="41">
        <f>IFERROR(IF(AND('Real results'!C149&lt;&gt;"",'Raw data'!W149&lt;&gt;"",UPPER(TRIM('Real results'!C149))=UPPER(TRIM('Raw data'!W149))),1,0),0)</f>
        <v>0</v>
      </c>
      <c r="X153" s="39"/>
      <c r="Y153" s="41">
        <f>IFERROR(IF(AND('Real results'!C149&lt;&gt;"",'Raw data'!Y149&lt;&gt;"",UPPER(TRIM('Real results'!C149))=UPPER(TRIM('Raw data'!Y149))),1,0),0)</f>
        <v>0</v>
      </c>
      <c r="Z153" s="39"/>
      <c r="AA153" s="41">
        <f>IFERROR(IF(AND('Real results'!C149&lt;&gt;"",'Raw data'!AA149&lt;&gt;"",UPPER(TRIM('Real results'!C149))=UPPER(TRIM('Raw data'!AA149))),1,0),0)</f>
        <v>0</v>
      </c>
      <c r="AB153" s="39"/>
      <c r="AC153" s="41">
        <f>IFERROR(IF(AND('Real results'!C149&lt;&gt;"",'Raw data'!AC149&lt;&gt;"",UPPER(TRIM('Real results'!C149))=UPPER(TRIM('Raw data'!AC149))),1,0),0)</f>
        <v>0</v>
      </c>
      <c r="AD153" s="39"/>
      <c r="AE153" s="41">
        <f>IFERROR(IF(AND('Real results'!C149&lt;&gt;"",'Raw data'!AE149&lt;&gt;"",UPPER(TRIM('Real results'!C149))=UPPER(TRIM('Raw data'!AE149))),1,0),0)</f>
        <v>0</v>
      </c>
      <c r="AF153" s="39"/>
      <c r="AG153" s="41">
        <f>IFERROR(IF(AND('Real results'!C149&lt;&gt;"",'Raw data'!AG149&lt;&gt;"",UPPER(TRIM('Real results'!C149))=UPPER(TRIM('Raw data'!AG149))),1,0),0)</f>
        <v>0</v>
      </c>
      <c r="AH153" s="39"/>
      <c r="AI153" s="41">
        <f>IFERROR(IF(AND('Real results'!C149&lt;&gt;"",'Raw data'!AI149&lt;&gt;"",UPPER(TRIM('Real results'!C149))=UPPER(TRIM('Raw data'!AI149))),1,0),0)</f>
        <v>0</v>
      </c>
      <c r="AJ153" s="39"/>
      <c r="AK153" s="41">
        <f>IFERROR(IF(AND('Real results'!C149&lt;&gt;"",'Raw data'!AK149&lt;&gt;"",UPPER(TRIM('Real results'!C149))=UPPER(TRIM('Raw data'!AK149))),1,0),0)</f>
        <v>0</v>
      </c>
      <c r="AL153" s="39"/>
      <c r="AM153" s="41">
        <f>IFERROR(IF(AND('Real results'!C149&lt;&gt;"",'Raw data'!AM149&lt;&gt;"",UPPER(TRIM('Real results'!C149))=UPPER(TRIM('Raw data'!AM149))),1,0),0)</f>
        <v>0</v>
      </c>
      <c r="AN153" s="39"/>
      <c r="AO153" s="41">
        <f>IFERROR(IF(AND('Real results'!C149&lt;&gt;"",'Raw data'!AO149&lt;&gt;"",UPPER(TRIM('Real results'!C149))=UPPER(TRIM('Raw data'!AO149))),1,0),0)</f>
        <v>0</v>
      </c>
      <c r="AP153" s="39"/>
      <c r="AQ153" s="41">
        <f>IFERROR(IF(AND('Real results'!C149&lt;&gt;"",'Raw data'!AQ149&lt;&gt;"",UPPER(TRIM('Real results'!C149))=UPPER(TRIM('Raw data'!AQ149))),1,0),0)</f>
        <v>0</v>
      </c>
      <c r="AR153" s="39"/>
      <c r="AS153" s="41">
        <f>IFERROR(IF(AND('Real results'!C149&lt;&gt;"",'Raw data'!AS149&lt;&gt;"",UPPER(TRIM('Real results'!C149))=UPPER(TRIM('Raw data'!AS149))),1,0),0)</f>
        <v>0</v>
      </c>
      <c r="AT153" s="39"/>
      <c r="AU153" s="41">
        <f>IFERROR(IF(AND('Real results'!C149&lt;&gt;"",'Raw data'!AU149&lt;&gt;"",UPPER(TRIM('Real results'!C149))=UPPER(TRIM('Raw data'!AU149))),1,0),0)</f>
        <v>0</v>
      </c>
      <c r="AV153" s="39"/>
      <c r="AW153" s="41">
        <f>IFERROR(IF(AND('Real results'!C149&lt;&gt;"",'Raw data'!AW149&lt;&gt;"",UPPER(TRIM('Real results'!C149))=UPPER(TRIM('Raw data'!AW149))),1,0),0)</f>
        <v>0</v>
      </c>
      <c r="AX153" s="39"/>
      <c r="AY153" s="41">
        <f>IFERROR(IF(AND('Real results'!C149&lt;&gt;"",'Raw data'!AY149&lt;&gt;"",UPPER(TRIM('Real results'!C149))=UPPER(TRIM('Raw data'!AY149))),1,0),0)</f>
        <v>0</v>
      </c>
      <c r="AZ153" s="39"/>
      <c r="BA153" s="41">
        <f>IFERROR(IF(AND('Real results'!C149&lt;&gt;"",'Raw data'!BA149&lt;&gt;"",UPPER(TRIM('Real results'!C149))=UPPER(TRIM('Raw data'!BA149))),1,0),0)</f>
        <v>0</v>
      </c>
      <c r="BB153" s="39"/>
      <c r="BC153" s="41">
        <f>IFERROR(IF(AND('Real results'!C149&lt;&gt;"",'Raw data'!BC149&lt;&gt;"",UPPER(TRIM('Real results'!C149))=UPPER(TRIM('Raw data'!BC149))),1,0),0)</f>
        <v>0</v>
      </c>
      <c r="BD153" s="39"/>
      <c r="BE153" s="41">
        <f>IFERROR(IF(AND('Real results'!C149&lt;&gt;"",'Raw data'!BE149&lt;&gt;"",UPPER(TRIM('Real results'!C149))=UPPER(TRIM('Raw data'!BE149))),1,0),0)</f>
        <v>0</v>
      </c>
      <c r="BF153" s="39"/>
      <c r="BG153" s="41">
        <f>IFERROR(IF(AND('Real results'!C149&lt;&gt;"",'Raw data'!BG149&lt;&gt;"",UPPER(TRIM('Real results'!C149))=UPPER(TRIM('Raw data'!BG149))),1,0),0)</f>
        <v>0</v>
      </c>
      <c r="BH153" s="39"/>
      <c r="BI153" s="41">
        <f>IFERROR(IF(AND('Real results'!C149&lt;&gt;"",'Raw data'!BI149&lt;&gt;"",UPPER(TRIM('Real results'!C149))=UPPER(TRIM('Raw data'!BI149))),1,0),0)</f>
        <v>0</v>
      </c>
    </row>
    <row r="154" ht="18.0" customHeight="1">
      <c r="A154" s="36"/>
      <c r="B154" s="40" t="s">
        <v>445</v>
      </c>
      <c r="C154" s="41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39"/>
      <c r="E154" s="41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39"/>
      <c r="G154" s="41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39"/>
      <c r="I154" s="41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39"/>
      <c r="K154" s="41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39"/>
      <c r="M154" s="41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39"/>
      <c r="O154" s="41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39"/>
      <c r="Q154" s="41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39"/>
      <c r="S154" s="41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39"/>
      <c r="U154" s="41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39"/>
      <c r="W154" s="41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39"/>
      <c r="Y154" s="41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39"/>
      <c r="AA154" s="41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39"/>
      <c r="AC154" s="41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39"/>
      <c r="AE154" s="41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39"/>
      <c r="AG154" s="41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39"/>
      <c r="AI154" s="41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39"/>
      <c r="AK154" s="41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39"/>
      <c r="AM154" s="41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39"/>
      <c r="AO154" s="41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39"/>
      <c r="AQ154" s="41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39"/>
      <c r="AS154" s="41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39"/>
      <c r="AU154" s="41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39"/>
      <c r="AW154" s="41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39"/>
      <c r="AY154" s="41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39"/>
      <c r="BA154" s="41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39"/>
      <c r="BC154" s="41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39"/>
      <c r="BE154" s="41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39"/>
      <c r="BG154" s="41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39"/>
      <c r="BI154" s="41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6"/>
      <c r="B155" s="40" t="s">
        <v>446</v>
      </c>
      <c r="C155" s="44">
        <f>0</f>
        <v>0</v>
      </c>
      <c r="D155" s="39"/>
      <c r="E155" s="41">
        <f>0</f>
        <v>0</v>
      </c>
      <c r="F155" s="39"/>
      <c r="G155" s="41">
        <f>0</f>
        <v>0</v>
      </c>
      <c r="H155" s="39"/>
      <c r="I155" s="41">
        <f>0</f>
        <v>0</v>
      </c>
      <c r="J155" s="39"/>
      <c r="K155" s="41">
        <f>0</f>
        <v>0</v>
      </c>
      <c r="L155" s="39"/>
      <c r="M155" s="41">
        <f>0</f>
        <v>0</v>
      </c>
      <c r="N155" s="39"/>
      <c r="O155" s="41">
        <f>0</f>
        <v>0</v>
      </c>
      <c r="P155" s="39"/>
      <c r="Q155" s="41">
        <f>0</f>
        <v>0</v>
      </c>
      <c r="R155" s="39"/>
      <c r="S155" s="41">
        <f>0</f>
        <v>0</v>
      </c>
      <c r="T155" s="39"/>
      <c r="U155" s="41">
        <f>0</f>
        <v>0</v>
      </c>
      <c r="V155" s="39"/>
      <c r="W155" s="41">
        <f>0</f>
        <v>0</v>
      </c>
      <c r="X155" s="39"/>
      <c r="Y155" s="41">
        <f>0</f>
        <v>0</v>
      </c>
      <c r="Z155" s="39"/>
      <c r="AA155" s="41">
        <f>0</f>
        <v>0</v>
      </c>
      <c r="AB155" s="39"/>
      <c r="AC155" s="41">
        <f>0</f>
        <v>0</v>
      </c>
      <c r="AD155" s="39"/>
      <c r="AE155" s="41">
        <f>0</f>
        <v>0</v>
      </c>
      <c r="AF155" s="39"/>
      <c r="AG155" s="41">
        <f>0</f>
        <v>0</v>
      </c>
      <c r="AH155" s="39"/>
      <c r="AI155" s="41">
        <f>0</f>
        <v>0</v>
      </c>
      <c r="AJ155" s="39"/>
      <c r="AK155" s="41">
        <f>0</f>
        <v>0</v>
      </c>
      <c r="AL155" s="39"/>
      <c r="AM155" s="41">
        <f>0</f>
        <v>0</v>
      </c>
      <c r="AN155" s="39"/>
      <c r="AO155" s="41">
        <f>0</f>
        <v>0</v>
      </c>
      <c r="AP155" s="39"/>
      <c r="AQ155" s="41">
        <f>0</f>
        <v>0</v>
      </c>
      <c r="AR155" s="39"/>
      <c r="AS155" s="41">
        <f>0</f>
        <v>0</v>
      </c>
      <c r="AT155" s="39"/>
      <c r="AU155" s="41">
        <f>0</f>
        <v>0</v>
      </c>
      <c r="AV155" s="39"/>
      <c r="AW155" s="41">
        <f>0</f>
        <v>0</v>
      </c>
      <c r="AX155" s="39"/>
      <c r="AY155" s="41">
        <f>0</f>
        <v>0</v>
      </c>
      <c r="AZ155" s="39"/>
      <c r="BA155" s="41">
        <f>0</f>
        <v>0</v>
      </c>
      <c r="BB155" s="39"/>
      <c r="BC155" s="41">
        <f>0</f>
        <v>0</v>
      </c>
      <c r="BD155" s="39"/>
      <c r="BE155" s="41">
        <f>0</f>
        <v>0</v>
      </c>
      <c r="BF155" s="39"/>
      <c r="BG155" s="41">
        <f>IFERROR(IF(AND('Real results'!C151&lt;&gt;"",'Raw data'!BG151&lt;&gt;"",UPPER(TRIM('Real results'!C151))=UPPER(TRIM('Raw data'!BG151))),1,0),0)</f>
        <v>0</v>
      </c>
      <c r="BH155" s="39"/>
      <c r="BI155" s="41">
        <f>IFERROR(IF(AND('Real results'!C151&lt;&gt;"",'Raw data'!BI151&lt;&gt;"",UPPER(TRIM('Real results'!C151))=UPPER(TRIM('Raw data'!BI151))),1,0),0)</f>
        <v>0</v>
      </c>
    </row>
    <row r="156" ht="18.0" customHeight="1">
      <c r="A156" s="36"/>
      <c r="B156" s="40" t="s">
        <v>447</v>
      </c>
      <c r="C156" s="41">
        <f>IFERROR(IF(AND('Real results'!C152&lt;&gt;"",'Raw data'!C152&lt;&gt;"",UPPER(TRIM('Real results'!C152))=UPPER(TRIM('Raw data'!C152))),1,0),0)</f>
        <v>1</v>
      </c>
      <c r="D156" s="39"/>
      <c r="E156" s="41">
        <f>IFERROR(IF(AND('Real results'!C152&lt;&gt;"",'Raw data'!E152&lt;&gt;"",UPPER(TRIM('Real results'!C152))=UPPER(TRIM('Raw data'!E152))),1,0),0)</f>
        <v>1</v>
      </c>
      <c r="F156" s="39"/>
      <c r="G156" s="41">
        <f>IFERROR(IF(AND('Real results'!C152&lt;&gt;"",'Raw data'!G152&lt;&gt;"",UPPER(TRIM('Real results'!C152))=UPPER(TRIM('Raw data'!G152))),1,0),0)</f>
        <v>1</v>
      </c>
      <c r="H156" s="39"/>
      <c r="I156" s="41">
        <f>IFERROR(IF(AND('Real results'!C152&lt;&gt;"",'Raw data'!I152&lt;&gt;"",UPPER(TRIM('Real results'!C152))=UPPER(TRIM('Raw data'!I152))),1,0),0)</f>
        <v>1</v>
      </c>
      <c r="J156" s="39"/>
      <c r="K156" s="41">
        <f>IFERROR(IF(AND('Real results'!C152&lt;&gt;"",'Raw data'!K152&lt;&gt;"",UPPER(TRIM('Real results'!C152))=UPPER(TRIM('Raw data'!K152))),1,0),0)</f>
        <v>0</v>
      </c>
      <c r="L156" s="39"/>
      <c r="M156" s="41">
        <f>IFERROR(IF(AND('Real results'!C152&lt;&gt;"",'Raw data'!M152&lt;&gt;"",UPPER(TRIM('Real results'!C152))=UPPER(TRIM('Raw data'!M152))),1,0),0)</f>
        <v>1</v>
      </c>
      <c r="N156" s="39"/>
      <c r="O156" s="41">
        <f>IFERROR(IF(AND('Real results'!C152&lt;&gt;"",'Raw data'!O152&lt;&gt;"",UPPER(TRIM('Real results'!C152))=UPPER(TRIM('Raw data'!O152))),1,0),0)</f>
        <v>0</v>
      </c>
      <c r="P156" s="39"/>
      <c r="Q156" s="41">
        <f>IFERROR(IF(AND('Real results'!C152&lt;&gt;"",'Raw data'!Q152&lt;&gt;"",UPPER(TRIM('Real results'!C152))=UPPER(TRIM('Raw data'!Q152))),1,0),0)</f>
        <v>1</v>
      </c>
      <c r="R156" s="39"/>
      <c r="S156" s="41">
        <f>IFERROR(IF(AND('Real results'!C152&lt;&gt;"",'Raw data'!S152&lt;&gt;"",UPPER(TRIM('Real results'!C152))=UPPER(TRIM('Raw data'!S152))),1,0),0)</f>
        <v>1</v>
      </c>
      <c r="T156" s="39"/>
      <c r="U156" s="41">
        <f>IFERROR(IF(AND('Real results'!C152&lt;&gt;"",'Raw data'!U152&lt;&gt;"",UPPER(TRIM('Real results'!C152))=UPPER(TRIM('Raw data'!U152))),1,0),0)</f>
        <v>1</v>
      </c>
      <c r="V156" s="39"/>
      <c r="W156" s="41">
        <f>IFERROR(IF(AND('Real results'!C152&lt;&gt;"",'Raw data'!W152&lt;&gt;"",UPPER(TRIM('Real results'!C152))=UPPER(TRIM('Raw data'!W152))),1,0),0)</f>
        <v>0</v>
      </c>
      <c r="X156" s="39"/>
      <c r="Y156" s="41">
        <f>IFERROR(IF(AND('Real results'!C152&lt;&gt;"",'Raw data'!Y152&lt;&gt;"",UPPER(TRIM('Real results'!C152))=UPPER(TRIM('Raw data'!Y152))),1,0),0)</f>
        <v>1</v>
      </c>
      <c r="Z156" s="39"/>
      <c r="AA156" s="41">
        <f>IFERROR(IF(AND('Real results'!C152&lt;&gt;"",'Raw data'!AA152&lt;&gt;"",UPPER(TRIM('Real results'!C152))=UPPER(TRIM('Raw data'!AA152))),1,0),0)</f>
        <v>0</v>
      </c>
      <c r="AB156" s="39"/>
      <c r="AC156" s="41">
        <f>IFERROR(IF(AND('Real results'!C152&lt;&gt;"",'Raw data'!AC152&lt;&gt;"",UPPER(TRIM('Real results'!C152))=UPPER(TRIM('Raw data'!AC152))),1,0),0)</f>
        <v>1</v>
      </c>
      <c r="AD156" s="39"/>
      <c r="AE156" s="41">
        <f>IFERROR(IF(AND('Real results'!C152&lt;&gt;"",'Raw data'!AE152&lt;&gt;"",UPPER(TRIM('Real results'!C152))=UPPER(TRIM('Raw data'!AE152))),1,0),0)</f>
        <v>0</v>
      </c>
      <c r="AF156" s="39"/>
      <c r="AG156" s="41">
        <f>IFERROR(IF(AND('Real results'!C152&lt;&gt;"",'Raw data'!AG152&lt;&gt;"",UPPER(TRIM('Real results'!C152))=UPPER(TRIM('Raw data'!AG152))),1,0),0)</f>
        <v>1</v>
      </c>
      <c r="AH156" s="39"/>
      <c r="AI156" s="41">
        <f>IFERROR(IF(AND('Real results'!C152&lt;&gt;"",'Raw data'!AI152&lt;&gt;"",UPPER(TRIM('Real results'!C152))=UPPER(TRIM('Raw data'!AI152))),1,0),0)</f>
        <v>1</v>
      </c>
      <c r="AJ156" s="39"/>
      <c r="AK156" s="41">
        <f>IFERROR(IF(AND('Real results'!C152&lt;&gt;"",'Raw data'!AK152&lt;&gt;"",UPPER(TRIM('Real results'!C152))=UPPER(TRIM('Raw data'!AK152))),1,0),0)</f>
        <v>1</v>
      </c>
      <c r="AL156" s="39"/>
      <c r="AM156" s="41">
        <f>IFERROR(IF(AND('Real results'!C152&lt;&gt;"",'Raw data'!AM152&lt;&gt;"",UPPER(TRIM('Real results'!C152))=UPPER(TRIM('Raw data'!AM152))),1,0),0)</f>
        <v>1</v>
      </c>
      <c r="AN156" s="39"/>
      <c r="AO156" s="41">
        <f>IFERROR(IF(AND('Real results'!C152&lt;&gt;"",'Raw data'!AO152&lt;&gt;"",UPPER(TRIM('Real results'!C152))=UPPER(TRIM('Raw data'!AO152))),1,0),0)</f>
        <v>1</v>
      </c>
      <c r="AP156" s="39"/>
      <c r="AQ156" s="41">
        <f>IFERROR(IF(AND('Real results'!C152&lt;&gt;"",'Raw data'!AQ152&lt;&gt;"",UPPER(TRIM('Real results'!C152))=UPPER(TRIM('Raw data'!AQ152))),1,0),0)</f>
        <v>1</v>
      </c>
      <c r="AR156" s="39"/>
      <c r="AS156" s="41">
        <f>IFERROR(IF(AND('Real results'!C152&lt;&gt;"",'Raw data'!AS152&lt;&gt;"",UPPER(TRIM('Real results'!C152))=UPPER(TRIM('Raw data'!AS152))),1,0),0)</f>
        <v>1</v>
      </c>
      <c r="AT156" s="39"/>
      <c r="AU156" s="41">
        <f>IFERROR(IF(AND('Real results'!C152&lt;&gt;"",'Raw data'!AU152&lt;&gt;"",UPPER(TRIM('Real results'!C152))=UPPER(TRIM('Raw data'!AU152))),1,0),0)</f>
        <v>1</v>
      </c>
      <c r="AV156" s="39"/>
      <c r="AW156" s="41">
        <f>IFERROR(IF(AND('Real results'!C152&lt;&gt;"",'Raw data'!AW152&lt;&gt;"",UPPER(TRIM('Real results'!C152))=UPPER(TRIM('Raw data'!AW152))),1,0),0)</f>
        <v>1</v>
      </c>
      <c r="AX156" s="39"/>
      <c r="AY156" s="41">
        <f>IFERROR(IF(AND('Real results'!C152&lt;&gt;"",'Raw data'!AY152&lt;&gt;"",UPPER(TRIM('Real results'!C152))=UPPER(TRIM('Raw data'!AY152))),1,0),0)</f>
        <v>1</v>
      </c>
      <c r="AZ156" s="39"/>
      <c r="BA156" s="41">
        <f>IFERROR(IF(AND('Real results'!C152&lt;&gt;"",'Raw data'!BA152&lt;&gt;"",UPPER(TRIM('Real results'!C152))=UPPER(TRIM('Raw data'!BA152))),1,0),0)</f>
        <v>1</v>
      </c>
      <c r="BB156" s="39"/>
      <c r="BC156" s="41">
        <f>IFERROR(IF(AND('Real results'!C152&lt;&gt;"",'Raw data'!BC152&lt;&gt;"",UPPER(TRIM('Real results'!C152))=UPPER(TRIM('Raw data'!BC152))),1,0),0)</f>
        <v>1</v>
      </c>
      <c r="BD156" s="39"/>
      <c r="BE156" s="41">
        <f>IFERROR(IF(AND('Real results'!C152&lt;&gt;"",'Raw data'!BE152&lt;&gt;"",UPPER(TRIM('Real results'!C152))=UPPER(TRIM('Raw data'!BE152))),1,0),0)</f>
        <v>0</v>
      </c>
      <c r="BF156" s="39"/>
      <c r="BG156" s="41">
        <f>IFERROR(IF(AND('Real results'!C152&lt;&gt;"",'Raw data'!BG152&lt;&gt;"",UPPER(TRIM('Real results'!C152))=UPPER(TRIM('Raw data'!BG152))),1,0),0)</f>
        <v>0</v>
      </c>
      <c r="BH156" s="39"/>
      <c r="BI156" s="41">
        <f>IFERROR(IF(AND('Real results'!C152&lt;&gt;"",'Raw data'!BI152&lt;&gt;"",UPPER(TRIM('Real results'!C152))=UPPER(TRIM('Raw data'!BI152))),1,0),0)</f>
        <v>0</v>
      </c>
    </row>
    <row r="157" ht="18.0" customHeight="1">
      <c r="A157" s="36"/>
      <c r="B157" s="40" t="s">
        <v>448</v>
      </c>
      <c r="C157" s="41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39"/>
      <c r="E157" s="41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39"/>
      <c r="G157" s="41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39"/>
      <c r="I157" s="41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39"/>
      <c r="K157" s="41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39"/>
      <c r="M157" s="41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39"/>
      <c r="O157" s="41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39"/>
      <c r="Q157" s="41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39"/>
      <c r="S157" s="41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39"/>
      <c r="U157" s="41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39"/>
      <c r="W157" s="41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39"/>
      <c r="Y157" s="41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39"/>
      <c r="AA157" s="41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39"/>
      <c r="AC157" s="41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39"/>
      <c r="AE157" s="41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39"/>
      <c r="AG157" s="41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39"/>
      <c r="AI157" s="41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39"/>
      <c r="AK157" s="41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39"/>
      <c r="AM157" s="41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39"/>
      <c r="AO157" s="41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39"/>
      <c r="AQ157" s="41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39"/>
      <c r="AS157" s="41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39"/>
      <c r="AU157" s="41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39"/>
      <c r="AW157" s="41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39"/>
      <c r="AY157" s="41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39"/>
      <c r="BA157" s="41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39"/>
      <c r="BC157" s="41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39"/>
      <c r="BE157" s="41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39"/>
      <c r="BG157" s="41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39"/>
      <c r="BI157" s="41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6"/>
      <c r="B158" s="40" t="s">
        <v>449</v>
      </c>
      <c r="C158" s="44">
        <f>0</f>
        <v>0</v>
      </c>
      <c r="D158" s="39"/>
      <c r="E158" s="41">
        <f>0</f>
        <v>0</v>
      </c>
      <c r="F158" s="39"/>
      <c r="G158" s="41">
        <f>0</f>
        <v>0</v>
      </c>
      <c r="H158" s="39"/>
      <c r="I158" s="41">
        <f>0</f>
        <v>0</v>
      </c>
      <c r="J158" s="39"/>
      <c r="K158" s="41">
        <f>0</f>
        <v>0</v>
      </c>
      <c r="L158" s="39"/>
      <c r="M158" s="41">
        <f>0</f>
        <v>0</v>
      </c>
      <c r="N158" s="39"/>
      <c r="O158" s="41">
        <f>0</f>
        <v>0</v>
      </c>
      <c r="P158" s="39"/>
      <c r="Q158" s="41">
        <f>0</f>
        <v>0</v>
      </c>
      <c r="R158" s="39"/>
      <c r="S158" s="41">
        <f>0</f>
        <v>0</v>
      </c>
      <c r="T158" s="39"/>
      <c r="U158" s="41">
        <f>0</f>
        <v>0</v>
      </c>
      <c r="V158" s="39"/>
      <c r="W158" s="41">
        <f>0</f>
        <v>0</v>
      </c>
      <c r="X158" s="39"/>
      <c r="Y158" s="41">
        <f>0</f>
        <v>0</v>
      </c>
      <c r="Z158" s="39"/>
      <c r="AA158" s="41">
        <f>0</f>
        <v>0</v>
      </c>
      <c r="AB158" s="39"/>
      <c r="AC158" s="41">
        <f>0</f>
        <v>0</v>
      </c>
      <c r="AD158" s="39"/>
      <c r="AE158" s="41">
        <f>0</f>
        <v>0</v>
      </c>
      <c r="AF158" s="39"/>
      <c r="AG158" s="41">
        <f>0</f>
        <v>0</v>
      </c>
      <c r="AH158" s="39"/>
      <c r="AI158" s="41">
        <f>0</f>
        <v>0</v>
      </c>
      <c r="AJ158" s="39"/>
      <c r="AK158" s="41">
        <f>0</f>
        <v>0</v>
      </c>
      <c r="AL158" s="39"/>
      <c r="AM158" s="41">
        <f>0</f>
        <v>0</v>
      </c>
      <c r="AN158" s="39"/>
      <c r="AO158" s="41">
        <f>0</f>
        <v>0</v>
      </c>
      <c r="AP158" s="39"/>
      <c r="AQ158" s="41">
        <f>0</f>
        <v>0</v>
      </c>
      <c r="AR158" s="39"/>
      <c r="AS158" s="41">
        <f>0</f>
        <v>0</v>
      </c>
      <c r="AT158" s="39"/>
      <c r="AU158" s="41">
        <f>0</f>
        <v>0</v>
      </c>
      <c r="AV158" s="39"/>
      <c r="AW158" s="41">
        <f>0</f>
        <v>0</v>
      </c>
      <c r="AX158" s="39"/>
      <c r="AY158" s="41">
        <f>0</f>
        <v>0</v>
      </c>
      <c r="AZ158" s="39"/>
      <c r="BA158" s="41">
        <f>0</f>
        <v>0</v>
      </c>
      <c r="BB158" s="39"/>
      <c r="BC158" s="41">
        <f>0</f>
        <v>0</v>
      </c>
      <c r="BD158" s="39"/>
      <c r="BE158" s="41">
        <f>0</f>
        <v>0</v>
      </c>
      <c r="BF158" s="39"/>
      <c r="BG158" s="41">
        <f>IFERROR(IF(AND('Real results'!C154&lt;&gt;"",'Raw data'!BG154&lt;&gt;"",UPPER(TRIM('Real results'!C154))=UPPER(TRIM('Raw data'!BG154))),1,0),0)</f>
        <v>0</v>
      </c>
      <c r="BH158" s="39"/>
      <c r="BI158" s="41">
        <f>IFERROR(IF(AND('Real results'!C154&lt;&gt;"",'Raw data'!BI154&lt;&gt;"",UPPER(TRIM('Real results'!C154))=UPPER(TRIM('Raw data'!BI154))),1,0),0)</f>
        <v>0</v>
      </c>
    </row>
    <row r="159" ht="18.0" customHeight="1">
      <c r="A159" s="36"/>
      <c r="B159" s="40" t="s">
        <v>450</v>
      </c>
      <c r="C159" s="41">
        <f>IFERROR(IF(AND('Real results'!C155&lt;&gt;"",'Raw data'!C155&lt;&gt;"",UPPER(TRIM('Real results'!C155))=UPPER(TRIM('Raw data'!C155))),1,0),0)</f>
        <v>1</v>
      </c>
      <c r="D159" s="39"/>
      <c r="E159" s="41">
        <f>IFERROR(IF(AND('Real results'!C155&lt;&gt;"",'Raw data'!E155&lt;&gt;"",UPPER(TRIM('Real results'!C155))=UPPER(TRIM('Raw data'!E155))),1,0),0)</f>
        <v>1</v>
      </c>
      <c r="F159" s="39"/>
      <c r="G159" s="41">
        <f>IFERROR(IF(AND('Real results'!C155&lt;&gt;"",'Raw data'!G155&lt;&gt;"",UPPER(TRIM('Real results'!C155))=UPPER(TRIM('Raw data'!G155))),1,0),0)</f>
        <v>1</v>
      </c>
      <c r="H159" s="39"/>
      <c r="I159" s="41">
        <f>IFERROR(IF(AND('Real results'!C155&lt;&gt;"",'Raw data'!I155&lt;&gt;"",UPPER(TRIM('Real results'!C155))=UPPER(TRIM('Raw data'!I155))),1,0),0)</f>
        <v>1</v>
      </c>
      <c r="J159" s="39"/>
      <c r="K159" s="41">
        <f>IFERROR(IF(AND('Real results'!C155&lt;&gt;"",'Raw data'!K155&lt;&gt;"",UPPER(TRIM('Real results'!C155))=UPPER(TRIM('Raw data'!K155))),1,0),0)</f>
        <v>0</v>
      </c>
      <c r="L159" s="39"/>
      <c r="M159" s="41">
        <f>IFERROR(IF(AND('Real results'!C155&lt;&gt;"",'Raw data'!M155&lt;&gt;"",UPPER(TRIM('Real results'!C155))=UPPER(TRIM('Raw data'!M155))),1,0),0)</f>
        <v>1</v>
      </c>
      <c r="N159" s="39"/>
      <c r="O159" s="41">
        <f>IFERROR(IF(AND('Real results'!C155&lt;&gt;"",'Raw data'!O155&lt;&gt;"",UPPER(TRIM('Real results'!C155))=UPPER(TRIM('Raw data'!O155))),1,0),0)</f>
        <v>1</v>
      </c>
      <c r="P159" s="39"/>
      <c r="Q159" s="41">
        <f>IFERROR(IF(AND('Real results'!C155&lt;&gt;"",'Raw data'!Q155&lt;&gt;"",UPPER(TRIM('Real results'!C155))=UPPER(TRIM('Raw data'!Q155))),1,0),0)</f>
        <v>1</v>
      </c>
      <c r="R159" s="39"/>
      <c r="S159" s="41">
        <f>IFERROR(IF(AND('Real results'!C155&lt;&gt;"",'Raw data'!S155&lt;&gt;"",UPPER(TRIM('Real results'!C155))=UPPER(TRIM('Raw data'!S155))),1,0),0)</f>
        <v>1</v>
      </c>
      <c r="T159" s="39"/>
      <c r="U159" s="41">
        <f>IFERROR(IF(AND('Real results'!C155&lt;&gt;"",'Raw data'!U155&lt;&gt;"",UPPER(TRIM('Real results'!C155))=UPPER(TRIM('Raw data'!U155))),1,0),0)</f>
        <v>0</v>
      </c>
      <c r="V159" s="39"/>
      <c r="W159" s="41">
        <f>IFERROR(IF(AND('Real results'!C155&lt;&gt;"",'Raw data'!W155&lt;&gt;"",UPPER(TRIM('Real results'!C155))=UPPER(TRIM('Raw data'!W155))),1,0),0)</f>
        <v>0</v>
      </c>
      <c r="X159" s="39"/>
      <c r="Y159" s="41">
        <f>IFERROR(IF(AND('Real results'!C155&lt;&gt;"",'Raw data'!Y155&lt;&gt;"",UPPER(TRIM('Real results'!C155))=UPPER(TRIM('Raw data'!Y155))),1,0),0)</f>
        <v>1</v>
      </c>
      <c r="Z159" s="39"/>
      <c r="AA159" s="41">
        <f>IFERROR(IF(AND('Real results'!C155&lt;&gt;"",'Raw data'!AA155&lt;&gt;"",UPPER(TRIM('Real results'!C155))=UPPER(TRIM('Raw data'!AA155))),1,0),0)</f>
        <v>0</v>
      </c>
      <c r="AB159" s="39"/>
      <c r="AC159" s="41">
        <f>IFERROR(IF(AND('Real results'!C155&lt;&gt;"",'Raw data'!AC155&lt;&gt;"",UPPER(TRIM('Real results'!C155))=UPPER(TRIM('Raw data'!AC155))),1,0),0)</f>
        <v>1</v>
      </c>
      <c r="AD159" s="39"/>
      <c r="AE159" s="41">
        <f>IFERROR(IF(AND('Real results'!C155&lt;&gt;"",'Raw data'!AE155&lt;&gt;"",UPPER(TRIM('Real results'!C155))=UPPER(TRIM('Raw data'!AE155))),1,0),0)</f>
        <v>0</v>
      </c>
      <c r="AF159" s="39"/>
      <c r="AG159" s="41">
        <f>IFERROR(IF(AND('Real results'!C155&lt;&gt;"",'Raw data'!AG155&lt;&gt;"",UPPER(TRIM('Real results'!C155))=UPPER(TRIM('Raw data'!AG155))),1,0),0)</f>
        <v>1</v>
      </c>
      <c r="AH159" s="39"/>
      <c r="AI159" s="41">
        <f>IFERROR(IF(AND('Real results'!C155&lt;&gt;"",'Raw data'!AI155&lt;&gt;"",UPPER(TRIM('Real results'!C155))=UPPER(TRIM('Raw data'!AI155))),1,0),0)</f>
        <v>0</v>
      </c>
      <c r="AJ159" s="39"/>
      <c r="AK159" s="41">
        <f>IFERROR(IF(AND('Real results'!C155&lt;&gt;"",'Raw data'!AK155&lt;&gt;"",UPPER(TRIM('Real results'!C155))=UPPER(TRIM('Raw data'!AK155))),1,0),0)</f>
        <v>1</v>
      </c>
      <c r="AL159" s="39"/>
      <c r="AM159" s="41">
        <f>IFERROR(IF(AND('Real results'!C155&lt;&gt;"",'Raw data'!AM155&lt;&gt;"",UPPER(TRIM('Real results'!C155))=UPPER(TRIM('Raw data'!AM155))),1,0),0)</f>
        <v>1</v>
      </c>
      <c r="AN159" s="39"/>
      <c r="AO159" s="41">
        <f>IFERROR(IF(AND('Real results'!C155&lt;&gt;"",'Raw data'!AO155&lt;&gt;"",UPPER(TRIM('Real results'!C155))=UPPER(TRIM('Raw data'!AO155))),1,0),0)</f>
        <v>1</v>
      </c>
      <c r="AP159" s="39"/>
      <c r="AQ159" s="41">
        <f>IFERROR(IF(AND('Real results'!C155&lt;&gt;"",'Raw data'!AQ155&lt;&gt;"",UPPER(TRIM('Real results'!C155))=UPPER(TRIM('Raw data'!AQ155))),1,0),0)</f>
        <v>1</v>
      </c>
      <c r="AR159" s="39"/>
      <c r="AS159" s="41">
        <f>IFERROR(IF(AND('Real results'!C155&lt;&gt;"",'Raw data'!AS155&lt;&gt;"",UPPER(TRIM('Real results'!C155))=UPPER(TRIM('Raw data'!AS155))),1,0),0)</f>
        <v>1</v>
      </c>
      <c r="AT159" s="39"/>
      <c r="AU159" s="41">
        <f>IFERROR(IF(AND('Real results'!C155&lt;&gt;"",'Raw data'!AU155&lt;&gt;"",UPPER(TRIM('Real results'!C155))=UPPER(TRIM('Raw data'!AU155))),1,0),0)</f>
        <v>1</v>
      </c>
      <c r="AV159" s="39"/>
      <c r="AW159" s="41">
        <f>IFERROR(IF(AND('Real results'!C155&lt;&gt;"",'Raw data'!AW155&lt;&gt;"",UPPER(TRIM('Real results'!C155))=UPPER(TRIM('Raw data'!AW155))),1,0),0)</f>
        <v>1</v>
      </c>
      <c r="AX159" s="39"/>
      <c r="AY159" s="41">
        <f>IFERROR(IF(AND('Real results'!C155&lt;&gt;"",'Raw data'!AY155&lt;&gt;"",UPPER(TRIM('Real results'!C155))=UPPER(TRIM('Raw data'!AY155))),1,0),0)</f>
        <v>0</v>
      </c>
      <c r="AZ159" s="39"/>
      <c r="BA159" s="41">
        <f>IFERROR(IF(AND('Real results'!C155&lt;&gt;"",'Raw data'!BA155&lt;&gt;"",UPPER(TRIM('Real results'!C155))=UPPER(TRIM('Raw data'!BA155))),1,0),0)</f>
        <v>1</v>
      </c>
      <c r="BB159" s="39"/>
      <c r="BC159" s="41">
        <f>IFERROR(IF(AND('Real results'!C155&lt;&gt;"",'Raw data'!BC155&lt;&gt;"",UPPER(TRIM('Real results'!C155))=UPPER(TRIM('Raw data'!BC155))),1,0),0)</f>
        <v>1</v>
      </c>
      <c r="BD159" s="39"/>
      <c r="BE159" s="41">
        <f>IFERROR(IF(AND('Real results'!C155&lt;&gt;"",'Raw data'!BE155&lt;&gt;"",UPPER(TRIM('Real results'!C155))=UPPER(TRIM('Raw data'!BE155))),1,0),0)</f>
        <v>0</v>
      </c>
      <c r="BF159" s="39"/>
      <c r="BG159" s="41">
        <f>IFERROR(IF(AND('Real results'!C155&lt;&gt;"",'Raw data'!BG155&lt;&gt;"",UPPER(TRIM('Real results'!C155))=UPPER(TRIM('Raw data'!BG155))),1,0),0)</f>
        <v>0</v>
      </c>
      <c r="BH159" s="39"/>
      <c r="BI159" s="41">
        <f>IFERROR(IF(AND('Real results'!C155&lt;&gt;"",'Raw data'!BI155&lt;&gt;"",UPPER(TRIM('Real results'!C155))=UPPER(TRIM('Raw data'!BI155))),1,0),0)</f>
        <v>0</v>
      </c>
    </row>
    <row r="160" ht="18.0" customHeight="1">
      <c r="A160" s="36"/>
      <c r="B160" s="40" t="s">
        <v>451</v>
      </c>
      <c r="C160" s="41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D160" s="39"/>
      <c r="E160" s="41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39"/>
      <c r="G160" s="41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H160" s="39"/>
      <c r="I160" s="41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39"/>
      <c r="K160" s="41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L160" s="39"/>
      <c r="M160" s="41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N160" s="39"/>
      <c r="O160" s="41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P160" s="39"/>
      <c r="Q160" s="41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39"/>
      <c r="S160" s="41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T160" s="39"/>
      <c r="U160" s="41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V160" s="39"/>
      <c r="W160" s="41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X160" s="39"/>
      <c r="Y160" s="41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39"/>
      <c r="AA160" s="41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B160" s="39"/>
      <c r="AC160" s="41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39"/>
      <c r="AE160" s="41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F160" s="39"/>
      <c r="AG160" s="41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39"/>
      <c r="AI160" s="41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J160" s="39"/>
      <c r="AK160" s="41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39"/>
      <c r="AM160" s="41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N160" s="39"/>
      <c r="AO160" s="41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P160" s="39"/>
      <c r="AQ160" s="41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39"/>
      <c r="AS160" s="41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T160" s="39"/>
      <c r="AU160" s="41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39"/>
      <c r="AW160" s="41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X160" s="39"/>
      <c r="AY160" s="41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39"/>
      <c r="BA160" s="41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39"/>
      <c r="BC160" s="41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39"/>
      <c r="BE160" s="41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F160" s="39"/>
      <c r="BG160" s="41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39"/>
      <c r="BI160" s="41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6"/>
      <c r="B161" s="40" t="s">
        <v>452</v>
      </c>
      <c r="C161" s="44">
        <f>0</f>
        <v>0</v>
      </c>
      <c r="D161" s="39"/>
      <c r="E161" s="41">
        <f>0</f>
        <v>0</v>
      </c>
      <c r="F161" s="39"/>
      <c r="G161" s="41">
        <f>0</f>
        <v>0</v>
      </c>
      <c r="H161" s="39"/>
      <c r="I161" s="41">
        <f>0</f>
        <v>0</v>
      </c>
      <c r="J161" s="39"/>
      <c r="K161" s="41">
        <f>0</f>
        <v>0</v>
      </c>
      <c r="L161" s="39"/>
      <c r="M161" s="41">
        <f>0</f>
        <v>0</v>
      </c>
      <c r="N161" s="39"/>
      <c r="O161" s="41">
        <f>0</f>
        <v>0</v>
      </c>
      <c r="P161" s="39"/>
      <c r="Q161" s="41">
        <f>0</f>
        <v>0</v>
      </c>
      <c r="R161" s="39"/>
      <c r="S161" s="41">
        <f>0</f>
        <v>0</v>
      </c>
      <c r="T161" s="39"/>
      <c r="U161" s="41">
        <f>0</f>
        <v>0</v>
      </c>
      <c r="V161" s="39"/>
      <c r="W161" s="41">
        <f>0</f>
        <v>0</v>
      </c>
      <c r="X161" s="39"/>
      <c r="Y161" s="41">
        <f>0</f>
        <v>0</v>
      </c>
      <c r="Z161" s="39"/>
      <c r="AA161" s="41">
        <f>0</f>
        <v>0</v>
      </c>
      <c r="AB161" s="39"/>
      <c r="AC161" s="41">
        <f>0</f>
        <v>0</v>
      </c>
      <c r="AD161" s="39"/>
      <c r="AE161" s="41">
        <f>0</f>
        <v>0</v>
      </c>
      <c r="AF161" s="39"/>
      <c r="AG161" s="41">
        <f>0</f>
        <v>0</v>
      </c>
      <c r="AH161" s="39"/>
      <c r="AI161" s="41">
        <f>0</f>
        <v>0</v>
      </c>
      <c r="AJ161" s="39"/>
      <c r="AK161" s="41">
        <f>0</f>
        <v>0</v>
      </c>
      <c r="AL161" s="39"/>
      <c r="AM161" s="41">
        <f>0</f>
        <v>0</v>
      </c>
      <c r="AN161" s="39"/>
      <c r="AO161" s="41">
        <f>0</f>
        <v>0</v>
      </c>
      <c r="AP161" s="39"/>
      <c r="AQ161" s="41">
        <f>0</f>
        <v>0</v>
      </c>
      <c r="AR161" s="39"/>
      <c r="AS161" s="41">
        <f>0</f>
        <v>0</v>
      </c>
      <c r="AT161" s="39"/>
      <c r="AU161" s="41">
        <f>0</f>
        <v>0</v>
      </c>
      <c r="AV161" s="39"/>
      <c r="AW161" s="41">
        <f>0</f>
        <v>0</v>
      </c>
      <c r="AX161" s="39"/>
      <c r="AY161" s="41">
        <f>0</f>
        <v>0</v>
      </c>
      <c r="AZ161" s="39"/>
      <c r="BA161" s="41">
        <f>0</f>
        <v>0</v>
      </c>
      <c r="BB161" s="39"/>
      <c r="BC161" s="41">
        <f>0</f>
        <v>0</v>
      </c>
      <c r="BD161" s="39"/>
      <c r="BE161" s="41">
        <f>0</f>
        <v>0</v>
      </c>
      <c r="BF161" s="39"/>
      <c r="BG161" s="41">
        <f>IFERROR(IF(AND('Real results'!C157&lt;&gt;"",'Raw data'!BG157&lt;&gt;"",UPPER(TRIM('Real results'!C157))=UPPER(TRIM('Raw data'!BG157))),1,0),0)</f>
        <v>0</v>
      </c>
      <c r="BH161" s="39"/>
      <c r="BI161" s="41">
        <f>IFERROR(IF(AND('Real results'!C157&lt;&gt;"",'Raw data'!BI157&lt;&gt;"",UPPER(TRIM('Real results'!C157))=UPPER(TRIM('Raw data'!BI157))),1,0),0)</f>
        <v>0</v>
      </c>
    </row>
    <row r="162" ht="18.0" customHeight="1">
      <c r="A162" s="36"/>
      <c r="B162" s="40" t="s">
        <v>453</v>
      </c>
      <c r="C162" s="41">
        <f>IFERROR(IF(AND('Real results'!C158&lt;&gt;"",'Raw data'!C158&lt;&gt;"",UPPER(TRIM('Real results'!C158))=UPPER(TRIM('Raw data'!C158))),1,0),0)</f>
        <v>0</v>
      </c>
      <c r="D162" s="39"/>
      <c r="E162" s="41">
        <f>IFERROR(IF(AND('Real results'!C158&lt;&gt;"",'Raw data'!E158&lt;&gt;"",UPPER(TRIM('Real results'!C158))=UPPER(TRIM('Raw data'!E158))),1,0),0)</f>
        <v>0</v>
      </c>
      <c r="F162" s="39"/>
      <c r="G162" s="41">
        <f>IFERROR(IF(AND('Real results'!C158&lt;&gt;"",'Raw data'!G158&lt;&gt;"",UPPER(TRIM('Real results'!C158))=UPPER(TRIM('Raw data'!G158))),1,0),0)</f>
        <v>0</v>
      </c>
      <c r="H162" s="39"/>
      <c r="I162" s="41">
        <f>IFERROR(IF(AND('Real results'!C158&lt;&gt;"",'Raw data'!I158&lt;&gt;"",UPPER(TRIM('Real results'!C158))=UPPER(TRIM('Raw data'!I158))),1,0),0)</f>
        <v>0</v>
      </c>
      <c r="J162" s="39"/>
      <c r="K162" s="41">
        <f>IFERROR(IF(AND('Real results'!C158&lt;&gt;"",'Raw data'!K158&lt;&gt;"",UPPER(TRIM('Real results'!C158))=UPPER(TRIM('Raw data'!K158))),1,0),0)</f>
        <v>0</v>
      </c>
      <c r="L162" s="39"/>
      <c r="M162" s="41">
        <f>IFERROR(IF(AND('Real results'!C158&lt;&gt;"",'Raw data'!M158&lt;&gt;"",UPPER(TRIM('Real results'!C158))=UPPER(TRIM('Raw data'!M158))),1,0),0)</f>
        <v>0</v>
      </c>
      <c r="N162" s="39"/>
      <c r="O162" s="41">
        <f>IFERROR(IF(AND('Real results'!C158&lt;&gt;"",'Raw data'!O158&lt;&gt;"",UPPER(TRIM('Real results'!C158))=UPPER(TRIM('Raw data'!O158))),1,0),0)</f>
        <v>0</v>
      </c>
      <c r="P162" s="39"/>
      <c r="Q162" s="41">
        <f>IFERROR(IF(AND('Real results'!C158&lt;&gt;"",'Raw data'!Q158&lt;&gt;"",UPPER(TRIM('Real results'!C158))=UPPER(TRIM('Raw data'!Q158))),1,0),0)</f>
        <v>0</v>
      </c>
      <c r="R162" s="39"/>
      <c r="S162" s="41">
        <f>IFERROR(IF(AND('Real results'!C158&lt;&gt;"",'Raw data'!S158&lt;&gt;"",UPPER(TRIM('Real results'!C158))=UPPER(TRIM('Raw data'!S158))),1,0),0)</f>
        <v>0</v>
      </c>
      <c r="T162" s="39"/>
      <c r="U162" s="41">
        <f>IFERROR(IF(AND('Real results'!C158&lt;&gt;"",'Raw data'!U158&lt;&gt;"",UPPER(TRIM('Real results'!C158))=UPPER(TRIM('Raw data'!U158))),1,0),0)</f>
        <v>0</v>
      </c>
      <c r="V162" s="39"/>
      <c r="W162" s="41">
        <f>IFERROR(IF(AND('Real results'!C158&lt;&gt;"",'Raw data'!W158&lt;&gt;"",UPPER(TRIM('Real results'!C158))=UPPER(TRIM('Raw data'!W158))),1,0),0)</f>
        <v>0</v>
      </c>
      <c r="X162" s="39"/>
      <c r="Y162" s="41">
        <f>IFERROR(IF(AND('Real results'!C158&lt;&gt;"",'Raw data'!Y158&lt;&gt;"",UPPER(TRIM('Real results'!C158))=UPPER(TRIM('Raw data'!Y158))),1,0),0)</f>
        <v>0</v>
      </c>
      <c r="Z162" s="39"/>
      <c r="AA162" s="41">
        <f>IFERROR(IF(AND('Real results'!C158&lt;&gt;"",'Raw data'!AA158&lt;&gt;"",UPPER(TRIM('Real results'!C158))=UPPER(TRIM('Raw data'!AA158))),1,0),0)</f>
        <v>0</v>
      </c>
      <c r="AB162" s="39"/>
      <c r="AC162" s="41">
        <f>IFERROR(IF(AND('Real results'!C158&lt;&gt;"",'Raw data'!AC158&lt;&gt;"",UPPER(TRIM('Real results'!C158))=UPPER(TRIM('Raw data'!AC158))),1,0),0)</f>
        <v>0</v>
      </c>
      <c r="AD162" s="39"/>
      <c r="AE162" s="41">
        <f>IFERROR(IF(AND('Real results'!C158&lt;&gt;"",'Raw data'!AE158&lt;&gt;"",UPPER(TRIM('Real results'!C158))=UPPER(TRIM('Raw data'!AE158))),1,0),0)</f>
        <v>0</v>
      </c>
      <c r="AF162" s="39"/>
      <c r="AG162" s="41">
        <f>IFERROR(IF(AND('Real results'!C158&lt;&gt;"",'Raw data'!AG158&lt;&gt;"",UPPER(TRIM('Real results'!C158))=UPPER(TRIM('Raw data'!AG158))),1,0),0)</f>
        <v>0</v>
      </c>
      <c r="AH162" s="39"/>
      <c r="AI162" s="41">
        <f>IFERROR(IF(AND('Real results'!C158&lt;&gt;"",'Raw data'!AI158&lt;&gt;"",UPPER(TRIM('Real results'!C158))=UPPER(TRIM('Raw data'!AI158))),1,0),0)</f>
        <v>0</v>
      </c>
      <c r="AJ162" s="39"/>
      <c r="AK162" s="41">
        <f>IFERROR(IF(AND('Real results'!C158&lt;&gt;"",'Raw data'!AK158&lt;&gt;"",UPPER(TRIM('Real results'!C158))=UPPER(TRIM('Raw data'!AK158))),1,0),0)</f>
        <v>0</v>
      </c>
      <c r="AL162" s="39"/>
      <c r="AM162" s="41">
        <f>IFERROR(IF(AND('Real results'!C158&lt;&gt;"",'Raw data'!AM158&lt;&gt;"",UPPER(TRIM('Real results'!C158))=UPPER(TRIM('Raw data'!AM158))),1,0),0)</f>
        <v>0</v>
      </c>
      <c r="AN162" s="39"/>
      <c r="AO162" s="41">
        <f>IFERROR(IF(AND('Real results'!C158&lt;&gt;"",'Raw data'!AO158&lt;&gt;"",UPPER(TRIM('Real results'!C158))=UPPER(TRIM('Raw data'!AO158))),1,0),0)</f>
        <v>0</v>
      </c>
      <c r="AP162" s="39"/>
      <c r="AQ162" s="41">
        <f>IFERROR(IF(AND('Real results'!C158&lt;&gt;"",'Raw data'!AQ158&lt;&gt;"",UPPER(TRIM('Real results'!C158))=UPPER(TRIM('Raw data'!AQ158))),1,0),0)</f>
        <v>0</v>
      </c>
      <c r="AR162" s="39"/>
      <c r="AS162" s="41">
        <f>IFERROR(IF(AND('Real results'!C158&lt;&gt;"",'Raw data'!AS158&lt;&gt;"",UPPER(TRIM('Real results'!C158))=UPPER(TRIM('Raw data'!AS158))),1,0),0)</f>
        <v>0</v>
      </c>
      <c r="AT162" s="39"/>
      <c r="AU162" s="41">
        <f>IFERROR(IF(AND('Real results'!C158&lt;&gt;"",'Raw data'!AU158&lt;&gt;"",UPPER(TRIM('Real results'!C158))=UPPER(TRIM('Raw data'!AU158))),1,0),0)</f>
        <v>0</v>
      </c>
      <c r="AV162" s="39"/>
      <c r="AW162" s="41">
        <f>IFERROR(IF(AND('Real results'!C158&lt;&gt;"",'Raw data'!AW158&lt;&gt;"",UPPER(TRIM('Real results'!C158))=UPPER(TRIM('Raw data'!AW158))),1,0),0)</f>
        <v>0</v>
      </c>
      <c r="AX162" s="39"/>
      <c r="AY162" s="41">
        <f>IFERROR(IF(AND('Real results'!C158&lt;&gt;"",'Raw data'!AY158&lt;&gt;"",UPPER(TRIM('Real results'!C158))=UPPER(TRIM('Raw data'!AY158))),1,0),0)</f>
        <v>0</v>
      </c>
      <c r="AZ162" s="39"/>
      <c r="BA162" s="41">
        <f>IFERROR(IF(AND('Real results'!C158&lt;&gt;"",'Raw data'!BA158&lt;&gt;"",UPPER(TRIM('Real results'!C158))=UPPER(TRIM('Raw data'!BA158))),1,0),0)</f>
        <v>0</v>
      </c>
      <c r="BB162" s="39"/>
      <c r="BC162" s="41">
        <f>IFERROR(IF(AND('Real results'!C158&lt;&gt;"",'Raw data'!BC158&lt;&gt;"",UPPER(TRIM('Real results'!C158))=UPPER(TRIM('Raw data'!BC158))),1,0),0)</f>
        <v>0</v>
      </c>
      <c r="BD162" s="39"/>
      <c r="BE162" s="41">
        <f>IFERROR(IF(AND('Real results'!C158&lt;&gt;"",'Raw data'!BE158&lt;&gt;"",UPPER(TRIM('Real results'!C158))=UPPER(TRIM('Raw data'!BE158))),1,0),0)</f>
        <v>0</v>
      </c>
      <c r="BF162" s="39"/>
      <c r="BG162" s="41">
        <f>IFERROR(IF(AND('Real results'!C158&lt;&gt;"",'Raw data'!BG158&lt;&gt;"",UPPER(TRIM('Real results'!C158))=UPPER(TRIM('Raw data'!BG158))),1,0),0)</f>
        <v>0</v>
      </c>
      <c r="BH162" s="39"/>
      <c r="BI162" s="41">
        <f>IFERROR(IF(AND('Real results'!C158&lt;&gt;"",'Raw data'!BI158&lt;&gt;"",UPPER(TRIM('Real results'!C158))=UPPER(TRIM('Raw data'!BI158))),1,0),0)</f>
        <v>0</v>
      </c>
    </row>
    <row r="163" ht="18.0" customHeight="1">
      <c r="A163" s="36"/>
      <c r="B163" s="40" t="s">
        <v>454</v>
      </c>
      <c r="C163" s="41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D163" s="39"/>
      <c r="E163" s="41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F163" s="39"/>
      <c r="G163" s="41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H163" s="39"/>
      <c r="I163" s="41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J163" s="39"/>
      <c r="K163" s="41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L163" s="39"/>
      <c r="M163" s="41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N163" s="39"/>
      <c r="O163" s="41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P163" s="39"/>
      <c r="Q163" s="41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R163" s="39"/>
      <c r="S163" s="41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T163" s="39"/>
      <c r="U163" s="41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V163" s="39"/>
      <c r="W163" s="41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X163" s="39"/>
      <c r="Y163" s="41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Z163" s="39"/>
      <c r="AA163" s="41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39"/>
      <c r="AC163" s="41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D163" s="39"/>
      <c r="AE163" s="41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39"/>
      <c r="AG163" s="41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H163" s="39"/>
      <c r="AI163" s="41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39"/>
      <c r="AK163" s="41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L163" s="39"/>
      <c r="AM163" s="41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N163" s="39"/>
      <c r="AO163" s="41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P163" s="39"/>
      <c r="AQ163" s="41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R163" s="39"/>
      <c r="AS163" s="41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T163" s="39"/>
      <c r="AU163" s="41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V163" s="39"/>
      <c r="AW163" s="41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X163" s="39"/>
      <c r="AY163" s="41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AZ163" s="39"/>
      <c r="BA163" s="41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B163" s="39"/>
      <c r="BC163" s="41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D163" s="39"/>
      <c r="BE163" s="41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39"/>
      <c r="BG163" s="41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39"/>
      <c r="BI163" s="41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6"/>
      <c r="B164" s="40" t="s">
        <v>455</v>
      </c>
      <c r="C164" s="44">
        <f>0</f>
        <v>0</v>
      </c>
      <c r="D164" s="39"/>
      <c r="E164" s="41">
        <f>0</f>
        <v>0</v>
      </c>
      <c r="F164" s="39"/>
      <c r="G164" s="41">
        <f>0</f>
        <v>0</v>
      </c>
      <c r="H164" s="39"/>
      <c r="I164" s="41">
        <f>0</f>
        <v>0</v>
      </c>
      <c r="J164" s="39"/>
      <c r="K164" s="41">
        <f>0</f>
        <v>0</v>
      </c>
      <c r="L164" s="39"/>
      <c r="M164" s="41">
        <f>0</f>
        <v>0</v>
      </c>
      <c r="N164" s="39"/>
      <c r="O164" s="41">
        <f>0</f>
        <v>0</v>
      </c>
      <c r="P164" s="39"/>
      <c r="Q164" s="41">
        <f>0</f>
        <v>0</v>
      </c>
      <c r="R164" s="39"/>
      <c r="S164" s="41">
        <f>0</f>
        <v>0</v>
      </c>
      <c r="T164" s="39"/>
      <c r="U164" s="41">
        <f>0</f>
        <v>0</v>
      </c>
      <c r="V164" s="39"/>
      <c r="W164" s="41">
        <f>0</f>
        <v>0</v>
      </c>
      <c r="X164" s="39"/>
      <c r="Y164" s="41">
        <f>0</f>
        <v>0</v>
      </c>
      <c r="Z164" s="39"/>
      <c r="AA164" s="41">
        <f>0</f>
        <v>0</v>
      </c>
      <c r="AB164" s="39"/>
      <c r="AC164" s="41">
        <f>0</f>
        <v>0</v>
      </c>
      <c r="AD164" s="39"/>
      <c r="AE164" s="41">
        <f>0</f>
        <v>0</v>
      </c>
      <c r="AF164" s="39"/>
      <c r="AG164" s="41">
        <f>0</f>
        <v>0</v>
      </c>
      <c r="AH164" s="39"/>
      <c r="AI164" s="41">
        <f>0</f>
        <v>0</v>
      </c>
      <c r="AJ164" s="39"/>
      <c r="AK164" s="41">
        <f>0</f>
        <v>0</v>
      </c>
      <c r="AL164" s="39"/>
      <c r="AM164" s="41">
        <f>0</f>
        <v>0</v>
      </c>
      <c r="AN164" s="39"/>
      <c r="AO164" s="41">
        <f>0</f>
        <v>0</v>
      </c>
      <c r="AP164" s="39"/>
      <c r="AQ164" s="41">
        <f>0</f>
        <v>0</v>
      </c>
      <c r="AR164" s="39"/>
      <c r="AS164" s="41">
        <f>0</f>
        <v>0</v>
      </c>
      <c r="AT164" s="39"/>
      <c r="AU164" s="41">
        <f>0</f>
        <v>0</v>
      </c>
      <c r="AV164" s="39"/>
      <c r="AW164" s="41">
        <f>0</f>
        <v>0</v>
      </c>
      <c r="AX164" s="39"/>
      <c r="AY164" s="41">
        <f>0</f>
        <v>0</v>
      </c>
      <c r="AZ164" s="39"/>
      <c r="BA164" s="41">
        <f>0</f>
        <v>0</v>
      </c>
      <c r="BB164" s="39"/>
      <c r="BC164" s="41">
        <f>0</f>
        <v>0</v>
      </c>
      <c r="BD164" s="39"/>
      <c r="BE164" s="41">
        <f>0</f>
        <v>0</v>
      </c>
      <c r="BF164" s="39"/>
      <c r="BG164" s="41">
        <f>IFERROR(IF(AND('Real results'!C160&lt;&gt;"",'Raw data'!BG160&lt;&gt;"",UPPER(TRIM('Real results'!C160))=UPPER(TRIM('Raw data'!BG160))),1,0),0)</f>
        <v>0</v>
      </c>
      <c r="BH164" s="39"/>
      <c r="BI164" s="41">
        <f>IFERROR(IF(AND('Real results'!C160&lt;&gt;"",'Raw data'!BI160&lt;&gt;"",UPPER(TRIM('Real results'!C160))=UPPER(TRIM('Raw data'!BI160))),1,0),0)</f>
        <v>0</v>
      </c>
    </row>
    <row r="165" ht="18.0" customHeight="1">
      <c r="A165" s="36"/>
      <c r="B165" s="40" t="s">
        <v>456</v>
      </c>
      <c r="C165" s="41">
        <f>IFERROR(IF(AND('Real results'!C161&lt;&gt;"",'Raw data'!C161&lt;&gt;"",UPPER(TRIM('Real results'!C161))=UPPER(TRIM('Raw data'!C161))),1,0),0)</f>
        <v>0</v>
      </c>
      <c r="D165" s="39"/>
      <c r="E165" s="41">
        <f>IFERROR(IF(AND('Real results'!C161&lt;&gt;"",'Raw data'!E161&lt;&gt;"",UPPER(TRIM('Real results'!C161))=UPPER(TRIM('Raw data'!E161))),1,0),0)</f>
        <v>0</v>
      </c>
      <c r="F165" s="39"/>
      <c r="G165" s="41">
        <f>IFERROR(IF(AND('Real results'!C161&lt;&gt;"",'Raw data'!G161&lt;&gt;"",UPPER(TRIM('Real results'!C161))=UPPER(TRIM('Raw data'!G161))),1,0),0)</f>
        <v>0</v>
      </c>
      <c r="H165" s="39"/>
      <c r="I165" s="41">
        <f>IFERROR(IF(AND('Real results'!C161&lt;&gt;"",'Raw data'!I161&lt;&gt;"",UPPER(TRIM('Real results'!C161))=UPPER(TRIM('Raw data'!I161))),1,0),0)</f>
        <v>0</v>
      </c>
      <c r="J165" s="39"/>
      <c r="K165" s="41">
        <f>IFERROR(IF(AND('Real results'!C161&lt;&gt;"",'Raw data'!K161&lt;&gt;"",UPPER(TRIM('Real results'!C161))=UPPER(TRIM('Raw data'!K161))),1,0),0)</f>
        <v>0</v>
      </c>
      <c r="L165" s="39"/>
      <c r="M165" s="41">
        <f>IFERROR(IF(AND('Real results'!C161&lt;&gt;"",'Raw data'!M161&lt;&gt;"",UPPER(TRIM('Real results'!C161))=UPPER(TRIM('Raw data'!M161))),1,0),0)</f>
        <v>0</v>
      </c>
      <c r="N165" s="39"/>
      <c r="O165" s="41">
        <f>IFERROR(IF(AND('Real results'!C161&lt;&gt;"",'Raw data'!O161&lt;&gt;"",UPPER(TRIM('Real results'!C161))=UPPER(TRIM('Raw data'!O161))),1,0),0)</f>
        <v>0</v>
      </c>
      <c r="P165" s="39"/>
      <c r="Q165" s="41">
        <f>IFERROR(IF(AND('Real results'!C161&lt;&gt;"",'Raw data'!Q161&lt;&gt;"",UPPER(TRIM('Real results'!C161))=UPPER(TRIM('Raw data'!Q161))),1,0),0)</f>
        <v>0</v>
      </c>
      <c r="R165" s="39"/>
      <c r="S165" s="41">
        <f>IFERROR(IF(AND('Real results'!C161&lt;&gt;"",'Raw data'!S161&lt;&gt;"",UPPER(TRIM('Real results'!C161))=UPPER(TRIM('Raw data'!S161))),1,0),0)</f>
        <v>0</v>
      </c>
      <c r="T165" s="39"/>
      <c r="U165" s="41">
        <f>IFERROR(IF(AND('Real results'!C161&lt;&gt;"",'Raw data'!U161&lt;&gt;"",UPPER(TRIM('Real results'!C161))=UPPER(TRIM('Raw data'!U161))),1,0),0)</f>
        <v>0</v>
      </c>
      <c r="V165" s="39"/>
      <c r="W165" s="41">
        <f>IFERROR(IF(AND('Real results'!C161&lt;&gt;"",'Raw data'!W161&lt;&gt;"",UPPER(TRIM('Real results'!C161))=UPPER(TRIM('Raw data'!W161))),1,0),0)</f>
        <v>0</v>
      </c>
      <c r="X165" s="39"/>
      <c r="Y165" s="41">
        <f>IFERROR(IF(AND('Real results'!C161&lt;&gt;"",'Raw data'!Y161&lt;&gt;"",UPPER(TRIM('Real results'!C161))=UPPER(TRIM('Raw data'!Y161))),1,0),0)</f>
        <v>0</v>
      </c>
      <c r="Z165" s="39"/>
      <c r="AA165" s="41">
        <f>IFERROR(IF(AND('Real results'!C161&lt;&gt;"",'Raw data'!AA161&lt;&gt;"",UPPER(TRIM('Real results'!C161))=UPPER(TRIM('Raw data'!AA161))),1,0),0)</f>
        <v>0</v>
      </c>
      <c r="AB165" s="39"/>
      <c r="AC165" s="41">
        <f>IFERROR(IF(AND('Real results'!C161&lt;&gt;"",'Raw data'!AC161&lt;&gt;"",UPPER(TRIM('Real results'!C161))=UPPER(TRIM('Raw data'!AC161))),1,0),0)</f>
        <v>0</v>
      </c>
      <c r="AD165" s="39"/>
      <c r="AE165" s="41">
        <f>IFERROR(IF(AND('Real results'!C161&lt;&gt;"",'Raw data'!AE161&lt;&gt;"",UPPER(TRIM('Real results'!C161))=UPPER(TRIM('Raw data'!AE161))),1,0),0)</f>
        <v>0</v>
      </c>
      <c r="AF165" s="39"/>
      <c r="AG165" s="41">
        <f>IFERROR(IF(AND('Real results'!C161&lt;&gt;"",'Raw data'!AG161&lt;&gt;"",UPPER(TRIM('Real results'!C161))=UPPER(TRIM('Raw data'!AG161))),1,0),0)</f>
        <v>0</v>
      </c>
      <c r="AH165" s="39"/>
      <c r="AI165" s="41">
        <f>IFERROR(IF(AND('Real results'!C161&lt;&gt;"",'Raw data'!AI161&lt;&gt;"",UPPER(TRIM('Real results'!C161))=UPPER(TRIM('Raw data'!AI161))),1,0),0)</f>
        <v>0</v>
      </c>
      <c r="AJ165" s="39"/>
      <c r="AK165" s="41">
        <f>IFERROR(IF(AND('Real results'!C161&lt;&gt;"",'Raw data'!AK161&lt;&gt;"",UPPER(TRIM('Real results'!C161))=UPPER(TRIM('Raw data'!AK161))),1,0),0)</f>
        <v>0</v>
      </c>
      <c r="AL165" s="39"/>
      <c r="AM165" s="41">
        <f>IFERROR(IF(AND('Real results'!C161&lt;&gt;"",'Raw data'!AM161&lt;&gt;"",UPPER(TRIM('Real results'!C161))=UPPER(TRIM('Raw data'!AM161))),1,0),0)</f>
        <v>0</v>
      </c>
      <c r="AN165" s="39"/>
      <c r="AO165" s="41">
        <f>IFERROR(IF(AND('Real results'!C161&lt;&gt;"",'Raw data'!AO161&lt;&gt;"",UPPER(TRIM('Real results'!C161))=UPPER(TRIM('Raw data'!AO161))),1,0),0)</f>
        <v>0</v>
      </c>
      <c r="AP165" s="39"/>
      <c r="AQ165" s="41">
        <f>IFERROR(IF(AND('Real results'!C161&lt;&gt;"",'Raw data'!AQ161&lt;&gt;"",UPPER(TRIM('Real results'!C161))=UPPER(TRIM('Raw data'!AQ161))),1,0),0)</f>
        <v>0</v>
      </c>
      <c r="AR165" s="39"/>
      <c r="AS165" s="41">
        <f>IFERROR(IF(AND('Real results'!C161&lt;&gt;"",'Raw data'!AS161&lt;&gt;"",UPPER(TRIM('Real results'!C161))=UPPER(TRIM('Raw data'!AS161))),1,0),0)</f>
        <v>0</v>
      </c>
      <c r="AT165" s="39"/>
      <c r="AU165" s="41">
        <f>IFERROR(IF(AND('Real results'!C161&lt;&gt;"",'Raw data'!AU161&lt;&gt;"",UPPER(TRIM('Real results'!C161))=UPPER(TRIM('Raw data'!AU161))),1,0),0)</f>
        <v>0</v>
      </c>
      <c r="AV165" s="39"/>
      <c r="AW165" s="41">
        <f>IFERROR(IF(AND('Real results'!C161&lt;&gt;"",'Raw data'!AW161&lt;&gt;"",UPPER(TRIM('Real results'!C161))=UPPER(TRIM('Raw data'!AW161))),1,0),0)</f>
        <v>0</v>
      </c>
      <c r="AX165" s="39"/>
      <c r="AY165" s="41">
        <f>IFERROR(IF(AND('Real results'!C161&lt;&gt;"",'Raw data'!AY161&lt;&gt;"",UPPER(TRIM('Real results'!C161))=UPPER(TRIM('Raw data'!AY161))),1,0),0)</f>
        <v>0</v>
      </c>
      <c r="AZ165" s="39"/>
      <c r="BA165" s="41">
        <f>IFERROR(IF(AND('Real results'!C161&lt;&gt;"",'Raw data'!BA161&lt;&gt;"",UPPER(TRIM('Real results'!C161))=UPPER(TRIM('Raw data'!BA161))),1,0),0)</f>
        <v>0</v>
      </c>
      <c r="BB165" s="39"/>
      <c r="BC165" s="41">
        <f>IFERROR(IF(AND('Real results'!C161&lt;&gt;"",'Raw data'!BC161&lt;&gt;"",UPPER(TRIM('Real results'!C161))=UPPER(TRIM('Raw data'!BC161))),1,0),0)</f>
        <v>0</v>
      </c>
      <c r="BD165" s="39"/>
      <c r="BE165" s="41">
        <f>IFERROR(IF(AND('Real results'!C161&lt;&gt;"",'Raw data'!BE161&lt;&gt;"",UPPER(TRIM('Real results'!C161))=UPPER(TRIM('Raw data'!BE161))),1,0),0)</f>
        <v>0</v>
      </c>
      <c r="BF165" s="39"/>
      <c r="BG165" s="41">
        <f>IFERROR(IF(AND('Real results'!C161&lt;&gt;"",'Raw data'!BG161&lt;&gt;"",UPPER(TRIM('Real results'!C161))=UPPER(TRIM('Raw data'!BG161))),1,0),0)</f>
        <v>0</v>
      </c>
      <c r="BH165" s="39"/>
      <c r="BI165" s="41">
        <f>IFERROR(IF(AND('Real results'!C161&lt;&gt;"",'Raw data'!BI161&lt;&gt;"",UPPER(TRIM('Real results'!C161))=UPPER(TRIM('Raw data'!BI161))),1,0),0)</f>
        <v>0</v>
      </c>
    </row>
    <row r="166" ht="18.0" customHeight="1">
      <c r="A166" s="36"/>
      <c r="B166" s="40" t="s">
        <v>457</v>
      </c>
      <c r="C166" s="41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39"/>
      <c r="E166" s="41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39"/>
      <c r="G166" s="41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39"/>
      <c r="I166" s="41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39"/>
      <c r="K166" s="41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39"/>
      <c r="M166" s="41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39"/>
      <c r="O166" s="41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39"/>
      <c r="Q166" s="41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39"/>
      <c r="S166" s="41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39"/>
      <c r="U166" s="41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39"/>
      <c r="W166" s="41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39"/>
      <c r="Y166" s="41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39"/>
      <c r="AA166" s="41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39"/>
      <c r="AC166" s="41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39"/>
      <c r="AE166" s="41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39"/>
      <c r="AG166" s="41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39"/>
      <c r="AI166" s="41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39"/>
      <c r="AK166" s="41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39"/>
      <c r="AM166" s="41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39"/>
      <c r="AO166" s="41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39"/>
      <c r="AQ166" s="41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39"/>
      <c r="AS166" s="41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39"/>
      <c r="AU166" s="41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39"/>
      <c r="AW166" s="41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39"/>
      <c r="AY166" s="41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39"/>
      <c r="BA166" s="41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B166" s="39"/>
      <c r="BC166" s="41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39"/>
      <c r="BE166" s="41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39"/>
      <c r="BG166" s="41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39"/>
      <c r="BI166" s="41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6"/>
      <c r="B167" s="40" t="s">
        <v>458</v>
      </c>
      <c r="C167" s="44">
        <f>0</f>
        <v>0</v>
      </c>
      <c r="D167" s="39"/>
      <c r="E167" s="41">
        <f>0</f>
        <v>0</v>
      </c>
      <c r="F167" s="39"/>
      <c r="G167" s="41">
        <f>0</f>
        <v>0</v>
      </c>
      <c r="H167" s="39"/>
      <c r="I167" s="41">
        <f>0</f>
        <v>0</v>
      </c>
      <c r="J167" s="39"/>
      <c r="K167" s="41">
        <f>0</f>
        <v>0</v>
      </c>
      <c r="L167" s="39"/>
      <c r="M167" s="41">
        <f>0</f>
        <v>0</v>
      </c>
      <c r="N167" s="39"/>
      <c r="O167" s="41">
        <f>0</f>
        <v>0</v>
      </c>
      <c r="P167" s="39"/>
      <c r="Q167" s="41">
        <f>0</f>
        <v>0</v>
      </c>
      <c r="R167" s="39"/>
      <c r="S167" s="41">
        <f>0</f>
        <v>0</v>
      </c>
      <c r="T167" s="39"/>
      <c r="U167" s="41">
        <f>0</f>
        <v>0</v>
      </c>
      <c r="V167" s="39"/>
      <c r="W167" s="41">
        <f>0</f>
        <v>0</v>
      </c>
      <c r="X167" s="39"/>
      <c r="Y167" s="41">
        <f>0</f>
        <v>0</v>
      </c>
      <c r="Z167" s="39"/>
      <c r="AA167" s="41">
        <f>0</f>
        <v>0</v>
      </c>
      <c r="AB167" s="39"/>
      <c r="AC167" s="41">
        <f>0</f>
        <v>0</v>
      </c>
      <c r="AD167" s="39"/>
      <c r="AE167" s="41">
        <f>0</f>
        <v>0</v>
      </c>
      <c r="AF167" s="39"/>
      <c r="AG167" s="41">
        <f>0</f>
        <v>0</v>
      </c>
      <c r="AH167" s="39"/>
      <c r="AI167" s="41">
        <f>0</f>
        <v>0</v>
      </c>
      <c r="AJ167" s="39"/>
      <c r="AK167" s="41">
        <f>0</f>
        <v>0</v>
      </c>
      <c r="AL167" s="39"/>
      <c r="AM167" s="41">
        <f>0</f>
        <v>0</v>
      </c>
      <c r="AN167" s="39"/>
      <c r="AO167" s="41">
        <f>0</f>
        <v>0</v>
      </c>
      <c r="AP167" s="39"/>
      <c r="AQ167" s="41">
        <f>0</f>
        <v>0</v>
      </c>
      <c r="AR167" s="39"/>
      <c r="AS167" s="41">
        <f>0</f>
        <v>0</v>
      </c>
      <c r="AT167" s="39"/>
      <c r="AU167" s="41">
        <f>0</f>
        <v>0</v>
      </c>
      <c r="AV167" s="39"/>
      <c r="AW167" s="41">
        <f>0</f>
        <v>0</v>
      </c>
      <c r="AX167" s="39"/>
      <c r="AY167" s="41">
        <f>0</f>
        <v>0</v>
      </c>
      <c r="AZ167" s="39"/>
      <c r="BA167" s="41">
        <f>0</f>
        <v>0</v>
      </c>
      <c r="BB167" s="39"/>
      <c r="BC167" s="41">
        <f>0</f>
        <v>0</v>
      </c>
      <c r="BD167" s="39"/>
      <c r="BE167" s="41">
        <f>0</f>
        <v>0</v>
      </c>
      <c r="BF167" s="39"/>
      <c r="BG167" s="41">
        <f>IFERROR(IF(AND('Real results'!C163&lt;&gt;"",'Raw data'!BG163&lt;&gt;"",UPPER(TRIM('Real results'!C163))=UPPER(TRIM('Raw data'!BG163))),1,0),0)</f>
        <v>0</v>
      </c>
      <c r="BH167" s="39"/>
      <c r="BI167" s="41">
        <f>IFERROR(IF(AND('Real results'!C163&lt;&gt;"",'Raw data'!BI163&lt;&gt;"",UPPER(TRIM('Real results'!C163))=UPPER(TRIM('Raw data'!BI163))),1,0),0)</f>
        <v>0</v>
      </c>
    </row>
    <row r="168" ht="18.0" customHeight="1">
      <c r="A168" s="36"/>
      <c r="B168" s="40" t="s">
        <v>459</v>
      </c>
      <c r="C168" s="41">
        <f>IFERROR(IF(AND('Real results'!C164&lt;&gt;"",'Raw data'!C164&lt;&gt;"",UPPER(TRIM('Real results'!C164))=UPPER(TRIM('Raw data'!C164))),1,0),0)</f>
        <v>0</v>
      </c>
      <c r="D168" s="39"/>
      <c r="E168" s="41">
        <f>IFERROR(IF(AND('Real results'!C164&lt;&gt;"",'Raw data'!E164&lt;&gt;"",UPPER(TRIM('Real results'!C164))=UPPER(TRIM('Raw data'!E164))),1,0),0)</f>
        <v>0</v>
      </c>
      <c r="F168" s="39"/>
      <c r="G168" s="41">
        <f>IFERROR(IF(AND('Real results'!C164&lt;&gt;"",'Raw data'!G164&lt;&gt;"",UPPER(TRIM('Real results'!C164))=UPPER(TRIM('Raw data'!G164))),1,0),0)</f>
        <v>0</v>
      </c>
      <c r="H168" s="39"/>
      <c r="I168" s="41">
        <f>IFERROR(IF(AND('Real results'!C164&lt;&gt;"",'Raw data'!I164&lt;&gt;"",UPPER(TRIM('Real results'!C164))=UPPER(TRIM('Raw data'!I164))),1,0),0)</f>
        <v>0</v>
      </c>
      <c r="J168" s="39"/>
      <c r="K168" s="41">
        <f>IFERROR(IF(AND('Real results'!C164&lt;&gt;"",'Raw data'!K164&lt;&gt;"",UPPER(TRIM('Real results'!C164))=UPPER(TRIM('Raw data'!K164))),1,0),0)</f>
        <v>0</v>
      </c>
      <c r="L168" s="39"/>
      <c r="M168" s="41">
        <f>IFERROR(IF(AND('Real results'!C164&lt;&gt;"",'Raw data'!M164&lt;&gt;"",UPPER(TRIM('Real results'!C164))=UPPER(TRIM('Raw data'!M164))),1,0),0)</f>
        <v>0</v>
      </c>
      <c r="N168" s="39"/>
      <c r="O168" s="41">
        <f>IFERROR(IF(AND('Real results'!C164&lt;&gt;"",'Raw data'!O164&lt;&gt;"",UPPER(TRIM('Real results'!C164))=UPPER(TRIM('Raw data'!O164))),1,0),0)</f>
        <v>0</v>
      </c>
      <c r="P168" s="39"/>
      <c r="Q168" s="41">
        <f>IFERROR(IF(AND('Real results'!C164&lt;&gt;"",'Raw data'!Q164&lt;&gt;"",UPPER(TRIM('Real results'!C164))=UPPER(TRIM('Raw data'!Q164))),1,0),0)</f>
        <v>0</v>
      </c>
      <c r="R168" s="39"/>
      <c r="S168" s="41">
        <f>IFERROR(IF(AND('Real results'!C164&lt;&gt;"",'Raw data'!S164&lt;&gt;"",UPPER(TRIM('Real results'!C164))=UPPER(TRIM('Raw data'!S164))),1,0),0)</f>
        <v>0</v>
      </c>
      <c r="T168" s="39"/>
      <c r="U168" s="41">
        <f>IFERROR(IF(AND('Real results'!C164&lt;&gt;"",'Raw data'!U164&lt;&gt;"",UPPER(TRIM('Real results'!C164))=UPPER(TRIM('Raw data'!U164))),1,0),0)</f>
        <v>0</v>
      </c>
      <c r="V168" s="39"/>
      <c r="W168" s="41">
        <f>IFERROR(IF(AND('Real results'!C164&lt;&gt;"",'Raw data'!W164&lt;&gt;"",UPPER(TRIM('Real results'!C164))=UPPER(TRIM('Raw data'!W164))),1,0),0)</f>
        <v>0</v>
      </c>
      <c r="X168" s="39"/>
      <c r="Y168" s="41">
        <f>IFERROR(IF(AND('Real results'!C164&lt;&gt;"",'Raw data'!Y164&lt;&gt;"",UPPER(TRIM('Real results'!C164))=UPPER(TRIM('Raw data'!Y164))),1,0),0)</f>
        <v>0</v>
      </c>
      <c r="Z168" s="39"/>
      <c r="AA168" s="41">
        <f>IFERROR(IF(AND('Real results'!C164&lt;&gt;"",'Raw data'!AA164&lt;&gt;"",UPPER(TRIM('Real results'!C164))=UPPER(TRIM('Raw data'!AA164))),1,0),0)</f>
        <v>0</v>
      </c>
      <c r="AB168" s="39"/>
      <c r="AC168" s="41">
        <f>IFERROR(IF(AND('Real results'!C164&lt;&gt;"",'Raw data'!AC164&lt;&gt;"",UPPER(TRIM('Real results'!C164))=UPPER(TRIM('Raw data'!AC164))),1,0),0)</f>
        <v>0</v>
      </c>
      <c r="AD168" s="39"/>
      <c r="AE168" s="41">
        <f>IFERROR(IF(AND('Real results'!C164&lt;&gt;"",'Raw data'!AE164&lt;&gt;"",UPPER(TRIM('Real results'!C164))=UPPER(TRIM('Raw data'!AE164))),1,0),0)</f>
        <v>0</v>
      </c>
      <c r="AF168" s="39"/>
      <c r="AG168" s="41">
        <f>IFERROR(IF(AND('Real results'!C164&lt;&gt;"",'Raw data'!AG164&lt;&gt;"",UPPER(TRIM('Real results'!C164))=UPPER(TRIM('Raw data'!AG164))),1,0),0)</f>
        <v>0</v>
      </c>
      <c r="AH168" s="39"/>
      <c r="AI168" s="41">
        <f>IFERROR(IF(AND('Real results'!C164&lt;&gt;"",'Raw data'!AI164&lt;&gt;"",UPPER(TRIM('Real results'!C164))=UPPER(TRIM('Raw data'!AI164))),1,0),0)</f>
        <v>0</v>
      </c>
      <c r="AJ168" s="39"/>
      <c r="AK168" s="41">
        <f>IFERROR(IF(AND('Real results'!C164&lt;&gt;"",'Raw data'!AK164&lt;&gt;"",UPPER(TRIM('Real results'!C164))=UPPER(TRIM('Raw data'!AK164))),1,0),0)</f>
        <v>0</v>
      </c>
      <c r="AL168" s="39"/>
      <c r="AM168" s="41">
        <f>IFERROR(IF(AND('Real results'!C164&lt;&gt;"",'Raw data'!AM164&lt;&gt;"",UPPER(TRIM('Real results'!C164))=UPPER(TRIM('Raw data'!AM164))),1,0),0)</f>
        <v>0</v>
      </c>
      <c r="AN168" s="39"/>
      <c r="AO168" s="41">
        <f>IFERROR(IF(AND('Real results'!C164&lt;&gt;"",'Raw data'!AO164&lt;&gt;"",UPPER(TRIM('Real results'!C164))=UPPER(TRIM('Raw data'!AO164))),1,0),0)</f>
        <v>0</v>
      </c>
      <c r="AP168" s="39"/>
      <c r="AQ168" s="41">
        <f>IFERROR(IF(AND('Real results'!C164&lt;&gt;"",'Raw data'!AQ164&lt;&gt;"",UPPER(TRIM('Real results'!C164))=UPPER(TRIM('Raw data'!AQ164))),1,0),0)</f>
        <v>0</v>
      </c>
      <c r="AR168" s="39"/>
      <c r="AS168" s="41">
        <f>IFERROR(IF(AND('Real results'!C164&lt;&gt;"",'Raw data'!AS164&lt;&gt;"",UPPER(TRIM('Real results'!C164))=UPPER(TRIM('Raw data'!AS164))),1,0),0)</f>
        <v>0</v>
      </c>
      <c r="AT168" s="39"/>
      <c r="AU168" s="41">
        <f>IFERROR(IF(AND('Real results'!C164&lt;&gt;"",'Raw data'!AU164&lt;&gt;"",UPPER(TRIM('Real results'!C164))=UPPER(TRIM('Raw data'!AU164))),1,0),0)</f>
        <v>0</v>
      </c>
      <c r="AV168" s="39"/>
      <c r="AW168" s="41">
        <f>IFERROR(IF(AND('Real results'!C164&lt;&gt;"",'Raw data'!AW164&lt;&gt;"",UPPER(TRIM('Real results'!C164))=UPPER(TRIM('Raw data'!AW164))),1,0),0)</f>
        <v>0</v>
      </c>
      <c r="AX168" s="39"/>
      <c r="AY168" s="41">
        <f>IFERROR(IF(AND('Real results'!C164&lt;&gt;"",'Raw data'!AY164&lt;&gt;"",UPPER(TRIM('Real results'!C164))=UPPER(TRIM('Raw data'!AY164))),1,0),0)</f>
        <v>0</v>
      </c>
      <c r="AZ168" s="39"/>
      <c r="BA168" s="41">
        <f>IFERROR(IF(AND('Real results'!C164&lt;&gt;"",'Raw data'!BA164&lt;&gt;"",UPPER(TRIM('Real results'!C164))=UPPER(TRIM('Raw data'!BA164))),1,0),0)</f>
        <v>0</v>
      </c>
      <c r="BB168" s="39"/>
      <c r="BC168" s="41">
        <f>IFERROR(IF(AND('Real results'!C164&lt;&gt;"",'Raw data'!BC164&lt;&gt;"",UPPER(TRIM('Real results'!C164))=UPPER(TRIM('Raw data'!BC164))),1,0),0)</f>
        <v>0</v>
      </c>
      <c r="BD168" s="39"/>
      <c r="BE168" s="41">
        <f>IFERROR(IF(AND('Real results'!C164&lt;&gt;"",'Raw data'!BE164&lt;&gt;"",UPPER(TRIM('Real results'!C164))=UPPER(TRIM('Raw data'!BE164))),1,0),0)</f>
        <v>0</v>
      </c>
      <c r="BF168" s="39"/>
      <c r="BG168" s="41">
        <f>IFERROR(IF(AND('Real results'!C164&lt;&gt;"",'Raw data'!BG164&lt;&gt;"",UPPER(TRIM('Real results'!C164))=UPPER(TRIM('Raw data'!BG164))),1,0),0)</f>
        <v>0</v>
      </c>
      <c r="BH168" s="39"/>
      <c r="BI168" s="41">
        <f>IFERROR(IF(AND('Real results'!C164&lt;&gt;"",'Raw data'!BI164&lt;&gt;"",UPPER(TRIM('Real results'!C164))=UPPER(TRIM('Raw data'!BI164))),1,0),0)</f>
        <v>0</v>
      </c>
    </row>
    <row r="169" ht="18.0" customHeight="1">
      <c r="A169" s="36"/>
      <c r="B169" s="40" t="s">
        <v>460</v>
      </c>
      <c r="C169" s="41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39"/>
      <c r="E169" s="41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39"/>
      <c r="G169" s="41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39"/>
      <c r="I169" s="41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39"/>
      <c r="K169" s="41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L169" s="39"/>
      <c r="M169" s="41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39"/>
      <c r="O169" s="41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39"/>
      <c r="Q169" s="41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R169" s="39"/>
      <c r="S169" s="41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39"/>
      <c r="U169" s="41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39"/>
      <c r="W169" s="41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39"/>
      <c r="Y169" s="41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39"/>
      <c r="AA169" s="41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39"/>
      <c r="AC169" s="41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39"/>
      <c r="AE169" s="41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39"/>
      <c r="AG169" s="41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39"/>
      <c r="AI169" s="41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39"/>
      <c r="AK169" s="41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39"/>
      <c r="AM169" s="41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39"/>
      <c r="AO169" s="41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39"/>
      <c r="AQ169" s="41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39"/>
      <c r="AS169" s="41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39"/>
      <c r="AU169" s="41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39"/>
      <c r="AW169" s="41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39"/>
      <c r="AY169" s="41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AZ169" s="39"/>
      <c r="BA169" s="41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39"/>
      <c r="BC169" s="41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39"/>
      <c r="BE169" s="41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F169" s="39"/>
      <c r="BG169" s="41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39"/>
      <c r="BI169" s="41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6"/>
      <c r="B170" s="40" t="s">
        <v>461</v>
      </c>
      <c r="C170" s="44">
        <f>0</f>
        <v>0</v>
      </c>
      <c r="D170" s="39"/>
      <c r="E170" s="41">
        <f>0</f>
        <v>0</v>
      </c>
      <c r="F170" s="39"/>
      <c r="G170" s="41">
        <f>0</f>
        <v>0</v>
      </c>
      <c r="H170" s="39"/>
      <c r="I170" s="41">
        <f>0</f>
        <v>0</v>
      </c>
      <c r="J170" s="39"/>
      <c r="K170" s="41">
        <f>0</f>
        <v>0</v>
      </c>
      <c r="L170" s="39"/>
      <c r="M170" s="41">
        <f>0</f>
        <v>0</v>
      </c>
      <c r="N170" s="39"/>
      <c r="O170" s="41">
        <f>0</f>
        <v>0</v>
      </c>
      <c r="P170" s="39"/>
      <c r="Q170" s="41">
        <f>0</f>
        <v>0</v>
      </c>
      <c r="R170" s="39"/>
      <c r="S170" s="41">
        <f>0</f>
        <v>0</v>
      </c>
      <c r="T170" s="39"/>
      <c r="U170" s="41">
        <f>0</f>
        <v>0</v>
      </c>
      <c r="V170" s="39"/>
      <c r="W170" s="41">
        <f>0</f>
        <v>0</v>
      </c>
      <c r="X170" s="39"/>
      <c r="Y170" s="41">
        <f>0</f>
        <v>0</v>
      </c>
      <c r="Z170" s="39"/>
      <c r="AA170" s="41">
        <f>0</f>
        <v>0</v>
      </c>
      <c r="AB170" s="39"/>
      <c r="AC170" s="41">
        <f>0</f>
        <v>0</v>
      </c>
      <c r="AD170" s="39"/>
      <c r="AE170" s="41">
        <f>0</f>
        <v>0</v>
      </c>
      <c r="AF170" s="39"/>
      <c r="AG170" s="41">
        <f>0</f>
        <v>0</v>
      </c>
      <c r="AH170" s="39"/>
      <c r="AI170" s="41">
        <f>0</f>
        <v>0</v>
      </c>
      <c r="AJ170" s="39"/>
      <c r="AK170" s="41">
        <f>0</f>
        <v>0</v>
      </c>
      <c r="AL170" s="39"/>
      <c r="AM170" s="41">
        <f>0</f>
        <v>0</v>
      </c>
      <c r="AN170" s="39"/>
      <c r="AO170" s="41">
        <f>0</f>
        <v>0</v>
      </c>
      <c r="AP170" s="39"/>
      <c r="AQ170" s="41">
        <f>0</f>
        <v>0</v>
      </c>
      <c r="AR170" s="39"/>
      <c r="AS170" s="41">
        <f>0</f>
        <v>0</v>
      </c>
      <c r="AT170" s="39"/>
      <c r="AU170" s="41">
        <f>0</f>
        <v>0</v>
      </c>
      <c r="AV170" s="39"/>
      <c r="AW170" s="41">
        <f>0</f>
        <v>0</v>
      </c>
      <c r="AX170" s="39"/>
      <c r="AY170" s="41">
        <f>0</f>
        <v>0</v>
      </c>
      <c r="AZ170" s="39"/>
      <c r="BA170" s="41">
        <f>0</f>
        <v>0</v>
      </c>
      <c r="BB170" s="39"/>
      <c r="BC170" s="41">
        <f>0</f>
        <v>0</v>
      </c>
      <c r="BD170" s="39"/>
      <c r="BE170" s="41">
        <f>0</f>
        <v>0</v>
      </c>
      <c r="BF170" s="39"/>
      <c r="BG170" s="41">
        <f>IFERROR(IF(AND('Real results'!C166&lt;&gt;"",'Raw data'!BG166&lt;&gt;"",UPPER(TRIM('Real results'!C166))=UPPER(TRIM('Raw data'!BG166))),1,0),0)</f>
        <v>0</v>
      </c>
      <c r="BH170" s="39"/>
      <c r="BI170" s="41">
        <f>IFERROR(IF(AND('Real results'!C166&lt;&gt;"",'Raw data'!BI166&lt;&gt;"",UPPER(TRIM('Real results'!C166))=UPPER(TRIM('Raw data'!BI166))),1,0),0)</f>
        <v>0</v>
      </c>
    </row>
    <row r="171" ht="18.0" customHeight="1">
      <c r="A171" s="36"/>
      <c r="B171" s="40" t="s">
        <v>462</v>
      </c>
      <c r="C171" s="41">
        <f>IFERROR(IF(AND('Real results'!C167&lt;&gt;"",'Raw data'!C167&lt;&gt;"",UPPER(TRIM('Real results'!C167))=UPPER(TRIM('Raw data'!C167))),1,0),0)</f>
        <v>0</v>
      </c>
      <c r="D171" s="39"/>
      <c r="E171" s="41">
        <f>IFERROR(IF(AND('Real results'!C167&lt;&gt;"",'Raw data'!E167&lt;&gt;"",UPPER(TRIM('Real results'!C167))=UPPER(TRIM('Raw data'!E167))),1,0),0)</f>
        <v>0</v>
      </c>
      <c r="F171" s="39"/>
      <c r="G171" s="41">
        <f>IFERROR(IF(AND('Real results'!C167&lt;&gt;"",'Raw data'!G167&lt;&gt;"",UPPER(TRIM('Real results'!C167))=UPPER(TRIM('Raw data'!G167))),1,0),0)</f>
        <v>0</v>
      </c>
      <c r="H171" s="39"/>
      <c r="I171" s="41">
        <f>IFERROR(IF(AND('Real results'!C167&lt;&gt;"",'Raw data'!I167&lt;&gt;"",UPPER(TRIM('Real results'!C167))=UPPER(TRIM('Raw data'!I167))),1,0),0)</f>
        <v>0</v>
      </c>
      <c r="J171" s="39"/>
      <c r="K171" s="41">
        <f>IFERROR(IF(AND('Real results'!C167&lt;&gt;"",'Raw data'!K167&lt;&gt;"",UPPER(TRIM('Real results'!C167))=UPPER(TRIM('Raw data'!K167))),1,0),0)</f>
        <v>0</v>
      </c>
      <c r="L171" s="39"/>
      <c r="M171" s="41">
        <f>IFERROR(IF(AND('Real results'!C167&lt;&gt;"",'Raw data'!M167&lt;&gt;"",UPPER(TRIM('Real results'!C167))=UPPER(TRIM('Raw data'!M167))),1,0),0)</f>
        <v>0</v>
      </c>
      <c r="N171" s="39"/>
      <c r="O171" s="41">
        <f>IFERROR(IF(AND('Real results'!C167&lt;&gt;"",'Raw data'!O167&lt;&gt;"",UPPER(TRIM('Real results'!C167))=UPPER(TRIM('Raw data'!O167))),1,0),0)</f>
        <v>0</v>
      </c>
      <c r="P171" s="39"/>
      <c r="Q171" s="41">
        <f>IFERROR(IF(AND('Real results'!C167&lt;&gt;"",'Raw data'!Q167&lt;&gt;"",UPPER(TRIM('Real results'!C167))=UPPER(TRIM('Raw data'!Q167))),1,0),0)</f>
        <v>0</v>
      </c>
      <c r="R171" s="39"/>
      <c r="S171" s="41">
        <f>IFERROR(IF(AND('Real results'!C167&lt;&gt;"",'Raw data'!S167&lt;&gt;"",UPPER(TRIM('Real results'!C167))=UPPER(TRIM('Raw data'!S167))),1,0),0)</f>
        <v>0</v>
      </c>
      <c r="T171" s="39"/>
      <c r="U171" s="41">
        <f>IFERROR(IF(AND('Real results'!C167&lt;&gt;"",'Raw data'!U167&lt;&gt;"",UPPER(TRIM('Real results'!C167))=UPPER(TRIM('Raw data'!U167))),1,0),0)</f>
        <v>0</v>
      </c>
      <c r="V171" s="39"/>
      <c r="W171" s="41">
        <f>IFERROR(IF(AND('Real results'!C167&lt;&gt;"",'Raw data'!W167&lt;&gt;"",UPPER(TRIM('Real results'!C167))=UPPER(TRIM('Raw data'!W167))),1,0),0)</f>
        <v>0</v>
      </c>
      <c r="X171" s="39"/>
      <c r="Y171" s="41">
        <f>IFERROR(IF(AND('Real results'!C167&lt;&gt;"",'Raw data'!Y167&lt;&gt;"",UPPER(TRIM('Real results'!C167))=UPPER(TRIM('Raw data'!Y167))),1,0),0)</f>
        <v>0</v>
      </c>
      <c r="Z171" s="39"/>
      <c r="AA171" s="41">
        <f>IFERROR(IF(AND('Real results'!C167&lt;&gt;"",'Raw data'!AA167&lt;&gt;"",UPPER(TRIM('Real results'!C167))=UPPER(TRIM('Raw data'!AA167))),1,0),0)</f>
        <v>0</v>
      </c>
      <c r="AB171" s="39"/>
      <c r="AC171" s="41">
        <f>IFERROR(IF(AND('Real results'!C167&lt;&gt;"",'Raw data'!AC167&lt;&gt;"",UPPER(TRIM('Real results'!C167))=UPPER(TRIM('Raw data'!AC167))),1,0),0)</f>
        <v>0</v>
      </c>
      <c r="AD171" s="39"/>
      <c r="AE171" s="41">
        <f>IFERROR(IF(AND('Real results'!C167&lt;&gt;"",'Raw data'!AE167&lt;&gt;"",UPPER(TRIM('Real results'!C167))=UPPER(TRIM('Raw data'!AE167))),1,0),0)</f>
        <v>0</v>
      </c>
      <c r="AF171" s="39"/>
      <c r="AG171" s="41">
        <f>IFERROR(IF(AND('Real results'!C167&lt;&gt;"",'Raw data'!AG167&lt;&gt;"",UPPER(TRIM('Real results'!C167))=UPPER(TRIM('Raw data'!AG167))),1,0),0)</f>
        <v>0</v>
      </c>
      <c r="AH171" s="39"/>
      <c r="AI171" s="41">
        <f>IFERROR(IF(AND('Real results'!C167&lt;&gt;"",'Raw data'!AI167&lt;&gt;"",UPPER(TRIM('Real results'!C167))=UPPER(TRIM('Raw data'!AI167))),1,0),0)</f>
        <v>0</v>
      </c>
      <c r="AJ171" s="39"/>
      <c r="AK171" s="41">
        <f>IFERROR(IF(AND('Real results'!C167&lt;&gt;"",'Raw data'!AK167&lt;&gt;"",UPPER(TRIM('Real results'!C167))=UPPER(TRIM('Raw data'!AK167))),1,0),0)</f>
        <v>0</v>
      </c>
      <c r="AL171" s="39"/>
      <c r="AM171" s="41">
        <f>IFERROR(IF(AND('Real results'!C167&lt;&gt;"",'Raw data'!AM167&lt;&gt;"",UPPER(TRIM('Real results'!C167))=UPPER(TRIM('Raw data'!AM167))),1,0),0)</f>
        <v>0</v>
      </c>
      <c r="AN171" s="39"/>
      <c r="AO171" s="41">
        <f>IFERROR(IF(AND('Real results'!C167&lt;&gt;"",'Raw data'!AO167&lt;&gt;"",UPPER(TRIM('Real results'!C167))=UPPER(TRIM('Raw data'!AO167))),1,0),0)</f>
        <v>0</v>
      </c>
      <c r="AP171" s="39"/>
      <c r="AQ171" s="41">
        <f>IFERROR(IF(AND('Real results'!C167&lt;&gt;"",'Raw data'!AQ167&lt;&gt;"",UPPER(TRIM('Real results'!C167))=UPPER(TRIM('Raw data'!AQ167))),1,0),0)</f>
        <v>0</v>
      </c>
      <c r="AR171" s="39"/>
      <c r="AS171" s="41">
        <f>IFERROR(IF(AND('Real results'!C167&lt;&gt;"",'Raw data'!AS167&lt;&gt;"",UPPER(TRIM('Real results'!C167))=UPPER(TRIM('Raw data'!AS167))),1,0),0)</f>
        <v>0</v>
      </c>
      <c r="AT171" s="39"/>
      <c r="AU171" s="41">
        <f>IFERROR(IF(AND('Real results'!C167&lt;&gt;"",'Raw data'!AU167&lt;&gt;"",UPPER(TRIM('Real results'!C167))=UPPER(TRIM('Raw data'!AU167))),1,0),0)</f>
        <v>0</v>
      </c>
      <c r="AV171" s="39"/>
      <c r="AW171" s="41">
        <f>IFERROR(IF(AND('Real results'!C167&lt;&gt;"",'Raw data'!AW167&lt;&gt;"",UPPER(TRIM('Real results'!C167))=UPPER(TRIM('Raw data'!AW167))),1,0),0)</f>
        <v>0</v>
      </c>
      <c r="AX171" s="39"/>
      <c r="AY171" s="41">
        <f>IFERROR(IF(AND('Real results'!C167&lt;&gt;"",'Raw data'!AY167&lt;&gt;"",UPPER(TRIM('Real results'!C167))=UPPER(TRIM('Raw data'!AY167))),1,0),0)</f>
        <v>0</v>
      </c>
      <c r="AZ171" s="39"/>
      <c r="BA171" s="41">
        <f>IFERROR(IF(AND('Real results'!C167&lt;&gt;"",'Raw data'!BA167&lt;&gt;"",UPPER(TRIM('Real results'!C167))=UPPER(TRIM('Raw data'!BA167))),1,0),0)</f>
        <v>0</v>
      </c>
      <c r="BB171" s="39"/>
      <c r="BC171" s="41">
        <f>IFERROR(IF(AND('Real results'!C167&lt;&gt;"",'Raw data'!BC167&lt;&gt;"",UPPER(TRIM('Real results'!C167))=UPPER(TRIM('Raw data'!BC167))),1,0),0)</f>
        <v>0</v>
      </c>
      <c r="BD171" s="39"/>
      <c r="BE171" s="41">
        <f>IFERROR(IF(AND('Real results'!C167&lt;&gt;"",'Raw data'!BE167&lt;&gt;"",UPPER(TRIM('Real results'!C167))=UPPER(TRIM('Raw data'!BE167))),1,0),0)</f>
        <v>0</v>
      </c>
      <c r="BF171" s="39"/>
      <c r="BG171" s="41">
        <f>IFERROR(IF(AND('Real results'!C167&lt;&gt;"",'Raw data'!BG167&lt;&gt;"",UPPER(TRIM('Real results'!C167))=UPPER(TRIM('Raw data'!BG167))),1,0),0)</f>
        <v>0</v>
      </c>
      <c r="BH171" s="39"/>
      <c r="BI171" s="41">
        <f>IFERROR(IF(AND('Real results'!C167&lt;&gt;"",'Raw data'!BI167&lt;&gt;"",UPPER(TRIM('Real results'!C167))=UPPER(TRIM('Raw data'!BI167))),1,0),0)</f>
        <v>0</v>
      </c>
    </row>
    <row r="172" ht="18.0" customHeight="1">
      <c r="A172" s="36"/>
      <c r="B172" s="40" t="s">
        <v>463</v>
      </c>
      <c r="C172" s="41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D172" s="39"/>
      <c r="E172" s="41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39"/>
      <c r="G172" s="41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H172" s="39"/>
      <c r="I172" s="41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J172" s="39"/>
      <c r="K172" s="41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39"/>
      <c r="M172" s="41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N172" s="39"/>
      <c r="O172" s="41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P172" s="39"/>
      <c r="Q172" s="41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R172" s="39"/>
      <c r="S172" s="41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39"/>
      <c r="U172" s="41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V172" s="39"/>
      <c r="W172" s="41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X172" s="39"/>
      <c r="Y172" s="41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Z172" s="39"/>
      <c r="AA172" s="41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B172" s="39"/>
      <c r="AC172" s="41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D172" s="39"/>
      <c r="AE172" s="41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39"/>
      <c r="AG172" s="41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H172" s="39"/>
      <c r="AI172" s="41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J172" s="39"/>
      <c r="AK172" s="41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L172" s="39"/>
      <c r="AM172" s="41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N172" s="39"/>
      <c r="AO172" s="41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P172" s="39"/>
      <c r="AQ172" s="41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R172" s="39"/>
      <c r="AS172" s="41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T172" s="39"/>
      <c r="AU172" s="41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V172" s="39"/>
      <c r="AW172" s="41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X172" s="39"/>
      <c r="AY172" s="41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39"/>
      <c r="BA172" s="41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B172" s="39"/>
      <c r="BC172" s="41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D172" s="39"/>
      <c r="BE172" s="41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F172" s="39"/>
      <c r="BG172" s="41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39"/>
      <c r="BI172" s="41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6"/>
      <c r="B173" s="40" t="s">
        <v>464</v>
      </c>
      <c r="C173" s="44">
        <f>0</f>
        <v>0</v>
      </c>
      <c r="D173" s="39"/>
      <c r="E173" s="41">
        <f>0</f>
        <v>0</v>
      </c>
      <c r="F173" s="39"/>
      <c r="G173" s="41">
        <f>0</f>
        <v>0</v>
      </c>
      <c r="H173" s="39"/>
      <c r="I173" s="41">
        <f>0</f>
        <v>0</v>
      </c>
      <c r="J173" s="39"/>
      <c r="K173" s="41">
        <f>0</f>
        <v>0</v>
      </c>
      <c r="L173" s="39"/>
      <c r="M173" s="41">
        <f>0</f>
        <v>0</v>
      </c>
      <c r="N173" s="39"/>
      <c r="O173" s="41">
        <f>0</f>
        <v>0</v>
      </c>
      <c r="P173" s="39"/>
      <c r="Q173" s="41">
        <f>0</f>
        <v>0</v>
      </c>
      <c r="R173" s="39"/>
      <c r="S173" s="41">
        <f>0</f>
        <v>0</v>
      </c>
      <c r="T173" s="39"/>
      <c r="U173" s="41">
        <f>0</f>
        <v>0</v>
      </c>
      <c r="V173" s="39"/>
      <c r="W173" s="41">
        <f>0</f>
        <v>0</v>
      </c>
      <c r="X173" s="39"/>
      <c r="Y173" s="41">
        <f>0</f>
        <v>0</v>
      </c>
      <c r="Z173" s="39"/>
      <c r="AA173" s="41">
        <f>0</f>
        <v>0</v>
      </c>
      <c r="AB173" s="39"/>
      <c r="AC173" s="41">
        <f>0</f>
        <v>0</v>
      </c>
      <c r="AD173" s="39"/>
      <c r="AE173" s="41">
        <f>0</f>
        <v>0</v>
      </c>
      <c r="AF173" s="39"/>
      <c r="AG173" s="41">
        <f>0</f>
        <v>0</v>
      </c>
      <c r="AH173" s="39"/>
      <c r="AI173" s="41">
        <f>0</f>
        <v>0</v>
      </c>
      <c r="AJ173" s="39"/>
      <c r="AK173" s="41">
        <f>0</f>
        <v>0</v>
      </c>
      <c r="AL173" s="39"/>
      <c r="AM173" s="41">
        <f>0</f>
        <v>0</v>
      </c>
      <c r="AN173" s="39"/>
      <c r="AO173" s="41">
        <f>0</f>
        <v>0</v>
      </c>
      <c r="AP173" s="39"/>
      <c r="AQ173" s="41">
        <f>0</f>
        <v>0</v>
      </c>
      <c r="AR173" s="39"/>
      <c r="AS173" s="41">
        <f>0</f>
        <v>0</v>
      </c>
      <c r="AT173" s="39"/>
      <c r="AU173" s="41">
        <f>0</f>
        <v>0</v>
      </c>
      <c r="AV173" s="39"/>
      <c r="AW173" s="41">
        <f>0</f>
        <v>0</v>
      </c>
      <c r="AX173" s="39"/>
      <c r="AY173" s="41">
        <f>0</f>
        <v>0</v>
      </c>
      <c r="AZ173" s="39"/>
      <c r="BA173" s="41">
        <f>0</f>
        <v>0</v>
      </c>
      <c r="BB173" s="39"/>
      <c r="BC173" s="41">
        <f>0</f>
        <v>0</v>
      </c>
      <c r="BD173" s="39"/>
      <c r="BE173" s="41">
        <f>0</f>
        <v>0</v>
      </c>
      <c r="BF173" s="39"/>
      <c r="BG173" s="41">
        <f>IFERROR(IF(AND('Real results'!C169&lt;&gt;"",'Raw data'!BG169&lt;&gt;"",UPPER(TRIM('Real results'!C169))=UPPER(TRIM('Raw data'!BG169))),1,0),0)</f>
        <v>0</v>
      </c>
      <c r="BH173" s="39"/>
      <c r="BI173" s="41">
        <f>IFERROR(IF(AND('Real results'!C169&lt;&gt;"",'Raw data'!BI169&lt;&gt;"",UPPER(TRIM('Real results'!C169))=UPPER(TRIM('Raw data'!BI169))),1,0),0)</f>
        <v>0</v>
      </c>
    </row>
    <row r="174" ht="18.0" customHeight="1">
      <c r="A174" s="36"/>
      <c r="B174" s="40" t="s">
        <v>465</v>
      </c>
      <c r="C174" s="41">
        <f>IFERROR(IF(AND('Real results'!C170&lt;&gt;"",'Raw data'!C170&lt;&gt;"",UPPER(TRIM('Real results'!C170))=UPPER(TRIM('Raw data'!C170))),1,0),0)</f>
        <v>0</v>
      </c>
      <c r="D174" s="39"/>
      <c r="E174" s="41">
        <f>IFERROR(IF(AND('Real results'!C170&lt;&gt;"",'Raw data'!E170&lt;&gt;"",UPPER(TRIM('Real results'!C170))=UPPER(TRIM('Raw data'!E170))),1,0),0)</f>
        <v>0</v>
      </c>
      <c r="F174" s="39"/>
      <c r="G174" s="41">
        <f>IFERROR(IF(AND('Real results'!C170&lt;&gt;"",'Raw data'!G170&lt;&gt;"",UPPER(TRIM('Real results'!C170))=UPPER(TRIM('Raw data'!G170))),1,0),0)</f>
        <v>0</v>
      </c>
      <c r="H174" s="39"/>
      <c r="I174" s="41">
        <f>IFERROR(IF(AND('Real results'!C170&lt;&gt;"",'Raw data'!I170&lt;&gt;"",UPPER(TRIM('Real results'!C170))=UPPER(TRIM('Raw data'!I170))),1,0),0)</f>
        <v>0</v>
      </c>
      <c r="J174" s="39"/>
      <c r="K174" s="41">
        <f>IFERROR(IF(AND('Real results'!C170&lt;&gt;"",'Raw data'!K170&lt;&gt;"",UPPER(TRIM('Real results'!C170))=UPPER(TRIM('Raw data'!K170))),1,0),0)</f>
        <v>0</v>
      </c>
      <c r="L174" s="39"/>
      <c r="M174" s="41">
        <f>IFERROR(IF(AND('Real results'!C170&lt;&gt;"",'Raw data'!M170&lt;&gt;"",UPPER(TRIM('Real results'!C170))=UPPER(TRIM('Raw data'!M170))),1,0),0)</f>
        <v>0</v>
      </c>
      <c r="N174" s="39"/>
      <c r="O174" s="41">
        <f>IFERROR(IF(AND('Real results'!C170&lt;&gt;"",'Raw data'!O170&lt;&gt;"",UPPER(TRIM('Real results'!C170))=UPPER(TRIM('Raw data'!O170))),1,0),0)</f>
        <v>0</v>
      </c>
      <c r="P174" s="39"/>
      <c r="Q174" s="41">
        <f>IFERROR(IF(AND('Real results'!C170&lt;&gt;"",'Raw data'!Q170&lt;&gt;"",UPPER(TRIM('Real results'!C170))=UPPER(TRIM('Raw data'!Q170))),1,0),0)</f>
        <v>0</v>
      </c>
      <c r="R174" s="39"/>
      <c r="S174" s="41">
        <f>IFERROR(IF(AND('Real results'!C170&lt;&gt;"",'Raw data'!S170&lt;&gt;"",UPPER(TRIM('Real results'!C170))=UPPER(TRIM('Raw data'!S170))),1,0),0)</f>
        <v>0</v>
      </c>
      <c r="T174" s="39"/>
      <c r="U174" s="41">
        <f>IFERROR(IF(AND('Real results'!C170&lt;&gt;"",'Raw data'!U170&lt;&gt;"",UPPER(TRIM('Real results'!C170))=UPPER(TRIM('Raw data'!U170))),1,0),0)</f>
        <v>0</v>
      </c>
      <c r="V174" s="39"/>
      <c r="W174" s="41">
        <f>IFERROR(IF(AND('Real results'!C170&lt;&gt;"",'Raw data'!W170&lt;&gt;"",UPPER(TRIM('Real results'!C170))=UPPER(TRIM('Raw data'!W170))),1,0),0)</f>
        <v>0</v>
      </c>
      <c r="X174" s="39"/>
      <c r="Y174" s="41">
        <f>IFERROR(IF(AND('Real results'!C170&lt;&gt;"",'Raw data'!Y170&lt;&gt;"",UPPER(TRIM('Real results'!C170))=UPPER(TRIM('Raw data'!Y170))),1,0),0)</f>
        <v>0</v>
      </c>
      <c r="Z174" s="39"/>
      <c r="AA174" s="41">
        <f>IFERROR(IF(AND('Real results'!C170&lt;&gt;"",'Raw data'!AA170&lt;&gt;"",UPPER(TRIM('Real results'!C170))=UPPER(TRIM('Raw data'!AA170))),1,0),0)</f>
        <v>0</v>
      </c>
      <c r="AB174" s="39"/>
      <c r="AC174" s="41">
        <f>IFERROR(IF(AND('Real results'!C170&lt;&gt;"",'Raw data'!AC170&lt;&gt;"",UPPER(TRIM('Real results'!C170))=UPPER(TRIM('Raw data'!AC170))),1,0),0)</f>
        <v>0</v>
      </c>
      <c r="AD174" s="39"/>
      <c r="AE174" s="41">
        <f>IFERROR(IF(AND('Real results'!C170&lt;&gt;"",'Raw data'!AE170&lt;&gt;"",UPPER(TRIM('Real results'!C170))=UPPER(TRIM('Raw data'!AE170))),1,0),0)</f>
        <v>0</v>
      </c>
      <c r="AF174" s="39"/>
      <c r="AG174" s="41">
        <f>IFERROR(IF(AND('Real results'!C170&lt;&gt;"",'Raw data'!AG170&lt;&gt;"",UPPER(TRIM('Real results'!C170))=UPPER(TRIM('Raw data'!AG170))),1,0),0)</f>
        <v>0</v>
      </c>
      <c r="AH174" s="39"/>
      <c r="AI174" s="41">
        <f>IFERROR(IF(AND('Real results'!C170&lt;&gt;"",'Raw data'!AI170&lt;&gt;"",UPPER(TRIM('Real results'!C170))=UPPER(TRIM('Raw data'!AI170))),1,0),0)</f>
        <v>0</v>
      </c>
      <c r="AJ174" s="39"/>
      <c r="AK174" s="41">
        <f>IFERROR(IF(AND('Real results'!C170&lt;&gt;"",'Raw data'!AK170&lt;&gt;"",UPPER(TRIM('Real results'!C170))=UPPER(TRIM('Raw data'!AK170))),1,0),0)</f>
        <v>0</v>
      </c>
      <c r="AL174" s="39"/>
      <c r="AM174" s="41">
        <f>IFERROR(IF(AND('Real results'!C170&lt;&gt;"",'Raw data'!AM170&lt;&gt;"",UPPER(TRIM('Real results'!C170))=UPPER(TRIM('Raw data'!AM170))),1,0),0)</f>
        <v>0</v>
      </c>
      <c r="AN174" s="39"/>
      <c r="AO174" s="41">
        <f>IFERROR(IF(AND('Real results'!C170&lt;&gt;"",'Raw data'!AO170&lt;&gt;"",UPPER(TRIM('Real results'!C170))=UPPER(TRIM('Raw data'!AO170))),1,0),0)</f>
        <v>0</v>
      </c>
      <c r="AP174" s="39"/>
      <c r="AQ174" s="41">
        <f>IFERROR(IF(AND('Real results'!C170&lt;&gt;"",'Raw data'!AQ170&lt;&gt;"",UPPER(TRIM('Real results'!C170))=UPPER(TRIM('Raw data'!AQ170))),1,0),0)</f>
        <v>0</v>
      </c>
      <c r="AR174" s="39"/>
      <c r="AS174" s="41">
        <f>IFERROR(IF(AND('Real results'!C170&lt;&gt;"",'Raw data'!AS170&lt;&gt;"",UPPER(TRIM('Real results'!C170))=UPPER(TRIM('Raw data'!AS170))),1,0),0)</f>
        <v>0</v>
      </c>
      <c r="AT174" s="39"/>
      <c r="AU174" s="41">
        <f>IFERROR(IF(AND('Real results'!C170&lt;&gt;"",'Raw data'!AU170&lt;&gt;"",UPPER(TRIM('Real results'!C170))=UPPER(TRIM('Raw data'!AU170))),1,0),0)</f>
        <v>0</v>
      </c>
      <c r="AV174" s="39"/>
      <c r="AW174" s="41">
        <f>IFERROR(IF(AND('Real results'!C170&lt;&gt;"",'Raw data'!AW170&lt;&gt;"",UPPER(TRIM('Real results'!C170))=UPPER(TRIM('Raw data'!AW170))),1,0),0)</f>
        <v>0</v>
      </c>
      <c r="AX174" s="39"/>
      <c r="AY174" s="41">
        <f>IFERROR(IF(AND('Real results'!C170&lt;&gt;"",'Raw data'!AY170&lt;&gt;"",UPPER(TRIM('Real results'!C170))=UPPER(TRIM('Raw data'!AY170))),1,0),0)</f>
        <v>0</v>
      </c>
      <c r="AZ174" s="39"/>
      <c r="BA174" s="41">
        <f>IFERROR(IF(AND('Real results'!C170&lt;&gt;"",'Raw data'!BA170&lt;&gt;"",UPPER(TRIM('Real results'!C170))=UPPER(TRIM('Raw data'!BA170))),1,0),0)</f>
        <v>0</v>
      </c>
      <c r="BB174" s="39"/>
      <c r="BC174" s="41">
        <f>IFERROR(IF(AND('Real results'!C170&lt;&gt;"",'Raw data'!BC170&lt;&gt;"",UPPER(TRIM('Real results'!C170))=UPPER(TRIM('Raw data'!BC170))),1,0),0)</f>
        <v>0</v>
      </c>
      <c r="BD174" s="39"/>
      <c r="BE174" s="41">
        <f>IFERROR(IF(AND('Real results'!C170&lt;&gt;"",'Raw data'!BE170&lt;&gt;"",UPPER(TRIM('Real results'!C170))=UPPER(TRIM('Raw data'!BE170))),1,0),0)</f>
        <v>0</v>
      </c>
      <c r="BF174" s="39"/>
      <c r="BG174" s="41">
        <f>IFERROR(IF(AND('Real results'!C170&lt;&gt;"",'Raw data'!BG170&lt;&gt;"",UPPER(TRIM('Real results'!C170))=UPPER(TRIM('Raw data'!BG170))),1,0),0)</f>
        <v>0</v>
      </c>
      <c r="BH174" s="39"/>
      <c r="BI174" s="41">
        <f>IFERROR(IF(AND('Real results'!C170&lt;&gt;"",'Raw data'!BI170&lt;&gt;"",UPPER(TRIM('Real results'!C170))=UPPER(TRIM('Raw data'!BI170))),1,0),0)</f>
        <v>0</v>
      </c>
    </row>
    <row r="175" ht="18.0" customHeight="1">
      <c r="A175" s="36"/>
      <c r="B175" s="40" t="s">
        <v>466</v>
      </c>
      <c r="C175" s="41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D175" s="39"/>
      <c r="E175" s="41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F175" s="39"/>
      <c r="G175" s="41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H175" s="39"/>
      <c r="I175" s="41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J175" s="39"/>
      <c r="K175" s="41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L175" s="39"/>
      <c r="M175" s="41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N175" s="39"/>
      <c r="O175" s="41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39"/>
      <c r="Q175" s="41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R175" s="39"/>
      <c r="S175" s="41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T175" s="39"/>
      <c r="U175" s="41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V175" s="39"/>
      <c r="W175" s="41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X175" s="39"/>
      <c r="Y175" s="41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Z175" s="39"/>
      <c r="AA175" s="41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B175" s="39"/>
      <c r="AC175" s="41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D175" s="39"/>
      <c r="AE175" s="41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F175" s="39"/>
      <c r="AG175" s="41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H175" s="39"/>
      <c r="AI175" s="41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J175" s="39"/>
      <c r="AK175" s="41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L175" s="39"/>
      <c r="AM175" s="41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N175" s="39"/>
      <c r="AO175" s="41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P175" s="39"/>
      <c r="AQ175" s="41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39"/>
      <c r="AS175" s="41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T175" s="39"/>
      <c r="AU175" s="41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V175" s="39"/>
      <c r="AW175" s="41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X175" s="39"/>
      <c r="AY175" s="41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AZ175" s="39"/>
      <c r="BA175" s="41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B175" s="39"/>
      <c r="BC175" s="41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D175" s="39"/>
      <c r="BE175" s="41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F175" s="39"/>
      <c r="BG175" s="41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39"/>
      <c r="BI175" s="41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6"/>
      <c r="B176" s="40" t="s">
        <v>467</v>
      </c>
      <c r="C176" s="44">
        <f>0</f>
        <v>0</v>
      </c>
      <c r="D176" s="39"/>
      <c r="E176" s="41">
        <f>0</f>
        <v>0</v>
      </c>
      <c r="F176" s="39"/>
      <c r="G176" s="41">
        <f>0</f>
        <v>0</v>
      </c>
      <c r="H176" s="39"/>
      <c r="I176" s="41">
        <f>0</f>
        <v>0</v>
      </c>
      <c r="J176" s="39"/>
      <c r="K176" s="41">
        <f>0</f>
        <v>0</v>
      </c>
      <c r="L176" s="39"/>
      <c r="M176" s="41">
        <f>0</f>
        <v>0</v>
      </c>
      <c r="N176" s="39"/>
      <c r="O176" s="41">
        <f>0</f>
        <v>0</v>
      </c>
      <c r="P176" s="39"/>
      <c r="Q176" s="41">
        <f>0</f>
        <v>0</v>
      </c>
      <c r="R176" s="39"/>
      <c r="S176" s="41">
        <f>0</f>
        <v>0</v>
      </c>
      <c r="T176" s="39"/>
      <c r="U176" s="41">
        <f>0</f>
        <v>0</v>
      </c>
      <c r="V176" s="39"/>
      <c r="W176" s="41">
        <f>0</f>
        <v>0</v>
      </c>
      <c r="X176" s="39"/>
      <c r="Y176" s="41">
        <f>0</f>
        <v>0</v>
      </c>
      <c r="Z176" s="39"/>
      <c r="AA176" s="41">
        <f>0</f>
        <v>0</v>
      </c>
      <c r="AB176" s="39"/>
      <c r="AC176" s="41">
        <f>0</f>
        <v>0</v>
      </c>
      <c r="AD176" s="39"/>
      <c r="AE176" s="41">
        <f>0</f>
        <v>0</v>
      </c>
      <c r="AF176" s="39"/>
      <c r="AG176" s="41">
        <f>0</f>
        <v>0</v>
      </c>
      <c r="AH176" s="39"/>
      <c r="AI176" s="41">
        <f>0</f>
        <v>0</v>
      </c>
      <c r="AJ176" s="39"/>
      <c r="AK176" s="41">
        <f>0</f>
        <v>0</v>
      </c>
      <c r="AL176" s="39"/>
      <c r="AM176" s="41">
        <f>0</f>
        <v>0</v>
      </c>
      <c r="AN176" s="39"/>
      <c r="AO176" s="41">
        <f>0</f>
        <v>0</v>
      </c>
      <c r="AP176" s="39"/>
      <c r="AQ176" s="41">
        <f>0</f>
        <v>0</v>
      </c>
      <c r="AR176" s="39"/>
      <c r="AS176" s="41">
        <f>0</f>
        <v>0</v>
      </c>
      <c r="AT176" s="39"/>
      <c r="AU176" s="41">
        <f>0</f>
        <v>0</v>
      </c>
      <c r="AV176" s="39"/>
      <c r="AW176" s="41">
        <f>0</f>
        <v>0</v>
      </c>
      <c r="AX176" s="39"/>
      <c r="AY176" s="41">
        <f>0</f>
        <v>0</v>
      </c>
      <c r="AZ176" s="39"/>
      <c r="BA176" s="41">
        <f>0</f>
        <v>0</v>
      </c>
      <c r="BB176" s="39"/>
      <c r="BC176" s="41">
        <f>0</f>
        <v>0</v>
      </c>
      <c r="BD176" s="39"/>
      <c r="BE176" s="41">
        <f>0</f>
        <v>0</v>
      </c>
      <c r="BF176" s="39"/>
      <c r="BG176" s="41">
        <f>IFERROR(IF(AND('Real results'!C172&lt;&gt;"",'Raw data'!BG172&lt;&gt;"",UPPER(TRIM('Real results'!C172))=UPPER(TRIM('Raw data'!BG172))),1,0),0)</f>
        <v>0</v>
      </c>
      <c r="BH176" s="39"/>
      <c r="BI176" s="41">
        <f>IFERROR(IF(AND('Real results'!C172&lt;&gt;"",'Raw data'!BI172&lt;&gt;"",UPPER(TRIM('Real results'!C172))=UPPER(TRIM('Raw data'!BI172))),1,0),0)</f>
        <v>0</v>
      </c>
    </row>
    <row r="177" ht="18.0" customHeight="1">
      <c r="A177" s="36"/>
      <c r="B177" s="40" t="s">
        <v>468</v>
      </c>
      <c r="C177" s="41">
        <f>IFERROR(IF(AND('Real results'!C173&lt;&gt;"",'Raw data'!C173&lt;&gt;"",UPPER(TRIM('Real results'!C173))=UPPER(TRIM('Raw data'!C173))),1,0),0)</f>
        <v>0</v>
      </c>
      <c r="D177" s="39"/>
      <c r="E177" s="41">
        <f>IFERROR(IF(AND('Real results'!C173&lt;&gt;"",'Raw data'!E173&lt;&gt;"",UPPER(TRIM('Real results'!C173))=UPPER(TRIM('Raw data'!E173))),1,0),0)</f>
        <v>0</v>
      </c>
      <c r="F177" s="39"/>
      <c r="G177" s="41">
        <f>IFERROR(IF(AND('Real results'!C173&lt;&gt;"",'Raw data'!G173&lt;&gt;"",UPPER(TRIM('Real results'!C173))=UPPER(TRIM('Raw data'!G173))),1,0),0)</f>
        <v>0</v>
      </c>
      <c r="H177" s="39"/>
      <c r="I177" s="41">
        <f>IFERROR(IF(AND('Real results'!C173&lt;&gt;"",'Raw data'!I173&lt;&gt;"",UPPER(TRIM('Real results'!C173))=UPPER(TRIM('Raw data'!I173))),1,0),0)</f>
        <v>0</v>
      </c>
      <c r="J177" s="39"/>
      <c r="K177" s="41">
        <f>IFERROR(IF(AND('Real results'!C173&lt;&gt;"",'Raw data'!K173&lt;&gt;"",UPPER(TRIM('Real results'!C173))=UPPER(TRIM('Raw data'!K173))),1,0),0)</f>
        <v>0</v>
      </c>
      <c r="L177" s="39"/>
      <c r="M177" s="41">
        <f>IFERROR(IF(AND('Real results'!C173&lt;&gt;"",'Raw data'!M173&lt;&gt;"",UPPER(TRIM('Real results'!C173))=UPPER(TRIM('Raw data'!M173))),1,0),0)</f>
        <v>0</v>
      </c>
      <c r="N177" s="39"/>
      <c r="O177" s="41">
        <f>IFERROR(IF(AND('Real results'!C173&lt;&gt;"",'Raw data'!O173&lt;&gt;"",UPPER(TRIM('Real results'!C173))=UPPER(TRIM('Raw data'!O173))),1,0),0)</f>
        <v>0</v>
      </c>
      <c r="P177" s="39"/>
      <c r="Q177" s="41">
        <f>IFERROR(IF(AND('Real results'!C173&lt;&gt;"",'Raw data'!Q173&lt;&gt;"",UPPER(TRIM('Real results'!C173))=UPPER(TRIM('Raw data'!Q173))),1,0),0)</f>
        <v>0</v>
      </c>
      <c r="R177" s="39"/>
      <c r="S177" s="41">
        <f>IFERROR(IF(AND('Real results'!C173&lt;&gt;"",'Raw data'!S173&lt;&gt;"",UPPER(TRIM('Real results'!C173))=UPPER(TRIM('Raw data'!S173))),1,0),0)</f>
        <v>0</v>
      </c>
      <c r="T177" s="39"/>
      <c r="U177" s="41">
        <f>IFERROR(IF(AND('Real results'!C173&lt;&gt;"",'Raw data'!U173&lt;&gt;"",UPPER(TRIM('Real results'!C173))=UPPER(TRIM('Raw data'!U173))),1,0),0)</f>
        <v>0</v>
      </c>
      <c r="V177" s="39"/>
      <c r="W177" s="41">
        <f>IFERROR(IF(AND('Real results'!C173&lt;&gt;"",'Raw data'!W173&lt;&gt;"",UPPER(TRIM('Real results'!C173))=UPPER(TRIM('Raw data'!W173))),1,0),0)</f>
        <v>0</v>
      </c>
      <c r="X177" s="39"/>
      <c r="Y177" s="41">
        <f>IFERROR(IF(AND('Real results'!C173&lt;&gt;"",'Raw data'!Y173&lt;&gt;"",UPPER(TRIM('Real results'!C173))=UPPER(TRIM('Raw data'!Y173))),1,0),0)</f>
        <v>0</v>
      </c>
      <c r="Z177" s="39"/>
      <c r="AA177" s="41">
        <f>IFERROR(IF(AND('Real results'!C173&lt;&gt;"",'Raw data'!AA173&lt;&gt;"",UPPER(TRIM('Real results'!C173))=UPPER(TRIM('Raw data'!AA173))),1,0),0)</f>
        <v>0</v>
      </c>
      <c r="AB177" s="39"/>
      <c r="AC177" s="41">
        <f>IFERROR(IF(AND('Real results'!C173&lt;&gt;"",'Raw data'!AC173&lt;&gt;"",UPPER(TRIM('Real results'!C173))=UPPER(TRIM('Raw data'!AC173))),1,0),0)</f>
        <v>0</v>
      </c>
      <c r="AD177" s="39"/>
      <c r="AE177" s="41">
        <f>IFERROR(IF(AND('Real results'!C173&lt;&gt;"",'Raw data'!AE173&lt;&gt;"",UPPER(TRIM('Real results'!C173))=UPPER(TRIM('Raw data'!AE173))),1,0),0)</f>
        <v>0</v>
      </c>
      <c r="AF177" s="39"/>
      <c r="AG177" s="41">
        <f>IFERROR(IF(AND('Real results'!C173&lt;&gt;"",'Raw data'!AG173&lt;&gt;"",UPPER(TRIM('Real results'!C173))=UPPER(TRIM('Raw data'!AG173))),1,0),0)</f>
        <v>0</v>
      </c>
      <c r="AH177" s="39"/>
      <c r="AI177" s="41">
        <f>IFERROR(IF(AND('Real results'!C173&lt;&gt;"",'Raw data'!AI173&lt;&gt;"",UPPER(TRIM('Real results'!C173))=UPPER(TRIM('Raw data'!AI173))),1,0),0)</f>
        <v>0</v>
      </c>
      <c r="AJ177" s="39"/>
      <c r="AK177" s="41">
        <f>IFERROR(IF(AND('Real results'!C173&lt;&gt;"",'Raw data'!AK173&lt;&gt;"",UPPER(TRIM('Real results'!C173))=UPPER(TRIM('Raw data'!AK173))),1,0),0)</f>
        <v>0</v>
      </c>
      <c r="AL177" s="39"/>
      <c r="AM177" s="41">
        <f>IFERROR(IF(AND('Real results'!C173&lt;&gt;"",'Raw data'!AM173&lt;&gt;"",UPPER(TRIM('Real results'!C173))=UPPER(TRIM('Raw data'!AM173))),1,0),0)</f>
        <v>0</v>
      </c>
      <c r="AN177" s="39"/>
      <c r="AO177" s="41">
        <f>IFERROR(IF(AND('Real results'!C173&lt;&gt;"",'Raw data'!AO173&lt;&gt;"",UPPER(TRIM('Real results'!C173))=UPPER(TRIM('Raw data'!AO173))),1,0),0)</f>
        <v>0</v>
      </c>
      <c r="AP177" s="39"/>
      <c r="AQ177" s="41">
        <f>IFERROR(IF(AND('Real results'!C173&lt;&gt;"",'Raw data'!AQ173&lt;&gt;"",UPPER(TRIM('Real results'!C173))=UPPER(TRIM('Raw data'!AQ173))),1,0),0)</f>
        <v>0</v>
      </c>
      <c r="AR177" s="39"/>
      <c r="AS177" s="41">
        <f>IFERROR(IF(AND('Real results'!C173&lt;&gt;"",'Raw data'!AS173&lt;&gt;"",UPPER(TRIM('Real results'!C173))=UPPER(TRIM('Raw data'!AS173))),1,0),0)</f>
        <v>0</v>
      </c>
      <c r="AT177" s="39"/>
      <c r="AU177" s="41">
        <f>IFERROR(IF(AND('Real results'!C173&lt;&gt;"",'Raw data'!AU173&lt;&gt;"",UPPER(TRIM('Real results'!C173))=UPPER(TRIM('Raw data'!AU173))),1,0),0)</f>
        <v>0</v>
      </c>
      <c r="AV177" s="39"/>
      <c r="AW177" s="41">
        <f>IFERROR(IF(AND('Real results'!C173&lt;&gt;"",'Raw data'!AW173&lt;&gt;"",UPPER(TRIM('Real results'!C173))=UPPER(TRIM('Raw data'!AW173))),1,0),0)</f>
        <v>0</v>
      </c>
      <c r="AX177" s="39"/>
      <c r="AY177" s="41">
        <f>IFERROR(IF(AND('Real results'!C173&lt;&gt;"",'Raw data'!AY173&lt;&gt;"",UPPER(TRIM('Real results'!C173))=UPPER(TRIM('Raw data'!AY173))),1,0),0)</f>
        <v>0</v>
      </c>
      <c r="AZ177" s="39"/>
      <c r="BA177" s="41">
        <f>IFERROR(IF(AND('Real results'!C173&lt;&gt;"",'Raw data'!BA173&lt;&gt;"",UPPER(TRIM('Real results'!C173))=UPPER(TRIM('Raw data'!BA173))),1,0),0)</f>
        <v>0</v>
      </c>
      <c r="BB177" s="39"/>
      <c r="BC177" s="41">
        <f>IFERROR(IF(AND('Real results'!C173&lt;&gt;"",'Raw data'!BC173&lt;&gt;"",UPPER(TRIM('Real results'!C173))=UPPER(TRIM('Raw data'!BC173))),1,0),0)</f>
        <v>0</v>
      </c>
      <c r="BD177" s="39"/>
      <c r="BE177" s="41">
        <f>IFERROR(IF(AND('Real results'!C173&lt;&gt;"",'Raw data'!BE173&lt;&gt;"",UPPER(TRIM('Real results'!C173))=UPPER(TRIM('Raw data'!BE173))),1,0),0)</f>
        <v>0</v>
      </c>
      <c r="BF177" s="39"/>
      <c r="BG177" s="41">
        <f>IFERROR(IF(AND('Real results'!C173&lt;&gt;"",'Raw data'!BG173&lt;&gt;"",UPPER(TRIM('Real results'!C173))=UPPER(TRIM('Raw data'!BG173))),1,0),0)</f>
        <v>0</v>
      </c>
      <c r="BH177" s="39"/>
      <c r="BI177" s="41">
        <f>IFERROR(IF(AND('Real results'!C173&lt;&gt;"",'Raw data'!BI173&lt;&gt;"",UPPER(TRIM('Real results'!C173))=UPPER(TRIM('Raw data'!BI173))),1,0),0)</f>
        <v>0</v>
      </c>
    </row>
    <row r="178" ht="21.75" customHeight="1">
      <c r="A178" s="36"/>
      <c r="B178" s="42" t="s">
        <v>469</v>
      </c>
      <c r="C178" s="43">
        <f>SUM(C130:C177)</f>
        <v>17</v>
      </c>
      <c r="D178" s="39"/>
      <c r="E178" s="43">
        <f>SUM(E130:E177)</f>
        <v>12</v>
      </c>
      <c r="F178" s="39"/>
      <c r="G178" s="43">
        <f>SUM(G130:G177)</f>
        <v>10</v>
      </c>
      <c r="H178" s="39"/>
      <c r="I178" s="43">
        <f>SUM(I130:I177)</f>
        <v>16</v>
      </c>
      <c r="J178" s="39"/>
      <c r="K178" s="43">
        <f>SUM(K130:K177)</f>
        <v>3</v>
      </c>
      <c r="L178" s="39"/>
      <c r="M178" s="43">
        <f>SUM(M130:M177)</f>
        <v>16</v>
      </c>
      <c r="N178" s="39"/>
      <c r="O178" s="43">
        <f>SUM(O130:O177)</f>
        <v>13</v>
      </c>
      <c r="P178" s="39"/>
      <c r="Q178" s="43">
        <f>SUM(Q130:Q177)</f>
        <v>11</v>
      </c>
      <c r="R178" s="39"/>
      <c r="S178" s="43">
        <f>SUM(S130:S177)</f>
        <v>17</v>
      </c>
      <c r="T178" s="39"/>
      <c r="U178" s="43">
        <f>SUM(U130:U177)</f>
        <v>14</v>
      </c>
      <c r="V178" s="39"/>
      <c r="W178" s="43">
        <f>SUM(W130:W177)</f>
        <v>1</v>
      </c>
      <c r="X178" s="39"/>
      <c r="Y178" s="43">
        <f>SUM(Y130:Y177)</f>
        <v>18</v>
      </c>
      <c r="Z178" s="39"/>
      <c r="AA178" s="43">
        <f>SUM(AA130:AA177)</f>
        <v>7</v>
      </c>
      <c r="AB178" s="39"/>
      <c r="AC178" s="43">
        <f>SUM(AC130:AC177)</f>
        <v>15</v>
      </c>
      <c r="AD178" s="39"/>
      <c r="AE178" s="43">
        <f>SUM(AE130:AE177)</f>
        <v>8</v>
      </c>
      <c r="AF178" s="39"/>
      <c r="AG178" s="43">
        <f>SUM(AG130:AG177)</f>
        <v>15</v>
      </c>
      <c r="AH178" s="39"/>
      <c r="AI178" s="43">
        <f>SUM(AI130:AI177)</f>
        <v>11</v>
      </c>
      <c r="AJ178" s="39"/>
      <c r="AK178" s="43">
        <f>SUM(AK130:AK177)</f>
        <v>22</v>
      </c>
      <c r="AL178" s="39"/>
      <c r="AM178" s="43">
        <f>SUM(AM130:AM177)</f>
        <v>20</v>
      </c>
      <c r="AN178" s="39"/>
      <c r="AO178" s="43">
        <f>SUM(AO130:AO177)</f>
        <v>10</v>
      </c>
      <c r="AP178" s="39"/>
      <c r="AQ178" s="43">
        <f>SUM(AQ130:AQ177)</f>
        <v>17</v>
      </c>
      <c r="AR178" s="39"/>
      <c r="AS178" s="43">
        <f>SUM(AS130:AS177)</f>
        <v>13</v>
      </c>
      <c r="AT178" s="39"/>
      <c r="AU178" s="43">
        <f>SUM(AU130:AU177)</f>
        <v>20</v>
      </c>
      <c r="AV178" s="39"/>
      <c r="AW178" s="43">
        <f>SUM(AW130:AW177)</f>
        <v>14</v>
      </c>
      <c r="AX178" s="39"/>
      <c r="AY178" s="43">
        <f>SUM(AY130:AY177)</f>
        <v>4</v>
      </c>
      <c r="AZ178" s="39"/>
      <c r="BA178" s="43">
        <f>SUM(BA130:BA177)</f>
        <v>8</v>
      </c>
      <c r="BB178" s="39"/>
      <c r="BC178" s="43">
        <f>SUM(BC130:BC177)</f>
        <v>13</v>
      </c>
      <c r="BD178" s="39"/>
      <c r="BE178" s="43">
        <f>SUM(BE130:BE177)</f>
        <v>3</v>
      </c>
      <c r="BF178" s="39"/>
      <c r="BG178" s="43">
        <f>SUM(BG130:BG177)</f>
        <v>0</v>
      </c>
      <c r="BH178" s="39"/>
      <c r="BI178" s="43">
        <f>SUM(BI130:BI177)</f>
        <v>0</v>
      </c>
    </row>
    <row r="179" ht="19.5" customHeight="1">
      <c r="A179" s="36"/>
      <c r="B179" s="37" t="s">
        <v>470</v>
      </c>
      <c r="C179" s="38"/>
      <c r="D179" s="39"/>
      <c r="E179" s="38"/>
      <c r="F179" s="39"/>
      <c r="G179" s="38"/>
      <c r="H179" s="39"/>
      <c r="I179" s="38"/>
      <c r="J179" s="39"/>
      <c r="K179" s="38"/>
      <c r="L179" s="39"/>
      <c r="M179" s="38"/>
      <c r="N179" s="39"/>
      <c r="O179" s="38"/>
      <c r="P179" s="39"/>
      <c r="Q179" s="38"/>
      <c r="R179" s="39"/>
      <c r="S179" s="38"/>
      <c r="T179" s="39"/>
      <c r="U179" s="38"/>
      <c r="V179" s="39"/>
      <c r="W179" s="38"/>
      <c r="X179" s="39"/>
      <c r="Y179" s="38"/>
      <c r="Z179" s="39"/>
      <c r="AA179" s="38"/>
      <c r="AB179" s="39"/>
      <c r="AC179" s="38"/>
      <c r="AD179" s="39"/>
      <c r="AE179" s="38"/>
      <c r="AF179" s="39"/>
      <c r="AG179" s="38"/>
      <c r="AH179" s="39"/>
      <c r="AI179" s="38"/>
      <c r="AJ179" s="39"/>
      <c r="AK179" s="38"/>
      <c r="AL179" s="39"/>
      <c r="AM179" s="38"/>
      <c r="AN179" s="39"/>
      <c r="AO179" s="38"/>
      <c r="AP179" s="39"/>
      <c r="AQ179" s="38"/>
      <c r="AR179" s="39"/>
      <c r="AS179" s="38"/>
      <c r="AT179" s="39"/>
      <c r="AU179" s="38"/>
      <c r="AV179" s="39"/>
      <c r="AW179" s="38"/>
      <c r="AX179" s="39"/>
      <c r="AY179" s="38"/>
      <c r="AZ179" s="39"/>
      <c r="BA179" s="38"/>
      <c r="BB179" s="39"/>
      <c r="BC179" s="38"/>
      <c r="BD179" s="39"/>
      <c r="BE179" s="38"/>
      <c r="BF179" s="39"/>
      <c r="BG179" s="38"/>
      <c r="BH179" s="39"/>
      <c r="BI179" s="38"/>
    </row>
    <row r="180" ht="18.0" customHeight="1">
      <c r="A180" s="36"/>
      <c r="B180" s="40" t="s">
        <v>471</v>
      </c>
      <c r="C180" s="41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D180" s="39"/>
      <c r="E180" s="41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F180" s="39"/>
      <c r="G180" s="41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39"/>
      <c r="I180" s="41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J180" s="39"/>
      <c r="K180" s="41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L180" s="39"/>
      <c r="M180" s="41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N180" s="39"/>
      <c r="O180" s="41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P180" s="39"/>
      <c r="Q180" s="41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39"/>
      <c r="S180" s="41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T180" s="39"/>
      <c r="U180" s="41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V180" s="39"/>
      <c r="W180" s="41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X180" s="39"/>
      <c r="Y180" s="41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Z180" s="39"/>
      <c r="AA180" s="41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B180" s="39"/>
      <c r="AC180" s="41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D180" s="39"/>
      <c r="AE180" s="41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F180" s="39"/>
      <c r="AG180" s="41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39"/>
      <c r="AI180" s="41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J180" s="39"/>
      <c r="AK180" s="41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L180" s="39"/>
      <c r="AM180" s="41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N180" s="39"/>
      <c r="AO180" s="41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P180" s="39"/>
      <c r="AQ180" s="41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R180" s="39"/>
      <c r="AS180" s="41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39"/>
      <c r="AU180" s="41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V180" s="39"/>
      <c r="AW180" s="41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X180" s="39"/>
      <c r="AY180" s="41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AZ180" s="39"/>
      <c r="BA180" s="41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39"/>
      <c r="BC180" s="41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D180" s="39"/>
      <c r="BE180" s="41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F180" s="39"/>
      <c r="BG180" s="41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39"/>
      <c r="BI180" s="41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6"/>
      <c r="B181" s="40" t="s">
        <v>472</v>
      </c>
      <c r="C181" s="44">
        <f>0</f>
        <v>0</v>
      </c>
      <c r="D181" s="39"/>
      <c r="E181" s="41">
        <f>0</f>
        <v>0</v>
      </c>
      <c r="F181" s="39"/>
      <c r="G181" s="41">
        <f>0</f>
        <v>0</v>
      </c>
      <c r="H181" s="39"/>
      <c r="I181" s="41">
        <f>0</f>
        <v>0</v>
      </c>
      <c r="J181" s="39"/>
      <c r="K181" s="41">
        <f>0</f>
        <v>0</v>
      </c>
      <c r="L181" s="39"/>
      <c r="M181" s="41">
        <f>0</f>
        <v>0</v>
      </c>
      <c r="N181" s="39"/>
      <c r="O181" s="41">
        <f>0</f>
        <v>0</v>
      </c>
      <c r="P181" s="39"/>
      <c r="Q181" s="41">
        <f>0</f>
        <v>0</v>
      </c>
      <c r="R181" s="39"/>
      <c r="S181" s="41">
        <f>0</f>
        <v>0</v>
      </c>
      <c r="T181" s="39"/>
      <c r="U181" s="41">
        <f>0</f>
        <v>0</v>
      </c>
      <c r="V181" s="39"/>
      <c r="W181" s="41">
        <f>0</f>
        <v>0</v>
      </c>
      <c r="X181" s="39"/>
      <c r="Y181" s="41">
        <f>0</f>
        <v>0</v>
      </c>
      <c r="Z181" s="39"/>
      <c r="AA181" s="41">
        <f>0</f>
        <v>0</v>
      </c>
      <c r="AB181" s="39"/>
      <c r="AC181" s="41">
        <f>0</f>
        <v>0</v>
      </c>
      <c r="AD181" s="39"/>
      <c r="AE181" s="41">
        <f>0</f>
        <v>0</v>
      </c>
      <c r="AF181" s="39"/>
      <c r="AG181" s="41">
        <f>0</f>
        <v>0</v>
      </c>
      <c r="AH181" s="39"/>
      <c r="AI181" s="41">
        <f>0</f>
        <v>0</v>
      </c>
      <c r="AJ181" s="39"/>
      <c r="AK181" s="41">
        <f>0</f>
        <v>0</v>
      </c>
      <c r="AL181" s="39"/>
      <c r="AM181" s="41">
        <f>0</f>
        <v>0</v>
      </c>
      <c r="AN181" s="39"/>
      <c r="AO181" s="41">
        <f>0</f>
        <v>0</v>
      </c>
      <c r="AP181" s="39"/>
      <c r="AQ181" s="41">
        <f>0</f>
        <v>0</v>
      </c>
      <c r="AR181" s="39"/>
      <c r="AS181" s="41">
        <f>0</f>
        <v>0</v>
      </c>
      <c r="AT181" s="39"/>
      <c r="AU181" s="41">
        <f>0</f>
        <v>0</v>
      </c>
      <c r="AV181" s="39"/>
      <c r="AW181" s="41">
        <f>0</f>
        <v>0</v>
      </c>
      <c r="AX181" s="39"/>
      <c r="AY181" s="41">
        <f>0</f>
        <v>0</v>
      </c>
      <c r="AZ181" s="39"/>
      <c r="BA181" s="41">
        <f>0</f>
        <v>0</v>
      </c>
      <c r="BB181" s="39"/>
      <c r="BC181" s="41">
        <f>0</f>
        <v>0</v>
      </c>
      <c r="BD181" s="39"/>
      <c r="BE181" s="41">
        <f>0</f>
        <v>0</v>
      </c>
      <c r="BF181" s="39"/>
      <c r="BG181" s="41">
        <f>IFERROR(IF(AND('Real results'!C176&lt;&gt;"",'Raw data'!BG176&lt;&gt;"",UPPER(TRIM('Real results'!C176))=UPPER(TRIM('Raw data'!BG176))),1,0),0)</f>
        <v>0</v>
      </c>
      <c r="BH181" s="39"/>
      <c r="BI181" s="41">
        <f>IFERROR(IF(AND('Real results'!C176&lt;&gt;"",'Raw data'!BI176&lt;&gt;"",UPPER(TRIM('Real results'!C176))=UPPER(TRIM('Raw data'!BI176))),1,0),0)</f>
        <v>0</v>
      </c>
    </row>
    <row r="182" ht="18.0" customHeight="1">
      <c r="A182" s="36"/>
      <c r="B182" s="40" t="s">
        <v>473</v>
      </c>
      <c r="C182" s="41">
        <f>IFERROR(IF(AND('Real results'!C177&lt;&gt;"",'Raw data'!C177&lt;&gt;"",UPPER(TRIM('Real results'!C177))=UPPER(TRIM('Raw data'!C177))),2,0),0)</f>
        <v>0</v>
      </c>
      <c r="D182" s="39"/>
      <c r="E182" s="41">
        <f>IFERROR(IF(AND('Real results'!C177&lt;&gt;"",'Raw data'!E177&lt;&gt;"",UPPER(TRIM('Real results'!C177))=UPPER(TRIM('Raw data'!E177))),2,0),0)</f>
        <v>0</v>
      </c>
      <c r="F182" s="39"/>
      <c r="G182" s="41">
        <f>IFERROR(IF(AND('Real results'!C177&lt;&gt;"",'Raw data'!G177&lt;&gt;"",UPPER(TRIM('Real results'!C177))=UPPER(TRIM('Raw data'!G177))),2,0),0)</f>
        <v>0</v>
      </c>
      <c r="H182" s="39"/>
      <c r="I182" s="41">
        <f>IFERROR(IF(AND('Real results'!C177&lt;&gt;"",'Raw data'!I177&lt;&gt;"",UPPER(TRIM('Real results'!C177))=UPPER(TRIM('Raw data'!I177))),2,0),0)</f>
        <v>0</v>
      </c>
      <c r="J182" s="39"/>
      <c r="K182" s="41">
        <f>IFERROR(IF(AND('Real results'!C177&lt;&gt;"",'Raw data'!K177&lt;&gt;"",UPPER(TRIM('Real results'!C177))=UPPER(TRIM('Raw data'!K177))),2,0),0)</f>
        <v>0</v>
      </c>
      <c r="L182" s="39"/>
      <c r="M182" s="41">
        <f>IFERROR(IF(AND('Real results'!C177&lt;&gt;"",'Raw data'!M177&lt;&gt;"",UPPER(TRIM('Real results'!C177))=UPPER(TRIM('Raw data'!M177))),2,0),0)</f>
        <v>0</v>
      </c>
      <c r="N182" s="39"/>
      <c r="O182" s="41">
        <f>IFERROR(IF(AND('Real results'!C177&lt;&gt;"",'Raw data'!O177&lt;&gt;"",UPPER(TRIM('Real results'!C177))=UPPER(TRIM('Raw data'!O177))),2,0),0)</f>
        <v>0</v>
      </c>
      <c r="P182" s="39"/>
      <c r="Q182" s="41">
        <f>IFERROR(IF(AND('Real results'!C177&lt;&gt;"",'Raw data'!Q177&lt;&gt;"",UPPER(TRIM('Real results'!C177))=UPPER(TRIM('Raw data'!Q177))),2,0),0)</f>
        <v>0</v>
      </c>
      <c r="R182" s="39"/>
      <c r="S182" s="41">
        <f>IFERROR(IF(AND('Real results'!C177&lt;&gt;"",'Raw data'!S177&lt;&gt;"",UPPER(TRIM('Real results'!C177))=UPPER(TRIM('Raw data'!S177))),2,0),0)</f>
        <v>0</v>
      </c>
      <c r="T182" s="39"/>
      <c r="U182" s="41">
        <f>IFERROR(IF(AND('Real results'!C177&lt;&gt;"",'Raw data'!U177&lt;&gt;"",UPPER(TRIM('Real results'!C177))=UPPER(TRIM('Raw data'!U177))),2,0),0)</f>
        <v>0</v>
      </c>
      <c r="V182" s="39"/>
      <c r="W182" s="41">
        <f>IFERROR(IF(AND('Real results'!C177&lt;&gt;"",'Raw data'!W177&lt;&gt;"",UPPER(TRIM('Real results'!C177))=UPPER(TRIM('Raw data'!W177))),2,0),0)</f>
        <v>0</v>
      </c>
      <c r="X182" s="39"/>
      <c r="Y182" s="41">
        <f>IFERROR(IF(AND('Real results'!C177&lt;&gt;"",'Raw data'!Y177&lt;&gt;"",UPPER(TRIM('Real results'!C177))=UPPER(TRIM('Raw data'!Y177))),2,0),0)</f>
        <v>0</v>
      </c>
      <c r="Z182" s="39"/>
      <c r="AA182" s="41">
        <f>IFERROR(IF(AND('Real results'!C177&lt;&gt;"",'Raw data'!AA177&lt;&gt;"",UPPER(TRIM('Real results'!C177))=UPPER(TRIM('Raw data'!AA177))),2,0),0)</f>
        <v>0</v>
      </c>
      <c r="AB182" s="39"/>
      <c r="AC182" s="41">
        <f>IFERROR(IF(AND('Real results'!C177&lt;&gt;"",'Raw data'!AC177&lt;&gt;"",UPPER(TRIM('Real results'!C177))=UPPER(TRIM('Raw data'!AC177))),2,0),0)</f>
        <v>0</v>
      </c>
      <c r="AD182" s="39"/>
      <c r="AE182" s="41">
        <f>IFERROR(IF(AND('Real results'!C177&lt;&gt;"",'Raw data'!AE177&lt;&gt;"",UPPER(TRIM('Real results'!C177))=UPPER(TRIM('Raw data'!AE177))),2,0),0)</f>
        <v>0</v>
      </c>
      <c r="AF182" s="39"/>
      <c r="AG182" s="41">
        <f>IFERROR(IF(AND('Real results'!C177&lt;&gt;"",'Raw data'!AG177&lt;&gt;"",UPPER(TRIM('Real results'!C177))=UPPER(TRIM('Raw data'!AG177))),2,0),0)</f>
        <v>0</v>
      </c>
      <c r="AH182" s="39"/>
      <c r="AI182" s="41">
        <f>IFERROR(IF(AND('Real results'!C177&lt;&gt;"",'Raw data'!AI177&lt;&gt;"",UPPER(TRIM('Real results'!C177))=UPPER(TRIM('Raw data'!AI177))),2,0),0)</f>
        <v>0</v>
      </c>
      <c r="AJ182" s="39"/>
      <c r="AK182" s="41">
        <f>IFERROR(IF(AND('Real results'!C177&lt;&gt;"",'Raw data'!AK177&lt;&gt;"",UPPER(TRIM('Real results'!C177))=UPPER(TRIM('Raw data'!AK177))),2,0),0)</f>
        <v>0</v>
      </c>
      <c r="AL182" s="39"/>
      <c r="AM182" s="41">
        <f>IFERROR(IF(AND('Real results'!C177&lt;&gt;"",'Raw data'!AM177&lt;&gt;"",UPPER(TRIM('Real results'!C177))=UPPER(TRIM('Raw data'!AM177))),2,0),0)</f>
        <v>0</v>
      </c>
      <c r="AN182" s="39"/>
      <c r="AO182" s="41">
        <f>IFERROR(IF(AND('Real results'!C177&lt;&gt;"",'Raw data'!AO177&lt;&gt;"",UPPER(TRIM('Real results'!C177))=UPPER(TRIM('Raw data'!AO177))),2,0),0)</f>
        <v>0</v>
      </c>
      <c r="AP182" s="39"/>
      <c r="AQ182" s="41">
        <f>IFERROR(IF(AND('Real results'!C177&lt;&gt;"",'Raw data'!AQ177&lt;&gt;"",UPPER(TRIM('Real results'!C177))=UPPER(TRIM('Raw data'!AQ177))),2,0),0)</f>
        <v>0</v>
      </c>
      <c r="AR182" s="39"/>
      <c r="AS182" s="41">
        <f>IFERROR(IF(AND('Real results'!C177&lt;&gt;"",'Raw data'!AS177&lt;&gt;"",UPPER(TRIM('Real results'!C177))=UPPER(TRIM('Raw data'!AS177))),2,0),0)</f>
        <v>0</v>
      </c>
      <c r="AT182" s="39"/>
      <c r="AU182" s="41">
        <f>IFERROR(IF(AND('Real results'!C177&lt;&gt;"",'Raw data'!AU177&lt;&gt;"",UPPER(TRIM('Real results'!C177))=UPPER(TRIM('Raw data'!AU177))),2,0),0)</f>
        <v>0</v>
      </c>
      <c r="AV182" s="39"/>
      <c r="AW182" s="41">
        <f>IFERROR(IF(AND('Real results'!C177&lt;&gt;"",'Raw data'!AW177&lt;&gt;"",UPPER(TRIM('Real results'!C177))=UPPER(TRIM('Raw data'!AW177))),2,0),0)</f>
        <v>0</v>
      </c>
      <c r="AX182" s="39"/>
      <c r="AY182" s="41">
        <f>IFERROR(IF(AND('Real results'!C177&lt;&gt;"",'Raw data'!AY177&lt;&gt;"",UPPER(TRIM('Real results'!C177))=UPPER(TRIM('Raw data'!AY177))),2,0),0)</f>
        <v>0</v>
      </c>
      <c r="AZ182" s="39"/>
      <c r="BA182" s="41">
        <f>IFERROR(IF(AND('Real results'!C177&lt;&gt;"",'Raw data'!BA177&lt;&gt;"",UPPER(TRIM('Real results'!C177))=UPPER(TRIM('Raw data'!BA177))),2,0),0)</f>
        <v>0</v>
      </c>
      <c r="BB182" s="39"/>
      <c r="BC182" s="41">
        <f>IFERROR(IF(AND('Real results'!C177&lt;&gt;"",'Raw data'!BC177&lt;&gt;"",UPPER(TRIM('Real results'!C177))=UPPER(TRIM('Raw data'!BC177))),2,0),0)</f>
        <v>0</v>
      </c>
      <c r="BD182" s="39"/>
      <c r="BE182" s="41">
        <f>IFERROR(IF(AND('Real results'!C177&lt;&gt;"",'Raw data'!BE177&lt;&gt;"",UPPER(TRIM('Real results'!C177))=UPPER(TRIM('Raw data'!BE177))),2,0),0)</f>
        <v>0</v>
      </c>
      <c r="BF182" s="39"/>
      <c r="BG182" s="41">
        <f>IFERROR(IF(AND('Real results'!C177&lt;&gt;"",'Raw data'!BG177&lt;&gt;"",UPPER(TRIM('Real results'!C177))=UPPER(TRIM('Raw data'!BG177))),2,0),0)</f>
        <v>0</v>
      </c>
      <c r="BH182" s="39"/>
      <c r="BI182" s="41">
        <f>IFERROR(IF(AND('Real results'!C177&lt;&gt;"",'Raw data'!BI177&lt;&gt;"",UPPER(TRIM('Real results'!C177))=UPPER(TRIM('Raw data'!BI177))),2,0),0)</f>
        <v>0</v>
      </c>
    </row>
    <row r="183" ht="18.0" customHeight="1">
      <c r="A183" s="36"/>
      <c r="B183" s="40" t="s">
        <v>474</v>
      </c>
      <c r="C183" s="41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D183" s="39"/>
      <c r="E183" s="41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F183" s="39"/>
      <c r="G183" s="41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H183" s="39"/>
      <c r="I183" s="41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J183" s="39"/>
      <c r="K183" s="41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L183" s="39"/>
      <c r="M183" s="41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N183" s="39"/>
      <c r="O183" s="41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P183" s="39"/>
      <c r="Q183" s="41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R183" s="39"/>
      <c r="S183" s="41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T183" s="39"/>
      <c r="U183" s="41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V183" s="39"/>
      <c r="W183" s="41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X183" s="39"/>
      <c r="Y183" s="41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Z183" s="39"/>
      <c r="AA183" s="41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B183" s="39"/>
      <c r="AC183" s="41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D183" s="39"/>
      <c r="AE183" s="41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39"/>
      <c r="AG183" s="41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H183" s="39"/>
      <c r="AI183" s="41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39"/>
      <c r="AK183" s="41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L183" s="39"/>
      <c r="AM183" s="41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N183" s="39"/>
      <c r="AO183" s="41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P183" s="39"/>
      <c r="AQ183" s="41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39"/>
      <c r="AS183" s="41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T183" s="39"/>
      <c r="AU183" s="41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V183" s="39"/>
      <c r="AW183" s="41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X183" s="39"/>
      <c r="AY183" s="41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AZ183" s="39"/>
      <c r="BA183" s="41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B183" s="39"/>
      <c r="BC183" s="41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D183" s="39"/>
      <c r="BE183" s="41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F183" s="39"/>
      <c r="BG183" s="41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39"/>
      <c r="BI183" s="41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6"/>
      <c r="B184" s="40" t="s">
        <v>475</v>
      </c>
      <c r="C184" s="44">
        <f>0</f>
        <v>0</v>
      </c>
      <c r="D184" s="39"/>
      <c r="E184" s="41">
        <f>0</f>
        <v>0</v>
      </c>
      <c r="F184" s="39"/>
      <c r="G184" s="41">
        <f>0</f>
        <v>0</v>
      </c>
      <c r="H184" s="39"/>
      <c r="I184" s="41">
        <f>0</f>
        <v>0</v>
      </c>
      <c r="J184" s="39"/>
      <c r="K184" s="41">
        <f>0</f>
        <v>0</v>
      </c>
      <c r="L184" s="39"/>
      <c r="M184" s="41">
        <f>0</f>
        <v>0</v>
      </c>
      <c r="N184" s="39"/>
      <c r="O184" s="41">
        <f>0</f>
        <v>0</v>
      </c>
      <c r="P184" s="39"/>
      <c r="Q184" s="41">
        <f>0</f>
        <v>0</v>
      </c>
      <c r="R184" s="39"/>
      <c r="S184" s="41">
        <f>0</f>
        <v>0</v>
      </c>
      <c r="T184" s="39"/>
      <c r="U184" s="41">
        <f>0</f>
        <v>0</v>
      </c>
      <c r="V184" s="39"/>
      <c r="W184" s="41">
        <f>0</f>
        <v>0</v>
      </c>
      <c r="X184" s="39"/>
      <c r="Y184" s="41">
        <f>0</f>
        <v>0</v>
      </c>
      <c r="Z184" s="39"/>
      <c r="AA184" s="41">
        <f>0</f>
        <v>0</v>
      </c>
      <c r="AB184" s="39"/>
      <c r="AC184" s="41">
        <f>0</f>
        <v>0</v>
      </c>
      <c r="AD184" s="39"/>
      <c r="AE184" s="41">
        <f>0</f>
        <v>0</v>
      </c>
      <c r="AF184" s="39"/>
      <c r="AG184" s="41">
        <f>0</f>
        <v>0</v>
      </c>
      <c r="AH184" s="39"/>
      <c r="AI184" s="41">
        <f>0</f>
        <v>0</v>
      </c>
      <c r="AJ184" s="39"/>
      <c r="AK184" s="41">
        <f>0</f>
        <v>0</v>
      </c>
      <c r="AL184" s="39"/>
      <c r="AM184" s="41">
        <f>0</f>
        <v>0</v>
      </c>
      <c r="AN184" s="39"/>
      <c r="AO184" s="41">
        <f>0</f>
        <v>0</v>
      </c>
      <c r="AP184" s="39"/>
      <c r="AQ184" s="41">
        <f>0</f>
        <v>0</v>
      </c>
      <c r="AR184" s="39"/>
      <c r="AS184" s="41">
        <f>0</f>
        <v>0</v>
      </c>
      <c r="AT184" s="39"/>
      <c r="AU184" s="41">
        <f>0</f>
        <v>0</v>
      </c>
      <c r="AV184" s="39"/>
      <c r="AW184" s="41">
        <f>0</f>
        <v>0</v>
      </c>
      <c r="AX184" s="39"/>
      <c r="AY184" s="41">
        <f>0</f>
        <v>0</v>
      </c>
      <c r="AZ184" s="39"/>
      <c r="BA184" s="41">
        <f>0</f>
        <v>0</v>
      </c>
      <c r="BB184" s="39"/>
      <c r="BC184" s="41">
        <f>0</f>
        <v>0</v>
      </c>
      <c r="BD184" s="39"/>
      <c r="BE184" s="41">
        <f>0</f>
        <v>0</v>
      </c>
      <c r="BF184" s="39"/>
      <c r="BG184" s="41">
        <f>IFERROR(IF(AND('Real results'!C179&lt;&gt;"",'Raw data'!BG179&lt;&gt;"",UPPER(TRIM('Real results'!C179))=UPPER(TRIM('Raw data'!BG179))),1,0),0)</f>
        <v>0</v>
      </c>
      <c r="BH184" s="39"/>
      <c r="BI184" s="41">
        <f>IFERROR(IF(AND('Real results'!C179&lt;&gt;"",'Raw data'!BI179&lt;&gt;"",UPPER(TRIM('Real results'!C179))=UPPER(TRIM('Raw data'!BI179))),1,0),0)</f>
        <v>0</v>
      </c>
    </row>
    <row r="185" ht="18.0" customHeight="1">
      <c r="A185" s="36"/>
      <c r="B185" s="40" t="s">
        <v>476</v>
      </c>
      <c r="C185" s="41">
        <f>IFERROR(IF(AND('Real results'!C180&lt;&gt;"",'Raw data'!C180&lt;&gt;"",UPPER(TRIM('Real results'!C180))=UPPER(TRIM('Raw data'!C180))),2,0),0)</f>
        <v>0</v>
      </c>
      <c r="D185" s="39"/>
      <c r="E185" s="41">
        <f>IFERROR(IF(AND('Real results'!C180&lt;&gt;"",'Raw data'!E180&lt;&gt;"",UPPER(TRIM('Real results'!C180))=UPPER(TRIM('Raw data'!E180))),2,0),0)</f>
        <v>0</v>
      </c>
      <c r="F185" s="39"/>
      <c r="G185" s="41">
        <f>IFERROR(IF(AND('Real results'!C180&lt;&gt;"",'Raw data'!G180&lt;&gt;"",UPPER(TRIM('Real results'!C180))=UPPER(TRIM('Raw data'!G180))),2,0),0)</f>
        <v>0</v>
      </c>
      <c r="H185" s="39"/>
      <c r="I185" s="41">
        <f>IFERROR(IF(AND('Real results'!C180&lt;&gt;"",'Raw data'!I180&lt;&gt;"",UPPER(TRIM('Real results'!C180))=UPPER(TRIM('Raw data'!I180))),2,0),0)</f>
        <v>0</v>
      </c>
      <c r="J185" s="39"/>
      <c r="K185" s="41">
        <f>IFERROR(IF(AND('Real results'!C180&lt;&gt;"",'Raw data'!K180&lt;&gt;"",UPPER(TRIM('Real results'!C180))=UPPER(TRIM('Raw data'!K180))),2,0),0)</f>
        <v>0</v>
      </c>
      <c r="L185" s="39"/>
      <c r="M185" s="41">
        <f>IFERROR(IF(AND('Real results'!C180&lt;&gt;"",'Raw data'!M180&lt;&gt;"",UPPER(TRIM('Real results'!C180))=UPPER(TRIM('Raw data'!M180))),2,0),0)</f>
        <v>0</v>
      </c>
      <c r="N185" s="39"/>
      <c r="O185" s="41">
        <f>IFERROR(IF(AND('Real results'!C180&lt;&gt;"",'Raw data'!O180&lt;&gt;"",UPPER(TRIM('Real results'!C180))=UPPER(TRIM('Raw data'!O180))),2,0),0)</f>
        <v>0</v>
      </c>
      <c r="P185" s="39"/>
      <c r="Q185" s="41">
        <f>IFERROR(IF(AND('Real results'!C180&lt;&gt;"",'Raw data'!Q180&lt;&gt;"",UPPER(TRIM('Real results'!C180))=UPPER(TRIM('Raw data'!Q180))),2,0),0)</f>
        <v>0</v>
      </c>
      <c r="R185" s="39"/>
      <c r="S185" s="41">
        <f>IFERROR(IF(AND('Real results'!C180&lt;&gt;"",'Raw data'!S180&lt;&gt;"",UPPER(TRIM('Real results'!C180))=UPPER(TRIM('Raw data'!S180))),2,0),0)</f>
        <v>0</v>
      </c>
      <c r="T185" s="39"/>
      <c r="U185" s="41">
        <f>IFERROR(IF(AND('Real results'!C180&lt;&gt;"",'Raw data'!U180&lt;&gt;"",UPPER(TRIM('Real results'!C180))=UPPER(TRIM('Raw data'!U180))),2,0),0)</f>
        <v>0</v>
      </c>
      <c r="V185" s="39"/>
      <c r="W185" s="41">
        <f>IFERROR(IF(AND('Real results'!C180&lt;&gt;"",'Raw data'!W180&lt;&gt;"",UPPER(TRIM('Real results'!C180))=UPPER(TRIM('Raw data'!W180))),2,0),0)</f>
        <v>0</v>
      </c>
      <c r="X185" s="39"/>
      <c r="Y185" s="41">
        <f>IFERROR(IF(AND('Real results'!C180&lt;&gt;"",'Raw data'!Y180&lt;&gt;"",UPPER(TRIM('Real results'!C180))=UPPER(TRIM('Raw data'!Y180))),2,0),0)</f>
        <v>0</v>
      </c>
      <c r="Z185" s="39"/>
      <c r="AA185" s="41">
        <f>IFERROR(IF(AND('Real results'!C180&lt;&gt;"",'Raw data'!AA180&lt;&gt;"",UPPER(TRIM('Real results'!C180))=UPPER(TRIM('Raw data'!AA180))),2,0),0)</f>
        <v>0</v>
      </c>
      <c r="AB185" s="39"/>
      <c r="AC185" s="41">
        <f>IFERROR(IF(AND('Real results'!C180&lt;&gt;"",'Raw data'!AC180&lt;&gt;"",UPPER(TRIM('Real results'!C180))=UPPER(TRIM('Raw data'!AC180))),2,0),0)</f>
        <v>0</v>
      </c>
      <c r="AD185" s="39"/>
      <c r="AE185" s="41">
        <f>IFERROR(IF(AND('Real results'!C180&lt;&gt;"",'Raw data'!AE180&lt;&gt;"",UPPER(TRIM('Real results'!C180))=UPPER(TRIM('Raw data'!AE180))),2,0),0)</f>
        <v>0</v>
      </c>
      <c r="AF185" s="39"/>
      <c r="AG185" s="41">
        <f>IFERROR(IF(AND('Real results'!C180&lt;&gt;"",'Raw data'!AG180&lt;&gt;"",UPPER(TRIM('Real results'!C180))=UPPER(TRIM('Raw data'!AG180))),2,0),0)</f>
        <v>0</v>
      </c>
      <c r="AH185" s="39"/>
      <c r="AI185" s="41">
        <f>IFERROR(IF(AND('Real results'!C180&lt;&gt;"",'Raw data'!AI180&lt;&gt;"",UPPER(TRIM('Real results'!C180))=UPPER(TRIM('Raw data'!AI180))),2,0),0)</f>
        <v>0</v>
      </c>
      <c r="AJ185" s="39"/>
      <c r="AK185" s="41">
        <f>IFERROR(IF(AND('Real results'!C180&lt;&gt;"",'Raw data'!AK180&lt;&gt;"",UPPER(TRIM('Real results'!C180))=UPPER(TRIM('Raw data'!AK180))),2,0),0)</f>
        <v>0</v>
      </c>
      <c r="AL185" s="39"/>
      <c r="AM185" s="41">
        <f>IFERROR(IF(AND('Real results'!C180&lt;&gt;"",'Raw data'!AM180&lt;&gt;"",UPPER(TRIM('Real results'!C180))=UPPER(TRIM('Raw data'!AM180))),2,0),0)</f>
        <v>0</v>
      </c>
      <c r="AN185" s="39"/>
      <c r="AO185" s="41">
        <f>IFERROR(IF(AND('Real results'!C180&lt;&gt;"",'Raw data'!AO180&lt;&gt;"",UPPER(TRIM('Real results'!C180))=UPPER(TRIM('Raw data'!AO180))),2,0),0)</f>
        <v>0</v>
      </c>
      <c r="AP185" s="39"/>
      <c r="AQ185" s="41">
        <f>IFERROR(IF(AND('Real results'!C180&lt;&gt;"",'Raw data'!AQ180&lt;&gt;"",UPPER(TRIM('Real results'!C180))=UPPER(TRIM('Raw data'!AQ180))),2,0),0)</f>
        <v>0</v>
      </c>
      <c r="AR185" s="39"/>
      <c r="AS185" s="41">
        <f>IFERROR(IF(AND('Real results'!C180&lt;&gt;"",'Raw data'!AS180&lt;&gt;"",UPPER(TRIM('Real results'!C180))=UPPER(TRIM('Raw data'!AS180))),2,0),0)</f>
        <v>0</v>
      </c>
      <c r="AT185" s="39"/>
      <c r="AU185" s="41">
        <f>IFERROR(IF(AND('Real results'!C180&lt;&gt;"",'Raw data'!AU180&lt;&gt;"",UPPER(TRIM('Real results'!C180))=UPPER(TRIM('Raw data'!AU180))),2,0),0)</f>
        <v>0</v>
      </c>
      <c r="AV185" s="39"/>
      <c r="AW185" s="41">
        <f>IFERROR(IF(AND('Real results'!C180&lt;&gt;"",'Raw data'!AW180&lt;&gt;"",UPPER(TRIM('Real results'!C180))=UPPER(TRIM('Raw data'!AW180))),2,0),0)</f>
        <v>0</v>
      </c>
      <c r="AX185" s="39"/>
      <c r="AY185" s="41">
        <f>IFERROR(IF(AND('Real results'!C180&lt;&gt;"",'Raw data'!AY180&lt;&gt;"",UPPER(TRIM('Real results'!C180))=UPPER(TRIM('Raw data'!AY180))),2,0),0)</f>
        <v>0</v>
      </c>
      <c r="AZ185" s="39"/>
      <c r="BA185" s="41">
        <f>IFERROR(IF(AND('Real results'!C180&lt;&gt;"",'Raw data'!BA180&lt;&gt;"",UPPER(TRIM('Real results'!C180))=UPPER(TRIM('Raw data'!BA180))),2,0),0)</f>
        <v>0</v>
      </c>
      <c r="BB185" s="39"/>
      <c r="BC185" s="41">
        <f>IFERROR(IF(AND('Real results'!C180&lt;&gt;"",'Raw data'!BC180&lt;&gt;"",UPPER(TRIM('Real results'!C180))=UPPER(TRIM('Raw data'!BC180))),2,0),0)</f>
        <v>0</v>
      </c>
      <c r="BD185" s="39"/>
      <c r="BE185" s="41">
        <f>IFERROR(IF(AND('Real results'!C180&lt;&gt;"",'Raw data'!BE180&lt;&gt;"",UPPER(TRIM('Real results'!C180))=UPPER(TRIM('Raw data'!BE180))),2,0),0)</f>
        <v>0</v>
      </c>
      <c r="BF185" s="39"/>
      <c r="BG185" s="41">
        <f>IFERROR(IF(AND('Real results'!C180&lt;&gt;"",'Raw data'!BG180&lt;&gt;"",UPPER(TRIM('Real results'!C180))=UPPER(TRIM('Raw data'!BG180))),2,0),0)</f>
        <v>0</v>
      </c>
      <c r="BH185" s="39"/>
      <c r="BI185" s="41">
        <f>IFERROR(IF(AND('Real results'!C180&lt;&gt;"",'Raw data'!BI180&lt;&gt;"",UPPER(TRIM('Real results'!C180))=UPPER(TRIM('Raw data'!BI180))),2,0),0)</f>
        <v>0</v>
      </c>
    </row>
    <row r="186" ht="18.0" customHeight="1">
      <c r="A186" s="36"/>
      <c r="B186" s="40" t="s">
        <v>477</v>
      </c>
      <c r="C186" s="41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39"/>
      <c r="E186" s="41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39"/>
      <c r="G186" s="41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39"/>
      <c r="I186" s="41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39"/>
      <c r="K186" s="41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39"/>
      <c r="M186" s="41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39"/>
      <c r="O186" s="41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39"/>
      <c r="Q186" s="41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39"/>
      <c r="S186" s="41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39"/>
      <c r="U186" s="41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39"/>
      <c r="W186" s="41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39"/>
      <c r="Y186" s="41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39"/>
      <c r="AA186" s="41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39"/>
      <c r="AC186" s="41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39"/>
      <c r="AE186" s="41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39"/>
      <c r="AG186" s="41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39"/>
      <c r="AI186" s="41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39"/>
      <c r="AK186" s="41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39"/>
      <c r="AM186" s="41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39"/>
      <c r="AO186" s="41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39"/>
      <c r="AQ186" s="41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39"/>
      <c r="AS186" s="41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39"/>
      <c r="AU186" s="41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39"/>
      <c r="AW186" s="41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39"/>
      <c r="AY186" s="41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39"/>
      <c r="BA186" s="41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39"/>
      <c r="BC186" s="41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39"/>
      <c r="BE186" s="41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39"/>
      <c r="BG186" s="41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39"/>
      <c r="BI186" s="41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6"/>
      <c r="B187" s="40" t="s">
        <v>478</v>
      </c>
      <c r="C187" s="44">
        <f>0</f>
        <v>0</v>
      </c>
      <c r="D187" s="39"/>
      <c r="E187" s="41">
        <f>0</f>
        <v>0</v>
      </c>
      <c r="F187" s="39"/>
      <c r="G187" s="41">
        <f>0</f>
        <v>0</v>
      </c>
      <c r="H187" s="39"/>
      <c r="I187" s="41">
        <f>0</f>
        <v>0</v>
      </c>
      <c r="J187" s="39"/>
      <c r="K187" s="41">
        <f>0</f>
        <v>0</v>
      </c>
      <c r="L187" s="39"/>
      <c r="M187" s="41">
        <f>0</f>
        <v>0</v>
      </c>
      <c r="N187" s="39"/>
      <c r="O187" s="41">
        <f>0</f>
        <v>0</v>
      </c>
      <c r="P187" s="39"/>
      <c r="Q187" s="41">
        <f>0</f>
        <v>0</v>
      </c>
      <c r="R187" s="39"/>
      <c r="S187" s="41">
        <f>0</f>
        <v>0</v>
      </c>
      <c r="T187" s="39"/>
      <c r="U187" s="41">
        <f>0</f>
        <v>0</v>
      </c>
      <c r="V187" s="39"/>
      <c r="W187" s="41">
        <f>0</f>
        <v>0</v>
      </c>
      <c r="X187" s="39"/>
      <c r="Y187" s="41">
        <f>0</f>
        <v>0</v>
      </c>
      <c r="Z187" s="39"/>
      <c r="AA187" s="41">
        <f>0</f>
        <v>0</v>
      </c>
      <c r="AB187" s="39"/>
      <c r="AC187" s="41">
        <f>0</f>
        <v>0</v>
      </c>
      <c r="AD187" s="39"/>
      <c r="AE187" s="41">
        <f>0</f>
        <v>0</v>
      </c>
      <c r="AF187" s="39"/>
      <c r="AG187" s="41">
        <f>0</f>
        <v>0</v>
      </c>
      <c r="AH187" s="39"/>
      <c r="AI187" s="41">
        <f>0</f>
        <v>0</v>
      </c>
      <c r="AJ187" s="39"/>
      <c r="AK187" s="41">
        <f>0</f>
        <v>0</v>
      </c>
      <c r="AL187" s="39"/>
      <c r="AM187" s="41">
        <f>0</f>
        <v>0</v>
      </c>
      <c r="AN187" s="39"/>
      <c r="AO187" s="41">
        <f>0</f>
        <v>0</v>
      </c>
      <c r="AP187" s="39"/>
      <c r="AQ187" s="41">
        <f>0</f>
        <v>0</v>
      </c>
      <c r="AR187" s="39"/>
      <c r="AS187" s="41">
        <f>0</f>
        <v>0</v>
      </c>
      <c r="AT187" s="39"/>
      <c r="AU187" s="41">
        <f>0</f>
        <v>0</v>
      </c>
      <c r="AV187" s="39"/>
      <c r="AW187" s="41">
        <f>0</f>
        <v>0</v>
      </c>
      <c r="AX187" s="39"/>
      <c r="AY187" s="41">
        <f>0</f>
        <v>0</v>
      </c>
      <c r="AZ187" s="39"/>
      <c r="BA187" s="41">
        <f>0</f>
        <v>0</v>
      </c>
      <c r="BB187" s="39"/>
      <c r="BC187" s="41">
        <f>0</f>
        <v>0</v>
      </c>
      <c r="BD187" s="39"/>
      <c r="BE187" s="41">
        <f>0</f>
        <v>0</v>
      </c>
      <c r="BF187" s="39"/>
      <c r="BG187" s="41">
        <f>IFERROR(IF(AND('Real results'!C182&lt;&gt;"",'Raw data'!BG182&lt;&gt;"",UPPER(TRIM('Real results'!C182))=UPPER(TRIM('Raw data'!BG182))),1,0),0)</f>
        <v>0</v>
      </c>
      <c r="BH187" s="39"/>
      <c r="BI187" s="41">
        <f>IFERROR(IF(AND('Real results'!C182&lt;&gt;"",'Raw data'!BI182&lt;&gt;"",UPPER(TRIM('Real results'!C182))=UPPER(TRIM('Raw data'!BI182))),1,0),0)</f>
        <v>0</v>
      </c>
    </row>
    <row r="188" ht="18.0" customHeight="1">
      <c r="A188" s="36"/>
      <c r="B188" s="40" t="s">
        <v>479</v>
      </c>
      <c r="C188" s="41">
        <f>IFERROR(IF(AND('Real results'!C183&lt;&gt;"",'Raw data'!C183&lt;&gt;"",UPPER(TRIM('Real results'!C183))=UPPER(TRIM('Raw data'!C183))),2,0),0)</f>
        <v>0</v>
      </c>
      <c r="D188" s="39"/>
      <c r="E188" s="41">
        <f>IFERROR(IF(AND('Real results'!C183&lt;&gt;"",'Raw data'!E183&lt;&gt;"",UPPER(TRIM('Real results'!C183))=UPPER(TRIM('Raw data'!E183))),2,0),0)</f>
        <v>0</v>
      </c>
      <c r="F188" s="39"/>
      <c r="G188" s="41">
        <f>IFERROR(IF(AND('Real results'!C183&lt;&gt;"",'Raw data'!G183&lt;&gt;"",UPPER(TRIM('Real results'!C183))=UPPER(TRIM('Raw data'!G183))),2,0),0)</f>
        <v>0</v>
      </c>
      <c r="H188" s="39"/>
      <c r="I188" s="41">
        <f>IFERROR(IF(AND('Real results'!C183&lt;&gt;"",'Raw data'!I183&lt;&gt;"",UPPER(TRIM('Real results'!C183))=UPPER(TRIM('Raw data'!I183))),2,0),0)</f>
        <v>0</v>
      </c>
      <c r="J188" s="39"/>
      <c r="K188" s="41">
        <f>IFERROR(IF(AND('Real results'!C183&lt;&gt;"",'Raw data'!K183&lt;&gt;"",UPPER(TRIM('Real results'!C183))=UPPER(TRIM('Raw data'!K183))),2,0),0)</f>
        <v>0</v>
      </c>
      <c r="L188" s="39"/>
      <c r="M188" s="41">
        <f>IFERROR(IF(AND('Real results'!C183&lt;&gt;"",'Raw data'!M183&lt;&gt;"",UPPER(TRIM('Real results'!C183))=UPPER(TRIM('Raw data'!M183))),2,0),0)</f>
        <v>0</v>
      </c>
      <c r="N188" s="39"/>
      <c r="O188" s="41">
        <f>IFERROR(IF(AND('Real results'!C183&lt;&gt;"",'Raw data'!O183&lt;&gt;"",UPPER(TRIM('Real results'!C183))=UPPER(TRIM('Raw data'!O183))),2,0),0)</f>
        <v>0</v>
      </c>
      <c r="P188" s="39"/>
      <c r="Q188" s="41">
        <f>IFERROR(IF(AND('Real results'!C183&lt;&gt;"",'Raw data'!Q183&lt;&gt;"",UPPER(TRIM('Real results'!C183))=UPPER(TRIM('Raw data'!Q183))),2,0),0)</f>
        <v>0</v>
      </c>
      <c r="R188" s="39"/>
      <c r="S188" s="41">
        <f>IFERROR(IF(AND('Real results'!C183&lt;&gt;"",'Raw data'!S183&lt;&gt;"",UPPER(TRIM('Real results'!C183))=UPPER(TRIM('Raw data'!S183))),2,0),0)</f>
        <v>0</v>
      </c>
      <c r="T188" s="39"/>
      <c r="U188" s="41">
        <f>IFERROR(IF(AND('Real results'!C183&lt;&gt;"",'Raw data'!U183&lt;&gt;"",UPPER(TRIM('Real results'!C183))=UPPER(TRIM('Raw data'!U183))),2,0),0)</f>
        <v>0</v>
      </c>
      <c r="V188" s="39"/>
      <c r="W188" s="41">
        <f>IFERROR(IF(AND('Real results'!C183&lt;&gt;"",'Raw data'!W183&lt;&gt;"",UPPER(TRIM('Real results'!C183))=UPPER(TRIM('Raw data'!W183))),2,0),0)</f>
        <v>0</v>
      </c>
      <c r="X188" s="39"/>
      <c r="Y188" s="41">
        <f>IFERROR(IF(AND('Real results'!C183&lt;&gt;"",'Raw data'!Y183&lt;&gt;"",UPPER(TRIM('Real results'!C183))=UPPER(TRIM('Raw data'!Y183))),2,0),0)</f>
        <v>0</v>
      </c>
      <c r="Z188" s="39"/>
      <c r="AA188" s="41">
        <f>IFERROR(IF(AND('Real results'!C183&lt;&gt;"",'Raw data'!AA183&lt;&gt;"",UPPER(TRIM('Real results'!C183))=UPPER(TRIM('Raw data'!AA183))),2,0),0)</f>
        <v>0</v>
      </c>
      <c r="AB188" s="39"/>
      <c r="AC188" s="41">
        <f>IFERROR(IF(AND('Real results'!C183&lt;&gt;"",'Raw data'!AC183&lt;&gt;"",UPPER(TRIM('Real results'!C183))=UPPER(TRIM('Raw data'!AC183))),2,0),0)</f>
        <v>0</v>
      </c>
      <c r="AD188" s="39"/>
      <c r="AE188" s="41">
        <f>IFERROR(IF(AND('Real results'!C183&lt;&gt;"",'Raw data'!AE183&lt;&gt;"",UPPER(TRIM('Real results'!C183))=UPPER(TRIM('Raw data'!AE183))),2,0),0)</f>
        <v>0</v>
      </c>
      <c r="AF188" s="39"/>
      <c r="AG188" s="41">
        <f>IFERROR(IF(AND('Real results'!C183&lt;&gt;"",'Raw data'!AG183&lt;&gt;"",UPPER(TRIM('Real results'!C183))=UPPER(TRIM('Raw data'!AG183))),2,0),0)</f>
        <v>0</v>
      </c>
      <c r="AH188" s="39"/>
      <c r="AI188" s="41">
        <f>IFERROR(IF(AND('Real results'!C183&lt;&gt;"",'Raw data'!AI183&lt;&gt;"",UPPER(TRIM('Real results'!C183))=UPPER(TRIM('Raw data'!AI183))),2,0),0)</f>
        <v>0</v>
      </c>
      <c r="AJ188" s="39"/>
      <c r="AK188" s="41">
        <f>IFERROR(IF(AND('Real results'!C183&lt;&gt;"",'Raw data'!AK183&lt;&gt;"",UPPER(TRIM('Real results'!C183))=UPPER(TRIM('Raw data'!AK183))),2,0),0)</f>
        <v>0</v>
      </c>
      <c r="AL188" s="39"/>
      <c r="AM188" s="41">
        <f>IFERROR(IF(AND('Real results'!C183&lt;&gt;"",'Raw data'!AM183&lt;&gt;"",UPPER(TRIM('Real results'!C183))=UPPER(TRIM('Raw data'!AM183))),2,0),0)</f>
        <v>0</v>
      </c>
      <c r="AN188" s="39"/>
      <c r="AO188" s="41">
        <f>IFERROR(IF(AND('Real results'!C183&lt;&gt;"",'Raw data'!AO183&lt;&gt;"",UPPER(TRIM('Real results'!C183))=UPPER(TRIM('Raw data'!AO183))),2,0),0)</f>
        <v>0</v>
      </c>
      <c r="AP188" s="39"/>
      <c r="AQ188" s="41">
        <f>IFERROR(IF(AND('Real results'!C183&lt;&gt;"",'Raw data'!AQ183&lt;&gt;"",UPPER(TRIM('Real results'!C183))=UPPER(TRIM('Raw data'!AQ183))),2,0),0)</f>
        <v>0</v>
      </c>
      <c r="AR188" s="39"/>
      <c r="AS188" s="41">
        <f>IFERROR(IF(AND('Real results'!C183&lt;&gt;"",'Raw data'!AS183&lt;&gt;"",UPPER(TRIM('Real results'!C183))=UPPER(TRIM('Raw data'!AS183))),2,0),0)</f>
        <v>0</v>
      </c>
      <c r="AT188" s="39"/>
      <c r="AU188" s="41">
        <f>IFERROR(IF(AND('Real results'!C183&lt;&gt;"",'Raw data'!AU183&lt;&gt;"",UPPER(TRIM('Real results'!C183))=UPPER(TRIM('Raw data'!AU183))),2,0),0)</f>
        <v>0</v>
      </c>
      <c r="AV188" s="39"/>
      <c r="AW188" s="41">
        <f>IFERROR(IF(AND('Real results'!C183&lt;&gt;"",'Raw data'!AW183&lt;&gt;"",UPPER(TRIM('Real results'!C183))=UPPER(TRIM('Raw data'!AW183))),2,0),0)</f>
        <v>0</v>
      </c>
      <c r="AX188" s="39"/>
      <c r="AY188" s="41">
        <f>IFERROR(IF(AND('Real results'!C183&lt;&gt;"",'Raw data'!AY183&lt;&gt;"",UPPER(TRIM('Real results'!C183))=UPPER(TRIM('Raw data'!AY183))),2,0),0)</f>
        <v>0</v>
      </c>
      <c r="AZ188" s="39"/>
      <c r="BA188" s="41">
        <f>IFERROR(IF(AND('Real results'!C183&lt;&gt;"",'Raw data'!BA183&lt;&gt;"",UPPER(TRIM('Real results'!C183))=UPPER(TRIM('Raw data'!BA183))),2,0),0)</f>
        <v>0</v>
      </c>
      <c r="BB188" s="39"/>
      <c r="BC188" s="41">
        <f>IFERROR(IF(AND('Real results'!C183&lt;&gt;"",'Raw data'!BC183&lt;&gt;"",UPPER(TRIM('Real results'!C183))=UPPER(TRIM('Raw data'!BC183))),2,0),0)</f>
        <v>0</v>
      </c>
      <c r="BD188" s="39"/>
      <c r="BE188" s="41">
        <f>IFERROR(IF(AND('Real results'!C183&lt;&gt;"",'Raw data'!BE183&lt;&gt;"",UPPER(TRIM('Real results'!C183))=UPPER(TRIM('Raw data'!BE183))),2,0),0)</f>
        <v>0</v>
      </c>
      <c r="BF188" s="39"/>
      <c r="BG188" s="41">
        <f>IFERROR(IF(AND('Real results'!C183&lt;&gt;"",'Raw data'!BG183&lt;&gt;"",UPPER(TRIM('Real results'!C183))=UPPER(TRIM('Raw data'!BG183))),2,0),0)</f>
        <v>0</v>
      </c>
      <c r="BH188" s="39"/>
      <c r="BI188" s="41">
        <f>IFERROR(IF(AND('Real results'!C183&lt;&gt;"",'Raw data'!BI183&lt;&gt;"",UPPER(TRIM('Real results'!C183))=UPPER(TRIM('Raw data'!BI183))),2,0),0)</f>
        <v>0</v>
      </c>
    </row>
    <row r="189" ht="18.0" customHeight="1">
      <c r="A189" s="36"/>
      <c r="B189" s="40" t="s">
        <v>480</v>
      </c>
      <c r="C189" s="41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39"/>
      <c r="E189" s="41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39"/>
      <c r="G189" s="41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39"/>
      <c r="I189" s="41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39"/>
      <c r="K189" s="41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39"/>
      <c r="M189" s="41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39"/>
      <c r="O189" s="41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39"/>
      <c r="Q189" s="41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39"/>
      <c r="S189" s="41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39"/>
      <c r="U189" s="41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39"/>
      <c r="W189" s="41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39"/>
      <c r="Y189" s="41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39"/>
      <c r="AA189" s="41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39"/>
      <c r="AC189" s="41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39"/>
      <c r="AE189" s="41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39"/>
      <c r="AG189" s="41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39"/>
      <c r="AI189" s="41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39"/>
      <c r="AK189" s="41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39"/>
      <c r="AM189" s="41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39"/>
      <c r="AO189" s="41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39"/>
      <c r="AQ189" s="41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39"/>
      <c r="AS189" s="41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39"/>
      <c r="AU189" s="41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39"/>
      <c r="AW189" s="41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39"/>
      <c r="AY189" s="41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39"/>
      <c r="BA189" s="41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39"/>
      <c r="BC189" s="41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39"/>
      <c r="BE189" s="41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39"/>
      <c r="BG189" s="41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39"/>
      <c r="BI189" s="41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6"/>
      <c r="B190" s="40" t="s">
        <v>481</v>
      </c>
      <c r="C190" s="44">
        <f>0</f>
        <v>0</v>
      </c>
      <c r="D190" s="39"/>
      <c r="E190" s="41">
        <f>0</f>
        <v>0</v>
      </c>
      <c r="F190" s="39"/>
      <c r="G190" s="41">
        <f>0</f>
        <v>0</v>
      </c>
      <c r="H190" s="39"/>
      <c r="I190" s="41">
        <f>0</f>
        <v>0</v>
      </c>
      <c r="J190" s="39"/>
      <c r="K190" s="41">
        <f>0</f>
        <v>0</v>
      </c>
      <c r="L190" s="39"/>
      <c r="M190" s="41">
        <f>0</f>
        <v>0</v>
      </c>
      <c r="N190" s="39"/>
      <c r="O190" s="41">
        <f>0</f>
        <v>0</v>
      </c>
      <c r="P190" s="39"/>
      <c r="Q190" s="41">
        <f>0</f>
        <v>0</v>
      </c>
      <c r="R190" s="39"/>
      <c r="S190" s="41">
        <f>0</f>
        <v>0</v>
      </c>
      <c r="T190" s="39"/>
      <c r="U190" s="41">
        <f>0</f>
        <v>0</v>
      </c>
      <c r="V190" s="39"/>
      <c r="W190" s="41">
        <f>0</f>
        <v>0</v>
      </c>
      <c r="X190" s="39"/>
      <c r="Y190" s="41">
        <f>0</f>
        <v>0</v>
      </c>
      <c r="Z190" s="39"/>
      <c r="AA190" s="41">
        <f>0</f>
        <v>0</v>
      </c>
      <c r="AB190" s="39"/>
      <c r="AC190" s="41">
        <f>0</f>
        <v>0</v>
      </c>
      <c r="AD190" s="39"/>
      <c r="AE190" s="41">
        <f>0</f>
        <v>0</v>
      </c>
      <c r="AF190" s="39"/>
      <c r="AG190" s="41">
        <f>0</f>
        <v>0</v>
      </c>
      <c r="AH190" s="39"/>
      <c r="AI190" s="41">
        <f>0</f>
        <v>0</v>
      </c>
      <c r="AJ190" s="39"/>
      <c r="AK190" s="41">
        <f>0</f>
        <v>0</v>
      </c>
      <c r="AL190" s="39"/>
      <c r="AM190" s="41">
        <f>0</f>
        <v>0</v>
      </c>
      <c r="AN190" s="39"/>
      <c r="AO190" s="41">
        <f>0</f>
        <v>0</v>
      </c>
      <c r="AP190" s="39"/>
      <c r="AQ190" s="41">
        <f>0</f>
        <v>0</v>
      </c>
      <c r="AR190" s="39"/>
      <c r="AS190" s="41">
        <f>0</f>
        <v>0</v>
      </c>
      <c r="AT190" s="39"/>
      <c r="AU190" s="41">
        <f>0</f>
        <v>0</v>
      </c>
      <c r="AV190" s="39"/>
      <c r="AW190" s="41">
        <f>0</f>
        <v>0</v>
      </c>
      <c r="AX190" s="39"/>
      <c r="AY190" s="41">
        <f>0</f>
        <v>0</v>
      </c>
      <c r="AZ190" s="39"/>
      <c r="BA190" s="41">
        <f>0</f>
        <v>0</v>
      </c>
      <c r="BB190" s="39"/>
      <c r="BC190" s="41">
        <f>0</f>
        <v>0</v>
      </c>
      <c r="BD190" s="39"/>
      <c r="BE190" s="41">
        <f>0</f>
        <v>0</v>
      </c>
      <c r="BF190" s="39"/>
      <c r="BG190" s="41">
        <f>IFERROR(IF(AND('Real results'!C185&lt;&gt;"",'Raw data'!BG185&lt;&gt;"",UPPER(TRIM('Real results'!C185))=UPPER(TRIM('Raw data'!BG185))),1,0),0)</f>
        <v>0</v>
      </c>
      <c r="BH190" s="39"/>
      <c r="BI190" s="41">
        <f>IFERROR(IF(AND('Real results'!C185&lt;&gt;"",'Raw data'!BI185&lt;&gt;"",UPPER(TRIM('Real results'!C185))=UPPER(TRIM('Raw data'!BI185))),1,0),0)</f>
        <v>0</v>
      </c>
    </row>
    <row r="191" ht="18.0" customHeight="1">
      <c r="A191" s="36"/>
      <c r="B191" s="40" t="s">
        <v>482</v>
      </c>
      <c r="C191" s="41">
        <f>IFERROR(IF(AND('Real results'!C186&lt;&gt;"",'Raw data'!C186&lt;&gt;"",UPPER(TRIM('Real results'!C186))=UPPER(TRIM('Raw data'!C186))),2,0),0)</f>
        <v>0</v>
      </c>
      <c r="D191" s="39"/>
      <c r="E191" s="41">
        <f>IFERROR(IF(AND('Real results'!C186&lt;&gt;"",'Raw data'!E186&lt;&gt;"",UPPER(TRIM('Real results'!C186))=UPPER(TRIM('Raw data'!E186))),2,0),0)</f>
        <v>0</v>
      </c>
      <c r="F191" s="39"/>
      <c r="G191" s="41">
        <f>IFERROR(IF(AND('Real results'!C186&lt;&gt;"",'Raw data'!G186&lt;&gt;"",UPPER(TRIM('Real results'!C186))=UPPER(TRIM('Raw data'!G186))),2,0),0)</f>
        <v>0</v>
      </c>
      <c r="H191" s="39"/>
      <c r="I191" s="41">
        <f>IFERROR(IF(AND('Real results'!C186&lt;&gt;"",'Raw data'!I186&lt;&gt;"",UPPER(TRIM('Real results'!C186))=UPPER(TRIM('Raw data'!I186))),2,0),0)</f>
        <v>0</v>
      </c>
      <c r="J191" s="39"/>
      <c r="K191" s="41">
        <f>IFERROR(IF(AND('Real results'!C186&lt;&gt;"",'Raw data'!K186&lt;&gt;"",UPPER(TRIM('Real results'!C186))=UPPER(TRIM('Raw data'!K186))),2,0),0)</f>
        <v>0</v>
      </c>
      <c r="L191" s="39"/>
      <c r="M191" s="41">
        <f>IFERROR(IF(AND('Real results'!C186&lt;&gt;"",'Raw data'!M186&lt;&gt;"",UPPER(TRIM('Real results'!C186))=UPPER(TRIM('Raw data'!M186))),2,0),0)</f>
        <v>0</v>
      </c>
      <c r="N191" s="39"/>
      <c r="O191" s="41">
        <f>IFERROR(IF(AND('Real results'!C186&lt;&gt;"",'Raw data'!O186&lt;&gt;"",UPPER(TRIM('Real results'!C186))=UPPER(TRIM('Raw data'!O186))),2,0),0)</f>
        <v>0</v>
      </c>
      <c r="P191" s="39"/>
      <c r="Q191" s="41">
        <f>IFERROR(IF(AND('Real results'!C186&lt;&gt;"",'Raw data'!Q186&lt;&gt;"",UPPER(TRIM('Real results'!C186))=UPPER(TRIM('Raw data'!Q186))),2,0),0)</f>
        <v>0</v>
      </c>
      <c r="R191" s="39"/>
      <c r="S191" s="41">
        <f>IFERROR(IF(AND('Real results'!C186&lt;&gt;"",'Raw data'!S186&lt;&gt;"",UPPER(TRIM('Real results'!C186))=UPPER(TRIM('Raw data'!S186))),2,0),0)</f>
        <v>0</v>
      </c>
      <c r="T191" s="39"/>
      <c r="U191" s="41">
        <f>IFERROR(IF(AND('Real results'!C186&lt;&gt;"",'Raw data'!U186&lt;&gt;"",UPPER(TRIM('Real results'!C186))=UPPER(TRIM('Raw data'!U186))),2,0),0)</f>
        <v>0</v>
      </c>
      <c r="V191" s="39"/>
      <c r="W191" s="41">
        <f>IFERROR(IF(AND('Real results'!C186&lt;&gt;"",'Raw data'!W186&lt;&gt;"",UPPER(TRIM('Real results'!C186))=UPPER(TRIM('Raw data'!W186))),2,0),0)</f>
        <v>0</v>
      </c>
      <c r="X191" s="39"/>
      <c r="Y191" s="41">
        <f>IFERROR(IF(AND('Real results'!C186&lt;&gt;"",'Raw data'!Y186&lt;&gt;"",UPPER(TRIM('Real results'!C186))=UPPER(TRIM('Raw data'!Y186))),2,0),0)</f>
        <v>0</v>
      </c>
      <c r="Z191" s="39"/>
      <c r="AA191" s="41">
        <f>IFERROR(IF(AND('Real results'!C186&lt;&gt;"",'Raw data'!AA186&lt;&gt;"",UPPER(TRIM('Real results'!C186))=UPPER(TRIM('Raw data'!AA186))),2,0),0)</f>
        <v>0</v>
      </c>
      <c r="AB191" s="39"/>
      <c r="AC191" s="41">
        <f>IFERROR(IF(AND('Real results'!C186&lt;&gt;"",'Raw data'!AC186&lt;&gt;"",UPPER(TRIM('Real results'!C186))=UPPER(TRIM('Raw data'!AC186))),2,0),0)</f>
        <v>0</v>
      </c>
      <c r="AD191" s="39"/>
      <c r="AE191" s="41">
        <f>IFERROR(IF(AND('Real results'!C186&lt;&gt;"",'Raw data'!AE186&lt;&gt;"",UPPER(TRIM('Real results'!C186))=UPPER(TRIM('Raw data'!AE186))),2,0),0)</f>
        <v>0</v>
      </c>
      <c r="AF191" s="39"/>
      <c r="AG191" s="41">
        <f>IFERROR(IF(AND('Real results'!C186&lt;&gt;"",'Raw data'!AG186&lt;&gt;"",UPPER(TRIM('Real results'!C186))=UPPER(TRIM('Raw data'!AG186))),2,0),0)</f>
        <v>0</v>
      </c>
      <c r="AH191" s="39"/>
      <c r="AI191" s="41">
        <f>IFERROR(IF(AND('Real results'!C186&lt;&gt;"",'Raw data'!AI186&lt;&gt;"",UPPER(TRIM('Real results'!C186))=UPPER(TRIM('Raw data'!AI186))),2,0),0)</f>
        <v>0</v>
      </c>
      <c r="AJ191" s="39"/>
      <c r="AK191" s="41">
        <f>IFERROR(IF(AND('Real results'!C186&lt;&gt;"",'Raw data'!AK186&lt;&gt;"",UPPER(TRIM('Real results'!C186))=UPPER(TRIM('Raw data'!AK186))),2,0),0)</f>
        <v>0</v>
      </c>
      <c r="AL191" s="39"/>
      <c r="AM191" s="41">
        <f>IFERROR(IF(AND('Real results'!C186&lt;&gt;"",'Raw data'!AM186&lt;&gt;"",UPPER(TRIM('Real results'!C186))=UPPER(TRIM('Raw data'!AM186))),2,0),0)</f>
        <v>0</v>
      </c>
      <c r="AN191" s="39"/>
      <c r="AO191" s="41">
        <f>IFERROR(IF(AND('Real results'!C186&lt;&gt;"",'Raw data'!AO186&lt;&gt;"",UPPER(TRIM('Real results'!C186))=UPPER(TRIM('Raw data'!AO186))),2,0),0)</f>
        <v>0</v>
      </c>
      <c r="AP191" s="39"/>
      <c r="AQ191" s="41">
        <f>IFERROR(IF(AND('Real results'!C186&lt;&gt;"",'Raw data'!AQ186&lt;&gt;"",UPPER(TRIM('Real results'!C186))=UPPER(TRIM('Raw data'!AQ186))),2,0),0)</f>
        <v>0</v>
      </c>
      <c r="AR191" s="39"/>
      <c r="AS191" s="41">
        <f>IFERROR(IF(AND('Real results'!C186&lt;&gt;"",'Raw data'!AS186&lt;&gt;"",UPPER(TRIM('Real results'!C186))=UPPER(TRIM('Raw data'!AS186))),2,0),0)</f>
        <v>0</v>
      </c>
      <c r="AT191" s="39"/>
      <c r="AU191" s="41">
        <f>IFERROR(IF(AND('Real results'!C186&lt;&gt;"",'Raw data'!AU186&lt;&gt;"",UPPER(TRIM('Real results'!C186))=UPPER(TRIM('Raw data'!AU186))),2,0),0)</f>
        <v>0</v>
      </c>
      <c r="AV191" s="39"/>
      <c r="AW191" s="41">
        <f>IFERROR(IF(AND('Real results'!C186&lt;&gt;"",'Raw data'!AW186&lt;&gt;"",UPPER(TRIM('Real results'!C186))=UPPER(TRIM('Raw data'!AW186))),2,0),0)</f>
        <v>0</v>
      </c>
      <c r="AX191" s="39"/>
      <c r="AY191" s="41">
        <f>IFERROR(IF(AND('Real results'!C186&lt;&gt;"",'Raw data'!AY186&lt;&gt;"",UPPER(TRIM('Real results'!C186))=UPPER(TRIM('Raw data'!AY186))),2,0),0)</f>
        <v>0</v>
      </c>
      <c r="AZ191" s="39"/>
      <c r="BA191" s="41">
        <f>IFERROR(IF(AND('Real results'!C186&lt;&gt;"",'Raw data'!BA186&lt;&gt;"",UPPER(TRIM('Real results'!C186))=UPPER(TRIM('Raw data'!BA186))),2,0),0)</f>
        <v>0</v>
      </c>
      <c r="BB191" s="39"/>
      <c r="BC191" s="41">
        <f>IFERROR(IF(AND('Real results'!C186&lt;&gt;"",'Raw data'!BC186&lt;&gt;"",UPPER(TRIM('Real results'!C186))=UPPER(TRIM('Raw data'!BC186))),2,0),0)</f>
        <v>0</v>
      </c>
      <c r="BD191" s="39"/>
      <c r="BE191" s="41">
        <f>IFERROR(IF(AND('Real results'!C186&lt;&gt;"",'Raw data'!BE186&lt;&gt;"",UPPER(TRIM('Real results'!C186))=UPPER(TRIM('Raw data'!BE186))),2,0),0)</f>
        <v>0</v>
      </c>
      <c r="BF191" s="39"/>
      <c r="BG191" s="41">
        <f>IFERROR(IF(AND('Real results'!C186&lt;&gt;"",'Raw data'!BG186&lt;&gt;"",UPPER(TRIM('Real results'!C186))=UPPER(TRIM('Raw data'!BG186))),2,0),0)</f>
        <v>0</v>
      </c>
      <c r="BH191" s="39"/>
      <c r="BI191" s="41">
        <f>IFERROR(IF(AND('Real results'!C186&lt;&gt;"",'Raw data'!BI186&lt;&gt;"",UPPER(TRIM('Real results'!C186))=UPPER(TRIM('Raw data'!BI186))),2,0),0)</f>
        <v>0</v>
      </c>
    </row>
    <row r="192" ht="18.0" customHeight="1">
      <c r="A192" s="36"/>
      <c r="B192" s="40" t="s">
        <v>483</v>
      </c>
      <c r="C192" s="41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39"/>
      <c r="E192" s="41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39"/>
      <c r="G192" s="41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39"/>
      <c r="I192" s="41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39"/>
      <c r="K192" s="41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39"/>
      <c r="M192" s="41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39"/>
      <c r="O192" s="41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39"/>
      <c r="Q192" s="41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39"/>
      <c r="S192" s="41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39"/>
      <c r="U192" s="41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39"/>
      <c r="W192" s="41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39"/>
      <c r="Y192" s="41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39"/>
      <c r="AA192" s="41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39"/>
      <c r="AC192" s="41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39"/>
      <c r="AE192" s="41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39"/>
      <c r="AG192" s="41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39"/>
      <c r="AI192" s="41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39"/>
      <c r="AK192" s="41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39"/>
      <c r="AM192" s="41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39"/>
      <c r="AO192" s="41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39"/>
      <c r="AQ192" s="41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39"/>
      <c r="AS192" s="41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39"/>
      <c r="AU192" s="41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39"/>
      <c r="AW192" s="41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39"/>
      <c r="AY192" s="41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39"/>
      <c r="BA192" s="41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39"/>
      <c r="BC192" s="41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39"/>
      <c r="BE192" s="41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39"/>
      <c r="BG192" s="41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39"/>
      <c r="BI192" s="41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6"/>
      <c r="B193" s="40" t="s">
        <v>484</v>
      </c>
      <c r="C193" s="44">
        <f>0</f>
        <v>0</v>
      </c>
      <c r="D193" s="39"/>
      <c r="E193" s="41">
        <f>0</f>
        <v>0</v>
      </c>
      <c r="F193" s="39"/>
      <c r="G193" s="41">
        <f>0</f>
        <v>0</v>
      </c>
      <c r="H193" s="39"/>
      <c r="I193" s="41">
        <f>0</f>
        <v>0</v>
      </c>
      <c r="J193" s="39"/>
      <c r="K193" s="41">
        <f>0</f>
        <v>0</v>
      </c>
      <c r="L193" s="39"/>
      <c r="M193" s="41">
        <f>0</f>
        <v>0</v>
      </c>
      <c r="N193" s="39"/>
      <c r="O193" s="41">
        <f>0</f>
        <v>0</v>
      </c>
      <c r="P193" s="39"/>
      <c r="Q193" s="41">
        <f>0</f>
        <v>0</v>
      </c>
      <c r="R193" s="39"/>
      <c r="S193" s="41">
        <f>0</f>
        <v>0</v>
      </c>
      <c r="T193" s="39"/>
      <c r="U193" s="41">
        <f>0</f>
        <v>0</v>
      </c>
      <c r="V193" s="39"/>
      <c r="W193" s="41">
        <f>0</f>
        <v>0</v>
      </c>
      <c r="X193" s="39"/>
      <c r="Y193" s="41">
        <f>0</f>
        <v>0</v>
      </c>
      <c r="Z193" s="39"/>
      <c r="AA193" s="41">
        <f>0</f>
        <v>0</v>
      </c>
      <c r="AB193" s="39"/>
      <c r="AC193" s="41">
        <f>0</f>
        <v>0</v>
      </c>
      <c r="AD193" s="39"/>
      <c r="AE193" s="41">
        <f>0</f>
        <v>0</v>
      </c>
      <c r="AF193" s="39"/>
      <c r="AG193" s="41">
        <f>0</f>
        <v>0</v>
      </c>
      <c r="AH193" s="39"/>
      <c r="AI193" s="41">
        <f>0</f>
        <v>0</v>
      </c>
      <c r="AJ193" s="39"/>
      <c r="AK193" s="41">
        <f>0</f>
        <v>0</v>
      </c>
      <c r="AL193" s="39"/>
      <c r="AM193" s="41">
        <f>0</f>
        <v>0</v>
      </c>
      <c r="AN193" s="39"/>
      <c r="AO193" s="41">
        <f>0</f>
        <v>0</v>
      </c>
      <c r="AP193" s="39"/>
      <c r="AQ193" s="41">
        <f>0</f>
        <v>0</v>
      </c>
      <c r="AR193" s="39"/>
      <c r="AS193" s="41">
        <f>0</f>
        <v>0</v>
      </c>
      <c r="AT193" s="39"/>
      <c r="AU193" s="41">
        <f>0</f>
        <v>0</v>
      </c>
      <c r="AV193" s="39"/>
      <c r="AW193" s="41">
        <f>0</f>
        <v>0</v>
      </c>
      <c r="AX193" s="39"/>
      <c r="AY193" s="41">
        <f>0</f>
        <v>0</v>
      </c>
      <c r="AZ193" s="39"/>
      <c r="BA193" s="41">
        <f>0</f>
        <v>0</v>
      </c>
      <c r="BB193" s="39"/>
      <c r="BC193" s="41">
        <f>0</f>
        <v>0</v>
      </c>
      <c r="BD193" s="39"/>
      <c r="BE193" s="41">
        <f>0</f>
        <v>0</v>
      </c>
      <c r="BF193" s="39"/>
      <c r="BG193" s="41">
        <f>IFERROR(IF(AND('Real results'!C188&lt;&gt;"",'Raw data'!BG188&lt;&gt;"",UPPER(TRIM('Real results'!C188))=UPPER(TRIM('Raw data'!BG188))),1,0),0)</f>
        <v>0</v>
      </c>
      <c r="BH193" s="39"/>
      <c r="BI193" s="41">
        <f>IFERROR(IF(AND('Real results'!C188&lt;&gt;"",'Raw data'!BI188&lt;&gt;"",UPPER(TRIM('Real results'!C188))=UPPER(TRIM('Raw data'!BI188))),1,0),0)</f>
        <v>0</v>
      </c>
    </row>
    <row r="194" ht="18.0" customHeight="1">
      <c r="A194" s="36"/>
      <c r="B194" s="40" t="s">
        <v>485</v>
      </c>
      <c r="C194" s="41">
        <f>IFERROR(IF(AND('Real results'!C189&lt;&gt;"",'Raw data'!C189&lt;&gt;"",UPPER(TRIM('Real results'!C189))=UPPER(TRIM('Raw data'!C189))),2,0),0)</f>
        <v>0</v>
      </c>
      <c r="D194" s="39"/>
      <c r="E194" s="41">
        <f>IFERROR(IF(AND('Real results'!C189&lt;&gt;"",'Raw data'!E189&lt;&gt;"",UPPER(TRIM('Real results'!C189))=UPPER(TRIM('Raw data'!E189))),2,0),0)</f>
        <v>0</v>
      </c>
      <c r="F194" s="39"/>
      <c r="G194" s="41">
        <f>IFERROR(IF(AND('Real results'!C189&lt;&gt;"",'Raw data'!G189&lt;&gt;"",UPPER(TRIM('Real results'!C189))=UPPER(TRIM('Raw data'!G189))),2,0),0)</f>
        <v>0</v>
      </c>
      <c r="H194" s="39"/>
      <c r="I194" s="41">
        <f>IFERROR(IF(AND('Real results'!C189&lt;&gt;"",'Raw data'!I189&lt;&gt;"",UPPER(TRIM('Real results'!C189))=UPPER(TRIM('Raw data'!I189))),2,0),0)</f>
        <v>0</v>
      </c>
      <c r="J194" s="39"/>
      <c r="K194" s="41">
        <f>IFERROR(IF(AND('Real results'!C189&lt;&gt;"",'Raw data'!K189&lt;&gt;"",UPPER(TRIM('Real results'!C189))=UPPER(TRIM('Raw data'!K189))),2,0),0)</f>
        <v>0</v>
      </c>
      <c r="L194" s="39"/>
      <c r="M194" s="41">
        <f>IFERROR(IF(AND('Real results'!C189&lt;&gt;"",'Raw data'!M189&lt;&gt;"",UPPER(TRIM('Real results'!C189))=UPPER(TRIM('Raw data'!M189))),2,0),0)</f>
        <v>0</v>
      </c>
      <c r="N194" s="39"/>
      <c r="O194" s="41">
        <f>IFERROR(IF(AND('Real results'!C189&lt;&gt;"",'Raw data'!O189&lt;&gt;"",UPPER(TRIM('Real results'!C189))=UPPER(TRIM('Raw data'!O189))),2,0),0)</f>
        <v>0</v>
      </c>
      <c r="P194" s="39"/>
      <c r="Q194" s="41">
        <f>IFERROR(IF(AND('Real results'!C189&lt;&gt;"",'Raw data'!Q189&lt;&gt;"",UPPER(TRIM('Real results'!C189))=UPPER(TRIM('Raw data'!Q189))),2,0),0)</f>
        <v>0</v>
      </c>
      <c r="R194" s="39"/>
      <c r="S194" s="41">
        <f>IFERROR(IF(AND('Real results'!C189&lt;&gt;"",'Raw data'!S189&lt;&gt;"",UPPER(TRIM('Real results'!C189))=UPPER(TRIM('Raw data'!S189))),2,0),0)</f>
        <v>0</v>
      </c>
      <c r="T194" s="39"/>
      <c r="U194" s="41">
        <f>IFERROR(IF(AND('Real results'!C189&lt;&gt;"",'Raw data'!U189&lt;&gt;"",UPPER(TRIM('Real results'!C189))=UPPER(TRIM('Raw data'!U189))),2,0),0)</f>
        <v>0</v>
      </c>
      <c r="V194" s="39"/>
      <c r="W194" s="41">
        <f>IFERROR(IF(AND('Real results'!C189&lt;&gt;"",'Raw data'!W189&lt;&gt;"",UPPER(TRIM('Real results'!C189))=UPPER(TRIM('Raw data'!W189))),2,0),0)</f>
        <v>0</v>
      </c>
      <c r="X194" s="39"/>
      <c r="Y194" s="41">
        <f>IFERROR(IF(AND('Real results'!C189&lt;&gt;"",'Raw data'!Y189&lt;&gt;"",UPPER(TRIM('Real results'!C189))=UPPER(TRIM('Raw data'!Y189))),2,0),0)</f>
        <v>0</v>
      </c>
      <c r="Z194" s="39"/>
      <c r="AA194" s="41">
        <f>IFERROR(IF(AND('Real results'!C189&lt;&gt;"",'Raw data'!AA189&lt;&gt;"",UPPER(TRIM('Real results'!C189))=UPPER(TRIM('Raw data'!AA189))),2,0),0)</f>
        <v>0</v>
      </c>
      <c r="AB194" s="39"/>
      <c r="AC194" s="41">
        <f>IFERROR(IF(AND('Real results'!C189&lt;&gt;"",'Raw data'!AC189&lt;&gt;"",UPPER(TRIM('Real results'!C189))=UPPER(TRIM('Raw data'!AC189))),2,0),0)</f>
        <v>0</v>
      </c>
      <c r="AD194" s="39"/>
      <c r="AE194" s="41">
        <f>IFERROR(IF(AND('Real results'!C189&lt;&gt;"",'Raw data'!AE189&lt;&gt;"",UPPER(TRIM('Real results'!C189))=UPPER(TRIM('Raw data'!AE189))),2,0),0)</f>
        <v>0</v>
      </c>
      <c r="AF194" s="39"/>
      <c r="AG194" s="41">
        <f>IFERROR(IF(AND('Real results'!C189&lt;&gt;"",'Raw data'!AG189&lt;&gt;"",UPPER(TRIM('Real results'!C189))=UPPER(TRIM('Raw data'!AG189))),2,0),0)</f>
        <v>0</v>
      </c>
      <c r="AH194" s="39"/>
      <c r="AI194" s="41">
        <f>IFERROR(IF(AND('Real results'!C189&lt;&gt;"",'Raw data'!AI189&lt;&gt;"",UPPER(TRIM('Real results'!C189))=UPPER(TRIM('Raw data'!AI189))),2,0),0)</f>
        <v>0</v>
      </c>
      <c r="AJ194" s="39"/>
      <c r="AK194" s="41">
        <f>IFERROR(IF(AND('Real results'!C189&lt;&gt;"",'Raw data'!AK189&lt;&gt;"",UPPER(TRIM('Real results'!C189))=UPPER(TRIM('Raw data'!AK189))),2,0),0)</f>
        <v>0</v>
      </c>
      <c r="AL194" s="39"/>
      <c r="AM194" s="41">
        <f>IFERROR(IF(AND('Real results'!C189&lt;&gt;"",'Raw data'!AM189&lt;&gt;"",UPPER(TRIM('Real results'!C189))=UPPER(TRIM('Raw data'!AM189))),2,0),0)</f>
        <v>0</v>
      </c>
      <c r="AN194" s="39"/>
      <c r="AO194" s="41">
        <f>IFERROR(IF(AND('Real results'!C189&lt;&gt;"",'Raw data'!AO189&lt;&gt;"",UPPER(TRIM('Real results'!C189))=UPPER(TRIM('Raw data'!AO189))),2,0),0)</f>
        <v>0</v>
      </c>
      <c r="AP194" s="39"/>
      <c r="AQ194" s="41">
        <f>IFERROR(IF(AND('Real results'!C189&lt;&gt;"",'Raw data'!AQ189&lt;&gt;"",UPPER(TRIM('Real results'!C189))=UPPER(TRIM('Raw data'!AQ189))),2,0),0)</f>
        <v>0</v>
      </c>
      <c r="AR194" s="39"/>
      <c r="AS194" s="41">
        <f>IFERROR(IF(AND('Real results'!C189&lt;&gt;"",'Raw data'!AS189&lt;&gt;"",UPPER(TRIM('Real results'!C189))=UPPER(TRIM('Raw data'!AS189))),2,0),0)</f>
        <v>0</v>
      </c>
      <c r="AT194" s="39"/>
      <c r="AU194" s="41">
        <f>IFERROR(IF(AND('Real results'!C189&lt;&gt;"",'Raw data'!AU189&lt;&gt;"",UPPER(TRIM('Real results'!C189))=UPPER(TRIM('Raw data'!AU189))),2,0),0)</f>
        <v>0</v>
      </c>
      <c r="AV194" s="39"/>
      <c r="AW194" s="41">
        <f>IFERROR(IF(AND('Real results'!C189&lt;&gt;"",'Raw data'!AW189&lt;&gt;"",UPPER(TRIM('Real results'!C189))=UPPER(TRIM('Raw data'!AW189))),2,0),0)</f>
        <v>0</v>
      </c>
      <c r="AX194" s="39"/>
      <c r="AY194" s="41">
        <f>IFERROR(IF(AND('Real results'!C189&lt;&gt;"",'Raw data'!AY189&lt;&gt;"",UPPER(TRIM('Real results'!C189))=UPPER(TRIM('Raw data'!AY189))),2,0),0)</f>
        <v>0</v>
      </c>
      <c r="AZ194" s="39"/>
      <c r="BA194" s="41">
        <f>IFERROR(IF(AND('Real results'!C189&lt;&gt;"",'Raw data'!BA189&lt;&gt;"",UPPER(TRIM('Real results'!C189))=UPPER(TRIM('Raw data'!BA189))),2,0),0)</f>
        <v>0</v>
      </c>
      <c r="BB194" s="39"/>
      <c r="BC194" s="41">
        <f>IFERROR(IF(AND('Real results'!C189&lt;&gt;"",'Raw data'!BC189&lt;&gt;"",UPPER(TRIM('Real results'!C189))=UPPER(TRIM('Raw data'!BC189))),2,0),0)</f>
        <v>0</v>
      </c>
      <c r="BD194" s="39"/>
      <c r="BE194" s="41">
        <f>IFERROR(IF(AND('Real results'!C189&lt;&gt;"",'Raw data'!BE189&lt;&gt;"",UPPER(TRIM('Real results'!C189))=UPPER(TRIM('Raw data'!BE189))),2,0),0)</f>
        <v>0</v>
      </c>
      <c r="BF194" s="39"/>
      <c r="BG194" s="41">
        <f>IFERROR(IF(AND('Real results'!C189&lt;&gt;"",'Raw data'!BG189&lt;&gt;"",UPPER(TRIM('Real results'!C189))=UPPER(TRIM('Raw data'!BG189))),2,0),0)</f>
        <v>0</v>
      </c>
      <c r="BH194" s="39"/>
      <c r="BI194" s="41">
        <f>IFERROR(IF(AND('Real results'!C189&lt;&gt;"",'Raw data'!BI189&lt;&gt;"",UPPER(TRIM('Real results'!C189))=UPPER(TRIM('Raw data'!BI189))),2,0),0)</f>
        <v>0</v>
      </c>
    </row>
    <row r="195" ht="18.0" customHeight="1">
      <c r="A195" s="36"/>
      <c r="B195" s="40" t="s">
        <v>486</v>
      </c>
      <c r="C195" s="41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39"/>
      <c r="E195" s="41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39"/>
      <c r="G195" s="41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39"/>
      <c r="I195" s="41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39"/>
      <c r="K195" s="41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39"/>
      <c r="M195" s="41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39"/>
      <c r="O195" s="41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39"/>
      <c r="Q195" s="41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39"/>
      <c r="S195" s="41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39"/>
      <c r="U195" s="41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39"/>
      <c r="W195" s="41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39"/>
      <c r="Y195" s="41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39"/>
      <c r="AA195" s="41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39"/>
      <c r="AC195" s="41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39"/>
      <c r="AE195" s="41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39"/>
      <c r="AG195" s="41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39"/>
      <c r="AI195" s="41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39"/>
      <c r="AK195" s="41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39"/>
      <c r="AM195" s="41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39"/>
      <c r="AO195" s="41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39"/>
      <c r="AQ195" s="41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39"/>
      <c r="AS195" s="41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39"/>
      <c r="AU195" s="41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39"/>
      <c r="AW195" s="41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39"/>
      <c r="AY195" s="41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39"/>
      <c r="BA195" s="41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39"/>
      <c r="BC195" s="41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39"/>
      <c r="BE195" s="41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39"/>
      <c r="BG195" s="41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39"/>
      <c r="BI195" s="41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6"/>
      <c r="B196" s="40" t="s">
        <v>487</v>
      </c>
      <c r="C196" s="44">
        <f>0</f>
        <v>0</v>
      </c>
      <c r="D196" s="39"/>
      <c r="E196" s="41">
        <f>0</f>
        <v>0</v>
      </c>
      <c r="F196" s="39"/>
      <c r="G196" s="41">
        <f>0</f>
        <v>0</v>
      </c>
      <c r="H196" s="39"/>
      <c r="I196" s="41">
        <f>0</f>
        <v>0</v>
      </c>
      <c r="J196" s="39"/>
      <c r="K196" s="41">
        <f>0</f>
        <v>0</v>
      </c>
      <c r="L196" s="39"/>
      <c r="M196" s="41">
        <f>0</f>
        <v>0</v>
      </c>
      <c r="N196" s="39"/>
      <c r="O196" s="41">
        <f>0</f>
        <v>0</v>
      </c>
      <c r="P196" s="39"/>
      <c r="Q196" s="41">
        <f>0</f>
        <v>0</v>
      </c>
      <c r="R196" s="39"/>
      <c r="S196" s="41">
        <f>0</f>
        <v>0</v>
      </c>
      <c r="T196" s="39"/>
      <c r="U196" s="41">
        <f>0</f>
        <v>0</v>
      </c>
      <c r="V196" s="39"/>
      <c r="W196" s="41">
        <f>0</f>
        <v>0</v>
      </c>
      <c r="X196" s="39"/>
      <c r="Y196" s="41">
        <f>0</f>
        <v>0</v>
      </c>
      <c r="Z196" s="39"/>
      <c r="AA196" s="41">
        <f>0</f>
        <v>0</v>
      </c>
      <c r="AB196" s="39"/>
      <c r="AC196" s="41">
        <f>0</f>
        <v>0</v>
      </c>
      <c r="AD196" s="39"/>
      <c r="AE196" s="41">
        <f>0</f>
        <v>0</v>
      </c>
      <c r="AF196" s="39"/>
      <c r="AG196" s="41">
        <f>0</f>
        <v>0</v>
      </c>
      <c r="AH196" s="39"/>
      <c r="AI196" s="41">
        <f>0</f>
        <v>0</v>
      </c>
      <c r="AJ196" s="39"/>
      <c r="AK196" s="41">
        <f>0</f>
        <v>0</v>
      </c>
      <c r="AL196" s="39"/>
      <c r="AM196" s="41">
        <f>0</f>
        <v>0</v>
      </c>
      <c r="AN196" s="39"/>
      <c r="AO196" s="41">
        <f>0</f>
        <v>0</v>
      </c>
      <c r="AP196" s="39"/>
      <c r="AQ196" s="41">
        <f>0</f>
        <v>0</v>
      </c>
      <c r="AR196" s="39"/>
      <c r="AS196" s="41">
        <f>0</f>
        <v>0</v>
      </c>
      <c r="AT196" s="39"/>
      <c r="AU196" s="41">
        <f>0</f>
        <v>0</v>
      </c>
      <c r="AV196" s="39"/>
      <c r="AW196" s="41">
        <f>0</f>
        <v>0</v>
      </c>
      <c r="AX196" s="39"/>
      <c r="AY196" s="41">
        <f>0</f>
        <v>0</v>
      </c>
      <c r="AZ196" s="39"/>
      <c r="BA196" s="41">
        <f>0</f>
        <v>0</v>
      </c>
      <c r="BB196" s="39"/>
      <c r="BC196" s="41">
        <f>0</f>
        <v>0</v>
      </c>
      <c r="BD196" s="39"/>
      <c r="BE196" s="41">
        <f>0</f>
        <v>0</v>
      </c>
      <c r="BF196" s="39"/>
      <c r="BG196" s="41">
        <f>IFERROR(IF(AND('Real results'!C191&lt;&gt;"",'Raw data'!BG191&lt;&gt;"",UPPER(TRIM('Real results'!C191))=UPPER(TRIM('Raw data'!BG191))),1,0),0)</f>
        <v>0</v>
      </c>
      <c r="BH196" s="39"/>
      <c r="BI196" s="41">
        <f>IFERROR(IF(AND('Real results'!C191&lt;&gt;"",'Raw data'!BI191&lt;&gt;"",UPPER(TRIM('Real results'!C191))=UPPER(TRIM('Raw data'!BI191))),1,0),0)</f>
        <v>0</v>
      </c>
    </row>
    <row r="197" ht="18.0" customHeight="1">
      <c r="A197" s="36"/>
      <c r="B197" s="40" t="s">
        <v>488</v>
      </c>
      <c r="C197" s="41">
        <f>IFERROR(IF(AND('Real results'!C192&lt;&gt;"",'Raw data'!C192&lt;&gt;"",UPPER(TRIM('Real results'!C192))=UPPER(TRIM('Raw data'!C192))),2,0),0)</f>
        <v>0</v>
      </c>
      <c r="D197" s="39"/>
      <c r="E197" s="41">
        <f>IFERROR(IF(AND('Real results'!C192&lt;&gt;"",'Raw data'!E192&lt;&gt;"",UPPER(TRIM('Real results'!C192))=UPPER(TRIM('Raw data'!E192))),2,0),0)</f>
        <v>0</v>
      </c>
      <c r="F197" s="39"/>
      <c r="G197" s="41">
        <f>IFERROR(IF(AND('Real results'!C192&lt;&gt;"",'Raw data'!G192&lt;&gt;"",UPPER(TRIM('Real results'!C192))=UPPER(TRIM('Raw data'!G192))),2,0),0)</f>
        <v>0</v>
      </c>
      <c r="H197" s="39"/>
      <c r="I197" s="41">
        <f>IFERROR(IF(AND('Real results'!C192&lt;&gt;"",'Raw data'!I192&lt;&gt;"",UPPER(TRIM('Real results'!C192))=UPPER(TRIM('Raw data'!I192))),2,0),0)</f>
        <v>0</v>
      </c>
      <c r="J197" s="39"/>
      <c r="K197" s="41">
        <f>IFERROR(IF(AND('Real results'!C192&lt;&gt;"",'Raw data'!K192&lt;&gt;"",UPPER(TRIM('Real results'!C192))=UPPER(TRIM('Raw data'!K192))),2,0),0)</f>
        <v>0</v>
      </c>
      <c r="L197" s="39"/>
      <c r="M197" s="41">
        <f>IFERROR(IF(AND('Real results'!C192&lt;&gt;"",'Raw data'!M192&lt;&gt;"",UPPER(TRIM('Real results'!C192))=UPPER(TRIM('Raw data'!M192))),2,0),0)</f>
        <v>0</v>
      </c>
      <c r="N197" s="39"/>
      <c r="O197" s="41">
        <f>IFERROR(IF(AND('Real results'!C192&lt;&gt;"",'Raw data'!O192&lt;&gt;"",UPPER(TRIM('Real results'!C192))=UPPER(TRIM('Raw data'!O192))),2,0),0)</f>
        <v>0</v>
      </c>
      <c r="P197" s="39"/>
      <c r="Q197" s="41">
        <f>IFERROR(IF(AND('Real results'!C192&lt;&gt;"",'Raw data'!Q192&lt;&gt;"",UPPER(TRIM('Real results'!C192))=UPPER(TRIM('Raw data'!Q192))),2,0),0)</f>
        <v>0</v>
      </c>
      <c r="R197" s="39"/>
      <c r="S197" s="41">
        <f>IFERROR(IF(AND('Real results'!C192&lt;&gt;"",'Raw data'!S192&lt;&gt;"",UPPER(TRIM('Real results'!C192))=UPPER(TRIM('Raw data'!S192))),2,0),0)</f>
        <v>0</v>
      </c>
      <c r="T197" s="39"/>
      <c r="U197" s="41">
        <f>IFERROR(IF(AND('Real results'!C192&lt;&gt;"",'Raw data'!U192&lt;&gt;"",UPPER(TRIM('Real results'!C192))=UPPER(TRIM('Raw data'!U192))),2,0),0)</f>
        <v>0</v>
      </c>
      <c r="V197" s="39"/>
      <c r="W197" s="41">
        <f>IFERROR(IF(AND('Real results'!C192&lt;&gt;"",'Raw data'!W192&lt;&gt;"",UPPER(TRIM('Real results'!C192))=UPPER(TRIM('Raw data'!W192))),2,0),0)</f>
        <v>0</v>
      </c>
      <c r="X197" s="39"/>
      <c r="Y197" s="41">
        <f>IFERROR(IF(AND('Real results'!C192&lt;&gt;"",'Raw data'!Y192&lt;&gt;"",UPPER(TRIM('Real results'!C192))=UPPER(TRIM('Raw data'!Y192))),2,0),0)</f>
        <v>0</v>
      </c>
      <c r="Z197" s="39"/>
      <c r="AA197" s="41">
        <f>IFERROR(IF(AND('Real results'!C192&lt;&gt;"",'Raw data'!AA192&lt;&gt;"",UPPER(TRIM('Real results'!C192))=UPPER(TRIM('Raw data'!AA192))),2,0),0)</f>
        <v>0</v>
      </c>
      <c r="AB197" s="39"/>
      <c r="AC197" s="41">
        <f>IFERROR(IF(AND('Real results'!C192&lt;&gt;"",'Raw data'!AC192&lt;&gt;"",UPPER(TRIM('Real results'!C192))=UPPER(TRIM('Raw data'!AC192))),2,0),0)</f>
        <v>0</v>
      </c>
      <c r="AD197" s="39"/>
      <c r="AE197" s="41">
        <f>IFERROR(IF(AND('Real results'!C192&lt;&gt;"",'Raw data'!AE192&lt;&gt;"",UPPER(TRIM('Real results'!C192))=UPPER(TRIM('Raw data'!AE192))),2,0),0)</f>
        <v>0</v>
      </c>
      <c r="AF197" s="39"/>
      <c r="AG197" s="41">
        <f>IFERROR(IF(AND('Real results'!C192&lt;&gt;"",'Raw data'!AG192&lt;&gt;"",UPPER(TRIM('Real results'!C192))=UPPER(TRIM('Raw data'!AG192))),2,0),0)</f>
        <v>0</v>
      </c>
      <c r="AH197" s="39"/>
      <c r="AI197" s="41">
        <f>IFERROR(IF(AND('Real results'!C192&lt;&gt;"",'Raw data'!AI192&lt;&gt;"",UPPER(TRIM('Real results'!C192))=UPPER(TRIM('Raw data'!AI192))),2,0),0)</f>
        <v>0</v>
      </c>
      <c r="AJ197" s="39"/>
      <c r="AK197" s="41">
        <f>IFERROR(IF(AND('Real results'!C192&lt;&gt;"",'Raw data'!AK192&lt;&gt;"",UPPER(TRIM('Real results'!C192))=UPPER(TRIM('Raw data'!AK192))),2,0),0)</f>
        <v>0</v>
      </c>
      <c r="AL197" s="39"/>
      <c r="AM197" s="41">
        <f>IFERROR(IF(AND('Real results'!C192&lt;&gt;"",'Raw data'!AM192&lt;&gt;"",UPPER(TRIM('Real results'!C192))=UPPER(TRIM('Raw data'!AM192))),2,0),0)</f>
        <v>0</v>
      </c>
      <c r="AN197" s="39"/>
      <c r="AO197" s="41">
        <f>IFERROR(IF(AND('Real results'!C192&lt;&gt;"",'Raw data'!AO192&lt;&gt;"",UPPER(TRIM('Real results'!C192))=UPPER(TRIM('Raw data'!AO192))),2,0),0)</f>
        <v>0</v>
      </c>
      <c r="AP197" s="39"/>
      <c r="AQ197" s="41">
        <f>IFERROR(IF(AND('Real results'!C192&lt;&gt;"",'Raw data'!AQ192&lt;&gt;"",UPPER(TRIM('Real results'!C192))=UPPER(TRIM('Raw data'!AQ192))),2,0),0)</f>
        <v>0</v>
      </c>
      <c r="AR197" s="39"/>
      <c r="AS197" s="41">
        <f>IFERROR(IF(AND('Real results'!C192&lt;&gt;"",'Raw data'!AS192&lt;&gt;"",UPPER(TRIM('Real results'!C192))=UPPER(TRIM('Raw data'!AS192))),2,0),0)</f>
        <v>0</v>
      </c>
      <c r="AT197" s="39"/>
      <c r="AU197" s="41">
        <f>IFERROR(IF(AND('Real results'!C192&lt;&gt;"",'Raw data'!AU192&lt;&gt;"",UPPER(TRIM('Real results'!C192))=UPPER(TRIM('Raw data'!AU192))),2,0),0)</f>
        <v>0</v>
      </c>
      <c r="AV197" s="39"/>
      <c r="AW197" s="41">
        <f>IFERROR(IF(AND('Real results'!C192&lt;&gt;"",'Raw data'!AW192&lt;&gt;"",UPPER(TRIM('Real results'!C192))=UPPER(TRIM('Raw data'!AW192))),2,0),0)</f>
        <v>0</v>
      </c>
      <c r="AX197" s="39"/>
      <c r="AY197" s="41">
        <f>IFERROR(IF(AND('Real results'!C192&lt;&gt;"",'Raw data'!AY192&lt;&gt;"",UPPER(TRIM('Real results'!C192))=UPPER(TRIM('Raw data'!AY192))),2,0),0)</f>
        <v>0</v>
      </c>
      <c r="AZ197" s="39"/>
      <c r="BA197" s="41">
        <f>IFERROR(IF(AND('Real results'!C192&lt;&gt;"",'Raw data'!BA192&lt;&gt;"",UPPER(TRIM('Real results'!C192))=UPPER(TRIM('Raw data'!BA192))),2,0),0)</f>
        <v>0</v>
      </c>
      <c r="BB197" s="39"/>
      <c r="BC197" s="41">
        <f>IFERROR(IF(AND('Real results'!C192&lt;&gt;"",'Raw data'!BC192&lt;&gt;"",UPPER(TRIM('Real results'!C192))=UPPER(TRIM('Raw data'!BC192))),2,0),0)</f>
        <v>0</v>
      </c>
      <c r="BD197" s="39"/>
      <c r="BE197" s="41">
        <f>IFERROR(IF(AND('Real results'!C192&lt;&gt;"",'Raw data'!BE192&lt;&gt;"",UPPER(TRIM('Real results'!C192))=UPPER(TRIM('Raw data'!BE192))),2,0),0)</f>
        <v>0</v>
      </c>
      <c r="BF197" s="39"/>
      <c r="BG197" s="41">
        <f>IFERROR(IF(AND('Real results'!C192&lt;&gt;"",'Raw data'!BG192&lt;&gt;"",UPPER(TRIM('Real results'!C192))=UPPER(TRIM('Raw data'!BG192))),2,0),0)</f>
        <v>0</v>
      </c>
      <c r="BH197" s="39"/>
      <c r="BI197" s="41">
        <f>IFERROR(IF(AND('Real results'!C192&lt;&gt;"",'Raw data'!BI192&lt;&gt;"",UPPER(TRIM('Real results'!C192))=UPPER(TRIM('Raw data'!BI192))),2,0),0)</f>
        <v>0</v>
      </c>
    </row>
    <row r="198" ht="18.0" customHeight="1">
      <c r="A198" s="36"/>
      <c r="B198" s="40" t="s">
        <v>489</v>
      </c>
      <c r="C198" s="41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39"/>
      <c r="E198" s="41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39"/>
      <c r="G198" s="41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39"/>
      <c r="I198" s="41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39"/>
      <c r="K198" s="41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39"/>
      <c r="M198" s="41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39"/>
      <c r="O198" s="41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39"/>
      <c r="Q198" s="41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39"/>
      <c r="S198" s="41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39"/>
      <c r="U198" s="41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39"/>
      <c r="W198" s="41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39"/>
      <c r="Y198" s="41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39"/>
      <c r="AA198" s="41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39"/>
      <c r="AC198" s="41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39"/>
      <c r="AE198" s="41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39"/>
      <c r="AG198" s="41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39"/>
      <c r="AI198" s="41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39"/>
      <c r="AK198" s="41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39"/>
      <c r="AM198" s="41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39"/>
      <c r="AO198" s="41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39"/>
      <c r="AQ198" s="41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39"/>
      <c r="AS198" s="41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39"/>
      <c r="AU198" s="41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39"/>
      <c r="AW198" s="41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39"/>
      <c r="AY198" s="41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39"/>
      <c r="BA198" s="41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39"/>
      <c r="BC198" s="41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39"/>
      <c r="BE198" s="41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39"/>
      <c r="BG198" s="41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39"/>
      <c r="BI198" s="41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6"/>
      <c r="B199" s="40" t="s">
        <v>490</v>
      </c>
      <c r="C199" s="44">
        <f>0</f>
        <v>0</v>
      </c>
      <c r="D199" s="39"/>
      <c r="E199" s="41">
        <f>0</f>
        <v>0</v>
      </c>
      <c r="F199" s="39"/>
      <c r="G199" s="41">
        <f>0</f>
        <v>0</v>
      </c>
      <c r="H199" s="39"/>
      <c r="I199" s="41">
        <f>0</f>
        <v>0</v>
      </c>
      <c r="J199" s="39"/>
      <c r="K199" s="41">
        <f>0</f>
        <v>0</v>
      </c>
      <c r="L199" s="39"/>
      <c r="M199" s="41">
        <f>0</f>
        <v>0</v>
      </c>
      <c r="N199" s="39"/>
      <c r="O199" s="41">
        <f>0</f>
        <v>0</v>
      </c>
      <c r="P199" s="39"/>
      <c r="Q199" s="41">
        <f>0</f>
        <v>0</v>
      </c>
      <c r="R199" s="39"/>
      <c r="S199" s="41">
        <f>0</f>
        <v>0</v>
      </c>
      <c r="T199" s="39"/>
      <c r="U199" s="41">
        <f>0</f>
        <v>0</v>
      </c>
      <c r="V199" s="39"/>
      <c r="W199" s="41">
        <f>0</f>
        <v>0</v>
      </c>
      <c r="X199" s="39"/>
      <c r="Y199" s="41">
        <f>0</f>
        <v>0</v>
      </c>
      <c r="Z199" s="39"/>
      <c r="AA199" s="41">
        <f>0</f>
        <v>0</v>
      </c>
      <c r="AB199" s="39"/>
      <c r="AC199" s="41">
        <f>0</f>
        <v>0</v>
      </c>
      <c r="AD199" s="39"/>
      <c r="AE199" s="41">
        <f>0</f>
        <v>0</v>
      </c>
      <c r="AF199" s="39"/>
      <c r="AG199" s="41">
        <f>0</f>
        <v>0</v>
      </c>
      <c r="AH199" s="39"/>
      <c r="AI199" s="41">
        <f>0</f>
        <v>0</v>
      </c>
      <c r="AJ199" s="39"/>
      <c r="AK199" s="41">
        <f>0</f>
        <v>0</v>
      </c>
      <c r="AL199" s="39"/>
      <c r="AM199" s="41">
        <f>0</f>
        <v>0</v>
      </c>
      <c r="AN199" s="39"/>
      <c r="AO199" s="41">
        <f>0</f>
        <v>0</v>
      </c>
      <c r="AP199" s="39"/>
      <c r="AQ199" s="41">
        <f>0</f>
        <v>0</v>
      </c>
      <c r="AR199" s="39"/>
      <c r="AS199" s="41">
        <f>0</f>
        <v>0</v>
      </c>
      <c r="AT199" s="39"/>
      <c r="AU199" s="41">
        <f>0</f>
        <v>0</v>
      </c>
      <c r="AV199" s="39"/>
      <c r="AW199" s="41">
        <f>0</f>
        <v>0</v>
      </c>
      <c r="AX199" s="39"/>
      <c r="AY199" s="41">
        <f>0</f>
        <v>0</v>
      </c>
      <c r="AZ199" s="39"/>
      <c r="BA199" s="41">
        <f>0</f>
        <v>0</v>
      </c>
      <c r="BB199" s="39"/>
      <c r="BC199" s="41">
        <f>0</f>
        <v>0</v>
      </c>
      <c r="BD199" s="39"/>
      <c r="BE199" s="41">
        <f>0</f>
        <v>0</v>
      </c>
      <c r="BF199" s="39"/>
      <c r="BG199" s="41">
        <f>IFERROR(IF(AND('Real results'!C194&lt;&gt;"",'Raw data'!BG194&lt;&gt;"",UPPER(TRIM('Real results'!C194))=UPPER(TRIM('Raw data'!BG194))),1,0),0)</f>
        <v>0</v>
      </c>
      <c r="BH199" s="39"/>
      <c r="BI199" s="41">
        <f>IFERROR(IF(AND('Real results'!C194&lt;&gt;"",'Raw data'!BI194&lt;&gt;"",UPPER(TRIM('Real results'!C194))=UPPER(TRIM('Raw data'!BI194))),1,0),0)</f>
        <v>0</v>
      </c>
    </row>
    <row r="200" ht="18.0" customHeight="1">
      <c r="A200" s="36"/>
      <c r="B200" s="40" t="s">
        <v>491</v>
      </c>
      <c r="C200" s="41">
        <f>IFERROR(IF(AND('Real results'!C195&lt;&gt;"",'Raw data'!C195&lt;&gt;"",UPPER(TRIM('Real results'!C195))=UPPER(TRIM('Raw data'!C195))),2,0),0)</f>
        <v>0</v>
      </c>
      <c r="D200" s="39"/>
      <c r="E200" s="41">
        <f>IFERROR(IF(AND('Real results'!C195&lt;&gt;"",'Raw data'!E195&lt;&gt;"",UPPER(TRIM('Real results'!C195))=UPPER(TRIM('Raw data'!E195))),2,0),0)</f>
        <v>0</v>
      </c>
      <c r="F200" s="39"/>
      <c r="G200" s="41">
        <f>IFERROR(IF(AND('Real results'!C195&lt;&gt;"",'Raw data'!G195&lt;&gt;"",UPPER(TRIM('Real results'!C195))=UPPER(TRIM('Raw data'!G195))),2,0),0)</f>
        <v>0</v>
      </c>
      <c r="H200" s="39"/>
      <c r="I200" s="41">
        <f>IFERROR(IF(AND('Real results'!C195&lt;&gt;"",'Raw data'!I195&lt;&gt;"",UPPER(TRIM('Real results'!C195))=UPPER(TRIM('Raw data'!I195))),2,0),0)</f>
        <v>0</v>
      </c>
      <c r="J200" s="39"/>
      <c r="K200" s="41">
        <f>IFERROR(IF(AND('Real results'!C195&lt;&gt;"",'Raw data'!K195&lt;&gt;"",UPPER(TRIM('Real results'!C195))=UPPER(TRIM('Raw data'!K195))),2,0),0)</f>
        <v>0</v>
      </c>
      <c r="L200" s="39"/>
      <c r="M200" s="41">
        <f>IFERROR(IF(AND('Real results'!C195&lt;&gt;"",'Raw data'!M195&lt;&gt;"",UPPER(TRIM('Real results'!C195))=UPPER(TRIM('Raw data'!M195))),2,0),0)</f>
        <v>0</v>
      </c>
      <c r="N200" s="39"/>
      <c r="O200" s="41">
        <f>IFERROR(IF(AND('Real results'!C195&lt;&gt;"",'Raw data'!O195&lt;&gt;"",UPPER(TRIM('Real results'!C195))=UPPER(TRIM('Raw data'!O195))),2,0),0)</f>
        <v>0</v>
      </c>
      <c r="P200" s="39"/>
      <c r="Q200" s="41">
        <f>IFERROR(IF(AND('Real results'!C195&lt;&gt;"",'Raw data'!Q195&lt;&gt;"",UPPER(TRIM('Real results'!C195))=UPPER(TRIM('Raw data'!Q195))),2,0),0)</f>
        <v>0</v>
      </c>
      <c r="R200" s="39"/>
      <c r="S200" s="41">
        <f>IFERROR(IF(AND('Real results'!C195&lt;&gt;"",'Raw data'!S195&lt;&gt;"",UPPER(TRIM('Real results'!C195))=UPPER(TRIM('Raw data'!S195))),2,0),0)</f>
        <v>0</v>
      </c>
      <c r="T200" s="39"/>
      <c r="U200" s="41">
        <f>IFERROR(IF(AND('Real results'!C195&lt;&gt;"",'Raw data'!U195&lt;&gt;"",UPPER(TRIM('Real results'!C195))=UPPER(TRIM('Raw data'!U195))),2,0),0)</f>
        <v>0</v>
      </c>
      <c r="V200" s="39"/>
      <c r="W200" s="41">
        <f>IFERROR(IF(AND('Real results'!C195&lt;&gt;"",'Raw data'!W195&lt;&gt;"",UPPER(TRIM('Real results'!C195))=UPPER(TRIM('Raw data'!W195))),2,0),0)</f>
        <v>0</v>
      </c>
      <c r="X200" s="39"/>
      <c r="Y200" s="41">
        <f>IFERROR(IF(AND('Real results'!C195&lt;&gt;"",'Raw data'!Y195&lt;&gt;"",UPPER(TRIM('Real results'!C195))=UPPER(TRIM('Raw data'!Y195))),2,0),0)</f>
        <v>0</v>
      </c>
      <c r="Z200" s="39"/>
      <c r="AA200" s="41">
        <f>IFERROR(IF(AND('Real results'!C195&lt;&gt;"",'Raw data'!AA195&lt;&gt;"",UPPER(TRIM('Real results'!C195))=UPPER(TRIM('Raw data'!AA195))),2,0),0)</f>
        <v>0</v>
      </c>
      <c r="AB200" s="39"/>
      <c r="AC200" s="41">
        <f>IFERROR(IF(AND('Real results'!C195&lt;&gt;"",'Raw data'!AC195&lt;&gt;"",UPPER(TRIM('Real results'!C195))=UPPER(TRIM('Raw data'!AC195))),2,0),0)</f>
        <v>0</v>
      </c>
      <c r="AD200" s="39"/>
      <c r="AE200" s="41">
        <f>IFERROR(IF(AND('Real results'!C195&lt;&gt;"",'Raw data'!AE195&lt;&gt;"",UPPER(TRIM('Real results'!C195))=UPPER(TRIM('Raw data'!AE195))),2,0),0)</f>
        <v>0</v>
      </c>
      <c r="AF200" s="39"/>
      <c r="AG200" s="41">
        <f>IFERROR(IF(AND('Real results'!C195&lt;&gt;"",'Raw data'!AG195&lt;&gt;"",UPPER(TRIM('Real results'!C195))=UPPER(TRIM('Raw data'!AG195))),2,0),0)</f>
        <v>0</v>
      </c>
      <c r="AH200" s="39"/>
      <c r="AI200" s="41">
        <f>IFERROR(IF(AND('Real results'!C195&lt;&gt;"",'Raw data'!AI195&lt;&gt;"",UPPER(TRIM('Real results'!C195))=UPPER(TRIM('Raw data'!AI195))),2,0),0)</f>
        <v>0</v>
      </c>
      <c r="AJ200" s="39"/>
      <c r="AK200" s="41">
        <f>IFERROR(IF(AND('Real results'!C195&lt;&gt;"",'Raw data'!AK195&lt;&gt;"",UPPER(TRIM('Real results'!C195))=UPPER(TRIM('Raw data'!AK195))),2,0),0)</f>
        <v>0</v>
      </c>
      <c r="AL200" s="39"/>
      <c r="AM200" s="41">
        <f>IFERROR(IF(AND('Real results'!C195&lt;&gt;"",'Raw data'!AM195&lt;&gt;"",UPPER(TRIM('Real results'!C195))=UPPER(TRIM('Raw data'!AM195))),2,0),0)</f>
        <v>0</v>
      </c>
      <c r="AN200" s="39"/>
      <c r="AO200" s="41">
        <f>IFERROR(IF(AND('Real results'!C195&lt;&gt;"",'Raw data'!AO195&lt;&gt;"",UPPER(TRIM('Real results'!C195))=UPPER(TRIM('Raw data'!AO195))),2,0),0)</f>
        <v>0</v>
      </c>
      <c r="AP200" s="39"/>
      <c r="AQ200" s="41">
        <f>IFERROR(IF(AND('Real results'!C195&lt;&gt;"",'Raw data'!AQ195&lt;&gt;"",UPPER(TRIM('Real results'!C195))=UPPER(TRIM('Raw data'!AQ195))),2,0),0)</f>
        <v>0</v>
      </c>
      <c r="AR200" s="39"/>
      <c r="AS200" s="41">
        <f>IFERROR(IF(AND('Real results'!C195&lt;&gt;"",'Raw data'!AS195&lt;&gt;"",UPPER(TRIM('Real results'!C195))=UPPER(TRIM('Raw data'!AS195))),2,0),0)</f>
        <v>0</v>
      </c>
      <c r="AT200" s="39"/>
      <c r="AU200" s="41">
        <f>IFERROR(IF(AND('Real results'!C195&lt;&gt;"",'Raw data'!AU195&lt;&gt;"",UPPER(TRIM('Real results'!C195))=UPPER(TRIM('Raw data'!AU195))),2,0),0)</f>
        <v>0</v>
      </c>
      <c r="AV200" s="39"/>
      <c r="AW200" s="41">
        <f>IFERROR(IF(AND('Real results'!C195&lt;&gt;"",'Raw data'!AW195&lt;&gt;"",UPPER(TRIM('Real results'!C195))=UPPER(TRIM('Raw data'!AW195))),2,0),0)</f>
        <v>0</v>
      </c>
      <c r="AX200" s="39"/>
      <c r="AY200" s="41">
        <f>IFERROR(IF(AND('Real results'!C195&lt;&gt;"",'Raw data'!AY195&lt;&gt;"",UPPER(TRIM('Real results'!C195))=UPPER(TRIM('Raw data'!AY195))),2,0),0)</f>
        <v>0</v>
      </c>
      <c r="AZ200" s="39"/>
      <c r="BA200" s="41">
        <f>IFERROR(IF(AND('Real results'!C195&lt;&gt;"",'Raw data'!BA195&lt;&gt;"",UPPER(TRIM('Real results'!C195))=UPPER(TRIM('Raw data'!BA195))),2,0),0)</f>
        <v>0</v>
      </c>
      <c r="BB200" s="39"/>
      <c r="BC200" s="41">
        <f>IFERROR(IF(AND('Real results'!C195&lt;&gt;"",'Raw data'!BC195&lt;&gt;"",UPPER(TRIM('Real results'!C195))=UPPER(TRIM('Raw data'!BC195))),2,0),0)</f>
        <v>0</v>
      </c>
      <c r="BD200" s="39"/>
      <c r="BE200" s="41">
        <f>IFERROR(IF(AND('Real results'!C195&lt;&gt;"",'Raw data'!BE195&lt;&gt;"",UPPER(TRIM('Real results'!C195))=UPPER(TRIM('Raw data'!BE195))),2,0),0)</f>
        <v>0</v>
      </c>
      <c r="BF200" s="39"/>
      <c r="BG200" s="41">
        <f>IFERROR(IF(AND('Real results'!C195&lt;&gt;"",'Raw data'!BG195&lt;&gt;"",UPPER(TRIM('Real results'!C195))=UPPER(TRIM('Raw data'!BG195))),2,0),0)</f>
        <v>0</v>
      </c>
      <c r="BH200" s="39"/>
      <c r="BI200" s="41">
        <f>IFERROR(IF(AND('Real results'!C195&lt;&gt;"",'Raw data'!BI195&lt;&gt;"",UPPER(TRIM('Real results'!C195))=UPPER(TRIM('Raw data'!BI195))),2,0),0)</f>
        <v>0</v>
      </c>
    </row>
    <row r="201" ht="18.0" customHeight="1">
      <c r="A201" s="36"/>
      <c r="B201" s="40" t="s">
        <v>492</v>
      </c>
      <c r="C201" s="41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39"/>
      <c r="E201" s="41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39"/>
      <c r="G201" s="41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39"/>
      <c r="I201" s="41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39"/>
      <c r="K201" s="41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39"/>
      <c r="M201" s="41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39"/>
      <c r="O201" s="41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39"/>
      <c r="Q201" s="41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39"/>
      <c r="S201" s="41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39"/>
      <c r="U201" s="41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39"/>
      <c r="W201" s="41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39"/>
      <c r="Y201" s="41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39"/>
      <c r="AA201" s="41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39"/>
      <c r="AC201" s="41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39"/>
      <c r="AE201" s="41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39"/>
      <c r="AG201" s="41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39"/>
      <c r="AI201" s="41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39"/>
      <c r="AK201" s="41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39"/>
      <c r="AM201" s="41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39"/>
      <c r="AO201" s="41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39"/>
      <c r="AQ201" s="41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39"/>
      <c r="AS201" s="41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39"/>
      <c r="AU201" s="41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39"/>
      <c r="AW201" s="41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39"/>
      <c r="AY201" s="41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39"/>
      <c r="BA201" s="41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39"/>
      <c r="BC201" s="41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39"/>
      <c r="BE201" s="41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39"/>
      <c r="BG201" s="41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39"/>
      <c r="BI201" s="41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6"/>
      <c r="B202" s="40" t="s">
        <v>493</v>
      </c>
      <c r="C202" s="44">
        <f>0</f>
        <v>0</v>
      </c>
      <c r="D202" s="39"/>
      <c r="E202" s="41">
        <f>0</f>
        <v>0</v>
      </c>
      <c r="F202" s="39"/>
      <c r="G202" s="41">
        <f>0</f>
        <v>0</v>
      </c>
      <c r="H202" s="39"/>
      <c r="I202" s="41">
        <f>0</f>
        <v>0</v>
      </c>
      <c r="J202" s="39"/>
      <c r="K202" s="41">
        <f>0</f>
        <v>0</v>
      </c>
      <c r="L202" s="39"/>
      <c r="M202" s="41">
        <f>0</f>
        <v>0</v>
      </c>
      <c r="N202" s="39"/>
      <c r="O202" s="41">
        <f>0</f>
        <v>0</v>
      </c>
      <c r="P202" s="39"/>
      <c r="Q202" s="41">
        <f>0</f>
        <v>0</v>
      </c>
      <c r="R202" s="39"/>
      <c r="S202" s="41">
        <f>0</f>
        <v>0</v>
      </c>
      <c r="T202" s="39"/>
      <c r="U202" s="41">
        <f>0</f>
        <v>0</v>
      </c>
      <c r="V202" s="39"/>
      <c r="W202" s="41">
        <f>0</f>
        <v>0</v>
      </c>
      <c r="X202" s="39"/>
      <c r="Y202" s="41">
        <f>0</f>
        <v>0</v>
      </c>
      <c r="Z202" s="39"/>
      <c r="AA202" s="41">
        <f>0</f>
        <v>0</v>
      </c>
      <c r="AB202" s="39"/>
      <c r="AC202" s="41">
        <f>0</f>
        <v>0</v>
      </c>
      <c r="AD202" s="39"/>
      <c r="AE202" s="41">
        <f>0</f>
        <v>0</v>
      </c>
      <c r="AF202" s="39"/>
      <c r="AG202" s="41">
        <f>0</f>
        <v>0</v>
      </c>
      <c r="AH202" s="39"/>
      <c r="AI202" s="41">
        <f>0</f>
        <v>0</v>
      </c>
      <c r="AJ202" s="39"/>
      <c r="AK202" s="41">
        <f>0</f>
        <v>0</v>
      </c>
      <c r="AL202" s="39"/>
      <c r="AM202" s="41">
        <f>0</f>
        <v>0</v>
      </c>
      <c r="AN202" s="39"/>
      <c r="AO202" s="41">
        <f>0</f>
        <v>0</v>
      </c>
      <c r="AP202" s="39"/>
      <c r="AQ202" s="41">
        <f>0</f>
        <v>0</v>
      </c>
      <c r="AR202" s="39"/>
      <c r="AS202" s="41">
        <f>0</f>
        <v>0</v>
      </c>
      <c r="AT202" s="39"/>
      <c r="AU202" s="41">
        <f>0</f>
        <v>0</v>
      </c>
      <c r="AV202" s="39"/>
      <c r="AW202" s="41">
        <f>0</f>
        <v>0</v>
      </c>
      <c r="AX202" s="39"/>
      <c r="AY202" s="41">
        <f>0</f>
        <v>0</v>
      </c>
      <c r="AZ202" s="39"/>
      <c r="BA202" s="41">
        <f>0</f>
        <v>0</v>
      </c>
      <c r="BB202" s="39"/>
      <c r="BC202" s="41">
        <f>0</f>
        <v>0</v>
      </c>
      <c r="BD202" s="39"/>
      <c r="BE202" s="41">
        <f>0</f>
        <v>0</v>
      </c>
      <c r="BF202" s="39"/>
      <c r="BG202" s="41">
        <f>IFERROR(IF(AND('Real results'!C197&lt;&gt;"",'Raw data'!BG197&lt;&gt;"",UPPER(TRIM('Real results'!C197))=UPPER(TRIM('Raw data'!BG197))),1,0),0)</f>
        <v>0</v>
      </c>
      <c r="BH202" s="39"/>
      <c r="BI202" s="41">
        <f>IFERROR(IF(AND('Real results'!C197&lt;&gt;"",'Raw data'!BI197&lt;&gt;"",UPPER(TRIM('Real results'!C197))=UPPER(TRIM('Raw data'!BI197))),1,0),0)</f>
        <v>0</v>
      </c>
    </row>
    <row r="203" ht="18.0" customHeight="1">
      <c r="A203" s="36"/>
      <c r="B203" s="40" t="s">
        <v>494</v>
      </c>
      <c r="C203" s="41">
        <f>IFERROR(IF(AND('Real results'!C198&lt;&gt;"",'Raw data'!C198&lt;&gt;"",UPPER(TRIM('Real results'!C198))=UPPER(TRIM('Raw data'!C198))),2,0),0)</f>
        <v>0</v>
      </c>
      <c r="D203" s="39"/>
      <c r="E203" s="41">
        <f>IFERROR(IF(AND('Real results'!C198&lt;&gt;"",'Raw data'!E198&lt;&gt;"",UPPER(TRIM('Real results'!C198))=UPPER(TRIM('Raw data'!E198))),2,0),0)</f>
        <v>0</v>
      </c>
      <c r="F203" s="39"/>
      <c r="G203" s="41">
        <f>IFERROR(IF(AND('Real results'!C198&lt;&gt;"",'Raw data'!G198&lt;&gt;"",UPPER(TRIM('Real results'!C198))=UPPER(TRIM('Raw data'!G198))),2,0),0)</f>
        <v>0</v>
      </c>
      <c r="H203" s="39"/>
      <c r="I203" s="41">
        <f>IFERROR(IF(AND('Real results'!C198&lt;&gt;"",'Raw data'!I198&lt;&gt;"",UPPER(TRIM('Real results'!C198))=UPPER(TRIM('Raw data'!I198))),2,0),0)</f>
        <v>0</v>
      </c>
      <c r="J203" s="39"/>
      <c r="K203" s="41">
        <f>IFERROR(IF(AND('Real results'!C198&lt;&gt;"",'Raw data'!K198&lt;&gt;"",UPPER(TRIM('Real results'!C198))=UPPER(TRIM('Raw data'!K198))),2,0),0)</f>
        <v>0</v>
      </c>
      <c r="L203" s="39"/>
      <c r="M203" s="41">
        <f>IFERROR(IF(AND('Real results'!C198&lt;&gt;"",'Raw data'!M198&lt;&gt;"",UPPER(TRIM('Real results'!C198))=UPPER(TRIM('Raw data'!M198))),2,0),0)</f>
        <v>0</v>
      </c>
      <c r="N203" s="39"/>
      <c r="O203" s="41">
        <f>IFERROR(IF(AND('Real results'!C198&lt;&gt;"",'Raw data'!O198&lt;&gt;"",UPPER(TRIM('Real results'!C198))=UPPER(TRIM('Raw data'!O198))),2,0),0)</f>
        <v>0</v>
      </c>
      <c r="P203" s="39"/>
      <c r="Q203" s="41">
        <f>IFERROR(IF(AND('Real results'!C198&lt;&gt;"",'Raw data'!Q198&lt;&gt;"",UPPER(TRIM('Real results'!C198))=UPPER(TRIM('Raw data'!Q198))),2,0),0)</f>
        <v>0</v>
      </c>
      <c r="R203" s="39"/>
      <c r="S203" s="41">
        <f>IFERROR(IF(AND('Real results'!C198&lt;&gt;"",'Raw data'!S198&lt;&gt;"",UPPER(TRIM('Real results'!C198))=UPPER(TRIM('Raw data'!S198))),2,0),0)</f>
        <v>0</v>
      </c>
      <c r="T203" s="39"/>
      <c r="U203" s="41">
        <f>IFERROR(IF(AND('Real results'!C198&lt;&gt;"",'Raw data'!U198&lt;&gt;"",UPPER(TRIM('Real results'!C198))=UPPER(TRIM('Raw data'!U198))),2,0),0)</f>
        <v>0</v>
      </c>
      <c r="V203" s="39"/>
      <c r="W203" s="41">
        <f>IFERROR(IF(AND('Real results'!C198&lt;&gt;"",'Raw data'!W198&lt;&gt;"",UPPER(TRIM('Real results'!C198))=UPPER(TRIM('Raw data'!W198))),2,0),0)</f>
        <v>0</v>
      </c>
      <c r="X203" s="39"/>
      <c r="Y203" s="41">
        <f>IFERROR(IF(AND('Real results'!C198&lt;&gt;"",'Raw data'!Y198&lt;&gt;"",UPPER(TRIM('Real results'!C198))=UPPER(TRIM('Raw data'!Y198))),2,0),0)</f>
        <v>0</v>
      </c>
      <c r="Z203" s="39"/>
      <c r="AA203" s="41">
        <f>IFERROR(IF(AND('Real results'!C198&lt;&gt;"",'Raw data'!AA198&lt;&gt;"",UPPER(TRIM('Real results'!C198))=UPPER(TRIM('Raw data'!AA198))),2,0),0)</f>
        <v>0</v>
      </c>
      <c r="AB203" s="39"/>
      <c r="AC203" s="41">
        <f>IFERROR(IF(AND('Real results'!C198&lt;&gt;"",'Raw data'!AC198&lt;&gt;"",UPPER(TRIM('Real results'!C198))=UPPER(TRIM('Raw data'!AC198))),2,0),0)</f>
        <v>0</v>
      </c>
      <c r="AD203" s="39"/>
      <c r="AE203" s="41">
        <f>IFERROR(IF(AND('Real results'!C198&lt;&gt;"",'Raw data'!AE198&lt;&gt;"",UPPER(TRIM('Real results'!C198))=UPPER(TRIM('Raw data'!AE198))),2,0),0)</f>
        <v>0</v>
      </c>
      <c r="AF203" s="39"/>
      <c r="AG203" s="41">
        <f>IFERROR(IF(AND('Real results'!C198&lt;&gt;"",'Raw data'!AG198&lt;&gt;"",UPPER(TRIM('Real results'!C198))=UPPER(TRIM('Raw data'!AG198))),2,0),0)</f>
        <v>0</v>
      </c>
      <c r="AH203" s="39"/>
      <c r="AI203" s="41">
        <f>IFERROR(IF(AND('Real results'!C198&lt;&gt;"",'Raw data'!AI198&lt;&gt;"",UPPER(TRIM('Real results'!C198))=UPPER(TRIM('Raw data'!AI198))),2,0),0)</f>
        <v>0</v>
      </c>
      <c r="AJ203" s="39"/>
      <c r="AK203" s="41">
        <f>IFERROR(IF(AND('Real results'!C198&lt;&gt;"",'Raw data'!AK198&lt;&gt;"",UPPER(TRIM('Real results'!C198))=UPPER(TRIM('Raw data'!AK198))),2,0),0)</f>
        <v>0</v>
      </c>
      <c r="AL203" s="39"/>
      <c r="AM203" s="41">
        <f>IFERROR(IF(AND('Real results'!C198&lt;&gt;"",'Raw data'!AM198&lt;&gt;"",UPPER(TRIM('Real results'!C198))=UPPER(TRIM('Raw data'!AM198))),2,0),0)</f>
        <v>0</v>
      </c>
      <c r="AN203" s="39"/>
      <c r="AO203" s="41">
        <f>IFERROR(IF(AND('Real results'!C198&lt;&gt;"",'Raw data'!AO198&lt;&gt;"",UPPER(TRIM('Real results'!C198))=UPPER(TRIM('Raw data'!AO198))),2,0),0)</f>
        <v>0</v>
      </c>
      <c r="AP203" s="39"/>
      <c r="AQ203" s="41">
        <f>IFERROR(IF(AND('Real results'!C198&lt;&gt;"",'Raw data'!AQ198&lt;&gt;"",UPPER(TRIM('Real results'!C198))=UPPER(TRIM('Raw data'!AQ198))),2,0),0)</f>
        <v>0</v>
      </c>
      <c r="AR203" s="39"/>
      <c r="AS203" s="41">
        <f>IFERROR(IF(AND('Real results'!C198&lt;&gt;"",'Raw data'!AS198&lt;&gt;"",UPPER(TRIM('Real results'!C198))=UPPER(TRIM('Raw data'!AS198))),2,0),0)</f>
        <v>0</v>
      </c>
      <c r="AT203" s="39"/>
      <c r="AU203" s="41">
        <f>IFERROR(IF(AND('Real results'!C198&lt;&gt;"",'Raw data'!AU198&lt;&gt;"",UPPER(TRIM('Real results'!C198))=UPPER(TRIM('Raw data'!AU198))),2,0),0)</f>
        <v>0</v>
      </c>
      <c r="AV203" s="39"/>
      <c r="AW203" s="41">
        <f>IFERROR(IF(AND('Real results'!C198&lt;&gt;"",'Raw data'!AW198&lt;&gt;"",UPPER(TRIM('Real results'!C198))=UPPER(TRIM('Raw data'!AW198))),2,0),0)</f>
        <v>0</v>
      </c>
      <c r="AX203" s="39"/>
      <c r="AY203" s="41">
        <f>IFERROR(IF(AND('Real results'!C198&lt;&gt;"",'Raw data'!AY198&lt;&gt;"",UPPER(TRIM('Real results'!C198))=UPPER(TRIM('Raw data'!AY198))),2,0),0)</f>
        <v>0</v>
      </c>
      <c r="AZ203" s="39"/>
      <c r="BA203" s="41">
        <f>IFERROR(IF(AND('Real results'!C198&lt;&gt;"",'Raw data'!BA198&lt;&gt;"",UPPER(TRIM('Real results'!C198))=UPPER(TRIM('Raw data'!BA198))),2,0),0)</f>
        <v>0</v>
      </c>
      <c r="BB203" s="39"/>
      <c r="BC203" s="41">
        <f>IFERROR(IF(AND('Real results'!C198&lt;&gt;"",'Raw data'!BC198&lt;&gt;"",UPPER(TRIM('Real results'!C198))=UPPER(TRIM('Raw data'!BC198))),2,0),0)</f>
        <v>0</v>
      </c>
      <c r="BD203" s="39"/>
      <c r="BE203" s="41">
        <f>IFERROR(IF(AND('Real results'!C198&lt;&gt;"",'Raw data'!BE198&lt;&gt;"",UPPER(TRIM('Real results'!C198))=UPPER(TRIM('Raw data'!BE198))),2,0),0)</f>
        <v>0</v>
      </c>
      <c r="BF203" s="39"/>
      <c r="BG203" s="41">
        <f>IFERROR(IF(AND('Real results'!C198&lt;&gt;"",'Raw data'!BG198&lt;&gt;"",UPPER(TRIM('Real results'!C198))=UPPER(TRIM('Raw data'!BG198))),2,0),0)</f>
        <v>0</v>
      </c>
      <c r="BH203" s="39"/>
      <c r="BI203" s="41">
        <f>IFERROR(IF(AND('Real results'!C198&lt;&gt;"",'Raw data'!BI198&lt;&gt;"",UPPER(TRIM('Real results'!C198))=UPPER(TRIM('Raw data'!BI198))),2,0),0)</f>
        <v>0</v>
      </c>
    </row>
    <row r="204" ht="21.75" customHeight="1">
      <c r="A204" s="36"/>
      <c r="B204" s="42" t="s">
        <v>495</v>
      </c>
      <c r="C204" s="43">
        <f>SUM(C180:C203)</f>
        <v>0</v>
      </c>
      <c r="D204" s="39"/>
      <c r="E204" s="43">
        <f>SUM(E180:E203)</f>
        <v>0</v>
      </c>
      <c r="F204" s="39"/>
      <c r="G204" s="43">
        <f>SUM(G180:G203)</f>
        <v>0</v>
      </c>
      <c r="H204" s="39"/>
      <c r="I204" s="43">
        <f>SUM(I180:I203)</f>
        <v>0</v>
      </c>
      <c r="J204" s="39"/>
      <c r="K204" s="43">
        <f>SUM(K180:K203)</f>
        <v>0</v>
      </c>
      <c r="L204" s="39"/>
      <c r="M204" s="43">
        <f>SUM(M180:M203)</f>
        <v>0</v>
      </c>
      <c r="N204" s="39"/>
      <c r="O204" s="43">
        <f>SUM(O180:O203)</f>
        <v>0</v>
      </c>
      <c r="P204" s="39"/>
      <c r="Q204" s="43">
        <f>SUM(Q180:Q203)</f>
        <v>0</v>
      </c>
      <c r="R204" s="39"/>
      <c r="S204" s="43">
        <f>SUM(S180:S203)</f>
        <v>0</v>
      </c>
      <c r="T204" s="39"/>
      <c r="U204" s="43">
        <f>SUM(U180:U203)</f>
        <v>0</v>
      </c>
      <c r="V204" s="39"/>
      <c r="W204" s="43">
        <f>SUM(W180:W203)</f>
        <v>0</v>
      </c>
      <c r="X204" s="39"/>
      <c r="Y204" s="43">
        <f>SUM(Y180:Y203)</f>
        <v>0</v>
      </c>
      <c r="Z204" s="39"/>
      <c r="AA204" s="43">
        <f>SUM(AA180:AA203)</f>
        <v>0</v>
      </c>
      <c r="AB204" s="39"/>
      <c r="AC204" s="43">
        <f>SUM(AC180:AC203)</f>
        <v>0</v>
      </c>
      <c r="AD204" s="39"/>
      <c r="AE204" s="43">
        <f>SUM(AE180:AE203)</f>
        <v>0</v>
      </c>
      <c r="AF204" s="39"/>
      <c r="AG204" s="43">
        <f>SUM(AG180:AG203)</f>
        <v>0</v>
      </c>
      <c r="AH204" s="39"/>
      <c r="AI204" s="43">
        <f>SUM(AI180:AI203)</f>
        <v>0</v>
      </c>
      <c r="AJ204" s="39"/>
      <c r="AK204" s="43">
        <f>SUM(AK180:AK203)</f>
        <v>0</v>
      </c>
      <c r="AL204" s="39"/>
      <c r="AM204" s="43">
        <f>SUM(AM180:AM203)</f>
        <v>0</v>
      </c>
      <c r="AN204" s="39"/>
      <c r="AO204" s="43">
        <f>SUM(AO180:AO203)</f>
        <v>0</v>
      </c>
      <c r="AP204" s="39"/>
      <c r="AQ204" s="43">
        <f>SUM(AQ180:AQ203)</f>
        <v>0</v>
      </c>
      <c r="AR204" s="39"/>
      <c r="AS204" s="43">
        <f>SUM(AS180:AS203)</f>
        <v>0</v>
      </c>
      <c r="AT204" s="39"/>
      <c r="AU204" s="43">
        <f>SUM(AU180:AU203)</f>
        <v>0</v>
      </c>
      <c r="AV204" s="39"/>
      <c r="AW204" s="43">
        <f>SUM(AW180:AW203)</f>
        <v>0</v>
      </c>
      <c r="AX204" s="39"/>
      <c r="AY204" s="43">
        <f>SUM(AY180:AY203)</f>
        <v>0</v>
      </c>
      <c r="AZ204" s="39"/>
      <c r="BA204" s="43">
        <f>SUM(BA180:BA203)</f>
        <v>0</v>
      </c>
      <c r="BB204" s="39"/>
      <c r="BC204" s="43">
        <f>SUM(BC180:BC203)</f>
        <v>0</v>
      </c>
      <c r="BD204" s="39"/>
      <c r="BE204" s="43">
        <f>SUM(BE180:BE203)</f>
        <v>0</v>
      </c>
      <c r="BF204" s="39"/>
      <c r="BG204" s="43">
        <f>SUM(BG180:BG203)</f>
        <v>0</v>
      </c>
      <c r="BH204" s="39"/>
      <c r="BI204" s="43">
        <f>SUM(BI180:BI203)</f>
        <v>0</v>
      </c>
    </row>
    <row r="205" ht="19.5" customHeight="1">
      <c r="A205" s="36"/>
      <c r="B205" s="37" t="s">
        <v>496</v>
      </c>
      <c r="C205" s="38"/>
      <c r="D205" s="39"/>
      <c r="E205" s="38"/>
      <c r="F205" s="39"/>
      <c r="G205" s="38"/>
      <c r="H205" s="39"/>
      <c r="I205" s="38"/>
      <c r="J205" s="39"/>
      <c r="K205" s="38"/>
      <c r="L205" s="39"/>
      <c r="M205" s="38"/>
      <c r="N205" s="39"/>
      <c r="O205" s="38"/>
      <c r="P205" s="39"/>
      <c r="Q205" s="38"/>
      <c r="R205" s="39"/>
      <c r="S205" s="38"/>
      <c r="T205" s="39"/>
      <c r="U205" s="38"/>
      <c r="V205" s="39"/>
      <c r="W205" s="38"/>
      <c r="X205" s="39"/>
      <c r="Y205" s="38"/>
      <c r="Z205" s="39"/>
      <c r="AA205" s="38"/>
      <c r="AB205" s="39"/>
      <c r="AC205" s="38"/>
      <c r="AD205" s="39"/>
      <c r="AE205" s="38"/>
      <c r="AF205" s="39"/>
      <c r="AG205" s="38"/>
      <c r="AH205" s="39"/>
      <c r="AI205" s="38"/>
      <c r="AJ205" s="39"/>
      <c r="AK205" s="38"/>
      <c r="AL205" s="39"/>
      <c r="AM205" s="38"/>
      <c r="AN205" s="39"/>
      <c r="AO205" s="38"/>
      <c r="AP205" s="39"/>
      <c r="AQ205" s="38"/>
      <c r="AR205" s="39"/>
      <c r="AS205" s="38"/>
      <c r="AT205" s="39"/>
      <c r="AU205" s="38"/>
      <c r="AV205" s="39"/>
      <c r="AW205" s="38"/>
      <c r="AX205" s="39"/>
      <c r="AY205" s="38"/>
      <c r="AZ205" s="39"/>
      <c r="BA205" s="38"/>
      <c r="BB205" s="39"/>
      <c r="BC205" s="38"/>
      <c r="BD205" s="39"/>
      <c r="BE205" s="38"/>
      <c r="BF205" s="39"/>
      <c r="BG205" s="38"/>
      <c r="BH205" s="39"/>
      <c r="BI205" s="38"/>
    </row>
    <row r="206" ht="18.0" customHeight="1">
      <c r="A206" s="36"/>
      <c r="B206" s="40" t="s">
        <v>497</v>
      </c>
      <c r="C206" s="41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39"/>
      <c r="E206" s="41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39"/>
      <c r="G206" s="41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39"/>
      <c r="I206" s="41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39"/>
      <c r="K206" s="41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39"/>
      <c r="M206" s="41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39"/>
      <c r="O206" s="41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39"/>
      <c r="Q206" s="41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39"/>
      <c r="S206" s="41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39"/>
      <c r="U206" s="41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39"/>
      <c r="W206" s="41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39"/>
      <c r="Y206" s="41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39"/>
      <c r="AA206" s="41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39"/>
      <c r="AC206" s="41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39"/>
      <c r="AE206" s="41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39"/>
      <c r="AG206" s="41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39"/>
      <c r="AI206" s="41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39"/>
      <c r="AK206" s="41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39"/>
      <c r="AM206" s="41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39"/>
      <c r="AO206" s="41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39"/>
      <c r="AQ206" s="41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39"/>
      <c r="AS206" s="41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39"/>
      <c r="AU206" s="41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39"/>
      <c r="AW206" s="41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39"/>
      <c r="AY206" s="41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39"/>
      <c r="BA206" s="41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39"/>
      <c r="BC206" s="41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39"/>
      <c r="BE206" s="41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39"/>
      <c r="BG206" s="41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39"/>
      <c r="BI206" s="41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6"/>
      <c r="B207" s="40" t="s">
        <v>498</v>
      </c>
      <c r="C207" s="44">
        <f>0</f>
        <v>0</v>
      </c>
      <c r="D207" s="39"/>
      <c r="E207" s="41">
        <f>0</f>
        <v>0</v>
      </c>
      <c r="F207" s="39"/>
      <c r="G207" s="41">
        <f>0</f>
        <v>0</v>
      </c>
      <c r="H207" s="39"/>
      <c r="I207" s="41">
        <f>0</f>
        <v>0</v>
      </c>
      <c r="J207" s="39"/>
      <c r="K207" s="41">
        <f>0</f>
        <v>0</v>
      </c>
      <c r="L207" s="39"/>
      <c r="M207" s="41">
        <f>0</f>
        <v>0</v>
      </c>
      <c r="N207" s="39"/>
      <c r="O207" s="41">
        <f>0</f>
        <v>0</v>
      </c>
      <c r="P207" s="39"/>
      <c r="Q207" s="41">
        <f>0</f>
        <v>0</v>
      </c>
      <c r="R207" s="39"/>
      <c r="S207" s="41">
        <f>0</f>
        <v>0</v>
      </c>
      <c r="T207" s="39"/>
      <c r="U207" s="41">
        <f>0</f>
        <v>0</v>
      </c>
      <c r="V207" s="39"/>
      <c r="W207" s="41">
        <f>0</f>
        <v>0</v>
      </c>
      <c r="X207" s="39"/>
      <c r="Y207" s="41">
        <f>0</f>
        <v>0</v>
      </c>
      <c r="Z207" s="39"/>
      <c r="AA207" s="41">
        <f>0</f>
        <v>0</v>
      </c>
      <c r="AB207" s="39"/>
      <c r="AC207" s="41">
        <f>0</f>
        <v>0</v>
      </c>
      <c r="AD207" s="39"/>
      <c r="AE207" s="41">
        <f>0</f>
        <v>0</v>
      </c>
      <c r="AF207" s="39"/>
      <c r="AG207" s="41">
        <f>0</f>
        <v>0</v>
      </c>
      <c r="AH207" s="39"/>
      <c r="AI207" s="41">
        <f>0</f>
        <v>0</v>
      </c>
      <c r="AJ207" s="39"/>
      <c r="AK207" s="41">
        <f>0</f>
        <v>0</v>
      </c>
      <c r="AL207" s="39"/>
      <c r="AM207" s="41">
        <f>0</f>
        <v>0</v>
      </c>
      <c r="AN207" s="39"/>
      <c r="AO207" s="41">
        <f>0</f>
        <v>0</v>
      </c>
      <c r="AP207" s="39"/>
      <c r="AQ207" s="41">
        <f>0</f>
        <v>0</v>
      </c>
      <c r="AR207" s="39"/>
      <c r="AS207" s="41">
        <f>0</f>
        <v>0</v>
      </c>
      <c r="AT207" s="39"/>
      <c r="AU207" s="41">
        <f>0</f>
        <v>0</v>
      </c>
      <c r="AV207" s="39"/>
      <c r="AW207" s="41">
        <f>0</f>
        <v>0</v>
      </c>
      <c r="AX207" s="39"/>
      <c r="AY207" s="41">
        <f>0</f>
        <v>0</v>
      </c>
      <c r="AZ207" s="39"/>
      <c r="BA207" s="41">
        <f>0</f>
        <v>0</v>
      </c>
      <c r="BB207" s="39"/>
      <c r="BC207" s="41">
        <f>0</f>
        <v>0</v>
      </c>
      <c r="BD207" s="39"/>
      <c r="BE207" s="41">
        <f>0</f>
        <v>0</v>
      </c>
      <c r="BF207" s="39"/>
      <c r="BG207" s="41">
        <f>IFERROR(IF(AND('Real results'!C201&lt;&gt;"",'Raw data'!BG201&lt;&gt;"",UPPER(TRIM('Real results'!C201))=UPPER(TRIM('Raw data'!BG201))),1,0),0)</f>
        <v>0</v>
      </c>
      <c r="BH207" s="39"/>
      <c r="BI207" s="41">
        <f>IFERROR(IF(AND('Real results'!C201&lt;&gt;"",'Raw data'!BI201&lt;&gt;"",UPPER(TRIM('Real results'!C201))=UPPER(TRIM('Raw data'!BI201))),1,0),0)</f>
        <v>0</v>
      </c>
    </row>
    <row r="208" ht="18.0" customHeight="1">
      <c r="A208" s="36"/>
      <c r="B208" s="40" t="s">
        <v>499</v>
      </c>
      <c r="C208" s="41">
        <f>IFERROR(IF(AND('Real results'!C202&lt;&gt;"",'Raw data'!C202&lt;&gt;"",UPPER(TRIM('Real results'!C202))=UPPER(TRIM('Raw data'!C202))),4,0),0)</f>
        <v>0</v>
      </c>
      <c r="D208" s="39"/>
      <c r="E208" s="41">
        <f>IFERROR(IF(AND('Real results'!C202&lt;&gt;"",'Raw data'!E202&lt;&gt;"",UPPER(TRIM('Real results'!C202))=UPPER(TRIM('Raw data'!E202))),4,0),0)</f>
        <v>0</v>
      </c>
      <c r="F208" s="39"/>
      <c r="G208" s="41">
        <f>IFERROR(IF(AND('Real results'!C202&lt;&gt;"",'Raw data'!G202&lt;&gt;"",UPPER(TRIM('Real results'!C202))=UPPER(TRIM('Raw data'!G202))),4,0),0)</f>
        <v>0</v>
      </c>
      <c r="H208" s="39"/>
      <c r="I208" s="41">
        <f>IFERROR(IF(AND('Real results'!C202&lt;&gt;"",'Raw data'!I202&lt;&gt;"",UPPER(TRIM('Real results'!C202))=UPPER(TRIM('Raw data'!I202))),4,0),0)</f>
        <v>0</v>
      </c>
      <c r="J208" s="39"/>
      <c r="K208" s="41">
        <f>IFERROR(IF(AND('Real results'!C202&lt;&gt;"",'Raw data'!K202&lt;&gt;"",UPPER(TRIM('Real results'!C202))=UPPER(TRIM('Raw data'!K202))),4,0),0)</f>
        <v>0</v>
      </c>
      <c r="L208" s="39"/>
      <c r="M208" s="41">
        <f>IFERROR(IF(AND('Real results'!C202&lt;&gt;"",'Raw data'!M202&lt;&gt;"",UPPER(TRIM('Real results'!C202))=UPPER(TRIM('Raw data'!M202))),4,0),0)</f>
        <v>0</v>
      </c>
      <c r="N208" s="39"/>
      <c r="O208" s="41">
        <f>IFERROR(IF(AND('Real results'!C202&lt;&gt;"",'Raw data'!O202&lt;&gt;"",UPPER(TRIM('Real results'!C202))=UPPER(TRIM('Raw data'!O202))),4,0),0)</f>
        <v>0</v>
      </c>
      <c r="P208" s="39"/>
      <c r="Q208" s="41">
        <f>IFERROR(IF(AND('Real results'!C202&lt;&gt;"",'Raw data'!Q202&lt;&gt;"",UPPER(TRIM('Real results'!C202))=UPPER(TRIM('Raw data'!Q202))),4,0),0)</f>
        <v>0</v>
      </c>
      <c r="R208" s="39"/>
      <c r="S208" s="41">
        <f>IFERROR(IF(AND('Real results'!C202&lt;&gt;"",'Raw data'!S202&lt;&gt;"",UPPER(TRIM('Real results'!C202))=UPPER(TRIM('Raw data'!S202))),4,0),0)</f>
        <v>0</v>
      </c>
      <c r="T208" s="39"/>
      <c r="U208" s="41">
        <f>IFERROR(IF(AND('Real results'!C202&lt;&gt;"",'Raw data'!U202&lt;&gt;"",UPPER(TRIM('Real results'!C202))=UPPER(TRIM('Raw data'!U202))),4,0),0)</f>
        <v>0</v>
      </c>
      <c r="V208" s="39"/>
      <c r="W208" s="41">
        <f>IFERROR(IF(AND('Real results'!C202&lt;&gt;"",'Raw data'!W202&lt;&gt;"",UPPER(TRIM('Real results'!C202))=UPPER(TRIM('Raw data'!W202))),4,0),0)</f>
        <v>0</v>
      </c>
      <c r="X208" s="39"/>
      <c r="Y208" s="41">
        <f>IFERROR(IF(AND('Real results'!C202&lt;&gt;"",'Raw data'!Y202&lt;&gt;"",UPPER(TRIM('Real results'!C202))=UPPER(TRIM('Raw data'!Y202))),4,0),0)</f>
        <v>0</v>
      </c>
      <c r="Z208" s="39"/>
      <c r="AA208" s="41">
        <f>IFERROR(IF(AND('Real results'!C202&lt;&gt;"",'Raw data'!AA202&lt;&gt;"",UPPER(TRIM('Real results'!C202))=UPPER(TRIM('Raw data'!AA202))),4,0),0)</f>
        <v>0</v>
      </c>
      <c r="AB208" s="39"/>
      <c r="AC208" s="41">
        <f>IFERROR(IF(AND('Real results'!C202&lt;&gt;"",'Raw data'!AC202&lt;&gt;"",UPPER(TRIM('Real results'!C202))=UPPER(TRIM('Raw data'!AC202))),4,0),0)</f>
        <v>0</v>
      </c>
      <c r="AD208" s="39"/>
      <c r="AE208" s="41">
        <f>IFERROR(IF(AND('Real results'!C202&lt;&gt;"",'Raw data'!AE202&lt;&gt;"",UPPER(TRIM('Real results'!C202))=UPPER(TRIM('Raw data'!AE202))),4,0),0)</f>
        <v>0</v>
      </c>
      <c r="AF208" s="39"/>
      <c r="AG208" s="41">
        <f>IFERROR(IF(AND('Real results'!C202&lt;&gt;"",'Raw data'!AG202&lt;&gt;"",UPPER(TRIM('Real results'!C202))=UPPER(TRIM('Raw data'!AG202))),4,0),0)</f>
        <v>0</v>
      </c>
      <c r="AH208" s="39"/>
      <c r="AI208" s="41">
        <f>IFERROR(IF(AND('Real results'!C202&lt;&gt;"",'Raw data'!AI202&lt;&gt;"",UPPER(TRIM('Real results'!C202))=UPPER(TRIM('Raw data'!AI202))),4,0),0)</f>
        <v>0</v>
      </c>
      <c r="AJ208" s="39"/>
      <c r="AK208" s="41">
        <f>IFERROR(IF(AND('Real results'!C202&lt;&gt;"",'Raw data'!AK202&lt;&gt;"",UPPER(TRIM('Real results'!C202))=UPPER(TRIM('Raw data'!AK202))),4,0),0)</f>
        <v>0</v>
      </c>
      <c r="AL208" s="39"/>
      <c r="AM208" s="41">
        <f>IFERROR(IF(AND('Real results'!C202&lt;&gt;"",'Raw data'!AM202&lt;&gt;"",UPPER(TRIM('Real results'!C202))=UPPER(TRIM('Raw data'!AM202))),4,0),0)</f>
        <v>0</v>
      </c>
      <c r="AN208" s="39"/>
      <c r="AO208" s="41">
        <f>IFERROR(IF(AND('Real results'!C202&lt;&gt;"",'Raw data'!AO202&lt;&gt;"",UPPER(TRIM('Real results'!C202))=UPPER(TRIM('Raw data'!AO202))),4,0),0)</f>
        <v>0</v>
      </c>
      <c r="AP208" s="39"/>
      <c r="AQ208" s="41">
        <f>IFERROR(IF(AND('Real results'!C202&lt;&gt;"",'Raw data'!AQ202&lt;&gt;"",UPPER(TRIM('Real results'!C202))=UPPER(TRIM('Raw data'!AQ202))),4,0),0)</f>
        <v>0</v>
      </c>
      <c r="AR208" s="39"/>
      <c r="AS208" s="41">
        <f>IFERROR(IF(AND('Real results'!C202&lt;&gt;"",'Raw data'!AS202&lt;&gt;"",UPPER(TRIM('Real results'!C202))=UPPER(TRIM('Raw data'!AS202))),4,0),0)</f>
        <v>0</v>
      </c>
      <c r="AT208" s="39"/>
      <c r="AU208" s="41">
        <f>IFERROR(IF(AND('Real results'!C202&lt;&gt;"",'Raw data'!AU202&lt;&gt;"",UPPER(TRIM('Real results'!C202))=UPPER(TRIM('Raw data'!AU202))),4,0),0)</f>
        <v>0</v>
      </c>
      <c r="AV208" s="39"/>
      <c r="AW208" s="41">
        <f>IFERROR(IF(AND('Real results'!C202&lt;&gt;"",'Raw data'!AW202&lt;&gt;"",UPPER(TRIM('Real results'!C202))=UPPER(TRIM('Raw data'!AW202))),4,0),0)</f>
        <v>0</v>
      </c>
      <c r="AX208" s="39"/>
      <c r="AY208" s="41">
        <f>IFERROR(IF(AND('Real results'!C202&lt;&gt;"",'Raw data'!AY202&lt;&gt;"",UPPER(TRIM('Real results'!C202))=UPPER(TRIM('Raw data'!AY202))),4,0),0)</f>
        <v>0</v>
      </c>
      <c r="AZ208" s="39"/>
      <c r="BA208" s="41">
        <f>IFERROR(IF(AND('Real results'!C202&lt;&gt;"",'Raw data'!BA202&lt;&gt;"",UPPER(TRIM('Real results'!C202))=UPPER(TRIM('Raw data'!BA202))),4,0),0)</f>
        <v>0</v>
      </c>
      <c r="BB208" s="39"/>
      <c r="BC208" s="41">
        <f>IFERROR(IF(AND('Real results'!C202&lt;&gt;"",'Raw data'!BC202&lt;&gt;"",UPPER(TRIM('Real results'!C202))=UPPER(TRIM('Raw data'!BC202))),4,0),0)</f>
        <v>0</v>
      </c>
      <c r="BD208" s="39"/>
      <c r="BE208" s="41">
        <f>IFERROR(IF(AND('Real results'!C202&lt;&gt;"",'Raw data'!BE202&lt;&gt;"",UPPER(TRIM('Real results'!C202))=UPPER(TRIM('Raw data'!BE202))),4,0),0)</f>
        <v>0</v>
      </c>
      <c r="BF208" s="39"/>
      <c r="BG208" s="41">
        <f>IFERROR(IF(AND('Real results'!C202&lt;&gt;"",'Raw data'!BG202&lt;&gt;"",UPPER(TRIM('Real results'!C202))=UPPER(TRIM('Raw data'!BG202))),4,0),0)</f>
        <v>0</v>
      </c>
      <c r="BH208" s="39"/>
      <c r="BI208" s="41">
        <f>IFERROR(IF(AND('Real results'!C202&lt;&gt;"",'Raw data'!BI202&lt;&gt;"",UPPER(TRIM('Real results'!C202))=UPPER(TRIM('Raw data'!BI202))),4,0),0)</f>
        <v>0</v>
      </c>
    </row>
    <row r="209" ht="18.0" customHeight="1">
      <c r="A209" s="36"/>
      <c r="B209" s="40" t="s">
        <v>500</v>
      </c>
      <c r="C209" s="41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39"/>
      <c r="E209" s="41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39"/>
      <c r="G209" s="41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39"/>
      <c r="I209" s="41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39"/>
      <c r="K209" s="41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39"/>
      <c r="M209" s="41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39"/>
      <c r="O209" s="41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39"/>
      <c r="Q209" s="41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39"/>
      <c r="S209" s="41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39"/>
      <c r="U209" s="41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39"/>
      <c r="W209" s="41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39"/>
      <c r="Y209" s="41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39"/>
      <c r="AA209" s="41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39"/>
      <c r="AC209" s="41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39"/>
      <c r="AE209" s="41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39"/>
      <c r="AG209" s="41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39"/>
      <c r="AI209" s="41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39"/>
      <c r="AK209" s="41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39"/>
      <c r="AM209" s="41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39"/>
      <c r="AO209" s="41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39"/>
      <c r="AQ209" s="41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39"/>
      <c r="AS209" s="41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39"/>
      <c r="AU209" s="41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39"/>
      <c r="AW209" s="41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39"/>
      <c r="AY209" s="41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39"/>
      <c r="BA209" s="41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39"/>
      <c r="BC209" s="41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39"/>
      <c r="BE209" s="41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39"/>
      <c r="BG209" s="41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39"/>
      <c r="BI209" s="41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6"/>
      <c r="B210" s="40" t="s">
        <v>501</v>
      </c>
      <c r="C210" s="44">
        <f>0</f>
        <v>0</v>
      </c>
      <c r="D210" s="39"/>
      <c r="E210" s="41">
        <f>0</f>
        <v>0</v>
      </c>
      <c r="F210" s="39"/>
      <c r="G210" s="41">
        <f>0</f>
        <v>0</v>
      </c>
      <c r="H210" s="39"/>
      <c r="I210" s="41">
        <f>0</f>
        <v>0</v>
      </c>
      <c r="J210" s="39"/>
      <c r="K210" s="41">
        <f>0</f>
        <v>0</v>
      </c>
      <c r="L210" s="39"/>
      <c r="M210" s="41">
        <f>0</f>
        <v>0</v>
      </c>
      <c r="N210" s="39"/>
      <c r="O210" s="41">
        <f>0</f>
        <v>0</v>
      </c>
      <c r="P210" s="39"/>
      <c r="Q210" s="41">
        <f>0</f>
        <v>0</v>
      </c>
      <c r="R210" s="39"/>
      <c r="S210" s="41">
        <f>0</f>
        <v>0</v>
      </c>
      <c r="T210" s="39"/>
      <c r="U210" s="41">
        <f>0</f>
        <v>0</v>
      </c>
      <c r="V210" s="39"/>
      <c r="W210" s="41">
        <f>0</f>
        <v>0</v>
      </c>
      <c r="X210" s="39"/>
      <c r="Y210" s="41">
        <f>0</f>
        <v>0</v>
      </c>
      <c r="Z210" s="39"/>
      <c r="AA210" s="41">
        <f>0</f>
        <v>0</v>
      </c>
      <c r="AB210" s="39"/>
      <c r="AC210" s="41">
        <f>0</f>
        <v>0</v>
      </c>
      <c r="AD210" s="39"/>
      <c r="AE210" s="41">
        <f>0</f>
        <v>0</v>
      </c>
      <c r="AF210" s="39"/>
      <c r="AG210" s="41">
        <f>0</f>
        <v>0</v>
      </c>
      <c r="AH210" s="39"/>
      <c r="AI210" s="41">
        <f>0</f>
        <v>0</v>
      </c>
      <c r="AJ210" s="39"/>
      <c r="AK210" s="41">
        <f>0</f>
        <v>0</v>
      </c>
      <c r="AL210" s="39"/>
      <c r="AM210" s="41">
        <f>0</f>
        <v>0</v>
      </c>
      <c r="AN210" s="39"/>
      <c r="AO210" s="41">
        <f>0</f>
        <v>0</v>
      </c>
      <c r="AP210" s="39"/>
      <c r="AQ210" s="41">
        <f>0</f>
        <v>0</v>
      </c>
      <c r="AR210" s="39"/>
      <c r="AS210" s="41">
        <f>0</f>
        <v>0</v>
      </c>
      <c r="AT210" s="39"/>
      <c r="AU210" s="41">
        <f>0</f>
        <v>0</v>
      </c>
      <c r="AV210" s="39"/>
      <c r="AW210" s="41">
        <f>0</f>
        <v>0</v>
      </c>
      <c r="AX210" s="39"/>
      <c r="AY210" s="41">
        <f>0</f>
        <v>0</v>
      </c>
      <c r="AZ210" s="39"/>
      <c r="BA210" s="41">
        <f>0</f>
        <v>0</v>
      </c>
      <c r="BB210" s="39"/>
      <c r="BC210" s="41">
        <f>0</f>
        <v>0</v>
      </c>
      <c r="BD210" s="39"/>
      <c r="BE210" s="41">
        <f>0</f>
        <v>0</v>
      </c>
      <c r="BF210" s="39"/>
      <c r="BG210" s="41">
        <f>IFERROR(IF(AND('Real results'!C204&lt;&gt;"",'Raw data'!BG204&lt;&gt;"",UPPER(TRIM('Real results'!C204))=UPPER(TRIM('Raw data'!BG204))),1,0),0)</f>
        <v>0</v>
      </c>
      <c r="BH210" s="39"/>
      <c r="BI210" s="41">
        <f>IFERROR(IF(AND('Real results'!C204&lt;&gt;"",'Raw data'!BI204&lt;&gt;"",UPPER(TRIM('Real results'!C204))=UPPER(TRIM('Raw data'!BI204))),1,0),0)</f>
        <v>0</v>
      </c>
    </row>
    <row r="211" ht="18.0" customHeight="1">
      <c r="A211" s="36"/>
      <c r="B211" s="40" t="s">
        <v>502</v>
      </c>
      <c r="C211" s="41">
        <f>IFERROR(IF(AND('Real results'!C205&lt;&gt;"",'Raw data'!C205&lt;&gt;"",UPPER(TRIM('Real results'!C205))=UPPER(TRIM('Raw data'!C205))),4,0),0)</f>
        <v>0</v>
      </c>
      <c r="D211" s="39"/>
      <c r="E211" s="41">
        <f>IFERROR(IF(AND('Real results'!C205&lt;&gt;"",'Raw data'!E205&lt;&gt;"",UPPER(TRIM('Real results'!C205))=UPPER(TRIM('Raw data'!E205))),4,0),0)</f>
        <v>0</v>
      </c>
      <c r="F211" s="39"/>
      <c r="G211" s="41">
        <f>IFERROR(IF(AND('Real results'!C205&lt;&gt;"",'Raw data'!G205&lt;&gt;"",UPPER(TRIM('Real results'!C205))=UPPER(TRIM('Raw data'!G205))),4,0),0)</f>
        <v>0</v>
      </c>
      <c r="H211" s="39"/>
      <c r="I211" s="41">
        <f>IFERROR(IF(AND('Real results'!C205&lt;&gt;"",'Raw data'!I205&lt;&gt;"",UPPER(TRIM('Real results'!C205))=UPPER(TRIM('Raw data'!I205))),4,0),0)</f>
        <v>0</v>
      </c>
      <c r="J211" s="39"/>
      <c r="K211" s="41">
        <f>IFERROR(IF(AND('Real results'!C205&lt;&gt;"",'Raw data'!K205&lt;&gt;"",UPPER(TRIM('Real results'!C205))=UPPER(TRIM('Raw data'!K205))),4,0),0)</f>
        <v>0</v>
      </c>
      <c r="L211" s="39"/>
      <c r="M211" s="41">
        <f>IFERROR(IF(AND('Real results'!C205&lt;&gt;"",'Raw data'!M205&lt;&gt;"",UPPER(TRIM('Real results'!C205))=UPPER(TRIM('Raw data'!M205))),4,0),0)</f>
        <v>0</v>
      </c>
      <c r="N211" s="39"/>
      <c r="O211" s="41">
        <f>IFERROR(IF(AND('Real results'!C205&lt;&gt;"",'Raw data'!O205&lt;&gt;"",UPPER(TRIM('Real results'!C205))=UPPER(TRIM('Raw data'!O205))),4,0),0)</f>
        <v>0</v>
      </c>
      <c r="P211" s="39"/>
      <c r="Q211" s="41">
        <f>IFERROR(IF(AND('Real results'!C205&lt;&gt;"",'Raw data'!Q205&lt;&gt;"",UPPER(TRIM('Real results'!C205))=UPPER(TRIM('Raw data'!Q205))),4,0),0)</f>
        <v>0</v>
      </c>
      <c r="R211" s="39"/>
      <c r="S211" s="41">
        <f>IFERROR(IF(AND('Real results'!C205&lt;&gt;"",'Raw data'!S205&lt;&gt;"",UPPER(TRIM('Real results'!C205))=UPPER(TRIM('Raw data'!S205))),4,0),0)</f>
        <v>0</v>
      </c>
      <c r="T211" s="39"/>
      <c r="U211" s="41">
        <f>IFERROR(IF(AND('Real results'!C205&lt;&gt;"",'Raw data'!U205&lt;&gt;"",UPPER(TRIM('Real results'!C205))=UPPER(TRIM('Raw data'!U205))),4,0),0)</f>
        <v>0</v>
      </c>
      <c r="V211" s="39"/>
      <c r="W211" s="41">
        <f>IFERROR(IF(AND('Real results'!C205&lt;&gt;"",'Raw data'!W205&lt;&gt;"",UPPER(TRIM('Real results'!C205))=UPPER(TRIM('Raw data'!W205))),4,0),0)</f>
        <v>0</v>
      </c>
      <c r="X211" s="39"/>
      <c r="Y211" s="41">
        <f>IFERROR(IF(AND('Real results'!C205&lt;&gt;"",'Raw data'!Y205&lt;&gt;"",UPPER(TRIM('Real results'!C205))=UPPER(TRIM('Raw data'!Y205))),4,0),0)</f>
        <v>0</v>
      </c>
      <c r="Z211" s="39"/>
      <c r="AA211" s="41">
        <f>IFERROR(IF(AND('Real results'!C205&lt;&gt;"",'Raw data'!AA205&lt;&gt;"",UPPER(TRIM('Real results'!C205))=UPPER(TRIM('Raw data'!AA205))),4,0),0)</f>
        <v>0</v>
      </c>
      <c r="AB211" s="39"/>
      <c r="AC211" s="41">
        <f>IFERROR(IF(AND('Real results'!C205&lt;&gt;"",'Raw data'!AC205&lt;&gt;"",UPPER(TRIM('Real results'!C205))=UPPER(TRIM('Raw data'!AC205))),4,0),0)</f>
        <v>0</v>
      </c>
      <c r="AD211" s="39"/>
      <c r="AE211" s="41">
        <f>IFERROR(IF(AND('Real results'!C205&lt;&gt;"",'Raw data'!AE205&lt;&gt;"",UPPER(TRIM('Real results'!C205))=UPPER(TRIM('Raw data'!AE205))),4,0),0)</f>
        <v>0</v>
      </c>
      <c r="AF211" s="39"/>
      <c r="AG211" s="41">
        <f>IFERROR(IF(AND('Real results'!C205&lt;&gt;"",'Raw data'!AG205&lt;&gt;"",UPPER(TRIM('Real results'!C205))=UPPER(TRIM('Raw data'!AG205))),4,0),0)</f>
        <v>0</v>
      </c>
      <c r="AH211" s="39"/>
      <c r="AI211" s="41">
        <f>IFERROR(IF(AND('Real results'!C205&lt;&gt;"",'Raw data'!AI205&lt;&gt;"",UPPER(TRIM('Real results'!C205))=UPPER(TRIM('Raw data'!AI205))),4,0),0)</f>
        <v>0</v>
      </c>
      <c r="AJ211" s="39"/>
      <c r="AK211" s="41">
        <f>IFERROR(IF(AND('Real results'!C205&lt;&gt;"",'Raw data'!AK205&lt;&gt;"",UPPER(TRIM('Real results'!C205))=UPPER(TRIM('Raw data'!AK205))),4,0),0)</f>
        <v>0</v>
      </c>
      <c r="AL211" s="39"/>
      <c r="AM211" s="41">
        <f>IFERROR(IF(AND('Real results'!C205&lt;&gt;"",'Raw data'!AM205&lt;&gt;"",UPPER(TRIM('Real results'!C205))=UPPER(TRIM('Raw data'!AM205))),4,0),0)</f>
        <v>0</v>
      </c>
      <c r="AN211" s="39"/>
      <c r="AO211" s="41">
        <f>IFERROR(IF(AND('Real results'!C205&lt;&gt;"",'Raw data'!AO205&lt;&gt;"",UPPER(TRIM('Real results'!C205))=UPPER(TRIM('Raw data'!AO205))),4,0),0)</f>
        <v>0</v>
      </c>
      <c r="AP211" s="39"/>
      <c r="AQ211" s="41">
        <f>IFERROR(IF(AND('Real results'!C205&lt;&gt;"",'Raw data'!AQ205&lt;&gt;"",UPPER(TRIM('Real results'!C205))=UPPER(TRIM('Raw data'!AQ205))),4,0),0)</f>
        <v>0</v>
      </c>
      <c r="AR211" s="39"/>
      <c r="AS211" s="41">
        <f>IFERROR(IF(AND('Real results'!C205&lt;&gt;"",'Raw data'!AS205&lt;&gt;"",UPPER(TRIM('Real results'!C205))=UPPER(TRIM('Raw data'!AS205))),4,0),0)</f>
        <v>0</v>
      </c>
      <c r="AT211" s="39"/>
      <c r="AU211" s="41">
        <f>IFERROR(IF(AND('Real results'!C205&lt;&gt;"",'Raw data'!AU205&lt;&gt;"",UPPER(TRIM('Real results'!C205))=UPPER(TRIM('Raw data'!AU205))),4,0),0)</f>
        <v>0</v>
      </c>
      <c r="AV211" s="39"/>
      <c r="AW211" s="41">
        <f>IFERROR(IF(AND('Real results'!C205&lt;&gt;"",'Raw data'!AW205&lt;&gt;"",UPPER(TRIM('Real results'!C205))=UPPER(TRIM('Raw data'!AW205))),4,0),0)</f>
        <v>0</v>
      </c>
      <c r="AX211" s="39"/>
      <c r="AY211" s="41">
        <f>IFERROR(IF(AND('Real results'!C205&lt;&gt;"",'Raw data'!AY205&lt;&gt;"",UPPER(TRIM('Real results'!C205))=UPPER(TRIM('Raw data'!AY205))),4,0),0)</f>
        <v>0</v>
      </c>
      <c r="AZ211" s="39"/>
      <c r="BA211" s="41">
        <f>IFERROR(IF(AND('Real results'!C205&lt;&gt;"",'Raw data'!BA205&lt;&gt;"",UPPER(TRIM('Real results'!C205))=UPPER(TRIM('Raw data'!BA205))),4,0),0)</f>
        <v>0</v>
      </c>
      <c r="BB211" s="39"/>
      <c r="BC211" s="41">
        <f>IFERROR(IF(AND('Real results'!C205&lt;&gt;"",'Raw data'!BC205&lt;&gt;"",UPPER(TRIM('Real results'!C205))=UPPER(TRIM('Raw data'!BC205))),4,0),0)</f>
        <v>0</v>
      </c>
      <c r="BD211" s="39"/>
      <c r="BE211" s="41">
        <f>IFERROR(IF(AND('Real results'!C205&lt;&gt;"",'Raw data'!BE205&lt;&gt;"",UPPER(TRIM('Real results'!C205))=UPPER(TRIM('Raw data'!BE205))),4,0),0)</f>
        <v>0</v>
      </c>
      <c r="BF211" s="39"/>
      <c r="BG211" s="41">
        <f>IFERROR(IF(AND('Real results'!C205&lt;&gt;"",'Raw data'!BG205&lt;&gt;"",UPPER(TRIM('Real results'!C205))=UPPER(TRIM('Raw data'!BG205))),4,0),0)</f>
        <v>0</v>
      </c>
      <c r="BH211" s="39"/>
      <c r="BI211" s="41">
        <f>IFERROR(IF(AND('Real results'!C205&lt;&gt;"",'Raw data'!BI205&lt;&gt;"",UPPER(TRIM('Real results'!C205))=UPPER(TRIM('Raw data'!BI205))),4,0),0)</f>
        <v>0</v>
      </c>
    </row>
    <row r="212" ht="18.0" customHeight="1">
      <c r="A212" s="36"/>
      <c r="B212" s="40" t="s">
        <v>503</v>
      </c>
      <c r="C212" s="41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39"/>
      <c r="E212" s="41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39"/>
      <c r="G212" s="41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39"/>
      <c r="I212" s="41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39"/>
      <c r="K212" s="41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39"/>
      <c r="M212" s="41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39"/>
      <c r="O212" s="41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39"/>
      <c r="Q212" s="41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39"/>
      <c r="S212" s="41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39"/>
      <c r="U212" s="41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39"/>
      <c r="W212" s="41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39"/>
      <c r="Y212" s="41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39"/>
      <c r="AA212" s="41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39"/>
      <c r="AC212" s="41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39"/>
      <c r="AE212" s="41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39"/>
      <c r="AG212" s="41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39"/>
      <c r="AI212" s="41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39"/>
      <c r="AK212" s="41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39"/>
      <c r="AM212" s="41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39"/>
      <c r="AO212" s="41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39"/>
      <c r="AQ212" s="41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39"/>
      <c r="AS212" s="41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39"/>
      <c r="AU212" s="41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39"/>
      <c r="AW212" s="41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39"/>
      <c r="AY212" s="41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39"/>
      <c r="BA212" s="41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39"/>
      <c r="BC212" s="41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39"/>
      <c r="BE212" s="41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39"/>
      <c r="BG212" s="41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39"/>
      <c r="BI212" s="41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6"/>
      <c r="B213" s="40" t="s">
        <v>504</v>
      </c>
      <c r="C213" s="44">
        <f>0</f>
        <v>0</v>
      </c>
      <c r="D213" s="39"/>
      <c r="E213" s="41">
        <f>0</f>
        <v>0</v>
      </c>
      <c r="F213" s="39"/>
      <c r="G213" s="41">
        <f>0</f>
        <v>0</v>
      </c>
      <c r="H213" s="39"/>
      <c r="I213" s="41">
        <f>0</f>
        <v>0</v>
      </c>
      <c r="J213" s="39"/>
      <c r="K213" s="41">
        <f>0</f>
        <v>0</v>
      </c>
      <c r="L213" s="39"/>
      <c r="M213" s="41">
        <f>0</f>
        <v>0</v>
      </c>
      <c r="N213" s="39"/>
      <c r="O213" s="41">
        <f>0</f>
        <v>0</v>
      </c>
      <c r="P213" s="39"/>
      <c r="Q213" s="41">
        <f>0</f>
        <v>0</v>
      </c>
      <c r="R213" s="39"/>
      <c r="S213" s="41">
        <f>0</f>
        <v>0</v>
      </c>
      <c r="T213" s="39"/>
      <c r="U213" s="41">
        <f>0</f>
        <v>0</v>
      </c>
      <c r="V213" s="39"/>
      <c r="W213" s="41">
        <f>0</f>
        <v>0</v>
      </c>
      <c r="X213" s="39"/>
      <c r="Y213" s="41">
        <f>0</f>
        <v>0</v>
      </c>
      <c r="Z213" s="39"/>
      <c r="AA213" s="41">
        <f>0</f>
        <v>0</v>
      </c>
      <c r="AB213" s="39"/>
      <c r="AC213" s="41">
        <f>0</f>
        <v>0</v>
      </c>
      <c r="AD213" s="39"/>
      <c r="AE213" s="41">
        <f>0</f>
        <v>0</v>
      </c>
      <c r="AF213" s="39"/>
      <c r="AG213" s="41">
        <f>0</f>
        <v>0</v>
      </c>
      <c r="AH213" s="39"/>
      <c r="AI213" s="41">
        <f>0</f>
        <v>0</v>
      </c>
      <c r="AJ213" s="39"/>
      <c r="AK213" s="41">
        <f>0</f>
        <v>0</v>
      </c>
      <c r="AL213" s="39"/>
      <c r="AM213" s="41">
        <f>0</f>
        <v>0</v>
      </c>
      <c r="AN213" s="39"/>
      <c r="AO213" s="41">
        <f>0</f>
        <v>0</v>
      </c>
      <c r="AP213" s="39"/>
      <c r="AQ213" s="41">
        <f>0</f>
        <v>0</v>
      </c>
      <c r="AR213" s="39"/>
      <c r="AS213" s="41">
        <f>0</f>
        <v>0</v>
      </c>
      <c r="AT213" s="39"/>
      <c r="AU213" s="41">
        <f>0</f>
        <v>0</v>
      </c>
      <c r="AV213" s="39"/>
      <c r="AW213" s="41">
        <f>0</f>
        <v>0</v>
      </c>
      <c r="AX213" s="39"/>
      <c r="AY213" s="41">
        <f>0</f>
        <v>0</v>
      </c>
      <c r="AZ213" s="39"/>
      <c r="BA213" s="41">
        <f>0</f>
        <v>0</v>
      </c>
      <c r="BB213" s="39"/>
      <c r="BC213" s="41">
        <f>0</f>
        <v>0</v>
      </c>
      <c r="BD213" s="39"/>
      <c r="BE213" s="41">
        <f>0</f>
        <v>0</v>
      </c>
      <c r="BF213" s="39"/>
      <c r="BG213" s="41">
        <f>IFERROR(IF(AND('Real results'!C207&lt;&gt;"",'Raw data'!BG207&lt;&gt;"",UPPER(TRIM('Real results'!C207))=UPPER(TRIM('Raw data'!BG207))),1,0),0)</f>
        <v>0</v>
      </c>
      <c r="BH213" s="39"/>
      <c r="BI213" s="41">
        <f>IFERROR(IF(AND('Real results'!C207&lt;&gt;"",'Raw data'!BI207&lt;&gt;"",UPPER(TRIM('Real results'!C207))=UPPER(TRIM('Raw data'!BI207))),1,0),0)</f>
        <v>0</v>
      </c>
    </row>
    <row r="214" ht="18.0" customHeight="1">
      <c r="A214" s="36"/>
      <c r="B214" s="40" t="s">
        <v>505</v>
      </c>
      <c r="C214" s="41">
        <f>IFERROR(IF(AND('Real results'!C208&lt;&gt;"",'Raw data'!C208&lt;&gt;"",UPPER(TRIM('Real results'!C208))=UPPER(TRIM('Raw data'!C208))),4,0),0)</f>
        <v>0</v>
      </c>
      <c r="D214" s="39"/>
      <c r="E214" s="41">
        <f>IFERROR(IF(AND('Real results'!C208&lt;&gt;"",'Raw data'!E208&lt;&gt;"",UPPER(TRIM('Real results'!C208))=UPPER(TRIM('Raw data'!E208))),4,0),0)</f>
        <v>0</v>
      </c>
      <c r="F214" s="39"/>
      <c r="G214" s="41">
        <f>IFERROR(IF(AND('Real results'!C208&lt;&gt;"",'Raw data'!G208&lt;&gt;"",UPPER(TRIM('Real results'!C208))=UPPER(TRIM('Raw data'!G208))),4,0),0)</f>
        <v>0</v>
      </c>
      <c r="H214" s="39"/>
      <c r="I214" s="41">
        <f>IFERROR(IF(AND('Real results'!C208&lt;&gt;"",'Raw data'!I208&lt;&gt;"",UPPER(TRIM('Real results'!C208))=UPPER(TRIM('Raw data'!I208))),4,0),0)</f>
        <v>0</v>
      </c>
      <c r="J214" s="39"/>
      <c r="K214" s="41">
        <f>IFERROR(IF(AND('Real results'!C208&lt;&gt;"",'Raw data'!K208&lt;&gt;"",UPPER(TRIM('Real results'!C208))=UPPER(TRIM('Raw data'!K208))),4,0),0)</f>
        <v>0</v>
      </c>
      <c r="L214" s="39"/>
      <c r="M214" s="41">
        <f>IFERROR(IF(AND('Real results'!C208&lt;&gt;"",'Raw data'!M208&lt;&gt;"",UPPER(TRIM('Real results'!C208))=UPPER(TRIM('Raw data'!M208))),4,0),0)</f>
        <v>0</v>
      </c>
      <c r="N214" s="39"/>
      <c r="O214" s="41">
        <f>IFERROR(IF(AND('Real results'!C208&lt;&gt;"",'Raw data'!O208&lt;&gt;"",UPPER(TRIM('Real results'!C208))=UPPER(TRIM('Raw data'!O208))),4,0),0)</f>
        <v>0</v>
      </c>
      <c r="P214" s="39"/>
      <c r="Q214" s="41">
        <f>IFERROR(IF(AND('Real results'!C208&lt;&gt;"",'Raw data'!Q208&lt;&gt;"",UPPER(TRIM('Real results'!C208))=UPPER(TRIM('Raw data'!Q208))),4,0),0)</f>
        <v>0</v>
      </c>
      <c r="R214" s="39"/>
      <c r="S214" s="41">
        <f>IFERROR(IF(AND('Real results'!C208&lt;&gt;"",'Raw data'!S208&lt;&gt;"",UPPER(TRIM('Real results'!C208))=UPPER(TRIM('Raw data'!S208))),4,0),0)</f>
        <v>0</v>
      </c>
      <c r="T214" s="39"/>
      <c r="U214" s="41">
        <f>IFERROR(IF(AND('Real results'!C208&lt;&gt;"",'Raw data'!U208&lt;&gt;"",UPPER(TRIM('Real results'!C208))=UPPER(TRIM('Raw data'!U208))),4,0),0)</f>
        <v>0</v>
      </c>
      <c r="V214" s="39"/>
      <c r="W214" s="41">
        <f>IFERROR(IF(AND('Real results'!C208&lt;&gt;"",'Raw data'!W208&lt;&gt;"",UPPER(TRIM('Real results'!C208))=UPPER(TRIM('Raw data'!W208))),4,0),0)</f>
        <v>0</v>
      </c>
      <c r="X214" s="39"/>
      <c r="Y214" s="41">
        <f>IFERROR(IF(AND('Real results'!C208&lt;&gt;"",'Raw data'!Y208&lt;&gt;"",UPPER(TRIM('Real results'!C208))=UPPER(TRIM('Raw data'!Y208))),4,0),0)</f>
        <v>0</v>
      </c>
      <c r="Z214" s="39"/>
      <c r="AA214" s="41">
        <f>IFERROR(IF(AND('Real results'!C208&lt;&gt;"",'Raw data'!AA208&lt;&gt;"",UPPER(TRIM('Real results'!C208))=UPPER(TRIM('Raw data'!AA208))),4,0),0)</f>
        <v>0</v>
      </c>
      <c r="AB214" s="39"/>
      <c r="AC214" s="41">
        <f>IFERROR(IF(AND('Real results'!C208&lt;&gt;"",'Raw data'!AC208&lt;&gt;"",UPPER(TRIM('Real results'!C208))=UPPER(TRIM('Raw data'!AC208))),4,0),0)</f>
        <v>0</v>
      </c>
      <c r="AD214" s="39"/>
      <c r="AE214" s="41">
        <f>IFERROR(IF(AND('Real results'!C208&lt;&gt;"",'Raw data'!AE208&lt;&gt;"",UPPER(TRIM('Real results'!C208))=UPPER(TRIM('Raw data'!AE208))),4,0),0)</f>
        <v>0</v>
      </c>
      <c r="AF214" s="39"/>
      <c r="AG214" s="41">
        <f>IFERROR(IF(AND('Real results'!C208&lt;&gt;"",'Raw data'!AG208&lt;&gt;"",UPPER(TRIM('Real results'!C208))=UPPER(TRIM('Raw data'!AG208))),4,0),0)</f>
        <v>0</v>
      </c>
      <c r="AH214" s="39"/>
      <c r="AI214" s="41">
        <f>IFERROR(IF(AND('Real results'!C208&lt;&gt;"",'Raw data'!AI208&lt;&gt;"",UPPER(TRIM('Real results'!C208))=UPPER(TRIM('Raw data'!AI208))),4,0),0)</f>
        <v>0</v>
      </c>
      <c r="AJ214" s="39"/>
      <c r="AK214" s="41">
        <f>IFERROR(IF(AND('Real results'!C208&lt;&gt;"",'Raw data'!AK208&lt;&gt;"",UPPER(TRIM('Real results'!C208))=UPPER(TRIM('Raw data'!AK208))),4,0),0)</f>
        <v>0</v>
      </c>
      <c r="AL214" s="39"/>
      <c r="AM214" s="41">
        <f>IFERROR(IF(AND('Real results'!C208&lt;&gt;"",'Raw data'!AM208&lt;&gt;"",UPPER(TRIM('Real results'!C208))=UPPER(TRIM('Raw data'!AM208))),4,0),0)</f>
        <v>0</v>
      </c>
      <c r="AN214" s="39"/>
      <c r="AO214" s="41">
        <f>IFERROR(IF(AND('Real results'!C208&lt;&gt;"",'Raw data'!AO208&lt;&gt;"",UPPER(TRIM('Real results'!C208))=UPPER(TRIM('Raw data'!AO208))),4,0),0)</f>
        <v>0</v>
      </c>
      <c r="AP214" s="39"/>
      <c r="AQ214" s="41">
        <f>IFERROR(IF(AND('Real results'!C208&lt;&gt;"",'Raw data'!AQ208&lt;&gt;"",UPPER(TRIM('Real results'!C208))=UPPER(TRIM('Raw data'!AQ208))),4,0),0)</f>
        <v>0</v>
      </c>
      <c r="AR214" s="39"/>
      <c r="AS214" s="41">
        <f>IFERROR(IF(AND('Real results'!C208&lt;&gt;"",'Raw data'!AS208&lt;&gt;"",UPPER(TRIM('Real results'!C208))=UPPER(TRIM('Raw data'!AS208))),4,0),0)</f>
        <v>0</v>
      </c>
      <c r="AT214" s="39"/>
      <c r="AU214" s="41">
        <f>IFERROR(IF(AND('Real results'!C208&lt;&gt;"",'Raw data'!AU208&lt;&gt;"",UPPER(TRIM('Real results'!C208))=UPPER(TRIM('Raw data'!AU208))),4,0),0)</f>
        <v>0</v>
      </c>
      <c r="AV214" s="39"/>
      <c r="AW214" s="41">
        <f>IFERROR(IF(AND('Real results'!C208&lt;&gt;"",'Raw data'!AW208&lt;&gt;"",UPPER(TRIM('Real results'!C208))=UPPER(TRIM('Raw data'!AW208))),4,0),0)</f>
        <v>0</v>
      </c>
      <c r="AX214" s="39"/>
      <c r="AY214" s="41">
        <f>IFERROR(IF(AND('Real results'!C208&lt;&gt;"",'Raw data'!AY208&lt;&gt;"",UPPER(TRIM('Real results'!C208))=UPPER(TRIM('Raw data'!AY208))),4,0),0)</f>
        <v>0</v>
      </c>
      <c r="AZ214" s="39"/>
      <c r="BA214" s="41">
        <f>IFERROR(IF(AND('Real results'!C208&lt;&gt;"",'Raw data'!BA208&lt;&gt;"",UPPER(TRIM('Real results'!C208))=UPPER(TRIM('Raw data'!BA208))),4,0),0)</f>
        <v>0</v>
      </c>
      <c r="BB214" s="39"/>
      <c r="BC214" s="41">
        <f>IFERROR(IF(AND('Real results'!C208&lt;&gt;"",'Raw data'!BC208&lt;&gt;"",UPPER(TRIM('Real results'!C208))=UPPER(TRIM('Raw data'!BC208))),4,0),0)</f>
        <v>0</v>
      </c>
      <c r="BD214" s="39"/>
      <c r="BE214" s="41">
        <f>IFERROR(IF(AND('Real results'!C208&lt;&gt;"",'Raw data'!BE208&lt;&gt;"",UPPER(TRIM('Real results'!C208))=UPPER(TRIM('Raw data'!BE208))),4,0),0)</f>
        <v>0</v>
      </c>
      <c r="BF214" s="39"/>
      <c r="BG214" s="41">
        <f>IFERROR(IF(AND('Real results'!C208&lt;&gt;"",'Raw data'!BG208&lt;&gt;"",UPPER(TRIM('Real results'!C208))=UPPER(TRIM('Raw data'!BG208))),4,0),0)</f>
        <v>0</v>
      </c>
      <c r="BH214" s="39"/>
      <c r="BI214" s="41">
        <f>IFERROR(IF(AND('Real results'!C208&lt;&gt;"",'Raw data'!BI208&lt;&gt;"",UPPER(TRIM('Real results'!C208))=UPPER(TRIM('Raw data'!BI208))),4,0),0)</f>
        <v>0</v>
      </c>
    </row>
    <row r="215" ht="18.0" customHeight="1">
      <c r="A215" s="36"/>
      <c r="B215" s="40" t="s">
        <v>506</v>
      </c>
      <c r="C215" s="41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39"/>
      <c r="E215" s="41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39"/>
      <c r="G215" s="41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39"/>
      <c r="I215" s="41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39"/>
      <c r="K215" s="41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39"/>
      <c r="M215" s="41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39"/>
      <c r="O215" s="41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39"/>
      <c r="Q215" s="41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39"/>
      <c r="S215" s="41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39"/>
      <c r="U215" s="41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39"/>
      <c r="W215" s="41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39"/>
      <c r="Y215" s="41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39"/>
      <c r="AA215" s="41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39"/>
      <c r="AC215" s="41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39"/>
      <c r="AE215" s="41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39"/>
      <c r="AG215" s="41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39"/>
      <c r="AI215" s="41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39"/>
      <c r="AK215" s="41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39"/>
      <c r="AM215" s="41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39"/>
      <c r="AO215" s="41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39"/>
      <c r="AQ215" s="41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39"/>
      <c r="AS215" s="41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39"/>
      <c r="AU215" s="41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39"/>
      <c r="AW215" s="41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39"/>
      <c r="AY215" s="41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39"/>
      <c r="BA215" s="41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39"/>
      <c r="BC215" s="41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39"/>
      <c r="BE215" s="41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39"/>
      <c r="BG215" s="41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39"/>
      <c r="BI215" s="41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6"/>
      <c r="B216" s="40" t="s">
        <v>507</v>
      </c>
      <c r="C216" s="44">
        <f>0</f>
        <v>0</v>
      </c>
      <c r="D216" s="39"/>
      <c r="E216" s="41">
        <f>0</f>
        <v>0</v>
      </c>
      <c r="F216" s="39"/>
      <c r="G216" s="41">
        <f>0</f>
        <v>0</v>
      </c>
      <c r="H216" s="39"/>
      <c r="I216" s="41">
        <f>0</f>
        <v>0</v>
      </c>
      <c r="J216" s="39"/>
      <c r="K216" s="41">
        <f>0</f>
        <v>0</v>
      </c>
      <c r="L216" s="39"/>
      <c r="M216" s="41">
        <f>0</f>
        <v>0</v>
      </c>
      <c r="N216" s="39"/>
      <c r="O216" s="41">
        <f>0</f>
        <v>0</v>
      </c>
      <c r="P216" s="39"/>
      <c r="Q216" s="41">
        <f>0</f>
        <v>0</v>
      </c>
      <c r="R216" s="39"/>
      <c r="S216" s="41">
        <f>0</f>
        <v>0</v>
      </c>
      <c r="T216" s="39"/>
      <c r="U216" s="41">
        <f>0</f>
        <v>0</v>
      </c>
      <c r="V216" s="39"/>
      <c r="W216" s="41">
        <f>0</f>
        <v>0</v>
      </c>
      <c r="X216" s="39"/>
      <c r="Y216" s="41">
        <f>0</f>
        <v>0</v>
      </c>
      <c r="Z216" s="39"/>
      <c r="AA216" s="41">
        <f>0</f>
        <v>0</v>
      </c>
      <c r="AB216" s="39"/>
      <c r="AC216" s="41">
        <f>0</f>
        <v>0</v>
      </c>
      <c r="AD216" s="39"/>
      <c r="AE216" s="41">
        <f>0</f>
        <v>0</v>
      </c>
      <c r="AF216" s="39"/>
      <c r="AG216" s="41">
        <f>0</f>
        <v>0</v>
      </c>
      <c r="AH216" s="39"/>
      <c r="AI216" s="41">
        <f>0</f>
        <v>0</v>
      </c>
      <c r="AJ216" s="39"/>
      <c r="AK216" s="41">
        <f>0</f>
        <v>0</v>
      </c>
      <c r="AL216" s="39"/>
      <c r="AM216" s="41">
        <f>0</f>
        <v>0</v>
      </c>
      <c r="AN216" s="39"/>
      <c r="AO216" s="41">
        <f>0</f>
        <v>0</v>
      </c>
      <c r="AP216" s="39"/>
      <c r="AQ216" s="41">
        <f>0</f>
        <v>0</v>
      </c>
      <c r="AR216" s="39"/>
      <c r="AS216" s="41">
        <f>0</f>
        <v>0</v>
      </c>
      <c r="AT216" s="39"/>
      <c r="AU216" s="41">
        <f>0</f>
        <v>0</v>
      </c>
      <c r="AV216" s="39"/>
      <c r="AW216" s="41">
        <f>0</f>
        <v>0</v>
      </c>
      <c r="AX216" s="39"/>
      <c r="AY216" s="41">
        <f>0</f>
        <v>0</v>
      </c>
      <c r="AZ216" s="39"/>
      <c r="BA216" s="41">
        <f>0</f>
        <v>0</v>
      </c>
      <c r="BB216" s="39"/>
      <c r="BC216" s="41">
        <f>0</f>
        <v>0</v>
      </c>
      <c r="BD216" s="39"/>
      <c r="BE216" s="41">
        <f>0</f>
        <v>0</v>
      </c>
      <c r="BF216" s="39"/>
      <c r="BG216" s="41">
        <f>IFERROR(IF(AND('Real results'!C210&lt;&gt;"",'Raw data'!BG210&lt;&gt;"",UPPER(TRIM('Real results'!C210))=UPPER(TRIM('Raw data'!BG210))),1,0),0)</f>
        <v>0</v>
      </c>
      <c r="BH216" s="39"/>
      <c r="BI216" s="41">
        <f>IFERROR(IF(AND('Real results'!C210&lt;&gt;"",'Raw data'!BI210&lt;&gt;"",UPPER(TRIM('Real results'!C210))=UPPER(TRIM('Raw data'!BI210))),1,0),0)</f>
        <v>0</v>
      </c>
    </row>
    <row r="217" ht="18.0" customHeight="1">
      <c r="A217" s="36"/>
      <c r="B217" s="40" t="s">
        <v>508</v>
      </c>
      <c r="C217" s="41">
        <f>IFERROR(IF(AND('Real results'!C211&lt;&gt;"",'Raw data'!C211&lt;&gt;"",UPPER(TRIM('Real results'!C211))=UPPER(TRIM('Raw data'!C211))),4,0),0)</f>
        <v>0</v>
      </c>
      <c r="D217" s="39"/>
      <c r="E217" s="41">
        <f>IFERROR(IF(AND('Real results'!C211&lt;&gt;"",'Raw data'!E211&lt;&gt;"",UPPER(TRIM('Real results'!C211))=UPPER(TRIM('Raw data'!E211))),4,0),0)</f>
        <v>0</v>
      </c>
      <c r="F217" s="39"/>
      <c r="G217" s="41">
        <f>IFERROR(IF(AND('Real results'!C211&lt;&gt;"",'Raw data'!G211&lt;&gt;"",UPPER(TRIM('Real results'!C211))=UPPER(TRIM('Raw data'!G211))),4,0),0)</f>
        <v>0</v>
      </c>
      <c r="H217" s="39"/>
      <c r="I217" s="41">
        <f>IFERROR(IF(AND('Real results'!C211&lt;&gt;"",'Raw data'!I211&lt;&gt;"",UPPER(TRIM('Real results'!C211))=UPPER(TRIM('Raw data'!I211))),4,0),0)</f>
        <v>0</v>
      </c>
      <c r="J217" s="39"/>
      <c r="K217" s="41">
        <f>IFERROR(IF(AND('Real results'!C211&lt;&gt;"",'Raw data'!K211&lt;&gt;"",UPPER(TRIM('Real results'!C211))=UPPER(TRIM('Raw data'!K211))),4,0),0)</f>
        <v>0</v>
      </c>
      <c r="L217" s="39"/>
      <c r="M217" s="41">
        <f>IFERROR(IF(AND('Real results'!C211&lt;&gt;"",'Raw data'!M211&lt;&gt;"",UPPER(TRIM('Real results'!C211))=UPPER(TRIM('Raw data'!M211))),4,0),0)</f>
        <v>0</v>
      </c>
      <c r="N217" s="39"/>
      <c r="O217" s="41">
        <f>IFERROR(IF(AND('Real results'!C211&lt;&gt;"",'Raw data'!O211&lt;&gt;"",UPPER(TRIM('Real results'!C211))=UPPER(TRIM('Raw data'!O211))),4,0),0)</f>
        <v>0</v>
      </c>
      <c r="P217" s="39"/>
      <c r="Q217" s="41">
        <f>IFERROR(IF(AND('Real results'!C211&lt;&gt;"",'Raw data'!Q211&lt;&gt;"",UPPER(TRIM('Real results'!C211))=UPPER(TRIM('Raw data'!Q211))),4,0),0)</f>
        <v>0</v>
      </c>
      <c r="R217" s="39"/>
      <c r="S217" s="41">
        <f>IFERROR(IF(AND('Real results'!C211&lt;&gt;"",'Raw data'!S211&lt;&gt;"",UPPER(TRIM('Real results'!C211))=UPPER(TRIM('Raw data'!S211))),4,0),0)</f>
        <v>0</v>
      </c>
      <c r="T217" s="39"/>
      <c r="U217" s="41">
        <f>IFERROR(IF(AND('Real results'!C211&lt;&gt;"",'Raw data'!U211&lt;&gt;"",UPPER(TRIM('Real results'!C211))=UPPER(TRIM('Raw data'!U211))),4,0),0)</f>
        <v>0</v>
      </c>
      <c r="V217" s="39"/>
      <c r="W217" s="41">
        <f>IFERROR(IF(AND('Real results'!C211&lt;&gt;"",'Raw data'!W211&lt;&gt;"",UPPER(TRIM('Real results'!C211))=UPPER(TRIM('Raw data'!W211))),4,0),0)</f>
        <v>0</v>
      </c>
      <c r="X217" s="39"/>
      <c r="Y217" s="41">
        <f>IFERROR(IF(AND('Real results'!C211&lt;&gt;"",'Raw data'!Y211&lt;&gt;"",UPPER(TRIM('Real results'!C211))=UPPER(TRIM('Raw data'!Y211))),4,0),0)</f>
        <v>0</v>
      </c>
      <c r="Z217" s="39"/>
      <c r="AA217" s="41">
        <f>IFERROR(IF(AND('Real results'!C211&lt;&gt;"",'Raw data'!AA211&lt;&gt;"",UPPER(TRIM('Real results'!C211))=UPPER(TRIM('Raw data'!AA211))),4,0),0)</f>
        <v>0</v>
      </c>
      <c r="AB217" s="39"/>
      <c r="AC217" s="41">
        <f>IFERROR(IF(AND('Real results'!C211&lt;&gt;"",'Raw data'!AC211&lt;&gt;"",UPPER(TRIM('Real results'!C211))=UPPER(TRIM('Raw data'!AC211))),4,0),0)</f>
        <v>0</v>
      </c>
      <c r="AD217" s="39"/>
      <c r="AE217" s="41">
        <f>IFERROR(IF(AND('Real results'!C211&lt;&gt;"",'Raw data'!AE211&lt;&gt;"",UPPER(TRIM('Real results'!C211))=UPPER(TRIM('Raw data'!AE211))),4,0),0)</f>
        <v>0</v>
      </c>
      <c r="AF217" s="39"/>
      <c r="AG217" s="41">
        <f>IFERROR(IF(AND('Real results'!C211&lt;&gt;"",'Raw data'!AG211&lt;&gt;"",UPPER(TRIM('Real results'!C211))=UPPER(TRIM('Raw data'!AG211))),4,0),0)</f>
        <v>0</v>
      </c>
      <c r="AH217" s="39"/>
      <c r="AI217" s="41">
        <f>IFERROR(IF(AND('Real results'!C211&lt;&gt;"",'Raw data'!AI211&lt;&gt;"",UPPER(TRIM('Real results'!C211))=UPPER(TRIM('Raw data'!AI211))),4,0),0)</f>
        <v>0</v>
      </c>
      <c r="AJ217" s="39"/>
      <c r="AK217" s="41">
        <f>IFERROR(IF(AND('Real results'!C211&lt;&gt;"",'Raw data'!AK211&lt;&gt;"",UPPER(TRIM('Real results'!C211))=UPPER(TRIM('Raw data'!AK211))),4,0),0)</f>
        <v>0</v>
      </c>
      <c r="AL217" s="39"/>
      <c r="AM217" s="41">
        <f>IFERROR(IF(AND('Real results'!C211&lt;&gt;"",'Raw data'!AM211&lt;&gt;"",UPPER(TRIM('Real results'!C211))=UPPER(TRIM('Raw data'!AM211))),4,0),0)</f>
        <v>0</v>
      </c>
      <c r="AN217" s="39"/>
      <c r="AO217" s="41">
        <f>IFERROR(IF(AND('Real results'!C211&lt;&gt;"",'Raw data'!AO211&lt;&gt;"",UPPER(TRIM('Real results'!C211))=UPPER(TRIM('Raw data'!AO211))),4,0),0)</f>
        <v>0</v>
      </c>
      <c r="AP217" s="39"/>
      <c r="AQ217" s="41">
        <f>IFERROR(IF(AND('Real results'!C211&lt;&gt;"",'Raw data'!AQ211&lt;&gt;"",UPPER(TRIM('Real results'!C211))=UPPER(TRIM('Raw data'!AQ211))),4,0),0)</f>
        <v>0</v>
      </c>
      <c r="AR217" s="39"/>
      <c r="AS217" s="41">
        <f>IFERROR(IF(AND('Real results'!C211&lt;&gt;"",'Raw data'!AS211&lt;&gt;"",UPPER(TRIM('Real results'!C211))=UPPER(TRIM('Raw data'!AS211))),4,0),0)</f>
        <v>0</v>
      </c>
      <c r="AT217" s="39"/>
      <c r="AU217" s="41">
        <f>IFERROR(IF(AND('Real results'!C211&lt;&gt;"",'Raw data'!AU211&lt;&gt;"",UPPER(TRIM('Real results'!C211))=UPPER(TRIM('Raw data'!AU211))),4,0),0)</f>
        <v>0</v>
      </c>
      <c r="AV217" s="39"/>
      <c r="AW217" s="41">
        <f>IFERROR(IF(AND('Real results'!C211&lt;&gt;"",'Raw data'!AW211&lt;&gt;"",UPPER(TRIM('Real results'!C211))=UPPER(TRIM('Raw data'!AW211))),4,0),0)</f>
        <v>0</v>
      </c>
      <c r="AX217" s="39"/>
      <c r="AY217" s="41">
        <f>IFERROR(IF(AND('Real results'!C211&lt;&gt;"",'Raw data'!AY211&lt;&gt;"",UPPER(TRIM('Real results'!C211))=UPPER(TRIM('Raw data'!AY211))),4,0),0)</f>
        <v>0</v>
      </c>
      <c r="AZ217" s="39"/>
      <c r="BA217" s="41">
        <f>IFERROR(IF(AND('Real results'!C211&lt;&gt;"",'Raw data'!BA211&lt;&gt;"",UPPER(TRIM('Real results'!C211))=UPPER(TRIM('Raw data'!BA211))),4,0),0)</f>
        <v>0</v>
      </c>
      <c r="BB217" s="39"/>
      <c r="BC217" s="41">
        <f>IFERROR(IF(AND('Real results'!C211&lt;&gt;"",'Raw data'!BC211&lt;&gt;"",UPPER(TRIM('Real results'!C211))=UPPER(TRIM('Raw data'!BC211))),4,0),0)</f>
        <v>0</v>
      </c>
      <c r="BD217" s="39"/>
      <c r="BE217" s="41">
        <f>IFERROR(IF(AND('Real results'!C211&lt;&gt;"",'Raw data'!BE211&lt;&gt;"",UPPER(TRIM('Real results'!C211))=UPPER(TRIM('Raw data'!BE211))),4,0),0)</f>
        <v>0</v>
      </c>
      <c r="BF217" s="39"/>
      <c r="BG217" s="41">
        <f>IFERROR(IF(AND('Real results'!C211&lt;&gt;"",'Raw data'!BG211&lt;&gt;"",UPPER(TRIM('Real results'!C211))=UPPER(TRIM('Raw data'!BG211))),4,0),0)</f>
        <v>0</v>
      </c>
      <c r="BH217" s="39"/>
      <c r="BI217" s="41">
        <f>IFERROR(IF(AND('Real results'!C211&lt;&gt;"",'Raw data'!BI211&lt;&gt;"",UPPER(TRIM('Real results'!C211))=UPPER(TRIM('Raw data'!BI211))),4,0),0)</f>
        <v>0</v>
      </c>
    </row>
    <row r="218" ht="21.75" customHeight="1">
      <c r="A218" s="36"/>
      <c r="B218" s="42" t="s">
        <v>509</v>
      </c>
      <c r="C218" s="43">
        <f>SUM(C206:C217)</f>
        <v>0</v>
      </c>
      <c r="D218" s="39"/>
      <c r="E218" s="43">
        <f>SUM(E206:E217)</f>
        <v>0</v>
      </c>
      <c r="F218" s="39"/>
      <c r="G218" s="43">
        <f>SUM(G206:G217)</f>
        <v>0</v>
      </c>
      <c r="H218" s="39"/>
      <c r="I218" s="43">
        <f>SUM(I206:I217)</f>
        <v>0</v>
      </c>
      <c r="J218" s="39"/>
      <c r="K218" s="43">
        <f>SUM(K206:K217)</f>
        <v>0</v>
      </c>
      <c r="L218" s="39"/>
      <c r="M218" s="43">
        <f>SUM(M206:M217)</f>
        <v>0</v>
      </c>
      <c r="N218" s="39"/>
      <c r="O218" s="43">
        <f>SUM(O206:O217)</f>
        <v>0</v>
      </c>
      <c r="P218" s="39"/>
      <c r="Q218" s="43">
        <f>SUM(Q206:Q217)</f>
        <v>0</v>
      </c>
      <c r="R218" s="39"/>
      <c r="S218" s="43">
        <f>SUM(S206:S217)</f>
        <v>0</v>
      </c>
      <c r="T218" s="39"/>
      <c r="U218" s="43">
        <f>SUM(U206:U217)</f>
        <v>0</v>
      </c>
      <c r="V218" s="39"/>
      <c r="W218" s="43">
        <f>SUM(W206:W217)</f>
        <v>0</v>
      </c>
      <c r="X218" s="39"/>
      <c r="Y218" s="43">
        <f>SUM(Y206:Y217)</f>
        <v>0</v>
      </c>
      <c r="Z218" s="39"/>
      <c r="AA218" s="43">
        <f>SUM(AA206:AA217)</f>
        <v>0</v>
      </c>
      <c r="AB218" s="39"/>
      <c r="AC218" s="43">
        <f>SUM(AC206:AC217)</f>
        <v>0</v>
      </c>
      <c r="AD218" s="39"/>
      <c r="AE218" s="43">
        <f>SUM(AE206:AE217)</f>
        <v>0</v>
      </c>
      <c r="AF218" s="39"/>
      <c r="AG218" s="43">
        <f>SUM(AG206:AG217)</f>
        <v>0</v>
      </c>
      <c r="AH218" s="39"/>
      <c r="AI218" s="43">
        <f>SUM(AI206:AI217)</f>
        <v>0</v>
      </c>
      <c r="AJ218" s="39"/>
      <c r="AK218" s="43">
        <f>SUM(AK206:AK217)</f>
        <v>0</v>
      </c>
      <c r="AL218" s="39"/>
      <c r="AM218" s="43">
        <f>SUM(AM206:AM217)</f>
        <v>0</v>
      </c>
      <c r="AN218" s="39"/>
      <c r="AO218" s="43">
        <f>SUM(AO206:AO217)</f>
        <v>0</v>
      </c>
      <c r="AP218" s="39"/>
      <c r="AQ218" s="43">
        <f>SUM(AQ206:AQ217)</f>
        <v>0</v>
      </c>
      <c r="AR218" s="39"/>
      <c r="AS218" s="43">
        <f>SUM(AS206:AS217)</f>
        <v>0</v>
      </c>
      <c r="AT218" s="39"/>
      <c r="AU218" s="43">
        <f>SUM(AU206:AU217)</f>
        <v>0</v>
      </c>
      <c r="AV218" s="39"/>
      <c r="AW218" s="43">
        <f>SUM(AW206:AW217)</f>
        <v>0</v>
      </c>
      <c r="AX218" s="39"/>
      <c r="AY218" s="43">
        <f>SUM(AY206:AY217)</f>
        <v>0</v>
      </c>
      <c r="AZ218" s="39"/>
      <c r="BA218" s="43">
        <f>SUM(BA206:BA217)</f>
        <v>0</v>
      </c>
      <c r="BB218" s="39"/>
      <c r="BC218" s="43">
        <f>SUM(BC206:BC217)</f>
        <v>0</v>
      </c>
      <c r="BD218" s="39"/>
      <c r="BE218" s="43">
        <f>SUM(BE206:BE217)</f>
        <v>0</v>
      </c>
      <c r="BF218" s="39"/>
      <c r="BG218" s="43">
        <f>SUM(BG206:BG217)</f>
        <v>0</v>
      </c>
      <c r="BH218" s="39"/>
      <c r="BI218" s="43">
        <f>SUM(BI206:BI217)</f>
        <v>0</v>
      </c>
    </row>
    <row r="219" ht="19.5" customHeight="1">
      <c r="A219" s="36"/>
      <c r="B219" s="37" t="s">
        <v>510</v>
      </c>
      <c r="C219" s="38"/>
      <c r="D219" s="39"/>
      <c r="E219" s="38"/>
      <c r="F219" s="39"/>
      <c r="G219" s="38"/>
      <c r="H219" s="39"/>
      <c r="I219" s="38"/>
      <c r="J219" s="39"/>
      <c r="K219" s="38"/>
      <c r="L219" s="39"/>
      <c r="M219" s="38"/>
      <c r="N219" s="39"/>
      <c r="O219" s="38"/>
      <c r="P219" s="39"/>
      <c r="Q219" s="38"/>
      <c r="R219" s="39"/>
      <c r="S219" s="38"/>
      <c r="T219" s="39"/>
      <c r="U219" s="38"/>
      <c r="V219" s="39"/>
      <c r="W219" s="38"/>
      <c r="X219" s="39"/>
      <c r="Y219" s="38"/>
      <c r="Z219" s="39"/>
      <c r="AA219" s="38"/>
      <c r="AB219" s="39"/>
      <c r="AC219" s="38"/>
      <c r="AD219" s="39"/>
      <c r="AE219" s="38"/>
      <c r="AF219" s="39"/>
      <c r="AG219" s="38"/>
      <c r="AH219" s="39"/>
      <c r="AI219" s="38"/>
      <c r="AJ219" s="39"/>
      <c r="AK219" s="38"/>
      <c r="AL219" s="39"/>
      <c r="AM219" s="38"/>
      <c r="AN219" s="39"/>
      <c r="AO219" s="38"/>
      <c r="AP219" s="39"/>
      <c r="AQ219" s="38"/>
      <c r="AR219" s="39"/>
      <c r="AS219" s="38"/>
      <c r="AT219" s="39"/>
      <c r="AU219" s="38"/>
      <c r="AV219" s="39"/>
      <c r="AW219" s="38"/>
      <c r="AX219" s="39"/>
      <c r="AY219" s="38"/>
      <c r="AZ219" s="39"/>
      <c r="BA219" s="38"/>
      <c r="BB219" s="39"/>
      <c r="BC219" s="38"/>
      <c r="BD219" s="39"/>
      <c r="BE219" s="38"/>
      <c r="BF219" s="39"/>
      <c r="BG219" s="38"/>
      <c r="BH219" s="39"/>
      <c r="BI219" s="38"/>
    </row>
    <row r="220" ht="18.0" customHeight="1">
      <c r="A220" s="36"/>
      <c r="B220" s="40" t="s">
        <v>511</v>
      </c>
      <c r="C220" s="41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39"/>
      <c r="E220" s="41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39"/>
      <c r="G220" s="41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39"/>
      <c r="I220" s="41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39"/>
      <c r="K220" s="41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39"/>
      <c r="M220" s="41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39"/>
      <c r="O220" s="41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39"/>
      <c r="Q220" s="41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39"/>
      <c r="S220" s="41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39"/>
      <c r="U220" s="41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39"/>
      <c r="W220" s="41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39"/>
      <c r="Y220" s="41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39"/>
      <c r="AA220" s="41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39"/>
      <c r="AC220" s="41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39"/>
      <c r="AE220" s="41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39"/>
      <c r="AG220" s="41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39"/>
      <c r="AI220" s="41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39"/>
      <c r="AK220" s="41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39"/>
      <c r="AM220" s="41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39"/>
      <c r="AO220" s="41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39"/>
      <c r="AQ220" s="41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39"/>
      <c r="AS220" s="41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39"/>
      <c r="AU220" s="41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39"/>
      <c r="AW220" s="41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39"/>
      <c r="AY220" s="41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39"/>
      <c r="BA220" s="41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39"/>
      <c r="BC220" s="41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39"/>
      <c r="BE220" s="41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39"/>
      <c r="BG220" s="41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39"/>
      <c r="BI220" s="41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6"/>
      <c r="B221" s="40" t="s">
        <v>512</v>
      </c>
      <c r="C221" s="44">
        <f>0</f>
        <v>0</v>
      </c>
      <c r="D221" s="39"/>
      <c r="E221" s="41">
        <f>0</f>
        <v>0</v>
      </c>
      <c r="F221" s="39"/>
      <c r="G221" s="41">
        <f>0</f>
        <v>0</v>
      </c>
      <c r="H221" s="39"/>
      <c r="I221" s="41">
        <f>0</f>
        <v>0</v>
      </c>
      <c r="J221" s="39"/>
      <c r="K221" s="41">
        <f>0</f>
        <v>0</v>
      </c>
      <c r="L221" s="39"/>
      <c r="M221" s="41">
        <f>0</f>
        <v>0</v>
      </c>
      <c r="N221" s="39"/>
      <c r="O221" s="41">
        <f>0</f>
        <v>0</v>
      </c>
      <c r="P221" s="39"/>
      <c r="Q221" s="41">
        <f>0</f>
        <v>0</v>
      </c>
      <c r="R221" s="39"/>
      <c r="S221" s="41">
        <f>0</f>
        <v>0</v>
      </c>
      <c r="T221" s="39"/>
      <c r="U221" s="41">
        <f>0</f>
        <v>0</v>
      </c>
      <c r="V221" s="39"/>
      <c r="W221" s="41">
        <f>0</f>
        <v>0</v>
      </c>
      <c r="X221" s="39"/>
      <c r="Y221" s="41">
        <f>0</f>
        <v>0</v>
      </c>
      <c r="Z221" s="39"/>
      <c r="AA221" s="41">
        <f>0</f>
        <v>0</v>
      </c>
      <c r="AB221" s="39"/>
      <c r="AC221" s="41">
        <f>0</f>
        <v>0</v>
      </c>
      <c r="AD221" s="39"/>
      <c r="AE221" s="41">
        <f>0</f>
        <v>0</v>
      </c>
      <c r="AF221" s="39"/>
      <c r="AG221" s="41">
        <f>0</f>
        <v>0</v>
      </c>
      <c r="AH221" s="39"/>
      <c r="AI221" s="41">
        <f>0</f>
        <v>0</v>
      </c>
      <c r="AJ221" s="39"/>
      <c r="AK221" s="41">
        <f>0</f>
        <v>0</v>
      </c>
      <c r="AL221" s="39"/>
      <c r="AM221" s="41">
        <f>0</f>
        <v>0</v>
      </c>
      <c r="AN221" s="39"/>
      <c r="AO221" s="41">
        <f>0</f>
        <v>0</v>
      </c>
      <c r="AP221" s="39"/>
      <c r="AQ221" s="41">
        <f>0</f>
        <v>0</v>
      </c>
      <c r="AR221" s="39"/>
      <c r="AS221" s="41">
        <f>0</f>
        <v>0</v>
      </c>
      <c r="AT221" s="39"/>
      <c r="AU221" s="41">
        <f>0</f>
        <v>0</v>
      </c>
      <c r="AV221" s="39"/>
      <c r="AW221" s="41">
        <f>0</f>
        <v>0</v>
      </c>
      <c r="AX221" s="39"/>
      <c r="AY221" s="41">
        <f>0</f>
        <v>0</v>
      </c>
      <c r="AZ221" s="39"/>
      <c r="BA221" s="41">
        <f>0</f>
        <v>0</v>
      </c>
      <c r="BB221" s="39"/>
      <c r="BC221" s="41">
        <f>0</f>
        <v>0</v>
      </c>
      <c r="BD221" s="39"/>
      <c r="BE221" s="41">
        <f>0</f>
        <v>0</v>
      </c>
      <c r="BF221" s="39"/>
      <c r="BG221" s="41">
        <f>IFERROR(IF(AND('Real results'!C214&lt;&gt;"",'Raw data'!BG214&lt;&gt;"",UPPER(TRIM('Real results'!C214))=UPPER(TRIM('Raw data'!BG214))),1,0),0)</f>
        <v>0</v>
      </c>
      <c r="BH221" s="39"/>
      <c r="BI221" s="41">
        <f>IFERROR(IF(AND('Real results'!C214&lt;&gt;"",'Raw data'!BI214&lt;&gt;"",UPPER(TRIM('Real results'!C214))=UPPER(TRIM('Raw data'!BI214))),1,0),0)</f>
        <v>0</v>
      </c>
    </row>
    <row r="222" ht="18.0" customHeight="1">
      <c r="A222" s="36"/>
      <c r="B222" s="40" t="s">
        <v>513</v>
      </c>
      <c r="C222" s="41">
        <f>IFERROR(IF(AND('Real results'!C215&lt;&gt;"",'Raw data'!C215&lt;&gt;"",UPPER(TRIM('Real results'!C215))=UPPER(TRIM('Raw data'!C215))),6,0),0)</f>
        <v>0</v>
      </c>
      <c r="D222" s="39"/>
      <c r="E222" s="41">
        <f>IFERROR(IF(AND('Real results'!C215&lt;&gt;"",'Raw data'!E215&lt;&gt;"",UPPER(TRIM('Real results'!C215))=UPPER(TRIM('Raw data'!E215))),6,0),0)</f>
        <v>0</v>
      </c>
      <c r="F222" s="39"/>
      <c r="G222" s="41">
        <f>IFERROR(IF(AND('Real results'!C215&lt;&gt;"",'Raw data'!G215&lt;&gt;"",UPPER(TRIM('Real results'!C215))=UPPER(TRIM('Raw data'!G215))),6,0),0)</f>
        <v>0</v>
      </c>
      <c r="H222" s="39"/>
      <c r="I222" s="41">
        <f>IFERROR(IF(AND('Real results'!C215&lt;&gt;"",'Raw data'!I215&lt;&gt;"",UPPER(TRIM('Real results'!C215))=UPPER(TRIM('Raw data'!I215))),6,0),0)</f>
        <v>0</v>
      </c>
      <c r="J222" s="39"/>
      <c r="K222" s="41">
        <f>IFERROR(IF(AND('Real results'!C215&lt;&gt;"",'Raw data'!K215&lt;&gt;"",UPPER(TRIM('Real results'!C215))=UPPER(TRIM('Raw data'!K215))),6,0),0)</f>
        <v>0</v>
      </c>
      <c r="L222" s="39"/>
      <c r="M222" s="41">
        <f>IFERROR(IF(AND('Real results'!C215&lt;&gt;"",'Raw data'!M215&lt;&gt;"",UPPER(TRIM('Real results'!C215))=UPPER(TRIM('Raw data'!M215))),6,0),0)</f>
        <v>0</v>
      </c>
      <c r="N222" s="39"/>
      <c r="O222" s="41">
        <f>IFERROR(IF(AND('Real results'!C215&lt;&gt;"",'Raw data'!O215&lt;&gt;"",UPPER(TRIM('Real results'!C215))=UPPER(TRIM('Raw data'!O215))),6,0),0)</f>
        <v>0</v>
      </c>
      <c r="P222" s="39"/>
      <c r="Q222" s="41">
        <f>IFERROR(IF(AND('Real results'!C215&lt;&gt;"",'Raw data'!Q215&lt;&gt;"",UPPER(TRIM('Real results'!C215))=UPPER(TRIM('Raw data'!Q215))),6,0),0)</f>
        <v>0</v>
      </c>
      <c r="R222" s="39"/>
      <c r="S222" s="41">
        <f>IFERROR(IF(AND('Real results'!C215&lt;&gt;"",'Raw data'!S215&lt;&gt;"",UPPER(TRIM('Real results'!C215))=UPPER(TRIM('Raw data'!S215))),6,0),0)</f>
        <v>0</v>
      </c>
      <c r="T222" s="39"/>
      <c r="U222" s="41">
        <f>IFERROR(IF(AND('Real results'!C215&lt;&gt;"",'Raw data'!U215&lt;&gt;"",UPPER(TRIM('Real results'!C215))=UPPER(TRIM('Raw data'!U215))),6,0),0)</f>
        <v>0</v>
      </c>
      <c r="V222" s="39"/>
      <c r="W222" s="41">
        <f>IFERROR(IF(AND('Real results'!C215&lt;&gt;"",'Raw data'!W215&lt;&gt;"",UPPER(TRIM('Real results'!C215))=UPPER(TRIM('Raw data'!W215))),6,0),0)</f>
        <v>0</v>
      </c>
      <c r="X222" s="39"/>
      <c r="Y222" s="41">
        <f>IFERROR(IF(AND('Real results'!C215&lt;&gt;"",'Raw data'!Y215&lt;&gt;"",UPPER(TRIM('Real results'!C215))=UPPER(TRIM('Raw data'!Y215))),6,0),0)</f>
        <v>0</v>
      </c>
      <c r="Z222" s="39"/>
      <c r="AA222" s="41">
        <f>IFERROR(IF(AND('Real results'!C215&lt;&gt;"",'Raw data'!AA215&lt;&gt;"",UPPER(TRIM('Real results'!C215))=UPPER(TRIM('Raw data'!AA215))),6,0),0)</f>
        <v>0</v>
      </c>
      <c r="AB222" s="39"/>
      <c r="AC222" s="41">
        <f>IFERROR(IF(AND('Real results'!C215&lt;&gt;"",'Raw data'!AC215&lt;&gt;"",UPPER(TRIM('Real results'!C215))=UPPER(TRIM('Raw data'!AC215))),6,0),0)</f>
        <v>0</v>
      </c>
      <c r="AD222" s="39"/>
      <c r="AE222" s="41">
        <f>IFERROR(IF(AND('Real results'!C215&lt;&gt;"",'Raw data'!AE215&lt;&gt;"",UPPER(TRIM('Real results'!C215))=UPPER(TRIM('Raw data'!AE215))),6,0),0)</f>
        <v>0</v>
      </c>
      <c r="AF222" s="39"/>
      <c r="AG222" s="41">
        <f>IFERROR(IF(AND('Real results'!C215&lt;&gt;"",'Raw data'!AG215&lt;&gt;"",UPPER(TRIM('Real results'!C215))=UPPER(TRIM('Raw data'!AG215))),6,0),0)</f>
        <v>0</v>
      </c>
      <c r="AH222" s="39"/>
      <c r="AI222" s="41">
        <f>IFERROR(IF(AND('Real results'!C215&lt;&gt;"",'Raw data'!AI215&lt;&gt;"",UPPER(TRIM('Real results'!C215))=UPPER(TRIM('Raw data'!AI215))),6,0),0)</f>
        <v>0</v>
      </c>
      <c r="AJ222" s="39"/>
      <c r="AK222" s="41">
        <f>IFERROR(IF(AND('Real results'!C215&lt;&gt;"",'Raw data'!AK215&lt;&gt;"",UPPER(TRIM('Real results'!C215))=UPPER(TRIM('Raw data'!AK215))),6,0),0)</f>
        <v>0</v>
      </c>
      <c r="AL222" s="39"/>
      <c r="AM222" s="41">
        <f>IFERROR(IF(AND('Real results'!C215&lt;&gt;"",'Raw data'!AM215&lt;&gt;"",UPPER(TRIM('Real results'!C215))=UPPER(TRIM('Raw data'!AM215))),6,0),0)</f>
        <v>0</v>
      </c>
      <c r="AN222" s="39"/>
      <c r="AO222" s="41">
        <f>IFERROR(IF(AND('Real results'!C215&lt;&gt;"",'Raw data'!AO215&lt;&gt;"",UPPER(TRIM('Real results'!C215))=UPPER(TRIM('Raw data'!AO215))),6,0),0)</f>
        <v>0</v>
      </c>
      <c r="AP222" s="39"/>
      <c r="AQ222" s="41">
        <f>IFERROR(IF(AND('Real results'!C215&lt;&gt;"",'Raw data'!AQ215&lt;&gt;"",UPPER(TRIM('Real results'!C215))=UPPER(TRIM('Raw data'!AQ215))),6,0),0)</f>
        <v>0</v>
      </c>
      <c r="AR222" s="39"/>
      <c r="AS222" s="41">
        <f>IFERROR(IF(AND('Real results'!C215&lt;&gt;"",'Raw data'!AS215&lt;&gt;"",UPPER(TRIM('Real results'!C215))=UPPER(TRIM('Raw data'!AS215))),6,0),0)</f>
        <v>0</v>
      </c>
      <c r="AT222" s="39"/>
      <c r="AU222" s="41">
        <f>IFERROR(IF(AND('Real results'!C215&lt;&gt;"",'Raw data'!AU215&lt;&gt;"",UPPER(TRIM('Real results'!C215))=UPPER(TRIM('Raw data'!AU215))),6,0),0)</f>
        <v>0</v>
      </c>
      <c r="AV222" s="39"/>
      <c r="AW222" s="41">
        <f>IFERROR(IF(AND('Real results'!C215&lt;&gt;"",'Raw data'!AW215&lt;&gt;"",UPPER(TRIM('Real results'!C215))=UPPER(TRIM('Raw data'!AW215))),6,0),0)</f>
        <v>0</v>
      </c>
      <c r="AX222" s="39"/>
      <c r="AY222" s="41">
        <f>IFERROR(IF(AND('Real results'!C215&lt;&gt;"",'Raw data'!AY215&lt;&gt;"",UPPER(TRIM('Real results'!C215))=UPPER(TRIM('Raw data'!AY215))),6,0),0)</f>
        <v>0</v>
      </c>
      <c r="AZ222" s="39"/>
      <c r="BA222" s="41">
        <f>IFERROR(IF(AND('Real results'!C215&lt;&gt;"",'Raw data'!BA215&lt;&gt;"",UPPER(TRIM('Real results'!C215))=UPPER(TRIM('Raw data'!BA215))),6,0),0)</f>
        <v>0</v>
      </c>
      <c r="BB222" s="39"/>
      <c r="BC222" s="41">
        <f>IFERROR(IF(AND('Real results'!C215&lt;&gt;"",'Raw data'!BC215&lt;&gt;"",UPPER(TRIM('Real results'!C215))=UPPER(TRIM('Raw data'!BC215))),6,0),0)</f>
        <v>0</v>
      </c>
      <c r="BD222" s="39"/>
      <c r="BE222" s="41">
        <f>IFERROR(IF(AND('Real results'!C215&lt;&gt;"",'Raw data'!BE215&lt;&gt;"",UPPER(TRIM('Real results'!C215))=UPPER(TRIM('Raw data'!BE215))),6,0),0)</f>
        <v>0</v>
      </c>
      <c r="BF222" s="39"/>
      <c r="BG222" s="41">
        <f>IFERROR(IF(AND('Real results'!C215&lt;&gt;"",'Raw data'!BG215&lt;&gt;"",UPPER(TRIM('Real results'!C215))=UPPER(TRIM('Raw data'!BG215))),6,0),0)</f>
        <v>0</v>
      </c>
      <c r="BH222" s="39"/>
      <c r="BI222" s="41">
        <f>IFERROR(IF(AND('Real results'!C215&lt;&gt;"",'Raw data'!BI215&lt;&gt;"",UPPER(TRIM('Real results'!C215))=UPPER(TRIM('Raw data'!BI215))),6,0),0)</f>
        <v>0</v>
      </c>
    </row>
    <row r="223" ht="18.0" customHeight="1">
      <c r="A223" s="36"/>
      <c r="B223" s="40" t="s">
        <v>514</v>
      </c>
      <c r="C223" s="41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39"/>
      <c r="E223" s="41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39"/>
      <c r="G223" s="41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39"/>
      <c r="I223" s="41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39"/>
      <c r="K223" s="41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39"/>
      <c r="M223" s="41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39"/>
      <c r="O223" s="41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39"/>
      <c r="Q223" s="41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39"/>
      <c r="S223" s="41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39"/>
      <c r="U223" s="41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39"/>
      <c r="W223" s="41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39"/>
      <c r="Y223" s="41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39"/>
      <c r="AA223" s="41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39"/>
      <c r="AC223" s="41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39"/>
      <c r="AE223" s="41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39"/>
      <c r="AG223" s="41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39"/>
      <c r="AI223" s="41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39"/>
      <c r="AK223" s="41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39"/>
      <c r="AM223" s="41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39"/>
      <c r="AO223" s="41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39"/>
      <c r="AQ223" s="41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39"/>
      <c r="AS223" s="41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39"/>
      <c r="AU223" s="41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39"/>
      <c r="AW223" s="41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39"/>
      <c r="AY223" s="41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39"/>
      <c r="BA223" s="41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39"/>
      <c r="BC223" s="41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39"/>
      <c r="BE223" s="41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39"/>
      <c r="BG223" s="41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39"/>
      <c r="BI223" s="41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6"/>
      <c r="B224" s="40" t="s">
        <v>515</v>
      </c>
      <c r="C224" s="44">
        <f>0</f>
        <v>0</v>
      </c>
      <c r="D224" s="39"/>
      <c r="E224" s="41">
        <f>0</f>
        <v>0</v>
      </c>
      <c r="F224" s="39"/>
      <c r="G224" s="41">
        <f>0</f>
        <v>0</v>
      </c>
      <c r="H224" s="39"/>
      <c r="I224" s="41">
        <f>0</f>
        <v>0</v>
      </c>
      <c r="J224" s="39"/>
      <c r="K224" s="41">
        <f>0</f>
        <v>0</v>
      </c>
      <c r="L224" s="39"/>
      <c r="M224" s="41">
        <f>0</f>
        <v>0</v>
      </c>
      <c r="N224" s="39"/>
      <c r="O224" s="41">
        <f>0</f>
        <v>0</v>
      </c>
      <c r="P224" s="39"/>
      <c r="Q224" s="41">
        <f>0</f>
        <v>0</v>
      </c>
      <c r="R224" s="39"/>
      <c r="S224" s="41">
        <f>0</f>
        <v>0</v>
      </c>
      <c r="T224" s="39"/>
      <c r="U224" s="41">
        <f>0</f>
        <v>0</v>
      </c>
      <c r="V224" s="39"/>
      <c r="W224" s="41">
        <f>0</f>
        <v>0</v>
      </c>
      <c r="X224" s="39"/>
      <c r="Y224" s="41">
        <f>0</f>
        <v>0</v>
      </c>
      <c r="Z224" s="39"/>
      <c r="AA224" s="41">
        <f>0</f>
        <v>0</v>
      </c>
      <c r="AB224" s="39"/>
      <c r="AC224" s="41">
        <f>0</f>
        <v>0</v>
      </c>
      <c r="AD224" s="39"/>
      <c r="AE224" s="41">
        <f>0</f>
        <v>0</v>
      </c>
      <c r="AF224" s="39"/>
      <c r="AG224" s="41">
        <f>0</f>
        <v>0</v>
      </c>
      <c r="AH224" s="39"/>
      <c r="AI224" s="41">
        <f>0</f>
        <v>0</v>
      </c>
      <c r="AJ224" s="39"/>
      <c r="AK224" s="41">
        <f>0</f>
        <v>0</v>
      </c>
      <c r="AL224" s="39"/>
      <c r="AM224" s="41">
        <f>0</f>
        <v>0</v>
      </c>
      <c r="AN224" s="39"/>
      <c r="AO224" s="41">
        <f>0</f>
        <v>0</v>
      </c>
      <c r="AP224" s="39"/>
      <c r="AQ224" s="41">
        <f>0</f>
        <v>0</v>
      </c>
      <c r="AR224" s="39"/>
      <c r="AS224" s="41">
        <f>0</f>
        <v>0</v>
      </c>
      <c r="AT224" s="39"/>
      <c r="AU224" s="41">
        <f>0</f>
        <v>0</v>
      </c>
      <c r="AV224" s="39"/>
      <c r="AW224" s="41">
        <f>0</f>
        <v>0</v>
      </c>
      <c r="AX224" s="39"/>
      <c r="AY224" s="41">
        <f>0</f>
        <v>0</v>
      </c>
      <c r="AZ224" s="39"/>
      <c r="BA224" s="41">
        <f>0</f>
        <v>0</v>
      </c>
      <c r="BB224" s="39"/>
      <c r="BC224" s="41">
        <f>0</f>
        <v>0</v>
      </c>
      <c r="BD224" s="39"/>
      <c r="BE224" s="41">
        <f>0</f>
        <v>0</v>
      </c>
      <c r="BF224" s="39"/>
      <c r="BG224" s="41">
        <f>IFERROR(IF(AND('Real results'!C217&lt;&gt;"",'Raw data'!BG217&lt;&gt;"",UPPER(TRIM('Real results'!C217))=UPPER(TRIM('Raw data'!BG217))),1,0),0)</f>
        <v>0</v>
      </c>
      <c r="BH224" s="39"/>
      <c r="BI224" s="41">
        <f>IFERROR(IF(AND('Real results'!C217&lt;&gt;"",'Raw data'!BI217&lt;&gt;"",UPPER(TRIM('Real results'!C217))=UPPER(TRIM('Raw data'!BI217))),1,0),0)</f>
        <v>0</v>
      </c>
    </row>
    <row r="225" ht="18.0" customHeight="1">
      <c r="A225" s="36"/>
      <c r="B225" s="40" t="s">
        <v>516</v>
      </c>
      <c r="C225" s="41">
        <f>IFERROR(IF(AND('Real results'!C218&lt;&gt;"",'Raw data'!C218&lt;&gt;"",UPPER(TRIM('Real results'!C218))=UPPER(TRIM('Raw data'!C218))),6,0),0)</f>
        <v>0</v>
      </c>
      <c r="D225" s="39"/>
      <c r="E225" s="41">
        <f>IFERROR(IF(AND('Real results'!C218&lt;&gt;"",'Raw data'!E218&lt;&gt;"",UPPER(TRIM('Real results'!C218))=UPPER(TRIM('Raw data'!E218))),6,0),0)</f>
        <v>0</v>
      </c>
      <c r="F225" s="39"/>
      <c r="G225" s="41">
        <f>IFERROR(IF(AND('Real results'!C218&lt;&gt;"",'Raw data'!G218&lt;&gt;"",UPPER(TRIM('Real results'!C218))=UPPER(TRIM('Raw data'!G218))),6,0),0)</f>
        <v>0</v>
      </c>
      <c r="H225" s="39"/>
      <c r="I225" s="41">
        <f>IFERROR(IF(AND('Real results'!C218&lt;&gt;"",'Raw data'!I218&lt;&gt;"",UPPER(TRIM('Real results'!C218))=UPPER(TRIM('Raw data'!I218))),6,0),0)</f>
        <v>0</v>
      </c>
      <c r="J225" s="39"/>
      <c r="K225" s="41">
        <f>IFERROR(IF(AND('Real results'!C218&lt;&gt;"",'Raw data'!K218&lt;&gt;"",UPPER(TRIM('Real results'!C218))=UPPER(TRIM('Raw data'!K218))),6,0),0)</f>
        <v>0</v>
      </c>
      <c r="L225" s="39"/>
      <c r="M225" s="41">
        <f>IFERROR(IF(AND('Real results'!C218&lt;&gt;"",'Raw data'!M218&lt;&gt;"",UPPER(TRIM('Real results'!C218))=UPPER(TRIM('Raw data'!M218))),6,0),0)</f>
        <v>0</v>
      </c>
      <c r="N225" s="39"/>
      <c r="O225" s="41">
        <f>IFERROR(IF(AND('Real results'!C218&lt;&gt;"",'Raw data'!O218&lt;&gt;"",UPPER(TRIM('Real results'!C218))=UPPER(TRIM('Raw data'!O218))),6,0),0)</f>
        <v>0</v>
      </c>
      <c r="P225" s="39"/>
      <c r="Q225" s="41">
        <f>IFERROR(IF(AND('Real results'!C218&lt;&gt;"",'Raw data'!Q218&lt;&gt;"",UPPER(TRIM('Real results'!C218))=UPPER(TRIM('Raw data'!Q218))),6,0),0)</f>
        <v>0</v>
      </c>
      <c r="R225" s="39"/>
      <c r="S225" s="41">
        <f>IFERROR(IF(AND('Real results'!C218&lt;&gt;"",'Raw data'!S218&lt;&gt;"",UPPER(TRIM('Real results'!C218))=UPPER(TRIM('Raw data'!S218))),6,0),0)</f>
        <v>0</v>
      </c>
      <c r="T225" s="39"/>
      <c r="U225" s="41">
        <f>IFERROR(IF(AND('Real results'!C218&lt;&gt;"",'Raw data'!U218&lt;&gt;"",UPPER(TRIM('Real results'!C218))=UPPER(TRIM('Raw data'!U218))),6,0),0)</f>
        <v>0</v>
      </c>
      <c r="V225" s="39"/>
      <c r="W225" s="41">
        <f>IFERROR(IF(AND('Real results'!C218&lt;&gt;"",'Raw data'!W218&lt;&gt;"",UPPER(TRIM('Real results'!C218))=UPPER(TRIM('Raw data'!W218))),6,0),0)</f>
        <v>0</v>
      </c>
      <c r="X225" s="39"/>
      <c r="Y225" s="41">
        <f>IFERROR(IF(AND('Real results'!C218&lt;&gt;"",'Raw data'!Y218&lt;&gt;"",UPPER(TRIM('Real results'!C218))=UPPER(TRIM('Raw data'!Y218))),6,0),0)</f>
        <v>0</v>
      </c>
      <c r="Z225" s="39"/>
      <c r="AA225" s="41">
        <f>IFERROR(IF(AND('Real results'!C218&lt;&gt;"",'Raw data'!AA218&lt;&gt;"",UPPER(TRIM('Real results'!C218))=UPPER(TRIM('Raw data'!AA218))),6,0),0)</f>
        <v>0</v>
      </c>
      <c r="AB225" s="39"/>
      <c r="AC225" s="41">
        <f>IFERROR(IF(AND('Real results'!C218&lt;&gt;"",'Raw data'!AC218&lt;&gt;"",UPPER(TRIM('Real results'!C218))=UPPER(TRIM('Raw data'!AC218))),6,0),0)</f>
        <v>0</v>
      </c>
      <c r="AD225" s="39"/>
      <c r="AE225" s="41">
        <f>IFERROR(IF(AND('Real results'!C218&lt;&gt;"",'Raw data'!AE218&lt;&gt;"",UPPER(TRIM('Real results'!C218))=UPPER(TRIM('Raw data'!AE218))),6,0),0)</f>
        <v>0</v>
      </c>
      <c r="AF225" s="39"/>
      <c r="AG225" s="41">
        <f>IFERROR(IF(AND('Real results'!C218&lt;&gt;"",'Raw data'!AG218&lt;&gt;"",UPPER(TRIM('Real results'!C218))=UPPER(TRIM('Raw data'!AG218))),6,0),0)</f>
        <v>0</v>
      </c>
      <c r="AH225" s="39"/>
      <c r="AI225" s="41">
        <f>IFERROR(IF(AND('Real results'!C218&lt;&gt;"",'Raw data'!AI218&lt;&gt;"",UPPER(TRIM('Real results'!C218))=UPPER(TRIM('Raw data'!AI218))),6,0),0)</f>
        <v>0</v>
      </c>
      <c r="AJ225" s="39"/>
      <c r="AK225" s="41">
        <f>IFERROR(IF(AND('Real results'!C218&lt;&gt;"",'Raw data'!AK218&lt;&gt;"",UPPER(TRIM('Real results'!C218))=UPPER(TRIM('Raw data'!AK218))),6,0),0)</f>
        <v>0</v>
      </c>
      <c r="AL225" s="39"/>
      <c r="AM225" s="41">
        <f>IFERROR(IF(AND('Real results'!C218&lt;&gt;"",'Raw data'!AM218&lt;&gt;"",UPPER(TRIM('Real results'!C218))=UPPER(TRIM('Raw data'!AM218))),6,0),0)</f>
        <v>0</v>
      </c>
      <c r="AN225" s="39"/>
      <c r="AO225" s="41">
        <f>IFERROR(IF(AND('Real results'!C218&lt;&gt;"",'Raw data'!AO218&lt;&gt;"",UPPER(TRIM('Real results'!C218))=UPPER(TRIM('Raw data'!AO218))),6,0),0)</f>
        <v>0</v>
      </c>
      <c r="AP225" s="39"/>
      <c r="AQ225" s="41">
        <f>IFERROR(IF(AND('Real results'!C218&lt;&gt;"",'Raw data'!AQ218&lt;&gt;"",UPPER(TRIM('Real results'!C218))=UPPER(TRIM('Raw data'!AQ218))),6,0),0)</f>
        <v>0</v>
      </c>
      <c r="AR225" s="39"/>
      <c r="AS225" s="41">
        <f>IFERROR(IF(AND('Real results'!C218&lt;&gt;"",'Raw data'!AS218&lt;&gt;"",UPPER(TRIM('Real results'!C218))=UPPER(TRIM('Raw data'!AS218))),6,0),0)</f>
        <v>0</v>
      </c>
      <c r="AT225" s="39"/>
      <c r="AU225" s="41">
        <f>IFERROR(IF(AND('Real results'!C218&lt;&gt;"",'Raw data'!AU218&lt;&gt;"",UPPER(TRIM('Real results'!C218))=UPPER(TRIM('Raw data'!AU218))),6,0),0)</f>
        <v>0</v>
      </c>
      <c r="AV225" s="39"/>
      <c r="AW225" s="41">
        <f>IFERROR(IF(AND('Real results'!C218&lt;&gt;"",'Raw data'!AW218&lt;&gt;"",UPPER(TRIM('Real results'!C218))=UPPER(TRIM('Raw data'!AW218))),6,0),0)</f>
        <v>0</v>
      </c>
      <c r="AX225" s="39"/>
      <c r="AY225" s="41">
        <f>IFERROR(IF(AND('Real results'!C218&lt;&gt;"",'Raw data'!AY218&lt;&gt;"",UPPER(TRIM('Real results'!C218))=UPPER(TRIM('Raw data'!AY218))),6,0),0)</f>
        <v>0</v>
      </c>
      <c r="AZ225" s="39"/>
      <c r="BA225" s="41">
        <f>IFERROR(IF(AND('Real results'!C218&lt;&gt;"",'Raw data'!BA218&lt;&gt;"",UPPER(TRIM('Real results'!C218))=UPPER(TRIM('Raw data'!BA218))),6,0),0)</f>
        <v>0</v>
      </c>
      <c r="BB225" s="39"/>
      <c r="BC225" s="41">
        <f>IFERROR(IF(AND('Real results'!C218&lt;&gt;"",'Raw data'!BC218&lt;&gt;"",UPPER(TRIM('Real results'!C218))=UPPER(TRIM('Raw data'!BC218))),6,0),0)</f>
        <v>0</v>
      </c>
      <c r="BD225" s="39"/>
      <c r="BE225" s="41">
        <f>IFERROR(IF(AND('Real results'!C218&lt;&gt;"",'Raw data'!BE218&lt;&gt;"",UPPER(TRIM('Real results'!C218))=UPPER(TRIM('Raw data'!BE218))),6,0),0)</f>
        <v>0</v>
      </c>
      <c r="BF225" s="39"/>
      <c r="BG225" s="41">
        <f>IFERROR(IF(AND('Real results'!C218&lt;&gt;"",'Raw data'!BG218&lt;&gt;"",UPPER(TRIM('Real results'!C218))=UPPER(TRIM('Raw data'!BG218))),6,0),0)</f>
        <v>0</v>
      </c>
      <c r="BH225" s="39"/>
      <c r="BI225" s="41">
        <f>IFERROR(IF(AND('Real results'!C218&lt;&gt;"",'Raw data'!BI218&lt;&gt;"",UPPER(TRIM('Real results'!C218))=UPPER(TRIM('Raw data'!BI218))),6,0),0)</f>
        <v>0</v>
      </c>
    </row>
    <row r="226" ht="21.75" customHeight="1">
      <c r="A226" s="36"/>
      <c r="B226" s="42" t="s">
        <v>517</v>
      </c>
      <c r="C226" s="43">
        <f>SUM(C220:C225)</f>
        <v>0</v>
      </c>
      <c r="D226" s="39"/>
      <c r="E226" s="43">
        <f>SUM(E220:E225)</f>
        <v>0</v>
      </c>
      <c r="F226" s="39"/>
      <c r="G226" s="43">
        <f>SUM(G220:G225)</f>
        <v>0</v>
      </c>
      <c r="H226" s="39"/>
      <c r="I226" s="43">
        <f>SUM(I220:I225)</f>
        <v>0</v>
      </c>
      <c r="J226" s="39"/>
      <c r="K226" s="43">
        <f>SUM(K220:K225)</f>
        <v>0</v>
      </c>
      <c r="L226" s="39"/>
      <c r="M226" s="43">
        <f>SUM(M220:M225)</f>
        <v>0</v>
      </c>
      <c r="N226" s="39"/>
      <c r="O226" s="43">
        <f>SUM(O220:O225)</f>
        <v>0</v>
      </c>
      <c r="P226" s="39"/>
      <c r="Q226" s="43">
        <f>SUM(Q220:Q225)</f>
        <v>0</v>
      </c>
      <c r="R226" s="39"/>
      <c r="S226" s="43">
        <f>SUM(S220:S225)</f>
        <v>0</v>
      </c>
      <c r="T226" s="39"/>
      <c r="U226" s="43">
        <f>SUM(U220:U225)</f>
        <v>0</v>
      </c>
      <c r="V226" s="39"/>
      <c r="W226" s="43">
        <f>SUM(W220:W225)</f>
        <v>0</v>
      </c>
      <c r="X226" s="39"/>
      <c r="Y226" s="43">
        <f>SUM(Y220:Y225)</f>
        <v>0</v>
      </c>
      <c r="Z226" s="39"/>
      <c r="AA226" s="43">
        <f>SUM(AA220:AA225)</f>
        <v>0</v>
      </c>
      <c r="AB226" s="39"/>
      <c r="AC226" s="43">
        <f>SUM(AC220:AC225)</f>
        <v>0</v>
      </c>
      <c r="AD226" s="39"/>
      <c r="AE226" s="43">
        <f>SUM(AE220:AE225)</f>
        <v>0</v>
      </c>
      <c r="AF226" s="39"/>
      <c r="AG226" s="43">
        <f>SUM(AG220:AG225)</f>
        <v>0</v>
      </c>
      <c r="AH226" s="39"/>
      <c r="AI226" s="43">
        <f>SUM(AI220:AI225)</f>
        <v>0</v>
      </c>
      <c r="AJ226" s="39"/>
      <c r="AK226" s="43">
        <f>SUM(AK220:AK225)</f>
        <v>0</v>
      </c>
      <c r="AL226" s="39"/>
      <c r="AM226" s="43">
        <f>SUM(AM220:AM225)</f>
        <v>0</v>
      </c>
      <c r="AN226" s="39"/>
      <c r="AO226" s="43">
        <f>SUM(AO220:AO225)</f>
        <v>0</v>
      </c>
      <c r="AP226" s="39"/>
      <c r="AQ226" s="43">
        <f>SUM(AQ220:AQ225)</f>
        <v>0</v>
      </c>
      <c r="AR226" s="39"/>
      <c r="AS226" s="43">
        <f>SUM(AS220:AS225)</f>
        <v>0</v>
      </c>
      <c r="AT226" s="39"/>
      <c r="AU226" s="43">
        <f>SUM(AU220:AU225)</f>
        <v>0</v>
      </c>
      <c r="AV226" s="39"/>
      <c r="AW226" s="43">
        <f>SUM(AW220:AW225)</f>
        <v>0</v>
      </c>
      <c r="AX226" s="39"/>
      <c r="AY226" s="43">
        <f>SUM(AY220:AY225)</f>
        <v>0</v>
      </c>
      <c r="AZ226" s="39"/>
      <c r="BA226" s="43">
        <f>SUM(BA220:BA225)</f>
        <v>0</v>
      </c>
      <c r="BB226" s="39"/>
      <c r="BC226" s="43">
        <f>SUM(BC220:BC225)</f>
        <v>0</v>
      </c>
      <c r="BD226" s="39"/>
      <c r="BE226" s="43">
        <f>SUM(BE220:BE225)</f>
        <v>0</v>
      </c>
      <c r="BF226" s="39"/>
      <c r="BG226" s="43">
        <f>SUM(BG220:BG225)</f>
        <v>0</v>
      </c>
      <c r="BH226" s="39"/>
      <c r="BI226" s="43">
        <f>SUM(BI220:BI225)</f>
        <v>0</v>
      </c>
    </row>
    <row r="227" ht="19.5" customHeight="1">
      <c r="A227" s="36"/>
      <c r="B227" s="37" t="s">
        <v>518</v>
      </c>
      <c r="C227" s="38"/>
      <c r="D227" s="39"/>
      <c r="E227" s="38"/>
      <c r="F227" s="39"/>
      <c r="G227" s="38"/>
      <c r="H227" s="39"/>
      <c r="I227" s="38"/>
      <c r="J227" s="39"/>
      <c r="K227" s="38"/>
      <c r="L227" s="39"/>
      <c r="M227" s="38"/>
      <c r="N227" s="39"/>
      <c r="O227" s="38"/>
      <c r="P227" s="39"/>
      <c r="Q227" s="38"/>
      <c r="R227" s="39"/>
      <c r="S227" s="38"/>
      <c r="T227" s="39"/>
      <c r="U227" s="38"/>
      <c r="V227" s="39"/>
      <c r="W227" s="38"/>
      <c r="X227" s="39"/>
      <c r="Y227" s="38"/>
      <c r="Z227" s="39"/>
      <c r="AA227" s="38"/>
      <c r="AB227" s="39"/>
      <c r="AC227" s="38"/>
      <c r="AD227" s="39"/>
      <c r="AE227" s="38"/>
      <c r="AF227" s="39"/>
      <c r="AG227" s="38"/>
      <c r="AH227" s="39"/>
      <c r="AI227" s="38"/>
      <c r="AJ227" s="39"/>
      <c r="AK227" s="38"/>
      <c r="AL227" s="39"/>
      <c r="AM227" s="38"/>
      <c r="AN227" s="39"/>
      <c r="AO227" s="38"/>
      <c r="AP227" s="39"/>
      <c r="AQ227" s="38"/>
      <c r="AR227" s="39"/>
      <c r="AS227" s="38"/>
      <c r="AT227" s="39"/>
      <c r="AU227" s="38"/>
      <c r="AV227" s="39"/>
      <c r="AW227" s="38"/>
      <c r="AX227" s="39"/>
      <c r="AY227" s="38"/>
      <c r="AZ227" s="39"/>
      <c r="BA227" s="38"/>
      <c r="BB227" s="39"/>
      <c r="BC227" s="38"/>
      <c r="BD227" s="39"/>
      <c r="BE227" s="38"/>
      <c r="BF227" s="39"/>
      <c r="BG227" s="38"/>
      <c r="BH227" s="39"/>
      <c r="BI227" s="38"/>
    </row>
    <row r="228" ht="18.0" customHeight="1">
      <c r="A228" s="36"/>
      <c r="B228" s="40" t="s">
        <v>276</v>
      </c>
      <c r="C228" s="41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39"/>
      <c r="E228" s="41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39"/>
      <c r="G228" s="41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39"/>
      <c r="I228" s="41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39"/>
      <c r="K228" s="41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39"/>
      <c r="M228" s="41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39"/>
      <c r="O228" s="41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39"/>
      <c r="Q228" s="41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39"/>
      <c r="S228" s="41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39"/>
      <c r="U228" s="41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39"/>
      <c r="W228" s="41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39"/>
      <c r="Y228" s="41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39"/>
      <c r="AA228" s="41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39"/>
      <c r="AC228" s="41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39"/>
      <c r="AE228" s="41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39"/>
      <c r="AG228" s="41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39"/>
      <c r="AI228" s="41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39"/>
      <c r="AK228" s="41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39"/>
      <c r="AM228" s="41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39"/>
      <c r="AO228" s="41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39"/>
      <c r="AQ228" s="41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39"/>
      <c r="AS228" s="41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39"/>
      <c r="AU228" s="41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39"/>
      <c r="AW228" s="41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39"/>
      <c r="AY228" s="41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39"/>
      <c r="BA228" s="41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39"/>
      <c r="BC228" s="41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39"/>
      <c r="BE228" s="41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39"/>
      <c r="BG228" s="41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39"/>
      <c r="BI228" s="41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6"/>
      <c r="B229" s="40" t="s">
        <v>277</v>
      </c>
      <c r="C229" s="44">
        <f>0</f>
        <v>0</v>
      </c>
      <c r="D229" s="39"/>
      <c r="E229" s="41">
        <f>0</f>
        <v>0</v>
      </c>
      <c r="F229" s="39"/>
      <c r="G229" s="41">
        <f>0</f>
        <v>0</v>
      </c>
      <c r="H229" s="39"/>
      <c r="I229" s="41">
        <f>0</f>
        <v>0</v>
      </c>
      <c r="J229" s="39"/>
      <c r="K229" s="41">
        <f>0</f>
        <v>0</v>
      </c>
      <c r="L229" s="39"/>
      <c r="M229" s="41">
        <f>0</f>
        <v>0</v>
      </c>
      <c r="N229" s="39"/>
      <c r="O229" s="41">
        <f>0</f>
        <v>0</v>
      </c>
      <c r="P229" s="39"/>
      <c r="Q229" s="41">
        <f>0</f>
        <v>0</v>
      </c>
      <c r="R229" s="39"/>
      <c r="S229" s="41">
        <f>0</f>
        <v>0</v>
      </c>
      <c r="T229" s="39"/>
      <c r="U229" s="41">
        <f>0</f>
        <v>0</v>
      </c>
      <c r="V229" s="39"/>
      <c r="W229" s="41">
        <f>0</f>
        <v>0</v>
      </c>
      <c r="X229" s="39"/>
      <c r="Y229" s="41">
        <f>0</f>
        <v>0</v>
      </c>
      <c r="Z229" s="39"/>
      <c r="AA229" s="41">
        <f>0</f>
        <v>0</v>
      </c>
      <c r="AB229" s="39"/>
      <c r="AC229" s="41">
        <f>0</f>
        <v>0</v>
      </c>
      <c r="AD229" s="39"/>
      <c r="AE229" s="41">
        <f>0</f>
        <v>0</v>
      </c>
      <c r="AF229" s="39"/>
      <c r="AG229" s="41">
        <f>0</f>
        <v>0</v>
      </c>
      <c r="AH229" s="39"/>
      <c r="AI229" s="41">
        <f>0</f>
        <v>0</v>
      </c>
      <c r="AJ229" s="39"/>
      <c r="AK229" s="41">
        <f>0</f>
        <v>0</v>
      </c>
      <c r="AL229" s="39"/>
      <c r="AM229" s="41">
        <f>0</f>
        <v>0</v>
      </c>
      <c r="AN229" s="39"/>
      <c r="AO229" s="41">
        <f>0</f>
        <v>0</v>
      </c>
      <c r="AP229" s="39"/>
      <c r="AQ229" s="41">
        <f>0</f>
        <v>0</v>
      </c>
      <c r="AR229" s="39"/>
      <c r="AS229" s="41">
        <f>0</f>
        <v>0</v>
      </c>
      <c r="AT229" s="39"/>
      <c r="AU229" s="41">
        <f>0</f>
        <v>0</v>
      </c>
      <c r="AV229" s="39"/>
      <c r="AW229" s="41">
        <f>0</f>
        <v>0</v>
      </c>
      <c r="AX229" s="39"/>
      <c r="AY229" s="41">
        <f>0</f>
        <v>0</v>
      </c>
      <c r="AZ229" s="39"/>
      <c r="BA229" s="41">
        <f>0</f>
        <v>0</v>
      </c>
      <c r="BB229" s="39"/>
      <c r="BC229" s="41">
        <f>0</f>
        <v>0</v>
      </c>
      <c r="BD229" s="39"/>
      <c r="BE229" s="41">
        <f>0</f>
        <v>0</v>
      </c>
      <c r="BF229" s="39"/>
      <c r="BG229" s="41">
        <f>IFERROR(IF(AND('Real results'!C221&lt;&gt;"",'Raw data'!BG221&lt;&gt;"",UPPER(TRIM('Real results'!C221))=UPPER(TRIM('Raw data'!BG221))),1,0),0)</f>
        <v>0</v>
      </c>
      <c r="BH229" s="39"/>
      <c r="BI229" s="41">
        <f>IFERROR(IF(AND('Real results'!C221&lt;&gt;"",'Raw data'!BI221&lt;&gt;"",UPPER(TRIM('Real results'!C221))=UPPER(TRIM('Raw data'!BI221))),1,0),0)</f>
        <v>0</v>
      </c>
    </row>
    <row r="230" ht="18.0" customHeight="1">
      <c r="A230" s="36"/>
      <c r="B230" s="40" t="s">
        <v>278</v>
      </c>
      <c r="C230" s="41">
        <f>IFERROR(IF(AND('Real results'!C222&lt;&gt;"",'Raw data'!C222&lt;&gt;"",UPPER(TRIM('Real results'!C222))=UPPER(TRIM('Raw data'!C222))),4,0),0)</f>
        <v>0</v>
      </c>
      <c r="D230" s="39"/>
      <c r="E230" s="41">
        <f>IFERROR(IF(AND('Real results'!C222&lt;&gt;"",'Raw data'!E222&lt;&gt;"",UPPER(TRIM('Real results'!C222))=UPPER(TRIM('Raw data'!E222))),4,0),0)</f>
        <v>0</v>
      </c>
      <c r="F230" s="39"/>
      <c r="G230" s="41">
        <f>IFERROR(IF(AND('Real results'!C222&lt;&gt;"",'Raw data'!G222&lt;&gt;"",UPPER(TRIM('Real results'!C222))=UPPER(TRIM('Raw data'!G222))),4,0),0)</f>
        <v>0</v>
      </c>
      <c r="H230" s="39"/>
      <c r="I230" s="41">
        <f>IFERROR(IF(AND('Real results'!C222&lt;&gt;"",'Raw data'!I222&lt;&gt;"",UPPER(TRIM('Real results'!C222))=UPPER(TRIM('Raw data'!I222))),4,0),0)</f>
        <v>0</v>
      </c>
      <c r="J230" s="39"/>
      <c r="K230" s="41">
        <f>IFERROR(IF(AND('Real results'!C222&lt;&gt;"",'Raw data'!K222&lt;&gt;"",UPPER(TRIM('Real results'!C222))=UPPER(TRIM('Raw data'!K222))),4,0),0)</f>
        <v>0</v>
      </c>
      <c r="L230" s="39"/>
      <c r="M230" s="41">
        <f>IFERROR(IF(AND('Real results'!C222&lt;&gt;"",'Raw data'!M222&lt;&gt;"",UPPER(TRIM('Real results'!C222))=UPPER(TRIM('Raw data'!M222))),4,0),0)</f>
        <v>0</v>
      </c>
      <c r="N230" s="39"/>
      <c r="O230" s="41">
        <f>IFERROR(IF(AND('Real results'!C222&lt;&gt;"",'Raw data'!O222&lt;&gt;"",UPPER(TRIM('Real results'!C222))=UPPER(TRIM('Raw data'!O222))),4,0),0)</f>
        <v>0</v>
      </c>
      <c r="P230" s="39"/>
      <c r="Q230" s="41">
        <f>IFERROR(IF(AND('Real results'!C222&lt;&gt;"",'Raw data'!Q222&lt;&gt;"",UPPER(TRIM('Real results'!C222))=UPPER(TRIM('Raw data'!Q222))),4,0),0)</f>
        <v>0</v>
      </c>
      <c r="R230" s="39"/>
      <c r="S230" s="41">
        <f>IFERROR(IF(AND('Real results'!C222&lt;&gt;"",'Raw data'!S222&lt;&gt;"",UPPER(TRIM('Real results'!C222))=UPPER(TRIM('Raw data'!S222))),4,0),0)</f>
        <v>0</v>
      </c>
      <c r="T230" s="39"/>
      <c r="U230" s="41">
        <f>IFERROR(IF(AND('Real results'!C222&lt;&gt;"",'Raw data'!U222&lt;&gt;"",UPPER(TRIM('Real results'!C222))=UPPER(TRIM('Raw data'!U222))),4,0),0)</f>
        <v>0</v>
      </c>
      <c r="V230" s="39"/>
      <c r="W230" s="41">
        <f>IFERROR(IF(AND('Real results'!C222&lt;&gt;"",'Raw data'!W222&lt;&gt;"",UPPER(TRIM('Real results'!C222))=UPPER(TRIM('Raw data'!W222))),4,0),0)</f>
        <v>0</v>
      </c>
      <c r="X230" s="39"/>
      <c r="Y230" s="41">
        <f>IFERROR(IF(AND('Real results'!C222&lt;&gt;"",'Raw data'!Y222&lt;&gt;"",UPPER(TRIM('Real results'!C222))=UPPER(TRIM('Raw data'!Y222))),4,0),0)</f>
        <v>0</v>
      </c>
      <c r="Z230" s="39"/>
      <c r="AA230" s="41">
        <f>IFERROR(IF(AND('Real results'!C222&lt;&gt;"",'Raw data'!AA222&lt;&gt;"",UPPER(TRIM('Real results'!C222))=UPPER(TRIM('Raw data'!AA222))),4,0),0)</f>
        <v>0</v>
      </c>
      <c r="AB230" s="39"/>
      <c r="AC230" s="41">
        <f>IFERROR(IF(AND('Real results'!C222&lt;&gt;"",'Raw data'!AC222&lt;&gt;"",UPPER(TRIM('Real results'!C222))=UPPER(TRIM('Raw data'!AC222))),4,0),0)</f>
        <v>0</v>
      </c>
      <c r="AD230" s="39"/>
      <c r="AE230" s="41">
        <f>IFERROR(IF(AND('Real results'!C222&lt;&gt;"",'Raw data'!AE222&lt;&gt;"",UPPER(TRIM('Real results'!C222))=UPPER(TRIM('Raw data'!AE222))),4,0),0)</f>
        <v>0</v>
      </c>
      <c r="AF230" s="39"/>
      <c r="AG230" s="41">
        <f>IFERROR(IF(AND('Real results'!C222&lt;&gt;"",'Raw data'!AG222&lt;&gt;"",UPPER(TRIM('Real results'!C222))=UPPER(TRIM('Raw data'!AG222))),4,0),0)</f>
        <v>0</v>
      </c>
      <c r="AH230" s="39"/>
      <c r="AI230" s="41">
        <f>IFERROR(IF(AND('Real results'!C222&lt;&gt;"",'Raw data'!AI222&lt;&gt;"",UPPER(TRIM('Real results'!C222))=UPPER(TRIM('Raw data'!AI222))),4,0),0)</f>
        <v>0</v>
      </c>
      <c r="AJ230" s="39"/>
      <c r="AK230" s="41">
        <f>IFERROR(IF(AND('Real results'!C222&lt;&gt;"",'Raw data'!AK222&lt;&gt;"",UPPER(TRIM('Real results'!C222))=UPPER(TRIM('Raw data'!AK222))),4,0),0)</f>
        <v>0</v>
      </c>
      <c r="AL230" s="39"/>
      <c r="AM230" s="41">
        <f>IFERROR(IF(AND('Real results'!C222&lt;&gt;"",'Raw data'!AM222&lt;&gt;"",UPPER(TRIM('Real results'!C222))=UPPER(TRIM('Raw data'!AM222))),4,0),0)</f>
        <v>0</v>
      </c>
      <c r="AN230" s="39"/>
      <c r="AO230" s="41">
        <f>IFERROR(IF(AND('Real results'!C222&lt;&gt;"",'Raw data'!AO222&lt;&gt;"",UPPER(TRIM('Real results'!C222))=UPPER(TRIM('Raw data'!AO222))),4,0),0)</f>
        <v>0</v>
      </c>
      <c r="AP230" s="39"/>
      <c r="AQ230" s="41">
        <f>IFERROR(IF(AND('Real results'!C222&lt;&gt;"",'Raw data'!AQ222&lt;&gt;"",UPPER(TRIM('Real results'!C222))=UPPER(TRIM('Raw data'!AQ222))),4,0),0)</f>
        <v>0</v>
      </c>
      <c r="AR230" s="39"/>
      <c r="AS230" s="41">
        <f>IFERROR(IF(AND('Real results'!C222&lt;&gt;"",'Raw data'!AS222&lt;&gt;"",UPPER(TRIM('Real results'!C222))=UPPER(TRIM('Raw data'!AS222))),4,0),0)</f>
        <v>0</v>
      </c>
      <c r="AT230" s="39"/>
      <c r="AU230" s="41">
        <f>IFERROR(IF(AND('Real results'!C222&lt;&gt;"",'Raw data'!AU222&lt;&gt;"",UPPER(TRIM('Real results'!C222))=UPPER(TRIM('Raw data'!AU222))),4,0),0)</f>
        <v>0</v>
      </c>
      <c r="AV230" s="39"/>
      <c r="AW230" s="41">
        <f>IFERROR(IF(AND('Real results'!C222&lt;&gt;"",'Raw data'!AW222&lt;&gt;"",UPPER(TRIM('Real results'!C222))=UPPER(TRIM('Raw data'!AW222))),4,0),0)</f>
        <v>0</v>
      </c>
      <c r="AX230" s="39"/>
      <c r="AY230" s="41">
        <f>IFERROR(IF(AND('Real results'!C222&lt;&gt;"",'Raw data'!AY222&lt;&gt;"",UPPER(TRIM('Real results'!C222))=UPPER(TRIM('Raw data'!AY222))),4,0),0)</f>
        <v>0</v>
      </c>
      <c r="AZ230" s="39"/>
      <c r="BA230" s="41">
        <f>IFERROR(IF(AND('Real results'!C222&lt;&gt;"",'Raw data'!BA222&lt;&gt;"",UPPER(TRIM('Real results'!C222))=UPPER(TRIM('Raw data'!BA222))),4,0),0)</f>
        <v>0</v>
      </c>
      <c r="BB230" s="39"/>
      <c r="BC230" s="41">
        <f>IFERROR(IF(AND('Real results'!C222&lt;&gt;"",'Raw data'!BC222&lt;&gt;"",UPPER(TRIM('Real results'!C222))=UPPER(TRIM('Raw data'!BC222))),4,0),0)</f>
        <v>0</v>
      </c>
      <c r="BD230" s="39"/>
      <c r="BE230" s="41">
        <f>IFERROR(IF(AND('Real results'!C222&lt;&gt;"",'Raw data'!BE222&lt;&gt;"",UPPER(TRIM('Real results'!C222))=UPPER(TRIM('Raw data'!BE222))),4,0),0)</f>
        <v>0</v>
      </c>
      <c r="BF230" s="39"/>
      <c r="BG230" s="41">
        <f>IFERROR(IF(AND('Real results'!C222&lt;&gt;"",'Raw data'!BG222&lt;&gt;"",UPPER(TRIM('Real results'!C222))=UPPER(TRIM('Raw data'!BG222))),4,0),0)</f>
        <v>0</v>
      </c>
      <c r="BH230" s="39"/>
      <c r="BI230" s="41">
        <f>IFERROR(IF(AND('Real results'!C222&lt;&gt;"",'Raw data'!BI222&lt;&gt;"",UPPER(TRIM('Real results'!C222))=UPPER(TRIM('Raw data'!BI222))),4,0),0)</f>
        <v>0</v>
      </c>
    </row>
    <row r="231" ht="18.0" customHeight="1">
      <c r="A231" s="36"/>
      <c r="B231" s="40" t="s">
        <v>279</v>
      </c>
      <c r="C231" s="41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39"/>
      <c r="E231" s="41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39"/>
      <c r="G231" s="41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39"/>
      <c r="I231" s="41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39"/>
      <c r="K231" s="41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39"/>
      <c r="M231" s="41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39"/>
      <c r="O231" s="41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39"/>
      <c r="Q231" s="41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39"/>
      <c r="S231" s="41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39"/>
      <c r="U231" s="41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39"/>
      <c r="W231" s="41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39"/>
      <c r="Y231" s="41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39"/>
      <c r="AA231" s="41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39"/>
      <c r="AC231" s="41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39"/>
      <c r="AE231" s="41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39"/>
      <c r="AG231" s="41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39"/>
      <c r="AI231" s="41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39"/>
      <c r="AK231" s="41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39"/>
      <c r="AM231" s="41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39"/>
      <c r="AO231" s="41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39"/>
      <c r="AQ231" s="41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39"/>
      <c r="AS231" s="41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39"/>
      <c r="AU231" s="41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39"/>
      <c r="AW231" s="41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39"/>
      <c r="AY231" s="41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39"/>
      <c r="BA231" s="41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39"/>
      <c r="BC231" s="41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39"/>
      <c r="BE231" s="41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39"/>
      <c r="BG231" s="41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39"/>
      <c r="BI231" s="41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6"/>
      <c r="B232" s="40" t="s">
        <v>280</v>
      </c>
      <c r="C232" s="44">
        <f>0</f>
        <v>0</v>
      </c>
      <c r="D232" s="39"/>
      <c r="E232" s="41">
        <f>0</f>
        <v>0</v>
      </c>
      <c r="F232" s="39"/>
      <c r="G232" s="41">
        <f>0</f>
        <v>0</v>
      </c>
      <c r="H232" s="39"/>
      <c r="I232" s="41">
        <f>0</f>
        <v>0</v>
      </c>
      <c r="J232" s="39"/>
      <c r="K232" s="41">
        <f>0</f>
        <v>0</v>
      </c>
      <c r="L232" s="39"/>
      <c r="M232" s="41">
        <f>0</f>
        <v>0</v>
      </c>
      <c r="N232" s="39"/>
      <c r="O232" s="41">
        <f>0</f>
        <v>0</v>
      </c>
      <c r="P232" s="39"/>
      <c r="Q232" s="41">
        <f>0</f>
        <v>0</v>
      </c>
      <c r="R232" s="39"/>
      <c r="S232" s="41">
        <f>0</f>
        <v>0</v>
      </c>
      <c r="T232" s="39"/>
      <c r="U232" s="41">
        <f>0</f>
        <v>0</v>
      </c>
      <c r="V232" s="39"/>
      <c r="W232" s="41">
        <f>0</f>
        <v>0</v>
      </c>
      <c r="X232" s="39"/>
      <c r="Y232" s="41">
        <f>0</f>
        <v>0</v>
      </c>
      <c r="Z232" s="39"/>
      <c r="AA232" s="41">
        <f>0</f>
        <v>0</v>
      </c>
      <c r="AB232" s="39"/>
      <c r="AC232" s="41">
        <f>0</f>
        <v>0</v>
      </c>
      <c r="AD232" s="39"/>
      <c r="AE232" s="41">
        <f>0</f>
        <v>0</v>
      </c>
      <c r="AF232" s="39"/>
      <c r="AG232" s="41">
        <f>0</f>
        <v>0</v>
      </c>
      <c r="AH232" s="39"/>
      <c r="AI232" s="41">
        <f>0</f>
        <v>0</v>
      </c>
      <c r="AJ232" s="39"/>
      <c r="AK232" s="41">
        <f>0</f>
        <v>0</v>
      </c>
      <c r="AL232" s="39"/>
      <c r="AM232" s="41">
        <f>0</f>
        <v>0</v>
      </c>
      <c r="AN232" s="39"/>
      <c r="AO232" s="41">
        <f>0</f>
        <v>0</v>
      </c>
      <c r="AP232" s="39"/>
      <c r="AQ232" s="41">
        <f>0</f>
        <v>0</v>
      </c>
      <c r="AR232" s="39"/>
      <c r="AS232" s="41">
        <f>0</f>
        <v>0</v>
      </c>
      <c r="AT232" s="39"/>
      <c r="AU232" s="41">
        <f>0</f>
        <v>0</v>
      </c>
      <c r="AV232" s="39"/>
      <c r="AW232" s="41">
        <f>0</f>
        <v>0</v>
      </c>
      <c r="AX232" s="39"/>
      <c r="AY232" s="41">
        <f>0</f>
        <v>0</v>
      </c>
      <c r="AZ232" s="39"/>
      <c r="BA232" s="41">
        <f>0</f>
        <v>0</v>
      </c>
      <c r="BB232" s="39"/>
      <c r="BC232" s="41">
        <f>0</f>
        <v>0</v>
      </c>
      <c r="BD232" s="39"/>
      <c r="BE232" s="41">
        <f>0</f>
        <v>0</v>
      </c>
      <c r="BF232" s="39"/>
      <c r="BG232" s="41">
        <f>IFERROR(IF(AND('Real results'!C224&lt;&gt;"",'Raw data'!BG224&lt;&gt;"",UPPER(TRIM('Real results'!C224))=UPPER(TRIM('Raw data'!BG224))),1,0),0)</f>
        <v>0</v>
      </c>
      <c r="BH232" s="39"/>
      <c r="BI232" s="41">
        <f>IFERROR(IF(AND('Real results'!C224&lt;&gt;"",'Raw data'!BI224&lt;&gt;"",UPPER(TRIM('Real results'!C224))=UPPER(TRIM('Raw data'!BI224))),1,0),0)</f>
        <v>0</v>
      </c>
    </row>
    <row r="233" ht="18.0" customHeight="1">
      <c r="A233" s="36"/>
      <c r="B233" s="40" t="s">
        <v>519</v>
      </c>
      <c r="C233" s="41">
        <f>IFERROR(IF(AND('Real results'!C225&lt;&gt;"",'Raw data'!C225&lt;&gt;"",UPPER(TRIM('Real results'!C225))=UPPER(TRIM('Raw data'!C225))),12,0),0)</f>
        <v>0</v>
      </c>
      <c r="D233" s="39"/>
      <c r="E233" s="41">
        <f>IFERROR(IF(AND('Real results'!C225&lt;&gt;"",'Raw data'!E225&lt;&gt;"",UPPER(TRIM('Real results'!C225))=UPPER(TRIM('Raw data'!E225))),12,0),0)</f>
        <v>0</v>
      </c>
      <c r="F233" s="39"/>
      <c r="G233" s="41">
        <f>IFERROR(IF(AND('Real results'!C225&lt;&gt;"",'Raw data'!G225&lt;&gt;"",UPPER(TRIM('Real results'!C225))=UPPER(TRIM('Raw data'!G225))),12,0),0)</f>
        <v>0</v>
      </c>
      <c r="H233" s="39"/>
      <c r="I233" s="41">
        <f>IFERROR(IF(AND('Real results'!C225&lt;&gt;"",'Raw data'!I225&lt;&gt;"",UPPER(TRIM('Real results'!C225))=UPPER(TRIM('Raw data'!I225))),12,0),0)</f>
        <v>0</v>
      </c>
      <c r="J233" s="39"/>
      <c r="K233" s="41">
        <f>IFERROR(IF(AND('Real results'!C225&lt;&gt;"",'Raw data'!K225&lt;&gt;"",UPPER(TRIM('Real results'!C225))=UPPER(TRIM('Raw data'!K225))),12,0),0)</f>
        <v>0</v>
      </c>
      <c r="L233" s="39"/>
      <c r="M233" s="41">
        <f>IFERROR(IF(AND('Real results'!C225&lt;&gt;"",'Raw data'!M225&lt;&gt;"",UPPER(TRIM('Real results'!C225))=UPPER(TRIM('Raw data'!M225))),12,0),0)</f>
        <v>0</v>
      </c>
      <c r="N233" s="39"/>
      <c r="O233" s="41">
        <f>IFERROR(IF(AND('Real results'!C225&lt;&gt;"",'Raw data'!O225&lt;&gt;"",UPPER(TRIM('Real results'!C225))=UPPER(TRIM('Raw data'!O225))),12,0),0)</f>
        <v>0</v>
      </c>
      <c r="P233" s="39"/>
      <c r="Q233" s="41">
        <f>IFERROR(IF(AND('Real results'!C225&lt;&gt;"",'Raw data'!Q225&lt;&gt;"",UPPER(TRIM('Real results'!C225))=UPPER(TRIM('Raw data'!Q225))),12,0),0)</f>
        <v>0</v>
      </c>
      <c r="R233" s="39"/>
      <c r="S233" s="41">
        <f>IFERROR(IF(AND('Real results'!C225&lt;&gt;"",'Raw data'!S225&lt;&gt;"",UPPER(TRIM('Real results'!C225))=UPPER(TRIM('Raw data'!S225))),12,0),0)</f>
        <v>0</v>
      </c>
      <c r="T233" s="39"/>
      <c r="U233" s="41">
        <f>IFERROR(IF(AND('Real results'!C225&lt;&gt;"",'Raw data'!U225&lt;&gt;"",UPPER(TRIM('Real results'!C225))=UPPER(TRIM('Raw data'!U225))),12,0),0)</f>
        <v>0</v>
      </c>
      <c r="V233" s="39"/>
      <c r="W233" s="41">
        <f>IFERROR(IF(AND('Real results'!C225&lt;&gt;"",'Raw data'!W225&lt;&gt;"",UPPER(TRIM('Real results'!C225))=UPPER(TRIM('Raw data'!W225))),12,0),0)</f>
        <v>0</v>
      </c>
      <c r="X233" s="39"/>
      <c r="Y233" s="41">
        <f>IFERROR(IF(AND('Real results'!C225&lt;&gt;"",'Raw data'!Y225&lt;&gt;"",UPPER(TRIM('Real results'!C225))=UPPER(TRIM('Raw data'!Y225))),12,0),0)</f>
        <v>0</v>
      </c>
      <c r="Z233" s="39"/>
      <c r="AA233" s="41">
        <f>IFERROR(IF(AND('Real results'!C225&lt;&gt;"",'Raw data'!AA225&lt;&gt;"",UPPER(TRIM('Real results'!C225))=UPPER(TRIM('Raw data'!AA225))),12,0),0)</f>
        <v>0</v>
      </c>
      <c r="AB233" s="39"/>
      <c r="AC233" s="41">
        <f>IFERROR(IF(AND('Real results'!C225&lt;&gt;"",'Raw data'!AC225&lt;&gt;"",UPPER(TRIM('Real results'!C225))=UPPER(TRIM('Raw data'!AC225))),12,0),0)</f>
        <v>0</v>
      </c>
      <c r="AD233" s="39"/>
      <c r="AE233" s="41">
        <f>IFERROR(IF(AND('Real results'!C225&lt;&gt;"",'Raw data'!AE225&lt;&gt;"",UPPER(TRIM('Real results'!C225))=UPPER(TRIM('Raw data'!AE225))),12,0),0)</f>
        <v>0</v>
      </c>
      <c r="AF233" s="39"/>
      <c r="AG233" s="41">
        <f>IFERROR(IF(AND('Real results'!C225&lt;&gt;"",'Raw data'!AG225&lt;&gt;"",UPPER(TRIM('Real results'!C225))=UPPER(TRIM('Raw data'!AG225))),12,0),0)</f>
        <v>0</v>
      </c>
      <c r="AH233" s="39"/>
      <c r="AI233" s="41">
        <f>IFERROR(IF(AND('Real results'!C225&lt;&gt;"",'Raw data'!AI225&lt;&gt;"",UPPER(TRIM('Real results'!C225))=UPPER(TRIM('Raw data'!AI225))),12,0),0)</f>
        <v>0</v>
      </c>
      <c r="AJ233" s="39"/>
      <c r="AK233" s="41">
        <f>IFERROR(IF(AND('Real results'!C225&lt;&gt;"",'Raw data'!AK225&lt;&gt;"",UPPER(TRIM('Real results'!C225))=UPPER(TRIM('Raw data'!AK225))),12,0),0)</f>
        <v>0</v>
      </c>
      <c r="AL233" s="39"/>
      <c r="AM233" s="41">
        <f>IFERROR(IF(AND('Real results'!C225&lt;&gt;"",'Raw data'!AM225&lt;&gt;"",UPPER(TRIM('Real results'!C225))=UPPER(TRIM('Raw data'!AM225))),12,0),0)</f>
        <v>0</v>
      </c>
      <c r="AN233" s="39"/>
      <c r="AO233" s="41">
        <f>IFERROR(IF(AND('Real results'!C225&lt;&gt;"",'Raw data'!AO225&lt;&gt;"",UPPER(TRIM('Real results'!C225))=UPPER(TRIM('Raw data'!AO225))),12,0),0)</f>
        <v>0</v>
      </c>
      <c r="AP233" s="39"/>
      <c r="AQ233" s="41">
        <f>IFERROR(IF(AND('Real results'!C225&lt;&gt;"",'Raw data'!AQ225&lt;&gt;"",UPPER(TRIM('Real results'!C225))=UPPER(TRIM('Raw data'!AQ225))),12,0),0)</f>
        <v>0</v>
      </c>
      <c r="AR233" s="39"/>
      <c r="AS233" s="41">
        <f>IFERROR(IF(AND('Real results'!C225&lt;&gt;"",'Raw data'!AS225&lt;&gt;"",UPPER(TRIM('Real results'!C225))=UPPER(TRIM('Raw data'!AS225))),12,0),0)</f>
        <v>0</v>
      </c>
      <c r="AT233" s="39"/>
      <c r="AU233" s="41">
        <f>IFERROR(IF(AND('Real results'!C225&lt;&gt;"",'Raw data'!AU225&lt;&gt;"",UPPER(TRIM('Real results'!C225))=UPPER(TRIM('Raw data'!AU225))),12,0),0)</f>
        <v>0</v>
      </c>
      <c r="AV233" s="39"/>
      <c r="AW233" s="41">
        <f>IFERROR(IF(AND('Real results'!C225&lt;&gt;"",'Raw data'!AW225&lt;&gt;"",UPPER(TRIM('Real results'!C225))=UPPER(TRIM('Raw data'!AW225))),12,0),0)</f>
        <v>0</v>
      </c>
      <c r="AX233" s="39"/>
      <c r="AY233" s="41">
        <f>IFERROR(IF(AND('Real results'!C225&lt;&gt;"",'Raw data'!AY225&lt;&gt;"",UPPER(TRIM('Real results'!C225))=UPPER(TRIM('Raw data'!AY225))),12,0),0)</f>
        <v>0</v>
      </c>
      <c r="AZ233" s="39"/>
      <c r="BA233" s="41">
        <f>IFERROR(IF(AND('Real results'!C225&lt;&gt;"",'Raw data'!BA225&lt;&gt;"",UPPER(TRIM('Real results'!C225))=UPPER(TRIM('Raw data'!BA225))),12,0),0)</f>
        <v>0</v>
      </c>
      <c r="BB233" s="39"/>
      <c r="BC233" s="41">
        <f>IFERROR(IF(AND('Real results'!C225&lt;&gt;"",'Raw data'!BC225&lt;&gt;"",UPPER(TRIM('Real results'!C225))=UPPER(TRIM('Raw data'!BC225))),12,0),0)</f>
        <v>0</v>
      </c>
      <c r="BD233" s="39"/>
      <c r="BE233" s="41">
        <f>IFERROR(IF(AND('Real results'!C225&lt;&gt;"",'Raw data'!BE225&lt;&gt;"",UPPER(TRIM('Real results'!C225))=UPPER(TRIM('Raw data'!BE225))),12,0),0)</f>
        <v>0</v>
      </c>
      <c r="BF233" s="39"/>
      <c r="BG233" s="41">
        <f>IFERROR(IF(AND('Real results'!C225&lt;&gt;"",'Raw data'!BG225&lt;&gt;"",UPPER(TRIM('Real results'!C225))=UPPER(TRIM('Raw data'!BG225))),12,0),0)</f>
        <v>0</v>
      </c>
      <c r="BH233" s="39"/>
      <c r="BI233" s="41">
        <f>IFERROR(IF(AND('Real results'!C225&lt;&gt;"",'Raw data'!BI225&lt;&gt;"",UPPER(TRIM('Real results'!C225))=UPPER(TRIM('Raw data'!BI225))),12,0),0)</f>
        <v>0</v>
      </c>
    </row>
    <row r="234" ht="18.0" customHeight="1">
      <c r="A234" s="36"/>
      <c r="B234" s="40" t="s">
        <v>520</v>
      </c>
      <c r="C234" s="41">
        <f>IFERROR(IF(AND('Real results'!C226&lt;&gt;"",'Raw data'!C226&lt;&gt;"",UPPER(TRIM('Real results'!C226))=UPPER(TRIM('Raw data'!C226))),8,0),0)</f>
        <v>0</v>
      </c>
      <c r="D234" s="39"/>
      <c r="E234" s="41">
        <f>IFERROR(IF(AND('Real results'!C226&lt;&gt;"",'Raw data'!E226&lt;&gt;"",UPPER(TRIM('Real results'!C226))=UPPER(TRIM('Raw data'!E226))),8,0),0)</f>
        <v>0</v>
      </c>
      <c r="F234" s="39"/>
      <c r="G234" s="41">
        <f>IFERROR(IF(AND('Real results'!C226&lt;&gt;"",'Raw data'!G226&lt;&gt;"",UPPER(TRIM('Real results'!C226))=UPPER(TRIM('Raw data'!G226))),8,0),0)</f>
        <v>0</v>
      </c>
      <c r="H234" s="39"/>
      <c r="I234" s="41">
        <f>IFERROR(IF(AND('Real results'!C226&lt;&gt;"",'Raw data'!I226&lt;&gt;"",UPPER(TRIM('Real results'!C226))=UPPER(TRIM('Raw data'!I226))),8,0),0)</f>
        <v>0</v>
      </c>
      <c r="J234" s="39"/>
      <c r="K234" s="41">
        <f>IFERROR(IF(AND('Real results'!C226&lt;&gt;"",'Raw data'!K226&lt;&gt;"",UPPER(TRIM('Real results'!C226))=UPPER(TRIM('Raw data'!K226))),8,0),0)</f>
        <v>0</v>
      </c>
      <c r="L234" s="39"/>
      <c r="M234" s="41">
        <f>IFERROR(IF(AND('Real results'!C226&lt;&gt;"",'Raw data'!M226&lt;&gt;"",UPPER(TRIM('Real results'!C226))=UPPER(TRIM('Raw data'!M226))),8,0),0)</f>
        <v>0</v>
      </c>
      <c r="N234" s="39"/>
      <c r="O234" s="41">
        <f>IFERROR(IF(AND('Real results'!C226&lt;&gt;"",'Raw data'!O226&lt;&gt;"",UPPER(TRIM('Real results'!C226))=UPPER(TRIM('Raw data'!O226))),8,0),0)</f>
        <v>0</v>
      </c>
      <c r="P234" s="39"/>
      <c r="Q234" s="41">
        <f>IFERROR(IF(AND('Real results'!C226&lt;&gt;"",'Raw data'!Q226&lt;&gt;"",UPPER(TRIM('Real results'!C226))=UPPER(TRIM('Raw data'!Q226))),8,0),0)</f>
        <v>0</v>
      </c>
      <c r="R234" s="39"/>
      <c r="S234" s="41">
        <f>IFERROR(IF(AND('Real results'!C226&lt;&gt;"",'Raw data'!S226&lt;&gt;"",UPPER(TRIM('Real results'!C226))=UPPER(TRIM('Raw data'!S226))),8,0),0)</f>
        <v>0</v>
      </c>
      <c r="T234" s="39"/>
      <c r="U234" s="41">
        <f>IFERROR(IF(AND('Real results'!C226&lt;&gt;"",'Raw data'!U226&lt;&gt;"",UPPER(TRIM('Real results'!C226))=UPPER(TRIM('Raw data'!U226))),8,0),0)</f>
        <v>0</v>
      </c>
      <c r="V234" s="39"/>
      <c r="W234" s="41">
        <f>IFERROR(IF(AND('Real results'!C226&lt;&gt;"",'Raw data'!W226&lt;&gt;"",UPPER(TRIM('Real results'!C226))=UPPER(TRIM('Raw data'!W226))),8,0),0)</f>
        <v>0</v>
      </c>
      <c r="X234" s="39"/>
      <c r="Y234" s="41">
        <f>IFERROR(IF(AND('Real results'!C226&lt;&gt;"",'Raw data'!Y226&lt;&gt;"",UPPER(TRIM('Real results'!C226))=UPPER(TRIM('Raw data'!Y226))),8,0),0)</f>
        <v>0</v>
      </c>
      <c r="Z234" s="39"/>
      <c r="AA234" s="41">
        <f>IFERROR(IF(AND('Real results'!C226&lt;&gt;"",'Raw data'!AA226&lt;&gt;"",UPPER(TRIM('Real results'!C226))=UPPER(TRIM('Raw data'!AA226))),8,0),0)</f>
        <v>0</v>
      </c>
      <c r="AB234" s="39"/>
      <c r="AC234" s="41">
        <f>IFERROR(IF(AND('Real results'!C226&lt;&gt;"",'Raw data'!AC226&lt;&gt;"",UPPER(TRIM('Real results'!C226))=UPPER(TRIM('Raw data'!AC226))),8,0),0)</f>
        <v>0</v>
      </c>
      <c r="AD234" s="39"/>
      <c r="AE234" s="41">
        <f>IFERROR(IF(AND('Real results'!C226&lt;&gt;"",'Raw data'!AE226&lt;&gt;"",UPPER(TRIM('Real results'!C226))=UPPER(TRIM('Raw data'!AE226))),8,0),0)</f>
        <v>0</v>
      </c>
      <c r="AF234" s="39"/>
      <c r="AG234" s="41">
        <f>IFERROR(IF(AND('Real results'!C226&lt;&gt;"",'Raw data'!AG226&lt;&gt;"",UPPER(TRIM('Real results'!C226))=UPPER(TRIM('Raw data'!AG226))),8,0),0)</f>
        <v>0</v>
      </c>
      <c r="AH234" s="39"/>
      <c r="AI234" s="41">
        <f>IFERROR(IF(AND('Real results'!C226&lt;&gt;"",'Raw data'!AI226&lt;&gt;"",UPPER(TRIM('Real results'!C226))=UPPER(TRIM('Raw data'!AI226))),8,0),0)</f>
        <v>0</v>
      </c>
      <c r="AJ234" s="39"/>
      <c r="AK234" s="41">
        <f>IFERROR(IF(AND('Real results'!C226&lt;&gt;"",'Raw data'!AK226&lt;&gt;"",UPPER(TRIM('Real results'!C226))=UPPER(TRIM('Raw data'!AK226))),8,0),0)</f>
        <v>0</v>
      </c>
      <c r="AL234" s="39"/>
      <c r="AM234" s="41">
        <f>IFERROR(IF(AND('Real results'!C226&lt;&gt;"",'Raw data'!AM226&lt;&gt;"",UPPER(TRIM('Real results'!C226))=UPPER(TRIM('Raw data'!AM226))),8,0),0)</f>
        <v>0</v>
      </c>
      <c r="AN234" s="39"/>
      <c r="AO234" s="41">
        <f>IFERROR(IF(AND('Real results'!C226&lt;&gt;"",'Raw data'!AO226&lt;&gt;"",UPPER(TRIM('Real results'!C226))=UPPER(TRIM('Raw data'!AO226))),8,0),0)</f>
        <v>0</v>
      </c>
      <c r="AP234" s="39"/>
      <c r="AQ234" s="41">
        <f>IFERROR(IF(AND('Real results'!C226&lt;&gt;"",'Raw data'!AQ226&lt;&gt;"",UPPER(TRIM('Real results'!C226))=UPPER(TRIM('Raw data'!AQ226))),8,0),0)</f>
        <v>0</v>
      </c>
      <c r="AR234" s="39"/>
      <c r="AS234" s="41">
        <f>IFERROR(IF(AND('Real results'!C226&lt;&gt;"",'Raw data'!AS226&lt;&gt;"",UPPER(TRIM('Real results'!C226))=UPPER(TRIM('Raw data'!AS226))),8,0),0)</f>
        <v>0</v>
      </c>
      <c r="AT234" s="39"/>
      <c r="AU234" s="41">
        <f>IFERROR(IF(AND('Real results'!C226&lt;&gt;"",'Raw data'!AU226&lt;&gt;"",UPPER(TRIM('Real results'!C226))=UPPER(TRIM('Raw data'!AU226))),8,0),0)</f>
        <v>0</v>
      </c>
      <c r="AV234" s="39"/>
      <c r="AW234" s="41">
        <f>IFERROR(IF(AND('Real results'!C226&lt;&gt;"",'Raw data'!AW226&lt;&gt;"",UPPER(TRIM('Real results'!C226))=UPPER(TRIM('Raw data'!AW226))),8,0),0)</f>
        <v>0</v>
      </c>
      <c r="AX234" s="39"/>
      <c r="AY234" s="41">
        <f>IFERROR(IF(AND('Real results'!C226&lt;&gt;"",'Raw data'!AY226&lt;&gt;"",UPPER(TRIM('Real results'!C226))=UPPER(TRIM('Raw data'!AY226))),8,0),0)</f>
        <v>0</v>
      </c>
      <c r="AZ234" s="39"/>
      <c r="BA234" s="41">
        <f>IFERROR(IF(AND('Real results'!C226&lt;&gt;"",'Raw data'!BA226&lt;&gt;"",UPPER(TRIM('Real results'!C226))=UPPER(TRIM('Raw data'!BA226))),8,0),0)</f>
        <v>0</v>
      </c>
      <c r="BB234" s="39"/>
      <c r="BC234" s="41">
        <f>IFERROR(IF(AND('Real results'!C226&lt;&gt;"",'Raw data'!BC226&lt;&gt;"",UPPER(TRIM('Real results'!C226))=UPPER(TRIM('Raw data'!BC226))),8,0),0)</f>
        <v>0</v>
      </c>
      <c r="BD234" s="39"/>
      <c r="BE234" s="41">
        <f>IFERROR(IF(AND('Real results'!C226&lt;&gt;"",'Raw data'!BE226&lt;&gt;"",UPPER(TRIM('Real results'!C226))=UPPER(TRIM('Raw data'!BE226))),8,0),0)</f>
        <v>0</v>
      </c>
      <c r="BF234" s="39"/>
      <c r="BG234" s="41">
        <f>IFERROR(IF(AND('Real results'!C226&lt;&gt;"",'Raw data'!BG226&lt;&gt;"",UPPER(TRIM('Real results'!C226))=UPPER(TRIM('Raw data'!BG226))),8,0),0)</f>
        <v>0</v>
      </c>
      <c r="BH234" s="39"/>
      <c r="BI234" s="41">
        <f>IFERROR(IF(AND('Real results'!C226&lt;&gt;"",'Raw data'!BI226&lt;&gt;"",UPPER(TRIM('Real results'!C226))=UPPER(TRIM('Raw data'!BI226))),8,0),0)</f>
        <v>0</v>
      </c>
    </row>
    <row r="235" ht="21.75" customHeight="1">
      <c r="A235" s="36"/>
      <c r="B235" s="42" t="s">
        <v>521</v>
      </c>
      <c r="C235" s="43">
        <f>SUM(C228:C234)</f>
        <v>0</v>
      </c>
      <c r="D235" s="39"/>
      <c r="E235" s="43">
        <f>SUM(E228:E234)</f>
        <v>0</v>
      </c>
      <c r="F235" s="39"/>
      <c r="G235" s="43">
        <f>SUM(G228:G234)</f>
        <v>0</v>
      </c>
      <c r="H235" s="39"/>
      <c r="I235" s="43">
        <f>SUM(I228:I234)</f>
        <v>0</v>
      </c>
      <c r="J235" s="39"/>
      <c r="K235" s="43">
        <f>SUM(K228:K234)</f>
        <v>0</v>
      </c>
      <c r="L235" s="39"/>
      <c r="M235" s="43">
        <f>SUM(M228:M234)</f>
        <v>0</v>
      </c>
      <c r="N235" s="39"/>
      <c r="O235" s="43">
        <f>SUM(O228:O234)</f>
        <v>0</v>
      </c>
      <c r="P235" s="39"/>
      <c r="Q235" s="43">
        <f>SUM(Q228:Q234)</f>
        <v>0</v>
      </c>
      <c r="R235" s="39"/>
      <c r="S235" s="43">
        <f>SUM(S228:S234)</f>
        <v>0</v>
      </c>
      <c r="T235" s="39"/>
      <c r="U235" s="43">
        <f>SUM(U228:U234)</f>
        <v>0</v>
      </c>
      <c r="V235" s="39"/>
      <c r="W235" s="43">
        <f>SUM(W228:W234)</f>
        <v>0</v>
      </c>
      <c r="X235" s="39"/>
      <c r="Y235" s="43">
        <f>SUM(Y228:Y234)</f>
        <v>0</v>
      </c>
      <c r="Z235" s="39"/>
      <c r="AA235" s="43">
        <f>SUM(AA228:AA234)</f>
        <v>0</v>
      </c>
      <c r="AB235" s="39"/>
      <c r="AC235" s="43">
        <f>SUM(AC228:AC234)</f>
        <v>0</v>
      </c>
      <c r="AD235" s="39"/>
      <c r="AE235" s="43">
        <f>SUM(AE228:AE234)</f>
        <v>0</v>
      </c>
      <c r="AF235" s="39"/>
      <c r="AG235" s="43">
        <f>SUM(AG228:AG234)</f>
        <v>0</v>
      </c>
      <c r="AH235" s="39"/>
      <c r="AI235" s="43">
        <f>SUM(AI228:AI234)</f>
        <v>0</v>
      </c>
      <c r="AJ235" s="39"/>
      <c r="AK235" s="43">
        <f>SUM(AK228:AK234)</f>
        <v>0</v>
      </c>
      <c r="AL235" s="39"/>
      <c r="AM235" s="43">
        <f>SUM(AM228:AM234)</f>
        <v>0</v>
      </c>
      <c r="AN235" s="39"/>
      <c r="AO235" s="43">
        <f>SUM(AO228:AO234)</f>
        <v>0</v>
      </c>
      <c r="AP235" s="39"/>
      <c r="AQ235" s="43">
        <f>SUM(AQ228:AQ234)</f>
        <v>0</v>
      </c>
      <c r="AR235" s="39"/>
      <c r="AS235" s="43">
        <f>SUM(AS228:AS234)</f>
        <v>0</v>
      </c>
      <c r="AT235" s="39"/>
      <c r="AU235" s="43">
        <f>SUM(AU228:AU234)</f>
        <v>0</v>
      </c>
      <c r="AV235" s="39"/>
      <c r="AW235" s="43">
        <f>SUM(AW228:AW234)</f>
        <v>0</v>
      </c>
      <c r="AX235" s="39"/>
      <c r="AY235" s="43">
        <f>SUM(AY228:AY234)</f>
        <v>0</v>
      </c>
      <c r="AZ235" s="39"/>
      <c r="BA235" s="43">
        <f>SUM(BA228:BA234)</f>
        <v>0</v>
      </c>
      <c r="BB235" s="39"/>
      <c r="BC235" s="43">
        <f>SUM(BC228:BC234)</f>
        <v>0</v>
      </c>
      <c r="BD235" s="39"/>
      <c r="BE235" s="43">
        <f>SUM(BE228:BE234)</f>
        <v>0</v>
      </c>
      <c r="BF235" s="39"/>
      <c r="BG235" s="43">
        <f>SUM(BG228:BG234)</f>
        <v>0</v>
      </c>
      <c r="BH235" s="39"/>
      <c r="BI235" s="43">
        <f>SUM(BI228:BI234)</f>
        <v>0</v>
      </c>
    </row>
    <row r="236" ht="19.5" customHeight="1">
      <c r="A236" s="36"/>
      <c r="B236" s="37" t="s">
        <v>19</v>
      </c>
      <c r="C236" s="38"/>
      <c r="D236" s="39"/>
      <c r="E236" s="38"/>
      <c r="F236" s="39"/>
      <c r="G236" s="38"/>
      <c r="H236" s="39"/>
      <c r="I236" s="38"/>
      <c r="J236" s="39"/>
      <c r="K236" s="38"/>
      <c r="L236" s="39"/>
      <c r="M236" s="38"/>
      <c r="N236" s="39"/>
      <c r="O236" s="38"/>
      <c r="P236" s="39"/>
      <c r="Q236" s="38"/>
      <c r="R236" s="39"/>
      <c r="S236" s="38"/>
      <c r="T236" s="39"/>
      <c r="U236" s="38"/>
      <c r="V236" s="39"/>
      <c r="W236" s="38"/>
      <c r="X236" s="39"/>
      <c r="Y236" s="38"/>
      <c r="Z236" s="39"/>
      <c r="AA236" s="38"/>
      <c r="AB236" s="39"/>
      <c r="AC236" s="38"/>
      <c r="AD236" s="39"/>
      <c r="AE236" s="38"/>
      <c r="AF236" s="39"/>
      <c r="AG236" s="38"/>
      <c r="AH236" s="39"/>
      <c r="AI236" s="38"/>
      <c r="AJ236" s="39"/>
      <c r="AK236" s="38"/>
      <c r="AL236" s="39"/>
      <c r="AM236" s="38"/>
      <c r="AN236" s="39"/>
      <c r="AO236" s="38"/>
      <c r="AP236" s="39"/>
      <c r="AQ236" s="38"/>
      <c r="AR236" s="39"/>
      <c r="AS236" s="38"/>
      <c r="AT236" s="39"/>
      <c r="AU236" s="38"/>
      <c r="AV236" s="39"/>
      <c r="AW236" s="38"/>
      <c r="AX236" s="39"/>
      <c r="AY236" s="38"/>
      <c r="AZ236" s="39"/>
      <c r="BA236" s="38"/>
      <c r="BB236" s="39"/>
      <c r="BC236" s="38"/>
      <c r="BD236" s="39"/>
      <c r="BE236" s="38"/>
      <c r="BF236" s="39"/>
      <c r="BG236" s="38"/>
      <c r="BH236" s="39"/>
      <c r="BI236" s="38"/>
    </row>
    <row r="237" ht="18.0" customHeight="1">
      <c r="A237" s="36"/>
      <c r="B237" s="40" t="s">
        <v>284</v>
      </c>
      <c r="C237" s="41">
        <f>IFERROR(IF(AND('Real results'!C228&lt;&gt;"",'Raw data'!C228&lt;&gt;"",UPPER(TRIM('Real results'!C228))=UPPER(TRIM('Raw data'!C228))),8,0),0)</f>
        <v>0</v>
      </c>
      <c r="D237" s="39"/>
      <c r="E237" s="41">
        <f>IFERROR(IF(AND('Real results'!C228&lt;&gt;"",'Raw data'!E228&lt;&gt;"",UPPER(TRIM('Real results'!C228))=UPPER(TRIM('Raw data'!E228))),8,0),0)</f>
        <v>0</v>
      </c>
      <c r="F237" s="39"/>
      <c r="G237" s="41">
        <f>IFERROR(IF(AND('Real results'!C228&lt;&gt;"",'Raw data'!G228&lt;&gt;"",UPPER(TRIM('Real results'!C228))=UPPER(TRIM('Raw data'!G228))),8,0),0)</f>
        <v>0</v>
      </c>
      <c r="H237" s="39"/>
      <c r="I237" s="41">
        <f>IFERROR(IF(AND('Real results'!C228&lt;&gt;"",'Raw data'!I228&lt;&gt;"",UPPER(TRIM('Real results'!C228))=UPPER(TRIM('Raw data'!I228))),8,0),0)</f>
        <v>0</v>
      </c>
      <c r="J237" s="39"/>
      <c r="K237" s="41">
        <f>IFERROR(IF(AND('Real results'!C228&lt;&gt;"",'Raw data'!K228&lt;&gt;"",UPPER(TRIM('Real results'!C228))=UPPER(TRIM('Raw data'!K228))),8,0),0)</f>
        <v>0</v>
      </c>
      <c r="L237" s="39"/>
      <c r="M237" s="41">
        <f>IFERROR(IF(AND('Real results'!C228&lt;&gt;"",'Raw data'!M228&lt;&gt;"",UPPER(TRIM('Real results'!C228))=UPPER(TRIM('Raw data'!M228))),8,0),0)</f>
        <v>0</v>
      </c>
      <c r="N237" s="39"/>
      <c r="O237" s="41">
        <f>IFERROR(IF(AND('Real results'!C228&lt;&gt;"",'Raw data'!O228&lt;&gt;"",UPPER(TRIM('Real results'!C228))=UPPER(TRIM('Raw data'!O228))),8,0),0)</f>
        <v>0</v>
      </c>
      <c r="P237" s="39"/>
      <c r="Q237" s="41">
        <f>IFERROR(IF(AND('Real results'!C228&lt;&gt;"",'Raw data'!Q228&lt;&gt;"",UPPER(TRIM('Real results'!C228))=UPPER(TRIM('Raw data'!Q228))),8,0),0)</f>
        <v>0</v>
      </c>
      <c r="R237" s="39"/>
      <c r="S237" s="41">
        <f>IFERROR(IF(AND('Real results'!C228&lt;&gt;"",#REF!&lt;&gt;"",UPPER(TRIM('Real results'!C228))=UPPER(TRIM(#REF!))),8,0),0)</f>
        <v>0</v>
      </c>
      <c r="T237" s="39"/>
      <c r="U237" s="41">
        <f>IFERROR(IF(AND('Real results'!C228&lt;&gt;"",'Raw data'!U228&lt;&gt;"",UPPER(TRIM('Real results'!C228))=UPPER(TRIM('Raw data'!U228))),8,0),0)</f>
        <v>0</v>
      </c>
      <c r="V237" s="39"/>
      <c r="W237" s="41">
        <f>IFERROR(IF(AND('Real results'!C228&lt;&gt;"",'Raw data'!W228&lt;&gt;"",UPPER(TRIM('Real results'!C228))=UPPER(TRIM('Raw data'!W228))),8,0),0)</f>
        <v>0</v>
      </c>
      <c r="X237" s="39"/>
      <c r="Y237" s="41">
        <f>IFERROR(IF(AND('Real results'!C228&lt;&gt;"",'Raw data'!Y228&lt;&gt;"",UPPER(TRIM('Real results'!C228))=UPPER(TRIM('Raw data'!Y228))),8,0),0)</f>
        <v>0</v>
      </c>
      <c r="Z237" s="39"/>
      <c r="AA237" s="41">
        <f>IFERROR(IF(AND('Real results'!C228&lt;&gt;"",'Raw data'!AA228&lt;&gt;"",UPPER(TRIM('Real results'!C228))=UPPER(TRIM('Raw data'!AA228))),8,0),0)</f>
        <v>0</v>
      </c>
      <c r="AB237" s="39"/>
      <c r="AC237" s="41">
        <f>IFERROR(IF(AND('Real results'!C228&lt;&gt;"",'Raw data'!S228&lt;&gt;"",UPPER(TRIM('Real results'!C228))=UPPER(TRIM('Raw data'!S228))),8,0),0)</f>
        <v>0</v>
      </c>
      <c r="AD237" s="39"/>
      <c r="AE237" s="41">
        <f>IFERROR(IF(AND('Real results'!C228&lt;&gt;"",'Raw data'!AE228&lt;&gt;"",UPPER(TRIM('Real results'!C228))=UPPER(TRIM('Raw data'!AE228))),8,0),0)</f>
        <v>0</v>
      </c>
      <c r="AF237" s="39"/>
      <c r="AG237" s="41">
        <f>IFERROR(IF(AND('Real results'!C228&lt;&gt;"",'Raw data'!AG228&lt;&gt;"",UPPER(TRIM('Real results'!C228))=UPPER(TRIM('Raw data'!AG228))),8,0),0)</f>
        <v>0</v>
      </c>
      <c r="AH237" s="39"/>
      <c r="AI237" s="41">
        <f>IFERROR(IF(AND('Real results'!C228&lt;&gt;"",'Raw data'!AI228&lt;&gt;"",UPPER(TRIM('Real results'!C228))=UPPER(TRIM('Raw data'!AI228))),8,0),0)</f>
        <v>0</v>
      </c>
      <c r="AJ237" s="39"/>
      <c r="AK237" s="41">
        <f>IFERROR(IF(AND('Real results'!C228&lt;&gt;"",'Raw data'!AK228&lt;&gt;"",UPPER(TRIM('Real results'!C228))=UPPER(TRIM('Raw data'!AK228))),8,0),0)</f>
        <v>0</v>
      </c>
      <c r="AL237" s="39"/>
      <c r="AM237" s="41">
        <f>IFERROR(IF(AND('Real results'!C228&lt;&gt;"",'Raw data'!AM228&lt;&gt;"",UPPER(TRIM('Real results'!C228))=UPPER(TRIM('Raw data'!AM228))),8,0),0)</f>
        <v>0</v>
      </c>
      <c r="AN237" s="39"/>
      <c r="AO237" s="41">
        <f>IFERROR(IF(AND('Real results'!C228&lt;&gt;"",'Raw data'!AO228&lt;&gt;"",UPPER(TRIM('Real results'!C228))=UPPER(TRIM('Raw data'!AO228))),8,0),0)</f>
        <v>0</v>
      </c>
      <c r="AP237" s="39"/>
      <c r="AQ237" s="41">
        <f>IFERROR(IF(AND('Real results'!C228&lt;&gt;"",'Raw data'!AQ228&lt;&gt;"",UPPER(TRIM('Real results'!C228))=UPPER(TRIM('Raw data'!AQ228))),8,0),0)</f>
        <v>0</v>
      </c>
      <c r="AR237" s="39"/>
      <c r="AS237" s="41">
        <f>IFERROR(IF(AND('Real results'!C228&lt;&gt;"",'Raw data'!AS228&lt;&gt;"",UPPER(TRIM('Real results'!C228))=UPPER(TRIM('Raw data'!AS228))),8,0),0)</f>
        <v>0</v>
      </c>
      <c r="AT237" s="39"/>
      <c r="AU237" s="41">
        <f>IFERROR(IF(AND('Real results'!C228&lt;&gt;"",'Raw data'!AU228&lt;&gt;"",UPPER(TRIM('Real results'!C228))=UPPER(TRIM('Raw data'!AU228))),8,0),0)</f>
        <v>0</v>
      </c>
      <c r="AV237" s="39"/>
      <c r="AW237" s="41">
        <f>IFERROR(IF(AND('Real results'!C228&lt;&gt;"",'Raw data'!AW228&lt;&gt;"",UPPER(TRIM('Real results'!C228))=UPPER(TRIM('Raw data'!AW228))),8,0),0)</f>
        <v>0</v>
      </c>
      <c r="AX237" s="39"/>
      <c r="AY237" s="41">
        <f>IFERROR(IF(AND('Real results'!C228&lt;&gt;"",'Raw data'!AY228&lt;&gt;"",UPPER(TRIM('Real results'!C228))=UPPER(TRIM('Raw data'!AY228))),8,0),0)</f>
        <v>0</v>
      </c>
      <c r="AZ237" s="39"/>
      <c r="BA237" s="41">
        <f>IFERROR(IF(AND('Real results'!C228&lt;&gt;"",'Raw data'!BA228&lt;&gt;"",UPPER(TRIM('Real results'!C228))=UPPER(TRIM('Raw data'!BA228))),8,0),0)</f>
        <v>0</v>
      </c>
      <c r="BB237" s="39"/>
      <c r="BC237" s="41">
        <f>IFERROR(IF(AND('Real results'!C228&lt;&gt;"",'Raw data'!BC228&lt;&gt;"",UPPER(TRIM('Real results'!C228))=UPPER(TRIM('Raw data'!BC228))),8,0),0)</f>
        <v>0</v>
      </c>
      <c r="BD237" s="39"/>
      <c r="BE237" s="41">
        <f>IFERROR(IF(AND('Real results'!C228&lt;&gt;"",'Raw data'!BE228&lt;&gt;"",UPPER(TRIM('Real results'!C228))=UPPER(TRIM('Raw data'!BE228))),8,0),0)</f>
        <v>0</v>
      </c>
      <c r="BF237" s="39"/>
      <c r="BG237" s="41">
        <f>IFERROR(IF(AND('Real results'!C228&lt;&gt;"",'Raw data'!BG228&lt;&gt;"",UPPER(TRIM('Real results'!C228))=UPPER(TRIM('Raw data'!BG228))),8,0),0)</f>
        <v>0</v>
      </c>
      <c r="BH237" s="39"/>
      <c r="BI237" s="41">
        <f>IFERROR(IF(AND('Real results'!C228&lt;&gt;"",'Raw data'!BI228&lt;&gt;"",UPPER(TRIM('Real results'!C228))=UPPER(TRIM('Raw data'!BI228))),8,0),0)</f>
        <v>0</v>
      </c>
    </row>
    <row r="238" ht="18.0" customHeight="1">
      <c r="A238" s="36"/>
      <c r="B238" s="40" t="s">
        <v>285</v>
      </c>
      <c r="C238" s="41">
        <f>IFERROR(IF(AND('Real results'!C229&lt;&gt;"",'Raw data'!C229&lt;&gt;"",UPPER(TRIM('Real results'!C229))=UPPER(TRIM('Raw data'!C229))),8,0),0)</f>
        <v>0</v>
      </c>
      <c r="D238" s="39"/>
      <c r="E238" s="41">
        <f>IFERROR(IF(AND('Real results'!C229&lt;&gt;"",'Raw data'!E229&lt;&gt;"",UPPER(TRIM('Real results'!C229))=UPPER(TRIM('Raw data'!E229))),8,0),0)</f>
        <v>0</v>
      </c>
      <c r="F238" s="39"/>
      <c r="G238" s="41">
        <f>IFERROR(IF(AND('Real results'!C229&lt;&gt;"",'Raw data'!G229&lt;&gt;"",UPPER(TRIM('Real results'!C229))=UPPER(TRIM('Raw data'!G229))),8,0),0)</f>
        <v>0</v>
      </c>
      <c r="H238" s="39"/>
      <c r="I238" s="41">
        <f>IFERROR(IF(AND('Real results'!C229&lt;&gt;"",'Raw data'!I229&lt;&gt;"",UPPER(TRIM('Real results'!C229))=UPPER(TRIM('Raw data'!I229))),8,0),0)</f>
        <v>0</v>
      </c>
      <c r="J238" s="39"/>
      <c r="K238" s="41">
        <f>IFERROR(IF(AND('Real results'!C229&lt;&gt;"",'Raw data'!K229&lt;&gt;"",UPPER(TRIM('Real results'!C229))=UPPER(TRIM('Raw data'!K229))),8,0),0)</f>
        <v>0</v>
      </c>
      <c r="L238" s="39"/>
      <c r="M238" s="41">
        <f>IFERROR(IF(AND('Real results'!C229&lt;&gt;"",'Raw data'!M229&lt;&gt;"",UPPER(TRIM('Real results'!C229))=UPPER(TRIM('Raw data'!M229))),8,0),0)</f>
        <v>0</v>
      </c>
      <c r="N238" s="39"/>
      <c r="O238" s="41">
        <f>IFERROR(IF(AND('Real results'!C229&lt;&gt;"",'Raw data'!O229&lt;&gt;"",UPPER(TRIM('Real results'!C229))=UPPER(TRIM('Raw data'!O229))),8,0),0)</f>
        <v>0</v>
      </c>
      <c r="P238" s="39"/>
      <c r="Q238" s="41">
        <f>IFERROR(IF(AND('Real results'!C229&lt;&gt;"",'Raw data'!Q229&lt;&gt;"",UPPER(TRIM('Real results'!C229))=UPPER(TRIM('Raw data'!Q229))),8,0),0)</f>
        <v>0</v>
      </c>
      <c r="R238" s="39"/>
      <c r="S238" s="41">
        <f>IFERROR(IF(AND('Real results'!C229&lt;&gt;"",#REF!&lt;&gt;"",UPPER(TRIM('Real results'!C229))=UPPER(TRIM(#REF!))),8,0),0)</f>
        <v>0</v>
      </c>
      <c r="T238" s="39"/>
      <c r="U238" s="41">
        <f>IFERROR(IF(AND('Real results'!C229&lt;&gt;"",'Raw data'!U229&lt;&gt;"",UPPER(TRIM('Real results'!C229))=UPPER(TRIM('Raw data'!U229))),8,0),0)</f>
        <v>0</v>
      </c>
      <c r="V238" s="39"/>
      <c r="W238" s="41">
        <f>IFERROR(IF(AND('Real results'!C229&lt;&gt;"",'Raw data'!W229&lt;&gt;"",UPPER(TRIM('Real results'!C229))=UPPER(TRIM('Raw data'!W229))),8,0),0)</f>
        <v>0</v>
      </c>
      <c r="X238" s="39"/>
      <c r="Y238" s="41">
        <f>IFERROR(IF(AND('Real results'!C229&lt;&gt;"",'Raw data'!Y229&lt;&gt;"",UPPER(TRIM('Real results'!C229))=UPPER(TRIM('Raw data'!Y229))),8,0),0)</f>
        <v>0</v>
      </c>
      <c r="Z238" s="39"/>
      <c r="AA238" s="41">
        <f>IFERROR(IF(AND('Real results'!C229&lt;&gt;"",'Raw data'!AA229&lt;&gt;"",UPPER(TRIM('Real results'!C229))=UPPER(TRIM('Raw data'!AA229))),8,0),0)</f>
        <v>0</v>
      </c>
      <c r="AB238" s="39"/>
      <c r="AC238" s="41">
        <f>IFERROR(IF(AND('Real results'!C229&lt;&gt;"",'Raw data'!S229&lt;&gt;"",UPPER(TRIM('Real results'!C229))=UPPER(TRIM('Raw data'!S229))),8,0),0)</f>
        <v>0</v>
      </c>
      <c r="AD238" s="39"/>
      <c r="AE238" s="41">
        <f>IFERROR(IF(AND('Real results'!C229&lt;&gt;"",'Raw data'!AE229&lt;&gt;"",UPPER(TRIM('Real results'!C229))=UPPER(TRIM('Raw data'!AE229))),8,0),0)</f>
        <v>0</v>
      </c>
      <c r="AF238" s="39"/>
      <c r="AG238" s="41">
        <f>IFERROR(IF(AND('Real results'!C229&lt;&gt;"",'Raw data'!AG229&lt;&gt;"",UPPER(TRIM('Real results'!C229))=UPPER(TRIM('Raw data'!AG229))),8,0),0)</f>
        <v>0</v>
      </c>
      <c r="AH238" s="39"/>
      <c r="AI238" s="41">
        <f>IFERROR(IF(AND('Real results'!C229&lt;&gt;"",'Raw data'!AI229&lt;&gt;"",UPPER(TRIM('Real results'!C229))=UPPER(TRIM('Raw data'!AI229))),8,0),0)</f>
        <v>0</v>
      </c>
      <c r="AJ238" s="39"/>
      <c r="AK238" s="41">
        <f>IFERROR(IF(AND('Real results'!C229&lt;&gt;"",'Raw data'!AK229&lt;&gt;"",UPPER(TRIM('Real results'!C229))=UPPER(TRIM('Raw data'!AK229))),8,0),0)</f>
        <v>0</v>
      </c>
      <c r="AL238" s="39"/>
      <c r="AM238" s="41">
        <f>IFERROR(IF(AND('Real results'!C229&lt;&gt;"",'Raw data'!AM229&lt;&gt;"",UPPER(TRIM('Real results'!C229))=UPPER(TRIM('Raw data'!AM229))),8,0),0)</f>
        <v>0</v>
      </c>
      <c r="AN238" s="39"/>
      <c r="AO238" s="41">
        <f>IFERROR(IF(AND('Real results'!C229&lt;&gt;"",'Raw data'!AO229&lt;&gt;"",UPPER(TRIM('Real results'!C229))=UPPER(TRIM('Raw data'!AO229))),8,0),0)</f>
        <v>0</v>
      </c>
      <c r="AP238" s="39"/>
      <c r="AQ238" s="41">
        <f>IFERROR(IF(AND('Real results'!C229&lt;&gt;"",'Raw data'!AQ229&lt;&gt;"",UPPER(TRIM('Real results'!C229))=UPPER(TRIM('Raw data'!AQ229))),8,0),0)</f>
        <v>0</v>
      </c>
      <c r="AR238" s="39"/>
      <c r="AS238" s="41">
        <f>IFERROR(IF(AND('Real results'!C229&lt;&gt;"",'Raw data'!AS229&lt;&gt;"",UPPER(TRIM('Real results'!C229))=UPPER(TRIM('Raw data'!AS229))),8,0),0)</f>
        <v>0</v>
      </c>
      <c r="AT238" s="39"/>
      <c r="AU238" s="41">
        <f>IFERROR(IF(AND('Real results'!C229&lt;&gt;"",'Raw data'!AU229&lt;&gt;"",UPPER(TRIM('Real results'!C229))=UPPER(TRIM('Raw data'!AU229))),8,0),0)</f>
        <v>0</v>
      </c>
      <c r="AV238" s="39"/>
      <c r="AW238" s="41">
        <f>IFERROR(IF(AND('Real results'!C229&lt;&gt;"",'Raw data'!AW229&lt;&gt;"",UPPER(TRIM('Real results'!C229))=UPPER(TRIM('Raw data'!AW229))),8,0),0)</f>
        <v>0</v>
      </c>
      <c r="AX238" s="39"/>
      <c r="AY238" s="41">
        <f>IFERROR(IF(AND('Real results'!C229&lt;&gt;"",'Raw data'!AY229&lt;&gt;"",UPPER(TRIM('Real results'!C229))=UPPER(TRIM('Raw data'!AY229))),8,0),0)</f>
        <v>0</v>
      </c>
      <c r="AZ238" s="39"/>
      <c r="BA238" s="41">
        <f>IFERROR(IF(AND('Real results'!C229&lt;&gt;"",'Raw data'!BA229&lt;&gt;"",UPPER(TRIM('Real results'!C229))=UPPER(TRIM('Raw data'!BA229))),8,0),0)</f>
        <v>0</v>
      </c>
      <c r="BB238" s="39"/>
      <c r="BC238" s="41">
        <f>IFERROR(IF(AND('Real results'!C229&lt;&gt;"",'Raw data'!BC229&lt;&gt;"",UPPER(TRIM('Real results'!C229))=UPPER(TRIM('Raw data'!BC229))),8,0),0)</f>
        <v>0</v>
      </c>
      <c r="BD238" s="39"/>
      <c r="BE238" s="41">
        <f>IFERROR(IF(AND('Real results'!C229&lt;&gt;"",'Raw data'!BE229&lt;&gt;"",UPPER(TRIM('Real results'!C229))=UPPER(TRIM('Raw data'!BE229))),8,0),0)</f>
        <v>0</v>
      </c>
      <c r="BF238" s="39"/>
      <c r="BG238" s="41">
        <f>IFERROR(IF(AND('Real results'!C229&lt;&gt;"",'Raw data'!BG229&lt;&gt;"",UPPER(TRIM('Real results'!C229))=UPPER(TRIM('Raw data'!BG229))),8,0),0)</f>
        <v>0</v>
      </c>
      <c r="BH238" s="39"/>
      <c r="BI238" s="41">
        <f>IFERROR(IF(AND('Real results'!C229&lt;&gt;"",'Raw data'!BI229&lt;&gt;"",UPPER(TRIM('Real results'!C229))=UPPER(TRIM('Raw data'!BI229))),8,0),0)</f>
        <v>0</v>
      </c>
    </row>
    <row r="239" ht="21.75" customHeight="1">
      <c r="A239" s="36"/>
      <c r="B239" s="42" t="s">
        <v>522</v>
      </c>
      <c r="C239" s="43">
        <f>SUM(C237:C238)</f>
        <v>0</v>
      </c>
      <c r="D239" s="39"/>
      <c r="E239" s="43">
        <f>SUM(E237:E238)</f>
        <v>0</v>
      </c>
      <c r="F239" s="39"/>
      <c r="G239" s="43">
        <f>SUM(G237:G238)</f>
        <v>0</v>
      </c>
      <c r="H239" s="39"/>
      <c r="I239" s="43">
        <f>SUM(I237:I238)</f>
        <v>0</v>
      </c>
      <c r="J239" s="39"/>
      <c r="K239" s="43">
        <f>SUM(K237:K238)</f>
        <v>0</v>
      </c>
      <c r="L239" s="39"/>
      <c r="M239" s="43">
        <f>SUM(M237:M238)</f>
        <v>0</v>
      </c>
      <c r="N239" s="39"/>
      <c r="O239" s="43">
        <f>SUM(O237:O238)</f>
        <v>0</v>
      </c>
      <c r="P239" s="39"/>
      <c r="Q239" s="43">
        <f>SUM(Q237:Q238)</f>
        <v>0</v>
      </c>
      <c r="R239" s="39"/>
      <c r="S239" s="43">
        <f>SUM(S237:S238)</f>
        <v>0</v>
      </c>
      <c r="T239" s="39"/>
      <c r="U239" s="43">
        <f>SUM(U237:U238)</f>
        <v>0</v>
      </c>
      <c r="V239" s="39"/>
      <c r="W239" s="43">
        <f>SUM(W237:W238)</f>
        <v>0</v>
      </c>
      <c r="X239" s="39"/>
      <c r="Y239" s="43">
        <f>SUM(Y237:Y238)</f>
        <v>0</v>
      </c>
      <c r="Z239" s="39"/>
      <c r="AA239" s="43">
        <f>SUM(AA237:AA238)</f>
        <v>0</v>
      </c>
      <c r="AB239" s="39"/>
      <c r="AC239" s="43">
        <f>SUM(AC237:AC238)</f>
        <v>0</v>
      </c>
      <c r="AD239" s="39"/>
      <c r="AE239" s="43">
        <f>SUM(AE237:AE238)</f>
        <v>0</v>
      </c>
      <c r="AF239" s="39"/>
      <c r="AG239" s="43">
        <f>SUM(AG237:AG238)</f>
        <v>0</v>
      </c>
      <c r="AH239" s="39"/>
      <c r="AI239" s="43">
        <f>SUM(AI237:AI238)</f>
        <v>0</v>
      </c>
      <c r="AJ239" s="39"/>
      <c r="AK239" s="43">
        <f>SUM(AK237:AK238)</f>
        <v>0</v>
      </c>
      <c r="AL239" s="39"/>
      <c r="AM239" s="43">
        <f>SUM(AM237:AM238)</f>
        <v>0</v>
      </c>
      <c r="AN239" s="39"/>
      <c r="AO239" s="43">
        <f>SUM(AO237:AO238)</f>
        <v>0</v>
      </c>
      <c r="AP239" s="39"/>
      <c r="AQ239" s="43">
        <f>SUM(AQ237:AQ238)</f>
        <v>0</v>
      </c>
      <c r="AR239" s="39"/>
      <c r="AS239" s="43">
        <f>SUM(AS237:AS238)</f>
        <v>0</v>
      </c>
      <c r="AT239" s="39"/>
      <c r="AU239" s="43">
        <f>SUM(AU237:AU238)</f>
        <v>0</v>
      </c>
      <c r="AV239" s="39"/>
      <c r="AW239" s="43">
        <f>SUM(AW237:AW238)</f>
        <v>0</v>
      </c>
      <c r="AX239" s="39"/>
      <c r="AY239" s="43">
        <f>SUM(AY237:AY238)</f>
        <v>0</v>
      </c>
      <c r="AZ239" s="39"/>
      <c r="BA239" s="43">
        <f>SUM(BA237:BA238)</f>
        <v>0</v>
      </c>
      <c r="BB239" s="39"/>
      <c r="BC239" s="43">
        <f>SUM(BC237:BC238)</f>
        <v>0</v>
      </c>
      <c r="BD239" s="39"/>
      <c r="BE239" s="43">
        <f>SUM(BE237:BE238)</f>
        <v>0</v>
      </c>
      <c r="BF239" s="39"/>
      <c r="BG239" s="43">
        <f>SUM(BG237:BG238)</f>
        <v>0</v>
      </c>
      <c r="BH239" s="39"/>
      <c r="BI239" s="43">
        <f>SUM(BI237:BI238)</f>
        <v>0</v>
      </c>
    </row>
    <row r="240" ht="15.75" customHeight="1">
      <c r="A240" s="36"/>
      <c r="B240" s="36"/>
      <c r="C240" s="36"/>
      <c r="D240" s="39"/>
      <c r="E240" s="36"/>
      <c r="F240" s="39"/>
      <c r="G240" s="36"/>
      <c r="H240" s="39"/>
      <c r="I240" s="36"/>
      <c r="J240" s="39"/>
      <c r="K240" s="36"/>
      <c r="L240" s="39"/>
      <c r="M240" s="36"/>
      <c r="N240" s="39"/>
      <c r="O240" s="36"/>
      <c r="P240" s="39"/>
      <c r="Q240" s="36"/>
      <c r="R240" s="39"/>
      <c r="S240" s="36"/>
      <c r="T240" s="39"/>
      <c r="U240" s="36"/>
      <c r="V240" s="39"/>
      <c r="W240" s="36"/>
      <c r="X240" s="39"/>
      <c r="Y240" s="36"/>
      <c r="Z240" s="39"/>
      <c r="AA240" s="36"/>
      <c r="AB240" s="39"/>
      <c r="AC240" s="36"/>
      <c r="AD240" s="39"/>
      <c r="AE240" s="36"/>
      <c r="AF240" s="39"/>
      <c r="AG240" s="36"/>
      <c r="AH240" s="39"/>
      <c r="AI240" s="36"/>
      <c r="AJ240" s="39"/>
      <c r="AK240" s="36"/>
      <c r="AL240" s="39"/>
      <c r="AM240" s="36"/>
      <c r="AN240" s="39"/>
      <c r="AO240" s="36"/>
      <c r="AP240" s="39"/>
      <c r="AQ240" s="36"/>
      <c r="AR240" s="39"/>
      <c r="AS240" s="36"/>
      <c r="AT240" s="39"/>
      <c r="AU240" s="36"/>
      <c r="AV240" s="39"/>
      <c r="AW240" s="36"/>
      <c r="AX240" s="39"/>
      <c r="AY240" s="36"/>
      <c r="AZ240" s="39"/>
      <c r="BA240" s="36"/>
      <c r="BB240" s="39"/>
      <c r="BC240" s="36"/>
      <c r="BD240" s="39"/>
      <c r="BE240" s="36"/>
      <c r="BF240" s="39"/>
      <c r="BG240" s="36"/>
      <c r="BH240" s="39"/>
      <c r="BI240" s="36"/>
    </row>
    <row r="241" ht="30.0" customHeight="1">
      <c r="A241" s="36"/>
      <c r="B241" s="45" t="s">
        <v>523</v>
      </c>
      <c r="C241" s="46">
        <f>SUMIF($B$7:$B$240,"Subtotal*",C$7:C$240)</f>
        <v>164</v>
      </c>
      <c r="D241" s="39"/>
      <c r="E241" s="46">
        <f>SUMIF($B$7:$B$240,"Subtotal*",E$7:E$240)</f>
        <v>169</v>
      </c>
      <c r="F241" s="39"/>
      <c r="G241" s="46">
        <f>SUMIF($B$7:$B$240,"Subtotal*",G$7:G$240)</f>
        <v>155</v>
      </c>
      <c r="H241" s="39"/>
      <c r="I241" s="46">
        <f>SUMIF($B$7:$B$240,"Subtotal*",I$7:I$240)</f>
        <v>167</v>
      </c>
      <c r="J241" s="39"/>
      <c r="K241" s="46">
        <f>SUMIF($B$7:$B$240,"Subtotal*",K$7:K$240)</f>
        <v>162</v>
      </c>
      <c r="L241" s="39"/>
      <c r="M241" s="46">
        <f>SUMIF($B$7:$B$240,"Subtotal*",M$7:M$240)</f>
        <v>168</v>
      </c>
      <c r="N241" s="39"/>
      <c r="O241" s="46">
        <f>SUMIF($B$7:$B$240,"Subtotal*",O$7:O$240)</f>
        <v>156</v>
      </c>
      <c r="P241" s="39"/>
      <c r="Q241" s="46">
        <f>SUMIF($B$7:$B$240,"Subtotal*",Q$7:Q$240)</f>
        <v>167</v>
      </c>
      <c r="R241" s="39"/>
      <c r="S241" s="46">
        <f>SUMIF($B$7:$B$240,"Subtotal*",S$7:S$240)</f>
        <v>172</v>
      </c>
      <c r="T241" s="39"/>
      <c r="U241" s="46">
        <f>SUMIF($B$7:$B$240,"Subtotal*",U$7:U$240)</f>
        <v>173</v>
      </c>
      <c r="V241" s="39"/>
      <c r="W241" s="46">
        <f>SUMIF($B$7:$B$240,"Subtotal*",W$7:W$240)</f>
        <v>154</v>
      </c>
      <c r="X241" s="39"/>
      <c r="Y241" s="46">
        <f>SUMIF($B$7:$B$240,"Subtotal*",Y$7:Y$240)</f>
        <v>157</v>
      </c>
      <c r="Z241" s="39"/>
      <c r="AA241" s="46">
        <f>SUMIF($B$7:$B$240,"Subtotal*",AA$7:AA$240)</f>
        <v>168</v>
      </c>
      <c r="AB241" s="39"/>
      <c r="AC241" s="46">
        <f>SUMIF($B$7:$B$240,"Subtotal*",AC$7:AC$240)</f>
        <v>147</v>
      </c>
      <c r="AD241" s="39"/>
      <c r="AE241" s="46">
        <f>SUMIF($B$7:$B$240,"Subtotal*",AE$7:AE$240)</f>
        <v>174</v>
      </c>
      <c r="AF241" s="39"/>
      <c r="AG241" s="46">
        <f>SUMIF($B$7:$B$240,"Subtotal*",AG$7:AG$240)</f>
        <v>168</v>
      </c>
      <c r="AH241" s="39"/>
      <c r="AI241" s="46">
        <f>SUMIF($B$7:$B$240,"Subtotal*",AI$7:AI$240)</f>
        <v>163</v>
      </c>
      <c r="AJ241" s="39"/>
      <c r="AK241" s="46">
        <f>SUMIF($B$7:$B$240,"Subtotal*",AK$7:AK$240)</f>
        <v>188</v>
      </c>
      <c r="AL241" s="39"/>
      <c r="AM241" s="46">
        <f>SUMIF($B$7:$B$240,"Subtotal*",AM$7:AM$240)</f>
        <v>177</v>
      </c>
      <c r="AN241" s="39"/>
      <c r="AO241" s="46">
        <f>SUMIF($B$7:$B$240,"Subtotal*",AO$7:AO$240)</f>
        <v>183</v>
      </c>
      <c r="AP241" s="39"/>
      <c r="AQ241" s="46">
        <f>SUMIF($B$7:$B$240,"Subtotal*",AQ$7:AQ$240)</f>
        <v>158</v>
      </c>
      <c r="AR241" s="39"/>
      <c r="AS241" s="46">
        <f>SUMIF($B$7:$B$240,"Subtotal*",AS$7:AS$240)</f>
        <v>157</v>
      </c>
      <c r="AT241" s="39"/>
      <c r="AU241" s="46">
        <f>SUMIF($B$7:$B$240,"Subtotal*",AU$7:AU$240)</f>
        <v>181</v>
      </c>
      <c r="AV241" s="39"/>
      <c r="AW241" s="46">
        <f>SUMIF($B$7:$B$240,"Subtotal*",AW$7:AW$240)</f>
        <v>139</v>
      </c>
      <c r="AX241" s="39"/>
      <c r="AY241" s="46">
        <f>SUMIF($B$7:$B$240,"Subtotal*",AY$7:AY$240)</f>
        <v>171</v>
      </c>
      <c r="AZ241" s="39"/>
      <c r="BA241" s="46">
        <f>SUMIF($B$7:$B$240,"Subtotal*",BA$7:BA$240)</f>
        <v>149</v>
      </c>
      <c r="BB241" s="39"/>
      <c r="BC241" s="46">
        <f>SUMIF($B$7:$B$240,"Subtotal*",BC$7:BC$240)</f>
        <v>168</v>
      </c>
      <c r="BD241" s="39"/>
      <c r="BE241" s="46">
        <f>SUMIF($B$7:$B$240,"Subtotal*",BE$7:BE$240)</f>
        <v>159</v>
      </c>
      <c r="BF241" s="39"/>
      <c r="BG241" s="46">
        <f>SUMIF($B$7:$B$240,"Subtotal*",BG$7:BG$240)</f>
        <v>0</v>
      </c>
      <c r="BH241" s="39"/>
      <c r="BI241" s="46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7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8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8" t="s">
        <v>530</v>
      </c>
      <c r="G5" s="48" t="s">
        <v>531</v>
      </c>
      <c r="H5" s="48" t="s">
        <v>532</v>
      </c>
    </row>
    <row r="6" ht="24.0" customHeight="1">
      <c r="A6" s="1"/>
      <c r="B6" s="49">
        <v>1.0</v>
      </c>
      <c r="C6" s="50" t="str">
        <f t="array" ref="C6">IFERROR(INDEX(F6:F35,MATCH(LARGE(H6:H35,1),H6:H35,0)),"")</f>
        <v>Irene</v>
      </c>
      <c r="D6" s="51">
        <f t="array" ref="D6">IFERROR(INDEX(G6:G35,MATCH(LARGE(H6:H35,1),H6:H35,0)),"")</f>
        <v>188</v>
      </c>
      <c r="E6" s="1"/>
      <c r="F6" s="52" t="str">
        <f>'Raw data'!C6</f>
        <v>Matt</v>
      </c>
      <c r="G6" s="52">
        <f>Calculation!C241</f>
        <v>164</v>
      </c>
      <c r="H6" s="52">
        <f>G6*1000-0</f>
        <v>164000</v>
      </c>
    </row>
    <row r="7" ht="24.0" customHeight="1">
      <c r="A7" s="1"/>
      <c r="B7" s="53">
        <v>2.0</v>
      </c>
      <c r="C7" s="54" t="str">
        <f t="array" ref="C7">IFERROR(INDEX(F6:F35,MATCH(LARGE(H6:H35,2),H6:H35,0)),"")</f>
        <v>Adri</v>
      </c>
      <c r="D7" s="55">
        <f t="array" ref="D7">IFERROR(INDEX(G6:G35,MATCH(LARGE(H6:H35,2),H6:H35,0)),"")</f>
        <v>183</v>
      </c>
      <c r="E7" s="1"/>
      <c r="F7" s="52" t="str">
        <f>'Raw data'!E6</f>
        <v>Fer</v>
      </c>
      <c r="G7" s="52">
        <f>Calculation!E241</f>
        <v>169</v>
      </c>
      <c r="H7" s="52">
        <f>G7*1000-1</f>
        <v>168999</v>
      </c>
    </row>
    <row r="8" ht="24.0" customHeight="1">
      <c r="A8" s="1"/>
      <c r="B8" s="56">
        <v>3.0</v>
      </c>
      <c r="C8" s="57" t="str">
        <f t="array" ref="C8">IFERROR(INDEX(F6:F35,MATCH(LARGE(H6:H35,3),H6:H35,0)),"")</f>
        <v>Mile</v>
      </c>
      <c r="D8" s="58">
        <f t="array" ref="D8">IFERROR(INDEX(G6:G35,MATCH(LARGE(H6:H35,3),H6:H35,0)),"")</f>
        <v>181</v>
      </c>
      <c r="E8" s="1"/>
      <c r="F8" s="52" t="str">
        <f>'Raw data'!G6</f>
        <v>Pano</v>
      </c>
      <c r="G8" s="52">
        <f>Calculation!G241</f>
        <v>155</v>
      </c>
      <c r="H8" s="52">
        <f>G8*1000-2</f>
        <v>154998</v>
      </c>
    </row>
    <row r="9" ht="24.0" customHeight="1">
      <c r="A9" s="1"/>
      <c r="B9" s="59">
        <v>4.0</v>
      </c>
      <c r="C9" s="60" t="str">
        <f t="array" ref="C9">IFERROR(INDEX(F6:F35,MATCH(LARGE(H6:H35,4),H6:H35,0)),"")</f>
        <v>Andy</v>
      </c>
      <c r="D9" s="61">
        <f t="array" ref="D9">IFERROR(INDEX(G6:G35,MATCH(LARGE(H6:H35,4),H6:H35,0)),"")</f>
        <v>177</v>
      </c>
      <c r="E9" s="1"/>
      <c r="F9" s="52" t="str">
        <f>'Raw data'!I6</f>
        <v>Tere y Edu</v>
      </c>
      <c r="G9" s="52">
        <f>Calculation!I241</f>
        <v>167</v>
      </c>
      <c r="H9" s="52">
        <f>G9*1000-3</f>
        <v>166997</v>
      </c>
    </row>
    <row r="10" ht="24.0" customHeight="1">
      <c r="A10" s="1"/>
      <c r="B10" s="59">
        <v>5.0</v>
      </c>
      <c r="C10" s="60" t="str">
        <f t="array" ref="C10">IFERROR(INDEX(F6:F35,MATCH(LARGE(H6:H35,5),H6:H35,0)),"")</f>
        <v>Toño</v>
      </c>
      <c r="D10" s="61">
        <f t="array" ref="D10">IFERROR(INDEX(G6:G35,MATCH(LARGE(H6:H35,5),H6:H35,0)),"")</f>
        <v>174</v>
      </c>
      <c r="E10" s="1"/>
      <c r="F10" s="52" t="str">
        <f>'Raw data'!K6</f>
        <v>Nadia</v>
      </c>
      <c r="G10" s="52">
        <f>Calculation!K241</f>
        <v>162</v>
      </c>
      <c r="H10" s="52">
        <f>G10*1000-4</f>
        <v>161996</v>
      </c>
    </row>
    <row r="11" ht="24.0" customHeight="1">
      <c r="A11" s="1"/>
      <c r="B11" s="59">
        <v>6.0</v>
      </c>
      <c r="C11" s="60" t="str">
        <f t="array" ref="C11">IFERROR(INDEX(F6:F35,MATCH(LARGE(H6:H35,6),H6:H35,0)),"")</f>
        <v>Pablo</v>
      </c>
      <c r="D11" s="61">
        <f t="array" ref="D11">IFERROR(INDEX(G6:G35,MATCH(LARGE(H6:H35,6),H6:H35,0)),"")</f>
        <v>173</v>
      </c>
      <c r="E11" s="1"/>
      <c r="F11" s="52" t="str">
        <f>'Raw data'!M6</f>
        <v>JE</v>
      </c>
      <c r="G11" s="52">
        <f>Calculation!M241</f>
        <v>168</v>
      </c>
      <c r="H11" s="52">
        <f>G11*1000-5</f>
        <v>167995</v>
      </c>
    </row>
    <row r="12" ht="24.0" customHeight="1">
      <c r="A12" s="1"/>
      <c r="B12" s="59">
        <v>7.0</v>
      </c>
      <c r="C12" s="60" t="str">
        <f t="array" ref="C12">IFERROR(INDEX(F6:F35,MATCH(LARGE(H6:H35,7),H6:H35,0)),"")</f>
        <v>Paibol</v>
      </c>
      <c r="D12" s="61">
        <f t="array" ref="D12">IFERROR(INDEX(G6:G35,MATCH(LARGE(H6:H35,7),H6:H35,0)),"")</f>
        <v>172</v>
      </c>
      <c r="E12" s="1"/>
      <c r="F12" s="52" t="str">
        <f>'Raw data'!O6</f>
        <v>Lucía</v>
      </c>
      <c r="G12" s="52">
        <f>Calculation!O241</f>
        <v>156</v>
      </c>
      <c r="H12" s="52">
        <f>G12*1000-6</f>
        <v>155994</v>
      </c>
    </row>
    <row r="13" ht="24.0" customHeight="1">
      <c r="A13" s="1"/>
      <c r="B13" s="59">
        <v>8.0</v>
      </c>
      <c r="C13" s="60" t="str">
        <f t="array" ref="C13">IFERROR(INDEX(F6:F35,MATCH(LARGE(H6:H35,8),H6:H35,0)),"")</f>
        <v>Hugo</v>
      </c>
      <c r="D13" s="61">
        <f t="array" ref="D13">IFERROR(INDEX(G6:G35,MATCH(LARGE(H6:H35,8),H6:H35,0)),"")</f>
        <v>171</v>
      </c>
      <c r="E13" s="1"/>
      <c r="F13" s="52" t="str">
        <f>'Raw data'!Q6</f>
        <v>Kike</v>
      </c>
      <c r="G13" s="52">
        <f>Calculation!Q241</f>
        <v>167</v>
      </c>
      <c r="H13" s="52">
        <f>G13*1000-7</f>
        <v>166993</v>
      </c>
    </row>
    <row r="14" ht="24.0" customHeight="1">
      <c r="A14" s="1"/>
      <c r="B14" s="59">
        <v>9.0</v>
      </c>
      <c r="C14" s="60" t="str">
        <f t="array" ref="C14">IFERROR(INDEX(F6:F35,MATCH(LARGE(H6:H35,9),H6:H35,0)),"")</f>
        <v>Fer</v>
      </c>
      <c r="D14" s="61">
        <f t="array" ref="D14">IFERROR(INDEX(G6:G35,MATCH(LARGE(H6:H35,9),H6:H35,0)),"")</f>
        <v>169</v>
      </c>
      <c r="E14" s="1"/>
      <c r="F14" s="52" t="str">
        <f>'Raw data'!S6</f>
        <v>Paibol</v>
      </c>
      <c r="G14" s="52">
        <f>Calculation!S241</f>
        <v>172</v>
      </c>
      <c r="H14" s="52">
        <f>G14*1000-8</f>
        <v>171992</v>
      </c>
    </row>
    <row r="15" ht="24.0" customHeight="1">
      <c r="A15" s="1"/>
      <c r="B15" s="59">
        <v>10.0</v>
      </c>
      <c r="C15" s="60" t="str">
        <f t="array" ref="C15">IFERROR(INDEX(F6:F35,MATCH(LARGE(H6:H35,10),H6:H35,0)),"")</f>
        <v>JE</v>
      </c>
      <c r="D15" s="61">
        <f t="array" ref="D15">IFERROR(INDEX(G6:G35,MATCH(LARGE(H6:H35,10),H6:H35,0)),"")</f>
        <v>168</v>
      </c>
      <c r="E15" s="1"/>
      <c r="F15" s="52" t="str">
        <f>'Raw data'!U6</f>
        <v>Pablo</v>
      </c>
      <c r="G15" s="52">
        <f>Calculation!U241</f>
        <v>173</v>
      </c>
      <c r="H15" s="52">
        <f>G15*1000-9</f>
        <v>172991</v>
      </c>
    </row>
    <row r="16" ht="24.0" customHeight="1">
      <c r="A16" s="1"/>
      <c r="B16" s="59">
        <v>11.0</v>
      </c>
      <c r="C16" s="60" t="str">
        <f t="array" ref="C16">IFERROR(INDEX(F6:F35,MATCH(LARGE(H6:H35,11),H6:H35,0)),"")</f>
        <v>Cillian</v>
      </c>
      <c r="D16" s="61">
        <f t="array" ref="D16">IFERROR(INDEX(G6:G35,MATCH(LARGE(H6:H35,11),H6:H35,0)),"")</f>
        <v>168</v>
      </c>
      <c r="E16" s="1"/>
      <c r="F16" s="52" t="str">
        <f>'Raw data'!W6</f>
        <v>Almu</v>
      </c>
      <c r="G16" s="52">
        <f>Calculation!W241</f>
        <v>154</v>
      </c>
      <c r="H16" s="52">
        <f>G16*1000-10</f>
        <v>153990</v>
      </c>
    </row>
    <row r="17" ht="24.0" customHeight="1">
      <c r="A17" s="1"/>
      <c r="B17" s="59">
        <v>12.0</v>
      </c>
      <c r="C17" s="60" t="str">
        <f t="array" ref="C17">IFERROR(INDEX(F6:F35,MATCH(LARGE(H6:H35,12),H6:H35,0)),"")</f>
        <v>Juanin</v>
      </c>
      <c r="D17" s="61">
        <f t="array" ref="D17">IFERROR(INDEX(G6:G35,MATCH(LARGE(H6:H35,12),H6:H35,0)),"")</f>
        <v>168</v>
      </c>
      <c r="E17" s="1"/>
      <c r="F17" s="52" t="str">
        <f>'Raw data'!Y6</f>
        <v>Juanorro</v>
      </c>
      <c r="G17" s="52">
        <f>Calculation!Y241</f>
        <v>157</v>
      </c>
      <c r="H17" s="52">
        <f>G17*1000-11</f>
        <v>156989</v>
      </c>
    </row>
    <row r="18" ht="24.0" customHeight="1">
      <c r="A18" s="1"/>
      <c r="B18" s="59">
        <v>13.0</v>
      </c>
      <c r="C18" s="60" t="str">
        <f t="array" ref="C18">IFERROR(INDEX(F6:F35,MATCH(LARGE(H6:H35,13),H6:H35,0)),"")</f>
        <v>Emilio</v>
      </c>
      <c r="D18" s="61">
        <f t="array" ref="D18">IFERROR(INDEX(G6:G35,MATCH(LARGE(H6:H35,13),H6:H35,0)),"")</f>
        <v>168</v>
      </c>
      <c r="E18" s="1"/>
      <c r="F18" s="52" t="str">
        <f>'Raw data'!AA6</f>
        <v>Cillian</v>
      </c>
      <c r="G18" s="52">
        <f>Calculation!AA241</f>
        <v>168</v>
      </c>
      <c r="H18" s="52">
        <f>G18*1000-12</f>
        <v>167988</v>
      </c>
    </row>
    <row r="19" ht="24.0" customHeight="1">
      <c r="A19" s="1"/>
      <c r="B19" s="59">
        <v>14.0</v>
      </c>
      <c r="C19" s="60" t="str">
        <f t="array" ref="C19">IFERROR(INDEX(F6:F35,MATCH(LARGE(H6:H35,14),H6:H35,0)),"")</f>
        <v>Tere y Edu</v>
      </c>
      <c r="D19" s="61">
        <f t="array" ref="D19">IFERROR(INDEX(G6:G35,MATCH(LARGE(H6:H35,14),H6:H35,0)),"")</f>
        <v>167</v>
      </c>
      <c r="E19" s="1"/>
      <c r="F19" s="52" t="str">
        <f>'Raw data'!AC6</f>
        <v>July</v>
      </c>
      <c r="G19" s="52">
        <f>Calculation!AC241</f>
        <v>147</v>
      </c>
      <c r="H19" s="52">
        <f>G19*1000-13</f>
        <v>146987</v>
      </c>
    </row>
    <row r="20" ht="24.0" customHeight="1">
      <c r="A20" s="1"/>
      <c r="B20" s="59">
        <v>15.0</v>
      </c>
      <c r="C20" s="60" t="str">
        <f t="array" ref="C20">IFERROR(INDEX(F6:F35,MATCH(LARGE(H6:H35,15),H6:H35,0)),"")</f>
        <v>Kike</v>
      </c>
      <c r="D20" s="61">
        <f t="array" ref="D20">IFERROR(INDEX(G6:G35,MATCH(LARGE(H6:H35,15),H6:H35,0)),"")</f>
        <v>167</v>
      </c>
      <c r="E20" s="1"/>
      <c r="F20" s="52" t="str">
        <f>'Raw data'!AE6</f>
        <v>Toño</v>
      </c>
      <c r="G20" s="52">
        <f>Calculation!AE241</f>
        <v>174</v>
      </c>
      <c r="H20" s="52">
        <f>G20*1000-14</f>
        <v>173986</v>
      </c>
    </row>
    <row r="21" ht="24.0" customHeight="1">
      <c r="A21" s="1"/>
      <c r="B21" s="59">
        <v>16.0</v>
      </c>
      <c r="C21" s="60" t="str">
        <f t="array" ref="C21">IFERROR(INDEX(F6:F35,MATCH(LARGE(H6:H35,16),H6:H35,0)),"")</f>
        <v>Matt</v>
      </c>
      <c r="D21" s="61">
        <f t="array" ref="D21">IFERROR(INDEX(G6:G35,MATCH(LARGE(H6:H35,16),H6:H35,0)),"")</f>
        <v>164</v>
      </c>
      <c r="E21" s="1"/>
      <c r="F21" s="52" t="str">
        <f>'Raw data'!AG6</f>
        <v>Juanin</v>
      </c>
      <c r="G21" s="52">
        <f>Calculation!AG241</f>
        <v>168</v>
      </c>
      <c r="H21" s="52">
        <f>G21*1000-15</f>
        <v>167985</v>
      </c>
    </row>
    <row r="22" ht="24.0" customHeight="1">
      <c r="A22" s="1"/>
      <c r="B22" s="59">
        <v>17.0</v>
      </c>
      <c r="C22" s="60" t="str">
        <f t="array" ref="C22">IFERROR(INDEX(F6:F35,MATCH(LARGE(H6:H35,17),H6:H35,0)),"")</f>
        <v>Meg</v>
      </c>
      <c r="D22" s="61">
        <f t="array" ref="D22">IFERROR(INDEX(G6:G35,MATCH(LARGE(H6:H35,17),H6:H35,0)),"")</f>
        <v>163</v>
      </c>
      <c r="E22" s="1"/>
      <c r="F22" s="52" t="str">
        <f>'Raw data'!AI6</f>
        <v>Meg</v>
      </c>
      <c r="G22" s="52">
        <f>Calculation!AI241</f>
        <v>163</v>
      </c>
      <c r="H22" s="52">
        <f>G22*1000-16</f>
        <v>162984</v>
      </c>
    </row>
    <row r="23" ht="24.0" customHeight="1">
      <c r="A23" s="1"/>
      <c r="B23" s="59">
        <v>18.0</v>
      </c>
      <c r="C23" s="60" t="str">
        <f t="array" ref="C23">IFERROR(INDEX(F6:F35,MATCH(LARGE(H6:H35,18),H6:H35,0)),"")</f>
        <v>Nadia</v>
      </c>
      <c r="D23" s="61">
        <f t="array" ref="D23">IFERROR(INDEX(G6:G35,MATCH(LARGE(H6:H35,18),H6:H35,0)),"")</f>
        <v>162</v>
      </c>
      <c r="E23" s="1"/>
      <c r="F23" s="52" t="str">
        <f>'Raw data'!AK6</f>
        <v>Irene</v>
      </c>
      <c r="G23" s="52">
        <f>Calculation!AK241</f>
        <v>188</v>
      </c>
      <c r="H23" s="52">
        <f>G23*1000-17</f>
        <v>187983</v>
      </c>
    </row>
    <row r="24" ht="24.0" customHeight="1">
      <c r="A24" s="1"/>
      <c r="B24" s="59">
        <v>19.0</v>
      </c>
      <c r="C24" s="60" t="str">
        <f t="array" ref="C24">IFERROR(INDEX(F6:F35,MATCH(LARGE(H6:H35,19),H6:H35,0)),"")</f>
        <v>Manu</v>
      </c>
      <c r="D24" s="61">
        <f t="array" ref="D24">IFERROR(INDEX(G6:G35,MATCH(LARGE(H6:H35,19),H6:H35,0)),"")</f>
        <v>159</v>
      </c>
      <c r="E24" s="1"/>
      <c r="F24" s="52" t="str">
        <f>'Raw data'!AM6</f>
        <v>Andy</v>
      </c>
      <c r="G24" s="52">
        <f>Calculation!AM241</f>
        <v>177</v>
      </c>
      <c r="H24" s="52">
        <f>G24*1000-18</f>
        <v>176982</v>
      </c>
    </row>
    <row r="25" ht="24.0" customHeight="1">
      <c r="A25" s="1"/>
      <c r="B25" s="59">
        <v>20.0</v>
      </c>
      <c r="C25" s="60" t="str">
        <f t="array" ref="C25">IFERROR(INDEX(F6:F35,MATCH(LARGE(H6:H35,20),H6:H35,0)),"")</f>
        <v>Ben</v>
      </c>
      <c r="D25" s="61">
        <f t="array" ref="D25">IFERROR(INDEX(G6:G35,MATCH(LARGE(H6:H35,20),H6:H35,0)),"")</f>
        <v>158</v>
      </c>
      <c r="E25" s="1"/>
      <c r="F25" s="52" t="str">
        <f>'Raw data'!AO6</f>
        <v>Adri</v>
      </c>
      <c r="G25" s="52">
        <f>Calculation!AO241</f>
        <v>183</v>
      </c>
      <c r="H25" s="52">
        <f>G25*1000-19</f>
        <v>182981</v>
      </c>
    </row>
    <row r="26" ht="24.0" customHeight="1">
      <c r="A26" s="1"/>
      <c r="B26" s="59">
        <v>21.0</v>
      </c>
      <c r="C26" s="60" t="str">
        <f t="array" ref="C26">IFERROR(INDEX(F6:F35,MATCH(LARGE(H6:H35,21),H6:H35,0)),"")</f>
        <v>Juanorro</v>
      </c>
      <c r="D26" s="61">
        <f t="array" ref="D26">IFERROR(INDEX(G6:G35,MATCH(LARGE(H6:H35,21),H6:H35,0)),"")</f>
        <v>157</v>
      </c>
      <c r="E26" s="1"/>
      <c r="F26" s="52" t="str">
        <f>'Raw data'!AQ6</f>
        <v>Ben</v>
      </c>
      <c r="G26" s="52">
        <f>Calculation!AQ241</f>
        <v>158</v>
      </c>
      <c r="H26" s="52">
        <f>G26*1000-20</f>
        <v>157980</v>
      </c>
    </row>
    <row r="27" ht="24.0" customHeight="1">
      <c r="A27" s="1"/>
      <c r="B27" s="59">
        <v>22.0</v>
      </c>
      <c r="C27" s="60" t="str">
        <f t="array" ref="C27">IFERROR(INDEX(F6:F35,MATCH(LARGE(H6:H35,22),H6:H35,0)),"")</f>
        <v>Gon </v>
      </c>
      <c r="D27" s="61">
        <f t="array" ref="D27">IFERROR(INDEX(G6:G35,MATCH(LARGE(H6:H35,22),H6:H35,0)),"")</f>
        <v>157</v>
      </c>
      <c r="E27" s="1"/>
      <c r="F27" s="52" t="str">
        <f>'Raw data'!AS6</f>
        <v>Gon </v>
      </c>
      <c r="G27" s="52">
        <f>Calculation!AS241</f>
        <v>157</v>
      </c>
      <c r="H27" s="52">
        <f>G27*1000-21</f>
        <v>156979</v>
      </c>
    </row>
    <row r="28" ht="24.0" customHeight="1">
      <c r="A28" s="1"/>
      <c r="B28" s="59">
        <v>23.0</v>
      </c>
      <c r="C28" s="60" t="str">
        <f t="array" ref="C28">IFERROR(INDEX(F6:F35,MATCH(LARGE(H6:H35,23),H6:H35,0)),"")</f>
        <v>Lucía</v>
      </c>
      <c r="D28" s="61">
        <f t="array" ref="D28">IFERROR(INDEX(G6:G35,MATCH(LARGE(H6:H35,23),H6:H35,0)),"")</f>
        <v>156</v>
      </c>
      <c r="E28" s="1"/>
      <c r="F28" s="52" t="str">
        <f>'Raw data'!AU6</f>
        <v>Mile</v>
      </c>
      <c r="G28" s="52">
        <f>Calculation!AU241</f>
        <v>181</v>
      </c>
      <c r="H28" s="52">
        <f>G28*1000-22</f>
        <v>180978</v>
      </c>
    </row>
    <row r="29" ht="24.0" customHeight="1">
      <c r="A29" s="1"/>
      <c r="B29" s="59">
        <v>24.0</v>
      </c>
      <c r="C29" s="60" t="str">
        <f t="array" ref="C29">IFERROR(INDEX(F6:F35,MATCH(LARGE(H6:H35,24),H6:H35,0)),"")</f>
        <v>Pano</v>
      </c>
      <c r="D29" s="61">
        <f t="array" ref="D29">IFERROR(INDEX(G6:G35,MATCH(LARGE(H6:H35,24),H6:H35,0)),"")</f>
        <v>155</v>
      </c>
      <c r="E29" s="1"/>
      <c r="F29" s="52" t="str">
        <f>'Raw data'!AW6</f>
        <v>Cami</v>
      </c>
      <c r="G29" s="52">
        <f>Calculation!AW241</f>
        <v>139</v>
      </c>
      <c r="H29" s="52">
        <f>G29*1000-23</f>
        <v>138977</v>
      </c>
    </row>
    <row r="30" ht="24.0" customHeight="1">
      <c r="A30" s="1"/>
      <c r="B30" s="59">
        <v>25.0</v>
      </c>
      <c r="C30" s="60" t="str">
        <f t="array" ref="C30">IFERROR(INDEX(F6:F35,MATCH(LARGE(H6:H35,25),H6:H35,0)),"")</f>
        <v>Almu</v>
      </c>
      <c r="D30" s="61">
        <f t="array" ref="D30">IFERROR(INDEX(G6:G35,MATCH(LARGE(H6:H35,25),H6:H35,0)),"")</f>
        <v>154</v>
      </c>
      <c r="E30" s="1"/>
      <c r="F30" s="52" t="str">
        <f>'Raw data'!AY6</f>
        <v>Hugo</v>
      </c>
      <c r="G30" s="52">
        <f>Calculation!AY241</f>
        <v>171</v>
      </c>
      <c r="H30" s="52">
        <f>G30*1000-24</f>
        <v>170976</v>
      </c>
    </row>
    <row r="31" ht="24.0" customHeight="1">
      <c r="A31" s="1"/>
      <c r="B31" s="59">
        <v>26.0</v>
      </c>
      <c r="C31" s="60" t="str">
        <f t="array" ref="C31">IFERROR(INDEX(F6:F35,MATCH(LARGE(H6:H35,26),H6:H35,0)),"")</f>
        <v>Jaime</v>
      </c>
      <c r="D31" s="61">
        <f t="array" ref="D31">IFERROR(INDEX(G6:G35,MATCH(LARGE(H6:H35,26),H6:H35,0)),"")</f>
        <v>149</v>
      </c>
      <c r="E31" s="1"/>
      <c r="F31" s="52" t="str">
        <f>'Raw data'!BA6</f>
        <v>Jaime</v>
      </c>
      <c r="G31" s="52">
        <f>Calculation!BA241</f>
        <v>149</v>
      </c>
      <c r="H31" s="52">
        <f>G31*1000-25</f>
        <v>148975</v>
      </c>
    </row>
    <row r="32" ht="24.0" customHeight="1">
      <c r="A32" s="1"/>
      <c r="B32" s="59">
        <v>27.0</v>
      </c>
      <c r="C32" s="60" t="str">
        <f t="array" ref="C32">IFERROR(INDEX(F6:F35,MATCH(LARGE(H6:H35,27),H6:H35,0)),"")</f>
        <v>July</v>
      </c>
      <c r="D32" s="61">
        <f t="array" ref="D32">IFERROR(INDEX(G6:G35,MATCH(LARGE(H6:H35,27),H6:H35,0)),"")</f>
        <v>147</v>
      </c>
      <c r="E32" s="1"/>
      <c r="F32" s="52" t="str">
        <f>'Raw data'!BC6</f>
        <v>Emilio</v>
      </c>
      <c r="G32" s="52">
        <f>Calculation!BC241</f>
        <v>168</v>
      </c>
      <c r="H32" s="52">
        <f>G32*1000-26</f>
        <v>167974</v>
      </c>
    </row>
    <row r="33" ht="24.0" customHeight="1">
      <c r="A33" s="1"/>
      <c r="B33" s="59">
        <v>28.0</v>
      </c>
      <c r="C33" s="60" t="str">
        <f t="array" ref="C33">IFERROR(INDEX(F6:F35,MATCH(LARGE(H6:H35,28),H6:H35,0)),"")</f>
        <v>Cami</v>
      </c>
      <c r="D33" s="61">
        <f t="array" ref="D33">IFERROR(INDEX(G6:G35,MATCH(LARGE(H6:H35,28),H6:H35,0)),"")</f>
        <v>139</v>
      </c>
      <c r="E33" s="1"/>
      <c r="F33" s="52" t="str">
        <f>'Raw data'!BE6</f>
        <v>Manu</v>
      </c>
      <c r="G33" s="52">
        <f>Calculation!BE241</f>
        <v>159</v>
      </c>
      <c r="H33" s="52">
        <f>G33*1000-27</f>
        <v>158973</v>
      </c>
    </row>
    <row r="34" ht="24.0" customHeight="1">
      <c r="A34" s="1"/>
      <c r="B34" s="59">
        <v>29.0</v>
      </c>
      <c r="C34" s="60" t="str">
        <f t="array" ref="C34">IFERROR(INDEX(F6:F35,MATCH(LARGE(H6:H35,29),H6:H35,0)),"")</f>
        <v/>
      </c>
      <c r="D34" s="61">
        <f t="array" ref="D34">IFERROR(INDEX(G6:G35,MATCH(LARGE(H6:H35,29),H6:H35,0)),"")</f>
        <v>0</v>
      </c>
      <c r="E34" s="1"/>
      <c r="F34" s="52" t="str">
        <f>'Raw data'!BG6</f>
        <v/>
      </c>
      <c r="G34" s="52">
        <f>Calculation!BG241</f>
        <v>0</v>
      </c>
      <c r="H34" s="52">
        <f>G34*1000-28</f>
        <v>-28</v>
      </c>
    </row>
    <row r="35" ht="24.0" customHeight="1">
      <c r="A35" s="1"/>
      <c r="B35" s="59">
        <v>30.0</v>
      </c>
      <c r="C35" s="60" t="str">
        <f t="array" ref="C35">IFERROR(INDEX(F6:F35,MATCH(LARGE(H6:H35,30),H6:H35,0)),"")</f>
        <v/>
      </c>
      <c r="D35" s="61">
        <f t="array" ref="D35">IFERROR(INDEX(G6:G35,MATCH(LARGE(H6:H35,30),H6:H35,0)),"")</f>
        <v>0</v>
      </c>
      <c r="E35" s="1"/>
      <c r="F35" s="52" t="str">
        <f>'Raw data'!BI6</f>
        <v/>
      </c>
      <c r="G35" s="52">
        <f>Calculation!BI241</f>
        <v>0</v>
      </c>
      <c r="H35" s="52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