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<sst xmlns="http://schemas.openxmlformats.org/spreadsheetml/2006/main" count="3228" uniqueCount="534">
  <si>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</si>
  <si>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</si>
  <si>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</si>
  <si>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</si>
  <si>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</si>
  <si>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</si>
  <si>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</si>
  <si>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</si>
  <si>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</si>
  <si>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</si>
  <si>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</si>
  <si>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</si>
  <si>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</si>
  <si>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</si>
  <si>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</si>
  <si>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</si>
  <si>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</si>
  <si>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</si>
  <si>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</si>
  <si>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</si>
  <si>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</si>
  <si>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</si>
  <si>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</si>
  <si>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</si>
  <si>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</si>
  <si>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</si>
  <si>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</si>
  <si>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</si>
  <si>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</si>
  <si>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</si>
  <si>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</si>
  <si>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</si>
  <si>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</si>
  <si>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</si>
  <si>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</si>
  <si>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</si>
  <si>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</si>
  <si>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</si>
  <si>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</si>
  <si>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</si>
  <si>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</si>
  <si>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</si>
  <si>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</si>
  <si>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</si>
  <si>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</si>
  <si>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</si>
  <si>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</si>
  <si>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</si>
  <si>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</si>
  <si>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</si>
  <si>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</si>
  <si>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</si>
  <si>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</si>
  <si>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</si>
  <si>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</si>
  <si>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</si>
  <si>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</si>
  <si>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</si>
  <si>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</si>
  <si>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</si>
  <si>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</si>
  <si>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</si>
  <si>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</si>
  <si>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</si>
  <si>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</si>
  <si>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</si>
  <si>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</si>
  <si>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</si>
  <si>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</si>
  <si>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</si>
  <si>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</si>
  <si>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</si>
  <si>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</si>
  <si>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</si>
  <si>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</si>
  <si>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</si>
  <si>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</si>
  <si>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</si>
  <si>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</si>
  <si>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</si>
  <si>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</si>
  <si>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</si>
  <si>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</si>
  <si>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</si>
  <si>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</si>
  <si>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</si>
  <si>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</si>
  <si>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</si>
  <si>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</si>
  <si>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</si>
  <si>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</si>
  <si>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</si>
  <si>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</si>
  <si>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</si>
  <si>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</si>
  <si>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</si>
  <si>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</si>
  <si>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</si>
  <si>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</si>
  <si>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</si>
  <si>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</si>
  <si>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</si>
  <si>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</si>
  <si>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</si>
  <si>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</si>
  <si>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</si>
  <si>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</si>
  <si>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</si>
  <si>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</si>
  <si>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</si>
  <si>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</si>
  <si>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</si>
  <si>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</si>
  <si>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</si>
  <si>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</si>
  <si>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</si>
  <si>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</si>
  <si>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</si>
  <si>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</si>
  <si>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</si>
  <si>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</si>
  <si>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</si>
  <si>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</si>
  <si>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</si>
  <si>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</si>
  <si>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</si>
  <si>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</si>
  <si>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</si>
  <si>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</si>
  <si>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</si>
  <si>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</si>
  <si>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</si>
  <si>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</si>
  <si>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</si>
  <si>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</si>
  <si>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</si>
  <si>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</si>
  <si>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</si>
  <si>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</si>
  <si>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</si>
  <si>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</si>
  <si>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</si>
  <si>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</si>
  <si>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</si>
  <si>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</si>
  <si>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</si>
  <si>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</si>
  <si>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</si>
  <si>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</si>
  <si>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</si>
  <si>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</si>
  <si>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</si>
  <si>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</si>
  <si>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</si>
  <si>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</si>
  <si>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</si>
  <si>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</si>
  <si>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</si>
  <si>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</si>
  <si>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</si>
  <si>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</si>
  <si>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</si>
  <si>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</si>
  <si>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</si>
  <si>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</si>
  <si>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</si>
  <si>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</si>
  <si>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</si>
  <si>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</si>
  <si>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</si>
  <si>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</si>
  <si>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</si>
  <si>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</si>
  <si>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</si>
  <si>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</si>
  <si>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</si>
  <si>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</si>
  <si>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</si>
  <si>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</si>
  <si>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</si>
  <si>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</si>
  <si>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</si>
  <si>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</si>
  <si>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</si>
  <si>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</si>
  <si>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</si>
  <si>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</si>
  <si>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</si>
  <si>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</si>
  <si>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</si>
  <si>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</si>
  <si>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</si>
  <si>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</si>
  <si>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</si>
  <si>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</si>
  <si>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</si>
  <si>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</si>
  <si>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</si>
  <si>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</si>
  <si>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</si>
  <si>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</si>
  <si>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</si>
  <si>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</si>
  <si>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</si>
  <si>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</si>
  <si>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</si>
  <si>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</si>
  <si>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</si>
  <si>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</si>
  <si>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</si>
  <si>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</si>
  <si>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</si>
  <si>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</si>
  <si>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</si>
  <si>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</si>
  <si>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</si>
  <si>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</si>
  <si>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</si>
  <si>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</si>
  <si>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</si>
  <si>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</si>
  <si>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</si>
  <si>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</si>
  <si>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</si>
  <si>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</si>
  <si>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</si>
  <si>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</si>
  <si>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</si>
  <si>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</si>
  <si>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</si>
  <si>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</si>
  <si>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</si>
  <si>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</si>
  <si>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</si>
  <si>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</si>
  <si>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</si>
  <si>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</si>
  <si>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</si>
  <si>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</si>
  <si>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</si>
  <si>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</si>
  <si>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</si>
  <si>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</si>
  <si>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</si>
  <si>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</si>
  <si>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</si>
  <si>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</si>
  <si>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</si>
  <si>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</si>
  <si>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</si>
  <si>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</si>
  <si>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</si>
  <si>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</si>
  <si>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</si>
  <si>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</si>
  <si>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</si>
  <si>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</si>
  <si>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</si>
  <si>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</si>
  <si>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</si>
  <si>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</si>
  <si>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</si>
  <si>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</si>
  <si>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</si>
  <si>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</si>
  <si>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</si>
  <si>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</si>
  <si>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</si>
  <si>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</si>
  <si>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</si>
  <si>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</si>
  <si>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</si>
  <si>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</si>
  <si>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</si>
  <si>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</si>
  <si>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</si>
  <si>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</si>
  <si>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</si>
  <si>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</si>
  <si>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</si>
  <si>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</si>
  <si>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</si>
  <si>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</si>
  <si>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</si>
  <si>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</si>
  <si>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</si>
  <si>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</si>
  <si>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</si>
  <si>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</si>
  <si>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</si>
  <si>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</si>
  <si>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</si>
  <si>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</si>
  <si>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</si>
  <si>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</si>
  <si>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</si>
  <si>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</si>
  <si>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</si>
  <si>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</si>
  <si>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</si>
  <si>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</si>
  <si>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</si>
  <si>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</si>
  <si>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</si>
  <si>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</si>
  <si>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</si>
  <si>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</si>
  <si>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</si>
  <si>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</si>
  <si>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</si>
  <si>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</si>
  <si>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</si>
  <si>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</si>
  <si>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</si>
  <si>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</si>
  <si>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</si>
  <si>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</si>
  <si>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</si>
  <si>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</si>
  <si>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</si>
  <si>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</si>
  <si>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</si>
  <si>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</si>
  <si>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</si>
  <si>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</si>
  <si>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</si>
  <si>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</si>
  <si>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</si>
  <si>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</si>
  <si>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</si>
  <si>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</si>
  <si>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</si>
  <si>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</si>
  <si>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</si>
  <si>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</si>
  <si>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</si>
  <si>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</si>
  <si>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</si>
  <si>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</si>
  <si>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</si>
  <si>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</si>
  <si>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</si>
  <si>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</si>
  <si>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</si>
  <si>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</si>
  <si>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</si>
  <si>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</si>
  <si>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</si>
  <si>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</si>
  <si>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</si>
  <si>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</si>
  <si>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</si>
  <si>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</si>
  <si>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</si>
  <si>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</si>
  <si>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</si>
  <si>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</si>
  <si>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</si>
  <si>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</si>
  <si>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</si>
  <si>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</si>
  <si>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</si>
  <si>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</si>
  <si>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</si>
  <si>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</si>
  <si>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</si>
  <si>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Yamal</t>
  </si>
  <si>
    <t>Dembelé</t>
  </si>
  <si>
    <t>Lamine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</si>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</sst>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4">
        <v>1.0</v>
      </c>
      <c r="D216" s="14">
        <v>2.0</v>
      </c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5" t="s">
        <v>155</v>
      </c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3.0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1.0</v>
      </c>
      <c r="AF135" s="27">
        <v>1.0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2.0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 t="s">
        <v>359</v>
      </c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163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3.0</v>
      </c>
      <c r="AF141" s="27">
        <v>0.0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143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119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1.0</v>
      </c>
      <c r="AF147" s="27">
        <v>2.0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153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3.0</v>
      </c>
      <c r="AF150" s="27">
        <v>2.0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/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113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1.0</v>
      </c>
      <c r="AF153" s="27">
        <v>2.0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151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3.0</v>
      </c>
      <c r="AF156" s="27">
        <v>2.0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101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3.0</v>
      </c>
      <c r="AF159" s="27">
        <v>1.0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167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1.0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 t="s">
        <v>359</v>
      </c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121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2.0</v>
      </c>
      <c r="AF168" s="27">
        <v>1.0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107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1.0</v>
      </c>
      <c r="AF171" s="27">
        <v>0.0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2.0</v>
      </c>
      <c r="AF175" s="27">
        <v>3.0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1.0</v>
      </c>
      <c r="AF178" s="27">
        <v>2.0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/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27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1.0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 t="s">
        <v>359</v>
      </c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119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27">
        <v>3.0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113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0.0</v>
      </c>
      <c r="AF196" s="27">
        <v>1.0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3.0</v>
      </c>
      <c r="AF200" s="27">
        <v>2.0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2.0</v>
      </c>
      <c r="AF203" s="27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2.0</v>
      </c>
      <c r="AF206" s="27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113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2.0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 t="s">
        <v>359</v>
      </c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2.0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1.0</v>
      </c>
      <c r="BF213" s="30">
        <v>2.0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 t="s">
        <v>25</v>
      </c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1.0</v>
      </c>
      <c r="AF216" s="27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3.0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/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155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155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2.0</v>
      </c>
      <c r="AF220" s="27">
        <v>1.0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30">
        <v>1.0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149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31" t="s">
        <v>149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2.0</v>
      </c>
      <c r="AF223" s="27">
        <v>1.0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30">
        <v>3.0</v>
      </c>
      <c r="BF223" s="30">
        <v>0.0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155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31" t="s">
        <v>155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29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368</v>
      </c>
      <c r="AP229" s="16"/>
      <c r="AQ229" s="28" t="s">
        <v>369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368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371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372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373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374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375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376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377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378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379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380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381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382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383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384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385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386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387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388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389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390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391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392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393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394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395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396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397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398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399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400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401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402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403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404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405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406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407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408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409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410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411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412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413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414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415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416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417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418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419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420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421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422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423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424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425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5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426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427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428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429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430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431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5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432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433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434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435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436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1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437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5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438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439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1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440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441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442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1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443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444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445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446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3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447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448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1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449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5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450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451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1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452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453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454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1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455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3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456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457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1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458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459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460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461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5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462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463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0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464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3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465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466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1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467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5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468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469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470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61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471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472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473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474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475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3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476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477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478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479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480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481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482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483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484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485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486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487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488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489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490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491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492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493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494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495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496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25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497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498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3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499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500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501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5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502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503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504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3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505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506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507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3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508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509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510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26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511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512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513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514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515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3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5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5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3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5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3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5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5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5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3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3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3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516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517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6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6</v>
      </c>
      <c r="L225" s="40"/>
      <c r="M225" s="42">
        <f>IFERROR(IF(AND('Real results'!C218&lt;&gt;"",'Raw data'!M218&lt;&gt;"",UPPER(TRIM('Real results'!C218))=UPPER(TRIM('Raw data'!M218))),6,0),0)</f>
        <v>6</v>
      </c>
      <c r="N225" s="40"/>
      <c r="O225" s="42">
        <f>IFERROR(IF(AND('Real results'!C218&lt;&gt;"",'Raw data'!O218&lt;&gt;"",UPPER(TRIM('Real results'!C218))=UPPER(TRIM('Raw data'!O218))),6,0),0)</f>
        <v>6</v>
      </c>
      <c r="P225" s="40"/>
      <c r="Q225" s="42">
        <f>IFERROR(IF(AND('Real results'!C218&lt;&gt;"",'Raw data'!Q218&lt;&gt;"",UPPER(TRIM('Real results'!C218))=UPPER(TRIM('Raw data'!Q218))),6,0),0)</f>
        <v>6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6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6</v>
      </c>
      <c r="AB225" s="40"/>
      <c r="AC225" s="42">
        <f>IFERROR(IF(AND('Real results'!C218&lt;&gt;"",'Raw data'!AC218&lt;&gt;"",UPPER(TRIM('Real results'!C218))=UPPER(TRIM('Raw data'!AC218))),6,0),0)</f>
        <v>6</v>
      </c>
      <c r="AD225" s="40"/>
      <c r="AE225" s="42">
        <f>IFERROR(IF(AND('Real results'!C218&lt;&gt;"",'Raw data'!AE218&lt;&gt;"",UPPER(TRIM('Real results'!C218))=UPPER(TRIM('Raw data'!AE218))),6,0),0)</f>
        <v>6</v>
      </c>
      <c r="AF225" s="40"/>
      <c r="AG225" s="42">
        <f>IFERROR(IF(AND('Real results'!C218&lt;&gt;"",'Raw data'!AG218&lt;&gt;"",UPPER(TRIM('Real results'!C218))=UPPER(TRIM('Raw data'!AG218))),6,0),0)</f>
        <v>6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6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6</v>
      </c>
      <c r="AP225" s="40"/>
      <c r="AQ225" s="42">
        <f>IFERROR(IF(AND('Real results'!C218&lt;&gt;"",'Raw data'!AQ218&lt;&gt;"",UPPER(TRIM('Real results'!C218))=UPPER(TRIM('Raw data'!AQ218))),6,0),0)</f>
        <v>6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6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6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518</v>
      </c>
      <c r="C226" s="44">
        <f>SUM(C220:C225)</f>
        <v>0</v>
      </c>
      <c r="D226" s="40"/>
      <c r="E226" s="44">
        <f>SUM(E220:E225)</f>
        <v>15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11</v>
      </c>
      <c r="L226" s="40"/>
      <c r="M226" s="44">
        <f>SUM(M220:M225)</f>
        <v>11</v>
      </c>
      <c r="N226" s="40"/>
      <c r="O226" s="44">
        <f>SUM(O220:O225)</f>
        <v>9</v>
      </c>
      <c r="P226" s="40"/>
      <c r="Q226" s="44">
        <f>SUM(Q220:Q225)</f>
        <v>11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18</v>
      </c>
      <c r="X226" s="40"/>
      <c r="Y226" s="44">
        <f>SUM(Y220:Y225)</f>
        <v>6</v>
      </c>
      <c r="Z226" s="40"/>
      <c r="AA226" s="44">
        <f>SUM(AA220:AA225)</f>
        <v>6</v>
      </c>
      <c r="AB226" s="40"/>
      <c r="AC226" s="44">
        <f>SUM(AC220:AC225)</f>
        <v>20</v>
      </c>
      <c r="AD226" s="40"/>
      <c r="AE226" s="44">
        <f>SUM(AE220:AE225)</f>
        <v>17</v>
      </c>
      <c r="AF226" s="40"/>
      <c r="AG226" s="44">
        <f>SUM(AG220:AG225)</f>
        <v>12</v>
      </c>
      <c r="AH226" s="40"/>
      <c r="AI226" s="44">
        <f>SUM(AI220:AI225)</f>
        <v>0</v>
      </c>
      <c r="AJ226" s="40"/>
      <c r="AK226" s="44">
        <f>SUM(AK220:AK225)</f>
        <v>6</v>
      </c>
      <c r="AL226" s="40"/>
      <c r="AM226" s="44">
        <f>SUM(AM220:AM225)</f>
        <v>0</v>
      </c>
      <c r="AN226" s="40"/>
      <c r="AO226" s="44">
        <f>SUM(AO220:AO225)</f>
        <v>17</v>
      </c>
      <c r="AP226" s="40"/>
      <c r="AQ226" s="44">
        <f>SUM(AQ220:AQ225)</f>
        <v>9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9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18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519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520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521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522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523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524</v>
      </c>
      <c r="C241" s="47">
        <f>SUMIF($B$7:$B$240,"Subtotal*",C$7:C$240)</f>
        <v>256</v>
      </c>
      <c r="D241" s="40"/>
      <c r="E241" s="47">
        <f>SUMIF($B$7:$B$240,"Subtotal*",E$7:E$240)</f>
        <v>258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248</v>
      </c>
      <c r="L241" s="40"/>
      <c r="M241" s="47">
        <f>SUMIF($B$7:$B$240,"Subtotal*",M$7:M$240)</f>
        <v>269</v>
      </c>
      <c r="N241" s="40"/>
      <c r="O241" s="47">
        <f>SUMIF($B$7:$B$240,"Subtotal*",O$7:O$240)</f>
        <v>250</v>
      </c>
      <c r="P241" s="40"/>
      <c r="Q241" s="47">
        <f>SUMIF($B$7:$B$240,"Subtotal*",Q$7:Q$240)</f>
        <v>252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240</v>
      </c>
      <c r="X241" s="40"/>
      <c r="Y241" s="47">
        <f>SUMIF($B$7:$B$240,"Subtotal*",Y$7:Y$240)</f>
        <v>238</v>
      </c>
      <c r="Z241" s="40"/>
      <c r="AA241" s="47">
        <f>SUMIF($B$7:$B$240,"Subtotal*",AA$7:AA$240)</f>
        <v>250</v>
      </c>
      <c r="AB241" s="40"/>
      <c r="AC241" s="47">
        <f>SUMIF($B$7:$B$240,"Subtotal*",AC$7:AC$240)</f>
        <v>245</v>
      </c>
      <c r="AD241" s="40"/>
      <c r="AE241" s="47">
        <f>SUMIF($B$7:$B$240,"Subtotal*",AE$7:AE$240)</f>
        <v>295</v>
      </c>
      <c r="AF241" s="40"/>
      <c r="AG241" s="47">
        <f>SUMIF($B$7:$B$240,"Subtotal*",AG$7:AG$240)</f>
        <v>271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277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277</v>
      </c>
      <c r="AP241" s="40"/>
      <c r="AQ241" s="47">
        <f>SUMIF($B$7:$B$240,"Subtotal*",AQ$7:AQ$240)</f>
        <v>241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257</v>
      </c>
      <c r="AV241" s="40"/>
      <c r="AW241" s="47">
        <f>SUMIF($B$7:$B$240,"Subtotal*",AW$7:AW$240)</f>
        <v>234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241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259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9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9" t="s">
        <v>531</v>
      </c>
      <c r="G5" s="49" t="s">
        <v>532</v>
      </c>
      <c r="H5" s="49" t="s">
        <v>533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Toño</v>
      </c>
      <c r="D6" s="52">
        <f t="array" ref="D6">IFERROR(INDEX(G6:G35,MATCH(LARGE(H6:H35,1),H6:H35,0)),"")</f>
        <v>295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Irene</v>
      </c>
      <c r="D7" s="56">
        <f t="array" ref="D7">IFERROR(INDEX(G6:G35,MATCH(LARGE(H6:H35,2),H6:H35,0)),"")</f>
        <v>277</v>
      </c>
      <c r="E7" s="1"/>
      <c r="F7" s="53" t="str">
        <f>'Raw data'!E6</f>
        <v>Fer</v>
      </c>
      <c r="G7" s="53">
        <f>Calculation!E241</f>
        <v>258</v>
      </c>
      <c r="H7" s="53">
        <f>G7*1000-1</f>
        <v>257999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277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Juanin</v>
      </c>
      <c r="D9" s="62">
        <f t="array" ref="D9">IFERROR(INDEX(G6:G35,MATCH(LARGE(H6:H35,4),H6:H35,0)),"")</f>
        <v>271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269</v>
      </c>
      <c r="E10" s="1"/>
      <c r="F10" s="53" t="str">
        <f>'Raw data'!K6</f>
        <v>Nadia</v>
      </c>
      <c r="G10" s="53">
        <f>Calculation!K241</f>
        <v>248</v>
      </c>
      <c r="H10" s="53">
        <f>G10*1000-4</f>
        <v>247996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265</v>
      </c>
      <c r="E11" s="1"/>
      <c r="F11" s="53" t="str">
        <f>'Raw data'!M6</f>
        <v>JE</v>
      </c>
      <c r="G11" s="53">
        <f>Calculation!M241</f>
        <v>269</v>
      </c>
      <c r="H11" s="53">
        <f>G11*1000-5</f>
        <v>268995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Tere y Edu</v>
      </c>
      <c r="D12" s="62">
        <f t="array" ref="D12">IFERROR(INDEX(G6:G35,MATCH(LARGE(H6:H35,7),H6:H35,0)),"")</f>
        <v>259</v>
      </c>
      <c r="E12" s="1"/>
      <c r="F12" s="53" t="str">
        <f>'Raw data'!O6</f>
        <v>Lucía</v>
      </c>
      <c r="G12" s="53">
        <f>Calculation!O241</f>
        <v>250</v>
      </c>
      <c r="H12" s="53">
        <f>G12*1000-6</f>
        <v>249994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Andy</v>
      </c>
      <c r="D13" s="62">
        <f t="array" ref="D13">IFERROR(INDEX(G6:G35,MATCH(LARGE(H6:H35,8),H6:H35,0)),"")</f>
        <v>259</v>
      </c>
      <c r="E13" s="1"/>
      <c r="F13" s="53" t="str">
        <f>'Raw data'!Q6</f>
        <v>Kike</v>
      </c>
      <c r="G13" s="53">
        <f>Calculation!Q241</f>
        <v>252</v>
      </c>
      <c r="H13" s="53">
        <f>G13*1000-7</f>
        <v>251993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Manu</v>
      </c>
      <c r="D14" s="62">
        <f t="array" ref="D14">IFERROR(INDEX(G6:G35,MATCH(LARGE(H6:H35,9),H6:H35,0)),"")</f>
        <v>259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Fer</v>
      </c>
      <c r="D15" s="62">
        <f t="array" ref="D15">IFERROR(INDEX(G6:G35,MATCH(LARGE(H6:H35,10),H6:H35,0)),"")</f>
        <v>258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Mile</v>
      </c>
      <c r="D16" s="62">
        <f t="array" ref="D16">IFERROR(INDEX(G6:G35,MATCH(LARGE(H6:H35,11),H6:H35,0)),"")</f>
        <v>257</v>
      </c>
      <c r="E16" s="1"/>
      <c r="F16" s="53" t="str">
        <f>'Raw data'!W6</f>
        <v>Almu</v>
      </c>
      <c r="G16" s="53">
        <f>Calculation!W241</f>
        <v>240</v>
      </c>
      <c r="H16" s="53">
        <f>G16*1000-10</f>
        <v>239990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Matt</v>
      </c>
      <c r="D17" s="62">
        <f t="array" ref="D17">IFERROR(INDEX(G6:G35,MATCH(LARGE(H6:H35,12),H6:H35,0)),"")</f>
        <v>256</v>
      </c>
      <c r="E17" s="1"/>
      <c r="F17" s="53" t="str">
        <f>'Raw data'!Y6</f>
        <v>Juanorro</v>
      </c>
      <c r="G17" s="53">
        <f>Calculation!Y241</f>
        <v>238</v>
      </c>
      <c r="H17" s="53">
        <f>G17*1000-11</f>
        <v>237989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Kike</v>
      </c>
      <c r="D18" s="62">
        <f t="array" ref="D18">IFERROR(INDEX(G6:G35,MATCH(LARGE(H6:H35,13),H6:H35,0)),"")</f>
        <v>252</v>
      </c>
      <c r="E18" s="1"/>
      <c r="F18" s="53" t="str">
        <f>'Raw data'!AA6</f>
        <v>Cillian</v>
      </c>
      <c r="G18" s="53">
        <f>Calculation!AA241</f>
        <v>250</v>
      </c>
      <c r="H18" s="53">
        <f>G18*1000-12</f>
        <v>249988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Lucía</v>
      </c>
      <c r="D19" s="62">
        <f t="array" ref="D19">IFERROR(INDEX(G6:G35,MATCH(LARGE(H6:H35,14),H6:H35,0)),"")</f>
        <v>250</v>
      </c>
      <c r="E19" s="1"/>
      <c r="F19" s="53" t="str">
        <f>'Raw data'!AC6</f>
        <v>July</v>
      </c>
      <c r="G19" s="53">
        <f>Calculation!AC241</f>
        <v>245</v>
      </c>
      <c r="H19" s="53">
        <f>G19*1000-13</f>
        <v>244987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Cillian</v>
      </c>
      <c r="D20" s="62">
        <f t="array" ref="D20">IFERROR(INDEX(G6:G35,MATCH(LARGE(H6:H35,15),H6:H35,0)),"")</f>
        <v>250</v>
      </c>
      <c r="E20" s="1"/>
      <c r="F20" s="53" t="str">
        <f>'Raw data'!AE6</f>
        <v>Toño</v>
      </c>
      <c r="G20" s="53">
        <f>Calculation!AE241</f>
        <v>295</v>
      </c>
      <c r="H20" s="53">
        <f>G20*1000-14</f>
        <v>294986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Meg</v>
      </c>
      <c r="D21" s="62">
        <f t="array" ref="D21">IFERROR(INDEX(G6:G35,MATCH(LARGE(H6:H35,16),H6:H35,0)),"")</f>
        <v>249</v>
      </c>
      <c r="E21" s="1"/>
      <c r="F21" s="53" t="str">
        <f>'Raw data'!AG6</f>
        <v>Juanin</v>
      </c>
      <c r="G21" s="53">
        <f>Calculation!AG241</f>
        <v>271</v>
      </c>
      <c r="H21" s="53">
        <f>G21*1000-15</f>
        <v>270985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Nadia</v>
      </c>
      <c r="D22" s="62">
        <f t="array" ref="D22">IFERROR(INDEX(G6:G35,MATCH(LARGE(H6:H35,17),H6:H35,0)),"")</f>
        <v>248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Pablo</v>
      </c>
      <c r="D23" s="62">
        <f t="array" ref="D23">IFERROR(INDEX(G6:G35,MATCH(LARGE(H6:H35,18),H6:H35,0)),"")</f>
        <v>248</v>
      </c>
      <c r="E23" s="1"/>
      <c r="F23" s="53" t="str">
        <f>'Raw data'!AK6</f>
        <v>Irene</v>
      </c>
      <c r="G23" s="53">
        <f>Calculation!AK241</f>
        <v>277</v>
      </c>
      <c r="H23" s="53">
        <f>G23*1000-17</f>
        <v>276983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Paibol</v>
      </c>
      <c r="D24" s="62">
        <f t="array" ref="D24">IFERROR(INDEX(G6:G35,MATCH(LARGE(H6:H35,19),H6:H35,0)),"")</f>
        <v>245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July</v>
      </c>
      <c r="D25" s="62">
        <f t="array" ref="D25">IFERROR(INDEX(G6:G35,MATCH(LARGE(H6:H35,20),H6:H35,0)),"")</f>
        <v>245</v>
      </c>
      <c r="E25" s="1"/>
      <c r="F25" s="53" t="str">
        <f>'Raw data'!AO6</f>
        <v>Adri</v>
      </c>
      <c r="G25" s="53">
        <f>Calculation!AO241</f>
        <v>277</v>
      </c>
      <c r="H25" s="53">
        <f>G25*1000-19</f>
        <v>276981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Pano</v>
      </c>
      <c r="D26" s="62">
        <f t="array" ref="D26">IFERROR(INDEX(G6:G35,MATCH(LARGE(H6:H35,21),H6:H35,0)),"")</f>
        <v>244</v>
      </c>
      <c r="E26" s="1"/>
      <c r="F26" s="53" t="str">
        <f>'Raw data'!AQ6</f>
        <v>Ben</v>
      </c>
      <c r="G26" s="53">
        <f>Calculation!AQ241</f>
        <v>241</v>
      </c>
      <c r="H26" s="53">
        <f>G26*1000-20</f>
        <v>240980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Ben</v>
      </c>
      <c r="D27" s="62">
        <f t="array" ref="D27">IFERROR(INDEX(G6:G35,MATCH(LARGE(H6:H35,22),H6:H35,0)),"")</f>
        <v>241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Hugo</v>
      </c>
      <c r="D28" s="62">
        <f t="array" ref="D28">IFERROR(INDEX(G6:G35,MATCH(LARGE(H6:H35,23),H6:H35,0)),"")</f>
        <v>241</v>
      </c>
      <c r="E28" s="1"/>
      <c r="F28" s="53" t="str">
        <f>'Raw data'!AU6</f>
        <v>Mile</v>
      </c>
      <c r="G28" s="53">
        <f>Calculation!AU241</f>
        <v>257</v>
      </c>
      <c r="H28" s="53">
        <f>G28*1000-22</f>
        <v>256978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Jaime</v>
      </c>
      <c r="D29" s="62">
        <f t="array" ref="D29">IFERROR(INDEX(G6:G35,MATCH(LARGE(H6:H35,24),H6:H35,0)),"")</f>
        <v>241</v>
      </c>
      <c r="E29" s="1"/>
      <c r="F29" s="53" t="str">
        <f>'Raw data'!AW6</f>
        <v>Cami</v>
      </c>
      <c r="G29" s="53">
        <f>Calculation!AW241</f>
        <v>234</v>
      </c>
      <c r="H29" s="53">
        <f>G29*1000-23</f>
        <v>233977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Almu</v>
      </c>
      <c r="D30" s="62">
        <f t="array" ref="D30">IFERROR(INDEX(G6:G35,MATCH(LARGE(H6:H35,25),H6:H35,0)),"")</f>
        <v>240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Juanorro</v>
      </c>
      <c r="D31" s="62">
        <f t="array" ref="D31">IFERROR(INDEX(G6:G35,MATCH(LARGE(H6:H35,26),H6:H35,0)),"")</f>
        <v>238</v>
      </c>
      <c r="E31" s="1"/>
      <c r="F31" s="53" t="str">
        <f>'Raw data'!BA6</f>
        <v>Jaime</v>
      </c>
      <c r="G31" s="53">
        <f>Calculation!BA241</f>
        <v>241</v>
      </c>
      <c r="H31" s="53">
        <f>G31*1000-25</f>
        <v>240975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Gon </v>
      </c>
      <c r="D32" s="62">
        <f t="array" ref="D32">IFERROR(INDEX(G6:G35,MATCH(LARGE(H6:H35,27),H6:H35,0)),"")</f>
        <v>235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234</v>
      </c>
      <c r="E33" s="1"/>
      <c r="F33" s="53" t="str">
        <f>'Raw data'!BE6</f>
        <v>Manu</v>
      </c>
      <c r="G33" s="53">
        <f>Calculation!BE241</f>
        <v>259</v>
      </c>
      <c r="H33" s="53">
        <f>G33*1000-27</f>
        <v>258973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