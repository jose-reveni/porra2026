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<sst xmlns="http://schemas.openxmlformats.org/spreadsheetml/2006/main" count="2929" uniqueCount="535">
  <si>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</si>
  <si>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</si>
  <si>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</si>
  <si>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</si>
  <si>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</si>
  <si>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</si>
  <si>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</si>
  <si>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</si>
  <si>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</si>
  <si>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</si>
  <si>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</si>
  <si>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</si>
  <si>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</si>
  <si>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</si>
  <si>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</si>
  <si>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</si>
  <si>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</si>
  <si>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</si>
  <si>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</si>
  <si>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</si>
  <si>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</si>
  <si>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</si>
  <si>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</si>
  <si>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</si>
  <si>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</si>
  <si>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</si>
  <si>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</si>
  <si>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</si>
  <si>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</si>
  <si>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</si>
  <si>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</si>
  <si>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</si>
  <si>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</si>
  <si>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</si>
  <si>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</si>
  <si>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</si>
  <si>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</si>
  <si>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</si>
  <si>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</si>
  <si>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</si>
  <si>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</si>
  <si>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</si>
  <si>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</si>
  <si>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</si>
  <si>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</si>
  <si>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</si>
  <si>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</si>
  <si>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</si>
  <si>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</si>
  <si>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</si>
  <si>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</si>
  <si>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</si>
  <si>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</si>
  <si>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</si>
  <si>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</si>
  <si>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</si>
  <si>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</si>
  <si>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</si>
  <si>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</si>
  <si>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</si>
  <si>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</si>
  <si>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</si>
  <si>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</si>
  <si>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</si>
  <si>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</si>
  <si>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</si>
  <si>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</si>
  <si>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</si>
  <si>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</si>
  <si>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</si>
  <si>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</si>
  <si>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</si>
  <si>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</si>
  <si>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</si>
  <si>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</si>
  <si>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</si>
  <si>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</si>
  <si>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</si>
  <si>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</si>
  <si>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</si>
  <si>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</si>
  <si>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</si>
  <si>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</si>
  <si>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</si>
  <si>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</si>
  <si>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</si>
  <si>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</si>
  <si>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</si>
  <si>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</si>
  <si>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</si>
  <si>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</si>
  <si>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</si>
  <si>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</si>
  <si>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</si>
  <si>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</si>
  <si>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</si>
  <si>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</si>
  <si>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</si>
  <si>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</si>
  <si>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</si>
  <si>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</si>
  <si>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</si>
  <si>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</si>
  <si>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</si>
  <si>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</si>
  <si>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</si>
  <si>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</si>
  <si>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</si>
  <si>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</si>
  <si>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</si>
  <si>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</si>
  <si>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</si>
  <si>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</si>
  <si>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</si>
  <si>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</si>
  <si>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</si>
  <si>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</si>
  <si>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</si>
  <si>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</si>
  <si>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</si>
  <si>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</si>
  <si>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</si>
  <si>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</si>
  <si>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</si>
  <si>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</si>
  <si>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</si>
  <si>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</si>
  <si>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</si>
  <si>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</si>
  <si>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</si>
  <si>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</si>
  <si>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</si>
  <si>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</si>
  <si>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</si>
  <si>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</si>
  <si>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</si>
  <si>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</si>
  <si>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</si>
  <si>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</si>
  <si>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</si>
  <si>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</si>
  <si>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</si>
  <si>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</si>
  <si>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</si>
  <si>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</si>
  <si>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</si>
  <si>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</si>
  <si>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</si>
  <si>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</si>
  <si>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</si>
  <si>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</si>
  <si>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</si>
  <si>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</si>
  <si>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</si>
  <si>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</si>
  <si>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</si>
  <si>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</si>
  <si>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</si>
  <si>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</si>
  <si>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</si>
  <si>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</si>
  <si>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</si>
  <si>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</si>
  <si>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</si>
  <si>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</si>
  <si>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</si>
  <si>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</si>
  <si>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</si>
  <si>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</si>
  <si>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</si>
  <si>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</si>
  <si>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</si>
  <si>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</si>
  <si>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</si>
  <si>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</si>
  <si>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</si>
  <si>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</si>
  <si>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</si>
  <si>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</si>
  <si>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</si>
  <si>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</si>
  <si>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</si>
  <si>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</si>
  <si>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</si>
  <si>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</si>
  <si>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</si>
  <si>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</si>
  <si>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</si>
  <si>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</si>
  <si>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</si>
  <si>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</si>
  <si>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</si>
  <si>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</si>
  <si>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</si>
  <si>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</si>
  <si>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</si>
  <si>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</si>
  <si>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</si>
  <si>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</si>
  <si>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</si>
  <si>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</si>
  <si>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</si>
  <si>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</si>
  <si>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</si>
  <si>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</si>
  <si>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</si>
  <si>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</si>
  <si>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</si>
  <si>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</si>
  <si>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</si>
  <si>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</si>
  <si>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</si>
  <si>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</si>
  <si>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</si>
  <si>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</si>
  <si>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</si>
  <si>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</si>
  <si>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</si>
  <si>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</si>
  <si>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</si>
  <si>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</si>
  <si>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</si>
  <si>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</si>
  <si>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</si>
  <si>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</si>
  <si>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</si>
  <si>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</si>
  <si>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</si>
  <si>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</si>
  <si>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</si>
  <si>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</si>
  <si>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</si>
  <si>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</si>
  <si>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</si>
  <si>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</si>
  <si>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</si>
  <si>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</si>
  <si>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</si>
  <si>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</si>
  <si>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</si>
  <si>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</si>
  <si>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</si>
  <si>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</si>
  <si>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</si>
  <si>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</si>
  <si>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</si>
  <si>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</si>
  <si>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</si>
  <si>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</si>
  <si>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</si>
  <si>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</si>
  <si>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</si>
  <si>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</si>
  <si>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</si>
  <si>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</si>
  <si>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</si>
  <si>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</si>
  <si>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</si>
  <si>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</si>
  <si>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</si>
  <si>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</si>
  <si>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</si>
  <si>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</si>
  <si>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</si>
  <si>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</si>
  <si>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</si>
  <si>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</si>
  <si>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</si>
  <si>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</si>
  <si>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</si>
  <si>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</si>
  <si>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</si>
  <si>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</si>
  <si>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</si>
  <si>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</si>
  <si>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</si>
  <si>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</si>
  <si>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</si>
  <si>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</si>
  <si>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</si>
  <si>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</si>
  <si>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</si>
  <si>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</si>
  <si>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</si>
  <si>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</si>
  <si>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</si>
  <si>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</si>
  <si>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</si>
  <si>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</si>
  <si>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</si>
  <si>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</si>
  <si>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</si>
  <si>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</si>
  <si>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</si>
  <si>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</si>
  <si>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</si>
  <si>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</si>
  <si>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</si>
  <si>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</si>
  <si>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</si>
  <si>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</si>
  <si>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</si>
  <si>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</si>
  <si>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</si>
  <si>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</si>
  <si>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</si>
  <si>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</si>
  <si>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</si>
  <si>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</si>
  <si>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</si>
  <si>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</si>
  <si>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</si>
  <si>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</si>
  <si>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</si>
  <si>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</si>
  <si>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</si>
  <si>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</si>
  <si>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</si>
  <si>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</si>
  <si>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</si>
  <si>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</si>
  <si>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</si>
  <si>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</si>
  <si>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</si>
  <si>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</si>
  <si>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</si>
  <si>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</si>
  <si>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</si>
  <si>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</si>
  <si>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</si>
  <si>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</si>
  <si>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</si>
  <si>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</si>
  <si>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</si>
  <si>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</si>
  <si>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</si>
  <si>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</si>
  <si>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</si>
  <si>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</si>
  <si>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</si>
  <si>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</si>
  <si>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</si>
  <si>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</si>
  <si>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</si>
  <si>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</si>
  <si>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</si>
  <si>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</si>
  <si>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</si>
  <si>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</si>
  <si>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</si>
  <si>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</si>
  <si>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</si>
  <si>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</si>
  <si>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</si>
  <si>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</si>
  <si>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</si>
  <si>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</si>
  <si>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</si>
  <si>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</si>
  <si>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</si>
  <si>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</si>
  <si>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/>
  </si>
  <si>
    <t>Messi</t>
  </si>
  <si>
    <t>Mbappé</t>
  </si>
  <si>
    <t>Lionel Messi</t>
  </si>
  <si>
    <t xml:space="preserve">Messi </t>
  </si>
  <si>
    <t>Mbappe</t>
  </si>
  <si>
    <t>Lamine</t>
  </si>
  <si>
    <t>harry kane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</si>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</sst>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7"/>
      <c r="D126" s="17"/>
      <c r="E126" s="1"/>
    </row>
    <row r="127" ht="18.0" customHeight="1">
      <c r="A127" s="1"/>
      <c r="B127" s="13" t="s">
        <v>183</v>
      </c>
      <c r="C127" s="18"/>
      <c r="D127" s="16"/>
      <c r="E127" s="1"/>
    </row>
    <row r="128" ht="18.0" customHeight="1">
      <c r="A128" s="1"/>
      <c r="B128" s="13" t="s">
        <v>184</v>
      </c>
      <c r="C128" s="18"/>
      <c r="D128" s="16"/>
      <c r="E128" s="1"/>
    </row>
    <row r="129" ht="18.0" customHeight="1">
      <c r="A129" s="1"/>
      <c r="B129" s="13" t="s">
        <v>185</v>
      </c>
      <c r="C129" s="17"/>
      <c r="D129" s="17"/>
      <c r="E129" s="1"/>
    </row>
    <row r="130" ht="18.0" customHeight="1">
      <c r="A130" s="1"/>
      <c r="B130" s="13" t="s">
        <v>186</v>
      </c>
      <c r="C130" s="18"/>
      <c r="D130" s="16"/>
      <c r="E130" s="1"/>
    </row>
    <row r="131" ht="18.0" customHeight="1">
      <c r="A131" s="1"/>
      <c r="B131" s="13" t="s">
        <v>187</v>
      </c>
      <c r="C131" s="18"/>
      <c r="D131" s="16"/>
      <c r="E131" s="1"/>
    </row>
    <row r="132" ht="18.0" customHeight="1">
      <c r="A132" s="1"/>
      <c r="B132" s="13" t="s">
        <v>188</v>
      </c>
      <c r="C132" s="17"/>
      <c r="D132" s="17"/>
      <c r="E132" s="1"/>
    </row>
    <row r="133" ht="18.0" customHeight="1">
      <c r="A133" s="1"/>
      <c r="B133" s="13" t="s">
        <v>189</v>
      </c>
      <c r="C133" s="18"/>
      <c r="D133" s="16"/>
      <c r="E133" s="1"/>
    </row>
    <row r="134" ht="18.0" customHeight="1">
      <c r="A134" s="1"/>
      <c r="B134" s="13" t="s">
        <v>190</v>
      </c>
      <c r="C134" s="18"/>
      <c r="D134" s="16"/>
      <c r="E134" s="1"/>
    </row>
    <row r="135" ht="18.0" customHeight="1">
      <c r="A135" s="1"/>
      <c r="B135" s="13" t="s">
        <v>191</v>
      </c>
      <c r="C135" s="17"/>
      <c r="D135" s="17"/>
      <c r="E135" s="1"/>
    </row>
    <row r="136" ht="18.0" customHeight="1">
      <c r="A136" s="1"/>
      <c r="B136" s="13" t="s">
        <v>192</v>
      </c>
      <c r="C136" s="18"/>
      <c r="D136" s="16"/>
      <c r="E136" s="1"/>
    </row>
    <row r="137" ht="18.0" customHeight="1">
      <c r="A137" s="1"/>
      <c r="B137" s="13" t="s">
        <v>193</v>
      </c>
      <c r="C137" s="18"/>
      <c r="D137" s="16"/>
      <c r="E137" s="1"/>
    </row>
    <row r="138" ht="18.0" customHeight="1">
      <c r="A138" s="1"/>
      <c r="B138" s="13" t="s">
        <v>194</v>
      </c>
      <c r="C138" s="17"/>
      <c r="D138" s="17"/>
      <c r="E138" s="1"/>
    </row>
    <row r="139" ht="18.0" customHeight="1">
      <c r="A139" s="1"/>
      <c r="B139" s="13" t="s">
        <v>195</v>
      </c>
      <c r="C139" s="18"/>
      <c r="D139" s="16"/>
      <c r="E139" s="1"/>
    </row>
    <row r="140" ht="18.0" customHeight="1">
      <c r="A140" s="1"/>
      <c r="B140" s="13" t="s">
        <v>196</v>
      </c>
      <c r="C140" s="18"/>
      <c r="D140" s="16"/>
      <c r="E140" s="1"/>
    </row>
    <row r="141" ht="18.0" customHeight="1">
      <c r="A141" s="1"/>
      <c r="B141" s="13" t="s">
        <v>197</v>
      </c>
      <c r="C141" s="17"/>
      <c r="D141" s="17"/>
      <c r="E141" s="1"/>
    </row>
    <row r="142" ht="18.0" customHeight="1">
      <c r="A142" s="1"/>
      <c r="B142" s="13" t="s">
        <v>198</v>
      </c>
      <c r="C142" s="18"/>
      <c r="D142" s="16"/>
      <c r="E142" s="1"/>
    </row>
    <row r="143" ht="18.0" customHeight="1">
      <c r="A143" s="1"/>
      <c r="B143" s="13" t="s">
        <v>199</v>
      </c>
      <c r="C143" s="18"/>
      <c r="D143" s="16"/>
      <c r="E143" s="1"/>
    </row>
    <row r="144" ht="18.0" customHeight="1">
      <c r="A144" s="1"/>
      <c r="B144" s="13" t="s">
        <v>200</v>
      </c>
      <c r="C144" s="17"/>
      <c r="D144" s="17"/>
      <c r="E144" s="1"/>
    </row>
    <row r="145" ht="18.0" customHeight="1">
      <c r="A145" s="1"/>
      <c r="B145" s="13" t="s">
        <v>201</v>
      </c>
      <c r="C145" s="18"/>
      <c r="D145" s="16"/>
      <c r="E145" s="1"/>
    </row>
    <row r="146" ht="18.0" customHeight="1">
      <c r="A146" s="1"/>
      <c r="B146" s="13" t="s">
        <v>202</v>
      </c>
      <c r="C146" s="18"/>
      <c r="D146" s="16"/>
      <c r="E146" s="1"/>
    </row>
    <row r="147" ht="18.0" customHeight="1">
      <c r="A147" s="1"/>
      <c r="B147" s="13" t="s">
        <v>203</v>
      </c>
      <c r="C147" s="17"/>
      <c r="D147" s="17"/>
      <c r="E147" s="1"/>
    </row>
    <row r="148" ht="18.0" customHeight="1">
      <c r="A148" s="1"/>
      <c r="B148" s="13" t="s">
        <v>204</v>
      </c>
      <c r="C148" s="18"/>
      <c r="D148" s="16"/>
      <c r="E148" s="1"/>
    </row>
    <row r="149" ht="18.0" customHeight="1">
      <c r="A149" s="1"/>
      <c r="B149" s="13" t="s">
        <v>205</v>
      </c>
      <c r="C149" s="18"/>
      <c r="D149" s="16"/>
      <c r="E149" s="1"/>
    </row>
    <row r="150" ht="18.0" customHeight="1">
      <c r="A150" s="1"/>
      <c r="B150" s="13" t="s">
        <v>206</v>
      </c>
      <c r="C150" s="17"/>
      <c r="D150" s="17"/>
      <c r="E150" s="1"/>
    </row>
    <row r="151" ht="18.0" customHeight="1">
      <c r="A151" s="1"/>
      <c r="B151" s="13" t="s">
        <v>207</v>
      </c>
      <c r="C151" s="18"/>
      <c r="D151" s="16"/>
      <c r="E151" s="1"/>
    </row>
    <row r="152" ht="18.0" customHeight="1">
      <c r="A152" s="1"/>
      <c r="B152" s="13" t="s">
        <v>208</v>
      </c>
      <c r="C152" s="18"/>
      <c r="D152" s="16"/>
      <c r="E152" s="1"/>
    </row>
    <row r="153" ht="18.0" customHeight="1">
      <c r="A153" s="1"/>
      <c r="B153" s="13" t="s">
        <v>209</v>
      </c>
      <c r="C153" s="17"/>
      <c r="D153" s="17"/>
      <c r="E153" s="1"/>
    </row>
    <row r="154" ht="18.0" customHeight="1">
      <c r="A154" s="1"/>
      <c r="B154" s="13" t="s">
        <v>210</v>
      </c>
      <c r="C154" s="18"/>
      <c r="D154" s="16"/>
      <c r="E154" s="1"/>
    </row>
    <row r="155" ht="18.0" customHeight="1">
      <c r="A155" s="1"/>
      <c r="B155" s="13" t="s">
        <v>211</v>
      </c>
      <c r="C155" s="18"/>
      <c r="D155" s="16"/>
      <c r="E155" s="1"/>
    </row>
    <row r="156" ht="18.0" customHeight="1">
      <c r="A156" s="1"/>
      <c r="B156" s="13" t="s">
        <v>212</v>
      </c>
      <c r="C156" s="17"/>
      <c r="D156" s="17"/>
      <c r="E156" s="1"/>
    </row>
    <row r="157" ht="18.0" customHeight="1">
      <c r="A157" s="1"/>
      <c r="B157" s="13" t="s">
        <v>213</v>
      </c>
      <c r="C157" s="18"/>
      <c r="D157" s="16"/>
      <c r="E157" s="1"/>
    </row>
    <row r="158" ht="18.0" customHeight="1">
      <c r="A158" s="1"/>
      <c r="B158" s="13" t="s">
        <v>214</v>
      </c>
      <c r="C158" s="18"/>
      <c r="D158" s="16"/>
      <c r="E158" s="1"/>
    </row>
    <row r="159" ht="18.0" customHeight="1">
      <c r="A159" s="1"/>
      <c r="B159" s="13" t="s">
        <v>215</v>
      </c>
      <c r="C159" s="17"/>
      <c r="D159" s="17"/>
      <c r="E159" s="1"/>
    </row>
    <row r="160" ht="18.0" customHeight="1">
      <c r="A160" s="1"/>
      <c r="B160" s="13" t="s">
        <v>216</v>
      </c>
      <c r="C160" s="18"/>
      <c r="D160" s="16"/>
      <c r="E160" s="1"/>
    </row>
    <row r="161" ht="18.0" customHeight="1">
      <c r="A161" s="1"/>
      <c r="B161" s="13" t="s">
        <v>217</v>
      </c>
      <c r="C161" s="18"/>
      <c r="D161" s="16"/>
      <c r="E161" s="1"/>
    </row>
    <row r="162" ht="18.0" customHeight="1">
      <c r="A162" s="1"/>
      <c r="B162" s="13" t="s">
        <v>218</v>
      </c>
      <c r="C162" s="17"/>
      <c r="D162" s="17"/>
      <c r="E162" s="1"/>
    </row>
    <row r="163" ht="18.0" customHeight="1">
      <c r="A163" s="1"/>
      <c r="B163" s="13" t="s">
        <v>219</v>
      </c>
      <c r="C163" s="18"/>
      <c r="D163" s="16"/>
      <c r="E163" s="1"/>
    </row>
    <row r="164" ht="18.0" customHeight="1">
      <c r="A164" s="1"/>
      <c r="B164" s="13" t="s">
        <v>220</v>
      </c>
      <c r="C164" s="18"/>
      <c r="D164" s="16"/>
      <c r="E164" s="1"/>
    </row>
    <row r="165" ht="18.0" customHeight="1">
      <c r="A165" s="1"/>
      <c r="B165" s="13" t="s">
        <v>221</v>
      </c>
      <c r="C165" s="17"/>
      <c r="D165" s="17"/>
      <c r="E165" s="1"/>
    </row>
    <row r="166" ht="18.0" customHeight="1">
      <c r="A166" s="1"/>
      <c r="B166" s="13" t="s">
        <v>222</v>
      </c>
      <c r="C166" s="18"/>
      <c r="D166" s="16"/>
      <c r="E166" s="1"/>
    </row>
    <row r="167" ht="18.0" customHeight="1">
      <c r="A167" s="1"/>
      <c r="B167" s="13" t="s">
        <v>223</v>
      </c>
      <c r="C167" s="18"/>
      <c r="D167" s="16"/>
      <c r="E167" s="1"/>
    </row>
    <row r="168" ht="18.0" customHeight="1">
      <c r="A168" s="1"/>
      <c r="B168" s="13" t="s">
        <v>224</v>
      </c>
      <c r="C168" s="17"/>
      <c r="D168" s="17"/>
      <c r="E168" s="1"/>
    </row>
    <row r="169" ht="18.0" customHeight="1">
      <c r="A169" s="1"/>
      <c r="B169" s="13" t="s">
        <v>225</v>
      </c>
      <c r="C169" s="18"/>
      <c r="D169" s="16"/>
      <c r="E169" s="1"/>
    </row>
    <row r="170" ht="18.0" customHeight="1">
      <c r="A170" s="1"/>
      <c r="B170" s="13" t="s">
        <v>226</v>
      </c>
      <c r="C170" s="18"/>
      <c r="D170" s="16"/>
      <c r="E170" s="1"/>
    </row>
    <row r="171" ht="18.0" customHeight="1">
      <c r="A171" s="1"/>
      <c r="B171" s="13" t="s">
        <v>227</v>
      </c>
      <c r="C171" s="17"/>
      <c r="D171" s="17"/>
      <c r="E171" s="1"/>
    </row>
    <row r="172" ht="18.0" customHeight="1">
      <c r="A172" s="1"/>
      <c r="B172" s="13" t="s">
        <v>228</v>
      </c>
      <c r="C172" s="18"/>
      <c r="D172" s="16"/>
      <c r="E172" s="1"/>
    </row>
    <row r="173" ht="18.0" customHeight="1">
      <c r="A173" s="1"/>
      <c r="B173" s="13" t="s">
        <v>229</v>
      </c>
      <c r="C173" s="18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7"/>
      <c r="D175" s="17"/>
      <c r="E175" s="1"/>
    </row>
    <row r="176" ht="18.0" customHeight="1">
      <c r="A176" s="1"/>
      <c r="B176" s="13" t="s">
        <v>232</v>
      </c>
      <c r="C176" s="18"/>
      <c r="D176" s="16"/>
      <c r="E176" s="1"/>
    </row>
    <row r="177" ht="18.0" customHeight="1">
      <c r="A177" s="1"/>
      <c r="B177" s="13" t="s">
        <v>233</v>
      </c>
      <c r="C177" s="18"/>
      <c r="D177" s="16"/>
      <c r="E177" s="1"/>
    </row>
    <row r="178" ht="18.0" customHeight="1">
      <c r="A178" s="1"/>
      <c r="B178" s="13" t="s">
        <v>234</v>
      </c>
      <c r="C178" s="17"/>
      <c r="D178" s="17"/>
      <c r="E178" s="1"/>
    </row>
    <row r="179" ht="18.0" customHeight="1">
      <c r="A179" s="1"/>
      <c r="B179" s="13" t="s">
        <v>235</v>
      </c>
      <c r="C179" s="18"/>
      <c r="D179" s="16"/>
      <c r="E179" s="1"/>
    </row>
    <row r="180" ht="18.0" customHeight="1">
      <c r="A180" s="1"/>
      <c r="B180" s="13" t="s">
        <v>236</v>
      </c>
      <c r="C180" s="18"/>
      <c r="D180" s="16"/>
      <c r="E180" s="1"/>
    </row>
    <row r="181" ht="18.0" customHeight="1">
      <c r="A181" s="1"/>
      <c r="B181" s="13" t="s">
        <v>237</v>
      </c>
      <c r="C181" s="17"/>
      <c r="D181" s="17"/>
      <c r="E181" s="1"/>
    </row>
    <row r="182" ht="18.0" customHeight="1">
      <c r="A182" s="1"/>
      <c r="B182" s="13" t="s">
        <v>238</v>
      </c>
      <c r="C182" s="18"/>
      <c r="D182" s="16"/>
      <c r="E182" s="1"/>
    </row>
    <row r="183" ht="18.0" customHeight="1">
      <c r="A183" s="1"/>
      <c r="B183" s="13" t="s">
        <v>239</v>
      </c>
      <c r="C183" s="18"/>
      <c r="D183" s="16"/>
      <c r="E183" s="1"/>
    </row>
    <row r="184" ht="18.0" customHeight="1">
      <c r="A184" s="1"/>
      <c r="B184" s="13" t="s">
        <v>240</v>
      </c>
      <c r="C184" s="17"/>
      <c r="D184" s="17"/>
      <c r="E184" s="1"/>
    </row>
    <row r="185" ht="18.0" customHeight="1">
      <c r="A185" s="1"/>
      <c r="B185" s="13" t="s">
        <v>241</v>
      </c>
      <c r="C185" s="18"/>
      <c r="D185" s="16"/>
      <c r="E185" s="1"/>
    </row>
    <row r="186" ht="18.0" customHeight="1">
      <c r="A186" s="1"/>
      <c r="B186" s="13" t="s">
        <v>242</v>
      </c>
      <c r="C186" s="18"/>
      <c r="D186" s="16"/>
      <c r="E186" s="1"/>
    </row>
    <row r="187" ht="18.0" customHeight="1">
      <c r="A187" s="1"/>
      <c r="B187" s="13" t="s">
        <v>243</v>
      </c>
      <c r="C187" s="17"/>
      <c r="D187" s="17"/>
      <c r="E187" s="1"/>
    </row>
    <row r="188" ht="18.0" customHeight="1">
      <c r="A188" s="1"/>
      <c r="B188" s="13" t="s">
        <v>244</v>
      </c>
      <c r="C188" s="18"/>
      <c r="D188" s="16"/>
      <c r="E188" s="1"/>
    </row>
    <row r="189" ht="18.0" customHeight="1">
      <c r="A189" s="1"/>
      <c r="B189" s="13" t="s">
        <v>245</v>
      </c>
      <c r="C189" s="18"/>
      <c r="D189" s="16"/>
      <c r="E189" s="1"/>
    </row>
    <row r="190" ht="18.0" customHeight="1">
      <c r="A190" s="1"/>
      <c r="B190" s="13" t="s">
        <v>246</v>
      </c>
      <c r="C190" s="17"/>
      <c r="D190" s="17"/>
      <c r="E190" s="1"/>
    </row>
    <row r="191" ht="18.0" customHeight="1">
      <c r="A191" s="1"/>
      <c r="B191" s="13" t="s">
        <v>247</v>
      </c>
      <c r="C191" s="18"/>
      <c r="D191" s="16"/>
      <c r="E191" s="1"/>
    </row>
    <row r="192" ht="18.0" customHeight="1">
      <c r="A192" s="1"/>
      <c r="B192" s="13" t="s">
        <v>248</v>
      </c>
      <c r="C192" s="18"/>
      <c r="D192" s="16"/>
      <c r="E192" s="1"/>
    </row>
    <row r="193" ht="18.0" customHeight="1">
      <c r="A193" s="1"/>
      <c r="B193" s="13" t="s">
        <v>249</v>
      </c>
      <c r="C193" s="17"/>
      <c r="D193" s="17"/>
      <c r="E193" s="1"/>
    </row>
    <row r="194" ht="18.0" customHeight="1">
      <c r="A194" s="1"/>
      <c r="B194" s="13" t="s">
        <v>250</v>
      </c>
      <c r="C194" s="18"/>
      <c r="D194" s="16"/>
      <c r="E194" s="1"/>
    </row>
    <row r="195" ht="18.0" customHeight="1">
      <c r="A195" s="1"/>
      <c r="B195" s="13" t="s">
        <v>251</v>
      </c>
      <c r="C195" s="18"/>
      <c r="D195" s="16"/>
      <c r="E195" s="1"/>
    </row>
    <row r="196" ht="18.0" customHeight="1">
      <c r="A196" s="1"/>
      <c r="B196" s="13" t="s">
        <v>252</v>
      </c>
      <c r="C196" s="17"/>
      <c r="D196" s="17"/>
      <c r="E196" s="1"/>
    </row>
    <row r="197" ht="18.0" customHeight="1">
      <c r="A197" s="1"/>
      <c r="B197" s="13" t="s">
        <v>253</v>
      </c>
      <c r="C197" s="18"/>
      <c r="D197" s="16"/>
      <c r="E197" s="1"/>
    </row>
    <row r="198" ht="18.0" customHeight="1">
      <c r="A198" s="1"/>
      <c r="B198" s="13" t="s">
        <v>254</v>
      </c>
      <c r="C198" s="18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7"/>
      <c r="D200" s="17"/>
      <c r="E200" s="1"/>
    </row>
    <row r="201" ht="18.0" customHeight="1">
      <c r="A201" s="1"/>
      <c r="B201" s="13" t="s">
        <v>257</v>
      </c>
      <c r="C201" s="18"/>
      <c r="D201" s="16"/>
      <c r="E201" s="1"/>
    </row>
    <row r="202" ht="18.0" customHeight="1">
      <c r="A202" s="1"/>
      <c r="B202" s="13" t="s">
        <v>258</v>
      </c>
      <c r="C202" s="18"/>
      <c r="D202" s="16"/>
      <c r="E202" s="1"/>
    </row>
    <row r="203" ht="18.0" customHeight="1">
      <c r="A203" s="1"/>
      <c r="B203" s="13" t="s">
        <v>259</v>
      </c>
      <c r="C203" s="17"/>
      <c r="D203" s="17"/>
      <c r="E203" s="1"/>
    </row>
    <row r="204" ht="18.0" customHeight="1">
      <c r="A204" s="1"/>
      <c r="B204" s="13" t="s">
        <v>260</v>
      </c>
      <c r="C204" s="18"/>
      <c r="D204" s="16"/>
      <c r="E204" s="1"/>
    </row>
    <row r="205" ht="18.0" customHeight="1">
      <c r="A205" s="1"/>
      <c r="B205" s="13" t="s">
        <v>261</v>
      </c>
      <c r="C205" s="18"/>
      <c r="D205" s="16"/>
      <c r="E205" s="1"/>
    </row>
    <row r="206" ht="18.0" customHeight="1">
      <c r="A206" s="1"/>
      <c r="B206" s="13" t="s">
        <v>262</v>
      </c>
      <c r="C206" s="17"/>
      <c r="D206" s="17"/>
      <c r="E206" s="1"/>
    </row>
    <row r="207" ht="18.0" customHeight="1">
      <c r="A207" s="1"/>
      <c r="B207" s="13" t="s">
        <v>263</v>
      </c>
      <c r="C207" s="18"/>
      <c r="D207" s="16"/>
      <c r="E207" s="1"/>
    </row>
    <row r="208" ht="18.0" customHeight="1">
      <c r="A208" s="1"/>
      <c r="B208" s="13" t="s">
        <v>264</v>
      </c>
      <c r="C208" s="18"/>
      <c r="D208" s="16"/>
      <c r="E208" s="1"/>
    </row>
    <row r="209" ht="18.0" customHeight="1">
      <c r="A209" s="1"/>
      <c r="B209" s="13" t="s">
        <v>265</v>
      </c>
      <c r="C209" s="17"/>
      <c r="D209" s="17"/>
      <c r="E209" s="1"/>
    </row>
    <row r="210" ht="18.0" customHeight="1">
      <c r="A210" s="1"/>
      <c r="B210" s="13" t="s">
        <v>266</v>
      </c>
      <c r="C210" s="18"/>
      <c r="D210" s="16"/>
      <c r="E210" s="1"/>
    </row>
    <row r="211" ht="18.0" customHeight="1">
      <c r="A211" s="1"/>
      <c r="B211" s="13" t="s">
        <v>267</v>
      </c>
      <c r="C211" s="18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7"/>
      <c r="D213" s="17"/>
      <c r="E213" s="1"/>
    </row>
    <row r="214" ht="18.0" customHeight="1">
      <c r="A214" s="1"/>
      <c r="B214" s="13" t="s">
        <v>270</v>
      </c>
      <c r="C214" s="18"/>
      <c r="D214" s="16"/>
      <c r="E214" s="1"/>
    </row>
    <row r="215" ht="18.0" customHeight="1">
      <c r="A215" s="1"/>
      <c r="B215" s="13" t="s">
        <v>271</v>
      </c>
      <c r="C215" s="18"/>
      <c r="D215" s="16"/>
      <c r="E215" s="1"/>
    </row>
    <row r="216" ht="18.0" customHeight="1">
      <c r="A216" s="1"/>
      <c r="B216" s="13" t="s">
        <v>272</v>
      </c>
      <c r="C216" s="17"/>
      <c r="D216" s="17"/>
      <c r="E216" s="1"/>
    </row>
    <row r="217" ht="18.0" customHeight="1">
      <c r="A217" s="1"/>
      <c r="B217" s="13" t="s">
        <v>273</v>
      </c>
      <c r="C217" s="18"/>
      <c r="D217" s="16"/>
      <c r="E217" s="1"/>
    </row>
    <row r="218" ht="18.0" customHeight="1">
      <c r="A218" s="1"/>
      <c r="B218" s="13" t="s">
        <v>274</v>
      </c>
      <c r="C218" s="18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7"/>
      <c r="D220" s="17"/>
      <c r="E220" s="1"/>
    </row>
    <row r="221" ht="18.0" customHeight="1">
      <c r="A221" s="1"/>
      <c r="B221" s="13" t="s">
        <v>277</v>
      </c>
      <c r="C221" s="18"/>
      <c r="D221" s="16"/>
      <c r="E221" s="1"/>
    </row>
    <row r="222" ht="18.0" customHeight="1">
      <c r="A222" s="1"/>
      <c r="B222" s="13" t="s">
        <v>278</v>
      </c>
      <c r="C222" s="18"/>
      <c r="D222" s="16"/>
      <c r="E222" s="1"/>
    </row>
    <row r="223" ht="18.0" customHeight="1">
      <c r="A223" s="1"/>
      <c r="B223" s="13" t="s">
        <v>279</v>
      </c>
      <c r="C223" s="17"/>
      <c r="D223" s="17"/>
      <c r="E223" s="1"/>
    </row>
    <row r="224" ht="18.0" customHeight="1">
      <c r="A224" s="1"/>
      <c r="B224" s="13" t="s">
        <v>280</v>
      </c>
      <c r="C224" s="18"/>
      <c r="D224" s="16"/>
      <c r="E224" s="1"/>
    </row>
    <row r="225" ht="18.0" customHeight="1">
      <c r="A225" s="1"/>
      <c r="B225" s="13" t="s">
        <v>281</v>
      </c>
      <c r="C225" s="18"/>
      <c r="D225" s="16"/>
      <c r="E225" s="1"/>
    </row>
    <row r="226" ht="18.0" customHeight="1">
      <c r="A226" s="1"/>
      <c r="B226" s="13" t="s">
        <v>282</v>
      </c>
      <c r="C226" s="18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8"/>
      <c r="D228" s="16"/>
      <c r="E228" s="1"/>
    </row>
    <row r="229" ht="18.0" customHeight="1">
      <c r="A229" s="1"/>
      <c r="B229" s="13" t="s">
        <v>285</v>
      </c>
      <c r="C229" s="18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8"/>
      <c r="J126" s="28"/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8"/>
      <c r="Z126" s="28"/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8"/>
      <c r="BB126" s="28"/>
      <c r="BC126" s="28"/>
      <c r="BD126" s="28"/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/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/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/>
      <c r="BB128" s="16"/>
      <c r="BC128" s="28"/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8"/>
      <c r="J129" s="28"/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8"/>
      <c r="Z129" s="28"/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8"/>
      <c r="BB129" s="28"/>
      <c r="BC129" s="28"/>
      <c r="BD129" s="28"/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/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/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/>
      <c r="BB131" s="16"/>
      <c r="BC131" s="28"/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9">
        <v>1.0</v>
      </c>
      <c r="J132" s="29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9">
        <v>2.0</v>
      </c>
      <c r="Z132" s="29">
        <v>0.0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9">
        <v>0.0</v>
      </c>
      <c r="BB132" s="29">
        <v>1.0</v>
      </c>
      <c r="BC132" s="29">
        <v>1.0</v>
      </c>
      <c r="BD132" s="29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8" t="s">
        <v>103</v>
      </c>
      <c r="Z134" s="16"/>
      <c r="AA134" s="28" t="s">
        <v>109</v>
      </c>
      <c r="AB134" s="16"/>
      <c r="AC134" s="30" t="s">
        <v>109</v>
      </c>
      <c r="AD134" s="16"/>
      <c r="AE134" s="28" t="s">
        <v>109</v>
      </c>
      <c r="AF134" s="16"/>
      <c r="AG134" s="28" t="s">
        <v>109</v>
      </c>
      <c r="AH134" s="16"/>
      <c r="AI134" s="30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109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8"/>
      <c r="J135" s="28"/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8"/>
      <c r="Z135" s="28"/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8"/>
      <c r="BB135" s="28"/>
      <c r="BC135" s="28"/>
      <c r="BD135" s="28"/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/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/>
      <c r="AV136" s="16"/>
      <c r="AW136" s="28"/>
      <c r="AX136" s="16"/>
      <c r="AY136" s="28"/>
      <c r="AZ136" s="16"/>
      <c r="BA136" s="28"/>
      <c r="BB136" s="16"/>
      <c r="BC136" s="28"/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/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/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361</v>
      </c>
      <c r="AV137" s="16"/>
      <c r="AW137" s="28" t="s">
        <v>131</v>
      </c>
      <c r="AX137" s="16"/>
      <c r="AY137" s="28" t="s">
        <v>360</v>
      </c>
      <c r="AZ137" s="16"/>
      <c r="BA137" s="28"/>
      <c r="BB137" s="16"/>
      <c r="BC137" s="28"/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8"/>
      <c r="J138" s="28"/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8"/>
      <c r="Z138" s="28"/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3.0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8"/>
      <c r="BB138" s="28"/>
      <c r="BC138" s="28"/>
      <c r="BD138" s="28"/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/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/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113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/>
      <c r="BB140" s="16"/>
      <c r="BC140" s="28"/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8"/>
      <c r="J141" s="28"/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8"/>
      <c r="Z141" s="28"/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1.0</v>
      </c>
      <c r="AN141" s="27">
        <v>2.0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8"/>
      <c r="BB141" s="28"/>
      <c r="BC141" s="28"/>
      <c r="BD141" s="28"/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/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/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151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/>
      <c r="BB143" s="16"/>
      <c r="BC143" s="28"/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8"/>
      <c r="J144" s="28"/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8"/>
      <c r="Z144" s="28"/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8"/>
      <c r="BB144" s="28"/>
      <c r="BC144" s="28"/>
      <c r="BD144" s="28"/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/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/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/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101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/>
      <c r="BB146" s="16"/>
      <c r="BC146" s="28"/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8"/>
      <c r="J147" s="28"/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8"/>
      <c r="Z147" s="28"/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3.0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8"/>
      <c r="BB147" s="28"/>
      <c r="BC147" s="28"/>
      <c r="BD147" s="28"/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/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/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/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167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/>
      <c r="BB149" s="16"/>
      <c r="BC149" s="28"/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8"/>
      <c r="J150" s="28"/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8"/>
      <c r="Z150" s="28"/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2.0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8"/>
      <c r="BB150" s="28"/>
      <c r="BC150" s="28"/>
      <c r="BD150" s="28"/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/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/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163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/>
      <c r="BB152" s="16"/>
      <c r="BC152" s="28"/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8"/>
      <c r="J153" s="28"/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8"/>
      <c r="Z153" s="28"/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3.0</v>
      </c>
      <c r="AN153" s="27">
        <v>1.0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8"/>
      <c r="BB153" s="28"/>
      <c r="BC153" s="28"/>
      <c r="BD153" s="28"/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/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/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143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/>
      <c r="BB155" s="16"/>
      <c r="BC155" s="28"/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8"/>
      <c r="J156" s="28"/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8"/>
      <c r="Z156" s="28"/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8"/>
      <c r="BB156" s="28"/>
      <c r="BC156" s="28"/>
      <c r="BD156" s="28"/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/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/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/>
      <c r="AV157" s="16"/>
      <c r="AW157" s="28"/>
      <c r="AX157" s="16"/>
      <c r="AY157" s="28"/>
      <c r="AZ157" s="16"/>
      <c r="BA157" s="28"/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/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/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119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8" t="s">
        <v>361</v>
      </c>
      <c r="AV158" s="16"/>
      <c r="AW158" s="28" t="s">
        <v>101</v>
      </c>
      <c r="AX158" s="16"/>
      <c r="AY158" s="28" t="s">
        <v>129</v>
      </c>
      <c r="AZ158" s="16"/>
      <c r="BA158" s="28"/>
      <c r="BB158" s="16"/>
      <c r="BC158" s="28"/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8"/>
      <c r="J159" s="28"/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8"/>
      <c r="Z159" s="28"/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1.0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8"/>
      <c r="BB159" s="28"/>
      <c r="BC159" s="28"/>
      <c r="BD159" s="28"/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/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/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137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/>
      <c r="BB161" s="16"/>
      <c r="BC161" s="28"/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8"/>
      <c r="J162" s="28"/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8"/>
      <c r="Z162" s="28"/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8"/>
      <c r="BB162" s="28"/>
      <c r="BC162" s="28"/>
      <c r="BD162" s="28"/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/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/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/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/>
      <c r="BB164" s="16"/>
      <c r="BC164" s="28"/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8"/>
      <c r="J165" s="28"/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8"/>
      <c r="Z165" s="28"/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8"/>
      <c r="BB165" s="28"/>
      <c r="BC165" s="28"/>
      <c r="BD165" s="28"/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/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/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/>
      <c r="BB167" s="16"/>
      <c r="BC167" s="28"/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8"/>
      <c r="J168" s="28"/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8"/>
      <c r="Z168" s="28"/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8"/>
      <c r="BB168" s="28"/>
      <c r="BC168" s="28"/>
      <c r="BD168" s="28"/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/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/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/>
      <c r="BB170" s="16"/>
      <c r="BC170" s="28"/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8"/>
      <c r="J171" s="28"/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8"/>
      <c r="Z171" s="28"/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8"/>
      <c r="BB171" s="28"/>
      <c r="BC171" s="28"/>
      <c r="BD171" s="28"/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/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/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/>
      <c r="BB173" s="16"/>
      <c r="BC173" s="28"/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8"/>
      <c r="J175" s="28"/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8"/>
      <c r="Z175" s="28"/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7">
        <v>1.0</v>
      </c>
      <c r="AP175" s="27">
        <v>2.0</v>
      </c>
      <c r="AQ175" s="28"/>
      <c r="AR175" s="28"/>
      <c r="AS175" s="27">
        <v>2.0</v>
      </c>
      <c r="AT175" s="27">
        <v>2.0</v>
      </c>
      <c r="AU175" s="28"/>
      <c r="AV175" s="28"/>
      <c r="AW175" s="28"/>
      <c r="AX175" s="28"/>
      <c r="AY175" s="27">
        <v>2.0</v>
      </c>
      <c r="AZ175" s="27">
        <v>3.0</v>
      </c>
      <c r="BA175" s="28"/>
      <c r="BB175" s="28"/>
      <c r="BC175" s="28"/>
      <c r="BD175" s="28"/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/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/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/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 t="s">
        <v>149</v>
      </c>
      <c r="AP177" s="16"/>
      <c r="AQ177" s="28"/>
      <c r="AR177" s="16"/>
      <c r="AS177" s="28" t="s">
        <v>149</v>
      </c>
      <c r="AT177" s="16"/>
      <c r="AU177" s="28"/>
      <c r="AV177" s="16"/>
      <c r="AW177" s="28"/>
      <c r="AX177" s="16"/>
      <c r="AY177" s="28" t="s">
        <v>149</v>
      </c>
      <c r="AZ177" s="16"/>
      <c r="BA177" s="28"/>
      <c r="BB177" s="16"/>
      <c r="BC177" s="28"/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8"/>
      <c r="J178" s="28"/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8"/>
      <c r="Z178" s="28"/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7">
        <v>0.0</v>
      </c>
      <c r="AP178" s="27">
        <v>2.0</v>
      </c>
      <c r="AQ178" s="28"/>
      <c r="AR178" s="28"/>
      <c r="AS178" s="27">
        <v>1.0</v>
      </c>
      <c r="AT178" s="27">
        <v>2.0</v>
      </c>
      <c r="AU178" s="28"/>
      <c r="AV178" s="28"/>
      <c r="AW178" s="28"/>
      <c r="AX178" s="28"/>
      <c r="AY178" s="27">
        <v>1.0</v>
      </c>
      <c r="AZ178" s="27">
        <v>3.0</v>
      </c>
      <c r="BA178" s="28"/>
      <c r="BB178" s="28"/>
      <c r="BC178" s="28"/>
      <c r="BD178" s="28"/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/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/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 t="s">
        <v>131</v>
      </c>
      <c r="AP180" s="16"/>
      <c r="AQ180" s="28"/>
      <c r="AR180" s="16"/>
      <c r="AS180" s="28" t="s">
        <v>131</v>
      </c>
      <c r="AT180" s="16"/>
      <c r="AU180" s="28"/>
      <c r="AV180" s="16"/>
      <c r="AW180" s="28"/>
      <c r="AX180" s="16"/>
      <c r="AY180" s="28" t="s">
        <v>360</v>
      </c>
      <c r="AZ180" s="16"/>
      <c r="BA180" s="28"/>
      <c r="BB180" s="16"/>
      <c r="BC180" s="28"/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8"/>
      <c r="J181" s="28"/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8"/>
      <c r="Z181" s="28"/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7">
        <v>1.0</v>
      </c>
      <c r="AP181" s="27">
        <v>2.0</v>
      </c>
      <c r="AQ181" s="28"/>
      <c r="AR181" s="28"/>
      <c r="AS181" s="27">
        <v>0.0</v>
      </c>
      <c r="AT181" s="27">
        <v>1.0</v>
      </c>
      <c r="AU181" s="28"/>
      <c r="AV181" s="28"/>
      <c r="AW181" s="28"/>
      <c r="AX181" s="28"/>
      <c r="AY181" s="27">
        <v>0.0</v>
      </c>
      <c r="AZ181" s="27">
        <v>2.0</v>
      </c>
      <c r="BA181" s="28"/>
      <c r="BB181" s="28"/>
      <c r="BC181" s="28"/>
      <c r="BD181" s="28"/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/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/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/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/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 t="s">
        <v>143</v>
      </c>
      <c r="AP183" s="16"/>
      <c r="AQ183" s="28"/>
      <c r="AR183" s="16"/>
      <c r="AS183" s="28" t="s">
        <v>143</v>
      </c>
      <c r="AT183" s="16"/>
      <c r="AU183" s="28"/>
      <c r="AV183" s="16"/>
      <c r="AW183" s="28"/>
      <c r="AX183" s="16"/>
      <c r="AY183" s="28" t="s">
        <v>143</v>
      </c>
      <c r="AZ183" s="16"/>
      <c r="BA183" s="28"/>
      <c r="BB183" s="16"/>
      <c r="BC183" s="28"/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8"/>
      <c r="J184" s="28"/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8"/>
      <c r="Z184" s="28"/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7">
        <v>0.0</v>
      </c>
      <c r="AP184" s="27">
        <v>1.0</v>
      </c>
      <c r="AQ184" s="28"/>
      <c r="AR184" s="28"/>
      <c r="AS184" s="27">
        <v>1.0</v>
      </c>
      <c r="AT184" s="27">
        <v>0.0</v>
      </c>
      <c r="AU184" s="28"/>
      <c r="AV184" s="28"/>
      <c r="AW184" s="28"/>
      <c r="AX184" s="28"/>
      <c r="AY184" s="27">
        <v>2.0</v>
      </c>
      <c r="AZ184" s="27">
        <v>2.0</v>
      </c>
      <c r="BA184" s="28"/>
      <c r="BB184" s="28"/>
      <c r="BC184" s="28"/>
      <c r="BD184" s="28"/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/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/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 t="s">
        <v>137</v>
      </c>
      <c r="AP186" s="16"/>
      <c r="AQ186" s="28"/>
      <c r="AR186" s="16"/>
      <c r="AS186" s="28" t="s">
        <v>119</v>
      </c>
      <c r="AT186" s="16"/>
      <c r="AU186" s="28"/>
      <c r="AV186" s="16"/>
      <c r="AW186" s="28"/>
      <c r="AX186" s="16"/>
      <c r="AY186" s="28" t="s">
        <v>137</v>
      </c>
      <c r="AZ186" s="16"/>
      <c r="BA186" s="28"/>
      <c r="BB186" s="16"/>
      <c r="BC186" s="28"/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8"/>
      <c r="J187" s="28"/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8"/>
      <c r="Z187" s="28"/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7">
        <v>2.0</v>
      </c>
      <c r="AP187" s="27">
        <v>0.0</v>
      </c>
      <c r="AQ187" s="28"/>
      <c r="AR187" s="28"/>
      <c r="AS187" s="27">
        <v>4.0</v>
      </c>
      <c r="AT187" s="27">
        <v>1.0</v>
      </c>
      <c r="AU187" s="28"/>
      <c r="AV187" s="28"/>
      <c r="AW187" s="28"/>
      <c r="AX187" s="28"/>
      <c r="AY187" s="27">
        <v>3.0</v>
      </c>
      <c r="AZ187" s="27">
        <v>1.0</v>
      </c>
      <c r="BA187" s="28"/>
      <c r="BB187" s="28"/>
      <c r="BC187" s="28"/>
      <c r="BD187" s="28"/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/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/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 t="s">
        <v>113</v>
      </c>
      <c r="AP189" s="16"/>
      <c r="AQ189" s="28"/>
      <c r="AR189" s="16"/>
      <c r="AS189" s="28" t="s">
        <v>113</v>
      </c>
      <c r="AT189" s="16"/>
      <c r="AU189" s="28"/>
      <c r="AV189" s="16"/>
      <c r="AW189" s="28"/>
      <c r="AX189" s="16"/>
      <c r="AY189" s="28" t="s">
        <v>113</v>
      </c>
      <c r="AZ189" s="16"/>
      <c r="BA189" s="28"/>
      <c r="BB189" s="16"/>
      <c r="BC189" s="28"/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8"/>
      <c r="J190" s="28"/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8"/>
      <c r="Z190" s="28"/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7">
        <v>1.0</v>
      </c>
      <c r="AP190" s="27">
        <v>2.0</v>
      </c>
      <c r="AQ190" s="28"/>
      <c r="AR190" s="28"/>
      <c r="AS190" s="27">
        <v>1.0</v>
      </c>
      <c r="AT190" s="27">
        <v>2.0</v>
      </c>
      <c r="AU190" s="28"/>
      <c r="AV190" s="28"/>
      <c r="AW190" s="28"/>
      <c r="AX190" s="28"/>
      <c r="AY190" s="27">
        <v>1.0</v>
      </c>
      <c r="AZ190" s="27">
        <v>2.0</v>
      </c>
      <c r="BA190" s="28"/>
      <c r="BB190" s="28"/>
      <c r="BC190" s="28"/>
      <c r="BD190" s="28"/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/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/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/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 t="s">
        <v>167</v>
      </c>
      <c r="AP192" s="16"/>
      <c r="AQ192" s="28"/>
      <c r="AR192" s="16"/>
      <c r="AS192" s="28" t="s">
        <v>167</v>
      </c>
      <c r="AT192" s="16"/>
      <c r="AU192" s="28"/>
      <c r="AV192" s="16"/>
      <c r="AW192" s="28"/>
      <c r="AX192" s="16"/>
      <c r="AY192" s="28" t="s">
        <v>167</v>
      </c>
      <c r="AZ192" s="16"/>
      <c r="BA192" s="28"/>
      <c r="BB192" s="16"/>
      <c r="BC192" s="28"/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8"/>
      <c r="J193" s="28"/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8"/>
      <c r="Z193" s="28"/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7">
        <v>2.0</v>
      </c>
      <c r="AP193" s="27">
        <v>0.0</v>
      </c>
      <c r="AQ193" s="28"/>
      <c r="AR193" s="28"/>
      <c r="AS193" s="27">
        <v>3.0</v>
      </c>
      <c r="AT193" s="27">
        <v>1.0</v>
      </c>
      <c r="AU193" s="28"/>
      <c r="AV193" s="28"/>
      <c r="AW193" s="28"/>
      <c r="AX193" s="28"/>
      <c r="AY193" s="27">
        <v>2.0</v>
      </c>
      <c r="AZ193" s="27">
        <v>0.0</v>
      </c>
      <c r="BA193" s="28"/>
      <c r="BB193" s="28"/>
      <c r="BC193" s="28"/>
      <c r="BD193" s="28"/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/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/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 t="s">
        <v>155</v>
      </c>
      <c r="AP195" s="16"/>
      <c r="AQ195" s="28"/>
      <c r="AR195" s="16"/>
      <c r="AS195" s="28" t="s">
        <v>155</v>
      </c>
      <c r="AT195" s="16"/>
      <c r="AU195" s="28"/>
      <c r="AV195" s="16"/>
      <c r="AW195" s="28"/>
      <c r="AX195" s="16"/>
      <c r="AY195" s="28" t="s">
        <v>155</v>
      </c>
      <c r="AZ195" s="16"/>
      <c r="BA195" s="28"/>
      <c r="BB195" s="16"/>
      <c r="BC195" s="28"/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8"/>
      <c r="J196" s="28"/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8"/>
      <c r="Z196" s="28"/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7">
        <v>1.0</v>
      </c>
      <c r="AP196" s="27">
        <v>2.0</v>
      </c>
      <c r="AQ196" s="28"/>
      <c r="AR196" s="28"/>
      <c r="AS196" s="27">
        <v>0.0</v>
      </c>
      <c r="AT196" s="27">
        <v>2.0</v>
      </c>
      <c r="AU196" s="28"/>
      <c r="AV196" s="28"/>
      <c r="AW196" s="28"/>
      <c r="AX196" s="28"/>
      <c r="AY196" s="27">
        <v>0.0</v>
      </c>
      <c r="AZ196" s="27">
        <v>1.0</v>
      </c>
      <c r="BA196" s="28"/>
      <c r="BB196" s="28"/>
      <c r="BC196" s="28"/>
      <c r="BD196" s="28"/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/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/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 t="s">
        <v>161</v>
      </c>
      <c r="AP198" s="16"/>
      <c r="AQ198" s="28"/>
      <c r="AR198" s="16"/>
      <c r="AS198" s="28" t="s">
        <v>161</v>
      </c>
      <c r="AT198" s="16"/>
      <c r="AU198" s="28"/>
      <c r="AV198" s="16"/>
      <c r="AW198" s="28"/>
      <c r="AX198" s="16"/>
      <c r="AY198" s="28" t="s">
        <v>161</v>
      </c>
      <c r="AZ198" s="16"/>
      <c r="BA198" s="28"/>
      <c r="BB198" s="16"/>
      <c r="BC198" s="28"/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8"/>
      <c r="J200" s="28"/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8"/>
      <c r="Z200" s="28"/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7">
        <v>2.0</v>
      </c>
      <c r="AP200" s="27">
        <v>1.0</v>
      </c>
      <c r="AQ200" s="28"/>
      <c r="AR200" s="28"/>
      <c r="AS200" s="27">
        <v>2.0</v>
      </c>
      <c r="AT200" s="27">
        <v>1.0</v>
      </c>
      <c r="AU200" s="28"/>
      <c r="AV200" s="28"/>
      <c r="AW200" s="28"/>
      <c r="AX200" s="28"/>
      <c r="AY200" s="27">
        <v>2.0</v>
      </c>
      <c r="AZ200" s="27">
        <v>2.0</v>
      </c>
      <c r="BA200" s="28"/>
      <c r="BB200" s="28"/>
      <c r="BC200" s="28"/>
      <c r="BD200" s="28"/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/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/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/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 t="s">
        <v>149</v>
      </c>
      <c r="AP202" s="16"/>
      <c r="AQ202" s="28"/>
      <c r="AR202" s="16"/>
      <c r="AS202" s="28" t="s">
        <v>149</v>
      </c>
      <c r="AT202" s="16"/>
      <c r="AU202" s="28"/>
      <c r="AV202" s="16"/>
      <c r="AW202" s="28"/>
      <c r="AX202" s="16"/>
      <c r="AY202" s="28" t="s">
        <v>360</v>
      </c>
      <c r="AZ202" s="16"/>
      <c r="BA202" s="28"/>
      <c r="BB202" s="16"/>
      <c r="BC202" s="28"/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8"/>
      <c r="J203" s="28"/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8"/>
      <c r="Z203" s="28"/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7">
        <v>1.0</v>
      </c>
      <c r="AP203" s="27">
        <v>1.0</v>
      </c>
      <c r="AQ203" s="28"/>
      <c r="AR203" s="28"/>
      <c r="AS203" s="27">
        <v>2.0</v>
      </c>
      <c r="AT203" s="27">
        <v>1.0</v>
      </c>
      <c r="AU203" s="28"/>
      <c r="AV203" s="28"/>
      <c r="AW203" s="28"/>
      <c r="AX203" s="28"/>
      <c r="AY203" s="27">
        <v>2.0</v>
      </c>
      <c r="AZ203" s="27">
        <v>1.0</v>
      </c>
      <c r="BA203" s="28"/>
      <c r="BB203" s="28"/>
      <c r="BC203" s="28"/>
      <c r="BD203" s="28"/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/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/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 t="s">
        <v>143</v>
      </c>
      <c r="AP205" s="16"/>
      <c r="AQ205" s="28"/>
      <c r="AR205" s="16"/>
      <c r="AS205" s="28" t="s">
        <v>143</v>
      </c>
      <c r="AT205" s="16"/>
      <c r="AU205" s="28"/>
      <c r="AV205" s="16"/>
      <c r="AW205" s="28"/>
      <c r="AX205" s="16"/>
      <c r="AY205" s="28" t="s">
        <v>143</v>
      </c>
      <c r="AZ205" s="16"/>
      <c r="BA205" s="28"/>
      <c r="BB205" s="16"/>
      <c r="BC205" s="28"/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8"/>
      <c r="J206" s="28"/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8"/>
      <c r="Z206" s="28"/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7">
        <v>2.0</v>
      </c>
      <c r="AP206" s="27">
        <v>0.0</v>
      </c>
      <c r="AQ206" s="28"/>
      <c r="AR206" s="28"/>
      <c r="AS206" s="27">
        <v>2.0</v>
      </c>
      <c r="AT206" s="27">
        <v>0.0</v>
      </c>
      <c r="AU206" s="28"/>
      <c r="AV206" s="28"/>
      <c r="AW206" s="28"/>
      <c r="AX206" s="28"/>
      <c r="AY206" s="27">
        <v>2.0</v>
      </c>
      <c r="AZ206" s="27">
        <v>0.0</v>
      </c>
      <c r="BA206" s="28"/>
      <c r="BB206" s="28"/>
      <c r="BC206" s="28"/>
      <c r="BD206" s="28"/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/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/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/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 t="s">
        <v>113</v>
      </c>
      <c r="AP208" s="16"/>
      <c r="AQ208" s="28"/>
      <c r="AR208" s="16"/>
      <c r="AS208" s="28" t="s">
        <v>113</v>
      </c>
      <c r="AT208" s="16"/>
      <c r="AU208" s="28"/>
      <c r="AV208" s="16"/>
      <c r="AW208" s="28"/>
      <c r="AX208" s="16"/>
      <c r="AY208" s="28" t="s">
        <v>113</v>
      </c>
      <c r="AZ208" s="16"/>
      <c r="BA208" s="28"/>
      <c r="BB208" s="16"/>
      <c r="BC208" s="28"/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8"/>
      <c r="J209" s="28"/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8"/>
      <c r="Z209" s="28"/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7">
        <v>2.0</v>
      </c>
      <c r="AP209" s="27">
        <v>1.0</v>
      </c>
      <c r="AQ209" s="28"/>
      <c r="AR209" s="28"/>
      <c r="AS209" s="27">
        <v>2.0</v>
      </c>
      <c r="AT209" s="27">
        <v>1.0</v>
      </c>
      <c r="AU209" s="28"/>
      <c r="AV209" s="28"/>
      <c r="AW209" s="28"/>
      <c r="AX209" s="28"/>
      <c r="AY209" s="27">
        <v>2.0</v>
      </c>
      <c r="AZ209" s="27">
        <v>1.0</v>
      </c>
      <c r="BA209" s="28"/>
      <c r="BB209" s="28"/>
      <c r="BC209" s="28"/>
      <c r="BD209" s="28"/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/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/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/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 t="s">
        <v>155</v>
      </c>
      <c r="AP211" s="16"/>
      <c r="AQ211" s="28"/>
      <c r="AR211" s="16"/>
      <c r="AS211" s="28" t="s">
        <v>155</v>
      </c>
      <c r="AT211" s="16"/>
      <c r="AU211" s="28"/>
      <c r="AV211" s="16"/>
      <c r="AW211" s="28"/>
      <c r="AX211" s="16"/>
      <c r="AY211" s="28" t="s">
        <v>155</v>
      </c>
      <c r="AZ211" s="16"/>
      <c r="BA211" s="28"/>
      <c r="BB211" s="16"/>
      <c r="BC211" s="28"/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8"/>
      <c r="J213" s="28"/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8"/>
      <c r="Z213" s="28"/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7">
        <v>1.0</v>
      </c>
      <c r="AP213" s="27">
        <v>1.0</v>
      </c>
      <c r="AQ213" s="28"/>
      <c r="AR213" s="28"/>
      <c r="AS213" s="27">
        <v>3.0</v>
      </c>
      <c r="AT213" s="27">
        <v>2.0</v>
      </c>
      <c r="AU213" s="28"/>
      <c r="AV213" s="28"/>
      <c r="AW213" s="28"/>
      <c r="AX213" s="28"/>
      <c r="AY213" s="27">
        <v>2.0</v>
      </c>
      <c r="AZ213" s="27">
        <v>2.0</v>
      </c>
      <c r="BA213" s="28"/>
      <c r="BB213" s="28"/>
      <c r="BC213" s="28"/>
      <c r="BD213" s="28"/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/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/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/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 t="s">
        <v>143</v>
      </c>
      <c r="AP215" s="16"/>
      <c r="AQ215" s="28"/>
      <c r="AR215" s="16"/>
      <c r="AS215" s="28" t="s">
        <v>149</v>
      </c>
      <c r="AT215" s="16"/>
      <c r="AU215" s="28"/>
      <c r="AV215" s="16"/>
      <c r="AW215" s="28"/>
      <c r="AX215" s="16"/>
      <c r="AY215" s="28" t="s">
        <v>143</v>
      </c>
      <c r="AZ215" s="16"/>
      <c r="BA215" s="28"/>
      <c r="BB215" s="16"/>
      <c r="BC215" s="28"/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8"/>
      <c r="J216" s="28"/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8"/>
      <c r="Z216" s="28"/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7">
        <v>1.0</v>
      </c>
      <c r="AP216" s="27">
        <v>2.0</v>
      </c>
      <c r="AQ216" s="28"/>
      <c r="AR216" s="28"/>
      <c r="AS216" s="27">
        <v>1.0</v>
      </c>
      <c r="AT216" s="27">
        <v>1.0</v>
      </c>
      <c r="AU216" s="28"/>
      <c r="AV216" s="28"/>
      <c r="AW216" s="28"/>
      <c r="AX216" s="28"/>
      <c r="AY216" s="27">
        <v>3.0</v>
      </c>
      <c r="AZ216" s="27">
        <v>2.0</v>
      </c>
      <c r="BA216" s="28"/>
      <c r="BB216" s="28"/>
      <c r="BC216" s="28"/>
      <c r="BD216" s="28"/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/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/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/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 t="s">
        <v>155</v>
      </c>
      <c r="AP218" s="16"/>
      <c r="AQ218" s="28"/>
      <c r="AR218" s="16"/>
      <c r="AS218" s="28" t="s">
        <v>113</v>
      </c>
      <c r="AT218" s="16"/>
      <c r="AU218" s="28"/>
      <c r="AV218" s="16"/>
      <c r="AW218" s="28"/>
      <c r="AX218" s="16"/>
      <c r="AY218" s="28" t="s">
        <v>113</v>
      </c>
      <c r="AZ218" s="16"/>
      <c r="BA218" s="28"/>
      <c r="BB218" s="16"/>
      <c r="BC218" s="28"/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8"/>
      <c r="J220" s="28"/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8"/>
      <c r="Z220" s="28"/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7">
        <v>1.0</v>
      </c>
      <c r="AP220" s="27">
        <v>1.0</v>
      </c>
      <c r="AQ220" s="28"/>
      <c r="AR220" s="28"/>
      <c r="AS220" s="27">
        <v>2.0</v>
      </c>
      <c r="AT220" s="27">
        <v>2.0</v>
      </c>
      <c r="AU220" s="28"/>
      <c r="AV220" s="28"/>
      <c r="AW220" s="28"/>
      <c r="AX220" s="28"/>
      <c r="AY220" s="27">
        <v>3.0</v>
      </c>
      <c r="AZ220" s="27">
        <v>1.0</v>
      </c>
      <c r="BA220" s="28"/>
      <c r="BB220" s="28"/>
      <c r="BC220" s="28"/>
      <c r="BD220" s="28"/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/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/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 t="s">
        <v>149</v>
      </c>
      <c r="AP222" s="16"/>
      <c r="AQ222" s="28"/>
      <c r="AR222" s="16"/>
      <c r="AS222" s="28" t="s">
        <v>143</v>
      </c>
      <c r="AT222" s="16"/>
      <c r="AU222" s="28"/>
      <c r="AV222" s="16"/>
      <c r="AW222" s="28"/>
      <c r="AX222" s="16"/>
      <c r="AY222" s="28" t="s">
        <v>360</v>
      </c>
      <c r="AZ222" s="16"/>
      <c r="BA222" s="28"/>
      <c r="BB222" s="16"/>
      <c r="BC222" s="28"/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8"/>
      <c r="J223" s="28"/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8"/>
      <c r="Z223" s="28"/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7">
        <v>2.0</v>
      </c>
      <c r="AP223" s="27">
        <v>1.0</v>
      </c>
      <c r="AQ223" s="28"/>
      <c r="AR223" s="28"/>
      <c r="AS223" s="27">
        <v>3.0</v>
      </c>
      <c r="AT223" s="27">
        <v>0.0</v>
      </c>
      <c r="AU223" s="28"/>
      <c r="AV223" s="28"/>
      <c r="AW223" s="28"/>
      <c r="AX223" s="28"/>
      <c r="AY223" s="27">
        <v>2.0</v>
      </c>
      <c r="AZ223" s="27">
        <v>1.0</v>
      </c>
      <c r="BA223" s="28"/>
      <c r="BB223" s="28"/>
      <c r="BC223" s="28"/>
      <c r="BD223" s="28"/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/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/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 t="s">
        <v>143</v>
      </c>
      <c r="AP225" s="16"/>
      <c r="AQ225" s="28"/>
      <c r="AR225" s="16"/>
      <c r="AS225" s="28" t="s">
        <v>149</v>
      </c>
      <c r="AT225" s="16"/>
      <c r="AU225" s="28"/>
      <c r="AV225" s="16"/>
      <c r="AW225" s="28"/>
      <c r="AX225" s="16"/>
      <c r="AY225" s="28" t="s">
        <v>143</v>
      </c>
      <c r="AZ225" s="16"/>
      <c r="BA225" s="28"/>
      <c r="BB225" s="16"/>
      <c r="BC225" s="28"/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/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/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 t="s">
        <v>155</v>
      </c>
      <c r="AP226" s="16"/>
      <c r="AQ226" s="28"/>
      <c r="AR226" s="16"/>
      <c r="AS226" s="28" t="s">
        <v>113</v>
      </c>
      <c r="AT226" s="16"/>
      <c r="AU226" s="28"/>
      <c r="AV226" s="16"/>
      <c r="AW226" s="28"/>
      <c r="AX226" s="16"/>
      <c r="AY226" s="28" t="s">
        <v>113</v>
      </c>
      <c r="AZ226" s="16"/>
      <c r="BA226" s="28"/>
      <c r="BB226" s="16"/>
      <c r="BC226" s="28"/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362</v>
      </c>
      <c r="D228" s="16"/>
      <c r="E228" s="28" t="s">
        <v>362</v>
      </c>
      <c r="F228" s="16"/>
      <c r="G228" s="28" t="s">
        <v>363</v>
      </c>
      <c r="H228" s="16"/>
      <c r="I228" s="28"/>
      <c r="J228" s="16"/>
      <c r="K228" s="28"/>
      <c r="L228" s="16"/>
      <c r="M228" s="28" t="s">
        <v>363</v>
      </c>
      <c r="N228" s="16"/>
      <c r="O228" s="28" t="s">
        <v>362</v>
      </c>
      <c r="P228" s="16"/>
      <c r="Q228" s="28" t="s">
        <v>362</v>
      </c>
      <c r="R228" s="16"/>
      <c r="S228" s="28"/>
      <c r="T228" s="16"/>
      <c r="U228" s="28" t="s">
        <v>362</v>
      </c>
      <c r="V228" s="16"/>
      <c r="W228" s="28" t="s">
        <v>363</v>
      </c>
      <c r="X228" s="16"/>
      <c r="Y228" s="28"/>
      <c r="Z228" s="16"/>
      <c r="AA228" s="28" t="s">
        <v>362</v>
      </c>
      <c r="AB228" s="16"/>
      <c r="AC228" s="28"/>
      <c r="AD228" s="16"/>
      <c r="AE228" s="28" t="s">
        <v>363</v>
      </c>
      <c r="AF228" s="16"/>
      <c r="AG228" s="28" t="s">
        <v>362</v>
      </c>
      <c r="AH228" s="16"/>
      <c r="AI228" s="28"/>
      <c r="AJ228" s="16"/>
      <c r="AK228" s="28" t="s">
        <v>362</v>
      </c>
      <c r="AL228" s="16"/>
      <c r="AM228" s="28"/>
      <c r="AN228" s="16"/>
      <c r="AO228" s="28" t="s">
        <v>362</v>
      </c>
      <c r="AP228" s="16"/>
      <c r="AQ228" s="28"/>
      <c r="AR228" s="16"/>
      <c r="AS228" s="28" t="s">
        <v>362</v>
      </c>
      <c r="AT228" s="16"/>
      <c r="AU228" s="28"/>
      <c r="AV228" s="16"/>
      <c r="AW228" s="28"/>
      <c r="AX228" s="16"/>
      <c r="AY228" s="28" t="s">
        <v>364</v>
      </c>
      <c r="AZ228" s="16"/>
      <c r="BA228" s="28"/>
      <c r="BB228" s="16"/>
      <c r="BC228" s="28"/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362</v>
      </c>
      <c r="D229" s="16"/>
      <c r="E229" s="28" t="s">
        <v>362</v>
      </c>
      <c r="F229" s="16"/>
      <c r="G229" s="28" t="s">
        <v>362</v>
      </c>
      <c r="H229" s="16"/>
      <c r="I229" s="28"/>
      <c r="J229" s="16"/>
      <c r="K229" s="28"/>
      <c r="L229" s="16"/>
      <c r="M229" s="28" t="s">
        <v>363</v>
      </c>
      <c r="N229" s="16"/>
      <c r="O229" s="28" t="s">
        <v>362</v>
      </c>
      <c r="P229" s="16"/>
      <c r="Q229" s="28" t="s">
        <v>362</v>
      </c>
      <c r="R229" s="16"/>
      <c r="S229" s="28"/>
      <c r="T229" s="16"/>
      <c r="U229" s="28" t="s">
        <v>362</v>
      </c>
      <c r="V229" s="16"/>
      <c r="W229" s="28" t="s">
        <v>362</v>
      </c>
      <c r="X229" s="16"/>
      <c r="Y229" s="28"/>
      <c r="Z229" s="16"/>
      <c r="AA229" s="28" t="s">
        <v>366</v>
      </c>
      <c r="AB229" s="16"/>
      <c r="AC229" s="28"/>
      <c r="AD229" s="16"/>
      <c r="AE229" s="29" t="s">
        <v>367</v>
      </c>
      <c r="AF229" s="16"/>
      <c r="AG229" s="28" t="s">
        <v>362</v>
      </c>
      <c r="AH229" s="16"/>
      <c r="AI229" s="28"/>
      <c r="AJ229" s="16"/>
      <c r="AK229" s="28" t="s">
        <v>366</v>
      </c>
      <c r="AL229" s="16"/>
      <c r="AM229" s="28"/>
      <c r="AN229" s="16"/>
      <c r="AO229" s="29" t="s">
        <v>367</v>
      </c>
      <c r="AP229" s="16"/>
      <c r="AQ229" s="28"/>
      <c r="AR229" s="16"/>
      <c r="AS229" s="28" t="s">
        <v>363</v>
      </c>
      <c r="AT229" s="16"/>
      <c r="AU229" s="28"/>
      <c r="AV229" s="16"/>
      <c r="AW229" s="28"/>
      <c r="AX229" s="16"/>
      <c r="AY229" s="28" t="s">
        <v>364</v>
      </c>
      <c r="AZ229" s="16"/>
      <c r="BA229" s="28"/>
      <c r="BB229" s="16"/>
      <c r="BC229" s="28"/>
      <c r="BD229" s="16"/>
      <c r="BE229" s="28" t="s">
        <v>368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 t="s">
        <v>369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 t="s">
        <v>369</v>
      </c>
      <c r="AF231" s="1"/>
      <c r="AG231" s="1"/>
      <c r="AH231" s="1"/>
      <c r="AI231" s="1"/>
      <c r="AJ231" s="1"/>
      <c r="AK231" s="1"/>
      <c r="AL231" s="1"/>
      <c r="AM231" s="31" t="s">
        <v>370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371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372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373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374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375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376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377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378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379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380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381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382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383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384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385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386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387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388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389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390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391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392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393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394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395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396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397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398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399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400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401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402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403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404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405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406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407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408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409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410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411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412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413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414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415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416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417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418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419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420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421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422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423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424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425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426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427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428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429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430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431</v>
      </c>
      <c r="C138" s="38">
        <f>IFERROR(IF(AND('Real results'!C134&lt;&gt;"",'Raw data'!C134&lt;&gt;"",UPPER(TRIM('Real results'!C134))=UPPER(TRIM('Raw data'!C134))),1,0),0)</f>
        <v>0</v>
      </c>
      <c r="D138" s="36"/>
      <c r="E138" s="38">
        <f>IFERROR(IF(AND('Real results'!C134&lt;&gt;"",'Raw data'!E134&lt;&gt;"",UPPER(TRIM('Real results'!C134))=UPPER(TRIM('Raw data'!E134))),1,0),0)</f>
        <v>0</v>
      </c>
      <c r="F138" s="36"/>
      <c r="G138" s="38">
        <f>IFERROR(IF(AND('Real results'!C134&lt;&gt;"",'Raw data'!G134&lt;&gt;"",UPPER(TRIM('Real results'!C134))=UPPER(TRIM('Raw data'!G134))),1,0),0)</f>
        <v>0</v>
      </c>
      <c r="H138" s="36"/>
      <c r="I138" s="38">
        <f>IFERROR(IF(AND('Real results'!C134&lt;&gt;"",'Raw data'!I134&lt;&gt;"",UPPER(TRIM('Real results'!C134))=UPPER(TRIM('Raw data'!I134))),1,0),0)</f>
        <v>0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0</v>
      </c>
      <c r="N138" s="36"/>
      <c r="O138" s="38">
        <f>IFERROR(IF(AND('Real results'!C134&lt;&gt;"",'Raw data'!O134&lt;&gt;"",UPPER(TRIM('Real results'!C134))=UPPER(TRIM('Raw data'!O134))),1,0),0)</f>
        <v>0</v>
      </c>
      <c r="P138" s="36"/>
      <c r="Q138" s="38">
        <f>IFERROR(IF(AND('Real results'!C134&lt;&gt;"",'Raw data'!Q134&lt;&gt;"",UPPER(TRIM('Real results'!C134))=UPPER(TRIM('Raw data'!Q134))),1,0),0)</f>
        <v>0</v>
      </c>
      <c r="R138" s="36"/>
      <c r="S138" s="38">
        <f>IFERROR(IF(AND('Real results'!C134&lt;&gt;"",'Raw data'!S134&lt;&gt;"",UPPER(TRIM('Real results'!C134))=UPPER(TRIM('Raw data'!S134))),1,0),0)</f>
        <v>0</v>
      </c>
      <c r="T138" s="36"/>
      <c r="U138" s="38">
        <f>IFERROR(IF(AND('Real results'!C134&lt;&gt;"",'Raw data'!U134&lt;&gt;"",UPPER(TRIM('Real results'!C134))=UPPER(TRIM('Raw data'!U134))),1,0),0)</f>
        <v>0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0</v>
      </c>
      <c r="Z138" s="36"/>
      <c r="AA138" s="38">
        <f>IFERROR(IF(AND('Real results'!C134&lt;&gt;"",'Raw data'!AA134&lt;&gt;"",UPPER(TRIM('Real results'!C134))=UPPER(TRIM('Raw data'!AA134))),1,0),0)</f>
        <v>0</v>
      </c>
      <c r="AB138" s="36"/>
      <c r="AC138" s="38">
        <f>IFERROR(IF(AND('Real results'!C134&lt;&gt;"",'Raw data'!AC134&lt;&gt;"",UPPER(TRIM('Real results'!C134))=UPPER(TRIM('Raw data'!AC134))),1,0),0)</f>
        <v>0</v>
      </c>
      <c r="AD138" s="36"/>
      <c r="AE138" s="38">
        <f>IFERROR(IF(AND('Real results'!C134&lt;&gt;"",'Raw data'!AE134&lt;&gt;"",UPPER(TRIM('Real results'!C134))=UPPER(TRIM('Raw data'!AE134))),1,0),0)</f>
        <v>0</v>
      </c>
      <c r="AF138" s="36"/>
      <c r="AG138" s="38">
        <f>IFERROR(IF(AND('Real results'!C134&lt;&gt;"",'Raw data'!AG134&lt;&gt;"",UPPER(TRIM('Real results'!C134))=UPPER(TRIM('Raw data'!AG134))),1,0),0)</f>
        <v>0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0</v>
      </c>
      <c r="AL138" s="36"/>
      <c r="AM138" s="38">
        <f>IFERROR(IF(AND('Real results'!C134&lt;&gt;"",'Raw data'!AM134&lt;&gt;"",UPPER(TRIM('Real results'!C134))=UPPER(TRIM('Raw data'!AM134))),1,0),0)</f>
        <v>0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0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0</v>
      </c>
      <c r="AV138" s="36"/>
      <c r="AW138" s="38">
        <f>IFERROR(IF(AND('Real results'!C134&lt;&gt;"",'Raw data'!AW134&lt;&gt;"",UPPER(TRIM('Real results'!C134))=UPPER(TRIM('Raw data'!AW134))),1,0),0)</f>
        <v>0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0</v>
      </c>
      <c r="BB138" s="36"/>
      <c r="BC138" s="38">
        <f>IFERROR(IF(AND('Real results'!C134&lt;&gt;"",'Raw data'!BC134&lt;&gt;"",UPPER(TRIM('Real results'!C134))=UPPER(TRIM('Raw data'!BC134))),1,0),0)</f>
        <v>0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432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433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434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0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0</v>
      </c>
      <c r="V141" s="36"/>
      <c r="W141" s="38">
        <f>IFERROR(IF(AND('Real results'!C137&lt;&gt;"",'Raw data'!W137&lt;&gt;"",UPPER(TRIM('Real results'!C137))=UPPER(TRIM('Raw data'!W137))),1,0),0)</f>
        <v>0</v>
      </c>
      <c r="X141" s="36"/>
      <c r="Y141" s="38">
        <f>IFERROR(IF(AND('Real results'!C137&lt;&gt;"",'Raw data'!Y137&lt;&gt;"",UPPER(TRIM('Real results'!C137))=UPPER(TRIM('Raw data'!Y137))),1,0),0)</f>
        <v>0</v>
      </c>
      <c r="Z141" s="36"/>
      <c r="AA141" s="38">
        <f>IFERROR(IF(AND('Real results'!C137&lt;&gt;"",'Raw data'!AA137&lt;&gt;"",UPPER(TRIM('Real results'!C137))=UPPER(TRIM('Raw data'!AA137))),1,0),0)</f>
        <v>0</v>
      </c>
      <c r="AB141" s="36"/>
      <c r="AC141" s="38">
        <f>IFERROR(IF(AND('Real results'!C137&lt;&gt;"",'Raw data'!AC137&lt;&gt;"",UPPER(TRIM('Real results'!C137))=UPPER(TRIM('Raw data'!AC137))),1,0),0)</f>
        <v>0</v>
      </c>
      <c r="AD141" s="36"/>
      <c r="AE141" s="38">
        <f>IFERROR(IF(AND('Real results'!C137&lt;&gt;"",'Raw data'!AE137&lt;&gt;"",UPPER(TRIM('Real results'!C137))=UPPER(TRIM('Raw data'!AE137))),1,0),0)</f>
        <v>0</v>
      </c>
      <c r="AF141" s="36"/>
      <c r="AG141" s="38">
        <f>IFERROR(IF(AND('Real results'!C137&lt;&gt;"",'Raw data'!AG137&lt;&gt;"",UPPER(TRIM('Real results'!C137))=UPPER(TRIM('Raw data'!AG137))),1,0),0)</f>
        <v>0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0</v>
      </c>
      <c r="AL141" s="36"/>
      <c r="AM141" s="38">
        <f>IFERROR(IF(AND('Real results'!C137&lt;&gt;"",'Raw data'!AM137&lt;&gt;"",UPPER(TRIM('Real results'!C137))=UPPER(TRIM('Raw data'!AM137))),1,0),0)</f>
        <v>0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0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0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435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436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437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438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439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440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441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442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443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444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445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446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447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448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449</v>
      </c>
      <c r="C156" s="38">
        <f>IFERROR(IF(AND('Real results'!C152&lt;&gt;"",'Raw data'!C152&lt;&gt;"",UPPER(TRIM('Real results'!C152))=UPPER(TRIM('Raw data'!C152))),1,0),0)</f>
        <v>0</v>
      </c>
      <c r="D156" s="36"/>
      <c r="E156" s="38">
        <f>IFERROR(IF(AND('Real results'!C152&lt;&gt;"",'Raw data'!E152&lt;&gt;"",UPPER(TRIM('Real results'!C152))=UPPER(TRIM('Raw data'!E152))),1,0),0)</f>
        <v>0</v>
      </c>
      <c r="F156" s="36"/>
      <c r="G156" s="38">
        <f>IFERROR(IF(AND('Real results'!C152&lt;&gt;"",'Raw data'!G152&lt;&gt;"",UPPER(TRIM('Real results'!C152))=UPPER(TRIM('Raw data'!G152))),1,0),0)</f>
        <v>0</v>
      </c>
      <c r="H156" s="36"/>
      <c r="I156" s="38">
        <f>IFERROR(IF(AND('Real results'!C152&lt;&gt;"",'Raw data'!I152&lt;&gt;"",UPPER(TRIM('Real results'!C152))=UPPER(TRIM('Raw data'!I152))),1,0),0)</f>
        <v>0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0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0</v>
      </c>
      <c r="R156" s="36"/>
      <c r="S156" s="38">
        <f>IFERROR(IF(AND('Real results'!C152&lt;&gt;"",'Raw data'!S152&lt;&gt;"",UPPER(TRIM('Real results'!C152))=UPPER(TRIM('Raw data'!S152))),1,0),0)</f>
        <v>0</v>
      </c>
      <c r="T156" s="36"/>
      <c r="U156" s="38">
        <f>IFERROR(IF(AND('Real results'!C152&lt;&gt;"",'Raw data'!U152&lt;&gt;"",UPPER(TRIM('Real results'!C152))=UPPER(TRIM('Raw data'!U152))),1,0),0)</f>
        <v>0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0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0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0</v>
      </c>
      <c r="AH156" s="36"/>
      <c r="AI156" s="38">
        <f>IFERROR(IF(AND('Real results'!C152&lt;&gt;"",'Raw data'!AI152&lt;&gt;"",UPPER(TRIM('Real results'!C152))=UPPER(TRIM('Raw data'!AI152))),1,0),0)</f>
        <v>0</v>
      </c>
      <c r="AJ156" s="36"/>
      <c r="AK156" s="38">
        <f>IFERROR(IF(AND('Real results'!C152&lt;&gt;"",'Raw data'!AK152&lt;&gt;"",UPPER(TRIM('Real results'!C152))=UPPER(TRIM('Raw data'!AK152))),1,0),0)</f>
        <v>0</v>
      </c>
      <c r="AL156" s="36"/>
      <c r="AM156" s="38">
        <f>IFERROR(IF(AND('Real results'!C152&lt;&gt;"",'Raw data'!AM152&lt;&gt;"",UPPER(TRIM('Real results'!C152))=UPPER(TRIM('Raw data'!AM152))),1,0),0)</f>
        <v>0</v>
      </c>
      <c r="AN156" s="36"/>
      <c r="AO156" s="38">
        <f>IFERROR(IF(AND('Real results'!C152&lt;&gt;"",'Raw data'!AO152&lt;&gt;"",UPPER(TRIM('Real results'!C152))=UPPER(TRIM('Raw data'!AO152))),1,0),0)</f>
        <v>0</v>
      </c>
      <c r="AP156" s="36"/>
      <c r="AQ156" s="38">
        <f>IFERROR(IF(AND('Real results'!C152&lt;&gt;"",'Raw data'!AQ152&lt;&gt;"",UPPER(TRIM('Real results'!C152))=UPPER(TRIM('Raw data'!AQ152))),1,0),0)</f>
        <v>0</v>
      </c>
      <c r="AR156" s="36"/>
      <c r="AS156" s="38">
        <f>IFERROR(IF(AND('Real results'!C152&lt;&gt;"",'Raw data'!AS152&lt;&gt;"",UPPER(TRIM('Real results'!C152))=UPPER(TRIM('Raw data'!AS152))),1,0),0)</f>
        <v>0</v>
      </c>
      <c r="AT156" s="36"/>
      <c r="AU156" s="38">
        <f>IFERROR(IF(AND('Real results'!C152&lt;&gt;"",'Raw data'!AU152&lt;&gt;"",UPPER(TRIM('Real results'!C152))=UPPER(TRIM('Raw data'!AU152))),1,0),0)</f>
        <v>0</v>
      </c>
      <c r="AV156" s="36"/>
      <c r="AW156" s="38">
        <f>IFERROR(IF(AND('Real results'!C152&lt;&gt;"",'Raw data'!AW152&lt;&gt;"",UPPER(TRIM('Real results'!C152))=UPPER(TRIM('Raw data'!AW152))),1,0),0)</f>
        <v>0</v>
      </c>
      <c r="AX156" s="36"/>
      <c r="AY156" s="38">
        <f>IFERROR(IF(AND('Real results'!C152&lt;&gt;"",'Raw data'!AY152&lt;&gt;"",UPPER(TRIM('Real results'!C152))=UPPER(TRIM('Raw data'!AY152))),1,0),0)</f>
        <v>0</v>
      </c>
      <c r="AZ156" s="36"/>
      <c r="BA156" s="38">
        <f>IFERROR(IF(AND('Real results'!C152&lt;&gt;"",'Raw data'!BA152&lt;&gt;"",UPPER(TRIM('Real results'!C152))=UPPER(TRIM('Raw data'!BA152))),1,0),0)</f>
        <v>0</v>
      </c>
      <c r="BB156" s="36"/>
      <c r="BC156" s="38">
        <f>IFERROR(IF(AND('Real results'!C152&lt;&gt;"",'Raw data'!BC152&lt;&gt;"",UPPER(TRIM('Real results'!C152))=UPPER(TRIM('Raw data'!BC152))),1,0),0)</f>
        <v>0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450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451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452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453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454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455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456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457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458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459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460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461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462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463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464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465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466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467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468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469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470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471</v>
      </c>
      <c r="C178" s="40">
        <f>SUM(C130:C177)</f>
        <v>0</v>
      </c>
      <c r="D178" s="36"/>
      <c r="E178" s="40">
        <f>SUM(E130:E177)</f>
        <v>0</v>
      </c>
      <c r="F178" s="36"/>
      <c r="G178" s="40">
        <f>SUM(G130:G177)</f>
        <v>0</v>
      </c>
      <c r="H178" s="36"/>
      <c r="I178" s="40">
        <f>SUM(I130:I177)</f>
        <v>0</v>
      </c>
      <c r="J178" s="36"/>
      <c r="K178" s="40">
        <f>SUM(K130:K177)</f>
        <v>0</v>
      </c>
      <c r="L178" s="36"/>
      <c r="M178" s="40">
        <f>SUM(M130:M177)</f>
        <v>0</v>
      </c>
      <c r="N178" s="36"/>
      <c r="O178" s="40">
        <f>SUM(O130:O177)</f>
        <v>0</v>
      </c>
      <c r="P178" s="36"/>
      <c r="Q178" s="40">
        <f>SUM(Q130:Q177)</f>
        <v>0</v>
      </c>
      <c r="R178" s="36"/>
      <c r="S178" s="40">
        <f>SUM(S130:S177)</f>
        <v>0</v>
      </c>
      <c r="T178" s="36"/>
      <c r="U178" s="40">
        <f>SUM(U130:U177)</f>
        <v>0</v>
      </c>
      <c r="V178" s="36"/>
      <c r="W178" s="40">
        <f>SUM(W130:W177)</f>
        <v>0</v>
      </c>
      <c r="X178" s="36"/>
      <c r="Y178" s="40">
        <f>SUM(Y130:Y177)</f>
        <v>0</v>
      </c>
      <c r="Z178" s="36"/>
      <c r="AA178" s="40">
        <f>SUM(AA130:AA177)</f>
        <v>0</v>
      </c>
      <c r="AB178" s="36"/>
      <c r="AC178" s="40">
        <f>SUM(AC130:AC177)</f>
        <v>0</v>
      </c>
      <c r="AD178" s="36"/>
      <c r="AE178" s="40">
        <f>SUM(AE130:AE177)</f>
        <v>0</v>
      </c>
      <c r="AF178" s="36"/>
      <c r="AG178" s="40">
        <f>SUM(AG130:AG177)</f>
        <v>0</v>
      </c>
      <c r="AH178" s="36"/>
      <c r="AI178" s="40">
        <f>SUM(AI130:AI177)</f>
        <v>0</v>
      </c>
      <c r="AJ178" s="36"/>
      <c r="AK178" s="40">
        <f>SUM(AK130:AK177)</f>
        <v>0</v>
      </c>
      <c r="AL178" s="36"/>
      <c r="AM178" s="40">
        <f>SUM(AM130:AM177)</f>
        <v>0</v>
      </c>
      <c r="AN178" s="36"/>
      <c r="AO178" s="40">
        <f>SUM(AO130:AO177)</f>
        <v>0</v>
      </c>
      <c r="AP178" s="36"/>
      <c r="AQ178" s="40">
        <f>SUM(AQ130:AQ177)</f>
        <v>0</v>
      </c>
      <c r="AR178" s="36"/>
      <c r="AS178" s="40">
        <f>SUM(AS130:AS177)</f>
        <v>0</v>
      </c>
      <c r="AT178" s="36"/>
      <c r="AU178" s="40">
        <f>SUM(AU130:AU177)</f>
        <v>0</v>
      </c>
      <c r="AV178" s="36"/>
      <c r="AW178" s="40">
        <f>SUM(AW130:AW177)</f>
        <v>0</v>
      </c>
      <c r="AX178" s="36"/>
      <c r="AY178" s="40">
        <f>SUM(AY130:AY177)</f>
        <v>0</v>
      </c>
      <c r="AZ178" s="36"/>
      <c r="BA178" s="40">
        <f>SUM(BA130:BA177)</f>
        <v>0</v>
      </c>
      <c r="BB178" s="36"/>
      <c r="BC178" s="40">
        <f>SUM(BC130:BC177)</f>
        <v>0</v>
      </c>
      <c r="BD178" s="36"/>
      <c r="BE178" s="40">
        <f>SUM(BE130:BE177)</f>
        <v>0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472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473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474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475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476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477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478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479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480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481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482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483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484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485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486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487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488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489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490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491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492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493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494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495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496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497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498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499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500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501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502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503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504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505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506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507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508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509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510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511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512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513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514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515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516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517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518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519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520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521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522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523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results'!C228&lt;&gt;"",'Raw data'!S228&lt;&gt;"",UPPER(TRIM('Real results'!C228))=UPPER(TRIM('Raw data'!S228))),8,0),0)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data'!AC228&lt;&gt;"",UPPER(TRIM('Real results'!C228))=UPPER(TRIM('Raw data'!AC228))),8,0),0)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results'!C229&lt;&gt;"",'Raw data'!S229&lt;&gt;"",UPPER(TRIM('Real results'!C229))=UPPER(TRIM('Raw data'!S229))),8,0),0)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data'!AC229&lt;&gt;"",UPPER(TRIM('Real results'!C229))=UPPER(TRIM('Raw data'!AC229))),8,0),0)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524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525</v>
      </c>
      <c r="C241" s="43">
        <f>SUMIF($B$7:$B$240,"Subtotal*",C$7:C$240)</f>
        <v>147</v>
      </c>
      <c r="D241" s="36"/>
      <c r="E241" s="43">
        <f>SUMIF($B$7:$B$240,"Subtotal*",E$7:E$240)</f>
        <v>157</v>
      </c>
      <c r="F241" s="36"/>
      <c r="G241" s="43">
        <f>SUMIF($B$7:$B$240,"Subtotal*",G$7:G$240)</f>
        <v>145</v>
      </c>
      <c r="H241" s="36"/>
      <c r="I241" s="43">
        <f>SUMIF($B$7:$B$240,"Subtotal*",I$7:I$240)</f>
        <v>151</v>
      </c>
      <c r="J241" s="36"/>
      <c r="K241" s="43">
        <f>SUMIF($B$7:$B$240,"Subtotal*",K$7:K$240)</f>
        <v>159</v>
      </c>
      <c r="L241" s="36"/>
      <c r="M241" s="43">
        <f>SUMIF($B$7:$B$240,"Subtotal*",M$7:M$240)</f>
        <v>152</v>
      </c>
      <c r="N241" s="36"/>
      <c r="O241" s="43">
        <f>SUMIF($B$7:$B$240,"Subtotal*",O$7:O$240)</f>
        <v>143</v>
      </c>
      <c r="P241" s="36"/>
      <c r="Q241" s="43">
        <f>SUMIF($B$7:$B$240,"Subtotal*",Q$7:Q$240)</f>
        <v>156</v>
      </c>
      <c r="R241" s="36"/>
      <c r="S241" s="43">
        <f>SUMIF($B$7:$B$240,"Subtotal*",S$7:S$240)</f>
        <v>155</v>
      </c>
      <c r="T241" s="36"/>
      <c r="U241" s="43">
        <f>SUMIF($B$7:$B$240,"Subtotal*",U$7:U$240)</f>
        <v>159</v>
      </c>
      <c r="V241" s="36"/>
      <c r="W241" s="43">
        <f>SUMIF($B$7:$B$240,"Subtotal*",W$7:W$240)</f>
        <v>153</v>
      </c>
      <c r="X241" s="36"/>
      <c r="Y241" s="43">
        <f>SUMIF($B$7:$B$240,"Subtotal*",Y$7:Y$240)</f>
        <v>139</v>
      </c>
      <c r="Z241" s="36"/>
      <c r="AA241" s="43">
        <f>SUMIF($B$7:$B$240,"Subtotal*",AA$7:AA$240)</f>
        <v>161</v>
      </c>
      <c r="AB241" s="36"/>
      <c r="AC241" s="43">
        <f>SUMIF($B$7:$B$240,"Subtotal*",AC$7:AC$240)</f>
        <v>132</v>
      </c>
      <c r="AD241" s="36"/>
      <c r="AE241" s="43">
        <f>SUMIF($B$7:$B$240,"Subtotal*",AE$7:AE$240)</f>
        <v>166</v>
      </c>
      <c r="AF241" s="36"/>
      <c r="AG241" s="43">
        <f>SUMIF($B$7:$B$240,"Subtotal*",AG$7:AG$240)</f>
        <v>153</v>
      </c>
      <c r="AH241" s="36"/>
      <c r="AI241" s="43">
        <f>SUMIF($B$7:$B$240,"Subtotal*",AI$7:AI$240)</f>
        <v>152</v>
      </c>
      <c r="AJ241" s="36"/>
      <c r="AK241" s="43">
        <f>SUMIF($B$7:$B$240,"Subtotal*",AK$7:AK$240)</f>
        <v>166</v>
      </c>
      <c r="AL241" s="36"/>
      <c r="AM241" s="43">
        <f>SUMIF($B$7:$B$240,"Subtotal*",AM$7:AM$240)</f>
        <v>157</v>
      </c>
      <c r="AN241" s="36"/>
      <c r="AO241" s="43">
        <f>SUMIF($B$7:$B$240,"Subtotal*",AO$7:AO$240)</f>
        <v>173</v>
      </c>
      <c r="AP241" s="36"/>
      <c r="AQ241" s="43">
        <f>SUMIF($B$7:$B$240,"Subtotal*",AQ$7:AQ$240)</f>
        <v>141</v>
      </c>
      <c r="AR241" s="36"/>
      <c r="AS241" s="43">
        <f>SUMIF($B$7:$B$240,"Subtotal*",AS$7:AS$240)</f>
        <v>144</v>
      </c>
      <c r="AT241" s="36"/>
      <c r="AU241" s="43">
        <f>SUMIF($B$7:$B$240,"Subtotal*",AU$7:AU$240)</f>
        <v>161</v>
      </c>
      <c r="AV241" s="36"/>
      <c r="AW241" s="43">
        <f>SUMIF($B$7:$B$240,"Subtotal*",AW$7:AW$240)</f>
        <v>125</v>
      </c>
      <c r="AX241" s="36"/>
      <c r="AY241" s="43">
        <f>SUMIF($B$7:$B$240,"Subtotal*",AY$7:AY$240)</f>
        <v>167</v>
      </c>
      <c r="AZ241" s="36"/>
      <c r="BA241" s="43">
        <f>SUMIF($B$7:$B$240,"Subtotal*",BA$7:BA$240)</f>
        <v>141</v>
      </c>
      <c r="BB241" s="36"/>
      <c r="BC241" s="43">
        <f>SUMIF($B$7:$B$240,"Subtotal*",BC$7:BC$240)</f>
        <v>155</v>
      </c>
      <c r="BD241" s="36"/>
      <c r="BE241" s="43">
        <f>SUMIF($B$7:$B$240,"Subtotal*",BE$7:BE$240)</f>
        <v>156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526</v>
      </c>
      <c r="E2" s="1"/>
      <c r="F2" s="1"/>
      <c r="G2" s="1"/>
      <c r="H2" s="1"/>
    </row>
    <row r="3" ht="21.75" customHeight="1">
      <c r="A3" s="1"/>
      <c r="B3" s="9" t="s">
        <v>527</v>
      </c>
      <c r="E3" s="1"/>
      <c r="F3" s="45" t="s">
        <v>528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529</v>
      </c>
      <c r="C5" s="10" t="s">
        <v>530</v>
      </c>
      <c r="D5" s="10" t="s">
        <v>531</v>
      </c>
      <c r="E5" s="1"/>
      <c r="F5" s="45" t="s">
        <v>532</v>
      </c>
      <c r="G5" s="45" t="s">
        <v>533</v>
      </c>
      <c r="H5" s="45" t="s">
        <v>534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Adri</v>
      </c>
      <c r="D6" s="48">
        <f t="array" ref="D6">IFERROR(INDEX(G6:G35,MATCH(LARGE(H6:H35,1),H6:H35,0)),"")</f>
        <v>173</v>
      </c>
      <c r="E6" s="1"/>
      <c r="F6" s="49" t="str">
        <f>'Raw data'!C6</f>
        <v>Matt</v>
      </c>
      <c r="G6" s="49">
        <f>Calculation!C241</f>
        <v>147</v>
      </c>
      <c r="H6" s="49">
        <f>G6*1000-0</f>
        <v>147000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Hugo</v>
      </c>
      <c r="D7" s="52">
        <f t="array" ref="D7">IFERROR(INDEX(G6:G35,MATCH(LARGE(H6:H35,2),H6:H35,0)),"")</f>
        <v>167</v>
      </c>
      <c r="E7" s="1"/>
      <c r="F7" s="49" t="str">
        <f>'Raw data'!E6</f>
        <v>Fer</v>
      </c>
      <c r="G7" s="49">
        <f>Calculation!E241</f>
        <v>157</v>
      </c>
      <c r="H7" s="49">
        <f>G7*1000-1</f>
        <v>156999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Toño</v>
      </c>
      <c r="D8" s="55">
        <f t="array" ref="D8">IFERROR(INDEX(G6:G35,MATCH(LARGE(H6:H35,3),H6:H35,0)),"")</f>
        <v>166</v>
      </c>
      <c r="E8" s="1"/>
      <c r="F8" s="49" t="str">
        <f>'Raw data'!G6</f>
        <v>Pano</v>
      </c>
      <c r="G8" s="49">
        <f>Calculation!G241</f>
        <v>145</v>
      </c>
      <c r="H8" s="49">
        <f>G8*1000-2</f>
        <v>144998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Irene</v>
      </c>
      <c r="D9" s="58">
        <f t="array" ref="D9">IFERROR(INDEX(G6:G35,MATCH(LARGE(H6:H35,4),H6:H35,0)),"")</f>
        <v>166</v>
      </c>
      <c r="E9" s="1"/>
      <c r="F9" s="49" t="str">
        <f>'Raw data'!I6</f>
        <v>Tere y Edu</v>
      </c>
      <c r="G9" s="49">
        <f>Calculation!I241</f>
        <v>151</v>
      </c>
      <c r="H9" s="49">
        <f>G9*1000-3</f>
        <v>150997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Cillian</v>
      </c>
      <c r="D10" s="58">
        <f t="array" ref="D10">IFERROR(INDEX(G6:G35,MATCH(LARGE(H6:H35,5),H6:H35,0)),"")</f>
        <v>161</v>
      </c>
      <c r="E10" s="1"/>
      <c r="F10" s="49" t="str">
        <f>'Raw data'!K6</f>
        <v>Nadia</v>
      </c>
      <c r="G10" s="49">
        <f>Calculation!K241</f>
        <v>159</v>
      </c>
      <c r="H10" s="49">
        <f>G10*1000-4</f>
        <v>158996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Mile</v>
      </c>
      <c r="D11" s="58">
        <f t="array" ref="D11">IFERROR(INDEX(G6:G35,MATCH(LARGE(H6:H35,6),H6:H35,0)),"")</f>
        <v>161</v>
      </c>
      <c r="E11" s="1"/>
      <c r="F11" s="49" t="str">
        <f>'Raw data'!M6</f>
        <v>JE</v>
      </c>
      <c r="G11" s="49">
        <f>Calculation!M241</f>
        <v>152</v>
      </c>
      <c r="H11" s="49">
        <f>G11*1000-5</f>
        <v>151995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Nadia</v>
      </c>
      <c r="D12" s="58">
        <f t="array" ref="D12">IFERROR(INDEX(G6:G35,MATCH(LARGE(H6:H35,7),H6:H35,0)),"")</f>
        <v>159</v>
      </c>
      <c r="E12" s="1"/>
      <c r="F12" s="49" t="str">
        <f>'Raw data'!O6</f>
        <v>Lucía</v>
      </c>
      <c r="G12" s="49">
        <f>Calculation!O241</f>
        <v>143</v>
      </c>
      <c r="H12" s="49">
        <f>G12*1000-6</f>
        <v>142994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Pablo</v>
      </c>
      <c r="D13" s="58">
        <f t="array" ref="D13">IFERROR(INDEX(G6:G35,MATCH(LARGE(H6:H35,8),H6:H35,0)),"")</f>
        <v>159</v>
      </c>
      <c r="E13" s="1"/>
      <c r="F13" s="49" t="str">
        <f>'Raw data'!Q6</f>
        <v>Kike</v>
      </c>
      <c r="G13" s="49">
        <f>Calculation!Q241</f>
        <v>156</v>
      </c>
      <c r="H13" s="49">
        <f>G13*1000-7</f>
        <v>155993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Fer</v>
      </c>
      <c r="D14" s="58">
        <f t="array" ref="D14">IFERROR(INDEX(G6:G35,MATCH(LARGE(H6:H35,9),H6:H35,0)),"")</f>
        <v>157</v>
      </c>
      <c r="E14" s="1"/>
      <c r="F14" s="49" t="str">
        <f>'Raw data'!S6</f>
        <v>Paibol</v>
      </c>
      <c r="G14" s="49">
        <f>Calculation!S241</f>
        <v>155</v>
      </c>
      <c r="H14" s="49">
        <f>G14*1000-8</f>
        <v>154992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Andy</v>
      </c>
      <c r="D15" s="58">
        <f t="array" ref="D15">IFERROR(INDEX(G6:G35,MATCH(LARGE(H6:H35,10),H6:H35,0)),"")</f>
        <v>157</v>
      </c>
      <c r="E15" s="1"/>
      <c r="F15" s="49" t="str">
        <f>'Raw data'!U6</f>
        <v>Pablo</v>
      </c>
      <c r="G15" s="49">
        <f>Calculation!U241</f>
        <v>159</v>
      </c>
      <c r="H15" s="49">
        <f>G15*1000-9</f>
        <v>158991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Kike</v>
      </c>
      <c r="D16" s="58">
        <f t="array" ref="D16">IFERROR(INDEX(G6:G35,MATCH(LARGE(H6:H35,11),H6:H35,0)),"")</f>
        <v>156</v>
      </c>
      <c r="E16" s="1"/>
      <c r="F16" s="49" t="str">
        <f>'Raw data'!W6</f>
        <v>Almu</v>
      </c>
      <c r="G16" s="49">
        <f>Calculation!W241</f>
        <v>153</v>
      </c>
      <c r="H16" s="49">
        <f>G16*1000-10</f>
        <v>152990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Manu</v>
      </c>
      <c r="D17" s="58">
        <f t="array" ref="D17">IFERROR(INDEX(G6:G35,MATCH(LARGE(H6:H35,12),H6:H35,0)),"")</f>
        <v>156</v>
      </c>
      <c r="E17" s="1"/>
      <c r="F17" s="49" t="str">
        <f>'Raw data'!Y6</f>
        <v>Juanorro</v>
      </c>
      <c r="G17" s="49">
        <f>Calculation!Y241</f>
        <v>139</v>
      </c>
      <c r="H17" s="49">
        <f>G17*1000-11</f>
        <v>138989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Paibol</v>
      </c>
      <c r="D18" s="58">
        <f t="array" ref="D18">IFERROR(INDEX(G6:G35,MATCH(LARGE(H6:H35,13),H6:H35,0)),"")</f>
        <v>155</v>
      </c>
      <c r="E18" s="1"/>
      <c r="F18" s="49" t="str">
        <f>'Raw data'!AA6</f>
        <v>Cillian</v>
      </c>
      <c r="G18" s="49">
        <f>Calculation!AA241</f>
        <v>161</v>
      </c>
      <c r="H18" s="49">
        <f>G18*1000-12</f>
        <v>160988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Emilio</v>
      </c>
      <c r="D19" s="58">
        <f t="array" ref="D19">IFERROR(INDEX(G6:G35,MATCH(LARGE(H6:H35,14),H6:H35,0)),"")</f>
        <v>155</v>
      </c>
      <c r="E19" s="1"/>
      <c r="F19" s="49" t="str">
        <f>'Raw data'!AC6</f>
        <v>July</v>
      </c>
      <c r="G19" s="49">
        <f>Calculation!AC241</f>
        <v>132</v>
      </c>
      <c r="H19" s="49">
        <f>G19*1000-13</f>
        <v>131987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Almu</v>
      </c>
      <c r="D20" s="58">
        <f t="array" ref="D20">IFERROR(INDEX(G6:G35,MATCH(LARGE(H6:H35,15),H6:H35,0)),"")</f>
        <v>153</v>
      </c>
      <c r="E20" s="1"/>
      <c r="F20" s="49" t="str">
        <f>'Raw data'!AE6</f>
        <v>Toño</v>
      </c>
      <c r="G20" s="49">
        <f>Calculation!AE241</f>
        <v>166</v>
      </c>
      <c r="H20" s="49">
        <f>G20*1000-14</f>
        <v>165986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Juanin</v>
      </c>
      <c r="D21" s="58">
        <f t="array" ref="D21">IFERROR(INDEX(G6:G35,MATCH(LARGE(H6:H35,16),H6:H35,0)),"")</f>
        <v>153</v>
      </c>
      <c r="E21" s="1"/>
      <c r="F21" s="49" t="str">
        <f>'Raw data'!AG6</f>
        <v>Juanin</v>
      </c>
      <c r="G21" s="49">
        <f>Calculation!AG241</f>
        <v>153</v>
      </c>
      <c r="H21" s="49">
        <f>G21*1000-15</f>
        <v>152985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JE</v>
      </c>
      <c r="D22" s="58">
        <f t="array" ref="D22">IFERROR(INDEX(G6:G35,MATCH(LARGE(H6:H35,17),H6:H35,0)),"")</f>
        <v>152</v>
      </c>
      <c r="E22" s="1"/>
      <c r="F22" s="49" t="str">
        <f>'Raw data'!AI6</f>
        <v>Meg</v>
      </c>
      <c r="G22" s="49">
        <f>Calculation!AI241</f>
        <v>152</v>
      </c>
      <c r="H22" s="49">
        <f>G22*1000-16</f>
        <v>151984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Meg</v>
      </c>
      <c r="D23" s="58">
        <f t="array" ref="D23">IFERROR(INDEX(G6:G35,MATCH(LARGE(H6:H35,18),H6:H35,0)),"")</f>
        <v>152</v>
      </c>
      <c r="E23" s="1"/>
      <c r="F23" s="49" t="str">
        <f>'Raw data'!AK6</f>
        <v>Irene</v>
      </c>
      <c r="G23" s="49">
        <f>Calculation!AK241</f>
        <v>166</v>
      </c>
      <c r="H23" s="49">
        <f>G23*1000-17</f>
        <v>165983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Tere y Edu</v>
      </c>
      <c r="D24" s="58">
        <f t="array" ref="D24">IFERROR(INDEX(G6:G35,MATCH(LARGE(H6:H35,19),H6:H35,0)),"")</f>
        <v>151</v>
      </c>
      <c r="E24" s="1"/>
      <c r="F24" s="49" t="str">
        <f>'Raw data'!AM6</f>
        <v>Andy</v>
      </c>
      <c r="G24" s="49">
        <f>Calculation!AM241</f>
        <v>157</v>
      </c>
      <c r="H24" s="49">
        <f>G24*1000-18</f>
        <v>156982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Matt</v>
      </c>
      <c r="D25" s="58">
        <f t="array" ref="D25">IFERROR(INDEX(G6:G35,MATCH(LARGE(H6:H35,20),H6:H35,0)),"")</f>
        <v>147</v>
      </c>
      <c r="E25" s="1"/>
      <c r="F25" s="49" t="str">
        <f>'Raw data'!AO6</f>
        <v>Adri</v>
      </c>
      <c r="G25" s="49">
        <f>Calculation!AO241</f>
        <v>173</v>
      </c>
      <c r="H25" s="49">
        <f>G25*1000-19</f>
        <v>172981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Pano</v>
      </c>
      <c r="D26" s="58">
        <f t="array" ref="D26">IFERROR(INDEX(G6:G35,MATCH(LARGE(H6:H35,21),H6:H35,0)),"")</f>
        <v>145</v>
      </c>
      <c r="E26" s="1"/>
      <c r="F26" s="49" t="str">
        <f>'Raw data'!AQ6</f>
        <v>Ben</v>
      </c>
      <c r="G26" s="49">
        <f>Calculation!AQ241</f>
        <v>141</v>
      </c>
      <c r="H26" s="49">
        <f>G26*1000-20</f>
        <v>140980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Gon </v>
      </c>
      <c r="D27" s="58">
        <f t="array" ref="D27">IFERROR(INDEX(G6:G35,MATCH(LARGE(H6:H35,22),H6:H35,0)),"")</f>
        <v>144</v>
      </c>
      <c r="E27" s="1"/>
      <c r="F27" s="49" t="str">
        <f>'Raw data'!AS6</f>
        <v>Gon </v>
      </c>
      <c r="G27" s="49">
        <f>Calculation!AS241</f>
        <v>144</v>
      </c>
      <c r="H27" s="49">
        <f>G27*1000-21</f>
        <v>143979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Lucía</v>
      </c>
      <c r="D28" s="58">
        <f t="array" ref="D28">IFERROR(INDEX(G6:G35,MATCH(LARGE(H6:H35,23),H6:H35,0)),"")</f>
        <v>143</v>
      </c>
      <c r="E28" s="1"/>
      <c r="F28" s="49" t="str">
        <f>'Raw data'!AU6</f>
        <v>Mile</v>
      </c>
      <c r="G28" s="49">
        <f>Calculation!AU241</f>
        <v>161</v>
      </c>
      <c r="H28" s="49">
        <f>G28*1000-22</f>
        <v>160978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Ben</v>
      </c>
      <c r="D29" s="58">
        <f t="array" ref="D29">IFERROR(INDEX(G6:G35,MATCH(LARGE(H6:H35,24),H6:H35,0)),"")</f>
        <v>141</v>
      </c>
      <c r="E29" s="1"/>
      <c r="F29" s="49" t="str">
        <f>'Raw data'!AW6</f>
        <v>Cami</v>
      </c>
      <c r="G29" s="49">
        <f>Calculation!AW241</f>
        <v>125</v>
      </c>
      <c r="H29" s="49">
        <f>G29*1000-23</f>
        <v>124977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Jaime</v>
      </c>
      <c r="D30" s="58">
        <f t="array" ref="D30">IFERROR(INDEX(G6:G35,MATCH(LARGE(H6:H35,25),H6:H35,0)),"")</f>
        <v>141</v>
      </c>
      <c r="E30" s="1"/>
      <c r="F30" s="49" t="str">
        <f>'Raw data'!AY6</f>
        <v>Hugo</v>
      </c>
      <c r="G30" s="49">
        <f>Calculation!AY241</f>
        <v>167</v>
      </c>
      <c r="H30" s="49">
        <f>G30*1000-24</f>
        <v>166976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Juanorro</v>
      </c>
      <c r="D31" s="58">
        <f t="array" ref="D31">IFERROR(INDEX(G6:G35,MATCH(LARGE(H6:H35,26),H6:H35,0)),"")</f>
        <v>139</v>
      </c>
      <c r="E31" s="1"/>
      <c r="F31" s="49" t="str">
        <f>'Raw data'!BA6</f>
        <v>Jaime</v>
      </c>
      <c r="G31" s="49">
        <f>Calculation!BA241</f>
        <v>141</v>
      </c>
      <c r="H31" s="49">
        <f>G31*1000-25</f>
        <v>140975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132</v>
      </c>
      <c r="E32" s="1"/>
      <c r="F32" s="49" t="str">
        <f>'Raw data'!BC6</f>
        <v>Emilio</v>
      </c>
      <c r="G32" s="49">
        <f>Calculation!BC241</f>
        <v>155</v>
      </c>
      <c r="H32" s="49">
        <f>G32*1000-26</f>
        <v>154974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125</v>
      </c>
      <c r="E33" s="1"/>
      <c r="F33" s="49" t="str">
        <f>'Raw data'!BE6</f>
        <v>Manu</v>
      </c>
      <c r="G33" s="49">
        <f>Calculation!BE241</f>
        <v>156</v>
      </c>
      <c r="H33" s="49">
        <f>G33*1000-27</f>
        <v>155973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