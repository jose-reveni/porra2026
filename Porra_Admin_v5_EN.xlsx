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<sst xmlns="http://schemas.openxmlformats.org/spreadsheetml/2006/main" count="3211" uniqueCount="533">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</sst>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1.0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5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5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3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3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3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5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5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3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3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5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5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5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3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5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5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5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48</v>
      </c>
      <c r="D178" s="39"/>
      <c r="E178" s="43">
        <f>SUM(E130:E177)</f>
        <v>33</v>
      </c>
      <c r="F178" s="39"/>
      <c r="G178" s="43">
        <f>SUM(G130:G177)</f>
        <v>37</v>
      </c>
      <c r="H178" s="39"/>
      <c r="I178" s="43">
        <f>SUM(I130:I177)</f>
        <v>44</v>
      </c>
      <c r="J178" s="39"/>
      <c r="K178" s="43">
        <f>SUM(K130:K177)</f>
        <v>26</v>
      </c>
      <c r="L178" s="39"/>
      <c r="M178" s="43">
        <f>SUM(M130:M177)</f>
        <v>51</v>
      </c>
      <c r="N178" s="39"/>
      <c r="O178" s="43">
        <f>SUM(O130:O177)</f>
        <v>45</v>
      </c>
      <c r="P178" s="39"/>
      <c r="Q178" s="43">
        <f>SUM(Q130:Q177)</f>
        <v>30</v>
      </c>
      <c r="R178" s="39"/>
      <c r="S178" s="43">
        <f>SUM(S130:S177)</f>
        <v>47</v>
      </c>
      <c r="T178" s="39"/>
      <c r="U178" s="43">
        <f>SUM(U130:U177)</f>
        <v>47</v>
      </c>
      <c r="V178" s="39"/>
      <c r="W178" s="43">
        <f>SUM(W130:W177)</f>
        <v>32</v>
      </c>
      <c r="X178" s="39"/>
      <c r="Y178" s="43">
        <f>SUM(Y130:Y177)</f>
        <v>40</v>
      </c>
      <c r="Z178" s="39"/>
      <c r="AA178" s="43">
        <f>SUM(AA130:AA177)</f>
        <v>28</v>
      </c>
      <c r="AB178" s="39"/>
      <c r="AC178" s="43">
        <f>SUM(AC130:AC177)</f>
        <v>42</v>
      </c>
      <c r="AD178" s="39"/>
      <c r="AE178" s="43">
        <f>SUM(AE130:AE177)</f>
        <v>23</v>
      </c>
      <c r="AF178" s="39"/>
      <c r="AG178" s="43">
        <f>SUM(AG130:AG177)</f>
        <v>42</v>
      </c>
      <c r="AH178" s="39"/>
      <c r="AI178" s="43">
        <f>SUM(AI130:AI177)</f>
        <v>41</v>
      </c>
      <c r="AJ178" s="39"/>
      <c r="AK178" s="43">
        <f>SUM(AK130:AK177)</f>
        <v>53</v>
      </c>
      <c r="AL178" s="39"/>
      <c r="AM178" s="43">
        <f>SUM(AM130:AM177)</f>
        <v>56</v>
      </c>
      <c r="AN178" s="39"/>
      <c r="AO178" s="43">
        <f>SUM(AO130:AO177)</f>
        <v>40</v>
      </c>
      <c r="AP178" s="39"/>
      <c r="AQ178" s="43">
        <f>SUM(AQ130:AQ177)</f>
        <v>49</v>
      </c>
      <c r="AR178" s="39"/>
      <c r="AS178" s="43">
        <f>SUM(AS130:AS177)</f>
        <v>41</v>
      </c>
      <c r="AT178" s="39"/>
      <c r="AU178" s="43">
        <f>SUM(AU130:AU177)</f>
        <v>49</v>
      </c>
      <c r="AV178" s="39"/>
      <c r="AW178" s="43">
        <f>SUM(AW130:AW177)</f>
        <v>51</v>
      </c>
      <c r="AX178" s="39"/>
      <c r="AY178" s="43">
        <f>SUM(AY130:AY177)</f>
        <v>22</v>
      </c>
      <c r="AZ178" s="39"/>
      <c r="BA178" s="43">
        <f>SUM(BA130:BA177)</f>
        <v>30</v>
      </c>
      <c r="BB178" s="39"/>
      <c r="BC178" s="43">
        <f>SUM(BC130:BC177)</f>
        <v>42</v>
      </c>
      <c r="BD178" s="39"/>
      <c r="BE178" s="43">
        <f>SUM(BE130:BE177)</f>
        <v>24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195</v>
      </c>
      <c r="D241" s="39"/>
      <c r="E241" s="46">
        <f>SUMIF($B$7:$B$240,"Subtotal*",E$7:E$240)</f>
        <v>190</v>
      </c>
      <c r="F241" s="39"/>
      <c r="G241" s="46">
        <f>SUMIF($B$7:$B$240,"Subtotal*",G$7:G$240)</f>
        <v>182</v>
      </c>
      <c r="H241" s="39"/>
      <c r="I241" s="46">
        <f>SUMIF($B$7:$B$240,"Subtotal*",I$7:I$240)</f>
        <v>195</v>
      </c>
      <c r="J241" s="39"/>
      <c r="K241" s="46">
        <f>SUMIF($B$7:$B$240,"Subtotal*",K$7:K$240)</f>
        <v>185</v>
      </c>
      <c r="L241" s="39"/>
      <c r="M241" s="46">
        <f>SUMIF($B$7:$B$240,"Subtotal*",M$7:M$240)</f>
        <v>203</v>
      </c>
      <c r="N241" s="39"/>
      <c r="O241" s="46">
        <f>SUMIF($B$7:$B$240,"Subtotal*",O$7:O$240)</f>
        <v>188</v>
      </c>
      <c r="P241" s="39"/>
      <c r="Q241" s="46">
        <f>SUMIF($B$7:$B$240,"Subtotal*",Q$7:Q$240)</f>
        <v>186</v>
      </c>
      <c r="R241" s="39"/>
      <c r="S241" s="46">
        <f>SUMIF($B$7:$B$240,"Subtotal*",S$7:S$240)</f>
        <v>202</v>
      </c>
      <c r="T241" s="39"/>
      <c r="U241" s="46">
        <f>SUMIF($B$7:$B$240,"Subtotal*",U$7:U$240)</f>
        <v>206</v>
      </c>
      <c r="V241" s="39"/>
      <c r="W241" s="46">
        <f>SUMIF($B$7:$B$240,"Subtotal*",W$7:W$240)</f>
        <v>185</v>
      </c>
      <c r="X241" s="39"/>
      <c r="Y241" s="46">
        <f>SUMIF($B$7:$B$240,"Subtotal*",Y$7:Y$240)</f>
        <v>179</v>
      </c>
      <c r="Z241" s="39"/>
      <c r="AA241" s="46">
        <f>SUMIF($B$7:$B$240,"Subtotal*",AA$7:AA$240)</f>
        <v>189</v>
      </c>
      <c r="AB241" s="39"/>
      <c r="AC241" s="46">
        <f>SUMIF($B$7:$B$240,"Subtotal*",AC$7:AC$240)</f>
        <v>174</v>
      </c>
      <c r="AD241" s="39"/>
      <c r="AE241" s="46">
        <f>SUMIF($B$7:$B$240,"Subtotal*",AE$7:AE$240)</f>
        <v>189</v>
      </c>
      <c r="AF241" s="39"/>
      <c r="AG241" s="46">
        <f>SUMIF($B$7:$B$240,"Subtotal*",AG$7:AG$240)</f>
        <v>195</v>
      </c>
      <c r="AH241" s="39"/>
      <c r="AI241" s="46">
        <f>SUMIF($B$7:$B$240,"Subtotal*",AI$7:AI$240)</f>
        <v>193</v>
      </c>
      <c r="AJ241" s="39"/>
      <c r="AK241" s="46">
        <f>SUMIF($B$7:$B$240,"Subtotal*",AK$7:AK$240)</f>
        <v>219</v>
      </c>
      <c r="AL241" s="39"/>
      <c r="AM241" s="46">
        <f>SUMIF($B$7:$B$240,"Subtotal*",AM$7:AM$240)</f>
        <v>213</v>
      </c>
      <c r="AN241" s="39"/>
      <c r="AO241" s="46">
        <f>SUMIF($B$7:$B$240,"Subtotal*",AO$7:AO$240)</f>
        <v>213</v>
      </c>
      <c r="AP241" s="39"/>
      <c r="AQ241" s="46">
        <f>SUMIF($B$7:$B$240,"Subtotal*",AQ$7:AQ$240)</f>
        <v>190</v>
      </c>
      <c r="AR241" s="39"/>
      <c r="AS241" s="46">
        <f>SUMIF($B$7:$B$240,"Subtotal*",AS$7:AS$240)</f>
        <v>185</v>
      </c>
      <c r="AT241" s="39"/>
      <c r="AU241" s="46">
        <f>SUMIF($B$7:$B$240,"Subtotal*",AU$7:AU$240)</f>
        <v>210</v>
      </c>
      <c r="AV241" s="39"/>
      <c r="AW241" s="46">
        <f>SUMIF($B$7:$B$240,"Subtotal*",AW$7:AW$240)</f>
        <v>176</v>
      </c>
      <c r="AX241" s="39"/>
      <c r="AY241" s="46">
        <f>SUMIF($B$7:$B$240,"Subtotal*",AY$7:AY$240)</f>
        <v>189</v>
      </c>
      <c r="AZ241" s="39"/>
      <c r="BA241" s="46">
        <f>SUMIF($B$7:$B$240,"Subtotal*",BA$7:BA$240)</f>
        <v>171</v>
      </c>
      <c r="BB241" s="39"/>
      <c r="BC241" s="46">
        <f>SUMIF($B$7:$B$240,"Subtotal*",BC$7:BC$240)</f>
        <v>197</v>
      </c>
      <c r="BD241" s="39"/>
      <c r="BE241" s="46">
        <f>SUMIF($B$7:$B$240,"Subtotal*",BE$7:BE$240)</f>
        <v>180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219</v>
      </c>
      <c r="E6" s="1"/>
      <c r="F6" s="52" t="str">
        <f>'Raw data'!C6</f>
        <v>Matt</v>
      </c>
      <c r="G6" s="52">
        <f>Calculation!C241</f>
        <v>195</v>
      </c>
      <c r="H6" s="52">
        <f>G6*1000-0</f>
        <v>195000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213</v>
      </c>
      <c r="E7" s="1"/>
      <c r="F7" s="52" t="str">
        <f>'Raw data'!E6</f>
        <v>Fer</v>
      </c>
      <c r="G7" s="52">
        <f>Calculation!E241</f>
        <v>190</v>
      </c>
      <c r="H7" s="52">
        <f>G7*1000-1</f>
        <v>189999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213</v>
      </c>
      <c r="E8" s="1"/>
      <c r="F8" s="52" t="str">
        <f>'Raw data'!G6</f>
        <v>Pano</v>
      </c>
      <c r="G8" s="52">
        <f>Calculation!G241</f>
        <v>182</v>
      </c>
      <c r="H8" s="52">
        <f>G8*1000-2</f>
        <v>181998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210</v>
      </c>
      <c r="E9" s="1"/>
      <c r="F9" s="52" t="str">
        <f>'Raw data'!I6</f>
        <v>Tere y Edu</v>
      </c>
      <c r="G9" s="52">
        <f>Calculation!I241</f>
        <v>195</v>
      </c>
      <c r="H9" s="52">
        <f>G9*1000-3</f>
        <v>194997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206</v>
      </c>
      <c r="E10" s="1"/>
      <c r="F10" s="52" t="str">
        <f>'Raw data'!K6</f>
        <v>Nadia</v>
      </c>
      <c r="G10" s="52">
        <f>Calculation!K241</f>
        <v>185</v>
      </c>
      <c r="H10" s="52">
        <f>G10*1000-4</f>
        <v>184996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JE</v>
      </c>
      <c r="D11" s="61">
        <f t="array" ref="D11">IFERROR(INDEX(G6:G35,MATCH(LARGE(H6:H35,6),H6:H35,0)),"")</f>
        <v>203</v>
      </c>
      <c r="E11" s="1"/>
      <c r="F11" s="52" t="str">
        <f>'Raw data'!M6</f>
        <v>JE</v>
      </c>
      <c r="G11" s="52">
        <f>Calculation!M241</f>
        <v>203</v>
      </c>
      <c r="H11" s="52">
        <f>G11*1000-5</f>
        <v>202995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202</v>
      </c>
      <c r="E12" s="1"/>
      <c r="F12" s="52" t="str">
        <f>'Raw data'!O6</f>
        <v>Lucía</v>
      </c>
      <c r="G12" s="52">
        <f>Calculation!O241</f>
        <v>188</v>
      </c>
      <c r="H12" s="52">
        <f>G12*1000-6</f>
        <v>187994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197</v>
      </c>
      <c r="E13" s="1"/>
      <c r="F13" s="52" t="str">
        <f>'Raw data'!Q6</f>
        <v>Kike</v>
      </c>
      <c r="G13" s="52">
        <f>Calculation!Q241</f>
        <v>186</v>
      </c>
      <c r="H13" s="52">
        <f>G13*1000-7</f>
        <v>185993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Matt</v>
      </c>
      <c r="D14" s="61">
        <f t="array" ref="D14">IFERROR(INDEX(G6:G35,MATCH(LARGE(H6:H35,9),H6:H35,0)),"")</f>
        <v>195</v>
      </c>
      <c r="E14" s="1"/>
      <c r="F14" s="52" t="str">
        <f>'Raw data'!S6</f>
        <v>Paibol</v>
      </c>
      <c r="G14" s="52">
        <f>Calculation!S241</f>
        <v>202</v>
      </c>
      <c r="H14" s="52">
        <f>G14*1000-8</f>
        <v>201992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Tere y Edu</v>
      </c>
      <c r="D15" s="61">
        <f t="array" ref="D15">IFERROR(INDEX(G6:G35,MATCH(LARGE(H6:H35,10),H6:H35,0)),"")</f>
        <v>195</v>
      </c>
      <c r="E15" s="1"/>
      <c r="F15" s="52" t="str">
        <f>'Raw data'!U6</f>
        <v>Pablo</v>
      </c>
      <c r="G15" s="52">
        <f>Calculation!U241</f>
        <v>206</v>
      </c>
      <c r="H15" s="52">
        <f>G15*1000-9</f>
        <v>205991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Juanin</v>
      </c>
      <c r="D16" s="61">
        <f t="array" ref="D16">IFERROR(INDEX(G6:G35,MATCH(LARGE(H6:H35,11),H6:H35,0)),"")</f>
        <v>195</v>
      </c>
      <c r="E16" s="1"/>
      <c r="F16" s="52" t="str">
        <f>'Raw data'!W6</f>
        <v>Almu</v>
      </c>
      <c r="G16" s="52">
        <f>Calculation!W241</f>
        <v>185</v>
      </c>
      <c r="H16" s="52">
        <f>G16*1000-10</f>
        <v>184990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Meg</v>
      </c>
      <c r="D17" s="61">
        <f t="array" ref="D17">IFERROR(INDEX(G6:G35,MATCH(LARGE(H6:H35,12),H6:H35,0)),"")</f>
        <v>193</v>
      </c>
      <c r="E17" s="1"/>
      <c r="F17" s="52" t="str">
        <f>'Raw data'!Y6</f>
        <v>Juanorro</v>
      </c>
      <c r="G17" s="52">
        <f>Calculation!Y241</f>
        <v>179</v>
      </c>
      <c r="H17" s="52">
        <f>G17*1000-11</f>
        <v>178989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Fer</v>
      </c>
      <c r="D18" s="61">
        <f t="array" ref="D18">IFERROR(INDEX(G6:G35,MATCH(LARGE(H6:H35,13),H6:H35,0)),"")</f>
        <v>190</v>
      </c>
      <c r="E18" s="1"/>
      <c r="F18" s="52" t="str">
        <f>'Raw data'!AA6</f>
        <v>Cillian</v>
      </c>
      <c r="G18" s="52">
        <f>Calculation!AA241</f>
        <v>189</v>
      </c>
      <c r="H18" s="52">
        <f>G18*1000-12</f>
        <v>188988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Ben</v>
      </c>
      <c r="D19" s="61">
        <f t="array" ref="D19">IFERROR(INDEX(G6:G35,MATCH(LARGE(H6:H35,14),H6:H35,0)),"")</f>
        <v>190</v>
      </c>
      <c r="E19" s="1"/>
      <c r="F19" s="52" t="str">
        <f>'Raw data'!AC6</f>
        <v>July</v>
      </c>
      <c r="G19" s="52">
        <f>Calculation!AC241</f>
        <v>174</v>
      </c>
      <c r="H19" s="52">
        <f>G19*1000-13</f>
        <v>173987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Cillian</v>
      </c>
      <c r="D20" s="61">
        <f t="array" ref="D20">IFERROR(INDEX(G6:G35,MATCH(LARGE(H6:H35,15),H6:H35,0)),"")</f>
        <v>189</v>
      </c>
      <c r="E20" s="1"/>
      <c r="F20" s="52" t="str">
        <f>'Raw data'!AE6</f>
        <v>Toño</v>
      </c>
      <c r="G20" s="52">
        <f>Calculation!AE241</f>
        <v>189</v>
      </c>
      <c r="H20" s="52">
        <f>G20*1000-14</f>
        <v>188986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Toño</v>
      </c>
      <c r="D21" s="61">
        <f t="array" ref="D21">IFERROR(INDEX(G6:G35,MATCH(LARGE(H6:H35,16),H6:H35,0)),"")</f>
        <v>189</v>
      </c>
      <c r="E21" s="1"/>
      <c r="F21" s="52" t="str">
        <f>'Raw data'!AG6</f>
        <v>Juanin</v>
      </c>
      <c r="G21" s="52">
        <f>Calculation!AG241</f>
        <v>195</v>
      </c>
      <c r="H21" s="52">
        <f>G21*1000-15</f>
        <v>194985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Hugo</v>
      </c>
      <c r="D22" s="61">
        <f t="array" ref="D22">IFERROR(INDEX(G6:G35,MATCH(LARGE(H6:H35,17),H6:H35,0)),"")</f>
        <v>189</v>
      </c>
      <c r="E22" s="1"/>
      <c r="F22" s="52" t="str">
        <f>'Raw data'!AI6</f>
        <v>Meg</v>
      </c>
      <c r="G22" s="52">
        <f>Calculation!AI241</f>
        <v>193</v>
      </c>
      <c r="H22" s="52">
        <f>G22*1000-16</f>
        <v>192984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Lucía</v>
      </c>
      <c r="D23" s="61">
        <f t="array" ref="D23">IFERROR(INDEX(G6:G35,MATCH(LARGE(H6:H35,18),H6:H35,0)),"")</f>
        <v>188</v>
      </c>
      <c r="E23" s="1"/>
      <c r="F23" s="52" t="str">
        <f>'Raw data'!AK6</f>
        <v>Irene</v>
      </c>
      <c r="G23" s="52">
        <f>Calculation!AK241</f>
        <v>219</v>
      </c>
      <c r="H23" s="52">
        <f>G23*1000-17</f>
        <v>218983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Kike</v>
      </c>
      <c r="D24" s="61">
        <f t="array" ref="D24">IFERROR(INDEX(G6:G35,MATCH(LARGE(H6:H35,19),H6:H35,0)),"")</f>
        <v>186</v>
      </c>
      <c r="E24" s="1"/>
      <c r="F24" s="52" t="str">
        <f>'Raw data'!AM6</f>
        <v>Andy</v>
      </c>
      <c r="G24" s="52">
        <f>Calculation!AM241</f>
        <v>213</v>
      </c>
      <c r="H24" s="52">
        <f>G24*1000-18</f>
        <v>212982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Nadia</v>
      </c>
      <c r="D25" s="61">
        <f t="array" ref="D25">IFERROR(INDEX(G6:G35,MATCH(LARGE(H6:H35,20),H6:H35,0)),"")</f>
        <v>185</v>
      </c>
      <c r="E25" s="1"/>
      <c r="F25" s="52" t="str">
        <f>'Raw data'!AO6</f>
        <v>Adri</v>
      </c>
      <c r="G25" s="52">
        <f>Calculation!AO241</f>
        <v>213</v>
      </c>
      <c r="H25" s="52">
        <f>G25*1000-19</f>
        <v>212981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185</v>
      </c>
      <c r="E26" s="1"/>
      <c r="F26" s="52" t="str">
        <f>'Raw data'!AQ6</f>
        <v>Ben</v>
      </c>
      <c r="G26" s="52">
        <f>Calculation!AQ241</f>
        <v>190</v>
      </c>
      <c r="H26" s="52">
        <f>G26*1000-20</f>
        <v>189980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Gon </v>
      </c>
      <c r="D27" s="61">
        <f t="array" ref="D27">IFERROR(INDEX(G6:G35,MATCH(LARGE(H6:H35,22),H6:H35,0)),"")</f>
        <v>185</v>
      </c>
      <c r="E27" s="1"/>
      <c r="F27" s="52" t="str">
        <f>'Raw data'!AS6</f>
        <v>Gon </v>
      </c>
      <c r="G27" s="52">
        <f>Calculation!AS241</f>
        <v>185</v>
      </c>
      <c r="H27" s="52">
        <f>G27*1000-21</f>
        <v>184979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182</v>
      </c>
      <c r="E28" s="1"/>
      <c r="F28" s="52" t="str">
        <f>'Raw data'!AU6</f>
        <v>Mile</v>
      </c>
      <c r="G28" s="52">
        <f>Calculation!AU241</f>
        <v>210</v>
      </c>
      <c r="H28" s="52">
        <f>G28*1000-22</f>
        <v>209978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180</v>
      </c>
      <c r="E29" s="1"/>
      <c r="F29" s="52" t="str">
        <f>'Raw data'!AW6</f>
        <v>Cami</v>
      </c>
      <c r="G29" s="52">
        <f>Calculation!AW241</f>
        <v>176</v>
      </c>
      <c r="H29" s="52">
        <f>G29*1000-23</f>
        <v>175977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179</v>
      </c>
      <c r="E30" s="1"/>
      <c r="F30" s="52" t="str">
        <f>'Raw data'!AY6</f>
        <v>Hugo</v>
      </c>
      <c r="G30" s="52">
        <f>Calculation!AY241</f>
        <v>189</v>
      </c>
      <c r="H30" s="52">
        <f>G30*1000-24</f>
        <v>188976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Cami</v>
      </c>
      <c r="D31" s="61">
        <f t="array" ref="D31">IFERROR(INDEX(G6:G35,MATCH(LARGE(H6:H35,26),H6:H35,0)),"")</f>
        <v>176</v>
      </c>
      <c r="E31" s="1"/>
      <c r="F31" s="52" t="str">
        <f>'Raw data'!BA6</f>
        <v>Jaime</v>
      </c>
      <c r="G31" s="52">
        <f>Calculation!BA241</f>
        <v>171</v>
      </c>
      <c r="H31" s="52">
        <f>G31*1000-25</f>
        <v>170975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174</v>
      </c>
      <c r="E32" s="1"/>
      <c r="F32" s="52" t="str">
        <f>'Raw data'!BC6</f>
        <v>Emilio</v>
      </c>
      <c r="G32" s="52">
        <f>Calculation!BC241</f>
        <v>197</v>
      </c>
      <c r="H32" s="52">
        <f>G32*1000-26</f>
        <v>196974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Jaime</v>
      </c>
      <c r="D33" s="61">
        <f t="array" ref="D33">IFERROR(INDEX(G6:G35,MATCH(LARGE(H6:H35,28),H6:H35,0)),"")</f>
        <v>171</v>
      </c>
      <c r="E33" s="1"/>
      <c r="F33" s="52" t="str">
        <f>'Raw data'!BE6</f>
        <v>Manu</v>
      </c>
      <c r="G33" s="52">
        <f>Calculation!BE241</f>
        <v>180</v>
      </c>
      <c r="H33" s="52">
        <f>G33*1000-27</f>
        <v>179973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