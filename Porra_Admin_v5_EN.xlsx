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<sst xmlns="http://schemas.openxmlformats.org/spreadsheetml/2006/main" count="3050" uniqueCount="534">
  <si>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</si>
  <si>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</si>
  <si>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</si>
  <si>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</si>
  <si>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</si>
  <si>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</si>
  <si>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</si>
  <si>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</si>
  <si>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</si>
  <si>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</si>
  <si>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</si>
  <si>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</si>
  <si>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</si>
  <si>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</si>
  <si>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</si>
  <si>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</si>
  <si>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</si>
  <si>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</si>
  <si>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</si>
  <si>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</si>
  <si>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</si>
  <si>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</si>
  <si>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</si>
  <si>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</si>
  <si>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</si>
  <si>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</si>
  <si>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</si>
  <si>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</si>
  <si>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</si>
  <si>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</si>
  <si>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</si>
  <si>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</si>
  <si>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</si>
  <si>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</si>
  <si>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</si>
  <si>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</si>
  <si>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</si>
  <si>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</si>
  <si>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</si>
  <si>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</si>
  <si>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</si>
  <si>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</si>
  <si>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</si>
  <si>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</si>
  <si>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</si>
  <si>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</si>
  <si>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</si>
  <si>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</si>
  <si>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</si>
  <si>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</si>
  <si>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</si>
  <si>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</si>
  <si>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</si>
  <si>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</si>
  <si>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</si>
  <si>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</si>
  <si>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</si>
  <si>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</si>
  <si>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</si>
  <si>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</si>
  <si>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</si>
  <si>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</si>
  <si>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</si>
  <si>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</si>
  <si>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</si>
  <si>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</si>
  <si>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</si>
  <si>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</si>
  <si>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</si>
  <si>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</si>
  <si>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</si>
  <si>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</si>
  <si>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</si>
  <si>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</si>
  <si>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</si>
  <si>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</si>
  <si>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</si>
  <si>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</si>
  <si>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</si>
  <si>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</si>
  <si>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</si>
  <si>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</si>
  <si>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</si>
  <si>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</si>
  <si>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</si>
  <si>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</si>
  <si>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</si>
  <si>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</si>
  <si>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</si>
  <si>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</si>
  <si>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</si>
  <si>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</si>
  <si>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</si>
  <si>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</si>
  <si>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</si>
  <si>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</si>
  <si>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</si>
  <si>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</si>
  <si>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</si>
  <si>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</si>
  <si>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</si>
  <si>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</si>
  <si>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</si>
  <si>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</si>
  <si>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</si>
  <si>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</si>
  <si>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</si>
  <si>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</si>
  <si>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</si>
  <si>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</si>
  <si>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</si>
  <si>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</si>
  <si>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</si>
  <si>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</si>
  <si>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</si>
  <si>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</si>
  <si>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</si>
  <si>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</si>
  <si>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</si>
  <si>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</si>
  <si>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</si>
  <si>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</si>
  <si>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</si>
  <si>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</si>
  <si>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</si>
  <si>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</si>
  <si>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</si>
  <si>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</si>
  <si>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</si>
  <si>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</si>
  <si>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</si>
  <si>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</si>
  <si>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</si>
  <si>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</si>
  <si>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</si>
  <si>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</si>
  <si>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</si>
  <si>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</si>
  <si>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</si>
  <si>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</si>
  <si>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</si>
  <si>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</si>
  <si>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</si>
  <si>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</si>
  <si>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</si>
  <si>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</si>
  <si>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</si>
  <si>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</si>
  <si>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</si>
  <si>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</si>
  <si>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</si>
  <si>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</si>
  <si>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</si>
  <si>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</si>
  <si>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</si>
  <si>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</si>
  <si>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</si>
  <si>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</si>
  <si>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</si>
  <si>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</si>
  <si>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</si>
  <si>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</si>
  <si>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</si>
  <si>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</si>
  <si>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</si>
  <si>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</si>
  <si>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</si>
  <si>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</si>
  <si>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</si>
  <si>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</si>
  <si>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</si>
  <si>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</si>
  <si>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</si>
  <si>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</si>
  <si>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</si>
  <si>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</si>
  <si>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</si>
  <si>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</si>
  <si>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</si>
  <si>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</si>
  <si>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</si>
  <si>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</si>
  <si>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</si>
  <si>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</si>
  <si>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</si>
  <si>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</si>
  <si>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</si>
  <si>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</si>
  <si>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</si>
  <si>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</si>
  <si>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</si>
  <si>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</si>
  <si>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</si>
  <si>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</si>
  <si>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</si>
  <si>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</si>
  <si>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</si>
  <si>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</si>
  <si>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</si>
  <si>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</si>
  <si>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</si>
  <si>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</si>
  <si>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</si>
  <si>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</si>
  <si>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</si>
  <si>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</si>
  <si>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</si>
  <si>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</si>
  <si>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</si>
  <si>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</si>
  <si>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</si>
  <si>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</si>
  <si>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</si>
  <si>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</si>
  <si>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</si>
  <si>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</si>
  <si>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</si>
  <si>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</si>
  <si>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</si>
  <si>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</si>
  <si>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</si>
  <si>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</si>
  <si>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</si>
  <si>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</si>
  <si>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</si>
  <si>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</si>
  <si>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</si>
  <si>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</si>
  <si>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</si>
  <si>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</si>
  <si>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</si>
  <si>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</si>
  <si>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</si>
  <si>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</si>
  <si>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</si>
  <si>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</si>
  <si>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</si>
  <si>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</si>
  <si>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</si>
  <si>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</si>
  <si>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</si>
  <si>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</si>
  <si>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</si>
  <si>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</si>
  <si>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</si>
  <si>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</si>
  <si>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</si>
  <si>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</si>
  <si>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</si>
  <si>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</si>
  <si>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</si>
  <si>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</si>
  <si>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</si>
  <si>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</si>
  <si>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</si>
  <si>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</si>
  <si>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</si>
  <si>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</si>
  <si>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</si>
  <si>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</si>
  <si>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</si>
  <si>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</si>
  <si>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</si>
  <si>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</si>
  <si>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</si>
  <si>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</si>
  <si>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</si>
  <si>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</si>
  <si>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</si>
  <si>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</si>
  <si>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</si>
  <si>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</si>
  <si>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</si>
  <si>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</si>
  <si>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</si>
  <si>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</si>
  <si>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</si>
  <si>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</si>
  <si>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</si>
  <si>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</si>
  <si>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</si>
  <si>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</si>
  <si>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</si>
  <si>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</si>
  <si>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</si>
  <si>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</si>
  <si>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</si>
  <si>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</si>
  <si>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</si>
  <si>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</si>
  <si>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</si>
  <si>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</si>
  <si>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</si>
  <si>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</si>
  <si>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</si>
  <si>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</si>
  <si>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</si>
  <si>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</si>
  <si>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</si>
  <si>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</si>
  <si>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</si>
  <si>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</si>
  <si>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</si>
  <si>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</si>
  <si>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</si>
  <si>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</si>
  <si>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</si>
  <si>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</si>
  <si>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</si>
  <si>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</si>
  <si>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</si>
  <si>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</si>
  <si>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</si>
  <si>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</si>
  <si>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</si>
  <si>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</si>
  <si>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</si>
  <si>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</si>
  <si>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</si>
  <si>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</si>
  <si>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</si>
  <si>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</si>
  <si>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</si>
  <si>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</si>
  <si>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</si>
  <si>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</si>
  <si>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</si>
  <si>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</si>
  <si>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</si>
  <si>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</si>
  <si>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</si>
  <si>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</si>
  <si>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</si>
  <si>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</si>
  <si>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</si>
  <si>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</si>
  <si>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</si>
  <si>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</si>
  <si>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</si>
  <si>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</si>
  <si>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</si>
  <si>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</si>
  <si>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</si>
  <si>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</si>
  <si>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</si>
  <si>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</si>
  <si>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</si>
  <si>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</si>
  <si>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</si>
  <si>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</si>
  <si>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</si>
  <si>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</si>
  <si>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</si>
  <si>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</si>
  <si>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</si>
  <si>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</si>
  <si>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</si>
  <si>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</si>
  <si>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</si>
  <si>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</si>
  <si>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</si>
  <si>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</si>
  <si>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</si>
  <si>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</si>
  <si>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>Oyarzabal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</si>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</sst>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8"/>
      <c r="J126" s="28"/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/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8"/>
      <c r="J129" s="28"/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/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9">
        <v>1.0</v>
      </c>
      <c r="J132" s="29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30"/>
      <c r="BB133" s="16"/>
      <c r="BC133" s="30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30" t="s">
        <v>109</v>
      </c>
      <c r="Z134" s="16"/>
      <c r="AA134" s="28" t="s">
        <v>109</v>
      </c>
      <c r="AB134" s="16"/>
      <c r="AC134" s="30" t="s">
        <v>109</v>
      </c>
      <c r="AD134" s="16"/>
      <c r="AE134" s="28" t="s">
        <v>109</v>
      </c>
      <c r="AF134" s="16"/>
      <c r="AG134" s="28" t="s">
        <v>109</v>
      </c>
      <c r="AH134" s="16"/>
      <c r="AI134" s="30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30" t="s">
        <v>103</v>
      </c>
      <c r="BB134" s="16"/>
      <c r="BC134" s="30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8"/>
      <c r="J135" s="28"/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/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8"/>
      <c r="J138" s="28"/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/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8"/>
      <c r="J141" s="28"/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/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8"/>
      <c r="J144" s="28"/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/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8"/>
      <c r="J147" s="28"/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/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8"/>
      <c r="J150" s="28"/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/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8"/>
      <c r="J153" s="28"/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/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8"/>
      <c r="J156" s="28"/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/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8"/>
      <c r="J159" s="28"/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/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8"/>
      <c r="J162" s="28"/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/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8"/>
      <c r="J165" s="28"/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/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8"/>
      <c r="J168" s="28"/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/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8"/>
      <c r="J171" s="28"/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/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8"/>
      <c r="J175" s="28"/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/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8"/>
      <c r="J178" s="28"/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/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8"/>
      <c r="J181" s="28"/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/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8"/>
      <c r="J184" s="28"/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/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8"/>
      <c r="J187" s="28"/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/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8"/>
      <c r="J190" s="28"/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/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8"/>
      <c r="J193" s="28"/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/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8"/>
      <c r="J196" s="28"/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/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8"/>
      <c r="J200" s="28"/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/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8"/>
      <c r="J203" s="28"/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/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8"/>
      <c r="J206" s="28"/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/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8"/>
      <c r="J209" s="28"/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/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8"/>
      <c r="J213" s="28"/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/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8"/>
      <c r="J216" s="28"/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/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8"/>
      <c r="J220" s="28"/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/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8"/>
      <c r="J223" s="28"/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/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/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29" t="s">
        <v>362</v>
      </c>
      <c r="T228" s="16"/>
      <c r="U228" s="28" t="s">
        <v>362</v>
      </c>
      <c r="V228" s="16"/>
      <c r="W228" s="28" t="s">
        <v>363</v>
      </c>
      <c r="X228" s="16"/>
      <c r="Y228" s="28" t="s">
        <v>364</v>
      </c>
      <c r="Z228" s="16"/>
      <c r="AA228" s="28" t="s">
        <v>362</v>
      </c>
      <c r="AB228" s="16"/>
      <c r="AC228" s="29" t="s">
        <v>363</v>
      </c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29" t="s">
        <v>362</v>
      </c>
      <c r="AZ228" s="16"/>
      <c r="BA228" s="28"/>
      <c r="BB228" s="16"/>
      <c r="BC228" s="28" t="s">
        <v>362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362</v>
      </c>
      <c r="P229" s="16"/>
      <c r="Q229" s="28" t="s">
        <v>362</v>
      </c>
      <c r="R229" s="16"/>
      <c r="S229" s="29" t="s">
        <v>363</v>
      </c>
      <c r="T229" s="16"/>
      <c r="U229" s="28" t="s">
        <v>362</v>
      </c>
      <c r="V229" s="16"/>
      <c r="W229" s="28" t="s">
        <v>362</v>
      </c>
      <c r="X229" s="16"/>
      <c r="Y229" s="28" t="s">
        <v>364</v>
      </c>
      <c r="Z229" s="16"/>
      <c r="AA229" s="28" t="s">
        <v>363</v>
      </c>
      <c r="AB229" s="16"/>
      <c r="AC229" s="29" t="s">
        <v>363</v>
      </c>
      <c r="AD229" s="16"/>
      <c r="AE229" s="29" t="s">
        <v>366</v>
      </c>
      <c r="AF229" s="16"/>
      <c r="AG229" s="28" t="s">
        <v>362</v>
      </c>
      <c r="AH229" s="16"/>
      <c r="AI229" s="28"/>
      <c r="AJ229" s="16"/>
      <c r="AK229" s="28" t="s">
        <v>363</v>
      </c>
      <c r="AL229" s="16"/>
      <c r="AM229" s="28"/>
      <c r="AN229" s="16"/>
      <c r="AO229" s="29" t="s">
        <v>366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29" t="s">
        <v>362</v>
      </c>
      <c r="AZ229" s="16"/>
      <c r="BA229" s="28"/>
      <c r="BB229" s="16"/>
      <c r="BC229" s="28" t="s">
        <v>362</v>
      </c>
      <c r="BD229" s="16"/>
      <c r="BE229" s="29" t="s">
        <v>367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368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368</v>
      </c>
      <c r="AF231" s="1"/>
      <c r="AG231" s="1"/>
      <c r="AH231" s="1"/>
      <c r="AI231" s="1"/>
      <c r="AJ231" s="1"/>
      <c r="AK231" s="1"/>
      <c r="AL231" s="1"/>
      <c r="AM231" s="31" t="s">
        <v>369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371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372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373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374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375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376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377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378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379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380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381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382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383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384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385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386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387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388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389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390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391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392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393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394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395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396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397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398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399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400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401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402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403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404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405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406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407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408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409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410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411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412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413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414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415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416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417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418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419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420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421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422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423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424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425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426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427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428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429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430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431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432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433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434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435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436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437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438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439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440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441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442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443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444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445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446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447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448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449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450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451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452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453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454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455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456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457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458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459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460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461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462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463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464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465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466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467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468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469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470</v>
      </c>
      <c r="C178" s="40">
        <f>SUM(C130:C177)</f>
        <v>4</v>
      </c>
      <c r="D178" s="36"/>
      <c r="E178" s="40">
        <f>SUM(E130:E177)</f>
        <v>4</v>
      </c>
      <c r="F178" s="36"/>
      <c r="G178" s="40">
        <f>SUM(G130:G177)</f>
        <v>4</v>
      </c>
      <c r="H178" s="36"/>
      <c r="I178" s="40">
        <f>SUM(I130:I177)</f>
        <v>4</v>
      </c>
      <c r="J178" s="36"/>
      <c r="K178" s="40">
        <f>SUM(K130:K177)</f>
        <v>0</v>
      </c>
      <c r="L178" s="36"/>
      <c r="M178" s="40">
        <f>SUM(M130:M177)</f>
        <v>4</v>
      </c>
      <c r="N178" s="36"/>
      <c r="O178" s="40">
        <f>SUM(O130:O177)</f>
        <v>4</v>
      </c>
      <c r="P178" s="36"/>
      <c r="Q178" s="40">
        <f>SUM(Q130:Q177)</f>
        <v>1</v>
      </c>
      <c r="R178" s="36"/>
      <c r="S178" s="40">
        <f>SUM(S130:S177)</f>
        <v>4</v>
      </c>
      <c r="T178" s="36"/>
      <c r="U178" s="40">
        <f>SUM(U130:U177)</f>
        <v>4</v>
      </c>
      <c r="V178" s="36"/>
      <c r="W178" s="40">
        <f>SUM(W130:W177)</f>
        <v>0</v>
      </c>
      <c r="X178" s="36"/>
      <c r="Y178" s="40">
        <f>SUM(Y130:Y177)</f>
        <v>4</v>
      </c>
      <c r="Z178" s="36"/>
      <c r="AA178" s="40">
        <f>SUM(AA130:AA177)</f>
        <v>1</v>
      </c>
      <c r="AB178" s="36"/>
      <c r="AC178" s="40">
        <f>SUM(AC130:AC177)</f>
        <v>6</v>
      </c>
      <c r="AD178" s="36"/>
      <c r="AE178" s="40">
        <f>SUM(AE130:AE177)</f>
        <v>4</v>
      </c>
      <c r="AF178" s="36"/>
      <c r="AG178" s="40">
        <f>SUM(AG130:AG177)</f>
        <v>4</v>
      </c>
      <c r="AH178" s="36"/>
      <c r="AI178" s="40">
        <f>SUM(AI130:AI177)</f>
        <v>0</v>
      </c>
      <c r="AJ178" s="36"/>
      <c r="AK178" s="40">
        <f>SUM(AK130:AK177)</f>
        <v>4</v>
      </c>
      <c r="AL178" s="36"/>
      <c r="AM178" s="40">
        <f>SUM(AM130:AM177)</f>
        <v>4</v>
      </c>
      <c r="AN178" s="36"/>
      <c r="AO178" s="40">
        <f>SUM(AO130:AO177)</f>
        <v>0</v>
      </c>
      <c r="AP178" s="36"/>
      <c r="AQ178" s="40">
        <f>SUM(AQ130:AQ177)</f>
        <v>4</v>
      </c>
      <c r="AR178" s="36"/>
      <c r="AS178" s="40">
        <f>SUM(AS130:AS177)</f>
        <v>0</v>
      </c>
      <c r="AT178" s="36"/>
      <c r="AU178" s="40">
        <f>SUM(AU130:AU177)</f>
        <v>4</v>
      </c>
      <c r="AV178" s="36"/>
      <c r="AW178" s="40">
        <f>SUM(AW130:AW177)</f>
        <v>4</v>
      </c>
      <c r="AX178" s="36"/>
      <c r="AY178" s="40">
        <f>SUM(AY130:AY177)</f>
        <v>0</v>
      </c>
      <c r="AZ178" s="36"/>
      <c r="BA178" s="40">
        <f>SUM(BA130:BA177)</f>
        <v>0</v>
      </c>
      <c r="BB178" s="36"/>
      <c r="BC178" s="40">
        <f>SUM(BC130:BC177)</f>
        <v>1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471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472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473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474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475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476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477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478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479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480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481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482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483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484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485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486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487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488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489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490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491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492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493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494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495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496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497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498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499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500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501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502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503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504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505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506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507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508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509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510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511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512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513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514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515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516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517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518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519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520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521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522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523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524</v>
      </c>
      <c r="C241" s="43">
        <f>SUMIF($B$7:$B$240,"Subtotal*",C$7:C$240)</f>
        <v>151</v>
      </c>
      <c r="D241" s="36"/>
      <c r="E241" s="43">
        <f>SUMIF($B$7:$B$240,"Subtotal*",E$7:E$240)</f>
        <v>161</v>
      </c>
      <c r="F241" s="36"/>
      <c r="G241" s="43">
        <f>SUMIF($B$7:$B$240,"Subtotal*",G$7:G$240)</f>
        <v>149</v>
      </c>
      <c r="H241" s="36"/>
      <c r="I241" s="43">
        <f>SUMIF($B$7:$B$240,"Subtotal*",I$7:I$240)</f>
        <v>155</v>
      </c>
      <c r="J241" s="36"/>
      <c r="K241" s="43">
        <f>SUMIF($B$7:$B$240,"Subtotal*",K$7:K$240)</f>
        <v>159</v>
      </c>
      <c r="L241" s="36"/>
      <c r="M241" s="43">
        <f>SUMIF($B$7:$B$240,"Subtotal*",M$7:M$240)</f>
        <v>156</v>
      </c>
      <c r="N241" s="36"/>
      <c r="O241" s="43">
        <f>SUMIF($B$7:$B$240,"Subtotal*",O$7:O$240)</f>
        <v>147</v>
      </c>
      <c r="P241" s="36"/>
      <c r="Q241" s="43">
        <f>SUMIF($B$7:$B$240,"Subtotal*",Q$7:Q$240)</f>
        <v>157</v>
      </c>
      <c r="R241" s="36"/>
      <c r="S241" s="43">
        <f>SUMIF($B$7:$B$240,"Subtotal*",S$7:S$240)</f>
        <v>159</v>
      </c>
      <c r="T241" s="36"/>
      <c r="U241" s="43">
        <f>SUMIF($B$7:$B$240,"Subtotal*",U$7:U$240)</f>
        <v>163</v>
      </c>
      <c r="V241" s="36"/>
      <c r="W241" s="43">
        <f>SUMIF($B$7:$B$240,"Subtotal*",W$7:W$240)</f>
        <v>153</v>
      </c>
      <c r="X241" s="36"/>
      <c r="Y241" s="43">
        <f>SUMIF($B$7:$B$240,"Subtotal*",Y$7:Y$240)</f>
        <v>143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138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157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170</v>
      </c>
      <c r="AL241" s="36"/>
      <c r="AM241" s="43">
        <f>SUMIF($B$7:$B$240,"Subtotal*",AM$7:AM$240)</f>
        <v>161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145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165</v>
      </c>
      <c r="AV241" s="36"/>
      <c r="AW241" s="43">
        <f>SUMIF($B$7:$B$240,"Subtotal*",AW$7:AW$240)</f>
        <v>129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141</v>
      </c>
      <c r="BB241" s="36"/>
      <c r="BC241" s="43">
        <f>SUMIF($B$7:$B$240,"Subtotal*",BC$7:BC$240)</f>
        <v>156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5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5" t="s">
        <v>531</v>
      </c>
      <c r="G5" s="45" t="s">
        <v>532</v>
      </c>
      <c r="H5" s="45" t="s">
        <v>533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Toño</v>
      </c>
      <c r="D7" s="52">
        <f t="array" ref="D7">IFERROR(INDEX(G6:G35,MATCH(LARGE(H6:H35,2),H6:H35,0)),"")</f>
        <v>170</v>
      </c>
      <c r="E7" s="1"/>
      <c r="F7" s="49" t="str">
        <f>'Raw data'!E6</f>
        <v>Fer</v>
      </c>
      <c r="G7" s="49">
        <f>Calculation!E241</f>
        <v>161</v>
      </c>
      <c r="H7" s="49">
        <f>G7*1000-1</f>
        <v>160999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Irene</v>
      </c>
      <c r="D8" s="55">
        <f t="array" ref="D8">IFERROR(INDEX(G6:G35,MATCH(LARGE(H6:H35,3),H6:H35,0)),"")</f>
        <v>170</v>
      </c>
      <c r="E8" s="1"/>
      <c r="F8" s="49" t="str">
        <f>'Raw data'!G6</f>
        <v>Pano</v>
      </c>
      <c r="G8" s="49">
        <f>Calculation!G241</f>
        <v>149</v>
      </c>
      <c r="H8" s="49">
        <f>G8*1000-2</f>
        <v>148998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Hugo</v>
      </c>
      <c r="D9" s="58">
        <f t="array" ref="D9">IFERROR(INDEX(G6:G35,MATCH(LARGE(H6:H35,4),H6:H35,0)),"")</f>
        <v>167</v>
      </c>
      <c r="E9" s="1"/>
      <c r="F9" s="49" t="str">
        <f>'Raw data'!I6</f>
        <v>Tere y Edu</v>
      </c>
      <c r="G9" s="49">
        <f>Calculation!I241</f>
        <v>155</v>
      </c>
      <c r="H9" s="49">
        <f>G9*1000-3</f>
        <v>154997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165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163</v>
      </c>
      <c r="E11" s="1"/>
      <c r="F11" s="49" t="str">
        <f>'Raw data'!M6</f>
        <v>JE</v>
      </c>
      <c r="G11" s="49">
        <f>Calculation!M241</f>
        <v>156</v>
      </c>
      <c r="H11" s="49">
        <f>G11*1000-5</f>
        <v>155995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Cillian</v>
      </c>
      <c r="D12" s="58">
        <f t="array" ref="D12">IFERROR(INDEX(G6:G35,MATCH(LARGE(H6:H35,7),H6:H35,0)),"")</f>
        <v>162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161</v>
      </c>
      <c r="E13" s="1"/>
      <c r="F13" s="49" t="str">
        <f>'Raw data'!Q6</f>
        <v>Kike</v>
      </c>
      <c r="G13" s="49">
        <f>Calculation!Q241</f>
        <v>157</v>
      </c>
      <c r="H13" s="49">
        <f>G13*1000-7</f>
        <v>156993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Andy</v>
      </c>
      <c r="D14" s="58">
        <f t="array" ref="D14">IFERROR(INDEX(G6:G35,MATCH(LARGE(H6:H35,9),H6:H35,0)),"")</f>
        <v>161</v>
      </c>
      <c r="E14" s="1"/>
      <c r="F14" s="49" t="str">
        <f>'Raw data'!S6</f>
        <v>Paibol</v>
      </c>
      <c r="G14" s="49">
        <f>Calculation!S241</f>
        <v>159</v>
      </c>
      <c r="H14" s="49">
        <f>G14*1000-8</f>
        <v>158992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159</v>
      </c>
      <c r="E15" s="1"/>
      <c r="F15" s="49" t="str">
        <f>'Raw data'!U6</f>
        <v>Pablo</v>
      </c>
      <c r="G15" s="49">
        <f>Calculation!U241</f>
        <v>163</v>
      </c>
      <c r="H15" s="49">
        <f>G15*1000-9</f>
        <v>162991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Paibol</v>
      </c>
      <c r="D16" s="58">
        <f t="array" ref="D16">IFERROR(INDEX(G6:G35,MATCH(LARGE(H6:H35,11),H6:H35,0)),"")</f>
        <v>159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Kike</v>
      </c>
      <c r="D17" s="58">
        <f t="array" ref="D17">IFERROR(INDEX(G6:G35,MATCH(LARGE(H6:H35,12),H6:H35,0)),"")</f>
        <v>157</v>
      </c>
      <c r="E17" s="1"/>
      <c r="F17" s="49" t="str">
        <f>'Raw data'!Y6</f>
        <v>Juanorro</v>
      </c>
      <c r="G17" s="49">
        <f>Calculation!Y241</f>
        <v>143</v>
      </c>
      <c r="H17" s="49">
        <f>G17*1000-11</f>
        <v>142989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Juanin</v>
      </c>
      <c r="D18" s="58">
        <f t="array" ref="D18">IFERROR(INDEX(G6:G35,MATCH(LARGE(H6:H35,13),H6:H35,0)),"")</f>
        <v>157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JE</v>
      </c>
      <c r="D19" s="58">
        <f t="array" ref="D19">IFERROR(INDEX(G6:G35,MATCH(LARGE(H6:H35,14),H6:H35,0)),"")</f>
        <v>156</v>
      </c>
      <c r="E19" s="1"/>
      <c r="F19" s="49" t="str">
        <f>'Raw data'!AC6</f>
        <v>July</v>
      </c>
      <c r="G19" s="49">
        <f>Calculation!AC241</f>
        <v>138</v>
      </c>
      <c r="H19" s="49">
        <f>G19*1000-13</f>
        <v>137987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Emilio</v>
      </c>
      <c r="D20" s="58">
        <f t="array" ref="D20">IFERROR(INDEX(G6:G35,MATCH(LARGE(H6:H35,15),H6:H35,0)),"")</f>
        <v>156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Manu</v>
      </c>
      <c r="D21" s="58">
        <f t="array" ref="D21">IFERROR(INDEX(G6:G35,MATCH(LARGE(H6:H35,16),H6:H35,0)),"")</f>
        <v>156</v>
      </c>
      <c r="E21" s="1"/>
      <c r="F21" s="49" t="str">
        <f>'Raw data'!AG6</f>
        <v>Juanin</v>
      </c>
      <c r="G21" s="49">
        <f>Calculation!AG241</f>
        <v>157</v>
      </c>
      <c r="H21" s="49">
        <f>G21*1000-15</f>
        <v>156985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Tere y Edu</v>
      </c>
      <c r="D22" s="58">
        <f t="array" ref="D22">IFERROR(INDEX(G6:G35,MATCH(LARGE(H6:H35,17),H6:H35,0)),"")</f>
        <v>155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Almu</v>
      </c>
      <c r="D23" s="58">
        <f t="array" ref="D23">IFERROR(INDEX(G6:G35,MATCH(LARGE(H6:H35,18),H6:H35,0)),"")</f>
        <v>153</v>
      </c>
      <c r="E23" s="1"/>
      <c r="F23" s="49" t="str">
        <f>'Raw data'!AK6</f>
        <v>Irene</v>
      </c>
      <c r="G23" s="49">
        <f>Calculation!AK241</f>
        <v>170</v>
      </c>
      <c r="H23" s="49">
        <f>G23*1000-17</f>
        <v>169983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Meg</v>
      </c>
      <c r="D24" s="58">
        <f t="array" ref="D24">IFERROR(INDEX(G6:G35,MATCH(LARGE(H6:H35,19),H6:H35,0)),"")</f>
        <v>152</v>
      </c>
      <c r="E24" s="1"/>
      <c r="F24" s="49" t="str">
        <f>'Raw data'!AM6</f>
        <v>Andy</v>
      </c>
      <c r="G24" s="49">
        <f>Calculation!AM241</f>
        <v>161</v>
      </c>
      <c r="H24" s="49">
        <f>G24*1000-18</f>
        <v>160982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151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149</v>
      </c>
      <c r="E26" s="1"/>
      <c r="F26" s="49" t="str">
        <f>'Raw data'!AQ6</f>
        <v>Ben</v>
      </c>
      <c r="G26" s="49">
        <f>Calculation!AQ241</f>
        <v>145</v>
      </c>
      <c r="H26" s="49">
        <f>G26*1000-20</f>
        <v>144980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Lucía</v>
      </c>
      <c r="D27" s="58">
        <f t="array" ref="D27">IFERROR(INDEX(G6:G35,MATCH(LARGE(H6:H35,22),H6:H35,0)),"")</f>
        <v>147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Ben</v>
      </c>
      <c r="D28" s="58">
        <f t="array" ref="D28">IFERROR(INDEX(G6:G35,MATCH(LARGE(H6:H35,23),H6:H35,0)),"")</f>
        <v>145</v>
      </c>
      <c r="E28" s="1"/>
      <c r="F28" s="49" t="str">
        <f>'Raw data'!AU6</f>
        <v>Mile</v>
      </c>
      <c r="G28" s="49">
        <f>Calculation!AU241</f>
        <v>165</v>
      </c>
      <c r="H28" s="49">
        <f>G28*1000-22</f>
        <v>164978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Gon </v>
      </c>
      <c r="D29" s="58">
        <f t="array" ref="D29">IFERROR(INDEX(G6:G35,MATCH(LARGE(H6:H35,24),H6:H35,0)),"")</f>
        <v>144</v>
      </c>
      <c r="E29" s="1"/>
      <c r="F29" s="49" t="str">
        <f>'Raw data'!AW6</f>
        <v>Cami</v>
      </c>
      <c r="G29" s="49">
        <f>Calculation!AW241</f>
        <v>129</v>
      </c>
      <c r="H29" s="49">
        <f>G29*1000-23</f>
        <v>128977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Juanorro</v>
      </c>
      <c r="D30" s="58">
        <f t="array" ref="D30">IFERROR(INDEX(G6:G35,MATCH(LARGE(H6:H35,25),H6:H35,0)),"")</f>
        <v>143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141</v>
      </c>
      <c r="E31" s="1"/>
      <c r="F31" s="49" t="str">
        <f>'Raw data'!BA6</f>
        <v>Jaime</v>
      </c>
      <c r="G31" s="49">
        <f>Calculation!BA241</f>
        <v>141</v>
      </c>
      <c r="H31" s="49">
        <f>G31*1000-25</f>
        <v>140975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138</v>
      </c>
      <c r="E32" s="1"/>
      <c r="F32" s="49" t="str">
        <f>'Raw data'!BC6</f>
        <v>Emilio</v>
      </c>
      <c r="G32" s="49">
        <f>Calculation!BC241</f>
        <v>156</v>
      </c>
      <c r="H32" s="49">
        <f>G32*1000-26</f>
        <v>155974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129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