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<sst xmlns="http://schemas.openxmlformats.org/spreadsheetml/2006/main" count="3214" uniqueCount="533">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</sst>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171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1</v>
      </c>
      <c r="F144" s="39"/>
      <c r="G144" s="41">
        <f>IFERROR(IF(AND('Real results'!C140&lt;&gt;"",'Raw data'!G140&lt;&gt;"",UPPER(TRIM('Real results'!C140))=UPPER(TRIM('Raw data'!G140))),1,0),0)</f>
        <v>1</v>
      </c>
      <c r="H144" s="39"/>
      <c r="I144" s="41">
        <f>IFERROR(IF(AND('Real results'!C140&lt;&gt;"",'Raw data'!I140&lt;&gt;"",UPPER(TRIM('Real results'!C140))=UPPER(TRIM('Raw data'!I140))),1,0),0)</f>
        <v>1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1</v>
      </c>
      <c r="N144" s="39"/>
      <c r="O144" s="41">
        <f>IFERROR(IF(AND('Real results'!C140&lt;&gt;"",'Raw data'!O140&lt;&gt;"",UPPER(TRIM('Real results'!C140))=UPPER(TRIM('Raw data'!O140))),1,0),0)</f>
        <v>1</v>
      </c>
      <c r="P144" s="39"/>
      <c r="Q144" s="41">
        <f>IFERROR(IF(AND('Real results'!C140&lt;&gt;"",'Raw data'!Q140&lt;&gt;"",UPPER(TRIM('Real results'!C140))=UPPER(TRIM('Raw data'!Q140))),1,0),0)</f>
        <v>1</v>
      </c>
      <c r="R144" s="39"/>
      <c r="S144" s="41">
        <f>IFERROR(IF(AND('Real results'!C140&lt;&gt;"",'Raw data'!S140&lt;&gt;"",UPPER(TRIM('Real results'!C140))=UPPER(TRIM('Raw data'!S140))),1,0),0)</f>
        <v>1</v>
      </c>
      <c r="T144" s="39"/>
      <c r="U144" s="41">
        <f>IFERROR(IF(AND('Real results'!C140&lt;&gt;"",'Raw data'!U140&lt;&gt;"",UPPER(TRIM('Real results'!C140))=UPPER(TRIM('Raw data'!U140))),1,0),0)</f>
        <v>1</v>
      </c>
      <c r="V144" s="39"/>
      <c r="W144" s="41">
        <f>IFERROR(IF(AND('Real results'!C140&lt;&gt;"",'Raw data'!W140&lt;&gt;"",UPPER(TRIM('Real results'!C140))=UPPER(TRIM('Raw data'!W140))),1,0),0)</f>
        <v>1</v>
      </c>
      <c r="X144" s="39"/>
      <c r="Y144" s="41">
        <f>IFERROR(IF(AND('Real results'!C140&lt;&gt;"",'Raw data'!Y140&lt;&gt;"",UPPER(TRIM('Real results'!C140))=UPPER(TRIM('Raw data'!Y140))),1,0),0)</f>
        <v>1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1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1</v>
      </c>
      <c r="AH144" s="39"/>
      <c r="AI144" s="41">
        <f>IFERROR(IF(AND('Real results'!C140&lt;&gt;"",'Raw data'!AI140&lt;&gt;"",UPPER(TRIM('Real results'!C140))=UPPER(TRIM('Raw data'!AI140))),1,0),0)</f>
        <v>1</v>
      </c>
      <c r="AJ144" s="39"/>
      <c r="AK144" s="41">
        <f>IFERROR(IF(AND('Real results'!C140&lt;&gt;"",'Raw data'!AK140&lt;&gt;"",UPPER(TRIM('Real results'!C140))=UPPER(TRIM('Raw data'!AK140))),1,0),0)</f>
        <v>1</v>
      </c>
      <c r="AL144" s="39"/>
      <c r="AM144" s="41">
        <f>IFERROR(IF(AND('Real results'!C140&lt;&gt;"",'Raw data'!AM140&lt;&gt;"",UPPER(TRIM('Real results'!C140))=UPPER(TRIM('Raw data'!AM140))),1,0),0)</f>
        <v>1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1</v>
      </c>
      <c r="AR144" s="39"/>
      <c r="AS144" s="41">
        <f>IFERROR(IF(AND('Real results'!C140&lt;&gt;"",'Raw data'!AS140&lt;&gt;"",UPPER(TRIM('Real results'!C140))=UPPER(TRIM('Raw data'!AS140))),1,0),0)</f>
        <v>1</v>
      </c>
      <c r="AT144" s="39"/>
      <c r="AU144" s="41">
        <f>IFERROR(IF(AND('Real results'!C140&lt;&gt;"",'Raw data'!AU140&lt;&gt;"",UPPER(TRIM('Real results'!C140))=UPPER(TRIM('Raw data'!AU140))),1,0),0)</f>
        <v>1</v>
      </c>
      <c r="AV144" s="39"/>
      <c r="AW144" s="41">
        <f>IFERROR(IF(AND('Real results'!C140&lt;&gt;"",'Raw data'!AW140&lt;&gt;"",UPPER(TRIM('Real results'!C140))=UPPER(TRIM('Raw data'!AW140))),1,0),0)</f>
        <v>1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1</v>
      </c>
      <c r="BB144" s="39"/>
      <c r="BC144" s="41">
        <f>IFERROR(IF(AND('Real results'!C140&lt;&gt;"",'Raw data'!BC140&lt;&gt;"",UPPER(TRIM('Real results'!C140))=UPPER(TRIM('Raw data'!BC140))),1,0),0)</f>
        <v>1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1</v>
      </c>
      <c r="D147" s="39"/>
      <c r="E147" s="41">
        <f>IFERROR(IF(AND('Real results'!C143&lt;&gt;"",'Raw data'!E143&lt;&gt;"",UPPER(TRIM('Real results'!C143))=UPPER(TRIM('Raw data'!E143))),1,0),0)</f>
        <v>1</v>
      </c>
      <c r="F147" s="39"/>
      <c r="G147" s="41">
        <f>IFERROR(IF(AND('Real results'!C143&lt;&gt;"",'Raw data'!G143&lt;&gt;"",UPPER(TRIM('Real results'!C143))=UPPER(TRIM('Raw data'!G143))),1,0),0)</f>
        <v>1</v>
      </c>
      <c r="H147" s="39"/>
      <c r="I147" s="41">
        <f>IFERROR(IF(AND('Real results'!C143&lt;&gt;"",'Raw data'!I143&lt;&gt;"",UPPER(TRIM('Real results'!C143))=UPPER(TRIM('Raw data'!I143))),1,0),0)</f>
        <v>1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1</v>
      </c>
      <c r="N147" s="39"/>
      <c r="O147" s="41">
        <f>IFERROR(IF(AND('Real results'!C143&lt;&gt;"",'Raw data'!O143&lt;&gt;"",UPPER(TRIM('Real results'!C143))=UPPER(TRIM('Raw data'!O143))),1,0),0)</f>
        <v>1</v>
      </c>
      <c r="P147" s="39"/>
      <c r="Q147" s="41">
        <f>IFERROR(IF(AND('Real results'!C143&lt;&gt;"",'Raw data'!Q143&lt;&gt;"",UPPER(TRIM('Real results'!C143))=UPPER(TRIM('Raw data'!Q143))),1,0),0)</f>
        <v>1</v>
      </c>
      <c r="R147" s="39"/>
      <c r="S147" s="41">
        <f>IFERROR(IF(AND('Real results'!C143&lt;&gt;"",'Raw data'!S143&lt;&gt;"",UPPER(TRIM('Real results'!C143))=UPPER(TRIM('Raw data'!S143))),1,0),0)</f>
        <v>1</v>
      </c>
      <c r="T147" s="39"/>
      <c r="U147" s="41">
        <f>IFERROR(IF(AND('Real results'!C143&lt;&gt;"",'Raw data'!U143&lt;&gt;"",UPPER(TRIM('Real results'!C143))=UPPER(TRIM('Raw data'!U143))),1,0),0)</f>
        <v>1</v>
      </c>
      <c r="V147" s="39"/>
      <c r="W147" s="41">
        <f>IFERROR(IF(AND('Real results'!C143&lt;&gt;"",'Raw data'!W143&lt;&gt;"",UPPER(TRIM('Real results'!C143))=UPPER(TRIM('Raw data'!W143))),1,0),0)</f>
        <v>1</v>
      </c>
      <c r="X147" s="39"/>
      <c r="Y147" s="41">
        <f>IFERROR(IF(AND('Real results'!C143&lt;&gt;"",'Raw data'!Y143&lt;&gt;"",UPPER(TRIM('Real results'!C143))=UPPER(TRIM('Raw data'!Y143))),1,0),0)</f>
        <v>1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1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1</v>
      </c>
      <c r="AH147" s="39"/>
      <c r="AI147" s="41">
        <f>IFERROR(IF(AND('Real results'!C143&lt;&gt;"",'Raw data'!AI143&lt;&gt;"",UPPER(TRIM('Real results'!C143))=UPPER(TRIM('Raw data'!AI143))),1,0),0)</f>
        <v>1</v>
      </c>
      <c r="AJ147" s="39"/>
      <c r="AK147" s="41">
        <f>IFERROR(IF(AND('Real results'!C143&lt;&gt;"",'Raw data'!AK143&lt;&gt;"",UPPER(TRIM('Real results'!C143))=UPPER(TRIM('Raw data'!AK143))),1,0),0)</f>
        <v>1</v>
      </c>
      <c r="AL147" s="39"/>
      <c r="AM147" s="41">
        <f>IFERROR(IF(AND('Real results'!C143&lt;&gt;"",'Raw data'!AM143&lt;&gt;"",UPPER(TRIM('Real results'!C143))=UPPER(TRIM('Raw data'!AM143))),1,0),0)</f>
        <v>1</v>
      </c>
      <c r="AN147" s="39"/>
      <c r="AO147" s="41">
        <f>IFERROR(IF(AND('Real results'!C143&lt;&gt;"",'Raw data'!AO143&lt;&gt;"",UPPER(TRIM('Real results'!C143))=UPPER(TRIM('Raw data'!AO143))),1,0),0)</f>
        <v>1</v>
      </c>
      <c r="AP147" s="39"/>
      <c r="AQ147" s="41">
        <f>IFERROR(IF(AND('Real results'!C143&lt;&gt;"",'Raw data'!AQ143&lt;&gt;"",UPPER(TRIM('Real results'!C143))=UPPER(TRIM('Raw data'!AQ143))),1,0),0)</f>
        <v>1</v>
      </c>
      <c r="AR147" s="39"/>
      <c r="AS147" s="41">
        <f>IFERROR(IF(AND('Real results'!C143&lt;&gt;"",'Raw data'!AS143&lt;&gt;"",UPPER(TRIM('Real results'!C143))=UPPER(TRIM('Raw data'!AS143))),1,0),0)</f>
        <v>1</v>
      </c>
      <c r="AT147" s="39"/>
      <c r="AU147" s="41">
        <f>IFERROR(IF(AND('Real results'!C143&lt;&gt;"",'Raw data'!AU143&lt;&gt;"",UPPER(TRIM('Real results'!C143))=UPPER(TRIM('Raw data'!AU143))),1,0),0)</f>
        <v>1</v>
      </c>
      <c r="AV147" s="39"/>
      <c r="AW147" s="41">
        <f>IFERROR(IF(AND('Real results'!C143&lt;&gt;"",'Raw data'!AW143&lt;&gt;"",UPPER(TRIM('Real results'!C143))=UPPER(TRIM('Raw data'!AW143))),1,0),0)</f>
        <v>1</v>
      </c>
      <c r="AX147" s="39"/>
      <c r="AY147" s="41">
        <f>IFERROR(IF(AND('Real results'!C143&lt;&gt;"",'Raw data'!AY143&lt;&gt;"",UPPER(TRIM('Real results'!C143))=UPPER(TRIM('Raw data'!AY143))),1,0),0)</f>
        <v>1</v>
      </c>
      <c r="AZ147" s="39"/>
      <c r="BA147" s="41">
        <f>IFERROR(IF(AND('Real results'!C143&lt;&gt;"",'Raw data'!BA143&lt;&gt;"",UPPER(TRIM('Real results'!C143))=UPPER(TRIM('Raw data'!BA143))),1,0),0)</f>
        <v>1</v>
      </c>
      <c r="BB147" s="39"/>
      <c r="BC147" s="41">
        <f>IFERROR(IF(AND('Real results'!C143&lt;&gt;"",'Raw data'!BC143&lt;&gt;"",UPPER(TRIM('Real results'!C143))=UPPER(TRIM('Raw data'!BC143))),1,0),0)</f>
        <v>1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1</v>
      </c>
      <c r="D150" s="39"/>
      <c r="E150" s="41">
        <f>IFERROR(IF(AND('Real results'!C146&lt;&gt;"",'Raw data'!E146&lt;&gt;"",UPPER(TRIM('Real results'!C146))=UPPER(TRIM('Raw data'!E146))),1,0),0)</f>
        <v>1</v>
      </c>
      <c r="F150" s="39"/>
      <c r="G150" s="41">
        <f>IFERROR(IF(AND('Real results'!C146&lt;&gt;"",'Raw data'!G146&lt;&gt;"",UPPER(TRIM('Real results'!C146))=UPPER(TRIM('Raw data'!G146))),1,0),0)</f>
        <v>1</v>
      </c>
      <c r="H150" s="39"/>
      <c r="I150" s="41">
        <f>IFERROR(IF(AND('Real results'!C146&lt;&gt;"",'Raw data'!I146&lt;&gt;"",UPPER(TRIM('Real results'!C146))=UPPER(TRIM('Raw data'!I146))),1,0),0)</f>
        <v>1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1</v>
      </c>
      <c r="N150" s="39"/>
      <c r="O150" s="41">
        <f>IFERROR(IF(AND('Real results'!C146&lt;&gt;"",'Raw data'!O146&lt;&gt;"",UPPER(TRIM('Real results'!C146))=UPPER(TRIM('Raw data'!O146))),1,0),0)</f>
        <v>1</v>
      </c>
      <c r="P150" s="39"/>
      <c r="Q150" s="41">
        <f>IFERROR(IF(AND('Real results'!C146&lt;&gt;"",'Raw data'!Q146&lt;&gt;"",UPPER(TRIM('Real results'!C146))=UPPER(TRIM('Raw data'!Q146))),1,0),0)</f>
        <v>1</v>
      </c>
      <c r="R150" s="39"/>
      <c r="S150" s="41">
        <f>IFERROR(IF(AND('Real results'!C146&lt;&gt;"",'Raw data'!S146&lt;&gt;"",UPPER(TRIM('Real results'!C146))=UPPER(TRIM('Raw data'!S146))),1,0),0)</f>
        <v>1</v>
      </c>
      <c r="T150" s="39"/>
      <c r="U150" s="41">
        <f>IFERROR(IF(AND('Real results'!C146&lt;&gt;"",'Raw data'!U146&lt;&gt;"",UPPER(TRIM('Real results'!C146))=UPPER(TRIM('Raw data'!U146))),1,0),0)</f>
        <v>1</v>
      </c>
      <c r="V150" s="39"/>
      <c r="W150" s="41">
        <f>IFERROR(IF(AND('Real results'!C146&lt;&gt;"",'Raw data'!W146&lt;&gt;"",UPPER(TRIM('Real results'!C146))=UPPER(TRIM('Raw data'!W146))),1,0),0)</f>
        <v>1</v>
      </c>
      <c r="X150" s="39"/>
      <c r="Y150" s="41">
        <f>IFERROR(IF(AND('Real results'!C146&lt;&gt;"",'Raw data'!Y146&lt;&gt;"",UPPER(TRIM('Real results'!C146))=UPPER(TRIM('Raw data'!Y146))),1,0),0)</f>
        <v>1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1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1</v>
      </c>
      <c r="AH150" s="39"/>
      <c r="AI150" s="41">
        <f>IFERROR(IF(AND('Real results'!C146&lt;&gt;"",'Raw data'!AI146&lt;&gt;"",UPPER(TRIM('Real results'!C146))=UPPER(TRIM('Raw data'!AI146))),1,0),0)</f>
        <v>1</v>
      </c>
      <c r="AJ150" s="39"/>
      <c r="AK150" s="41">
        <f>IFERROR(IF(AND('Real results'!C146&lt;&gt;"",'Raw data'!AK146&lt;&gt;"",UPPER(TRIM('Real results'!C146))=UPPER(TRIM('Raw data'!AK146))),1,0),0)</f>
        <v>1</v>
      </c>
      <c r="AL150" s="39"/>
      <c r="AM150" s="41">
        <f>IFERROR(IF(AND('Real results'!C146&lt;&gt;"",'Raw data'!AM146&lt;&gt;"",UPPER(TRIM('Real results'!C146))=UPPER(TRIM('Raw data'!AM146))),1,0),0)</f>
        <v>1</v>
      </c>
      <c r="AN150" s="39"/>
      <c r="AO150" s="41">
        <f>IFERROR(IF(AND('Real results'!C146&lt;&gt;"",'Raw data'!AO146&lt;&gt;"",UPPER(TRIM('Real results'!C146))=UPPER(TRIM('Raw data'!AO146))),1,0),0)</f>
        <v>1</v>
      </c>
      <c r="AP150" s="39"/>
      <c r="AQ150" s="41">
        <f>IFERROR(IF(AND('Real results'!C146&lt;&gt;"",'Raw data'!AQ146&lt;&gt;"",UPPER(TRIM('Real results'!C146))=UPPER(TRIM('Raw data'!AQ146))),1,0),0)</f>
        <v>1</v>
      </c>
      <c r="AR150" s="39"/>
      <c r="AS150" s="41">
        <f>IFERROR(IF(AND('Real results'!C146&lt;&gt;"",'Raw data'!AS146&lt;&gt;"",UPPER(TRIM('Real results'!C146))=UPPER(TRIM('Raw data'!AS146))),1,0),0)</f>
        <v>1</v>
      </c>
      <c r="AT150" s="39"/>
      <c r="AU150" s="41">
        <f>IFERROR(IF(AND('Real results'!C146&lt;&gt;"",'Raw data'!AU146&lt;&gt;"",UPPER(TRIM('Real results'!C146))=UPPER(TRIM('Raw data'!AU146))),1,0),0)</f>
        <v>1</v>
      </c>
      <c r="AV150" s="39"/>
      <c r="AW150" s="41">
        <f>IFERROR(IF(AND('Real results'!C146&lt;&gt;"",'Raw data'!AW146&lt;&gt;"",UPPER(TRIM('Real results'!C146))=UPPER(TRIM('Raw data'!AW146))),1,0),0)</f>
        <v>1</v>
      </c>
      <c r="AX150" s="39"/>
      <c r="AY150" s="41">
        <f>IFERROR(IF(AND('Real results'!C146&lt;&gt;"",'Raw data'!AY146&lt;&gt;"",UPPER(TRIM('Real results'!C146))=UPPER(TRIM('Raw data'!AY146))),1,0),0)</f>
        <v>1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1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1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1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1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1</v>
      </c>
      <c r="R153" s="39"/>
      <c r="S153" s="41">
        <f>IFERROR(IF(AND('Real results'!C149&lt;&gt;"",'Raw data'!S149&lt;&gt;"",UPPER(TRIM('Real results'!C149))=UPPER(TRIM('Raw data'!S149))),1,0),0)</f>
        <v>1</v>
      </c>
      <c r="T153" s="39"/>
      <c r="U153" s="41">
        <f>IFERROR(IF(AND('Real results'!C149&lt;&gt;"",'Raw data'!U149&lt;&gt;"",UPPER(TRIM('Real results'!C149))=UPPER(TRIM('Raw data'!U149))),1,0),0)</f>
        <v>1</v>
      </c>
      <c r="V153" s="39"/>
      <c r="W153" s="41">
        <f>IFERROR(IF(AND('Real results'!C149&lt;&gt;"",'Raw data'!W149&lt;&gt;"",UPPER(TRIM('Real results'!C149))=UPPER(TRIM('Raw data'!W149))),1,0),0)</f>
        <v>1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1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1</v>
      </c>
      <c r="AH153" s="39"/>
      <c r="AI153" s="41">
        <f>IFERROR(IF(AND('Real results'!C149&lt;&gt;"",'Raw data'!AI149&lt;&gt;"",UPPER(TRIM('Real results'!C149))=UPPER(TRIM('Raw data'!AI149))),1,0),0)</f>
        <v>1</v>
      </c>
      <c r="AJ153" s="39"/>
      <c r="AK153" s="41">
        <f>IFERROR(IF(AND('Real results'!C149&lt;&gt;"",'Raw data'!AK149&lt;&gt;"",UPPER(TRIM('Real results'!C149))=UPPER(TRIM('Raw data'!AK149))),1,0),0)</f>
        <v>1</v>
      </c>
      <c r="AL153" s="39"/>
      <c r="AM153" s="41">
        <f>IFERROR(IF(AND('Real results'!C149&lt;&gt;"",'Raw data'!AM149&lt;&gt;"",UPPER(TRIM('Real results'!C149))=UPPER(TRIM('Raw data'!AM149))),1,0),0)</f>
        <v>1</v>
      </c>
      <c r="AN153" s="39"/>
      <c r="AO153" s="41">
        <f>IFERROR(IF(AND('Real results'!C149&lt;&gt;"",'Raw data'!AO149&lt;&gt;"",UPPER(TRIM('Real results'!C149))=UPPER(TRIM('Raw data'!AO149))),1,0),0)</f>
        <v>1</v>
      </c>
      <c r="AP153" s="39"/>
      <c r="AQ153" s="41">
        <f>IFERROR(IF(AND('Real results'!C149&lt;&gt;"",'Raw data'!AQ149&lt;&gt;"",UPPER(TRIM('Real results'!C149))=UPPER(TRIM('Raw data'!AQ149))),1,0),0)</f>
        <v>1</v>
      </c>
      <c r="AR153" s="39"/>
      <c r="AS153" s="41">
        <f>IFERROR(IF(AND('Real results'!C149&lt;&gt;"",'Raw data'!AS149&lt;&gt;"",UPPER(TRIM('Real results'!C149))=UPPER(TRIM('Raw data'!AS149))),1,0),0)</f>
        <v>1</v>
      </c>
      <c r="AT153" s="39"/>
      <c r="AU153" s="41">
        <f>IFERROR(IF(AND('Real results'!C149&lt;&gt;"",'Raw data'!AU149&lt;&gt;"",UPPER(TRIM('Real results'!C149))=UPPER(TRIM('Raw data'!AU149))),1,0),0)</f>
        <v>1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1</v>
      </c>
      <c r="AZ153" s="39"/>
      <c r="BA153" s="41">
        <f>IFERROR(IF(AND('Real results'!C149&lt;&gt;"",'Raw data'!BA149&lt;&gt;"",UPPER(TRIM('Real results'!C149))=UPPER(TRIM('Raw data'!BA149))),1,0),0)</f>
        <v>1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1</v>
      </c>
      <c r="D168" s="39"/>
      <c r="E168" s="41">
        <f>IFERROR(IF(AND('Real results'!C164&lt;&gt;"",'Raw data'!E164&lt;&gt;"",UPPER(TRIM('Real results'!C164))=UPPER(TRIM('Raw data'!E164))),1,0),0)</f>
        <v>1</v>
      </c>
      <c r="F168" s="39"/>
      <c r="G168" s="41">
        <f>IFERROR(IF(AND('Real results'!C164&lt;&gt;"",'Raw data'!G164&lt;&gt;"",UPPER(TRIM('Real results'!C164))=UPPER(TRIM('Raw data'!G164))),1,0),0)</f>
        <v>1</v>
      </c>
      <c r="H168" s="39"/>
      <c r="I168" s="41">
        <f>IFERROR(IF(AND('Real results'!C164&lt;&gt;"",'Raw data'!I164&lt;&gt;"",UPPER(TRIM('Real results'!C164))=UPPER(TRIM('Raw data'!I164))),1,0),0)</f>
        <v>1</v>
      </c>
      <c r="J168" s="39"/>
      <c r="K168" s="41">
        <f>IFERROR(IF(AND('Real results'!C164&lt;&gt;"",'Raw data'!K164&lt;&gt;"",UPPER(TRIM('Real results'!C164))=UPPER(TRIM('Raw data'!K164))),1,0),0)</f>
        <v>1</v>
      </c>
      <c r="L168" s="39"/>
      <c r="M168" s="41">
        <f>IFERROR(IF(AND('Real results'!C164&lt;&gt;"",'Raw data'!M164&lt;&gt;"",UPPER(TRIM('Real results'!C164))=UPPER(TRIM('Raw data'!M164))),1,0),0)</f>
        <v>1</v>
      </c>
      <c r="N168" s="39"/>
      <c r="O168" s="41">
        <f>IFERROR(IF(AND('Real results'!C164&lt;&gt;"",'Raw data'!O164&lt;&gt;"",UPPER(TRIM('Real results'!C164))=UPPER(TRIM('Raw data'!O164))),1,0),0)</f>
        <v>1</v>
      </c>
      <c r="P168" s="39"/>
      <c r="Q168" s="41">
        <f>IFERROR(IF(AND('Real results'!C164&lt;&gt;"",'Raw data'!Q164&lt;&gt;"",UPPER(TRIM('Real results'!C164))=UPPER(TRIM('Raw data'!Q164))),1,0),0)</f>
        <v>1</v>
      </c>
      <c r="R168" s="39"/>
      <c r="S168" s="41">
        <f>IFERROR(IF(AND('Real results'!C164&lt;&gt;"",'Raw data'!S164&lt;&gt;"",UPPER(TRIM('Real results'!C164))=UPPER(TRIM('Raw data'!S164))),1,0),0)</f>
        <v>1</v>
      </c>
      <c r="T168" s="39"/>
      <c r="U168" s="41">
        <f>IFERROR(IF(AND('Real results'!C164&lt;&gt;"",'Raw data'!U164&lt;&gt;"",UPPER(TRIM('Real results'!C164))=UPPER(TRIM('Raw data'!U164))),1,0),0)</f>
        <v>1</v>
      </c>
      <c r="V168" s="39"/>
      <c r="W168" s="41">
        <f>IFERROR(IF(AND('Real results'!C164&lt;&gt;"",'Raw data'!W164&lt;&gt;"",UPPER(TRIM('Real results'!C164))=UPPER(TRIM('Raw data'!W164))),1,0),0)</f>
        <v>1</v>
      </c>
      <c r="X168" s="39"/>
      <c r="Y168" s="41">
        <f>IFERROR(IF(AND('Real results'!C164&lt;&gt;"",'Raw data'!Y164&lt;&gt;"",UPPER(TRIM('Real results'!C164))=UPPER(TRIM('Raw data'!Y164))),1,0),0)</f>
        <v>1</v>
      </c>
      <c r="Z168" s="39"/>
      <c r="AA168" s="41">
        <f>IFERROR(IF(AND('Real results'!C164&lt;&gt;"",'Raw data'!AA164&lt;&gt;"",UPPER(TRIM('Real results'!C164))=UPPER(TRIM('Raw data'!AA164))),1,0),0)</f>
        <v>1</v>
      </c>
      <c r="AB168" s="39"/>
      <c r="AC168" s="41">
        <f>IFERROR(IF(AND('Real results'!C164&lt;&gt;"",'Raw data'!AC164&lt;&gt;"",UPPER(TRIM('Real results'!C164))=UPPER(TRIM('Raw data'!AC164))),1,0),0)</f>
        <v>1</v>
      </c>
      <c r="AD168" s="39"/>
      <c r="AE168" s="41">
        <f>IFERROR(IF(AND('Real results'!C164&lt;&gt;"",'Raw data'!AE164&lt;&gt;"",UPPER(TRIM('Real results'!C164))=UPPER(TRIM('Raw data'!AE164))),1,0),0)</f>
        <v>1</v>
      </c>
      <c r="AF168" s="39"/>
      <c r="AG168" s="41">
        <f>IFERROR(IF(AND('Real results'!C164&lt;&gt;"",'Raw data'!AG164&lt;&gt;"",UPPER(TRIM('Real results'!C164))=UPPER(TRIM('Raw data'!AG164))),1,0),0)</f>
        <v>1</v>
      </c>
      <c r="AH168" s="39"/>
      <c r="AI168" s="41">
        <f>IFERROR(IF(AND('Real results'!C164&lt;&gt;"",'Raw data'!AI164&lt;&gt;"",UPPER(TRIM('Real results'!C164))=UPPER(TRIM('Raw data'!AI164))),1,0),0)</f>
        <v>1</v>
      </c>
      <c r="AJ168" s="39"/>
      <c r="AK168" s="41">
        <f>IFERROR(IF(AND('Real results'!C164&lt;&gt;"",'Raw data'!AK164&lt;&gt;"",UPPER(TRIM('Real results'!C164))=UPPER(TRIM('Raw data'!AK164))),1,0),0)</f>
        <v>1</v>
      </c>
      <c r="AL168" s="39"/>
      <c r="AM168" s="41">
        <f>IFERROR(IF(AND('Real results'!C164&lt;&gt;"",'Raw data'!AM164&lt;&gt;"",UPPER(TRIM('Real results'!C164))=UPPER(TRIM('Raw data'!AM164))),1,0),0)</f>
        <v>1</v>
      </c>
      <c r="AN168" s="39"/>
      <c r="AO168" s="41">
        <f>IFERROR(IF(AND('Real results'!C164&lt;&gt;"",'Raw data'!AO164&lt;&gt;"",UPPER(TRIM('Real results'!C164))=UPPER(TRIM('Raw data'!AO164))),1,0),0)</f>
        <v>1</v>
      </c>
      <c r="AP168" s="39"/>
      <c r="AQ168" s="41">
        <f>IFERROR(IF(AND('Real results'!C164&lt;&gt;"",'Raw data'!AQ164&lt;&gt;"",UPPER(TRIM('Real results'!C164))=UPPER(TRIM('Raw data'!AQ164))),1,0),0)</f>
        <v>1</v>
      </c>
      <c r="AR168" s="39"/>
      <c r="AS168" s="41">
        <f>IFERROR(IF(AND('Real results'!C164&lt;&gt;"",'Raw data'!AS164&lt;&gt;"",UPPER(TRIM('Real results'!C164))=UPPER(TRIM('Raw data'!AS164))),1,0),0)</f>
        <v>1</v>
      </c>
      <c r="AT168" s="39"/>
      <c r="AU168" s="41">
        <f>IFERROR(IF(AND('Real results'!C164&lt;&gt;"",'Raw data'!AU164&lt;&gt;"",UPPER(TRIM('Real results'!C164))=UPPER(TRIM('Raw data'!AU164))),1,0),0)</f>
        <v>1</v>
      </c>
      <c r="AV168" s="39"/>
      <c r="AW168" s="41">
        <f>IFERROR(IF(AND('Real results'!C164&lt;&gt;"",'Raw data'!AW164&lt;&gt;"",UPPER(TRIM('Real results'!C164))=UPPER(TRIM('Raw data'!AW164))),1,0),0)</f>
        <v>1</v>
      </c>
      <c r="AX168" s="39"/>
      <c r="AY168" s="41">
        <f>IFERROR(IF(AND('Real results'!C164&lt;&gt;"",'Raw data'!AY164&lt;&gt;"",UPPER(TRIM('Real results'!C164))=UPPER(TRIM('Raw data'!AY164))),1,0),0)</f>
        <v>1</v>
      </c>
      <c r="AZ168" s="39"/>
      <c r="BA168" s="41">
        <f>IFERROR(IF(AND('Real results'!C164&lt;&gt;"",'Raw data'!BA164&lt;&gt;"",UPPER(TRIM('Real results'!C164))=UPPER(TRIM('Raw data'!BA164))),1,0),0)</f>
        <v>1</v>
      </c>
      <c r="BB168" s="39"/>
      <c r="BC168" s="41">
        <f>IFERROR(IF(AND('Real results'!C164&lt;&gt;"",'Raw data'!BC164&lt;&gt;"",UPPER(TRIM('Real results'!C164))=UPPER(TRIM('Raw data'!BC164))),1,0),0)</f>
        <v>1</v>
      </c>
      <c r="BD168" s="39"/>
      <c r="BE168" s="41">
        <f>IFERROR(IF(AND('Real results'!C164&lt;&gt;"",'Raw data'!BE164&lt;&gt;"",UPPER(TRIM('Real results'!C164))=UPPER(TRIM('Raw data'!BE164))),1,0),0)</f>
        <v>1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1</v>
      </c>
      <c r="F171" s="39"/>
      <c r="G171" s="41">
        <f>IFERROR(IF(AND('Real results'!C167&lt;&gt;"",'Raw data'!G167&lt;&gt;"",UPPER(TRIM('Real results'!C167))=UPPER(TRIM('Raw data'!G167))),1,0),0)</f>
        <v>1</v>
      </c>
      <c r="H171" s="39"/>
      <c r="I171" s="41">
        <f>IFERROR(IF(AND('Real results'!C167&lt;&gt;"",'Raw data'!I167&lt;&gt;"",UPPER(TRIM('Real results'!C167))=UPPER(TRIM('Raw data'!I167))),1,0),0)</f>
        <v>1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1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1</v>
      </c>
      <c r="T171" s="39"/>
      <c r="U171" s="41">
        <f>IFERROR(IF(AND('Real results'!C167&lt;&gt;"",'Raw data'!U167&lt;&gt;"",UPPER(TRIM('Real results'!C167))=UPPER(TRIM('Raw data'!U167))),1,0),0)</f>
        <v>1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1</v>
      </c>
      <c r="Z171" s="39"/>
      <c r="AA171" s="41">
        <f>IFERROR(IF(AND('Real results'!C167&lt;&gt;"",'Raw data'!AA167&lt;&gt;"",UPPER(TRIM('Real results'!C167))=UPPER(TRIM('Raw data'!AA167))),1,0),0)</f>
        <v>1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1</v>
      </c>
      <c r="AF171" s="39"/>
      <c r="AG171" s="41">
        <f>IFERROR(IF(AND('Real results'!C167&lt;&gt;"",'Raw data'!AG167&lt;&gt;"",UPPER(TRIM('Real results'!C167))=UPPER(TRIM('Raw data'!AG167))),1,0),0)</f>
        <v>1</v>
      </c>
      <c r="AH171" s="39"/>
      <c r="AI171" s="41">
        <f>IFERROR(IF(AND('Real results'!C167&lt;&gt;"",'Raw data'!AI167&lt;&gt;"",UPPER(TRIM('Real results'!C167))=UPPER(TRIM('Raw data'!AI167))),1,0),0)</f>
        <v>1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1</v>
      </c>
      <c r="AN171" s="39"/>
      <c r="AO171" s="41">
        <f>IFERROR(IF(AND('Real results'!C167&lt;&gt;"",'Raw data'!AO167&lt;&gt;"",UPPER(TRIM('Real results'!C167))=UPPER(TRIM('Raw data'!AO167))),1,0),0)</f>
        <v>1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1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1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1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1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1</v>
      </c>
      <c r="H174" s="39"/>
      <c r="I174" s="41">
        <f>IFERROR(IF(AND('Real results'!C170&lt;&gt;"",'Raw data'!I170&lt;&gt;"",UPPER(TRIM('Real results'!C170))=UPPER(TRIM('Raw data'!I170))),1,0),0)</f>
        <v>1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1</v>
      </c>
      <c r="N174" s="39"/>
      <c r="O174" s="41">
        <f>IFERROR(IF(AND('Real results'!C170&lt;&gt;"",'Raw data'!O170&lt;&gt;"",UPPER(TRIM('Real results'!C170))=UPPER(TRIM('Raw data'!O170))),1,0),0)</f>
        <v>1</v>
      </c>
      <c r="P174" s="39"/>
      <c r="Q174" s="41">
        <f>IFERROR(IF(AND('Real results'!C170&lt;&gt;"",'Raw data'!Q170&lt;&gt;"",UPPER(TRIM('Real results'!C170))=UPPER(TRIM('Raw data'!Q170))),1,0),0)</f>
        <v>1</v>
      </c>
      <c r="R174" s="39"/>
      <c r="S174" s="41">
        <f>IFERROR(IF(AND('Real results'!C170&lt;&gt;"",'Raw data'!S170&lt;&gt;"",UPPER(TRIM('Real results'!C170))=UPPER(TRIM('Raw data'!S170))),1,0),0)</f>
        <v>1</v>
      </c>
      <c r="T174" s="39"/>
      <c r="U174" s="41">
        <f>IFERROR(IF(AND('Real results'!C170&lt;&gt;"",'Raw data'!U170&lt;&gt;"",UPPER(TRIM('Real results'!C170))=UPPER(TRIM('Raw data'!U170))),1,0),0)</f>
        <v>1</v>
      </c>
      <c r="V174" s="39"/>
      <c r="W174" s="41">
        <f>IFERROR(IF(AND('Real results'!C170&lt;&gt;"",'Raw data'!W170&lt;&gt;"",UPPER(TRIM('Real results'!C170))=UPPER(TRIM('Raw data'!W170))),1,0),0)</f>
        <v>1</v>
      </c>
      <c r="X174" s="39"/>
      <c r="Y174" s="41">
        <f>IFERROR(IF(AND('Real results'!C170&lt;&gt;"",'Raw data'!Y170&lt;&gt;"",UPPER(TRIM('Real results'!C170))=UPPER(TRIM('Raw data'!Y170))),1,0),0)</f>
        <v>1</v>
      </c>
      <c r="Z174" s="39"/>
      <c r="AA174" s="41">
        <f>IFERROR(IF(AND('Real results'!C170&lt;&gt;"",'Raw data'!AA170&lt;&gt;"",UPPER(TRIM('Real results'!C170))=UPPER(TRIM('Raw data'!AA170))),1,0),0)</f>
        <v>1</v>
      </c>
      <c r="AB174" s="39"/>
      <c r="AC174" s="41">
        <f>IFERROR(IF(AND('Real results'!C170&lt;&gt;"",'Raw data'!AC170&lt;&gt;"",UPPER(TRIM('Real results'!C170))=UPPER(TRIM('Raw data'!AC170))),1,0),0)</f>
        <v>1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1</v>
      </c>
      <c r="AH174" s="39"/>
      <c r="AI174" s="41">
        <f>IFERROR(IF(AND('Real results'!C170&lt;&gt;"",'Raw data'!AI170&lt;&gt;"",UPPER(TRIM('Real results'!C170))=UPPER(TRIM('Raw data'!AI170))),1,0),0)</f>
        <v>1</v>
      </c>
      <c r="AJ174" s="39"/>
      <c r="AK174" s="41">
        <f>IFERROR(IF(AND('Real results'!C170&lt;&gt;"",'Raw data'!AK170&lt;&gt;"",UPPER(TRIM('Real results'!C170))=UPPER(TRIM('Raw data'!AK170))),1,0),0)</f>
        <v>1</v>
      </c>
      <c r="AL174" s="39"/>
      <c r="AM174" s="41">
        <f>IFERROR(IF(AND('Real results'!C170&lt;&gt;"",'Raw data'!AM170&lt;&gt;"",UPPER(TRIM('Real results'!C170))=UPPER(TRIM('Raw data'!AM170))),1,0),0)</f>
        <v>1</v>
      </c>
      <c r="AN174" s="39"/>
      <c r="AO174" s="41">
        <f>IFERROR(IF(AND('Real results'!C170&lt;&gt;"",'Raw data'!AO170&lt;&gt;"",UPPER(TRIM('Real results'!C170))=UPPER(TRIM('Raw data'!AO170))),1,0),0)</f>
        <v>1</v>
      </c>
      <c r="AP174" s="39"/>
      <c r="AQ174" s="41">
        <f>IFERROR(IF(AND('Real results'!C170&lt;&gt;"",'Raw data'!AQ170&lt;&gt;"",UPPER(TRIM('Real results'!C170))=UPPER(TRIM('Raw data'!AQ170))),1,0),0)</f>
        <v>1</v>
      </c>
      <c r="AR174" s="39"/>
      <c r="AS174" s="41">
        <f>IFERROR(IF(AND('Real results'!C170&lt;&gt;"",'Raw data'!AS170&lt;&gt;"",UPPER(TRIM('Real results'!C170))=UPPER(TRIM('Raw data'!AS170))),1,0),0)</f>
        <v>1</v>
      </c>
      <c r="AT174" s="39"/>
      <c r="AU174" s="41">
        <f>IFERROR(IF(AND('Real results'!C170&lt;&gt;"",'Raw data'!AU170&lt;&gt;"",UPPER(TRIM('Real results'!C170))=UPPER(TRIM('Raw data'!AU170))),1,0),0)</f>
        <v>1</v>
      </c>
      <c r="AV174" s="39"/>
      <c r="AW174" s="41">
        <f>IFERROR(IF(AND('Real results'!C170&lt;&gt;"",'Raw data'!AW170&lt;&gt;"",UPPER(TRIM('Real results'!C170))=UPPER(TRIM('Raw data'!AW170))),1,0),0)</f>
        <v>1</v>
      </c>
      <c r="AX174" s="39"/>
      <c r="AY174" s="41">
        <f>IFERROR(IF(AND('Real results'!C170&lt;&gt;"",'Raw data'!AY170&lt;&gt;"",UPPER(TRIM('Real results'!C170))=UPPER(TRIM('Raw data'!AY170))),1,0),0)</f>
        <v>1</v>
      </c>
      <c r="AZ174" s="39"/>
      <c r="BA174" s="41">
        <f>IFERROR(IF(AND('Real results'!C170&lt;&gt;"",'Raw data'!BA170&lt;&gt;"",UPPER(TRIM('Real results'!C170))=UPPER(TRIM('Raw data'!BA170))),1,0),0)</f>
        <v>1</v>
      </c>
      <c r="BB174" s="39"/>
      <c r="BC174" s="41">
        <f>IFERROR(IF(AND('Real results'!C170&lt;&gt;"",'Raw data'!BC170&lt;&gt;"",UPPER(TRIM('Real results'!C170))=UPPER(TRIM('Raw data'!BC170))),1,0),0)</f>
        <v>1</v>
      </c>
      <c r="BD174" s="39"/>
      <c r="BE174" s="41">
        <f>IFERROR(IF(AND('Real results'!C170&lt;&gt;"",'Raw data'!BE170&lt;&gt;"",UPPER(TRIM('Real results'!C170))=UPPER(TRIM('Raw data'!BE170))),1,0),0)</f>
        <v>1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52</v>
      </c>
      <c r="D178" s="39"/>
      <c r="E178" s="43">
        <f>SUM(E130:E177)</f>
        <v>38</v>
      </c>
      <c r="F178" s="39"/>
      <c r="G178" s="43">
        <f>SUM(G130:G177)</f>
        <v>42</v>
      </c>
      <c r="H178" s="39"/>
      <c r="I178" s="43">
        <f>SUM(I130:I177)</f>
        <v>49</v>
      </c>
      <c r="J178" s="39"/>
      <c r="K178" s="43">
        <f>SUM(K130:K177)</f>
        <v>35</v>
      </c>
      <c r="L178" s="39"/>
      <c r="M178" s="43">
        <f>SUM(M130:M177)</f>
        <v>53</v>
      </c>
      <c r="N178" s="39"/>
      <c r="O178" s="43">
        <f>SUM(O130:O177)</f>
        <v>49</v>
      </c>
      <c r="P178" s="39"/>
      <c r="Q178" s="43">
        <f>SUM(Q130:Q177)</f>
        <v>41</v>
      </c>
      <c r="R178" s="39"/>
      <c r="S178" s="43">
        <f>SUM(S130:S177)</f>
        <v>52</v>
      </c>
      <c r="T178" s="39"/>
      <c r="U178" s="43">
        <f>SUM(U130:U177)</f>
        <v>52</v>
      </c>
      <c r="V178" s="39"/>
      <c r="W178" s="43">
        <f>SUM(W130:W177)</f>
        <v>36</v>
      </c>
      <c r="X178" s="39"/>
      <c r="Y178" s="43">
        <f>SUM(Y130:Y177)</f>
        <v>47</v>
      </c>
      <c r="Z178" s="39"/>
      <c r="AA178" s="43">
        <f>SUM(AA130:AA177)</f>
        <v>33</v>
      </c>
      <c r="AB178" s="39"/>
      <c r="AC178" s="43">
        <f>SUM(AC130:AC177)</f>
        <v>44</v>
      </c>
      <c r="AD178" s="39"/>
      <c r="AE178" s="43">
        <f>SUM(AE130:AE177)</f>
        <v>28</v>
      </c>
      <c r="AF178" s="39"/>
      <c r="AG178" s="43">
        <f>SUM(AG130:AG177)</f>
        <v>47</v>
      </c>
      <c r="AH178" s="39"/>
      <c r="AI178" s="43">
        <f>SUM(AI130:AI177)</f>
        <v>50</v>
      </c>
      <c r="AJ178" s="39"/>
      <c r="AK178" s="43">
        <f>SUM(AK130:AK177)</f>
        <v>59</v>
      </c>
      <c r="AL178" s="39"/>
      <c r="AM178" s="43">
        <f>SUM(AM130:AM177)</f>
        <v>59</v>
      </c>
      <c r="AN178" s="39"/>
      <c r="AO178" s="43">
        <f>SUM(AO130:AO177)</f>
        <v>43</v>
      </c>
      <c r="AP178" s="39"/>
      <c r="AQ178" s="43">
        <f>SUM(AQ130:AQ177)</f>
        <v>48</v>
      </c>
      <c r="AR178" s="39"/>
      <c r="AS178" s="43">
        <f>SUM(AS130:AS177)</f>
        <v>48</v>
      </c>
      <c r="AT178" s="39"/>
      <c r="AU178" s="43">
        <f>SUM(AU130:AU177)</f>
        <v>51</v>
      </c>
      <c r="AV178" s="39"/>
      <c r="AW178" s="43">
        <f>SUM(AW130:AW177)</f>
        <v>54</v>
      </c>
      <c r="AX178" s="39"/>
      <c r="AY178" s="43">
        <f>SUM(AY130:AY177)</f>
        <v>29</v>
      </c>
      <c r="AZ178" s="39"/>
      <c r="BA178" s="43">
        <f>SUM(BA130:BA177)</f>
        <v>41</v>
      </c>
      <c r="BB178" s="39"/>
      <c r="BC178" s="43">
        <f>SUM(BC130:BC177)</f>
        <v>47</v>
      </c>
      <c r="BD178" s="39"/>
      <c r="BE178" s="43">
        <f>SUM(BE130:BE177)</f>
        <v>31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199</v>
      </c>
      <c r="D241" s="39"/>
      <c r="E241" s="46">
        <f>SUMIF($B$7:$B$240,"Subtotal*",E$7:E$240)</f>
        <v>195</v>
      </c>
      <c r="F241" s="39"/>
      <c r="G241" s="46">
        <f>SUMIF($B$7:$B$240,"Subtotal*",G$7:G$240)</f>
        <v>187</v>
      </c>
      <c r="H241" s="39"/>
      <c r="I241" s="46">
        <f>SUMIF($B$7:$B$240,"Subtotal*",I$7:I$240)</f>
        <v>200</v>
      </c>
      <c r="J241" s="39"/>
      <c r="K241" s="46">
        <f>SUMIF($B$7:$B$240,"Subtotal*",K$7:K$240)</f>
        <v>194</v>
      </c>
      <c r="L241" s="39"/>
      <c r="M241" s="46">
        <f>SUMIF($B$7:$B$240,"Subtotal*",M$7:M$240)</f>
        <v>205</v>
      </c>
      <c r="N241" s="39"/>
      <c r="O241" s="46">
        <f>SUMIF($B$7:$B$240,"Subtotal*",O$7:O$240)</f>
        <v>192</v>
      </c>
      <c r="P241" s="39"/>
      <c r="Q241" s="46">
        <f>SUMIF($B$7:$B$240,"Subtotal*",Q$7:Q$240)</f>
        <v>197</v>
      </c>
      <c r="R241" s="39"/>
      <c r="S241" s="46">
        <f>SUMIF($B$7:$B$240,"Subtotal*",S$7:S$240)</f>
        <v>207</v>
      </c>
      <c r="T241" s="39"/>
      <c r="U241" s="46">
        <f>SUMIF($B$7:$B$240,"Subtotal*",U$7:U$240)</f>
        <v>211</v>
      </c>
      <c r="V241" s="39"/>
      <c r="W241" s="46">
        <f>SUMIF($B$7:$B$240,"Subtotal*",W$7:W$240)</f>
        <v>189</v>
      </c>
      <c r="X241" s="39"/>
      <c r="Y241" s="46">
        <f>SUMIF($B$7:$B$240,"Subtotal*",Y$7:Y$240)</f>
        <v>186</v>
      </c>
      <c r="Z241" s="39"/>
      <c r="AA241" s="46">
        <f>SUMIF($B$7:$B$240,"Subtotal*",AA$7:AA$240)</f>
        <v>194</v>
      </c>
      <c r="AB241" s="39"/>
      <c r="AC241" s="46">
        <f>SUMIF($B$7:$B$240,"Subtotal*",AC$7:AC$240)</f>
        <v>176</v>
      </c>
      <c r="AD241" s="39"/>
      <c r="AE241" s="46">
        <f>SUMIF($B$7:$B$240,"Subtotal*",AE$7:AE$240)</f>
        <v>194</v>
      </c>
      <c r="AF241" s="39"/>
      <c r="AG241" s="46">
        <f>SUMIF($B$7:$B$240,"Subtotal*",AG$7:AG$240)</f>
        <v>200</v>
      </c>
      <c r="AH241" s="39"/>
      <c r="AI241" s="46">
        <f>SUMIF($B$7:$B$240,"Subtotal*",AI$7:AI$240)</f>
        <v>202</v>
      </c>
      <c r="AJ241" s="39"/>
      <c r="AK241" s="46">
        <f>SUMIF($B$7:$B$240,"Subtotal*",AK$7:AK$240)</f>
        <v>225</v>
      </c>
      <c r="AL241" s="39"/>
      <c r="AM241" s="46">
        <f>SUMIF($B$7:$B$240,"Subtotal*",AM$7:AM$240)</f>
        <v>216</v>
      </c>
      <c r="AN241" s="39"/>
      <c r="AO241" s="46">
        <f>SUMIF($B$7:$B$240,"Subtotal*",AO$7:AO$240)</f>
        <v>216</v>
      </c>
      <c r="AP241" s="39"/>
      <c r="AQ241" s="46">
        <f>SUMIF($B$7:$B$240,"Subtotal*",AQ$7:AQ$240)</f>
        <v>189</v>
      </c>
      <c r="AR241" s="39"/>
      <c r="AS241" s="46">
        <f>SUMIF($B$7:$B$240,"Subtotal*",AS$7:AS$240)</f>
        <v>192</v>
      </c>
      <c r="AT241" s="39"/>
      <c r="AU241" s="46">
        <f>SUMIF($B$7:$B$240,"Subtotal*",AU$7:AU$240)</f>
        <v>212</v>
      </c>
      <c r="AV241" s="39"/>
      <c r="AW241" s="46">
        <f>SUMIF($B$7:$B$240,"Subtotal*",AW$7:AW$240)</f>
        <v>179</v>
      </c>
      <c r="AX241" s="39"/>
      <c r="AY241" s="46">
        <f>SUMIF($B$7:$B$240,"Subtotal*",AY$7:AY$240)</f>
        <v>196</v>
      </c>
      <c r="AZ241" s="39"/>
      <c r="BA241" s="46">
        <f>SUMIF($B$7:$B$240,"Subtotal*",BA$7:BA$240)</f>
        <v>182</v>
      </c>
      <c r="BB241" s="39"/>
      <c r="BC241" s="46">
        <f>SUMIF($B$7:$B$240,"Subtotal*",BC$7:BC$240)</f>
        <v>202</v>
      </c>
      <c r="BD241" s="39"/>
      <c r="BE241" s="46">
        <f>SUMIF($B$7:$B$240,"Subtotal*",BE$7:BE$240)</f>
        <v>187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225</v>
      </c>
      <c r="E6" s="1"/>
      <c r="F6" s="52" t="str">
        <f>'Raw data'!C6</f>
        <v>Matt</v>
      </c>
      <c r="G6" s="52">
        <f>Calculation!C241</f>
        <v>199</v>
      </c>
      <c r="H6" s="52">
        <f>G6*1000-0</f>
        <v>199000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Andy</v>
      </c>
      <c r="D7" s="55">
        <f t="array" ref="D7">IFERROR(INDEX(G6:G35,MATCH(LARGE(H6:H35,2),H6:H35,0)),"")</f>
        <v>216</v>
      </c>
      <c r="E7" s="1"/>
      <c r="F7" s="52" t="str">
        <f>'Raw data'!E6</f>
        <v>Fer</v>
      </c>
      <c r="G7" s="52">
        <f>Calculation!E241</f>
        <v>195</v>
      </c>
      <c r="H7" s="52">
        <f>G7*1000-1</f>
        <v>194999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Adri</v>
      </c>
      <c r="D8" s="58">
        <f t="array" ref="D8">IFERROR(INDEX(G6:G35,MATCH(LARGE(H6:H35,3),H6:H35,0)),"")</f>
        <v>216</v>
      </c>
      <c r="E8" s="1"/>
      <c r="F8" s="52" t="str">
        <f>'Raw data'!G6</f>
        <v>Pano</v>
      </c>
      <c r="G8" s="52">
        <f>Calculation!G241</f>
        <v>187</v>
      </c>
      <c r="H8" s="52">
        <f>G8*1000-2</f>
        <v>186998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Mile</v>
      </c>
      <c r="D9" s="61">
        <f t="array" ref="D9">IFERROR(INDEX(G6:G35,MATCH(LARGE(H6:H35,4),H6:H35,0)),"")</f>
        <v>212</v>
      </c>
      <c r="E9" s="1"/>
      <c r="F9" s="52" t="str">
        <f>'Raw data'!I6</f>
        <v>Tere y Edu</v>
      </c>
      <c r="G9" s="52">
        <f>Calculation!I241</f>
        <v>200</v>
      </c>
      <c r="H9" s="52">
        <f>G9*1000-3</f>
        <v>199997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Pablo</v>
      </c>
      <c r="D10" s="61">
        <f t="array" ref="D10">IFERROR(INDEX(G6:G35,MATCH(LARGE(H6:H35,5),H6:H35,0)),"")</f>
        <v>211</v>
      </c>
      <c r="E10" s="1"/>
      <c r="F10" s="52" t="str">
        <f>'Raw data'!K6</f>
        <v>Nadia</v>
      </c>
      <c r="G10" s="52">
        <f>Calculation!K241</f>
        <v>194</v>
      </c>
      <c r="H10" s="52">
        <f>G10*1000-4</f>
        <v>193996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Paibol</v>
      </c>
      <c r="D11" s="61">
        <f t="array" ref="D11">IFERROR(INDEX(G6:G35,MATCH(LARGE(H6:H35,6),H6:H35,0)),"")</f>
        <v>207</v>
      </c>
      <c r="E11" s="1"/>
      <c r="F11" s="52" t="str">
        <f>'Raw data'!M6</f>
        <v>JE</v>
      </c>
      <c r="G11" s="52">
        <f>Calculation!M241</f>
        <v>205</v>
      </c>
      <c r="H11" s="52">
        <f>G11*1000-5</f>
        <v>204995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JE</v>
      </c>
      <c r="D12" s="61">
        <f t="array" ref="D12">IFERROR(INDEX(G6:G35,MATCH(LARGE(H6:H35,7),H6:H35,0)),"")</f>
        <v>205</v>
      </c>
      <c r="E12" s="1"/>
      <c r="F12" s="52" t="str">
        <f>'Raw data'!O6</f>
        <v>Lucía</v>
      </c>
      <c r="G12" s="52">
        <f>Calculation!O241</f>
        <v>192</v>
      </c>
      <c r="H12" s="52">
        <f>G12*1000-6</f>
        <v>191994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Meg</v>
      </c>
      <c r="D13" s="61">
        <f t="array" ref="D13">IFERROR(INDEX(G6:G35,MATCH(LARGE(H6:H35,8),H6:H35,0)),"")</f>
        <v>202</v>
      </c>
      <c r="E13" s="1"/>
      <c r="F13" s="52" t="str">
        <f>'Raw data'!Q6</f>
        <v>Kike</v>
      </c>
      <c r="G13" s="52">
        <f>Calculation!Q241</f>
        <v>197</v>
      </c>
      <c r="H13" s="52">
        <f>G13*1000-7</f>
        <v>196993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Emilio</v>
      </c>
      <c r="D14" s="61">
        <f t="array" ref="D14">IFERROR(INDEX(G6:G35,MATCH(LARGE(H6:H35,9),H6:H35,0)),"")</f>
        <v>202</v>
      </c>
      <c r="E14" s="1"/>
      <c r="F14" s="52" t="str">
        <f>'Raw data'!S6</f>
        <v>Paibol</v>
      </c>
      <c r="G14" s="52">
        <f>Calculation!S241</f>
        <v>207</v>
      </c>
      <c r="H14" s="52">
        <f>G14*1000-8</f>
        <v>206992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Tere y Edu</v>
      </c>
      <c r="D15" s="61">
        <f t="array" ref="D15">IFERROR(INDEX(G6:G35,MATCH(LARGE(H6:H35,10),H6:H35,0)),"")</f>
        <v>200</v>
      </c>
      <c r="E15" s="1"/>
      <c r="F15" s="52" t="str">
        <f>'Raw data'!U6</f>
        <v>Pablo</v>
      </c>
      <c r="G15" s="52">
        <f>Calculation!U241</f>
        <v>211</v>
      </c>
      <c r="H15" s="52">
        <f>G15*1000-9</f>
        <v>210991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Juanin</v>
      </c>
      <c r="D16" s="61">
        <f t="array" ref="D16">IFERROR(INDEX(G6:G35,MATCH(LARGE(H6:H35,11),H6:H35,0)),"")</f>
        <v>200</v>
      </c>
      <c r="E16" s="1"/>
      <c r="F16" s="52" t="str">
        <f>'Raw data'!W6</f>
        <v>Almu</v>
      </c>
      <c r="G16" s="52">
        <f>Calculation!W241</f>
        <v>189</v>
      </c>
      <c r="H16" s="52">
        <f>G16*1000-10</f>
        <v>188990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Matt</v>
      </c>
      <c r="D17" s="61">
        <f t="array" ref="D17">IFERROR(INDEX(G6:G35,MATCH(LARGE(H6:H35,12),H6:H35,0)),"")</f>
        <v>199</v>
      </c>
      <c r="E17" s="1"/>
      <c r="F17" s="52" t="str">
        <f>'Raw data'!Y6</f>
        <v>Juanorro</v>
      </c>
      <c r="G17" s="52">
        <f>Calculation!Y241</f>
        <v>186</v>
      </c>
      <c r="H17" s="52">
        <f>G17*1000-11</f>
        <v>185989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Kike</v>
      </c>
      <c r="D18" s="61">
        <f t="array" ref="D18">IFERROR(INDEX(G6:G35,MATCH(LARGE(H6:H35,13),H6:H35,0)),"")</f>
        <v>197</v>
      </c>
      <c r="E18" s="1"/>
      <c r="F18" s="52" t="str">
        <f>'Raw data'!AA6</f>
        <v>Cillian</v>
      </c>
      <c r="G18" s="52">
        <f>Calculation!AA241</f>
        <v>194</v>
      </c>
      <c r="H18" s="52">
        <f>G18*1000-12</f>
        <v>193988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Hugo</v>
      </c>
      <c r="D19" s="61">
        <f t="array" ref="D19">IFERROR(INDEX(G6:G35,MATCH(LARGE(H6:H35,14),H6:H35,0)),"")</f>
        <v>196</v>
      </c>
      <c r="E19" s="1"/>
      <c r="F19" s="52" t="str">
        <f>'Raw data'!AC6</f>
        <v>July</v>
      </c>
      <c r="G19" s="52">
        <f>Calculation!AC241</f>
        <v>176</v>
      </c>
      <c r="H19" s="52">
        <f>G19*1000-13</f>
        <v>175987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Fer</v>
      </c>
      <c r="D20" s="61">
        <f t="array" ref="D20">IFERROR(INDEX(G6:G35,MATCH(LARGE(H6:H35,15),H6:H35,0)),"")</f>
        <v>195</v>
      </c>
      <c r="E20" s="1"/>
      <c r="F20" s="52" t="str">
        <f>'Raw data'!AE6</f>
        <v>Toño</v>
      </c>
      <c r="G20" s="52">
        <f>Calculation!AE241</f>
        <v>194</v>
      </c>
      <c r="H20" s="52">
        <f>G20*1000-14</f>
        <v>193986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Nadia</v>
      </c>
      <c r="D21" s="61">
        <f t="array" ref="D21">IFERROR(INDEX(G6:G35,MATCH(LARGE(H6:H35,16),H6:H35,0)),"")</f>
        <v>194</v>
      </c>
      <c r="E21" s="1"/>
      <c r="F21" s="52" t="str">
        <f>'Raw data'!AG6</f>
        <v>Juanin</v>
      </c>
      <c r="G21" s="52">
        <f>Calculation!AG241</f>
        <v>200</v>
      </c>
      <c r="H21" s="52">
        <f>G21*1000-15</f>
        <v>199985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Cillian</v>
      </c>
      <c r="D22" s="61">
        <f t="array" ref="D22">IFERROR(INDEX(G6:G35,MATCH(LARGE(H6:H35,17),H6:H35,0)),"")</f>
        <v>194</v>
      </c>
      <c r="E22" s="1"/>
      <c r="F22" s="52" t="str">
        <f>'Raw data'!AI6</f>
        <v>Meg</v>
      </c>
      <c r="G22" s="52">
        <f>Calculation!AI241</f>
        <v>202</v>
      </c>
      <c r="H22" s="52">
        <f>G22*1000-16</f>
        <v>201984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Toño</v>
      </c>
      <c r="D23" s="61">
        <f t="array" ref="D23">IFERROR(INDEX(G6:G35,MATCH(LARGE(H6:H35,18),H6:H35,0)),"")</f>
        <v>194</v>
      </c>
      <c r="E23" s="1"/>
      <c r="F23" s="52" t="str">
        <f>'Raw data'!AK6</f>
        <v>Irene</v>
      </c>
      <c r="G23" s="52">
        <f>Calculation!AK241</f>
        <v>225</v>
      </c>
      <c r="H23" s="52">
        <f>G23*1000-17</f>
        <v>224983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Lucía</v>
      </c>
      <c r="D24" s="61">
        <f t="array" ref="D24">IFERROR(INDEX(G6:G35,MATCH(LARGE(H6:H35,19),H6:H35,0)),"")</f>
        <v>192</v>
      </c>
      <c r="E24" s="1"/>
      <c r="F24" s="52" t="str">
        <f>'Raw data'!AM6</f>
        <v>Andy</v>
      </c>
      <c r="G24" s="52">
        <f>Calculation!AM241</f>
        <v>216</v>
      </c>
      <c r="H24" s="52">
        <f>G24*1000-18</f>
        <v>215982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Gon </v>
      </c>
      <c r="D25" s="61">
        <f t="array" ref="D25">IFERROR(INDEX(G6:G35,MATCH(LARGE(H6:H35,20),H6:H35,0)),"")</f>
        <v>192</v>
      </c>
      <c r="E25" s="1"/>
      <c r="F25" s="52" t="str">
        <f>'Raw data'!AO6</f>
        <v>Adri</v>
      </c>
      <c r="G25" s="52">
        <f>Calculation!AO241</f>
        <v>216</v>
      </c>
      <c r="H25" s="52">
        <f>G25*1000-19</f>
        <v>215981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Almu</v>
      </c>
      <c r="D26" s="61">
        <f t="array" ref="D26">IFERROR(INDEX(G6:G35,MATCH(LARGE(H6:H35,21),H6:H35,0)),"")</f>
        <v>189</v>
      </c>
      <c r="E26" s="1"/>
      <c r="F26" s="52" t="str">
        <f>'Raw data'!AQ6</f>
        <v>Ben</v>
      </c>
      <c r="G26" s="52">
        <f>Calculation!AQ241</f>
        <v>189</v>
      </c>
      <c r="H26" s="52">
        <f>G26*1000-20</f>
        <v>188980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Ben</v>
      </c>
      <c r="D27" s="61">
        <f t="array" ref="D27">IFERROR(INDEX(G6:G35,MATCH(LARGE(H6:H35,22),H6:H35,0)),"")</f>
        <v>189</v>
      </c>
      <c r="E27" s="1"/>
      <c r="F27" s="52" t="str">
        <f>'Raw data'!AS6</f>
        <v>Gon </v>
      </c>
      <c r="G27" s="52">
        <f>Calculation!AS241</f>
        <v>192</v>
      </c>
      <c r="H27" s="52">
        <f>G27*1000-21</f>
        <v>191979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Pano</v>
      </c>
      <c r="D28" s="61">
        <f t="array" ref="D28">IFERROR(INDEX(G6:G35,MATCH(LARGE(H6:H35,23),H6:H35,0)),"")</f>
        <v>187</v>
      </c>
      <c r="E28" s="1"/>
      <c r="F28" s="52" t="str">
        <f>'Raw data'!AU6</f>
        <v>Mile</v>
      </c>
      <c r="G28" s="52">
        <f>Calculation!AU241</f>
        <v>212</v>
      </c>
      <c r="H28" s="52">
        <f>G28*1000-22</f>
        <v>211978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Manu</v>
      </c>
      <c r="D29" s="61">
        <f t="array" ref="D29">IFERROR(INDEX(G6:G35,MATCH(LARGE(H6:H35,24),H6:H35,0)),"")</f>
        <v>187</v>
      </c>
      <c r="E29" s="1"/>
      <c r="F29" s="52" t="str">
        <f>'Raw data'!AW6</f>
        <v>Cami</v>
      </c>
      <c r="G29" s="52">
        <f>Calculation!AW241</f>
        <v>179</v>
      </c>
      <c r="H29" s="52">
        <f>G29*1000-23</f>
        <v>178977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Juanorro</v>
      </c>
      <c r="D30" s="61">
        <f t="array" ref="D30">IFERROR(INDEX(G6:G35,MATCH(LARGE(H6:H35,25),H6:H35,0)),"")</f>
        <v>186</v>
      </c>
      <c r="E30" s="1"/>
      <c r="F30" s="52" t="str">
        <f>'Raw data'!AY6</f>
        <v>Hugo</v>
      </c>
      <c r="G30" s="52">
        <f>Calculation!AY241</f>
        <v>196</v>
      </c>
      <c r="H30" s="52">
        <f>G30*1000-24</f>
        <v>195976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Jaime</v>
      </c>
      <c r="D31" s="61">
        <f t="array" ref="D31">IFERROR(INDEX(G6:G35,MATCH(LARGE(H6:H35,26),H6:H35,0)),"")</f>
        <v>182</v>
      </c>
      <c r="E31" s="1"/>
      <c r="F31" s="52" t="str">
        <f>'Raw data'!BA6</f>
        <v>Jaime</v>
      </c>
      <c r="G31" s="52">
        <f>Calculation!BA241</f>
        <v>182</v>
      </c>
      <c r="H31" s="52">
        <f>G31*1000-25</f>
        <v>181975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Cami</v>
      </c>
      <c r="D32" s="61">
        <f t="array" ref="D32">IFERROR(INDEX(G6:G35,MATCH(LARGE(H6:H35,27),H6:H35,0)),"")</f>
        <v>179</v>
      </c>
      <c r="E32" s="1"/>
      <c r="F32" s="52" t="str">
        <f>'Raw data'!BC6</f>
        <v>Emilio</v>
      </c>
      <c r="G32" s="52">
        <f>Calculation!BC241</f>
        <v>202</v>
      </c>
      <c r="H32" s="52">
        <f>G32*1000-26</f>
        <v>201974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July</v>
      </c>
      <c r="D33" s="61">
        <f t="array" ref="D33">IFERROR(INDEX(G6:G35,MATCH(LARGE(H6:H35,28),H6:H35,0)),"")</f>
        <v>176</v>
      </c>
      <c r="E33" s="1"/>
      <c r="F33" s="52" t="str">
        <f>'Raw data'!BE6</f>
        <v>Manu</v>
      </c>
      <c r="G33" s="52">
        <f>Calculation!BE241</f>
        <v>187</v>
      </c>
      <c r="H33" s="52">
        <f>G33*1000-27</f>
        <v>186973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