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rt" sheetId="1" state="visible" r:id="rId1"/>
    <sheet xmlns:r="http://schemas.openxmlformats.org/officeDocument/2006/relationships" name="You" sheetId="2" state="visible" r:id="rId2"/>
    <sheet xmlns:r="http://schemas.openxmlformats.org/officeDocument/2006/relationships" name="Bracket" sheetId="3" state="visible" r:id="rId3"/>
    <sheet xmlns:r="http://schemas.openxmlformats.org/officeDocument/2006/relationships" name="Awards" sheetId="4" state="visible" r:id="rId4"/>
    <sheet xmlns:r="http://schemas.openxmlformats.org/officeDocument/2006/relationships" name="Admin ex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theme="1"/>
      <sz val="11"/>
      <scheme val="minor"/>
    </font>
    <font>
      <name val="Georgia"/>
      <b val="1"/>
      <color rgb="FF5BE066"/>
      <sz val="22"/>
    </font>
    <font/>
    <font>
      <name val="Helvetica Neue"/>
      <color rgb="FFFFFFFF"/>
      <sz val="11"/>
    </font>
    <font>
      <name val="Georgia"/>
      <b val="1"/>
      <color rgb="FF0A2E0A"/>
      <sz val="14"/>
    </font>
    <font>
      <name val="Helvetica Neue"/>
      <color rgb="FF4A4A47"/>
      <sz val="10"/>
    </font>
    <font>
      <name val="Helvetica Neue"/>
      <b val="1"/>
      <color rgb="FFE07B3D"/>
      <sz val="11"/>
    </font>
    <font>
      <name val="Courier New"/>
      <b val="1"/>
      <color rgb="FF0A2E0A"/>
      <sz val="11"/>
    </font>
    <font>
      <name val="Georgia"/>
      <b val="1"/>
      <color rgb="FF0A2E0A"/>
      <sz val="18"/>
    </font>
    <font>
      <name val="Helvetica Neue"/>
      <b val="1"/>
      <color rgb="FF0A2E0A"/>
      <sz val="12"/>
    </font>
    <font>
      <name val="Georgia"/>
      <b val="1"/>
      <color rgb="FF0A2E0A"/>
      <sz val="16"/>
    </font>
    <font>
      <name val="Helvetica Neue"/>
      <i val="1"/>
      <color rgb="FF4A4A47"/>
      <sz val="10"/>
    </font>
    <font>
      <name val="Georgia"/>
      <b val="1"/>
      <color rgb="FF5BE066"/>
      <sz val="13"/>
    </font>
    <font>
      <name val="Helvetica Neue"/>
      <i val="1"/>
      <color rgb="FFA8A8A4"/>
      <sz val="8"/>
    </font>
    <font>
      <name val="Courier New"/>
      <b val="1"/>
      <color rgb="FFFFFFFF"/>
      <sz val="9"/>
    </font>
    <font>
      <name val="Helvetica Neue"/>
      <b val="1"/>
      <color rgb="FF0A2E0A"/>
      <sz val="10"/>
    </font>
    <font>
      <name val="Helvetica Neue"/>
      <b val="1"/>
      <color rgb="FF0A2E0A"/>
      <sz val="11"/>
    </font>
    <font>
      <name val="Helvetica Neue"/>
      <b val="1"/>
      <color rgb="FFA8A8A4"/>
      <sz val="12"/>
    </font>
    <font>
      <name val="Helvetica Neue"/>
      <b val="1"/>
      <i val="1"/>
      <color rgb="FFE07B3D"/>
      <sz val="9"/>
    </font>
    <font>
      <name val="Courier New"/>
      <color rgb="FF4A4A47"/>
      <sz val="9"/>
    </font>
    <font>
      <name val="Helvetica Neue"/>
      <i val="1"/>
      <color rgb="FFA8A8A4"/>
      <sz val="9"/>
    </font>
    <font>
      <name val="Georgia"/>
      <b val="1"/>
      <color rgb="FF0A2E0A"/>
      <sz val="11"/>
    </font>
    <font>
      <name val="Georgia"/>
      <b val="1"/>
      <color rgb="FF0A2E0A"/>
      <sz val="13"/>
    </font>
    <font>
      <name val="Georgia"/>
      <b val="1"/>
      <color rgb="FF0A2E0A"/>
      <sz val="15"/>
    </font>
    <font>
      <name val="Helvetica Neue"/>
      <color rgb="FF4A4A47"/>
      <sz val="9"/>
    </font>
    <font>
      <name val="Calibri"/>
      <color theme="1"/>
      <sz val="11"/>
    </font>
  </fonts>
  <fills count="9">
    <fill>
      <patternFill/>
    </fill>
    <fill>
      <patternFill patternType="lightGray"/>
    </fill>
    <fill>
      <patternFill patternType="solid">
        <fgColor rgb="FF0A2E0A"/>
        <bgColor rgb="FF0A2E0A"/>
      </patternFill>
    </fill>
    <fill>
      <patternFill patternType="solid">
        <fgColor rgb="FF1A4A1A"/>
        <bgColor rgb="FF1A4A1A"/>
      </patternFill>
    </fill>
    <fill>
      <patternFill patternType="solid">
        <fgColor rgb="FF5BE066"/>
        <bgColor rgb="FF5BE066"/>
      </patternFill>
    </fill>
    <fill>
      <patternFill patternType="solid">
        <fgColor rgb="FFFBE8D8"/>
        <bgColor rgb="FFFBE8D8"/>
      </patternFill>
    </fill>
    <fill>
      <patternFill patternType="solid">
        <fgColor rgb="FFF4F4F2"/>
        <bgColor rgb="FFF4F4F2"/>
      </patternFill>
    </fill>
    <fill>
      <patternFill patternType="solid">
        <fgColor rgb="FFE8F8E8"/>
        <bgColor rgb="FFE8F8E8"/>
      </patternFill>
    </fill>
    <fill>
      <patternFill patternType="solid">
        <fgColor rgb="FFFFFFFF"/>
        <bgColor rgb="FFFFFFFF"/>
      </patternFill>
    </fill>
  </fills>
  <borders count="10">
    <border/>
    <border>
      <left/>
      <right/>
      <top/>
    </border>
    <border>
      <left/>
      <right/>
    </border>
    <border>
      <left/>
      <right/>
      <bottom/>
    </border>
    <border>
      <left/>
      <right/>
      <top/>
      <bottom/>
    </border>
    <border>
      <left style="medium">
        <color rgb="FF0A2E0A"/>
      </left>
      <right style="medium">
        <color rgb="FF0A2E0A"/>
      </right>
      <top style="medium">
        <color rgb="FF0A2E0A"/>
      </top>
      <bottom style="medium">
        <color rgb="FF0A2E0A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</border>
  </borders>
  <cellStyleXfs count="1">
    <xf numFmtId="0" fontId="0" fillId="0" borderId="0"/>
  </cellStyleXfs>
  <cellXfs count="4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5" borderId="4" applyAlignment="1" pivotButton="0" quotePrefix="0" xfId="0">
      <alignment horizontal="left" vertical="center" wrapText="1"/>
    </xf>
    <xf numFmtId="0" fontId="7" fillId="6" borderId="4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7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12" fillId="2" borderId="6" applyAlignment="1" pivotButton="0" quotePrefix="0" xfId="0">
      <alignment horizontal="left" vertical="center"/>
    </xf>
    <xf numFmtId="0" fontId="2" fillId="0" borderId="7" pivotButton="0" quotePrefix="0" xfId="0"/>
    <xf numFmtId="0" fontId="2" fillId="0" borderId="8" pivotButton="0" quotePrefix="0" xfId="0"/>
    <xf numFmtId="0" fontId="13" fillId="0" borderId="0" applyAlignment="1" pivotButton="0" quotePrefix="0" xfId="0">
      <alignment horizontal="center" vertical="center"/>
    </xf>
    <xf numFmtId="0" fontId="14" fillId="2" borderId="9" applyAlignment="1" pivotButton="0" quotePrefix="0" xfId="0">
      <alignment horizontal="center" vertical="center" wrapText="1"/>
    </xf>
    <xf numFmtId="0" fontId="15" fillId="8" borderId="9" applyAlignment="1" pivotButton="0" quotePrefix="0" xfId="0">
      <alignment horizontal="right" vertical="center"/>
    </xf>
    <xf numFmtId="1" fontId="16" fillId="7" borderId="5" applyAlignment="1" pivotButton="0" quotePrefix="0" xfId="0">
      <alignment horizontal="center" vertical="center"/>
    </xf>
    <xf numFmtId="0" fontId="17" fillId="0" borderId="9" applyAlignment="1" pivotButton="0" quotePrefix="0" xfId="0">
      <alignment horizontal="center" vertical="center"/>
    </xf>
    <xf numFmtId="0" fontId="15" fillId="8" borderId="9" applyAlignment="1" pivotButton="0" quotePrefix="0" xfId="0">
      <alignment horizontal="left" vertical="center"/>
    </xf>
    <xf numFmtId="0" fontId="16" fillId="7" borderId="5" applyAlignment="1" pivotButton="0" quotePrefix="0" xfId="0">
      <alignment horizontal="center" vertical="center"/>
    </xf>
    <xf numFmtId="0" fontId="18" fillId="6" borderId="9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4" fillId="4" borderId="6" applyAlignment="1" pivotButton="0" quotePrefix="0" xfId="0">
      <alignment horizontal="left" vertical="center"/>
    </xf>
    <xf numFmtId="0" fontId="21" fillId="8" borderId="9" applyAlignment="1" pivotButton="0" quotePrefix="0" xfId="0">
      <alignment horizontal="right" vertical="center"/>
    </xf>
    <xf numFmtId="0" fontId="21" fillId="8" borderId="9" applyAlignment="1" pivotButton="0" quotePrefix="0" xfId="0">
      <alignment horizontal="left" vertical="center"/>
    </xf>
    <xf numFmtId="0" fontId="22" fillId="4" borderId="5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9" fillId="0" borderId="9" applyAlignment="1" pivotButton="0" quotePrefix="0" xfId="0">
      <alignment horizontal="left" vertical="center"/>
    </xf>
    <xf numFmtId="0" fontId="9" fillId="7" borderId="5" applyAlignment="1" pivotButton="0" quotePrefix="0" xfId="0">
      <alignment horizontal="left" vertical="center"/>
    </xf>
    <xf numFmtId="0" fontId="11" fillId="0" borderId="9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/>
    </xf>
    <xf numFmtId="0" fontId="24" fillId="0" borderId="9" applyAlignment="1" pivotButton="0" quotePrefix="0" xfId="0">
      <alignment horizontal="left" vertical="center"/>
    </xf>
    <xf numFmtId="0" fontId="15" fillId="0" borderId="9" applyAlignment="1" pivotButton="0" quotePrefix="0" xfId="0">
      <alignment horizontal="center" vertical="center"/>
    </xf>
    <xf numFmtId="0" fontId="25" fillId="0" borderId="9" applyAlignment="1" pivotButton="0" quotePrefix="0" xfId="0">
      <alignment vertical="bottom"/>
    </xf>
    <xf numFmtId="0" fontId="15" fillId="6" borderId="9" applyAlignment="1" pivotButton="0" quotePrefix="0" xfId="0">
      <alignment horizontal="left" vertical="center"/>
    </xf>
    <xf numFmtId="0" fontId="25" fillId="6" borderId="9" applyAlignment="1" pivotButton="0" quotePrefix="0" xfId="0">
      <alignment vertical="bottom"/>
    </xf>
    <xf numFmtId="1" fontId="15" fillId="0" borderId="9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12" fillId="2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left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4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3" min="1" max="1"/>
    <col width="90" customWidth="1" style="43" min="2" max="2"/>
    <col width="3" customWidth="1" style="43" min="3" max="3"/>
    <col width="8.710000000000001" customWidth="1" style="43" min="4" max="26"/>
  </cols>
  <sheetData>
    <row r="2" ht="30" customHeight="1" s="43">
      <c r="B2" s="44" t="inlineStr">
        <is>
          <t>WORLD CUP 2026 POOL - KNOCKOUTS</t>
        </is>
      </c>
    </row>
    <row r="3" ht="30" customHeight="1" s="43"/>
    <row r="4" ht="30" customHeight="1" s="43"/>
    <row r="5">
      <c r="B5" s="45" t="inlineStr">
        <is>
          <t>Reveni · Part 2 of 2 · Jun 28 - Jul 19</t>
        </is>
      </c>
    </row>
    <row r="6"/>
    <row r="7" ht="12" customHeight="1" s="43"/>
    <row r="8" ht="21.75" customHeight="1" s="43">
      <c r="B8" s="5" t="inlineStr">
        <is>
          <t>BEFORE YOU START</t>
        </is>
      </c>
    </row>
    <row r="9" ht="18" customHeight="1" s="43">
      <c r="B9" s="6" t="n"/>
    </row>
    <row r="10" ht="21.75" customHeight="1" s="43">
      <c r="B10" s="7" t="inlineStr">
        <is>
          <t>Make a copy of this file and rename it to:  WorldCup_Knockouts_YourName.xlsx</t>
        </is>
      </c>
    </row>
    <row r="11" ht="21.75" customHeight="1" s="43">
      <c r="B11" s="6" t="inlineStr">
        <is>
          <t>Don't edit the original. Send your renamed copy to the admin when finished.</t>
        </is>
      </c>
    </row>
    <row r="12" ht="18" customHeight="1" s="43">
      <c r="B12" s="6" t="n"/>
    </row>
    <row r="13" ht="21.75" customHeight="1" s="43">
      <c r="B13" s="5" t="inlineStr">
        <is>
          <t>HOW TO PLAY (PART 2 - KNOCKOUTS)</t>
        </is>
      </c>
    </row>
    <row r="14" ht="18" customHeight="1" s="43">
      <c r="B14" s="6" t="n"/>
    </row>
    <row r="15" ht="21.75" customHeight="1" s="43">
      <c r="B15" s="6" t="inlineStr">
        <is>
          <t>1.  Enter your name in the 'You' tab.</t>
        </is>
      </c>
    </row>
    <row r="16" ht="21.75" customHeight="1" s="43">
      <c r="B16" s="6" t="inlineStr">
        <is>
          <t>2.  Go to 'Bracket': the 16 Round of 32 matches are ALREADY FILLED with the real teams.</t>
        </is>
      </c>
    </row>
    <row r="17" ht="21.75" customHeight="1" s="43">
      <c r="B17" s="6" t="inlineStr">
        <is>
          <t xml:space="preserve">    Enter home goals and away goals (two separate cells) for each match at 90 minutes.</t>
        </is>
      </c>
    </row>
    <row r="18" ht="21.75" customHeight="1" s="43">
      <c r="B18" s="6" t="inlineStr">
        <is>
          <t>3.  If you predict a draw, use the 'If tied' dropdown to indicate who advances.</t>
        </is>
      </c>
    </row>
    <row r="19" ht="21.75" customHeight="1" s="43">
      <c r="B19" s="6" t="inlineStr">
        <is>
          <t xml:space="preserve">    No penalty points - just decide who passes if tied at 90'.</t>
        </is>
      </c>
    </row>
    <row r="20" ht="21.75" customHeight="1" s="43">
      <c r="B20" s="6" t="inlineStr">
        <is>
          <t>4.  Teams advance automatically to the next round (R16 → QF → SF → 3rd place → Final).</t>
        </is>
      </c>
    </row>
    <row r="21" ht="21.75" customHeight="1" s="43">
      <c r="B21" s="6" t="inlineStr">
        <is>
          <t>5.  In the 'Awards' tab, pick Top Scorer and Best Player (Ballon d'Or).</t>
        </is>
      </c>
    </row>
    <row r="22" ht="21.75" customHeight="1" s="43">
      <c r="B22" s="6" t="inlineStr">
        <is>
          <t>6.  Send the file to the admin before the first Round of 32 match (Jun 28).</t>
        </is>
      </c>
    </row>
    <row r="23" ht="18" customHeight="1" s="43">
      <c r="B23" s="6" t="n"/>
    </row>
    <row r="24" ht="21.75" customHeight="1" s="43">
      <c r="B24" s="5" t="inlineStr">
        <is>
          <t>SCORING (THIS STAGE)</t>
        </is>
      </c>
    </row>
    <row r="25" ht="18" customHeight="1" s="43">
      <c r="B25" s="6" t="n"/>
    </row>
    <row r="26" ht="21.75" customHeight="1" s="43">
      <c r="B26" s="8" t="inlineStr">
        <is>
          <t>MATCHES</t>
        </is>
      </c>
    </row>
    <row r="27" ht="21.75" customHeight="1" s="43">
      <c r="B27" s="6" t="inlineStr">
        <is>
          <t xml:space="preserve">    • Correct outcome at 90' (1/X/2):  3 pts   |   Exact score at 90':  +2 pts extra</t>
        </is>
      </c>
    </row>
    <row r="28" ht="18" customHeight="1" s="43">
      <c r="B28" s="6" t="n"/>
    </row>
    <row r="29" ht="21.75" customHeight="1" s="43">
      <c r="B29" s="8" t="inlineStr">
        <is>
          <t>TEAMS ADVANCING (per correct team)</t>
        </is>
      </c>
    </row>
    <row r="30" ht="21.75" customHeight="1" s="43">
      <c r="B30" s="6" t="inlineStr">
        <is>
          <t xml:space="preserve">    • Round of 16:  1 pt   |   Quarter-finals:  2 pts   |   Semi-finals:  4 pts   |   Finalist:  6 pts</t>
        </is>
      </c>
    </row>
    <row r="31" ht="21.75" customHeight="1" s="43">
      <c r="B31" s="6" t="inlineStr">
        <is>
          <t xml:space="preserve">    • 3rd place:  4 pts   |   Runner-up:  8 pts   |   Champion:  12 pts</t>
        </is>
      </c>
    </row>
    <row r="32" ht="18" customHeight="1" s="43">
      <c r="B32" s="6" t="n"/>
    </row>
    <row r="33" ht="21.75" customHeight="1" s="43">
      <c r="B33" s="8" t="inlineStr">
        <is>
          <t>SPECIAL AWARDS</t>
        </is>
      </c>
    </row>
    <row r="34" ht="21.75" customHeight="1" s="43">
      <c r="B34" s="6" t="inlineStr">
        <is>
          <t xml:space="preserve">    • Top Scorer:  8 pts   |   Ballon d'Or (Best Player):  8 pts</t>
        </is>
      </c>
    </row>
    <row r="35" ht="15.75" customHeight="1" s="43"/>
    <row r="36" ht="15.75" customHeight="1" s="43"/>
    <row r="37" ht="15.75" customHeight="1" s="43"/>
    <row r="38" ht="15.75" customHeight="1" s="43"/>
    <row r="39" ht="15.75" customHeight="1" s="43"/>
    <row r="40" ht="15.75" customHeight="1" s="43"/>
    <row r="41" ht="15.75" customHeight="1" s="43"/>
    <row r="42" ht="15.75" customHeight="1" s="43"/>
    <row r="43" ht="15.75" customHeight="1" s="43"/>
    <row r="44" ht="15.75" customHeight="1" s="43"/>
    <row r="45" ht="15.75" customHeight="1" s="43"/>
    <row r="46" ht="15.75" customHeight="1" s="43"/>
    <row r="47" ht="15.75" customHeight="1" s="43"/>
    <row r="48" ht="15.75" customHeight="1" s="43"/>
    <row r="49" ht="15.75" customHeight="1" s="43"/>
    <row r="50" ht="15.75" customHeight="1" s="43"/>
    <row r="51" ht="15.75" customHeight="1" s="43"/>
    <row r="52" ht="15.75" customHeight="1" s="43"/>
    <row r="53" ht="15.75" customHeight="1" s="43"/>
    <row r="54" ht="15.75" customHeight="1" s="43"/>
    <row r="55" ht="15.75" customHeight="1" s="43"/>
    <row r="56" ht="15.75" customHeight="1" s="43"/>
    <row r="57" ht="15.75" customHeight="1" s="43"/>
    <row r="58" ht="15.75" customHeight="1" s="43"/>
    <row r="59" ht="15.75" customHeight="1" s="43"/>
    <row r="60" ht="15.75" customHeight="1" s="43"/>
    <row r="61" ht="15.75" customHeight="1" s="43"/>
    <row r="62" ht="15.75" customHeight="1" s="43"/>
    <row r="63" ht="15.75" customHeight="1" s="43"/>
    <row r="64" ht="15.75" customHeight="1" s="43"/>
    <row r="65" ht="15.75" customHeight="1" s="43"/>
    <row r="66" ht="15.75" customHeight="1" s="43"/>
    <row r="67" ht="15.75" customHeight="1" s="43"/>
    <row r="68" ht="15.75" customHeight="1" s="43"/>
    <row r="69" ht="15.75" customHeight="1" s="43"/>
    <row r="70" ht="15.75" customHeight="1" s="43"/>
    <row r="71" ht="15.75" customHeight="1" s="43"/>
    <row r="72" ht="15.75" customHeight="1" s="43"/>
    <row r="73" ht="15.75" customHeight="1" s="43"/>
    <row r="74" ht="15.75" customHeight="1" s="43"/>
    <row r="75" ht="15.75" customHeight="1" s="43"/>
    <row r="76" ht="15.75" customHeight="1" s="43"/>
    <row r="77" ht="15.75" customHeight="1" s="43"/>
    <row r="78" ht="15.75" customHeight="1" s="43"/>
    <row r="79" ht="15.75" customHeight="1" s="43"/>
    <row r="80" ht="15.75" customHeight="1" s="43"/>
    <row r="81" ht="15.75" customHeight="1" s="43"/>
    <row r="82" ht="15.75" customHeight="1" s="43"/>
    <row r="83" ht="15.75" customHeight="1" s="43"/>
    <row r="84" ht="15.75" customHeight="1" s="43"/>
    <row r="85" ht="15.75" customHeight="1" s="43"/>
    <row r="86" ht="15.75" customHeight="1" s="43"/>
    <row r="87" ht="15.75" customHeight="1" s="43"/>
    <row r="88" ht="15.75" customHeight="1" s="43"/>
    <row r="89" ht="15.75" customHeight="1" s="43"/>
    <row r="90" ht="15.75" customHeight="1" s="43"/>
    <row r="91" ht="15.75" customHeight="1" s="43"/>
    <row r="92" ht="15.75" customHeight="1" s="43"/>
    <row r="93" ht="15.75" customHeight="1" s="43"/>
    <row r="94" ht="15.75" customHeight="1" s="43"/>
    <row r="95" ht="15.75" customHeight="1" s="43"/>
    <row r="96" ht="15.75" customHeight="1" s="43"/>
    <row r="97" ht="15.75" customHeight="1" s="43"/>
    <row r="98" ht="15.75" customHeight="1" s="43"/>
    <row r="99" ht="15.75" customHeight="1" s="43"/>
    <row r="100" ht="15.75" customHeight="1" s="43"/>
    <row r="101" ht="15.75" customHeight="1" s="43"/>
    <row r="102" ht="15.75" customHeight="1" s="43"/>
    <row r="103" ht="15.75" customHeight="1" s="43"/>
    <row r="104" ht="15.75" customHeight="1" s="43"/>
    <row r="105" ht="15.75" customHeight="1" s="43"/>
    <row r="106" ht="15.75" customHeight="1" s="43"/>
    <row r="107" ht="15.75" customHeight="1" s="43"/>
    <row r="108" ht="15.75" customHeight="1" s="43"/>
    <row r="109" ht="15.75" customHeight="1" s="43"/>
    <row r="110" ht="15.75" customHeight="1" s="43"/>
    <row r="111" ht="15.75" customHeight="1" s="43"/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  <row r="992" ht="15.75" customHeight="1" s="43"/>
    <row r="993" ht="15.75" customHeight="1" s="43"/>
    <row r="994" ht="15.75" customHeight="1" s="43"/>
    <row r="995" ht="15.75" customHeight="1" s="43"/>
    <row r="996" ht="15.75" customHeight="1" s="43"/>
    <row r="997" ht="15.75" customHeight="1" s="43"/>
    <row r="998" ht="15.75" customHeight="1" s="43"/>
    <row r="999" ht="15.75" customHeight="1" s="43"/>
    <row r="1000" ht="15.75" customHeight="1" s="43"/>
  </sheetData>
  <mergeCells count="2">
    <mergeCell ref="B5:B6"/>
    <mergeCell ref="B2:B4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4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3" min="1" max="1"/>
    <col width="15" customWidth="1" style="43" min="2" max="2"/>
    <col width="40" customWidth="1" style="43" min="3" max="3"/>
    <col width="3" customWidth="1" style="43" min="4" max="4"/>
    <col width="8.710000000000001" customWidth="1" style="43" min="5" max="26"/>
  </cols>
  <sheetData>
    <row r="2" ht="31.5" customHeight="1" s="43">
      <c r="B2" s="9" t="inlineStr">
        <is>
          <t>YOUR DETAILS</t>
        </is>
      </c>
    </row>
    <row r="4" ht="31.5" customHeight="1" s="43">
      <c r="B4" s="10" t="inlineStr">
        <is>
          <t>Name:</t>
        </is>
      </c>
      <c r="C4" s="34" t="inlineStr">
        <is>
          <t>JE</t>
        </is>
      </c>
    </row>
    <row r="21" ht="15.75" customHeight="1" s="43"/>
    <row r="22" ht="15.75" customHeight="1" s="43"/>
    <row r="23" ht="15.75" customHeight="1" s="43"/>
    <row r="24" ht="15.75" customHeight="1" s="43"/>
    <row r="25" ht="15.75" customHeight="1" s="43"/>
    <row r="26" ht="15.75" customHeight="1" s="43"/>
    <row r="27" ht="15.75" customHeight="1" s="43"/>
    <row r="28" ht="15.75" customHeight="1" s="43"/>
    <row r="29" ht="15.75" customHeight="1" s="43"/>
    <row r="30" ht="15.75" customHeight="1" s="43"/>
    <row r="31" ht="15.75" customHeight="1" s="43"/>
    <row r="32" ht="15.75" customHeight="1" s="43"/>
    <row r="33" ht="15.75" customHeight="1" s="43"/>
    <row r="34" ht="15.75" customHeight="1" s="43"/>
    <row r="35" ht="15.75" customHeight="1" s="43"/>
    <row r="36" ht="15.75" customHeight="1" s="43"/>
    <row r="37" ht="15.75" customHeight="1" s="43"/>
    <row r="38" ht="15.75" customHeight="1" s="43"/>
    <row r="39" ht="15.75" customHeight="1" s="43"/>
    <row r="40" ht="15.75" customHeight="1" s="43"/>
    <row r="41" ht="15.75" customHeight="1" s="43"/>
    <row r="42" ht="15.75" customHeight="1" s="43"/>
    <row r="43" ht="15.75" customHeight="1" s="43"/>
    <row r="44" ht="15.75" customHeight="1" s="43"/>
    <row r="45" ht="15.75" customHeight="1" s="43"/>
    <row r="46" ht="15.75" customHeight="1" s="43"/>
    <row r="47" ht="15.75" customHeight="1" s="43"/>
    <row r="48" ht="15.75" customHeight="1" s="43"/>
    <row r="49" ht="15.75" customHeight="1" s="43"/>
    <row r="50" ht="15.75" customHeight="1" s="43"/>
    <row r="51" ht="15.75" customHeight="1" s="43"/>
    <row r="52" ht="15.75" customHeight="1" s="43"/>
    <row r="53" ht="15.75" customHeight="1" s="43"/>
    <row r="54" ht="15.75" customHeight="1" s="43"/>
    <row r="55" ht="15.75" customHeight="1" s="43"/>
    <row r="56" ht="15.75" customHeight="1" s="43"/>
    <row r="57" ht="15.75" customHeight="1" s="43"/>
    <row r="58" ht="15.75" customHeight="1" s="43"/>
    <row r="59" ht="15.75" customHeight="1" s="43"/>
    <row r="60" ht="15.75" customHeight="1" s="43"/>
    <row r="61" ht="15.75" customHeight="1" s="43"/>
    <row r="62" ht="15.75" customHeight="1" s="43"/>
    <row r="63" ht="15.75" customHeight="1" s="43"/>
    <row r="64" ht="15.75" customHeight="1" s="43"/>
    <row r="65" ht="15.75" customHeight="1" s="43"/>
    <row r="66" ht="15.75" customHeight="1" s="43"/>
    <row r="67" ht="15.75" customHeight="1" s="43"/>
    <row r="68" ht="15.75" customHeight="1" s="43"/>
    <row r="69" ht="15.75" customHeight="1" s="43"/>
    <row r="70" ht="15.75" customHeight="1" s="43"/>
    <row r="71" ht="15.75" customHeight="1" s="43"/>
    <row r="72" ht="15.75" customHeight="1" s="43"/>
    <row r="73" ht="15.75" customHeight="1" s="43"/>
    <row r="74" ht="15.75" customHeight="1" s="43"/>
    <row r="75" ht="15.75" customHeight="1" s="43"/>
    <row r="76" ht="15.75" customHeight="1" s="43"/>
    <row r="77" ht="15.75" customHeight="1" s="43"/>
    <row r="78" ht="15.75" customHeight="1" s="43"/>
    <row r="79" ht="15.75" customHeight="1" s="43"/>
    <row r="80" ht="15.75" customHeight="1" s="43"/>
    <row r="81" ht="15.75" customHeight="1" s="43"/>
    <row r="82" ht="15.75" customHeight="1" s="43"/>
    <row r="83" ht="15.75" customHeight="1" s="43"/>
    <row r="84" ht="15.75" customHeight="1" s="43"/>
    <row r="85" ht="15.75" customHeight="1" s="43"/>
    <row r="86" ht="15.75" customHeight="1" s="43"/>
    <row r="87" ht="15.75" customHeight="1" s="43"/>
    <row r="88" ht="15.75" customHeight="1" s="43"/>
    <row r="89" ht="15.75" customHeight="1" s="43"/>
    <row r="90" ht="15.75" customHeight="1" s="43"/>
    <row r="91" ht="15.75" customHeight="1" s="43"/>
    <row r="92" ht="15.75" customHeight="1" s="43"/>
    <row r="93" ht="15.75" customHeight="1" s="43"/>
    <row r="94" ht="15.75" customHeight="1" s="43"/>
    <row r="95" ht="15.75" customHeight="1" s="43"/>
    <row r="96" ht="15.75" customHeight="1" s="43"/>
    <row r="97" ht="15.75" customHeight="1" s="43"/>
    <row r="98" ht="15.75" customHeight="1" s="43"/>
    <row r="99" ht="15.75" customHeight="1" s="43"/>
    <row r="100" ht="15.75" customHeight="1" s="43"/>
    <row r="101" ht="15.75" customHeight="1" s="43"/>
    <row r="102" ht="15.75" customHeight="1" s="43"/>
    <row r="103" ht="15.75" customHeight="1" s="43"/>
    <row r="104" ht="15.75" customHeight="1" s="43"/>
    <row r="105" ht="15.75" customHeight="1" s="43"/>
    <row r="106" ht="15.75" customHeight="1" s="43"/>
    <row r="107" ht="15.75" customHeight="1" s="43"/>
    <row r="108" ht="15.75" customHeight="1" s="43"/>
    <row r="109" ht="15.75" customHeight="1" s="43"/>
    <row r="110" ht="15.75" customHeight="1" s="43"/>
    <row r="111" ht="15.75" customHeight="1" s="43"/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  <row r="992" ht="15.75" customHeight="1" s="43"/>
    <row r="993" ht="15.75" customHeight="1" s="43"/>
    <row r="994" ht="15.75" customHeight="1" s="43"/>
    <row r="995" ht="15.75" customHeight="1" s="43"/>
    <row r="996" ht="15.75" customHeight="1" s="43"/>
    <row r="997" ht="15.75" customHeight="1" s="43"/>
    <row r="998" ht="15.75" customHeight="1" s="43"/>
    <row r="999" ht="15.75" customHeight="1" s="43"/>
    <row r="1000" ht="15.75" customHeight="1" s="43"/>
  </sheetData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J53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3" min="1" max="1"/>
    <col width="25" customWidth="1" style="43" min="2" max="2"/>
    <col width="9" customWidth="1" style="43" min="3" max="3"/>
    <col width="4" customWidth="1" style="43" min="4" max="4"/>
    <col width="9" customWidth="1" style="43" min="5" max="5"/>
    <col width="25" customWidth="1" style="43" min="6" max="6"/>
    <col width="14" customWidth="1" style="43" min="7" max="7"/>
    <col width="22" customWidth="1" style="43" min="8" max="8"/>
    <col width="3" customWidth="1" style="43" min="9" max="9"/>
    <col width="18" customWidth="1" style="43" min="10" max="10"/>
    <col width="8.710000000000001" customWidth="1" style="43" min="11" max="26"/>
  </cols>
  <sheetData>
    <row r="2" ht="30" customHeight="1" s="43">
      <c r="B2" s="12" t="inlineStr">
        <is>
          <t>BRACKET - Your predictions</t>
        </is>
      </c>
    </row>
    <row r="3" ht="31.5" customHeight="1" s="43">
      <c r="B3" s="13" t="inlineStr">
        <is>
          <t>Round of 32 teams are filled in. Enter home goals and away goals at 90 minutes. If tied, use the dropdown to pick who advances.</t>
        </is>
      </c>
    </row>
    <row r="5" ht="25.5" customHeight="1" s="43">
      <c r="B5" s="46" t="inlineStr">
        <is>
          <t xml:space="preserve">  ROUND OF 32  (Jun 28 - Jul 3)</t>
        </is>
      </c>
      <c r="J5" s="17" t="inlineStr">
        <is>
          <t>Loser/Date</t>
        </is>
      </c>
    </row>
    <row r="6" ht="19.5" customHeight="1" s="43">
      <c r="B6" s="18" t="inlineStr">
        <is>
          <t>HOME</t>
        </is>
      </c>
      <c r="C6" s="18" t="inlineStr">
        <is>
          <t>Goals 90'</t>
        </is>
      </c>
      <c r="D6" s="18" t="n"/>
      <c r="E6" s="18" t="inlineStr">
        <is>
          <t>Goals 90'</t>
        </is>
      </c>
      <c r="F6" s="18" t="inlineStr">
        <is>
          <t>AWAY</t>
        </is>
      </c>
      <c r="G6" s="18" t="inlineStr">
        <is>
          <t>If tied</t>
        </is>
      </c>
      <c r="H6" s="18" t="inlineStr">
        <is>
          <t>Winner</t>
        </is>
      </c>
    </row>
    <row r="7" ht="24" customHeight="1" s="43">
      <c r="B7" s="19" t="inlineStr">
        <is>
          <t>Germany</t>
        </is>
      </c>
      <c r="C7" s="20" t="n">
        <v>2</v>
      </c>
      <c r="D7" s="21" t="inlineStr">
        <is>
          <t>-</t>
        </is>
      </c>
      <c r="E7" s="20" t="n">
        <v>1</v>
      </c>
      <c r="F7" s="22" t="inlineStr">
        <is>
          <t>Paraguay</t>
        </is>
      </c>
      <c r="G7" s="23" t="n"/>
      <c r="H7" s="24">
        <f>IFERROR(IF(AND(C7&lt;&gt;"",E7&lt;&gt;""),IF(C7&gt;E7,B7,IF(E7&gt;C7,F7,IF(G7="Home",B7,IF(G7="Away",F7,"")))),""),"")</f>
        <v/>
      </c>
      <c r="J7" s="25" t="inlineStr">
        <is>
          <t>Jun 29</t>
        </is>
      </c>
    </row>
    <row r="8" ht="24" customHeight="1" s="43">
      <c r="B8" s="19" t="inlineStr">
        <is>
          <t>France</t>
        </is>
      </c>
      <c r="C8" s="20" t="n">
        <v>2</v>
      </c>
      <c r="D8" s="21" t="inlineStr">
        <is>
          <t>-</t>
        </is>
      </c>
      <c r="E8" s="20" t="n">
        <v>1</v>
      </c>
      <c r="F8" s="22" t="inlineStr">
        <is>
          <t>Sweden</t>
        </is>
      </c>
      <c r="G8" s="23" t="n"/>
      <c r="H8" s="24">
        <f>IFERROR(IF(AND(C8&lt;&gt;"",E8&lt;&gt;""),IF(C8&gt;E8,B8,IF(E8&gt;C8,F8,IF(G8="Home",B8,IF(G8="Away",F8,"")))),""),"")</f>
        <v/>
      </c>
      <c r="J8" s="25" t="inlineStr">
        <is>
          <t>Jun 30</t>
        </is>
      </c>
    </row>
    <row r="9" ht="24" customHeight="1" s="43">
      <c r="B9" s="19" t="inlineStr">
        <is>
          <t>South Africa</t>
        </is>
      </c>
      <c r="C9" s="20" t="n">
        <v>1</v>
      </c>
      <c r="D9" s="21" t="inlineStr">
        <is>
          <t>-</t>
        </is>
      </c>
      <c r="E9" s="20" t="n">
        <v>2</v>
      </c>
      <c r="F9" s="22" t="inlineStr">
        <is>
          <t>Canada</t>
        </is>
      </c>
      <c r="G9" s="23" t="n"/>
      <c r="H9" s="24">
        <f>IFERROR(IF(AND(C9&lt;&gt;"",E9&lt;&gt;""),IF(C9&gt;E9,B9,IF(E9&gt;C9,F9,IF(G9="Home",B9,IF(G9="Away",F9,"")))),""),"")</f>
        <v/>
      </c>
      <c r="J9" s="25" t="inlineStr">
        <is>
          <t>Jun 28</t>
        </is>
      </c>
    </row>
    <row r="10" ht="24" customHeight="1" s="43">
      <c r="B10" s="19" t="inlineStr">
        <is>
          <t>Netherlands</t>
        </is>
      </c>
      <c r="C10" s="20" t="n">
        <v>2</v>
      </c>
      <c r="D10" s="21" t="inlineStr">
        <is>
          <t>-</t>
        </is>
      </c>
      <c r="E10" s="20" t="n">
        <v>1</v>
      </c>
      <c r="F10" s="22" t="inlineStr">
        <is>
          <t>Morocco</t>
        </is>
      </c>
      <c r="G10" s="23" t="n"/>
      <c r="H10" s="24">
        <f>IFERROR(IF(AND(C10&lt;&gt;"",E10&lt;&gt;""),IF(C10&gt;E10,B10,IF(E10&gt;C10,F10,IF(G10="Home",B10,IF(G10="Away",F10,"")))),""),"")</f>
        <v/>
      </c>
      <c r="J10" s="25" t="inlineStr">
        <is>
          <t>Jun 29</t>
        </is>
      </c>
    </row>
    <row r="11" ht="24" customHeight="1" s="43">
      <c r="B11" s="19" t="inlineStr">
        <is>
          <t>Portugal</t>
        </is>
      </c>
      <c r="C11" s="20" t="n">
        <v>2</v>
      </c>
      <c r="D11" s="21" t="inlineStr">
        <is>
          <t>-</t>
        </is>
      </c>
      <c r="E11" s="20" t="n">
        <v>1</v>
      </c>
      <c r="F11" s="22" t="inlineStr">
        <is>
          <t>Croatia</t>
        </is>
      </c>
      <c r="G11" s="23" t="n"/>
      <c r="H11" s="24">
        <f>IFERROR(IF(AND(C11&lt;&gt;"",E11&lt;&gt;""),IF(C11&gt;E11,B11,IF(E11&gt;C11,F11,IF(G11="Home",B11,IF(G11="Away",F11,"")))),""),"")</f>
        <v/>
      </c>
      <c r="J11" s="25" t="inlineStr">
        <is>
          <t>Jul 2</t>
        </is>
      </c>
    </row>
    <row r="12" ht="24" customHeight="1" s="43">
      <c r="B12" s="19" t="inlineStr">
        <is>
          <t>Spain</t>
        </is>
      </c>
      <c r="C12" s="20" t="n">
        <v>2</v>
      </c>
      <c r="D12" s="21" t="inlineStr">
        <is>
          <t>-</t>
        </is>
      </c>
      <c r="E12" s="20" t="n">
        <v>1</v>
      </c>
      <c r="F12" s="22" t="inlineStr">
        <is>
          <t>Austria</t>
        </is>
      </c>
      <c r="G12" s="23" t="n"/>
      <c r="H12" s="24">
        <f>IFERROR(IF(AND(C12&lt;&gt;"",E12&lt;&gt;""),IF(C12&gt;E12,B12,IF(E12&gt;C12,F12,IF(G12="Home",B12,IF(G12="Away",F12,"")))),""),"")</f>
        <v/>
      </c>
      <c r="J12" s="25" t="inlineStr">
        <is>
          <t>Jul 2</t>
        </is>
      </c>
    </row>
    <row r="13" ht="24" customHeight="1" s="43">
      <c r="B13" s="19" t="inlineStr">
        <is>
          <t>USA</t>
        </is>
      </c>
      <c r="C13" s="20" t="n">
        <v>2</v>
      </c>
      <c r="D13" s="21" t="inlineStr">
        <is>
          <t>-</t>
        </is>
      </c>
      <c r="E13" s="20" t="n">
        <v>1</v>
      </c>
      <c r="F13" s="22" t="inlineStr">
        <is>
          <t>Bosnia-Herz.</t>
        </is>
      </c>
      <c r="G13" s="23" t="n"/>
      <c r="H13" s="24">
        <f>IFERROR(IF(AND(C13&lt;&gt;"",E13&lt;&gt;""),IF(C13&gt;E13,B13,IF(E13&gt;C13,F13,IF(G13="Home",B13,IF(G13="Away",F13,"")))),""),"")</f>
        <v/>
      </c>
      <c r="J13" s="25" t="inlineStr">
        <is>
          <t>Jul 1</t>
        </is>
      </c>
    </row>
    <row r="14" ht="24" customHeight="1" s="43">
      <c r="B14" s="19" t="inlineStr">
        <is>
          <t>Belgium</t>
        </is>
      </c>
      <c r="C14" s="20" t="n">
        <v>2</v>
      </c>
      <c r="D14" s="21" t="inlineStr">
        <is>
          <t>-</t>
        </is>
      </c>
      <c r="E14" s="20" t="n">
        <v>1</v>
      </c>
      <c r="F14" s="22" t="inlineStr">
        <is>
          <t>Senegal</t>
        </is>
      </c>
      <c r="G14" s="23" t="n"/>
      <c r="H14" s="24">
        <f>IFERROR(IF(AND(C14&lt;&gt;"",E14&lt;&gt;""),IF(C14&gt;E14,B14,IF(E14&gt;C14,F14,IF(G14="Home",B14,IF(G14="Away",F14,"")))),""),"")</f>
        <v/>
      </c>
      <c r="J14" s="25" t="inlineStr">
        <is>
          <t>Jul 1</t>
        </is>
      </c>
    </row>
    <row r="15" ht="24" customHeight="1" s="43">
      <c r="B15" s="19" t="inlineStr">
        <is>
          <t>Brazil</t>
        </is>
      </c>
      <c r="C15" s="20" t="n">
        <v>2</v>
      </c>
      <c r="D15" s="21" t="inlineStr">
        <is>
          <t>-</t>
        </is>
      </c>
      <c r="E15" s="20" t="n">
        <v>1</v>
      </c>
      <c r="F15" s="22" t="inlineStr">
        <is>
          <t>Japan</t>
        </is>
      </c>
      <c r="G15" s="23" t="n"/>
      <c r="H15" s="24">
        <f>IFERROR(IF(AND(C15&lt;&gt;"",E15&lt;&gt;""),IF(C15&gt;E15,B15,IF(E15&gt;C15,F15,IF(G15="Home",B15,IF(G15="Away",F15,"")))),""),"")</f>
        <v/>
      </c>
      <c r="J15" s="25" t="inlineStr">
        <is>
          <t>Jun 29</t>
        </is>
      </c>
    </row>
    <row r="16" ht="24" customHeight="1" s="43">
      <c r="B16" s="19" t="inlineStr">
        <is>
          <t>Ivory Coast</t>
        </is>
      </c>
      <c r="C16" s="20" t="n">
        <v>1</v>
      </c>
      <c r="D16" s="21" t="inlineStr">
        <is>
          <t>-</t>
        </is>
      </c>
      <c r="E16" s="20" t="n">
        <v>2</v>
      </c>
      <c r="F16" s="22" t="inlineStr">
        <is>
          <t>Norway</t>
        </is>
      </c>
      <c r="G16" s="23" t="n"/>
      <c r="H16" s="24">
        <f>IFERROR(IF(AND(C16&lt;&gt;"",E16&lt;&gt;""),IF(C16&gt;E16,B16,IF(E16&gt;C16,F16,IF(G16="Home",B16,IF(G16="Away",F16,"")))),""),"")</f>
        <v/>
      </c>
      <c r="J16" s="25" t="inlineStr">
        <is>
          <t>Jun 30</t>
        </is>
      </c>
    </row>
    <row r="17" ht="24" customHeight="1" s="43">
      <c r="B17" s="19" t="inlineStr">
        <is>
          <t>Mexico</t>
        </is>
      </c>
      <c r="C17" s="20" t="n">
        <v>2</v>
      </c>
      <c r="D17" s="21" t="inlineStr">
        <is>
          <t>-</t>
        </is>
      </c>
      <c r="E17" s="20" t="n">
        <v>1</v>
      </c>
      <c r="F17" s="22" t="inlineStr">
        <is>
          <t>Ecuador</t>
        </is>
      </c>
      <c r="G17" s="23" t="n"/>
      <c r="H17" s="24">
        <f>IFERROR(IF(AND(C17&lt;&gt;"",E17&lt;&gt;""),IF(C17&gt;E17,B17,IF(E17&gt;C17,F17,IF(G17="Home",B17,IF(G17="Away",F17,"")))),""),"")</f>
        <v/>
      </c>
      <c r="J17" s="25" t="inlineStr">
        <is>
          <t>Jun 30</t>
        </is>
      </c>
    </row>
    <row r="18" ht="24" customHeight="1" s="43">
      <c r="B18" s="19" t="inlineStr">
        <is>
          <t>England</t>
        </is>
      </c>
      <c r="C18" s="20" t="n">
        <v>2</v>
      </c>
      <c r="D18" s="21" t="inlineStr">
        <is>
          <t>-</t>
        </is>
      </c>
      <c r="E18" s="20" t="n">
        <v>1</v>
      </c>
      <c r="F18" s="22" t="inlineStr">
        <is>
          <t>DR Congo</t>
        </is>
      </c>
      <c r="G18" s="23" t="n"/>
      <c r="H18" s="24">
        <f>IFERROR(IF(AND(C18&lt;&gt;"",E18&lt;&gt;""),IF(C18&gt;E18,B18,IF(E18&gt;C18,F18,IF(G18="Home",B18,IF(G18="Away",F18,"")))),""),"")</f>
        <v/>
      </c>
      <c r="J18" s="25" t="inlineStr">
        <is>
          <t>Jul 1</t>
        </is>
      </c>
    </row>
    <row r="19" ht="24" customHeight="1" s="43">
      <c r="B19" s="19" t="inlineStr">
        <is>
          <t>Argentina</t>
        </is>
      </c>
      <c r="C19" s="20" t="n">
        <v>2</v>
      </c>
      <c r="D19" s="21" t="inlineStr">
        <is>
          <t>-</t>
        </is>
      </c>
      <c r="E19" s="20" t="n">
        <v>1</v>
      </c>
      <c r="F19" s="22" t="inlineStr">
        <is>
          <t>Cabo Verde</t>
        </is>
      </c>
      <c r="G19" s="23" t="n"/>
      <c r="H19" s="24">
        <f>IFERROR(IF(AND(C19&lt;&gt;"",E19&lt;&gt;""),IF(C19&gt;E19,B19,IF(E19&gt;C19,F19,IF(G19="Home",B19,IF(G19="Away",F19,"")))),""),"")</f>
        <v/>
      </c>
      <c r="J19" s="25" t="inlineStr">
        <is>
          <t>Jul 3</t>
        </is>
      </c>
    </row>
    <row r="20" ht="24" customHeight="1" s="43">
      <c r="B20" s="19" t="inlineStr">
        <is>
          <t>Australia</t>
        </is>
      </c>
      <c r="C20" s="20" t="n">
        <v>2</v>
      </c>
      <c r="D20" s="21" t="inlineStr">
        <is>
          <t>-</t>
        </is>
      </c>
      <c r="E20" s="20" t="n">
        <v>1</v>
      </c>
      <c r="F20" s="22" t="inlineStr">
        <is>
          <t>Egypt</t>
        </is>
      </c>
      <c r="G20" s="23" t="n"/>
      <c r="H20" s="24">
        <f>IFERROR(IF(AND(C20&lt;&gt;"",E20&lt;&gt;""),IF(C20&gt;E20,B20,IF(E20&gt;C20,F20,IF(G20="Home",B20,IF(G20="Away",F20,"")))),""),"")</f>
        <v/>
      </c>
      <c r="J20" s="25" t="inlineStr">
        <is>
          <t>Jul 3</t>
        </is>
      </c>
    </row>
    <row r="21" ht="24" customHeight="1" s="43">
      <c r="B21" s="19" t="inlineStr">
        <is>
          <t>Switzerland</t>
        </is>
      </c>
      <c r="C21" s="20" t="n">
        <v>2</v>
      </c>
      <c r="D21" s="21" t="inlineStr">
        <is>
          <t>-</t>
        </is>
      </c>
      <c r="E21" s="20" t="n">
        <v>1</v>
      </c>
      <c r="F21" s="22" t="inlineStr">
        <is>
          <t>Algeria</t>
        </is>
      </c>
      <c r="G21" s="23" t="n"/>
      <c r="H21" s="24">
        <f>IFERROR(IF(AND(C21&lt;&gt;"",E21&lt;&gt;""),IF(C21&gt;E21,B21,IF(E21&gt;C21,F21,IF(G21="Home",B21,IF(G21="Away",F21,"")))),""),"")</f>
        <v/>
      </c>
      <c r="J21" s="25" t="inlineStr">
        <is>
          <t>Jul 2</t>
        </is>
      </c>
    </row>
    <row r="22" ht="24" customHeight="1" s="43">
      <c r="B22" s="19" t="inlineStr">
        <is>
          <t>Colombia</t>
        </is>
      </c>
      <c r="C22" s="20" t="n">
        <v>2</v>
      </c>
      <c r="D22" s="21" t="inlineStr">
        <is>
          <t>-</t>
        </is>
      </c>
      <c r="E22" s="20" t="n">
        <v>1</v>
      </c>
      <c r="F22" s="22" t="inlineStr">
        <is>
          <t>Ghana</t>
        </is>
      </c>
      <c r="G22" s="23" t="n"/>
      <c r="H22" s="24">
        <f>IFERROR(IF(AND(C22&lt;&gt;"",E22&lt;&gt;""),IF(C22&gt;E22,B22,IF(E22&gt;C22,F22,IF(G22="Home",B22,IF(G22="Away",F22,"")))),""),"")</f>
        <v/>
      </c>
      <c r="J22" s="25" t="inlineStr">
        <is>
          <t>Jul 3</t>
        </is>
      </c>
    </row>
    <row r="23" ht="15.75" customHeight="1" s="43"/>
    <row r="24" ht="25.5" customHeight="1" s="43">
      <c r="B24" s="46" t="inlineStr">
        <is>
          <t xml:space="preserve">  ROUND OF 16  (Jul 5 - 8)</t>
        </is>
      </c>
    </row>
    <row r="25" ht="19.5" customHeight="1" s="43">
      <c r="B25" s="18" t="inlineStr">
        <is>
          <t>HOME</t>
        </is>
      </c>
      <c r="C25" s="18" t="inlineStr">
        <is>
          <t>Goals 90'</t>
        </is>
      </c>
      <c r="D25" s="18" t="n"/>
      <c r="E25" s="18" t="inlineStr">
        <is>
          <t>Goals 90'</t>
        </is>
      </c>
      <c r="F25" s="18" t="inlineStr">
        <is>
          <t>AWAY</t>
        </is>
      </c>
      <c r="G25" s="18" t="inlineStr">
        <is>
          <t>If tied</t>
        </is>
      </c>
      <c r="H25" s="18" t="inlineStr">
        <is>
          <t>Winner</t>
        </is>
      </c>
    </row>
    <row r="26" ht="24" customHeight="1" s="43">
      <c r="B26" s="19">
        <f>H7</f>
        <v/>
      </c>
      <c r="C26" s="20" t="n">
        <v>1</v>
      </c>
      <c r="D26" s="21" t="inlineStr">
        <is>
          <t>-</t>
        </is>
      </c>
      <c r="E26" s="20" t="n">
        <v>2</v>
      </c>
      <c r="F26" s="22">
        <f>H8</f>
        <v/>
      </c>
      <c r="G26" s="23" t="n"/>
      <c r="H26" s="24">
        <f>IFERROR(IF(AND(C26&lt;&gt;"",E26&lt;&gt;""),IF(C26&gt;E26,B26,IF(E26&gt;C26,F26,IF(G26="Home",B26,IF(G26="Away",F26,"")))),""),"")</f>
        <v/>
      </c>
    </row>
    <row r="27" ht="24" customHeight="1" s="43">
      <c r="B27" s="19">
        <f>H9</f>
        <v/>
      </c>
      <c r="C27" s="20" t="n">
        <v>1</v>
      </c>
      <c r="D27" s="21" t="inlineStr">
        <is>
          <t>-</t>
        </is>
      </c>
      <c r="E27" s="20" t="n">
        <v>2</v>
      </c>
      <c r="F27" s="22">
        <f>H10</f>
        <v/>
      </c>
      <c r="G27" s="23" t="n"/>
      <c r="H27" s="24">
        <f>IFERROR(IF(AND(C27&lt;&gt;"",E27&lt;&gt;""),IF(C27&gt;E27,B27,IF(E27&gt;C27,F27,IF(G27="Home",B27,IF(G27="Away",F27,"")))),""),"")</f>
        <v/>
      </c>
    </row>
    <row r="28" ht="24" customHeight="1" s="43">
      <c r="B28" s="19">
        <f>H11</f>
        <v/>
      </c>
      <c r="C28" s="20" t="n">
        <v>1</v>
      </c>
      <c r="D28" s="21" t="inlineStr">
        <is>
          <t>-</t>
        </is>
      </c>
      <c r="E28" s="20" t="n">
        <v>2</v>
      </c>
      <c r="F28" s="22">
        <f>H12</f>
        <v/>
      </c>
      <c r="G28" s="23" t="n"/>
      <c r="H28" s="24">
        <f>IFERROR(IF(AND(C28&lt;&gt;"",E28&lt;&gt;""),IF(C28&gt;E28,B28,IF(E28&gt;C28,F28,IF(G28="Home",B28,IF(G28="Away",F28,"")))),""),"")</f>
        <v/>
      </c>
    </row>
    <row r="29" ht="24" customHeight="1" s="43">
      <c r="B29" s="19">
        <f>H13</f>
        <v/>
      </c>
      <c r="C29" s="20" t="n">
        <v>1</v>
      </c>
      <c r="D29" s="21" t="inlineStr">
        <is>
          <t>-</t>
        </is>
      </c>
      <c r="E29" s="20" t="n">
        <v>2</v>
      </c>
      <c r="F29" s="22">
        <f>H14</f>
        <v/>
      </c>
      <c r="G29" s="23" t="n"/>
      <c r="H29" s="24">
        <f>IFERROR(IF(AND(C29&lt;&gt;"",E29&lt;&gt;""),IF(C29&gt;E29,B29,IF(E29&gt;C29,F29,IF(G29="Home",B29,IF(G29="Away",F29,"")))),""),"")</f>
        <v/>
      </c>
    </row>
    <row r="30" ht="24" customHeight="1" s="43">
      <c r="B30" s="19">
        <f>H15</f>
        <v/>
      </c>
      <c r="C30" s="20" t="n">
        <v>2</v>
      </c>
      <c r="D30" s="21" t="inlineStr">
        <is>
          <t>-</t>
        </is>
      </c>
      <c r="E30" s="20" t="n">
        <v>1</v>
      </c>
      <c r="F30" s="22">
        <f>H16</f>
        <v/>
      </c>
      <c r="G30" s="23" t="n"/>
      <c r="H30" s="24">
        <f>IFERROR(IF(AND(C30&lt;&gt;"",E30&lt;&gt;""),IF(C30&gt;E30,B30,IF(E30&gt;C30,F30,IF(G30="Home",B30,IF(G30="Away",F30,"")))),""),"")</f>
        <v/>
      </c>
    </row>
    <row r="31" ht="24" customHeight="1" s="43">
      <c r="B31" s="19">
        <f>H17</f>
        <v/>
      </c>
      <c r="C31" s="20" t="n">
        <v>1</v>
      </c>
      <c r="D31" s="21" t="inlineStr">
        <is>
          <t>-</t>
        </is>
      </c>
      <c r="E31" s="20" t="n">
        <v>2</v>
      </c>
      <c r="F31" s="22">
        <f>H18</f>
        <v/>
      </c>
      <c r="G31" s="23" t="n"/>
      <c r="H31" s="24">
        <f>IFERROR(IF(AND(C31&lt;&gt;"",E31&lt;&gt;""),IF(C31&gt;E31,B31,IF(E31&gt;C31,F31,IF(G31="Home",B31,IF(G31="Away",F31,"")))),""),"")</f>
        <v/>
      </c>
    </row>
    <row r="32" ht="24" customHeight="1" s="43">
      <c r="B32" s="19">
        <f>H19</f>
        <v/>
      </c>
      <c r="C32" s="20" t="n">
        <v>2</v>
      </c>
      <c r="D32" s="21" t="inlineStr">
        <is>
          <t>-</t>
        </is>
      </c>
      <c r="E32" s="20" t="n">
        <v>1</v>
      </c>
      <c r="F32" s="22">
        <f>H20</f>
        <v/>
      </c>
      <c r="G32" s="23" t="n"/>
      <c r="H32" s="24">
        <f>IFERROR(IF(AND(C32&lt;&gt;"",E32&lt;&gt;""),IF(C32&gt;E32,B32,IF(E32&gt;C32,F32,IF(G32="Home",B32,IF(G32="Away",F32,"")))),""),"")</f>
        <v/>
      </c>
    </row>
    <row r="33" ht="24" customHeight="1" s="43">
      <c r="B33" s="19">
        <f>H21</f>
        <v/>
      </c>
      <c r="C33" s="20" t="n">
        <v>1</v>
      </c>
      <c r="D33" s="21" t="inlineStr">
        <is>
          <t>-</t>
        </is>
      </c>
      <c r="E33" s="20" t="n">
        <v>2</v>
      </c>
      <c r="F33" s="22">
        <f>H22</f>
        <v/>
      </c>
      <c r="G33" s="23" t="n"/>
      <c r="H33" s="24">
        <f>IFERROR(IF(AND(C33&lt;&gt;"",E33&lt;&gt;""),IF(C33&gt;E33,B33,IF(E33&gt;C33,F33,IF(G33="Home",B33,IF(G33="Away",F33,"")))),""),"")</f>
        <v/>
      </c>
    </row>
    <row r="34" ht="15.75" customHeight="1" s="43"/>
    <row r="35" ht="25.5" customHeight="1" s="43">
      <c r="B35" s="46" t="inlineStr">
        <is>
          <t xml:space="preserve">  QUARTER-FINALS  (Jul 9 - 11)</t>
        </is>
      </c>
    </row>
    <row r="36" ht="19.5" customHeight="1" s="43">
      <c r="B36" s="18" t="inlineStr">
        <is>
          <t>HOME</t>
        </is>
      </c>
      <c r="C36" s="18" t="inlineStr">
        <is>
          <t>Goals 90'</t>
        </is>
      </c>
      <c r="D36" s="18" t="n"/>
      <c r="E36" s="18" t="inlineStr">
        <is>
          <t>Goals 90'</t>
        </is>
      </c>
      <c r="F36" s="18" t="inlineStr">
        <is>
          <t>AWAY</t>
        </is>
      </c>
      <c r="G36" s="18" t="inlineStr">
        <is>
          <t>If tied</t>
        </is>
      </c>
      <c r="H36" s="18" t="inlineStr">
        <is>
          <t>Winner</t>
        </is>
      </c>
    </row>
    <row r="37" ht="24" customHeight="1" s="43">
      <c r="B37" s="19">
        <f>H26</f>
        <v/>
      </c>
      <c r="C37" s="20" t="n">
        <v>2</v>
      </c>
      <c r="D37" s="21" t="inlineStr">
        <is>
          <t>-</t>
        </is>
      </c>
      <c r="E37" s="20" t="n">
        <v>1</v>
      </c>
      <c r="F37" s="22">
        <f>H27</f>
        <v/>
      </c>
      <c r="G37" s="23" t="n"/>
      <c r="H37" s="24">
        <f>IFERROR(IF(AND(C37&lt;&gt;"",E37&lt;&gt;""),IF(C37&gt;E37,B37,IF(E37&gt;C37,F37,IF(G37="Home",B37,IF(G37="Away",F37,"")))),""),"")</f>
        <v/>
      </c>
    </row>
    <row r="38" ht="24" customHeight="1" s="43">
      <c r="B38" s="19">
        <f>H28</f>
        <v/>
      </c>
      <c r="C38" s="20" t="n">
        <v>1</v>
      </c>
      <c r="D38" s="21" t="inlineStr">
        <is>
          <t>-</t>
        </is>
      </c>
      <c r="E38" s="20" t="n">
        <v>2</v>
      </c>
      <c r="F38" s="22">
        <f>H29</f>
        <v/>
      </c>
      <c r="G38" s="23" t="n"/>
      <c r="H38" s="24">
        <f>IFERROR(IF(AND(C38&lt;&gt;"",E38&lt;&gt;""),IF(C38&gt;E38,B38,IF(E38&gt;C38,F38,IF(G38="Home",B38,IF(G38="Away",F38,"")))),""),"")</f>
        <v/>
      </c>
    </row>
    <row r="39" ht="24" customHeight="1" s="43">
      <c r="B39" s="19">
        <f>H30</f>
        <v/>
      </c>
      <c r="C39" s="20" t="n">
        <v>1</v>
      </c>
      <c r="D39" s="21" t="inlineStr">
        <is>
          <t>-</t>
        </is>
      </c>
      <c r="E39" s="20" t="n">
        <v>2</v>
      </c>
      <c r="F39" s="22">
        <f>H31</f>
        <v/>
      </c>
      <c r="G39" s="23" t="n"/>
      <c r="H39" s="24">
        <f>IFERROR(IF(AND(C39&lt;&gt;"",E39&lt;&gt;""),IF(C39&gt;E39,B39,IF(E39&gt;C39,F39,IF(G39="Home",B39,IF(G39="Away",F39,"")))),""),"")</f>
        <v/>
      </c>
    </row>
    <row r="40" ht="24" customHeight="1" s="43">
      <c r="B40" s="19">
        <f>H32</f>
        <v/>
      </c>
      <c r="C40" s="20" t="n">
        <v>2</v>
      </c>
      <c r="D40" s="21" t="inlineStr">
        <is>
          <t>-</t>
        </is>
      </c>
      <c r="E40" s="20" t="n">
        <v>1</v>
      </c>
      <c r="F40" s="22">
        <f>H33</f>
        <v/>
      </c>
      <c r="G40" s="23" t="n"/>
      <c r="H40" s="24">
        <f>IFERROR(IF(AND(C40&lt;&gt;"",E40&lt;&gt;""),IF(C40&gt;E40,B40,IF(E40&gt;C40,F40,IF(G40="Home",B40,IF(G40="Away",F40,"")))),""),"")</f>
        <v/>
      </c>
    </row>
    <row r="41" ht="15.75" customHeight="1" s="43"/>
    <row r="42" ht="25.5" customHeight="1" s="43">
      <c r="B42" s="46" t="inlineStr">
        <is>
          <t xml:space="preserve">  SEMI-FINALS  (Jul 14 - 15)</t>
        </is>
      </c>
    </row>
    <row r="43" ht="19.5" customHeight="1" s="43">
      <c r="B43" s="18" t="inlineStr">
        <is>
          <t>HOME</t>
        </is>
      </c>
      <c r="C43" s="18" t="inlineStr">
        <is>
          <t>Goals 90'</t>
        </is>
      </c>
      <c r="D43" s="18" t="n"/>
      <c r="E43" s="18" t="inlineStr">
        <is>
          <t>Goals 90'</t>
        </is>
      </c>
      <c r="F43" s="18" t="inlineStr">
        <is>
          <t>AWAY</t>
        </is>
      </c>
      <c r="G43" s="18" t="inlineStr">
        <is>
          <t>If tied</t>
        </is>
      </c>
      <c r="H43" s="18" t="inlineStr">
        <is>
          <t>Winner</t>
        </is>
      </c>
    </row>
    <row r="44" ht="24" customHeight="1" s="43">
      <c r="B44" s="19">
        <f>H37</f>
        <v/>
      </c>
      <c r="C44" s="20" t="n">
        <v>2</v>
      </c>
      <c r="D44" s="21" t="inlineStr">
        <is>
          <t>-</t>
        </is>
      </c>
      <c r="E44" s="20" t="n">
        <v>1</v>
      </c>
      <c r="F44" s="22">
        <f>H38</f>
        <v/>
      </c>
      <c r="G44" s="23" t="n"/>
      <c r="H44" s="24">
        <f>IFERROR(IF(AND(C44&lt;&gt;"",E44&lt;&gt;""),IF(C44&gt;E44,B44,IF(E44&gt;C44,F44,IF(G44="Home",B44,IF(G44="Away",F44,"")))),""),"")</f>
        <v/>
      </c>
      <c r="J44" s="26">
        <f>IFERROR(IF(AND(C44&lt;&gt;"",E44&lt;&gt;""),IF(C44&lt;E44,B44,IF(E44&lt;C44,F44,IF(G44="Home",F44,IF(G44="Away",B44,"")))),""),"")</f>
        <v/>
      </c>
    </row>
    <row r="45" ht="24" customHeight="1" s="43">
      <c r="B45" s="19">
        <f>H39</f>
        <v/>
      </c>
      <c r="C45" s="20" t="n">
        <v>1</v>
      </c>
      <c r="D45" s="21" t="inlineStr">
        <is>
          <t>-</t>
        </is>
      </c>
      <c r="E45" s="20" t="n">
        <v>2</v>
      </c>
      <c r="F45" s="22">
        <f>H40</f>
        <v/>
      </c>
      <c r="G45" s="23" t="n"/>
      <c r="H45" s="24">
        <f>IFERROR(IF(AND(C45&lt;&gt;"",E45&lt;&gt;""),IF(C45&gt;E45,B45,IF(E45&gt;C45,F45,IF(G45="Home",B45,IF(G45="Away",F45,"")))),""),"")</f>
        <v/>
      </c>
      <c r="J45" s="26">
        <f>IFERROR(IF(AND(C45&lt;&gt;"",E45&lt;&gt;""),IF(C45&lt;E45,B45,IF(E45&lt;C45,F45,IF(G45="Home",F45,IF(G45="Away",B45,"")))),""),"")</f>
        <v/>
      </c>
    </row>
    <row r="46" ht="15.75" customHeight="1" s="43"/>
    <row r="47" ht="25.5" customHeight="1" s="43">
      <c r="B47" s="46" t="inlineStr">
        <is>
          <t xml:space="preserve">  THIRD AND FOURTH PLACE  (Jul 18)</t>
        </is>
      </c>
    </row>
    <row r="48" ht="19.5" customHeight="1" s="43">
      <c r="B48" s="18" t="inlineStr">
        <is>
          <t>HOME</t>
        </is>
      </c>
      <c r="C48" s="18" t="inlineStr">
        <is>
          <t>Goals 90'</t>
        </is>
      </c>
      <c r="D48" s="18" t="n"/>
      <c r="E48" s="18" t="inlineStr">
        <is>
          <t>Goals 90'</t>
        </is>
      </c>
      <c r="F48" s="18" t="inlineStr">
        <is>
          <t>AWAY</t>
        </is>
      </c>
      <c r="G48" s="18" t="inlineStr">
        <is>
          <t>If tied</t>
        </is>
      </c>
      <c r="H48" s="18" t="inlineStr">
        <is>
          <t>3rd place</t>
        </is>
      </c>
    </row>
    <row r="49" ht="24" customHeight="1" s="43">
      <c r="B49" s="19">
        <f>J44</f>
        <v/>
      </c>
      <c r="C49" s="20" t="n">
        <v>2</v>
      </c>
      <c r="D49" s="21" t="inlineStr">
        <is>
          <t>-</t>
        </is>
      </c>
      <c r="E49" s="20" t="n">
        <v>1</v>
      </c>
      <c r="F49" s="22">
        <f>J45</f>
        <v/>
      </c>
      <c r="G49" s="23" t="n"/>
      <c r="H49" s="27">
        <f>IFERROR(IF(AND(C49&lt;&gt;"",E49&lt;&gt;""),IF(C49&gt;E49,B49,IF(E49&gt;C49,F49,IF(G49="Home",B49,IF(G49="Away",F49,"")))),""),"")</f>
        <v/>
      </c>
    </row>
    <row r="50" ht="15.75" customHeight="1" s="43"/>
    <row r="51" ht="30" customHeight="1" s="43">
      <c r="B51" s="47" t="inlineStr">
        <is>
          <t xml:space="preserve">  GRAND FINAL  (Jul 19 - MetLife Stadium, NJ)</t>
        </is>
      </c>
    </row>
    <row r="52" ht="19.5" customHeight="1" s="43">
      <c r="B52" s="18" t="inlineStr">
        <is>
          <t>HOME</t>
        </is>
      </c>
      <c r="C52" s="18" t="inlineStr">
        <is>
          <t>Goals 90'</t>
        </is>
      </c>
      <c r="D52" s="18" t="n"/>
      <c r="E52" s="18" t="inlineStr">
        <is>
          <t>Goals 90'</t>
        </is>
      </c>
      <c r="F52" s="18" t="inlineStr">
        <is>
          <t>AWAY</t>
        </is>
      </c>
      <c r="G52" s="18" t="inlineStr">
        <is>
          <t>If tied</t>
        </is>
      </c>
      <c r="H52" s="18" t="inlineStr">
        <is>
          <t>CHAMPION</t>
        </is>
      </c>
    </row>
    <row r="53" ht="27.75" customHeight="1" s="43">
      <c r="B53" s="29">
        <f>H44</f>
        <v/>
      </c>
      <c r="C53" s="20" t="n">
        <v>1</v>
      </c>
      <c r="D53" s="21" t="inlineStr">
        <is>
          <t>-</t>
        </is>
      </c>
      <c r="E53" s="20" t="n">
        <v>2</v>
      </c>
      <c r="F53" s="30">
        <f>H45</f>
        <v/>
      </c>
      <c r="G53" s="23" t="n"/>
      <c r="H53" s="31">
        <f>IFERROR(IF(AND(C53&lt;&gt;"",E53&lt;&gt;""),IF(C53&gt;E53,B53,IF(E53&gt;C53,F53,IF(G53="Home",B53,IF(G53="Away",F53,"")))),""),"")</f>
        <v/>
      </c>
      <c r="J53" s="26">
        <f>IFERROR(IF(AND(C53&lt;&gt;"",E53&lt;&gt;""),IF(C53&lt;E53,B53,IF(E53&lt;C53,F53,IF(G53="Home",F53,IF(G53="Away",B53,"")))),""),"")</f>
        <v/>
      </c>
    </row>
    <row r="54" ht="15.75" customHeight="1" s="43"/>
    <row r="55" ht="15.75" customHeight="1" s="43"/>
    <row r="56" ht="15.75" customHeight="1" s="43"/>
    <row r="57" ht="15.75" customHeight="1" s="43"/>
    <row r="58" ht="15.75" customHeight="1" s="43"/>
    <row r="59" ht="15.75" customHeight="1" s="43"/>
    <row r="60" ht="15.75" customHeight="1" s="43"/>
    <row r="61" ht="15.75" customHeight="1" s="43"/>
    <row r="62" ht="15.75" customHeight="1" s="43"/>
    <row r="63" ht="15.75" customHeight="1" s="43"/>
    <row r="64" ht="15.75" customHeight="1" s="43"/>
    <row r="65" ht="15.75" customHeight="1" s="43"/>
    <row r="66" ht="15.75" customHeight="1" s="43"/>
    <row r="67" ht="15.75" customHeight="1" s="43"/>
    <row r="68" ht="15.75" customHeight="1" s="43"/>
    <row r="69" ht="15.75" customHeight="1" s="43"/>
    <row r="70" ht="15.75" customHeight="1" s="43"/>
    <row r="71" ht="15.75" customHeight="1" s="43"/>
    <row r="72" ht="15.75" customHeight="1" s="43"/>
    <row r="73" ht="15.75" customHeight="1" s="43"/>
    <row r="74" ht="15.75" customHeight="1" s="43"/>
    <row r="75" ht="15.75" customHeight="1" s="43"/>
    <row r="76" ht="15.75" customHeight="1" s="43"/>
    <row r="77" ht="15.75" customHeight="1" s="43"/>
    <row r="78" ht="15.75" customHeight="1" s="43"/>
    <row r="79" ht="15.75" customHeight="1" s="43"/>
    <row r="80" ht="15.75" customHeight="1" s="43"/>
    <row r="81" ht="15.75" customHeight="1" s="43"/>
    <row r="82" ht="15.75" customHeight="1" s="43"/>
    <row r="83" ht="15.75" customHeight="1" s="43"/>
    <row r="84" ht="15.75" customHeight="1" s="43"/>
    <row r="85" ht="15.75" customHeight="1" s="43"/>
    <row r="86" ht="15.75" customHeight="1" s="43"/>
    <row r="87" ht="15.75" customHeight="1" s="43"/>
    <row r="88" ht="15.75" customHeight="1" s="43"/>
    <row r="89" ht="15.75" customHeight="1" s="43"/>
    <row r="90" ht="15.75" customHeight="1" s="43"/>
    <row r="91" ht="15.75" customHeight="1" s="43"/>
    <row r="92" ht="15.75" customHeight="1" s="43"/>
    <row r="93" ht="15.75" customHeight="1" s="43"/>
    <row r="94" ht="15.75" customHeight="1" s="43"/>
    <row r="95" ht="15.75" customHeight="1" s="43"/>
    <row r="96" ht="15.75" customHeight="1" s="43"/>
    <row r="97" ht="15.75" customHeight="1" s="43"/>
    <row r="98" ht="15.75" customHeight="1" s="43"/>
    <row r="99" ht="15.75" customHeight="1" s="43"/>
    <row r="100" ht="15.75" customHeight="1" s="43"/>
    <row r="101" ht="15.75" customHeight="1" s="43"/>
    <row r="102" ht="15.75" customHeight="1" s="43"/>
    <row r="103" ht="15.75" customHeight="1" s="43"/>
    <row r="104" ht="15.75" customHeight="1" s="43"/>
    <row r="105" ht="15.75" customHeight="1" s="43"/>
    <row r="106" ht="15.75" customHeight="1" s="43"/>
    <row r="107" ht="15.75" customHeight="1" s="43"/>
    <row r="108" ht="15.75" customHeight="1" s="43"/>
    <row r="109" ht="15.75" customHeight="1" s="43"/>
    <row r="110" ht="15.75" customHeight="1" s="43"/>
    <row r="111" ht="15.75" customHeight="1" s="43"/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  <row r="992" ht="15.75" customHeight="1" s="43"/>
    <row r="993" ht="15.75" customHeight="1" s="43"/>
    <row r="994" ht="15.75" customHeight="1" s="43"/>
    <row r="995" ht="15.75" customHeight="1" s="43"/>
    <row r="996" ht="15.75" customHeight="1" s="43"/>
    <row r="997" ht="15.75" customHeight="1" s="43"/>
    <row r="998" ht="15.75" customHeight="1" s="43"/>
    <row r="999" ht="15.75" customHeight="1" s="43"/>
    <row r="1000" ht="15.75" customHeight="1" s="43"/>
  </sheetData>
  <mergeCells count="8">
    <mergeCell ref="B35:H35"/>
    <mergeCell ref="B5:H5"/>
    <mergeCell ref="B24:H24"/>
    <mergeCell ref="B2:H2"/>
    <mergeCell ref="B47:H47"/>
    <mergeCell ref="B42:H42"/>
    <mergeCell ref="B3:H3"/>
    <mergeCell ref="B51:H51"/>
  </mergeCells>
  <dataValidations count="1">
    <dataValidation sqref="G7:G22 G26:G33 G37:G40 G44:G45 G49 G53" showDropDown="0" showInputMessage="0" showErrorMessage="0" allowBlank="1" type="list">
      <formula1>"Home,Away"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7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3" min="1" max="1"/>
    <col width="25" customWidth="1" style="43" min="2" max="2"/>
    <col width="35" customWidth="1" style="43" min="3" max="3"/>
    <col width="15" customWidth="1" style="43" min="4" max="4"/>
    <col width="3" customWidth="1" style="43" min="5" max="5"/>
    <col width="8.710000000000001" customWidth="1" style="43" min="6" max="26"/>
  </cols>
  <sheetData>
    <row r="2" ht="30" customHeight="1" s="43">
      <c r="B2" s="12" t="inlineStr">
        <is>
          <t>SPECIAL AWARDS</t>
        </is>
      </c>
    </row>
    <row r="3" ht="21.75" customHeight="1" s="43">
      <c r="B3" s="32" t="inlineStr">
        <is>
          <t>Pick which players you think will win the individual awards.</t>
        </is>
      </c>
    </row>
    <row r="5" ht="21.75" customHeight="1" s="43">
      <c r="B5" s="18" t="inlineStr">
        <is>
          <t>Award</t>
        </is>
      </c>
      <c r="C5" s="18" t="inlineStr">
        <is>
          <t>Your pick</t>
        </is>
      </c>
      <c r="D5" s="18" t="inlineStr">
        <is>
          <t>Points</t>
        </is>
      </c>
    </row>
    <row r="6" ht="31.5" customHeight="1" s="43">
      <c r="B6" s="33" t="inlineStr">
        <is>
          <t>Top Scorer</t>
        </is>
      </c>
      <c r="C6" s="34" t="inlineStr">
        <is>
          <t>Kylian Mbappé</t>
        </is>
      </c>
      <c r="D6" s="35" t="inlineStr">
        <is>
          <t>8 pts</t>
        </is>
      </c>
    </row>
    <row r="7" ht="31.5" customHeight="1" s="43">
      <c r="B7" s="33" t="inlineStr">
        <is>
          <t>Ballon d'Or</t>
        </is>
      </c>
      <c r="C7" s="34" t="inlineStr">
        <is>
          <t>Kylian Mbappé</t>
        </is>
      </c>
      <c r="D7" s="35" t="inlineStr">
        <is>
          <t>8 pts</t>
        </is>
      </c>
    </row>
    <row r="21" ht="15.75" customHeight="1" s="43"/>
    <row r="22" ht="15.75" customHeight="1" s="43"/>
    <row r="23" ht="15.75" customHeight="1" s="43"/>
    <row r="24" ht="15.75" customHeight="1" s="43"/>
    <row r="25" ht="15.75" customHeight="1" s="43"/>
    <row r="26" ht="15.75" customHeight="1" s="43"/>
    <row r="27" ht="15.75" customHeight="1" s="43"/>
    <row r="28" ht="15.75" customHeight="1" s="43"/>
    <row r="29" ht="15.75" customHeight="1" s="43"/>
    <row r="30" ht="15.75" customHeight="1" s="43"/>
    <row r="31" ht="15.75" customHeight="1" s="43"/>
    <row r="32" ht="15.75" customHeight="1" s="43"/>
    <row r="33" ht="15.75" customHeight="1" s="43"/>
    <row r="34" ht="15.75" customHeight="1" s="43"/>
    <row r="35" ht="15.75" customHeight="1" s="43"/>
    <row r="36" ht="15.75" customHeight="1" s="43"/>
    <row r="37" ht="15.75" customHeight="1" s="43"/>
    <row r="38" ht="15.75" customHeight="1" s="43"/>
    <row r="39" ht="15.75" customHeight="1" s="43"/>
    <row r="40" ht="15.75" customHeight="1" s="43"/>
    <row r="41" ht="15.75" customHeight="1" s="43"/>
    <row r="42" ht="15.75" customHeight="1" s="43"/>
    <row r="43" ht="15.75" customHeight="1" s="43"/>
    <row r="44" ht="15.75" customHeight="1" s="43"/>
    <row r="45" ht="15.75" customHeight="1" s="43"/>
    <row r="46" ht="15.75" customHeight="1" s="43"/>
    <row r="47" ht="15.75" customHeight="1" s="43"/>
    <row r="48" ht="15.75" customHeight="1" s="43"/>
    <row r="49" ht="15.75" customHeight="1" s="43"/>
    <row r="50" ht="15.75" customHeight="1" s="43"/>
    <row r="51" ht="15.75" customHeight="1" s="43"/>
    <row r="52" ht="15.75" customHeight="1" s="43"/>
    <row r="53" ht="15.75" customHeight="1" s="43"/>
    <row r="54" ht="15.75" customHeight="1" s="43"/>
    <row r="55" ht="15.75" customHeight="1" s="43"/>
    <row r="56" ht="15.75" customHeight="1" s="43"/>
    <row r="57" ht="15.75" customHeight="1" s="43"/>
    <row r="58" ht="15.75" customHeight="1" s="43"/>
    <row r="59" ht="15.75" customHeight="1" s="43"/>
    <row r="60" ht="15.75" customHeight="1" s="43"/>
    <row r="61" ht="15.75" customHeight="1" s="43"/>
    <row r="62" ht="15.75" customHeight="1" s="43"/>
    <row r="63" ht="15.75" customHeight="1" s="43"/>
    <row r="64" ht="15.75" customHeight="1" s="43"/>
    <row r="65" ht="15.75" customHeight="1" s="43"/>
    <row r="66" ht="15.75" customHeight="1" s="43"/>
    <row r="67" ht="15.75" customHeight="1" s="43"/>
    <row r="68" ht="15.75" customHeight="1" s="43"/>
    <row r="69" ht="15.75" customHeight="1" s="43"/>
    <row r="70" ht="15.75" customHeight="1" s="43"/>
    <row r="71" ht="15.75" customHeight="1" s="43"/>
    <row r="72" ht="15.75" customHeight="1" s="43"/>
    <row r="73" ht="15.75" customHeight="1" s="43"/>
    <row r="74" ht="15.75" customHeight="1" s="43"/>
    <row r="75" ht="15.75" customHeight="1" s="43"/>
    <row r="76" ht="15.75" customHeight="1" s="43"/>
    <row r="77" ht="15.75" customHeight="1" s="43"/>
    <row r="78" ht="15.75" customHeight="1" s="43"/>
    <row r="79" ht="15.75" customHeight="1" s="43"/>
    <row r="80" ht="15.75" customHeight="1" s="43"/>
    <row r="81" ht="15.75" customHeight="1" s="43"/>
    <row r="82" ht="15.75" customHeight="1" s="43"/>
    <row r="83" ht="15.75" customHeight="1" s="43"/>
    <row r="84" ht="15.75" customHeight="1" s="43"/>
    <row r="85" ht="15.75" customHeight="1" s="43"/>
    <row r="86" ht="15.75" customHeight="1" s="43"/>
    <row r="87" ht="15.75" customHeight="1" s="43"/>
    <row r="88" ht="15.75" customHeight="1" s="43"/>
    <row r="89" ht="15.75" customHeight="1" s="43"/>
    <row r="90" ht="15.75" customHeight="1" s="43"/>
    <row r="91" ht="15.75" customHeight="1" s="43"/>
    <row r="92" ht="15.75" customHeight="1" s="43"/>
    <row r="93" ht="15.75" customHeight="1" s="43"/>
    <row r="94" ht="15.75" customHeight="1" s="43"/>
    <row r="95" ht="15.75" customHeight="1" s="43"/>
    <row r="96" ht="15.75" customHeight="1" s="43"/>
    <row r="97" ht="15.75" customHeight="1" s="43"/>
    <row r="98" ht="15.75" customHeight="1" s="43"/>
    <row r="99" ht="15.75" customHeight="1" s="43"/>
    <row r="100" ht="15.75" customHeight="1" s="43"/>
    <row r="101" ht="15.75" customHeight="1" s="43"/>
    <row r="102" ht="15.75" customHeight="1" s="43"/>
    <row r="103" ht="15.75" customHeight="1" s="43"/>
    <row r="104" ht="15.75" customHeight="1" s="43"/>
    <row r="105" ht="15.75" customHeight="1" s="43"/>
    <row r="106" ht="15.75" customHeight="1" s="43"/>
    <row r="107" ht="15.75" customHeight="1" s="43"/>
    <row r="108" ht="15.75" customHeight="1" s="43"/>
    <row r="109" ht="15.75" customHeight="1" s="43"/>
    <row r="110" ht="15.75" customHeight="1" s="43"/>
    <row r="111" ht="15.75" customHeight="1" s="43"/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  <row r="992" ht="15.75" customHeight="1" s="43"/>
    <row r="993" ht="15.75" customHeight="1" s="43"/>
    <row r="994" ht="15.75" customHeight="1" s="43"/>
    <row r="995" ht="15.75" customHeight="1" s="43"/>
    <row r="996" ht="15.75" customHeight="1" s="43"/>
    <row r="997" ht="15.75" customHeight="1" s="43"/>
    <row r="998" ht="15.75" customHeight="1" s="43"/>
    <row r="999" ht="15.75" customHeight="1" s="43"/>
    <row r="1000" ht="15.75" customHeight="1" s="43"/>
  </sheetData>
  <mergeCells count="2">
    <mergeCell ref="B3:D3"/>
    <mergeCell ref="B2:D2"/>
  </mergeCells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11"/>
  <sheetViews>
    <sheetView showGridLines="0" workbookViewId="0">
      <selection activeCell="A1" sqref="A1"/>
    </sheetView>
  </sheetViews>
  <sheetFormatPr baseColWidth="8" defaultColWidth="14.43" defaultRowHeight="15" customHeight="1"/>
  <cols>
    <col width="3" customWidth="1" style="43" min="1" max="1"/>
    <col width="38" customWidth="1" style="43" min="2" max="2"/>
    <col width="12" customWidth="1" style="43" min="3" max="4"/>
    <col width="3" customWidth="1" style="43" min="5" max="5"/>
    <col width="8.710000000000001" customWidth="1" style="43" min="6" max="26"/>
  </cols>
  <sheetData>
    <row r="2" ht="27.75" customHeight="1" s="43">
      <c r="B2" s="36" t="inlineStr">
        <is>
          <t>ADMIN EXPORT - Copy &amp; paste into the admin sheet</t>
        </is>
      </c>
    </row>
    <row r="3" ht="21.75" customHeight="1" s="43">
      <c r="B3" s="32" t="inlineStr">
        <is>
          <t>Select from row 5 down, copy, paste into the admin sheet 'Raw data' tab in your column.</t>
        </is>
      </c>
    </row>
    <row r="5" ht="21.75" customHeight="1" s="43">
      <c r="B5" s="18" t="inlineStr">
        <is>
          <t>Concept</t>
        </is>
      </c>
      <c r="C5" s="18" t="inlineStr">
        <is>
          <t>Home / Value</t>
        </is>
      </c>
      <c r="D5" s="18" t="inlineStr">
        <is>
          <t>Away</t>
        </is>
      </c>
    </row>
    <row r="6" ht="18" customHeight="1" s="43">
      <c r="B6" s="37" t="inlineStr">
        <is>
          <t>PARTICIPANT</t>
        </is>
      </c>
      <c r="C6" s="38">
        <f>You!C4</f>
        <v/>
      </c>
      <c r="D6" s="39" t="n"/>
    </row>
    <row r="7" ht="21.75" customHeight="1" s="43">
      <c r="B7" s="40" t="inlineStr">
        <is>
          <t xml:space="preserve">  ROUND OF 32</t>
        </is>
      </c>
      <c r="C7" s="41" t="n"/>
      <c r="D7" s="41" t="n"/>
    </row>
    <row r="8" ht="18" customHeight="1" s="43">
      <c r="B8" s="37" t="inlineStr">
        <is>
          <t>R32-M1 score</t>
        </is>
      </c>
      <c r="C8" s="42">
        <f>Bracket!C7</f>
        <v/>
      </c>
      <c r="D8" s="42">
        <f>Bracket!E7</f>
        <v/>
      </c>
    </row>
    <row r="9" ht="18" customHeight="1" s="43">
      <c r="B9" s="37" t="inlineStr">
        <is>
          <t>R32-M1 tiebreaker</t>
        </is>
      </c>
      <c r="C9" s="38">
        <f>Bracket!G7</f>
        <v/>
      </c>
      <c r="D9" s="39" t="n"/>
    </row>
    <row r="10" ht="18" customHeight="1" s="43">
      <c r="B10" s="37" t="inlineStr">
        <is>
          <t>R32-M1 winner</t>
        </is>
      </c>
      <c r="C10" s="38">
        <f>Bracket!H7</f>
        <v/>
      </c>
      <c r="D10" s="39" t="n"/>
    </row>
    <row r="11" ht="18" customHeight="1" s="43">
      <c r="B11" s="37" t="inlineStr">
        <is>
          <t>R32-M2 score</t>
        </is>
      </c>
      <c r="C11" s="42">
        <f>Bracket!C8</f>
        <v/>
      </c>
      <c r="D11" s="42">
        <f>Bracket!E8</f>
        <v/>
      </c>
    </row>
    <row r="12" ht="18" customHeight="1" s="43">
      <c r="B12" s="37" t="inlineStr">
        <is>
          <t>R32-M2 tiebreaker</t>
        </is>
      </c>
      <c r="C12" s="38">
        <f>Bracket!G8</f>
        <v/>
      </c>
      <c r="D12" s="39" t="n"/>
    </row>
    <row r="13" ht="18" customHeight="1" s="43">
      <c r="B13" s="37" t="inlineStr">
        <is>
          <t>R32-M2 winner</t>
        </is>
      </c>
      <c r="C13" s="38">
        <f>Bracket!H8</f>
        <v/>
      </c>
      <c r="D13" s="39" t="n"/>
    </row>
    <row r="14" ht="18" customHeight="1" s="43">
      <c r="B14" s="37" t="inlineStr">
        <is>
          <t>R32-M3 score</t>
        </is>
      </c>
      <c r="C14" s="42">
        <f>Bracket!C9</f>
        <v/>
      </c>
      <c r="D14" s="42">
        <f>Bracket!E9</f>
        <v/>
      </c>
    </row>
    <row r="15" ht="18" customHeight="1" s="43">
      <c r="B15" s="37" t="inlineStr">
        <is>
          <t>R32-M3 tiebreaker</t>
        </is>
      </c>
      <c r="C15" s="38">
        <f>Bracket!G9</f>
        <v/>
      </c>
      <c r="D15" s="39" t="n"/>
    </row>
    <row r="16" ht="18" customHeight="1" s="43">
      <c r="B16" s="37" t="inlineStr">
        <is>
          <t>R32-M3 winner</t>
        </is>
      </c>
      <c r="C16" s="38">
        <f>Bracket!H9</f>
        <v/>
      </c>
      <c r="D16" s="39" t="n"/>
    </row>
    <row r="17" ht="18" customHeight="1" s="43">
      <c r="B17" s="37" t="inlineStr">
        <is>
          <t>R32-M4 score</t>
        </is>
      </c>
      <c r="C17" s="42">
        <f>Bracket!C10</f>
        <v/>
      </c>
      <c r="D17" s="42">
        <f>Bracket!E10</f>
        <v/>
      </c>
    </row>
    <row r="18" ht="18" customHeight="1" s="43">
      <c r="B18" s="37" t="inlineStr">
        <is>
          <t>R32-M4 tiebreaker</t>
        </is>
      </c>
      <c r="C18" s="38">
        <f>Bracket!G10</f>
        <v/>
      </c>
      <c r="D18" s="39" t="n"/>
    </row>
    <row r="19" ht="18" customHeight="1" s="43">
      <c r="B19" s="37" t="inlineStr">
        <is>
          <t>R32-M4 winner</t>
        </is>
      </c>
      <c r="C19" s="38">
        <f>Bracket!H10</f>
        <v/>
      </c>
      <c r="D19" s="39" t="n"/>
    </row>
    <row r="20" ht="18" customHeight="1" s="43">
      <c r="B20" s="37" t="inlineStr">
        <is>
          <t>R32-M5 score</t>
        </is>
      </c>
      <c r="C20" s="42">
        <f>Bracket!C11</f>
        <v/>
      </c>
      <c r="D20" s="42">
        <f>Bracket!E11</f>
        <v/>
      </c>
    </row>
    <row r="21" ht="18" customHeight="1" s="43">
      <c r="B21" s="37" t="inlineStr">
        <is>
          <t>R32-M5 tiebreaker</t>
        </is>
      </c>
      <c r="C21" s="38">
        <f>Bracket!G11</f>
        <v/>
      </c>
      <c r="D21" s="39" t="n"/>
    </row>
    <row r="22" ht="18" customHeight="1" s="43">
      <c r="B22" s="37" t="inlineStr">
        <is>
          <t>R32-M5 winner</t>
        </is>
      </c>
      <c r="C22" s="38">
        <f>Bracket!H11</f>
        <v/>
      </c>
      <c r="D22" s="39" t="n"/>
    </row>
    <row r="23" ht="18" customHeight="1" s="43">
      <c r="B23" s="37" t="inlineStr">
        <is>
          <t>R32-M6 score</t>
        </is>
      </c>
      <c r="C23" s="42">
        <f>Bracket!C12</f>
        <v/>
      </c>
      <c r="D23" s="42">
        <f>Bracket!E12</f>
        <v/>
      </c>
    </row>
    <row r="24" ht="18" customHeight="1" s="43">
      <c r="B24" s="37" t="inlineStr">
        <is>
          <t>R32-M6 tiebreaker</t>
        </is>
      </c>
      <c r="C24" s="38">
        <f>Bracket!G12</f>
        <v/>
      </c>
      <c r="D24" s="39" t="n"/>
    </row>
    <row r="25" ht="18" customHeight="1" s="43">
      <c r="B25" s="37" t="inlineStr">
        <is>
          <t>R32-M6 winner</t>
        </is>
      </c>
      <c r="C25" s="38">
        <f>Bracket!H12</f>
        <v/>
      </c>
      <c r="D25" s="39" t="n"/>
    </row>
    <row r="26" ht="18" customHeight="1" s="43">
      <c r="B26" s="37" t="inlineStr">
        <is>
          <t>R32-M7 score</t>
        </is>
      </c>
      <c r="C26" s="42">
        <f>Bracket!C13</f>
        <v/>
      </c>
      <c r="D26" s="42">
        <f>Bracket!E13</f>
        <v/>
      </c>
    </row>
    <row r="27" ht="18" customHeight="1" s="43">
      <c r="B27" s="37" t="inlineStr">
        <is>
          <t>R32-M7 tiebreaker</t>
        </is>
      </c>
      <c r="C27" s="38">
        <f>Bracket!G13</f>
        <v/>
      </c>
      <c r="D27" s="39" t="n"/>
    </row>
    <row r="28" ht="18" customHeight="1" s="43">
      <c r="B28" s="37" t="inlineStr">
        <is>
          <t>R32-M7 winner</t>
        </is>
      </c>
      <c r="C28" s="38">
        <f>Bracket!H13</f>
        <v/>
      </c>
      <c r="D28" s="39" t="n"/>
    </row>
    <row r="29" ht="18" customHeight="1" s="43">
      <c r="B29" s="37" t="inlineStr">
        <is>
          <t>R32-M8 score</t>
        </is>
      </c>
      <c r="C29" s="42">
        <f>Bracket!C14</f>
        <v/>
      </c>
      <c r="D29" s="42">
        <f>Bracket!E14</f>
        <v/>
      </c>
    </row>
    <row r="30" ht="18" customHeight="1" s="43">
      <c r="B30" s="37" t="inlineStr">
        <is>
          <t>R32-M8 tiebreaker</t>
        </is>
      </c>
      <c r="C30" s="38">
        <f>Bracket!G14</f>
        <v/>
      </c>
      <c r="D30" s="39" t="n"/>
    </row>
    <row r="31" ht="18" customHeight="1" s="43">
      <c r="B31" s="37" t="inlineStr">
        <is>
          <t>R32-M8 winner</t>
        </is>
      </c>
      <c r="C31" s="38">
        <f>Bracket!H14</f>
        <v/>
      </c>
      <c r="D31" s="39" t="n"/>
    </row>
    <row r="32" ht="18" customHeight="1" s="43">
      <c r="B32" s="37" t="inlineStr">
        <is>
          <t>R32-M9 score</t>
        </is>
      </c>
      <c r="C32" s="42">
        <f>Bracket!C15</f>
        <v/>
      </c>
      <c r="D32" s="42">
        <f>Bracket!E15</f>
        <v/>
      </c>
    </row>
    <row r="33" ht="18" customHeight="1" s="43">
      <c r="B33" s="37" t="inlineStr">
        <is>
          <t>R32-M9 tiebreaker</t>
        </is>
      </c>
      <c r="C33" s="38">
        <f>Bracket!G15</f>
        <v/>
      </c>
      <c r="D33" s="39" t="n"/>
    </row>
    <row r="34" ht="18" customHeight="1" s="43">
      <c r="B34" s="37" t="inlineStr">
        <is>
          <t>R32-M9 winner</t>
        </is>
      </c>
      <c r="C34" s="38">
        <f>Bracket!H15</f>
        <v/>
      </c>
      <c r="D34" s="39" t="n"/>
    </row>
    <row r="35" ht="18" customHeight="1" s="43">
      <c r="B35" s="37" t="inlineStr">
        <is>
          <t>R32-M10 score</t>
        </is>
      </c>
      <c r="C35" s="42">
        <f>Bracket!C16</f>
        <v/>
      </c>
      <c r="D35" s="42">
        <f>Bracket!E16</f>
        <v/>
      </c>
    </row>
    <row r="36" ht="18" customHeight="1" s="43">
      <c r="B36" s="37" t="inlineStr">
        <is>
          <t>R32-M10 tiebreaker</t>
        </is>
      </c>
      <c r="C36" s="38">
        <f>Bracket!G16</f>
        <v/>
      </c>
      <c r="D36" s="39" t="n"/>
    </row>
    <row r="37" ht="18" customHeight="1" s="43">
      <c r="B37" s="37" t="inlineStr">
        <is>
          <t>R32-M10 winner</t>
        </is>
      </c>
      <c r="C37" s="38">
        <f>Bracket!H16</f>
        <v/>
      </c>
      <c r="D37" s="39" t="n"/>
    </row>
    <row r="38" ht="18" customHeight="1" s="43">
      <c r="B38" s="37" t="inlineStr">
        <is>
          <t>R32-M11 score</t>
        </is>
      </c>
      <c r="C38" s="42">
        <f>Bracket!C17</f>
        <v/>
      </c>
      <c r="D38" s="42">
        <f>Bracket!E17</f>
        <v/>
      </c>
    </row>
    <row r="39" ht="18" customHeight="1" s="43">
      <c r="B39" s="37" t="inlineStr">
        <is>
          <t>R32-M11 tiebreaker</t>
        </is>
      </c>
      <c r="C39" s="38">
        <f>Bracket!G17</f>
        <v/>
      </c>
      <c r="D39" s="39" t="n"/>
    </row>
    <row r="40" ht="18" customHeight="1" s="43">
      <c r="B40" s="37" t="inlineStr">
        <is>
          <t>R32-M11 winner</t>
        </is>
      </c>
      <c r="C40" s="38">
        <f>Bracket!H17</f>
        <v/>
      </c>
      <c r="D40" s="39" t="n"/>
    </row>
    <row r="41" ht="18" customHeight="1" s="43">
      <c r="B41" s="37" t="inlineStr">
        <is>
          <t>R32-M12 score</t>
        </is>
      </c>
      <c r="C41" s="42">
        <f>Bracket!C18</f>
        <v/>
      </c>
      <c r="D41" s="42">
        <f>Bracket!E18</f>
        <v/>
      </c>
    </row>
    <row r="42" ht="18" customHeight="1" s="43">
      <c r="B42" s="37" t="inlineStr">
        <is>
          <t>R32-M12 tiebreaker</t>
        </is>
      </c>
      <c r="C42" s="38">
        <f>Bracket!G18</f>
        <v/>
      </c>
      <c r="D42" s="39" t="n"/>
    </row>
    <row r="43" ht="18" customHeight="1" s="43">
      <c r="B43" s="37" t="inlineStr">
        <is>
          <t>R32-M12 winner</t>
        </is>
      </c>
      <c r="C43" s="38">
        <f>Bracket!H18</f>
        <v/>
      </c>
      <c r="D43" s="39" t="n"/>
    </row>
    <row r="44" ht="18" customHeight="1" s="43">
      <c r="B44" s="37" t="inlineStr">
        <is>
          <t>R32-M13 score</t>
        </is>
      </c>
      <c r="C44" s="42">
        <f>Bracket!C19</f>
        <v/>
      </c>
      <c r="D44" s="42">
        <f>Bracket!E19</f>
        <v/>
      </c>
    </row>
    <row r="45" ht="18" customHeight="1" s="43">
      <c r="B45" s="37" t="inlineStr">
        <is>
          <t>R32-M13 tiebreaker</t>
        </is>
      </c>
      <c r="C45" s="38">
        <f>Bracket!G19</f>
        <v/>
      </c>
      <c r="D45" s="39" t="n"/>
    </row>
    <row r="46" ht="18" customHeight="1" s="43">
      <c r="B46" s="37" t="inlineStr">
        <is>
          <t>R32-M13 winner</t>
        </is>
      </c>
      <c r="C46" s="38">
        <f>Bracket!H19</f>
        <v/>
      </c>
      <c r="D46" s="39" t="n"/>
    </row>
    <row r="47" ht="18" customHeight="1" s="43">
      <c r="B47" s="37" t="inlineStr">
        <is>
          <t>R32-M14 score</t>
        </is>
      </c>
      <c r="C47" s="42">
        <f>Bracket!C20</f>
        <v/>
      </c>
      <c r="D47" s="42">
        <f>Bracket!E20</f>
        <v/>
      </c>
    </row>
    <row r="48" ht="18" customHeight="1" s="43">
      <c r="B48" s="37" t="inlineStr">
        <is>
          <t>R32-M14 tiebreaker</t>
        </is>
      </c>
      <c r="C48" s="38">
        <f>Bracket!G20</f>
        <v/>
      </c>
      <c r="D48" s="39" t="n"/>
    </row>
    <row r="49" ht="18" customHeight="1" s="43">
      <c r="B49" s="37" t="inlineStr">
        <is>
          <t>R32-M14 winner</t>
        </is>
      </c>
      <c r="C49" s="38">
        <f>Bracket!H20</f>
        <v/>
      </c>
      <c r="D49" s="39" t="n"/>
    </row>
    <row r="50" ht="18" customHeight="1" s="43">
      <c r="B50" s="37" t="inlineStr">
        <is>
          <t>R32-M15 score</t>
        </is>
      </c>
      <c r="C50" s="42">
        <f>Bracket!C21</f>
        <v/>
      </c>
      <c r="D50" s="42">
        <f>Bracket!E21</f>
        <v/>
      </c>
    </row>
    <row r="51" ht="18" customHeight="1" s="43">
      <c r="B51" s="37" t="inlineStr">
        <is>
          <t>R32-M15 tiebreaker</t>
        </is>
      </c>
      <c r="C51" s="38">
        <f>Bracket!G21</f>
        <v/>
      </c>
      <c r="D51" s="39" t="n"/>
    </row>
    <row r="52" ht="18" customHeight="1" s="43">
      <c r="B52" s="37" t="inlineStr">
        <is>
          <t>R32-M15 winner</t>
        </is>
      </c>
      <c r="C52" s="38">
        <f>Bracket!H21</f>
        <v/>
      </c>
      <c r="D52" s="39" t="n"/>
    </row>
    <row r="53" ht="18" customHeight="1" s="43">
      <c r="B53" s="37" t="inlineStr">
        <is>
          <t>R32-M16 score</t>
        </is>
      </c>
      <c r="C53" s="42">
        <f>Bracket!C22</f>
        <v/>
      </c>
      <c r="D53" s="42">
        <f>Bracket!E22</f>
        <v/>
      </c>
    </row>
    <row r="54" ht="18" customHeight="1" s="43">
      <c r="B54" s="37" t="inlineStr">
        <is>
          <t>R32-M16 tiebreaker</t>
        </is>
      </c>
      <c r="C54" s="38">
        <f>Bracket!G22</f>
        <v/>
      </c>
      <c r="D54" s="39" t="n"/>
    </row>
    <row r="55" ht="18" customHeight="1" s="43">
      <c r="B55" s="37" t="inlineStr">
        <is>
          <t>R32-M16 winner</t>
        </is>
      </c>
      <c r="C55" s="38">
        <f>Bracket!H22</f>
        <v/>
      </c>
      <c r="D55" s="39" t="n"/>
    </row>
    <row r="56" ht="21.75" customHeight="1" s="43">
      <c r="B56" s="40" t="inlineStr">
        <is>
          <t xml:space="preserve">  ROUND OF 16</t>
        </is>
      </c>
      <c r="C56" s="41" t="n"/>
      <c r="D56" s="41" t="n"/>
    </row>
    <row r="57" ht="18" customHeight="1" s="43">
      <c r="B57" s="37" t="inlineStr">
        <is>
          <t>R16-M1 score</t>
        </is>
      </c>
      <c r="C57" s="42">
        <f>Bracket!C26</f>
        <v/>
      </c>
      <c r="D57" s="42">
        <f>Bracket!E26</f>
        <v/>
      </c>
    </row>
    <row r="58" ht="18" customHeight="1" s="43">
      <c r="B58" s="37" t="inlineStr">
        <is>
          <t>R16-M1 tiebreaker</t>
        </is>
      </c>
      <c r="C58" s="38">
        <f>Bracket!G26</f>
        <v/>
      </c>
      <c r="D58" s="39" t="n"/>
    </row>
    <row r="59" ht="18" customHeight="1" s="43">
      <c r="B59" s="37" t="inlineStr">
        <is>
          <t>R16-M1 winner</t>
        </is>
      </c>
      <c r="C59" s="38">
        <f>Bracket!H26</f>
        <v/>
      </c>
      <c r="D59" s="39" t="n"/>
    </row>
    <row r="60" ht="18" customHeight="1" s="43">
      <c r="B60" s="37" t="inlineStr">
        <is>
          <t>R16-M2 score</t>
        </is>
      </c>
      <c r="C60" s="42">
        <f>Bracket!C27</f>
        <v/>
      </c>
      <c r="D60" s="42">
        <f>Bracket!E27</f>
        <v/>
      </c>
    </row>
    <row r="61" ht="18" customHeight="1" s="43">
      <c r="B61" s="37" t="inlineStr">
        <is>
          <t>R16-M2 tiebreaker</t>
        </is>
      </c>
      <c r="C61" s="38">
        <f>Bracket!G27</f>
        <v/>
      </c>
      <c r="D61" s="39" t="n"/>
    </row>
    <row r="62" ht="18" customHeight="1" s="43">
      <c r="B62" s="37" t="inlineStr">
        <is>
          <t>R16-M2 winner</t>
        </is>
      </c>
      <c r="C62" s="38">
        <f>Bracket!H27</f>
        <v/>
      </c>
      <c r="D62" s="39" t="n"/>
    </row>
    <row r="63" ht="18" customHeight="1" s="43">
      <c r="B63" s="37" t="inlineStr">
        <is>
          <t>R16-M3 score</t>
        </is>
      </c>
      <c r="C63" s="42">
        <f>Bracket!C28</f>
        <v/>
      </c>
      <c r="D63" s="42">
        <f>Bracket!E28</f>
        <v/>
      </c>
    </row>
    <row r="64" ht="18" customHeight="1" s="43">
      <c r="B64" s="37" t="inlineStr">
        <is>
          <t>R16-M3 tiebreaker</t>
        </is>
      </c>
      <c r="C64" s="38">
        <f>Bracket!G28</f>
        <v/>
      </c>
      <c r="D64" s="39" t="n"/>
    </row>
    <row r="65" ht="18" customHeight="1" s="43">
      <c r="B65" s="37" t="inlineStr">
        <is>
          <t>R16-M3 winner</t>
        </is>
      </c>
      <c r="C65" s="38">
        <f>Bracket!H28</f>
        <v/>
      </c>
      <c r="D65" s="39" t="n"/>
    </row>
    <row r="66" ht="18" customHeight="1" s="43">
      <c r="B66" s="37" t="inlineStr">
        <is>
          <t>R16-M4 score</t>
        </is>
      </c>
      <c r="C66" s="42">
        <f>Bracket!C29</f>
        <v/>
      </c>
      <c r="D66" s="42">
        <f>Bracket!E29</f>
        <v/>
      </c>
    </row>
    <row r="67" ht="18" customHeight="1" s="43">
      <c r="B67" s="37" t="inlineStr">
        <is>
          <t>R16-M4 tiebreaker</t>
        </is>
      </c>
      <c r="C67" s="38">
        <f>Bracket!G29</f>
        <v/>
      </c>
      <c r="D67" s="39" t="n"/>
    </row>
    <row r="68" ht="18" customHeight="1" s="43">
      <c r="B68" s="37" t="inlineStr">
        <is>
          <t>R16-M4 winner</t>
        </is>
      </c>
      <c r="C68" s="38">
        <f>Bracket!H29</f>
        <v/>
      </c>
      <c r="D68" s="39" t="n"/>
    </row>
    <row r="69" ht="18" customHeight="1" s="43">
      <c r="B69" s="37" t="inlineStr">
        <is>
          <t>R16-M5 score</t>
        </is>
      </c>
      <c r="C69" s="42">
        <f>Bracket!C30</f>
        <v/>
      </c>
      <c r="D69" s="42">
        <f>Bracket!E30</f>
        <v/>
      </c>
    </row>
    <row r="70" ht="18" customHeight="1" s="43">
      <c r="B70" s="37" t="inlineStr">
        <is>
          <t>R16-M5 tiebreaker</t>
        </is>
      </c>
      <c r="C70" s="38">
        <f>Bracket!G30</f>
        <v/>
      </c>
      <c r="D70" s="39" t="n"/>
    </row>
    <row r="71" ht="18" customHeight="1" s="43">
      <c r="B71" s="37" t="inlineStr">
        <is>
          <t>R16-M5 winner</t>
        </is>
      </c>
      <c r="C71" s="38">
        <f>Bracket!H30</f>
        <v/>
      </c>
      <c r="D71" s="39" t="n"/>
    </row>
    <row r="72" ht="18" customHeight="1" s="43">
      <c r="B72" s="37" t="inlineStr">
        <is>
          <t>R16-M6 score</t>
        </is>
      </c>
      <c r="C72" s="42">
        <f>Bracket!C31</f>
        <v/>
      </c>
      <c r="D72" s="42">
        <f>Bracket!E31</f>
        <v/>
      </c>
    </row>
    <row r="73" ht="18" customHeight="1" s="43">
      <c r="B73" s="37" t="inlineStr">
        <is>
          <t>R16-M6 tiebreaker</t>
        </is>
      </c>
      <c r="C73" s="38">
        <f>Bracket!G31</f>
        <v/>
      </c>
      <c r="D73" s="39" t="n"/>
    </row>
    <row r="74" ht="18" customHeight="1" s="43">
      <c r="B74" s="37" t="inlineStr">
        <is>
          <t>R16-M6 winner</t>
        </is>
      </c>
      <c r="C74" s="38">
        <f>Bracket!H31</f>
        <v/>
      </c>
      <c r="D74" s="39" t="n"/>
    </row>
    <row r="75" ht="18" customHeight="1" s="43">
      <c r="B75" s="37" t="inlineStr">
        <is>
          <t>R16-M7 score</t>
        </is>
      </c>
      <c r="C75" s="42">
        <f>Bracket!C32</f>
        <v/>
      </c>
      <c r="D75" s="42">
        <f>Bracket!E32</f>
        <v/>
      </c>
    </row>
    <row r="76" ht="18" customHeight="1" s="43">
      <c r="B76" s="37" t="inlineStr">
        <is>
          <t>R16-M7 tiebreaker</t>
        </is>
      </c>
      <c r="C76" s="38">
        <f>Bracket!G32</f>
        <v/>
      </c>
      <c r="D76" s="39" t="n"/>
    </row>
    <row r="77" ht="18" customHeight="1" s="43">
      <c r="B77" s="37" t="inlineStr">
        <is>
          <t>R16-M7 winner</t>
        </is>
      </c>
      <c r="C77" s="38">
        <f>Bracket!H32</f>
        <v/>
      </c>
      <c r="D77" s="39" t="n"/>
    </row>
    <row r="78" ht="18" customHeight="1" s="43">
      <c r="B78" s="37" t="inlineStr">
        <is>
          <t>R16-M8 score</t>
        </is>
      </c>
      <c r="C78" s="42">
        <f>Bracket!C33</f>
        <v/>
      </c>
      <c r="D78" s="42">
        <f>Bracket!E33</f>
        <v/>
      </c>
    </row>
    <row r="79" ht="18" customHeight="1" s="43">
      <c r="B79" s="37" t="inlineStr">
        <is>
          <t>R16-M8 tiebreaker</t>
        </is>
      </c>
      <c r="C79" s="38">
        <f>Bracket!G33</f>
        <v/>
      </c>
      <c r="D79" s="39" t="n"/>
    </row>
    <row r="80" ht="18" customHeight="1" s="43">
      <c r="B80" s="37" t="inlineStr">
        <is>
          <t>R16-M8 winner</t>
        </is>
      </c>
      <c r="C80" s="38">
        <f>Bracket!H33</f>
        <v/>
      </c>
      <c r="D80" s="39" t="n"/>
    </row>
    <row r="81" ht="21.75" customHeight="1" s="43">
      <c r="B81" s="40" t="inlineStr">
        <is>
          <t xml:space="preserve">  QUARTER-FINALS</t>
        </is>
      </c>
      <c r="C81" s="41" t="n"/>
      <c r="D81" s="41" t="n"/>
    </row>
    <row r="82" ht="18" customHeight="1" s="43">
      <c r="B82" s="37" t="inlineStr">
        <is>
          <t>QF-M1 score</t>
        </is>
      </c>
      <c r="C82" s="42">
        <f>Bracket!C37</f>
        <v/>
      </c>
      <c r="D82" s="42">
        <f>Bracket!E37</f>
        <v/>
      </c>
    </row>
    <row r="83" ht="18" customHeight="1" s="43">
      <c r="B83" s="37" t="inlineStr">
        <is>
          <t>QF-M1 tiebreaker</t>
        </is>
      </c>
      <c r="C83" s="38">
        <f>Bracket!G37</f>
        <v/>
      </c>
      <c r="D83" s="39" t="n"/>
    </row>
    <row r="84" ht="18" customHeight="1" s="43">
      <c r="B84" s="37" t="inlineStr">
        <is>
          <t>QF-M1 winner</t>
        </is>
      </c>
      <c r="C84" s="38">
        <f>Bracket!H37</f>
        <v/>
      </c>
      <c r="D84" s="39" t="n"/>
    </row>
    <row r="85" ht="18" customHeight="1" s="43">
      <c r="B85" s="37" t="inlineStr">
        <is>
          <t>QF-M2 score</t>
        </is>
      </c>
      <c r="C85" s="42">
        <f>Bracket!C38</f>
        <v/>
      </c>
      <c r="D85" s="42">
        <f>Bracket!E38</f>
        <v/>
      </c>
    </row>
    <row r="86" ht="18" customHeight="1" s="43">
      <c r="B86" s="37" t="inlineStr">
        <is>
          <t>QF-M2 tiebreaker</t>
        </is>
      </c>
      <c r="C86" s="38">
        <f>Bracket!G38</f>
        <v/>
      </c>
      <c r="D86" s="39" t="n"/>
    </row>
    <row r="87" ht="18" customHeight="1" s="43">
      <c r="B87" s="37" t="inlineStr">
        <is>
          <t>QF-M2 winner</t>
        </is>
      </c>
      <c r="C87" s="38">
        <f>Bracket!H38</f>
        <v/>
      </c>
      <c r="D87" s="39" t="n"/>
    </row>
    <row r="88" ht="18" customHeight="1" s="43">
      <c r="B88" s="37" t="inlineStr">
        <is>
          <t>QF-M3 score</t>
        </is>
      </c>
      <c r="C88" s="42">
        <f>Bracket!C39</f>
        <v/>
      </c>
      <c r="D88" s="42">
        <f>Bracket!E39</f>
        <v/>
      </c>
    </row>
    <row r="89" ht="18" customHeight="1" s="43">
      <c r="B89" s="37" t="inlineStr">
        <is>
          <t>QF-M3 tiebreaker</t>
        </is>
      </c>
      <c r="C89" s="38">
        <f>Bracket!G39</f>
        <v/>
      </c>
      <c r="D89" s="39" t="n"/>
    </row>
    <row r="90" ht="18" customHeight="1" s="43">
      <c r="B90" s="37" t="inlineStr">
        <is>
          <t>QF-M3 winner</t>
        </is>
      </c>
      <c r="C90" s="38">
        <f>Bracket!H39</f>
        <v/>
      </c>
      <c r="D90" s="39" t="n"/>
    </row>
    <row r="91" ht="18" customHeight="1" s="43">
      <c r="B91" s="37" t="inlineStr">
        <is>
          <t>QF-M4 score</t>
        </is>
      </c>
      <c r="C91" s="42">
        <f>Bracket!C40</f>
        <v/>
      </c>
      <c r="D91" s="42">
        <f>Bracket!E40</f>
        <v/>
      </c>
    </row>
    <row r="92" ht="18" customHeight="1" s="43">
      <c r="B92" s="37" t="inlineStr">
        <is>
          <t>QF-M4 tiebreaker</t>
        </is>
      </c>
      <c r="C92" s="38">
        <f>Bracket!G40</f>
        <v/>
      </c>
      <c r="D92" s="39" t="n"/>
    </row>
    <row r="93" ht="18" customHeight="1" s="43">
      <c r="B93" s="37" t="inlineStr">
        <is>
          <t>QF-M4 winner</t>
        </is>
      </c>
      <c r="C93" s="38">
        <f>Bracket!H40</f>
        <v/>
      </c>
      <c r="D93" s="39" t="n"/>
    </row>
    <row r="94" ht="21.75" customHeight="1" s="43">
      <c r="B94" s="40" t="inlineStr">
        <is>
          <t xml:space="preserve">  SEMI-FINALS</t>
        </is>
      </c>
      <c r="C94" s="41" t="n"/>
      <c r="D94" s="41" t="n"/>
    </row>
    <row r="95" ht="18" customHeight="1" s="43">
      <c r="B95" s="37" t="inlineStr">
        <is>
          <t>SF-M1 score</t>
        </is>
      </c>
      <c r="C95" s="42">
        <f>Bracket!C44</f>
        <v/>
      </c>
      <c r="D95" s="42">
        <f>Bracket!E44</f>
        <v/>
      </c>
    </row>
    <row r="96" ht="18" customHeight="1" s="43">
      <c r="B96" s="37" t="inlineStr">
        <is>
          <t>SF-M1 tiebreaker</t>
        </is>
      </c>
      <c r="C96" s="38">
        <f>Bracket!G44</f>
        <v/>
      </c>
      <c r="D96" s="39" t="n"/>
    </row>
    <row r="97" ht="18" customHeight="1" s="43">
      <c r="B97" s="37" t="inlineStr">
        <is>
          <t>SF-M1 winner</t>
        </is>
      </c>
      <c r="C97" s="38">
        <f>Bracket!H44</f>
        <v/>
      </c>
      <c r="D97" s="39" t="n"/>
    </row>
    <row r="98" ht="18" customHeight="1" s="43">
      <c r="B98" s="37" t="inlineStr">
        <is>
          <t>SF-M2 score</t>
        </is>
      </c>
      <c r="C98" s="42">
        <f>Bracket!C45</f>
        <v/>
      </c>
      <c r="D98" s="42">
        <f>Bracket!E45</f>
        <v/>
      </c>
    </row>
    <row r="99" ht="18" customHeight="1" s="43">
      <c r="B99" s="37" t="inlineStr">
        <is>
          <t>SF-M2 tiebreaker</t>
        </is>
      </c>
      <c r="C99" s="38">
        <f>Bracket!G45</f>
        <v/>
      </c>
      <c r="D99" s="39" t="n"/>
    </row>
    <row r="100" ht="18" customHeight="1" s="43">
      <c r="B100" s="37" t="inlineStr">
        <is>
          <t>SF-M2 winner</t>
        </is>
      </c>
      <c r="C100" s="38">
        <f>Bracket!H45</f>
        <v/>
      </c>
      <c r="D100" s="39" t="n"/>
    </row>
    <row r="101" ht="21.75" customHeight="1" s="43">
      <c r="B101" s="40" t="inlineStr">
        <is>
          <t xml:space="preserve">  3RD PLACE &amp; FINAL</t>
        </is>
      </c>
      <c r="C101" s="41" t="n"/>
      <c r="D101" s="41" t="n"/>
    </row>
    <row r="102" ht="18" customHeight="1" s="43">
      <c r="B102" s="37" t="inlineStr">
        <is>
          <t>3rd place score</t>
        </is>
      </c>
      <c r="C102" s="42">
        <f>Bracket!C49</f>
        <v/>
      </c>
      <c r="D102" s="42">
        <f>Bracket!E49</f>
        <v/>
      </c>
    </row>
    <row r="103" ht="18" customHeight="1" s="43">
      <c r="B103" s="37" t="inlineStr">
        <is>
          <t>3rd place tiebreaker</t>
        </is>
      </c>
      <c r="C103" s="38">
        <f>Bracket!G49</f>
        <v/>
      </c>
      <c r="D103" s="39" t="n"/>
    </row>
    <row r="104" ht="18" customHeight="1" s="43">
      <c r="B104" s="37" t="inlineStr">
        <is>
          <t>3rd place (team)</t>
        </is>
      </c>
      <c r="C104" s="38">
        <f>Bracket!H49</f>
        <v/>
      </c>
      <c r="D104" s="39" t="n"/>
    </row>
    <row r="105" ht="18" customHeight="1" s="43">
      <c r="B105" s="37" t="inlineStr">
        <is>
          <t>Final score</t>
        </is>
      </c>
      <c r="C105" s="42">
        <f>Bracket!C53</f>
        <v/>
      </c>
      <c r="D105" s="42">
        <f>Bracket!E53</f>
        <v/>
      </c>
    </row>
    <row r="106" ht="18" customHeight="1" s="43">
      <c r="B106" s="37" t="inlineStr">
        <is>
          <t>Final tiebreaker</t>
        </is>
      </c>
      <c r="C106" s="38">
        <f>Bracket!G53</f>
        <v/>
      </c>
      <c r="D106" s="39" t="n"/>
    </row>
    <row r="107" ht="18" customHeight="1" s="43">
      <c r="B107" s="37" t="inlineStr">
        <is>
          <t>CHAMPION</t>
        </is>
      </c>
      <c r="C107" s="38">
        <f>Bracket!H53</f>
        <v/>
      </c>
      <c r="D107" s="39" t="n"/>
    </row>
    <row r="108" ht="18" customHeight="1" s="43">
      <c r="B108" s="37" t="inlineStr">
        <is>
          <t>RUNNER-UP</t>
        </is>
      </c>
      <c r="C108" s="38">
        <f>Bracket!J53</f>
        <v/>
      </c>
      <c r="D108" s="39" t="n"/>
    </row>
    <row r="109" ht="21.75" customHeight="1" s="43">
      <c r="B109" s="40" t="inlineStr">
        <is>
          <t xml:space="preserve">  AWARDS</t>
        </is>
      </c>
      <c r="C109" s="41" t="n"/>
      <c r="D109" s="41" t="n"/>
    </row>
    <row r="110" ht="18" customHeight="1" s="43">
      <c r="B110" s="37" t="inlineStr">
        <is>
          <t>Top Scorer</t>
        </is>
      </c>
      <c r="C110" s="38">
        <f>Awards!C6</f>
        <v/>
      </c>
      <c r="D110" s="39" t="n"/>
    </row>
    <row r="111" ht="18" customHeight="1" s="43">
      <c r="B111" s="37" t="inlineStr">
        <is>
          <t>Ballon d'Or</t>
        </is>
      </c>
      <c r="C111" s="38">
        <f>Awards!C7</f>
        <v/>
      </c>
      <c r="D111" s="39" t="n"/>
    </row>
    <row r="112" ht="15.75" customHeight="1" s="43"/>
    <row r="113" ht="15.75" customHeight="1" s="43"/>
    <row r="114" ht="15.75" customHeight="1" s="43"/>
    <row r="115" ht="15.75" customHeight="1" s="43"/>
    <row r="116" ht="15.75" customHeight="1" s="43"/>
    <row r="117" ht="15.75" customHeight="1" s="43"/>
    <row r="118" ht="15.75" customHeight="1" s="43"/>
    <row r="119" ht="15.75" customHeight="1" s="43"/>
    <row r="120" ht="15.75" customHeight="1" s="43"/>
    <row r="121" ht="15.75" customHeight="1" s="43"/>
    <row r="122" ht="15.75" customHeight="1" s="43"/>
    <row r="123" ht="15.75" customHeight="1" s="43"/>
    <row r="124" ht="15.75" customHeight="1" s="43"/>
    <row r="125" ht="15.75" customHeight="1" s="43"/>
    <row r="126" ht="15.75" customHeight="1" s="43"/>
    <row r="127" ht="15.75" customHeight="1" s="43"/>
    <row r="128" ht="15.75" customHeight="1" s="43"/>
    <row r="129" ht="15.75" customHeight="1" s="43"/>
    <row r="130" ht="15.75" customHeight="1" s="43"/>
    <row r="131" ht="15.75" customHeight="1" s="43"/>
    <row r="132" ht="15.75" customHeight="1" s="43"/>
    <row r="133" ht="15.75" customHeight="1" s="43"/>
    <row r="134" ht="15.75" customHeight="1" s="43"/>
    <row r="135" ht="15.75" customHeight="1" s="43"/>
    <row r="136" ht="15.75" customHeight="1" s="43"/>
    <row r="137" ht="15.75" customHeight="1" s="43"/>
    <row r="138" ht="15.75" customHeight="1" s="43"/>
    <row r="139" ht="15.75" customHeight="1" s="43"/>
    <row r="140" ht="15.75" customHeight="1" s="43"/>
    <row r="141" ht="15.75" customHeight="1" s="43"/>
    <row r="142" ht="15.75" customHeight="1" s="43"/>
    <row r="143" ht="15.75" customHeight="1" s="43"/>
    <row r="144" ht="15.75" customHeight="1" s="43"/>
    <row r="145" ht="15.75" customHeight="1" s="43"/>
    <row r="146" ht="15.75" customHeight="1" s="43"/>
    <row r="147" ht="15.75" customHeight="1" s="43"/>
    <row r="148" ht="15.75" customHeight="1" s="43"/>
    <row r="149" ht="15.75" customHeight="1" s="43"/>
    <row r="150" ht="15.75" customHeight="1" s="43"/>
    <row r="151" ht="15.75" customHeight="1" s="43"/>
    <row r="152" ht="15.75" customHeight="1" s="43"/>
    <row r="153" ht="15.75" customHeight="1" s="43"/>
    <row r="154" ht="15.75" customHeight="1" s="43"/>
    <row r="155" ht="15.75" customHeight="1" s="43"/>
    <row r="156" ht="15.75" customHeight="1" s="43"/>
    <row r="157" ht="15.75" customHeight="1" s="43"/>
    <row r="158" ht="15.75" customHeight="1" s="43"/>
    <row r="159" ht="15.75" customHeight="1" s="43"/>
    <row r="160" ht="15.75" customHeight="1" s="43"/>
    <row r="161" ht="15.75" customHeight="1" s="43"/>
    <row r="162" ht="15.75" customHeight="1" s="43"/>
    <row r="163" ht="15.75" customHeight="1" s="43"/>
    <row r="164" ht="15.75" customHeight="1" s="43"/>
    <row r="165" ht="15.75" customHeight="1" s="43"/>
    <row r="166" ht="15.75" customHeight="1" s="43"/>
    <row r="167" ht="15.75" customHeight="1" s="43"/>
    <row r="168" ht="15.75" customHeight="1" s="43"/>
    <row r="169" ht="15.75" customHeight="1" s="43"/>
    <row r="170" ht="15.75" customHeight="1" s="43"/>
    <row r="171" ht="15.75" customHeight="1" s="43"/>
    <row r="172" ht="15.75" customHeight="1" s="43"/>
    <row r="173" ht="15.75" customHeight="1" s="43"/>
    <row r="174" ht="15.75" customHeight="1" s="43"/>
    <row r="175" ht="15.75" customHeight="1" s="43"/>
    <row r="176" ht="15.75" customHeight="1" s="43"/>
    <row r="177" ht="15.75" customHeight="1" s="43"/>
    <row r="178" ht="15.75" customHeight="1" s="43"/>
    <row r="179" ht="15.75" customHeight="1" s="43"/>
    <row r="180" ht="15.75" customHeight="1" s="43"/>
    <row r="181" ht="15.75" customHeight="1" s="43"/>
    <row r="182" ht="15.75" customHeight="1" s="43"/>
    <row r="183" ht="15.75" customHeight="1" s="43"/>
    <row r="184" ht="15.75" customHeight="1" s="43"/>
    <row r="185" ht="15.75" customHeight="1" s="43"/>
    <row r="186" ht="15.75" customHeight="1" s="43"/>
    <row r="187" ht="15.75" customHeight="1" s="43"/>
    <row r="188" ht="15.75" customHeight="1" s="43"/>
    <row r="189" ht="15.75" customHeight="1" s="43"/>
    <row r="190" ht="15.75" customHeight="1" s="43"/>
    <row r="191" ht="15.75" customHeight="1" s="43"/>
    <row r="192" ht="15.75" customHeight="1" s="43"/>
    <row r="193" ht="15.75" customHeight="1" s="43"/>
    <row r="194" ht="15.75" customHeight="1" s="43"/>
    <row r="195" ht="15.75" customHeight="1" s="43"/>
    <row r="196" ht="15.75" customHeight="1" s="43"/>
    <row r="197" ht="15.75" customHeight="1" s="43"/>
    <row r="198" ht="15.75" customHeight="1" s="43"/>
    <row r="199" ht="15.75" customHeight="1" s="43"/>
    <row r="200" ht="15.75" customHeight="1" s="43"/>
    <row r="201" ht="15.75" customHeight="1" s="43"/>
    <row r="202" ht="15.75" customHeight="1" s="43"/>
    <row r="203" ht="15.75" customHeight="1" s="43"/>
    <row r="204" ht="15.75" customHeight="1" s="43"/>
    <row r="205" ht="15.75" customHeight="1" s="43"/>
    <row r="206" ht="15.75" customHeight="1" s="43"/>
    <row r="207" ht="15.75" customHeight="1" s="43"/>
    <row r="208" ht="15.75" customHeight="1" s="43"/>
    <row r="209" ht="15.75" customHeight="1" s="43"/>
    <row r="210" ht="15.75" customHeight="1" s="43"/>
    <row r="211" ht="15.75" customHeight="1" s="43"/>
    <row r="212" ht="15.75" customHeight="1" s="43"/>
    <row r="213" ht="15.75" customHeight="1" s="43"/>
    <row r="214" ht="15.75" customHeight="1" s="43"/>
    <row r="215" ht="15.75" customHeight="1" s="43"/>
    <row r="216" ht="15.75" customHeight="1" s="43"/>
    <row r="217" ht="15.75" customHeight="1" s="43"/>
    <row r="218" ht="15.75" customHeight="1" s="43"/>
    <row r="219" ht="15.75" customHeight="1" s="43"/>
    <row r="220" ht="15.75" customHeight="1" s="43"/>
    <row r="221" ht="15.75" customHeight="1" s="43"/>
    <row r="222" ht="15.75" customHeight="1" s="43"/>
    <row r="223" ht="15.75" customHeight="1" s="43"/>
    <row r="224" ht="15.75" customHeight="1" s="43"/>
    <row r="225" ht="15.75" customHeight="1" s="43"/>
    <row r="226" ht="15.75" customHeight="1" s="43"/>
    <row r="227" ht="15.75" customHeight="1" s="43"/>
    <row r="228" ht="15.75" customHeight="1" s="43"/>
    <row r="229" ht="15.75" customHeight="1" s="43"/>
    <row r="230" ht="15.75" customHeight="1" s="43"/>
    <row r="231" ht="15.75" customHeight="1" s="43"/>
    <row r="232" ht="15.75" customHeight="1" s="43"/>
    <row r="233" ht="15.75" customHeight="1" s="43"/>
    <row r="234" ht="15.75" customHeight="1" s="43"/>
    <row r="235" ht="15.75" customHeight="1" s="43"/>
    <row r="236" ht="15.75" customHeight="1" s="43"/>
    <row r="237" ht="15.75" customHeight="1" s="43"/>
    <row r="238" ht="15.75" customHeight="1" s="43"/>
    <row r="239" ht="15.75" customHeight="1" s="43"/>
    <row r="240" ht="15.75" customHeight="1" s="43"/>
    <row r="241" ht="15.75" customHeight="1" s="43"/>
    <row r="242" ht="15.75" customHeight="1" s="43"/>
    <row r="243" ht="15.75" customHeight="1" s="43"/>
    <row r="244" ht="15.75" customHeight="1" s="43"/>
    <row r="245" ht="15.75" customHeight="1" s="43"/>
    <row r="246" ht="15.75" customHeight="1" s="43"/>
    <row r="247" ht="15.75" customHeight="1" s="43"/>
    <row r="248" ht="15.75" customHeight="1" s="43"/>
    <row r="249" ht="15.75" customHeight="1" s="43"/>
    <row r="250" ht="15.75" customHeight="1" s="43"/>
    <row r="251" ht="15.75" customHeight="1" s="43"/>
    <row r="252" ht="15.75" customHeight="1" s="43"/>
    <row r="253" ht="15.75" customHeight="1" s="43"/>
    <row r="254" ht="15.75" customHeight="1" s="43"/>
    <row r="255" ht="15.75" customHeight="1" s="43"/>
    <row r="256" ht="15.75" customHeight="1" s="43"/>
    <row r="257" ht="15.75" customHeight="1" s="43"/>
    <row r="258" ht="15.75" customHeight="1" s="43"/>
    <row r="259" ht="15.75" customHeight="1" s="43"/>
    <row r="260" ht="15.75" customHeight="1" s="43"/>
    <row r="261" ht="15.75" customHeight="1" s="43"/>
    <row r="262" ht="15.75" customHeight="1" s="43"/>
    <row r="263" ht="15.75" customHeight="1" s="43"/>
    <row r="264" ht="15.75" customHeight="1" s="43"/>
    <row r="265" ht="15.75" customHeight="1" s="43"/>
    <row r="266" ht="15.75" customHeight="1" s="43"/>
    <row r="267" ht="15.75" customHeight="1" s="43"/>
    <row r="268" ht="15.75" customHeight="1" s="43"/>
    <row r="269" ht="15.75" customHeight="1" s="43"/>
    <row r="270" ht="15.75" customHeight="1" s="43"/>
    <row r="271" ht="15.75" customHeight="1" s="43"/>
    <row r="272" ht="15.75" customHeight="1" s="43"/>
    <row r="273" ht="15.75" customHeight="1" s="43"/>
    <row r="274" ht="15.75" customHeight="1" s="43"/>
    <row r="275" ht="15.75" customHeight="1" s="43"/>
    <row r="276" ht="15.75" customHeight="1" s="43"/>
    <row r="277" ht="15.75" customHeight="1" s="43"/>
    <row r="278" ht="15.75" customHeight="1" s="43"/>
    <row r="279" ht="15.75" customHeight="1" s="43"/>
    <row r="280" ht="15.75" customHeight="1" s="43"/>
    <row r="281" ht="15.75" customHeight="1" s="43"/>
    <row r="282" ht="15.75" customHeight="1" s="43"/>
    <row r="283" ht="15.75" customHeight="1" s="43"/>
    <row r="284" ht="15.75" customHeight="1" s="43"/>
    <row r="285" ht="15.75" customHeight="1" s="43"/>
    <row r="286" ht="15.75" customHeight="1" s="43"/>
    <row r="287" ht="15.75" customHeight="1" s="43"/>
    <row r="288" ht="15.75" customHeight="1" s="43"/>
    <row r="289" ht="15.75" customHeight="1" s="43"/>
    <row r="290" ht="15.75" customHeight="1" s="43"/>
    <row r="291" ht="15.75" customHeight="1" s="43"/>
    <row r="292" ht="15.75" customHeight="1" s="43"/>
    <row r="293" ht="15.75" customHeight="1" s="43"/>
    <row r="294" ht="15.75" customHeight="1" s="43"/>
    <row r="295" ht="15.75" customHeight="1" s="43"/>
    <row r="296" ht="15.75" customHeight="1" s="43"/>
    <row r="297" ht="15.75" customHeight="1" s="43"/>
    <row r="298" ht="15.75" customHeight="1" s="43"/>
    <row r="299" ht="15.75" customHeight="1" s="43"/>
    <row r="300" ht="15.75" customHeight="1" s="43"/>
    <row r="301" ht="15.75" customHeight="1" s="43"/>
    <row r="302" ht="15.75" customHeight="1" s="43"/>
    <row r="303" ht="15.75" customHeight="1" s="43"/>
    <row r="304" ht="15.75" customHeight="1" s="43"/>
    <row r="305" ht="15.75" customHeight="1" s="43"/>
    <row r="306" ht="15.75" customHeight="1" s="43"/>
    <row r="307" ht="15.75" customHeight="1" s="43"/>
    <row r="308" ht="15.75" customHeight="1" s="43"/>
    <row r="309" ht="15.75" customHeight="1" s="43"/>
    <row r="310" ht="15.75" customHeight="1" s="43"/>
    <row r="311" ht="15.75" customHeight="1" s="43"/>
    <row r="312" ht="15.75" customHeight="1" s="43"/>
    <row r="313" ht="15.75" customHeight="1" s="43"/>
    <row r="314" ht="15.75" customHeight="1" s="43"/>
    <row r="315" ht="15.75" customHeight="1" s="43"/>
    <row r="316" ht="15.75" customHeight="1" s="43"/>
    <row r="317" ht="15.75" customHeight="1" s="43"/>
    <row r="318" ht="15.75" customHeight="1" s="43"/>
    <row r="319" ht="15.75" customHeight="1" s="43"/>
    <row r="320" ht="15.75" customHeight="1" s="43"/>
    <row r="321" ht="15.75" customHeight="1" s="43"/>
    <row r="322" ht="15.75" customHeight="1" s="43"/>
    <row r="323" ht="15.75" customHeight="1" s="43"/>
    <row r="324" ht="15.75" customHeight="1" s="43"/>
    <row r="325" ht="15.75" customHeight="1" s="43"/>
    <row r="326" ht="15.75" customHeight="1" s="43"/>
    <row r="327" ht="15.75" customHeight="1" s="43"/>
    <row r="328" ht="15.75" customHeight="1" s="43"/>
    <row r="329" ht="15.75" customHeight="1" s="43"/>
    <row r="330" ht="15.75" customHeight="1" s="43"/>
    <row r="331" ht="15.75" customHeight="1" s="43"/>
    <row r="332" ht="15.75" customHeight="1" s="43"/>
    <row r="333" ht="15.75" customHeight="1" s="43"/>
    <row r="334" ht="15.75" customHeight="1" s="43"/>
    <row r="335" ht="15.75" customHeight="1" s="43"/>
    <row r="336" ht="15.75" customHeight="1" s="43"/>
    <row r="337" ht="15.75" customHeight="1" s="43"/>
    <row r="338" ht="15.75" customHeight="1" s="43"/>
    <row r="339" ht="15.75" customHeight="1" s="43"/>
    <row r="340" ht="15.75" customHeight="1" s="43"/>
    <row r="341" ht="15.75" customHeight="1" s="43"/>
    <row r="342" ht="15.75" customHeight="1" s="43"/>
    <row r="343" ht="15.75" customHeight="1" s="43"/>
    <row r="344" ht="15.75" customHeight="1" s="43"/>
    <row r="345" ht="15.75" customHeight="1" s="43"/>
    <row r="346" ht="15.75" customHeight="1" s="43"/>
    <row r="347" ht="15.75" customHeight="1" s="43"/>
    <row r="348" ht="15.75" customHeight="1" s="43"/>
    <row r="349" ht="15.75" customHeight="1" s="43"/>
    <row r="350" ht="15.75" customHeight="1" s="43"/>
    <row r="351" ht="15.75" customHeight="1" s="43"/>
    <row r="352" ht="15.75" customHeight="1" s="43"/>
    <row r="353" ht="15.75" customHeight="1" s="43"/>
    <row r="354" ht="15.75" customHeight="1" s="43"/>
    <row r="355" ht="15.75" customHeight="1" s="43"/>
    <row r="356" ht="15.75" customHeight="1" s="43"/>
    <row r="357" ht="15.75" customHeight="1" s="43"/>
    <row r="358" ht="15.75" customHeight="1" s="43"/>
    <row r="359" ht="15.75" customHeight="1" s="43"/>
    <row r="360" ht="15.75" customHeight="1" s="43"/>
    <row r="361" ht="15.75" customHeight="1" s="43"/>
    <row r="362" ht="15.75" customHeight="1" s="43"/>
    <row r="363" ht="15.75" customHeight="1" s="43"/>
    <row r="364" ht="15.75" customHeight="1" s="43"/>
    <row r="365" ht="15.75" customHeight="1" s="43"/>
    <row r="366" ht="15.75" customHeight="1" s="43"/>
    <row r="367" ht="15.75" customHeight="1" s="43"/>
    <row r="368" ht="15.75" customHeight="1" s="43"/>
    <row r="369" ht="15.75" customHeight="1" s="43"/>
    <row r="370" ht="15.75" customHeight="1" s="43"/>
    <row r="371" ht="15.75" customHeight="1" s="43"/>
    <row r="372" ht="15.75" customHeight="1" s="43"/>
    <row r="373" ht="15.75" customHeight="1" s="43"/>
    <row r="374" ht="15.75" customHeight="1" s="43"/>
    <row r="375" ht="15.75" customHeight="1" s="43"/>
    <row r="376" ht="15.75" customHeight="1" s="43"/>
    <row r="377" ht="15.75" customHeight="1" s="43"/>
    <row r="378" ht="15.75" customHeight="1" s="43"/>
    <row r="379" ht="15.75" customHeight="1" s="43"/>
    <row r="380" ht="15.75" customHeight="1" s="43"/>
    <row r="381" ht="15.75" customHeight="1" s="43"/>
    <row r="382" ht="15.75" customHeight="1" s="43"/>
    <row r="383" ht="15.75" customHeight="1" s="43"/>
    <row r="384" ht="15.75" customHeight="1" s="43"/>
    <row r="385" ht="15.75" customHeight="1" s="43"/>
    <row r="386" ht="15.75" customHeight="1" s="43"/>
    <row r="387" ht="15.75" customHeight="1" s="43"/>
    <row r="388" ht="15.75" customHeight="1" s="43"/>
    <row r="389" ht="15.75" customHeight="1" s="43"/>
    <row r="390" ht="15.75" customHeight="1" s="43"/>
    <row r="391" ht="15.75" customHeight="1" s="43"/>
    <row r="392" ht="15.75" customHeight="1" s="43"/>
    <row r="393" ht="15.75" customHeight="1" s="43"/>
    <row r="394" ht="15.75" customHeight="1" s="43"/>
    <row r="395" ht="15.75" customHeight="1" s="43"/>
    <row r="396" ht="15.75" customHeight="1" s="43"/>
    <row r="397" ht="15.75" customHeight="1" s="43"/>
    <row r="398" ht="15.75" customHeight="1" s="43"/>
    <row r="399" ht="15.75" customHeight="1" s="43"/>
    <row r="400" ht="15.75" customHeight="1" s="43"/>
    <row r="401" ht="15.75" customHeight="1" s="43"/>
    <row r="402" ht="15.75" customHeight="1" s="43"/>
    <row r="403" ht="15.75" customHeight="1" s="43"/>
    <row r="404" ht="15.75" customHeight="1" s="43"/>
    <row r="405" ht="15.75" customHeight="1" s="43"/>
    <row r="406" ht="15.75" customHeight="1" s="43"/>
    <row r="407" ht="15.75" customHeight="1" s="43"/>
    <row r="408" ht="15.75" customHeight="1" s="43"/>
    <row r="409" ht="15.75" customHeight="1" s="43"/>
    <row r="410" ht="15.75" customHeight="1" s="43"/>
    <row r="411" ht="15.75" customHeight="1" s="43"/>
    <row r="412" ht="15.75" customHeight="1" s="43"/>
    <row r="413" ht="15.75" customHeight="1" s="43"/>
    <row r="414" ht="15.75" customHeight="1" s="43"/>
    <row r="415" ht="15.75" customHeight="1" s="43"/>
    <row r="416" ht="15.75" customHeight="1" s="43"/>
    <row r="417" ht="15.75" customHeight="1" s="43"/>
    <row r="418" ht="15.75" customHeight="1" s="43"/>
    <row r="419" ht="15.75" customHeight="1" s="43"/>
    <row r="420" ht="15.75" customHeight="1" s="43"/>
    <row r="421" ht="15.75" customHeight="1" s="43"/>
    <row r="422" ht="15.75" customHeight="1" s="43"/>
    <row r="423" ht="15.75" customHeight="1" s="43"/>
    <row r="424" ht="15.75" customHeight="1" s="43"/>
    <row r="425" ht="15.75" customHeight="1" s="43"/>
    <row r="426" ht="15.75" customHeight="1" s="43"/>
    <row r="427" ht="15.75" customHeight="1" s="43"/>
    <row r="428" ht="15.75" customHeight="1" s="43"/>
    <row r="429" ht="15.75" customHeight="1" s="43"/>
    <row r="430" ht="15.75" customHeight="1" s="43"/>
    <row r="431" ht="15.75" customHeight="1" s="43"/>
    <row r="432" ht="15.75" customHeight="1" s="43"/>
    <row r="433" ht="15.75" customHeight="1" s="43"/>
    <row r="434" ht="15.75" customHeight="1" s="43"/>
    <row r="435" ht="15.75" customHeight="1" s="43"/>
    <row r="436" ht="15.75" customHeight="1" s="43"/>
    <row r="437" ht="15.75" customHeight="1" s="43"/>
    <row r="438" ht="15.75" customHeight="1" s="43"/>
    <row r="439" ht="15.75" customHeight="1" s="43"/>
    <row r="440" ht="15.75" customHeight="1" s="43"/>
    <row r="441" ht="15.75" customHeight="1" s="43"/>
    <row r="442" ht="15.75" customHeight="1" s="43"/>
    <row r="443" ht="15.75" customHeight="1" s="43"/>
    <row r="444" ht="15.75" customHeight="1" s="43"/>
    <row r="445" ht="15.75" customHeight="1" s="43"/>
    <row r="446" ht="15.75" customHeight="1" s="43"/>
    <row r="447" ht="15.75" customHeight="1" s="43"/>
    <row r="448" ht="15.75" customHeight="1" s="43"/>
    <row r="449" ht="15.75" customHeight="1" s="43"/>
    <row r="450" ht="15.75" customHeight="1" s="43"/>
    <row r="451" ht="15.75" customHeight="1" s="43"/>
    <row r="452" ht="15.75" customHeight="1" s="43"/>
    <row r="453" ht="15.75" customHeight="1" s="43"/>
    <row r="454" ht="15.75" customHeight="1" s="43"/>
    <row r="455" ht="15.75" customHeight="1" s="43"/>
    <row r="456" ht="15.75" customHeight="1" s="43"/>
    <row r="457" ht="15.75" customHeight="1" s="43"/>
    <row r="458" ht="15.75" customHeight="1" s="43"/>
    <row r="459" ht="15.75" customHeight="1" s="43"/>
    <row r="460" ht="15.75" customHeight="1" s="43"/>
    <row r="461" ht="15.75" customHeight="1" s="43"/>
    <row r="462" ht="15.75" customHeight="1" s="43"/>
    <row r="463" ht="15.75" customHeight="1" s="43"/>
    <row r="464" ht="15.75" customHeight="1" s="43"/>
    <row r="465" ht="15.75" customHeight="1" s="43"/>
    <row r="466" ht="15.75" customHeight="1" s="43"/>
    <row r="467" ht="15.75" customHeight="1" s="43"/>
    <row r="468" ht="15.75" customHeight="1" s="43"/>
    <row r="469" ht="15.75" customHeight="1" s="43"/>
    <row r="470" ht="15.75" customHeight="1" s="43"/>
    <row r="471" ht="15.75" customHeight="1" s="43"/>
    <row r="472" ht="15.75" customHeight="1" s="43"/>
    <row r="473" ht="15.75" customHeight="1" s="43"/>
    <row r="474" ht="15.75" customHeight="1" s="43"/>
    <row r="475" ht="15.75" customHeight="1" s="43"/>
    <row r="476" ht="15.75" customHeight="1" s="43"/>
    <row r="477" ht="15.75" customHeight="1" s="43"/>
    <row r="478" ht="15.75" customHeight="1" s="43"/>
    <row r="479" ht="15.75" customHeight="1" s="43"/>
    <row r="480" ht="15.75" customHeight="1" s="43"/>
    <row r="481" ht="15.75" customHeight="1" s="43"/>
    <row r="482" ht="15.75" customHeight="1" s="43"/>
    <row r="483" ht="15.75" customHeight="1" s="43"/>
    <row r="484" ht="15.75" customHeight="1" s="43"/>
    <row r="485" ht="15.75" customHeight="1" s="43"/>
    <row r="486" ht="15.75" customHeight="1" s="43"/>
    <row r="487" ht="15.75" customHeight="1" s="43"/>
    <row r="488" ht="15.75" customHeight="1" s="43"/>
    <row r="489" ht="15.75" customHeight="1" s="43"/>
    <row r="490" ht="15.75" customHeight="1" s="43"/>
    <row r="491" ht="15.75" customHeight="1" s="43"/>
    <row r="492" ht="15.75" customHeight="1" s="43"/>
    <row r="493" ht="15.75" customHeight="1" s="43"/>
    <row r="494" ht="15.75" customHeight="1" s="43"/>
    <row r="495" ht="15.75" customHeight="1" s="43"/>
    <row r="496" ht="15.75" customHeight="1" s="43"/>
    <row r="497" ht="15.75" customHeight="1" s="43"/>
    <row r="498" ht="15.75" customHeight="1" s="43"/>
    <row r="499" ht="15.75" customHeight="1" s="43"/>
    <row r="500" ht="15.75" customHeight="1" s="43"/>
    <row r="501" ht="15.75" customHeight="1" s="43"/>
    <row r="502" ht="15.75" customHeight="1" s="43"/>
    <row r="503" ht="15.75" customHeight="1" s="43"/>
    <row r="504" ht="15.75" customHeight="1" s="43"/>
    <row r="505" ht="15.75" customHeight="1" s="43"/>
    <row r="506" ht="15.75" customHeight="1" s="43"/>
    <row r="507" ht="15.75" customHeight="1" s="43"/>
    <row r="508" ht="15.75" customHeight="1" s="43"/>
    <row r="509" ht="15.75" customHeight="1" s="43"/>
    <row r="510" ht="15.75" customHeight="1" s="43"/>
    <row r="511" ht="15.75" customHeight="1" s="43"/>
    <row r="512" ht="15.75" customHeight="1" s="43"/>
    <row r="513" ht="15.75" customHeight="1" s="43"/>
    <row r="514" ht="15.75" customHeight="1" s="43"/>
    <row r="515" ht="15.75" customHeight="1" s="43"/>
    <row r="516" ht="15.75" customHeight="1" s="43"/>
    <row r="517" ht="15.75" customHeight="1" s="43"/>
    <row r="518" ht="15.75" customHeight="1" s="43"/>
    <row r="519" ht="15.75" customHeight="1" s="43"/>
    <row r="520" ht="15.75" customHeight="1" s="43"/>
    <row r="521" ht="15.75" customHeight="1" s="43"/>
    <row r="522" ht="15.75" customHeight="1" s="43"/>
    <row r="523" ht="15.75" customHeight="1" s="43"/>
    <row r="524" ht="15.75" customHeight="1" s="43"/>
    <row r="525" ht="15.75" customHeight="1" s="43"/>
    <row r="526" ht="15.75" customHeight="1" s="43"/>
    <row r="527" ht="15.75" customHeight="1" s="43"/>
    <row r="528" ht="15.75" customHeight="1" s="43"/>
    <row r="529" ht="15.75" customHeight="1" s="43"/>
    <row r="530" ht="15.75" customHeight="1" s="43"/>
    <row r="531" ht="15.75" customHeight="1" s="43"/>
    <row r="532" ht="15.75" customHeight="1" s="43"/>
    <row r="533" ht="15.75" customHeight="1" s="43"/>
    <row r="534" ht="15.75" customHeight="1" s="43"/>
    <row r="535" ht="15.75" customHeight="1" s="43"/>
    <row r="536" ht="15.75" customHeight="1" s="43"/>
    <row r="537" ht="15.75" customHeight="1" s="43"/>
    <row r="538" ht="15.75" customHeight="1" s="43"/>
    <row r="539" ht="15.75" customHeight="1" s="43"/>
    <row r="540" ht="15.75" customHeight="1" s="43"/>
    <row r="541" ht="15.75" customHeight="1" s="43"/>
    <row r="542" ht="15.75" customHeight="1" s="43"/>
    <row r="543" ht="15.75" customHeight="1" s="43"/>
    <row r="544" ht="15.75" customHeight="1" s="43"/>
    <row r="545" ht="15.75" customHeight="1" s="43"/>
    <row r="546" ht="15.75" customHeight="1" s="43"/>
    <row r="547" ht="15.75" customHeight="1" s="43"/>
    <row r="548" ht="15.75" customHeight="1" s="43"/>
    <row r="549" ht="15.75" customHeight="1" s="43"/>
    <row r="550" ht="15.75" customHeight="1" s="43"/>
    <row r="551" ht="15.75" customHeight="1" s="43"/>
    <row r="552" ht="15.75" customHeight="1" s="43"/>
    <row r="553" ht="15.75" customHeight="1" s="43"/>
    <row r="554" ht="15.75" customHeight="1" s="43"/>
    <row r="555" ht="15.75" customHeight="1" s="43"/>
    <row r="556" ht="15.75" customHeight="1" s="43"/>
    <row r="557" ht="15.75" customHeight="1" s="43"/>
    <row r="558" ht="15.75" customHeight="1" s="43"/>
    <row r="559" ht="15.75" customHeight="1" s="43"/>
    <row r="560" ht="15.75" customHeight="1" s="43"/>
    <row r="561" ht="15.75" customHeight="1" s="43"/>
    <row r="562" ht="15.75" customHeight="1" s="43"/>
    <row r="563" ht="15.75" customHeight="1" s="43"/>
    <row r="564" ht="15.75" customHeight="1" s="43"/>
    <row r="565" ht="15.75" customHeight="1" s="43"/>
    <row r="566" ht="15.75" customHeight="1" s="43"/>
    <row r="567" ht="15.75" customHeight="1" s="43"/>
    <row r="568" ht="15.75" customHeight="1" s="43"/>
    <row r="569" ht="15.75" customHeight="1" s="43"/>
    <row r="570" ht="15.75" customHeight="1" s="43"/>
    <row r="571" ht="15.75" customHeight="1" s="43"/>
    <row r="572" ht="15.75" customHeight="1" s="43"/>
    <row r="573" ht="15.75" customHeight="1" s="43"/>
    <row r="574" ht="15.75" customHeight="1" s="43"/>
    <row r="575" ht="15.75" customHeight="1" s="43"/>
    <row r="576" ht="15.75" customHeight="1" s="43"/>
    <row r="577" ht="15.75" customHeight="1" s="43"/>
    <row r="578" ht="15.75" customHeight="1" s="43"/>
    <row r="579" ht="15.75" customHeight="1" s="43"/>
    <row r="580" ht="15.75" customHeight="1" s="43"/>
    <row r="581" ht="15.75" customHeight="1" s="43"/>
    <row r="582" ht="15.75" customHeight="1" s="43"/>
    <row r="583" ht="15.75" customHeight="1" s="43"/>
    <row r="584" ht="15.75" customHeight="1" s="43"/>
    <row r="585" ht="15.75" customHeight="1" s="43"/>
    <row r="586" ht="15.75" customHeight="1" s="43"/>
    <row r="587" ht="15.75" customHeight="1" s="43"/>
    <row r="588" ht="15.75" customHeight="1" s="43"/>
    <row r="589" ht="15.75" customHeight="1" s="43"/>
    <row r="590" ht="15.75" customHeight="1" s="43"/>
    <row r="591" ht="15.75" customHeight="1" s="43"/>
    <row r="592" ht="15.75" customHeight="1" s="43"/>
    <row r="593" ht="15.75" customHeight="1" s="43"/>
    <row r="594" ht="15.75" customHeight="1" s="43"/>
    <row r="595" ht="15.75" customHeight="1" s="43"/>
    <row r="596" ht="15.75" customHeight="1" s="43"/>
    <row r="597" ht="15.75" customHeight="1" s="43"/>
    <row r="598" ht="15.75" customHeight="1" s="43"/>
    <row r="599" ht="15.75" customHeight="1" s="43"/>
    <row r="600" ht="15.75" customHeight="1" s="43"/>
    <row r="601" ht="15.75" customHeight="1" s="43"/>
    <row r="602" ht="15.75" customHeight="1" s="43"/>
    <row r="603" ht="15.75" customHeight="1" s="43"/>
    <row r="604" ht="15.75" customHeight="1" s="43"/>
    <row r="605" ht="15.75" customHeight="1" s="43"/>
    <row r="606" ht="15.75" customHeight="1" s="43"/>
    <row r="607" ht="15.75" customHeight="1" s="43"/>
    <row r="608" ht="15.75" customHeight="1" s="43"/>
    <row r="609" ht="15.75" customHeight="1" s="43"/>
    <row r="610" ht="15.75" customHeight="1" s="43"/>
    <row r="611" ht="15.75" customHeight="1" s="43"/>
    <row r="612" ht="15.75" customHeight="1" s="43"/>
    <row r="613" ht="15.75" customHeight="1" s="43"/>
    <row r="614" ht="15.75" customHeight="1" s="43"/>
    <row r="615" ht="15.75" customHeight="1" s="43"/>
    <row r="616" ht="15.75" customHeight="1" s="43"/>
    <row r="617" ht="15.75" customHeight="1" s="43"/>
    <row r="618" ht="15.75" customHeight="1" s="43"/>
    <row r="619" ht="15.75" customHeight="1" s="43"/>
    <row r="620" ht="15.75" customHeight="1" s="43"/>
    <row r="621" ht="15.75" customHeight="1" s="43"/>
    <row r="622" ht="15.75" customHeight="1" s="43"/>
    <row r="623" ht="15.75" customHeight="1" s="43"/>
    <row r="624" ht="15.75" customHeight="1" s="43"/>
    <row r="625" ht="15.75" customHeight="1" s="43"/>
    <row r="626" ht="15.75" customHeight="1" s="43"/>
    <row r="627" ht="15.75" customHeight="1" s="43"/>
    <row r="628" ht="15.75" customHeight="1" s="43"/>
    <row r="629" ht="15.75" customHeight="1" s="43"/>
    <row r="630" ht="15.75" customHeight="1" s="43"/>
    <row r="631" ht="15.75" customHeight="1" s="43"/>
    <row r="632" ht="15.75" customHeight="1" s="43"/>
    <row r="633" ht="15.75" customHeight="1" s="43"/>
    <row r="634" ht="15.75" customHeight="1" s="43"/>
    <row r="635" ht="15.75" customHeight="1" s="43"/>
    <row r="636" ht="15.75" customHeight="1" s="43"/>
    <row r="637" ht="15.75" customHeight="1" s="43"/>
    <row r="638" ht="15.75" customHeight="1" s="43"/>
    <row r="639" ht="15.75" customHeight="1" s="43"/>
    <row r="640" ht="15.75" customHeight="1" s="43"/>
    <row r="641" ht="15.75" customHeight="1" s="43"/>
    <row r="642" ht="15.75" customHeight="1" s="43"/>
    <row r="643" ht="15.75" customHeight="1" s="43"/>
    <row r="644" ht="15.75" customHeight="1" s="43"/>
    <row r="645" ht="15.75" customHeight="1" s="43"/>
    <row r="646" ht="15.75" customHeight="1" s="43"/>
    <row r="647" ht="15.75" customHeight="1" s="43"/>
    <row r="648" ht="15.75" customHeight="1" s="43"/>
    <row r="649" ht="15.75" customHeight="1" s="43"/>
    <row r="650" ht="15.75" customHeight="1" s="43"/>
    <row r="651" ht="15.75" customHeight="1" s="43"/>
    <row r="652" ht="15.75" customHeight="1" s="43"/>
    <row r="653" ht="15.75" customHeight="1" s="43"/>
    <row r="654" ht="15.75" customHeight="1" s="43"/>
    <row r="655" ht="15.75" customHeight="1" s="43"/>
    <row r="656" ht="15.75" customHeight="1" s="43"/>
    <row r="657" ht="15.75" customHeight="1" s="43"/>
    <row r="658" ht="15.75" customHeight="1" s="43"/>
    <row r="659" ht="15.75" customHeight="1" s="43"/>
    <row r="660" ht="15.75" customHeight="1" s="43"/>
    <row r="661" ht="15.75" customHeight="1" s="43"/>
    <row r="662" ht="15.75" customHeight="1" s="43"/>
    <row r="663" ht="15.75" customHeight="1" s="43"/>
    <row r="664" ht="15.75" customHeight="1" s="43"/>
    <row r="665" ht="15.75" customHeight="1" s="43"/>
    <row r="666" ht="15.75" customHeight="1" s="43"/>
    <row r="667" ht="15.75" customHeight="1" s="43"/>
    <row r="668" ht="15.75" customHeight="1" s="43"/>
    <row r="669" ht="15.75" customHeight="1" s="43"/>
    <row r="670" ht="15.75" customHeight="1" s="43"/>
    <row r="671" ht="15.75" customHeight="1" s="43"/>
    <row r="672" ht="15.75" customHeight="1" s="43"/>
    <row r="673" ht="15.75" customHeight="1" s="43"/>
    <row r="674" ht="15.75" customHeight="1" s="43"/>
    <row r="675" ht="15.75" customHeight="1" s="43"/>
    <row r="676" ht="15.75" customHeight="1" s="43"/>
    <row r="677" ht="15.75" customHeight="1" s="43"/>
    <row r="678" ht="15.75" customHeight="1" s="43"/>
    <row r="679" ht="15.75" customHeight="1" s="43"/>
    <row r="680" ht="15.75" customHeight="1" s="43"/>
    <row r="681" ht="15.75" customHeight="1" s="43"/>
    <row r="682" ht="15.75" customHeight="1" s="43"/>
    <row r="683" ht="15.75" customHeight="1" s="43"/>
    <row r="684" ht="15.75" customHeight="1" s="43"/>
    <row r="685" ht="15.75" customHeight="1" s="43"/>
    <row r="686" ht="15.75" customHeight="1" s="43"/>
    <row r="687" ht="15.75" customHeight="1" s="43"/>
    <row r="688" ht="15.75" customHeight="1" s="43"/>
    <row r="689" ht="15.75" customHeight="1" s="43"/>
    <row r="690" ht="15.75" customHeight="1" s="43"/>
    <row r="691" ht="15.75" customHeight="1" s="43"/>
    <row r="692" ht="15.75" customHeight="1" s="43"/>
    <row r="693" ht="15.75" customHeight="1" s="43"/>
    <row r="694" ht="15.75" customHeight="1" s="43"/>
    <row r="695" ht="15.75" customHeight="1" s="43"/>
    <row r="696" ht="15.75" customHeight="1" s="43"/>
    <row r="697" ht="15.75" customHeight="1" s="43"/>
    <row r="698" ht="15.75" customHeight="1" s="43"/>
    <row r="699" ht="15.75" customHeight="1" s="43"/>
    <row r="700" ht="15.75" customHeight="1" s="43"/>
    <row r="701" ht="15.75" customHeight="1" s="43"/>
    <row r="702" ht="15.75" customHeight="1" s="43"/>
    <row r="703" ht="15.75" customHeight="1" s="43"/>
    <row r="704" ht="15.75" customHeight="1" s="43"/>
    <row r="705" ht="15.75" customHeight="1" s="43"/>
    <row r="706" ht="15.75" customHeight="1" s="43"/>
    <row r="707" ht="15.75" customHeight="1" s="43"/>
    <row r="708" ht="15.75" customHeight="1" s="43"/>
    <row r="709" ht="15.75" customHeight="1" s="43"/>
    <row r="710" ht="15.75" customHeight="1" s="43"/>
    <row r="711" ht="15.75" customHeight="1" s="43"/>
    <row r="712" ht="15.75" customHeight="1" s="43"/>
    <row r="713" ht="15.75" customHeight="1" s="43"/>
    <row r="714" ht="15.75" customHeight="1" s="43"/>
    <row r="715" ht="15.75" customHeight="1" s="43"/>
    <row r="716" ht="15.75" customHeight="1" s="43"/>
    <row r="717" ht="15.75" customHeight="1" s="43"/>
    <row r="718" ht="15.75" customHeight="1" s="43"/>
    <row r="719" ht="15.75" customHeight="1" s="43"/>
    <row r="720" ht="15.75" customHeight="1" s="43"/>
    <row r="721" ht="15.75" customHeight="1" s="43"/>
    <row r="722" ht="15.75" customHeight="1" s="43"/>
    <row r="723" ht="15.75" customHeight="1" s="43"/>
    <row r="724" ht="15.75" customHeight="1" s="43"/>
    <row r="725" ht="15.75" customHeight="1" s="43"/>
    <row r="726" ht="15.75" customHeight="1" s="43"/>
    <row r="727" ht="15.75" customHeight="1" s="43"/>
    <row r="728" ht="15.75" customHeight="1" s="43"/>
    <row r="729" ht="15.75" customHeight="1" s="43"/>
    <row r="730" ht="15.75" customHeight="1" s="43"/>
    <row r="731" ht="15.75" customHeight="1" s="43"/>
    <row r="732" ht="15.75" customHeight="1" s="43"/>
    <row r="733" ht="15.75" customHeight="1" s="43"/>
    <row r="734" ht="15.75" customHeight="1" s="43"/>
    <row r="735" ht="15.75" customHeight="1" s="43"/>
    <row r="736" ht="15.75" customHeight="1" s="43"/>
    <row r="737" ht="15.75" customHeight="1" s="43"/>
    <row r="738" ht="15.75" customHeight="1" s="43"/>
    <row r="739" ht="15.75" customHeight="1" s="43"/>
    <row r="740" ht="15.75" customHeight="1" s="43"/>
    <row r="741" ht="15.75" customHeight="1" s="43"/>
    <row r="742" ht="15.75" customHeight="1" s="43"/>
    <row r="743" ht="15.75" customHeight="1" s="43"/>
    <row r="744" ht="15.75" customHeight="1" s="43"/>
    <row r="745" ht="15.75" customHeight="1" s="43"/>
    <row r="746" ht="15.75" customHeight="1" s="43"/>
    <row r="747" ht="15.75" customHeight="1" s="43"/>
    <row r="748" ht="15.75" customHeight="1" s="43"/>
    <row r="749" ht="15.75" customHeight="1" s="43"/>
    <row r="750" ht="15.75" customHeight="1" s="43"/>
    <row r="751" ht="15.75" customHeight="1" s="43"/>
    <row r="752" ht="15.75" customHeight="1" s="43"/>
    <row r="753" ht="15.75" customHeight="1" s="43"/>
    <row r="754" ht="15.75" customHeight="1" s="43"/>
    <row r="755" ht="15.75" customHeight="1" s="43"/>
    <row r="756" ht="15.75" customHeight="1" s="43"/>
    <row r="757" ht="15.75" customHeight="1" s="43"/>
    <row r="758" ht="15.75" customHeight="1" s="43"/>
    <row r="759" ht="15.75" customHeight="1" s="43"/>
    <row r="760" ht="15.75" customHeight="1" s="43"/>
    <row r="761" ht="15.75" customHeight="1" s="43"/>
    <row r="762" ht="15.75" customHeight="1" s="43"/>
    <row r="763" ht="15.75" customHeight="1" s="43"/>
    <row r="764" ht="15.75" customHeight="1" s="43"/>
    <row r="765" ht="15.75" customHeight="1" s="43"/>
    <row r="766" ht="15.75" customHeight="1" s="43"/>
    <row r="767" ht="15.75" customHeight="1" s="43"/>
    <row r="768" ht="15.75" customHeight="1" s="43"/>
    <row r="769" ht="15.75" customHeight="1" s="43"/>
    <row r="770" ht="15.75" customHeight="1" s="43"/>
    <row r="771" ht="15.75" customHeight="1" s="43"/>
    <row r="772" ht="15.75" customHeight="1" s="43"/>
    <row r="773" ht="15.75" customHeight="1" s="43"/>
    <row r="774" ht="15.75" customHeight="1" s="43"/>
    <row r="775" ht="15.75" customHeight="1" s="43"/>
    <row r="776" ht="15.75" customHeight="1" s="43"/>
    <row r="777" ht="15.75" customHeight="1" s="43"/>
    <row r="778" ht="15.75" customHeight="1" s="43"/>
    <row r="779" ht="15.75" customHeight="1" s="43"/>
    <row r="780" ht="15.75" customHeight="1" s="43"/>
    <row r="781" ht="15.75" customHeight="1" s="43"/>
    <row r="782" ht="15.75" customHeight="1" s="43"/>
    <row r="783" ht="15.75" customHeight="1" s="43"/>
    <row r="784" ht="15.75" customHeight="1" s="43"/>
    <row r="785" ht="15.75" customHeight="1" s="43"/>
    <row r="786" ht="15.75" customHeight="1" s="43"/>
    <row r="787" ht="15.75" customHeight="1" s="43"/>
    <row r="788" ht="15.75" customHeight="1" s="43"/>
    <row r="789" ht="15.75" customHeight="1" s="43"/>
    <row r="790" ht="15.75" customHeight="1" s="43"/>
    <row r="791" ht="15.75" customHeight="1" s="43"/>
    <row r="792" ht="15.75" customHeight="1" s="43"/>
    <row r="793" ht="15.75" customHeight="1" s="43"/>
    <row r="794" ht="15.75" customHeight="1" s="43"/>
    <row r="795" ht="15.75" customHeight="1" s="43"/>
    <row r="796" ht="15.75" customHeight="1" s="43"/>
    <row r="797" ht="15.75" customHeight="1" s="43"/>
    <row r="798" ht="15.75" customHeight="1" s="43"/>
    <row r="799" ht="15.75" customHeight="1" s="43"/>
    <row r="800" ht="15.75" customHeight="1" s="43"/>
    <row r="801" ht="15.75" customHeight="1" s="43"/>
    <row r="802" ht="15.75" customHeight="1" s="43"/>
    <row r="803" ht="15.75" customHeight="1" s="43"/>
    <row r="804" ht="15.75" customHeight="1" s="43"/>
    <row r="805" ht="15.75" customHeight="1" s="43"/>
    <row r="806" ht="15.75" customHeight="1" s="43"/>
    <row r="807" ht="15.75" customHeight="1" s="43"/>
    <row r="808" ht="15.75" customHeight="1" s="43"/>
    <row r="809" ht="15.75" customHeight="1" s="43"/>
    <row r="810" ht="15.75" customHeight="1" s="43"/>
    <row r="811" ht="15.75" customHeight="1" s="43"/>
    <row r="812" ht="15.75" customHeight="1" s="43"/>
    <row r="813" ht="15.75" customHeight="1" s="43"/>
    <row r="814" ht="15.75" customHeight="1" s="43"/>
    <row r="815" ht="15.75" customHeight="1" s="43"/>
    <row r="816" ht="15.75" customHeight="1" s="43"/>
    <row r="817" ht="15.75" customHeight="1" s="43"/>
    <row r="818" ht="15.75" customHeight="1" s="43"/>
    <row r="819" ht="15.75" customHeight="1" s="43"/>
    <row r="820" ht="15.75" customHeight="1" s="43"/>
    <row r="821" ht="15.75" customHeight="1" s="43"/>
    <row r="822" ht="15.75" customHeight="1" s="43"/>
    <row r="823" ht="15.75" customHeight="1" s="43"/>
    <row r="824" ht="15.75" customHeight="1" s="43"/>
    <row r="825" ht="15.75" customHeight="1" s="43"/>
    <row r="826" ht="15.75" customHeight="1" s="43"/>
    <row r="827" ht="15.75" customHeight="1" s="43"/>
    <row r="828" ht="15.75" customHeight="1" s="43"/>
    <row r="829" ht="15.75" customHeight="1" s="43"/>
    <row r="830" ht="15.75" customHeight="1" s="43"/>
    <row r="831" ht="15.75" customHeight="1" s="43"/>
    <row r="832" ht="15.75" customHeight="1" s="43"/>
    <row r="833" ht="15.75" customHeight="1" s="43"/>
    <row r="834" ht="15.75" customHeight="1" s="43"/>
    <row r="835" ht="15.75" customHeight="1" s="43"/>
    <row r="836" ht="15.75" customHeight="1" s="43"/>
    <row r="837" ht="15.75" customHeight="1" s="43"/>
    <row r="838" ht="15.75" customHeight="1" s="43"/>
    <row r="839" ht="15.75" customHeight="1" s="43"/>
    <row r="840" ht="15.75" customHeight="1" s="43"/>
    <row r="841" ht="15.75" customHeight="1" s="43"/>
    <row r="842" ht="15.75" customHeight="1" s="43"/>
    <row r="843" ht="15.75" customHeight="1" s="43"/>
    <row r="844" ht="15.75" customHeight="1" s="43"/>
    <row r="845" ht="15.75" customHeight="1" s="43"/>
    <row r="846" ht="15.75" customHeight="1" s="43"/>
    <row r="847" ht="15.75" customHeight="1" s="43"/>
    <row r="848" ht="15.75" customHeight="1" s="43"/>
    <row r="849" ht="15.75" customHeight="1" s="43"/>
    <row r="850" ht="15.75" customHeight="1" s="43"/>
    <row r="851" ht="15.75" customHeight="1" s="43"/>
    <row r="852" ht="15.75" customHeight="1" s="43"/>
    <row r="853" ht="15.75" customHeight="1" s="43"/>
    <row r="854" ht="15.75" customHeight="1" s="43"/>
    <row r="855" ht="15.75" customHeight="1" s="43"/>
    <row r="856" ht="15.75" customHeight="1" s="43"/>
    <row r="857" ht="15.75" customHeight="1" s="43"/>
    <row r="858" ht="15.75" customHeight="1" s="43"/>
    <row r="859" ht="15.75" customHeight="1" s="43"/>
    <row r="860" ht="15.75" customHeight="1" s="43"/>
    <row r="861" ht="15.75" customHeight="1" s="43"/>
    <row r="862" ht="15.75" customHeight="1" s="43"/>
    <row r="863" ht="15.75" customHeight="1" s="43"/>
    <row r="864" ht="15.75" customHeight="1" s="43"/>
    <row r="865" ht="15.75" customHeight="1" s="43"/>
    <row r="866" ht="15.75" customHeight="1" s="43"/>
    <row r="867" ht="15.75" customHeight="1" s="43"/>
    <row r="868" ht="15.75" customHeight="1" s="43"/>
    <row r="869" ht="15.75" customHeight="1" s="43"/>
    <row r="870" ht="15.75" customHeight="1" s="43"/>
    <row r="871" ht="15.75" customHeight="1" s="43"/>
    <row r="872" ht="15.75" customHeight="1" s="43"/>
    <row r="873" ht="15.75" customHeight="1" s="43"/>
    <row r="874" ht="15.75" customHeight="1" s="43"/>
    <row r="875" ht="15.75" customHeight="1" s="43"/>
    <row r="876" ht="15.75" customHeight="1" s="43"/>
    <row r="877" ht="15.75" customHeight="1" s="43"/>
    <row r="878" ht="15.75" customHeight="1" s="43"/>
    <row r="879" ht="15.75" customHeight="1" s="43"/>
    <row r="880" ht="15.75" customHeight="1" s="43"/>
    <row r="881" ht="15.75" customHeight="1" s="43"/>
    <row r="882" ht="15.75" customHeight="1" s="43"/>
    <row r="883" ht="15.75" customHeight="1" s="43"/>
    <row r="884" ht="15.75" customHeight="1" s="43"/>
    <row r="885" ht="15.75" customHeight="1" s="43"/>
    <row r="886" ht="15.75" customHeight="1" s="43"/>
    <row r="887" ht="15.75" customHeight="1" s="43"/>
    <row r="888" ht="15.75" customHeight="1" s="43"/>
    <row r="889" ht="15.75" customHeight="1" s="43"/>
    <row r="890" ht="15.75" customHeight="1" s="43"/>
    <row r="891" ht="15.75" customHeight="1" s="43"/>
    <row r="892" ht="15.75" customHeight="1" s="43"/>
    <row r="893" ht="15.75" customHeight="1" s="43"/>
    <row r="894" ht="15.75" customHeight="1" s="43"/>
    <row r="895" ht="15.75" customHeight="1" s="43"/>
    <row r="896" ht="15.75" customHeight="1" s="43"/>
    <row r="897" ht="15.75" customHeight="1" s="43"/>
    <row r="898" ht="15.75" customHeight="1" s="43"/>
    <row r="899" ht="15.75" customHeight="1" s="43"/>
    <row r="900" ht="15.75" customHeight="1" s="43"/>
    <row r="901" ht="15.75" customHeight="1" s="43"/>
    <row r="902" ht="15.75" customHeight="1" s="43"/>
    <row r="903" ht="15.75" customHeight="1" s="43"/>
    <row r="904" ht="15.75" customHeight="1" s="43"/>
    <row r="905" ht="15.75" customHeight="1" s="43"/>
    <row r="906" ht="15.75" customHeight="1" s="43"/>
    <row r="907" ht="15.75" customHeight="1" s="43"/>
    <row r="908" ht="15.75" customHeight="1" s="43"/>
    <row r="909" ht="15.75" customHeight="1" s="43"/>
    <row r="910" ht="15.75" customHeight="1" s="43"/>
    <row r="911" ht="15.75" customHeight="1" s="43"/>
    <row r="912" ht="15.75" customHeight="1" s="43"/>
    <row r="913" ht="15.75" customHeight="1" s="43"/>
    <row r="914" ht="15.75" customHeight="1" s="43"/>
    <row r="915" ht="15.75" customHeight="1" s="43"/>
    <row r="916" ht="15.75" customHeight="1" s="43"/>
    <row r="917" ht="15.75" customHeight="1" s="43"/>
    <row r="918" ht="15.75" customHeight="1" s="43"/>
    <row r="919" ht="15.75" customHeight="1" s="43"/>
    <row r="920" ht="15.75" customHeight="1" s="43"/>
    <row r="921" ht="15.75" customHeight="1" s="43"/>
    <row r="922" ht="15.75" customHeight="1" s="43"/>
    <row r="923" ht="15.75" customHeight="1" s="43"/>
    <row r="924" ht="15.75" customHeight="1" s="43"/>
    <row r="925" ht="15.75" customHeight="1" s="43"/>
    <row r="926" ht="15.75" customHeight="1" s="43"/>
    <row r="927" ht="15.75" customHeight="1" s="43"/>
    <row r="928" ht="15.75" customHeight="1" s="43"/>
    <row r="929" ht="15.75" customHeight="1" s="43"/>
    <row r="930" ht="15.75" customHeight="1" s="43"/>
    <row r="931" ht="15.75" customHeight="1" s="43"/>
    <row r="932" ht="15.75" customHeight="1" s="43"/>
    <row r="933" ht="15.75" customHeight="1" s="43"/>
    <row r="934" ht="15.75" customHeight="1" s="43"/>
    <row r="935" ht="15.75" customHeight="1" s="43"/>
    <row r="936" ht="15.75" customHeight="1" s="43"/>
    <row r="937" ht="15.75" customHeight="1" s="43"/>
    <row r="938" ht="15.75" customHeight="1" s="43"/>
    <row r="939" ht="15.75" customHeight="1" s="43"/>
    <row r="940" ht="15.75" customHeight="1" s="43"/>
    <row r="941" ht="15.75" customHeight="1" s="43"/>
    <row r="942" ht="15.75" customHeight="1" s="43"/>
    <row r="943" ht="15.75" customHeight="1" s="43"/>
    <row r="944" ht="15.75" customHeight="1" s="43"/>
    <row r="945" ht="15.75" customHeight="1" s="43"/>
    <row r="946" ht="15.75" customHeight="1" s="43"/>
    <row r="947" ht="15.75" customHeight="1" s="43"/>
    <row r="948" ht="15.75" customHeight="1" s="43"/>
    <row r="949" ht="15.75" customHeight="1" s="43"/>
    <row r="950" ht="15.75" customHeight="1" s="43"/>
    <row r="951" ht="15.75" customHeight="1" s="43"/>
    <row r="952" ht="15.75" customHeight="1" s="43"/>
    <row r="953" ht="15.75" customHeight="1" s="43"/>
    <row r="954" ht="15.75" customHeight="1" s="43"/>
    <row r="955" ht="15.75" customHeight="1" s="43"/>
    <row r="956" ht="15.75" customHeight="1" s="43"/>
    <row r="957" ht="15.75" customHeight="1" s="43"/>
    <row r="958" ht="15.75" customHeight="1" s="43"/>
    <row r="959" ht="15.75" customHeight="1" s="43"/>
    <row r="960" ht="15.75" customHeight="1" s="43"/>
    <row r="961" ht="15.75" customHeight="1" s="43"/>
    <row r="962" ht="15.75" customHeight="1" s="43"/>
    <row r="963" ht="15.75" customHeight="1" s="43"/>
    <row r="964" ht="15.75" customHeight="1" s="43"/>
    <row r="965" ht="15.75" customHeight="1" s="43"/>
    <row r="966" ht="15.75" customHeight="1" s="43"/>
    <row r="967" ht="15.75" customHeight="1" s="43"/>
    <row r="968" ht="15.75" customHeight="1" s="43"/>
    <row r="969" ht="15.75" customHeight="1" s="43"/>
    <row r="970" ht="15.75" customHeight="1" s="43"/>
    <row r="971" ht="15.75" customHeight="1" s="43"/>
    <row r="972" ht="15.75" customHeight="1" s="43"/>
    <row r="973" ht="15.75" customHeight="1" s="43"/>
    <row r="974" ht="15.75" customHeight="1" s="43"/>
    <row r="975" ht="15.75" customHeight="1" s="43"/>
    <row r="976" ht="15.75" customHeight="1" s="43"/>
    <row r="977" ht="15.75" customHeight="1" s="43"/>
    <row r="978" ht="15.75" customHeight="1" s="43"/>
    <row r="979" ht="15.75" customHeight="1" s="43"/>
    <row r="980" ht="15.75" customHeight="1" s="43"/>
    <row r="981" ht="15.75" customHeight="1" s="43"/>
    <row r="982" ht="15.75" customHeight="1" s="43"/>
    <row r="983" ht="15.75" customHeight="1" s="43"/>
    <row r="984" ht="15.75" customHeight="1" s="43"/>
    <row r="985" ht="15.75" customHeight="1" s="43"/>
    <row r="986" ht="15.75" customHeight="1" s="43"/>
    <row r="987" ht="15.75" customHeight="1" s="43"/>
    <row r="988" ht="15.75" customHeight="1" s="43"/>
    <row r="989" ht="15.75" customHeight="1" s="43"/>
    <row r="990" ht="15.75" customHeight="1" s="43"/>
    <row r="991" ht="15.75" customHeight="1" s="43"/>
    <row r="992" ht="15.75" customHeight="1" s="43"/>
    <row r="993" ht="15.75" customHeight="1" s="43"/>
    <row r="994" ht="15.75" customHeight="1" s="43"/>
    <row r="995" ht="15.75" customHeight="1" s="43"/>
    <row r="996" ht="15.75" customHeight="1" s="43"/>
    <row r="997" ht="15.75" customHeight="1" s="43"/>
    <row r="998" ht="15.75" customHeight="1" s="43"/>
    <row r="999" ht="15.75" customHeight="1" s="43"/>
    <row r="1000" ht="15.75" customHeight="1" s="43"/>
  </sheetData>
  <mergeCells count="2">
    <mergeCell ref="B3:D3"/>
    <mergeCell ref="B2:D2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2026-06-28T18:34:50Z</dcterms:created>
  <dcterms:modified xmlns:dcterms="http://purl.org/dc/terms/" xmlns:xsi="http://www.w3.org/2001/XMLSchema-instance" xsi:type="dcterms:W3CDTF">2026-06-28T18:34:50Z</dcterms:modified>
</cp:coreProperties>
</file>