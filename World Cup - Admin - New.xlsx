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5"/>
    <sheet state="visible" name="Real results" sheetId="2" r:id="rId6"/>
    <sheet state="visible" name="Raw data" sheetId="3" r:id="rId7"/>
    <sheet state="visible" name="Calculation" sheetId="4" r:id="rId8"/>
    <sheet state="visible" name="Standings" sheetId="5" r:id="rId9"/>
  </sheets>
  <definedNames/>
  <calcPr/>
</workbook>
</file>

<file path=xl/sharedStrings.xml><?xml version="1.0" encoding="utf-8"?>
<sst xmlns="http://schemas.openxmlformats.org/spreadsheetml/2006/main" count="1051" uniqueCount="498">
  <si>
    <t>WORLD CUP 2026 POOL - ADMIN</t>
  </si>
  <si>
    <t>WORKFLOW</t>
  </si>
  <si>
    <t>1.  Each participant sends you their file with the 'Admin export' tab filled in.</t>
  </si>
  <si>
    <t>2.  Open 'Raw data' and, for each participant, paste their Admin export columns C and D</t>
  </si>
  <si>
    <t xml:space="preserve">    into the matching participant slot (P1, P2, ...). Each participant takes TWO columns:</t>
  </si>
  <si>
    <t xml:space="preserve">    home goals + away goals (or value for non-score items).</t>
  </si>
  <si>
    <t>3.  Type the participant's real name in row 6 of the home column.</t>
  </si>
  <si>
    <t>4.  In 'Real results' fill in the actual match results as games are played.</t>
  </si>
  <si>
    <t>5.  'Calculation' and 'Standings' tabs update automatically.</t>
  </si>
  <si>
    <t>WORKS FOR BOTH OPTIONS</t>
  </si>
  <si>
    <t>Option 1 (all-in-one) and Option 2 (groups + knockouts separated) use the same</t>
  </si>
  <si>
    <t>export format, so this admin handles both seamlessly.</t>
  </si>
  <si>
    <t>SCORING SYSTEM</t>
  </si>
  <si>
    <t>GROUP STAGE</t>
  </si>
  <si>
    <t xml:space="preserve">    • Correct outcome (1/X/2):  2 pts   |   Exact score:  +2 pts extra</t>
  </si>
  <si>
    <t xml:space="preserve">    • Each correctly classified team:  1 pt   |   Group winner:  +2 pts extra</t>
  </si>
  <si>
    <t>KNOCKOUTS</t>
  </si>
  <si>
    <t xml:space="preserve">    • Correct outcome at 90' (1/X/2):  3 pts   |   Exact score at 90':  +2 pts extra   |   Penalties:  1 pt</t>
  </si>
  <si>
    <t xml:space="preserve">    • Round of 16:  1 pt   |   QF:  2 pts   |   SF:  4 pts   |   Finalist:  6 pts</t>
  </si>
  <si>
    <t xml:space="preserve">    • 3rd place:  4 pts   |   Runner-up:  8 pts   |   Champion:  12 pts</t>
  </si>
  <si>
    <t>AWARDS</t>
  </si>
  <si>
    <t xml:space="preserve">    • Top Scorer:  8 pts   |   Ballon d'Or:  8 pts</t>
  </si>
  <si>
    <t>REAL RESULTS</t>
  </si>
  <si>
    <t>Fill in the real results as matches are played. Score-type rows use two cells: Home and Away.</t>
  </si>
  <si>
    <t>Concept</t>
  </si>
  <si>
    <t>Home / Value</t>
  </si>
  <si>
    <t>Away</t>
  </si>
  <si>
    <t xml:space="preserve">  GROUP STAGE SCORES</t>
  </si>
  <si>
    <t>GA-M1: Mexico vs South Africa</t>
  </si>
  <si>
    <t>GA-M2: South Korea vs Czech Rep.</t>
  </si>
  <si>
    <t>GA-M3: Czech Rep. vs South Africa</t>
  </si>
  <si>
    <t>GA-M4: Mexico vs South Korea</t>
  </si>
  <si>
    <t>GA-M5: Czech Rep. vs Mexico</t>
  </si>
  <si>
    <t>GA-M6: South Africa vs South Korea</t>
  </si>
  <si>
    <t>GB-M1: Canada vs Bosnia-Herz.</t>
  </si>
  <si>
    <t>GB-M2: Qatar vs Switzerland</t>
  </si>
  <si>
    <t>GB-M3: Switzerland vs Bosnia-Herz.</t>
  </si>
  <si>
    <t>GB-M4: Canada vs Qatar</t>
  </si>
  <si>
    <t>GB-M5: Switzerland vs Canada</t>
  </si>
  <si>
    <t>GB-M6: Bosnia-Herz. vs Qatar</t>
  </si>
  <si>
    <t>GC-M1: Brazil vs Morocco</t>
  </si>
  <si>
    <t>GC-M2: Haiti vs Scotland</t>
  </si>
  <si>
    <t>GC-M3: Scotland vs Morocco</t>
  </si>
  <si>
    <t>GC-M4: Brazil vs Haiti</t>
  </si>
  <si>
    <t>GC-M5: Scotland vs Brazil</t>
  </si>
  <si>
    <t>GC-M6: Morocco vs Haiti</t>
  </si>
  <si>
    <t>GD-M1: USA vs Paraguay</t>
  </si>
  <si>
    <t>GD-M2: Australia vs Turkey</t>
  </si>
  <si>
    <t>GD-M3: Turkey vs Paraguay</t>
  </si>
  <si>
    <t>GD-M4: USA vs Australia</t>
  </si>
  <si>
    <t>GD-M5: Turkey vs USA</t>
  </si>
  <si>
    <t>GD-M6: Paraguay vs Australia</t>
  </si>
  <si>
    <t>GE-M1: Germany vs Curacao</t>
  </si>
  <si>
    <t>GE-M2: Ivory Coast vs Ecuador</t>
  </si>
  <si>
    <t>GE-M3: Germany vs Ivory Coast</t>
  </si>
  <si>
    <t>GE-M4: Ecuador vs Curacao</t>
  </si>
  <si>
    <t>GE-M5: Ecuador vs Germany</t>
  </si>
  <si>
    <t>GE-M6: Curacao vs Ivory Coast</t>
  </si>
  <si>
    <t>GF-M1: Netherlands vs Japan</t>
  </si>
  <si>
    <t>GF-M2: Tunisia vs Sweden</t>
  </si>
  <si>
    <t>GF-M2: Sweden vs Tunisia</t>
  </si>
  <si>
    <t>GF-M3: Japan vs Tunisia</t>
  </si>
  <si>
    <t>GF-M3: Netherlands vs Sweden</t>
  </si>
  <si>
    <t>GF-M4: Netherlands vs Sweden</t>
  </si>
  <si>
    <t>GF-M4: Tunisia vs Japan</t>
  </si>
  <si>
    <t>GF-M5: Japan vs Netherlands</t>
  </si>
  <si>
    <t>GF-M5: Japan vs Sweden</t>
  </si>
  <si>
    <t>GF-M6: Sweden vs Tunisia</t>
  </si>
  <si>
    <t>GF-M6: Tunisia vs Netherlands</t>
  </si>
  <si>
    <t>GG-M1: Belgium vs Egypt</t>
  </si>
  <si>
    <t>GG-M2: Iran vs New Zealand</t>
  </si>
  <si>
    <t>GG-M3: Belgium vs Iran</t>
  </si>
  <si>
    <t>GG-M4: New Zealand vs Egypt</t>
  </si>
  <si>
    <t>GG-M5: New Zealand vs Belgium</t>
  </si>
  <si>
    <t>GG-M6: Egypt vs Iran</t>
  </si>
  <si>
    <t>GH-M1: Spain vs Cape Verde</t>
  </si>
  <si>
    <t>GH-M2: Uruguay vs Saudi Arabia</t>
  </si>
  <si>
    <t>GH-M3: Spain vs Saudi Arabia</t>
  </si>
  <si>
    <t>GH-M4: Cape Verde vs Uruguay</t>
  </si>
  <si>
    <t>GH-M5: Saudi Arabia vs Cape Verde</t>
  </si>
  <si>
    <t>GH-M6: Uruguay vs Spain</t>
  </si>
  <si>
    <t>GI-M1: France vs Senegal</t>
  </si>
  <si>
    <t>GI-M2: Iraq vs Norway</t>
  </si>
  <si>
    <t>GI-M3: France vs Iraq</t>
  </si>
  <si>
    <t>GI-M4: Norway vs Senegal</t>
  </si>
  <si>
    <t>GI-M5: Norway vs France</t>
  </si>
  <si>
    <t>GI-M6: Senegal vs Iraq</t>
  </si>
  <si>
    <t>GJ-M1: Argentina vs Algeria</t>
  </si>
  <si>
    <t>GJ-M2: Austria vs Jordan</t>
  </si>
  <si>
    <t>GJ-M3: Argentina vs Austria</t>
  </si>
  <si>
    <t>GJ-M4: Jordan vs Algeria</t>
  </si>
  <si>
    <t>GJ-M5: Algeria vs Austria</t>
  </si>
  <si>
    <t>GJ-M6: Jordan vs Argentina</t>
  </si>
  <si>
    <t>GK-M1: Portugal vs DR Congo</t>
  </si>
  <si>
    <t>GK-M2: Uzbekistan vs Colombia</t>
  </si>
  <si>
    <t>GK-M3: Portugal vs Uzbekistan</t>
  </si>
  <si>
    <t>GK-M4: Colombia vs DR Congo</t>
  </si>
  <si>
    <t>GK-M5: Colombia vs Portugal</t>
  </si>
  <si>
    <t>GK-M6: DR Congo vs Uzbekistan</t>
  </si>
  <si>
    <t>GL-M1: England vs Croatia</t>
  </si>
  <si>
    <t>GL-M2: Ghana vs Panama</t>
  </si>
  <si>
    <t>GL-M3: England vs Ghana</t>
  </si>
  <si>
    <t>GL-M4: Panama vs Croatia</t>
  </si>
  <si>
    <t>GL-M5: Croatia vs Ghana</t>
  </si>
  <si>
    <t>GL-M6: Panama vs England</t>
  </si>
  <si>
    <t xml:space="preserve">  GROUP STANDINGS</t>
  </si>
  <si>
    <t>1st group A</t>
  </si>
  <si>
    <t>2nd group A</t>
  </si>
  <si>
    <t>3rd group A</t>
  </si>
  <si>
    <t>1st group B</t>
  </si>
  <si>
    <t>2nd group B</t>
  </si>
  <si>
    <t>3rd group B</t>
  </si>
  <si>
    <t>1st group C</t>
  </si>
  <si>
    <t>2nd group C</t>
  </si>
  <si>
    <t>3rd group C</t>
  </si>
  <si>
    <t>1st group D</t>
  </si>
  <si>
    <t>2nd group D</t>
  </si>
  <si>
    <t>3rd group D</t>
  </si>
  <si>
    <t>1st group E</t>
  </si>
  <si>
    <t>2nd group E</t>
  </si>
  <si>
    <t>3rd group E</t>
  </si>
  <si>
    <t>1st group F</t>
  </si>
  <si>
    <t>2nd group F</t>
  </si>
  <si>
    <t>3rd group F</t>
  </si>
  <si>
    <t>1st group G</t>
  </si>
  <si>
    <t>2nd group G</t>
  </si>
  <si>
    <t>3rd group G</t>
  </si>
  <si>
    <t>1st group H</t>
  </si>
  <si>
    <t>2nd group H</t>
  </si>
  <si>
    <t>3rd group H</t>
  </si>
  <si>
    <t>1st group I</t>
  </si>
  <si>
    <t>2nd group I</t>
  </si>
  <si>
    <t>3rd group I</t>
  </si>
  <si>
    <t>1st group J</t>
  </si>
  <si>
    <t>2nd group J</t>
  </si>
  <si>
    <t>3rd group J</t>
  </si>
  <si>
    <t>1st group K</t>
  </si>
  <si>
    <t>2nd group K</t>
  </si>
  <si>
    <t>3rd group K</t>
  </si>
  <si>
    <t>1st group L</t>
  </si>
  <si>
    <t>2nd group L</t>
  </si>
  <si>
    <t>3rd group L</t>
  </si>
  <si>
    <t xml:space="preserve">  8 BEST THIRDS</t>
  </si>
  <si>
    <t>3-1</t>
  </si>
  <si>
    <t>3-2</t>
  </si>
  <si>
    <t>3-3</t>
  </si>
  <si>
    <t>3-4</t>
  </si>
  <si>
    <t>3-5</t>
  </si>
  <si>
    <t>3-6</t>
  </si>
  <si>
    <t>3-7</t>
  </si>
  <si>
    <t>3-8</t>
  </si>
  <si>
    <t xml:space="preserve">  ROUND OF 32</t>
  </si>
  <si>
    <t>R32-M1 score: Germany vs Paraguay</t>
  </si>
  <si>
    <t>R32-M1 tiebreaker (no points)</t>
  </si>
  <si>
    <t>R32-M1 winner: Germany vs Paraguay</t>
  </si>
  <si>
    <t>R32-M2 score: France vs Sweden</t>
  </si>
  <si>
    <t>R32-M2 tiebreaker (no points)</t>
  </si>
  <si>
    <t>R32-M2 winner: France vs Sweden</t>
  </si>
  <si>
    <t>R32-M3 score: South Africa vs Canada</t>
  </si>
  <si>
    <t>R32-M3 tiebreaker (no points)</t>
  </si>
  <si>
    <t>R32-M3 winner: South Africa vs Canada</t>
  </si>
  <si>
    <t>R32-M4 score: Netherlands vs Morocco</t>
  </si>
  <si>
    <t>R32-M4 tiebreaker (no points)</t>
  </si>
  <si>
    <t>R32-M4 winner: Netherlands vs Morocco</t>
  </si>
  <si>
    <t>R32-M5 score: Portugal vs Croatia</t>
  </si>
  <si>
    <t>R32-M5 tiebreaker (no points)</t>
  </si>
  <si>
    <t>R32-M5 winner: Portugal vs Croatia</t>
  </si>
  <si>
    <t>R32-M6 score: Spain vs Austria</t>
  </si>
  <si>
    <t>R32-M6 tiebreaker (no points)</t>
  </si>
  <si>
    <t>R32-M6 winner: Spain vs Austria</t>
  </si>
  <si>
    <t>R32-M7 score: USA vs Bosnia-Herz.</t>
  </si>
  <si>
    <t>R32-M7 tiebreaker (no points)</t>
  </si>
  <si>
    <t>R32-M7 winner: USA vs Bosnia-Herz.</t>
  </si>
  <si>
    <t>R32-M8 score: Belgium vs Senegal</t>
  </si>
  <si>
    <t>R32-M8 tiebreaker (no points)</t>
  </si>
  <si>
    <t>R32-M8 winner: Belgium vs Senegal</t>
  </si>
  <si>
    <t>R32-M9 score: Brazil vs Japan</t>
  </si>
  <si>
    <t>R32-M9 tiebreaker (no points)</t>
  </si>
  <si>
    <t>R32-M9 winner: Brazil vs Japan</t>
  </si>
  <si>
    <t>R32-M10 score: Ivory Coast vs Norway</t>
  </si>
  <si>
    <t>R32-M10 tiebreaker (no points)</t>
  </si>
  <si>
    <t>R32-M10 winner: Ivory Coast vs Norway</t>
  </si>
  <si>
    <t>R32-M11 score: Mexico vs Ecuador</t>
  </si>
  <si>
    <t>R32-M11 tiebreaker (no points)</t>
  </si>
  <si>
    <t>R32-M11 winner: Mexico vs Ecuador</t>
  </si>
  <si>
    <t>R32-M12 score: England vs DR Congo</t>
  </si>
  <si>
    <t>R32-M12 tiebreaker (no points)</t>
  </si>
  <si>
    <t>R32-M12 winner: England vs DR Congo</t>
  </si>
  <si>
    <t>R32-M13 score: Argentina vs Cabo Verde</t>
  </si>
  <si>
    <t>R32-M13 tiebreaker (no points)</t>
  </si>
  <si>
    <t>R32-M13 winner: Argentina vs Cabo Verde</t>
  </si>
  <si>
    <t>R32-M14 score: Australia vs Egypt</t>
  </si>
  <si>
    <t>R32-M14 tiebreaker (no points)</t>
  </si>
  <si>
    <t>R32-M14 winner: Australia vs Egypt</t>
  </si>
  <si>
    <t>R32-M15 score: Switzerland vs Algeria</t>
  </si>
  <si>
    <t>R32-M15 tiebreaker (no points)</t>
  </si>
  <si>
    <t>R32-M15 winner: Switzerland vs Algeria</t>
  </si>
  <si>
    <t>R32-M16 score: Colombia vs Ghana</t>
  </si>
  <si>
    <t>R32-M16 tiebreaker (no points)</t>
  </si>
  <si>
    <t>R32-M16 winner: Colombia vs Ghana</t>
  </si>
  <si>
    <t xml:space="preserve">  ROUND OF 16</t>
  </si>
  <si>
    <t>R16-M1 score</t>
  </si>
  <si>
    <t>R16-M1 tiebreaker (no points)</t>
  </si>
  <si>
    <t>R16-M1 winner</t>
  </si>
  <si>
    <t>R16-M2 score</t>
  </si>
  <si>
    <t>R16-M2 tiebreaker (no points)</t>
  </si>
  <si>
    <t>R16-M2 winner</t>
  </si>
  <si>
    <t>R16-M3 score</t>
  </si>
  <si>
    <t>R16-M3 tiebreaker (no points)</t>
  </si>
  <si>
    <t>R16-M3 winner</t>
  </si>
  <si>
    <t>R16-M4 score</t>
  </si>
  <si>
    <t>R16-M4 tiebreaker (no points)</t>
  </si>
  <si>
    <t>R16-M4 winner</t>
  </si>
  <si>
    <t>R16-M5 score</t>
  </si>
  <si>
    <t>R16-M5 tiebreaker (no points)</t>
  </si>
  <si>
    <t>R16-M5 winner</t>
  </si>
  <si>
    <t>R16-M6 score</t>
  </si>
  <si>
    <t>R16-M6 tiebreaker (no points)</t>
  </si>
  <si>
    <t>R16-M6 winner</t>
  </si>
  <si>
    <t>R16-M7 score</t>
  </si>
  <si>
    <t>R16-M7 tiebreaker (no points)</t>
  </si>
  <si>
    <t>R16-M7 winner</t>
  </si>
  <si>
    <t>R16-M8 score</t>
  </si>
  <si>
    <t>R16-M8 tiebreaker (no points)</t>
  </si>
  <si>
    <t>R16-M8 winner</t>
  </si>
  <si>
    <t xml:space="preserve">  QUARTER-FINALS</t>
  </si>
  <si>
    <t>QF-M1 score</t>
  </si>
  <si>
    <t>QF-M1 tiebreaker (no points)</t>
  </si>
  <si>
    <t>QF-M1 winner</t>
  </si>
  <si>
    <t>QF-M2 score</t>
  </si>
  <si>
    <t>QF-M2 tiebreaker (no points)</t>
  </si>
  <si>
    <t>QF-M2 winner</t>
  </si>
  <si>
    <t>QF-M3 score</t>
  </si>
  <si>
    <t>QF-M3 tiebreaker (no points)</t>
  </si>
  <si>
    <t>QF-M3 winner</t>
  </si>
  <si>
    <t>QF-M4 score</t>
  </si>
  <si>
    <t>QF-M4 tiebreaker (no points)</t>
  </si>
  <si>
    <t>QF-M4 winner</t>
  </si>
  <si>
    <t xml:space="preserve">  SEMI-FINALS</t>
  </si>
  <si>
    <t>SF-M1 score</t>
  </si>
  <si>
    <t>SF-M1 tiebreaker (no points)</t>
  </si>
  <si>
    <t>SF-M1 winner</t>
  </si>
  <si>
    <t>SF-M2 score</t>
  </si>
  <si>
    <t>SF-M2 tiebreaker (no points)</t>
  </si>
  <si>
    <t>SF-M2 winner</t>
  </si>
  <si>
    <t xml:space="preserve">  3RD PLACE &amp; FINAL</t>
  </si>
  <si>
    <t>3rd place score</t>
  </si>
  <si>
    <t>3rd place tiebreaker (no points)</t>
  </si>
  <si>
    <t>3rd place (team)</t>
  </si>
  <si>
    <t>Final score</t>
  </si>
  <si>
    <t>Final tiebreaker (no points)</t>
  </si>
  <si>
    <t>CHAMPION</t>
  </si>
  <si>
    <t>RUNNER-UP</t>
  </si>
  <si>
    <t xml:space="preserve">  AWARDS</t>
  </si>
  <si>
    <t>Top Scorer</t>
  </si>
  <si>
    <t>Ballon d'Or</t>
  </si>
  <si>
    <t>RAW DATA - paste participant exports here</t>
  </si>
  <si>
    <t>Each participant takes TWO columns. Paste their 'Admin export' columns C and D into their slot. Row 6 holds their real name (in the Home column of each pair).</t>
  </si>
  <si>
    <t>CONCEPT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</si>
  <si>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</si>
  <si>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</si>
  <si>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</si>
  <si>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</si>
  <si>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</si>
  <si>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</si>
  <si>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</si>
  <si>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</si>
  <si>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</si>
  <si>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</si>
  <si>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</si>
  <si>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</si>
  <si>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</si>
  <si>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</si>
  <si>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</si>
  <si>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</si>
  <si>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</si>
  <si>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</si>
  <si>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</si>
  <si>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</si>
  <si>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</si>
  <si>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</si>
  <si>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</si>
  <si>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</si>
  <si>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</si>
  <si>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</si>
  <si>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</si>
  <si>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</si>
  <si>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</si>
  <si>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</si>
  <si>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Matt</t>
  </si>
  <si>
    <t>Fer</t>
  </si>
  <si>
    <t>Pano</t>
  </si>
  <si>
    <t>Tere</t>
  </si>
  <si>
    <t>Jose</t>
  </si>
  <si>
    <t>Mexico</t>
  </si>
  <si>
    <t>Czech Rep.</t>
  </si>
  <si>
    <t>South Korea</t>
  </si>
  <si>
    <t>Canada</t>
  </si>
  <si>
    <t>Switzerland</t>
  </si>
  <si>
    <t>Bosnia-Herz.</t>
  </si>
  <si>
    <t>Qatar</t>
  </si>
  <si>
    <t>Brazil</t>
  </si>
  <si>
    <t>Morocco</t>
  </si>
  <si>
    <t>Scotland</t>
  </si>
  <si>
    <t>USA</t>
  </si>
  <si>
    <t>Turkey</t>
  </si>
  <si>
    <t>Paraguay</t>
  </si>
  <si>
    <t>Australia</t>
  </si>
  <si>
    <t>Germany</t>
  </si>
  <si>
    <t>Ecuador</t>
  </si>
  <si>
    <t>Ivory Coast</t>
  </si>
  <si>
    <t>Tunisia</t>
  </si>
  <si>
    <t>Netherlands</t>
  </si>
  <si>
    <t>Japan</t>
  </si>
  <si>
    <t>Belgium</t>
  </si>
  <si>
    <t>Egypt</t>
  </si>
  <si>
    <t>Iran</t>
  </si>
  <si>
    <t>Spain</t>
  </si>
  <si>
    <t>Uruguay</t>
  </si>
  <si>
    <t>Saudi Arabia</t>
  </si>
  <si>
    <t>France</t>
  </si>
  <si>
    <t>Senegal</t>
  </si>
  <si>
    <t>Norway</t>
  </si>
  <si>
    <t>Argentina</t>
  </si>
  <si>
    <t>Austria</t>
  </si>
  <si>
    <t>Algeria</t>
  </si>
  <si>
    <t>Portugal</t>
  </si>
  <si>
    <t>Colombia</t>
  </si>
  <si>
    <t>Uzbekistan</t>
  </si>
  <si>
    <t>DR Congo</t>
  </si>
  <si>
    <t>England</t>
  </si>
  <si>
    <t>Croatia</t>
  </si>
  <si>
    <t>Ghana</t>
  </si>
  <si>
    <t>POINTS CALCULATION (automatic)</t>
  </si>
  <si>
    <t>JE</t>
  </si>
  <si>
    <t>GROUP STAGE MATCHES</t>
  </si>
  <si>
    <t>Subtotal group matches</t>
  </si>
  <si>
    <t>GROUP STANDINGS</t>
  </si>
  <si>
    <t>Group A - 1st</t>
  </si>
  <si>
    <t>Group A - 2nd</t>
  </si>
  <si>
    <t>Group A - 3rd</t>
  </si>
  <si>
    <t>Group B - 1st</t>
  </si>
  <si>
    <t>Group B - 2nd</t>
  </si>
  <si>
    <t>Group B - 3rd</t>
  </si>
  <si>
    <t>Group C - 1st</t>
  </si>
  <si>
    <t>Group C - 2nd</t>
  </si>
  <si>
    <t>Group C - 3rd</t>
  </si>
  <si>
    <t>Group D - 1st</t>
  </si>
  <si>
    <t>Group D - 2nd</t>
  </si>
  <si>
    <t>Group D - 3rd</t>
  </si>
  <si>
    <t>Group E - 1st</t>
  </si>
  <si>
    <t>Group E - 2nd</t>
  </si>
  <si>
    <t>Group E - 3rd</t>
  </si>
  <si>
    <t>Group F - 1st</t>
  </si>
  <si>
    <t>Group F - 2nd</t>
  </si>
  <si>
    <t>Group F - 3rd</t>
  </si>
  <si>
    <t>Group G - 1st</t>
  </si>
  <si>
    <t>Group G - 2nd</t>
  </si>
  <si>
    <t>Group G - 3rd</t>
  </si>
  <si>
    <t>Group H - 1st</t>
  </si>
  <si>
    <t>Group H - 2nd</t>
  </si>
  <si>
    <t>Group H - 3rd</t>
  </si>
  <si>
    <t>Group I - 1st</t>
  </si>
  <si>
    <t>Group I - 2nd</t>
  </si>
  <si>
    <t>Group I - 3rd</t>
  </si>
  <si>
    <t>Group J - 1st</t>
  </si>
  <si>
    <t>Group J - 2nd</t>
  </si>
  <si>
    <t>Group J - 3rd</t>
  </si>
  <si>
    <t>Group K - 1st</t>
  </si>
  <si>
    <t>Group K - 2nd</t>
  </si>
  <si>
    <t>Group K - 3rd</t>
  </si>
  <si>
    <t>Group L - 1st</t>
  </si>
  <si>
    <t>Group L - 2nd</t>
  </si>
  <si>
    <t>Group L - 3rd</t>
  </si>
  <si>
    <t>Subtotal standings</t>
  </si>
  <si>
    <t>8 BEST THIRDS</t>
  </si>
  <si>
    <t>Third 3-1</t>
  </si>
  <si>
    <t>Third 3-2</t>
  </si>
  <si>
    <t>Third 3-3</t>
  </si>
  <si>
    <t>Third 3-4</t>
  </si>
  <si>
    <t>Third 3-5</t>
  </si>
  <si>
    <t>Third 3-6</t>
  </si>
  <si>
    <t>Third 3-7</t>
  </si>
  <si>
    <t>Third 3-8</t>
  </si>
  <si>
    <t>Subtotal thirds</t>
  </si>
  <si>
    <t>ROUND OF 32</t>
  </si>
  <si>
    <t>ROUND OF 32 M1 score</t>
  </si>
  <si>
    <t>ROUND OF 32 M1 tiebreaker (no points)</t>
  </si>
  <si>
    <t>ROUND OF 32 M1 advances</t>
  </si>
  <si>
    <t>ROUND OF 32 M2 score</t>
  </si>
  <si>
    <t>ROUND OF 32 M2 tiebreaker (no points)</t>
  </si>
  <si>
    <t>ROUND OF 32 M2 advances</t>
  </si>
  <si>
    <t>ROUND OF 32 M3 score</t>
  </si>
  <si>
    <t>ROUND OF 32 M3 tiebreaker (no points)</t>
  </si>
  <si>
    <t>ROUND OF 32 M3 advances</t>
  </si>
  <si>
    <t>ROUND OF 32 M4 score</t>
  </si>
  <si>
    <t>ROUND OF 32 M4 tiebreaker (no points)</t>
  </si>
  <si>
    <t>ROUND OF 32 M4 advances</t>
  </si>
  <si>
    <t>ROUND OF 32 M5 score</t>
  </si>
  <si>
    <t>ROUND OF 32 M5 tiebreaker (no points)</t>
  </si>
  <si>
    <t>ROUND OF 32 M5 advances</t>
  </si>
  <si>
    <t>ROUND OF 32 M6 score</t>
  </si>
  <si>
    <t>ROUND OF 32 M6 tiebreaker (no points)</t>
  </si>
  <si>
    <t>ROUND OF 32 M6 advances</t>
  </si>
  <si>
    <t>ROUND OF 32 M7 score</t>
  </si>
  <si>
    <t>ROUND OF 32 M7 tiebreaker (no points)</t>
  </si>
  <si>
    <t>ROUND OF 32 M7 advances</t>
  </si>
  <si>
    <t>ROUND OF 32 M8 score</t>
  </si>
  <si>
    <t>ROUND OF 32 M8 tiebreaker (no points)</t>
  </si>
  <si>
    <t>ROUND OF 32 M8 advances</t>
  </si>
  <si>
    <t>ROUND OF 32 M9 score</t>
  </si>
  <si>
    <t>ROUND OF 32 M9 tiebreaker (no points)</t>
  </si>
  <si>
    <t>ROUND OF 32 M9 advances</t>
  </si>
  <si>
    <t>ROUND OF 32 M10 score</t>
  </si>
  <si>
    <t>ROUND OF 32 M10 tiebreaker (no points)</t>
  </si>
  <si>
    <t>ROUND OF 32 M10 advances</t>
  </si>
  <si>
    <t>ROUND OF 32 M11 score</t>
  </si>
  <si>
    <t>ROUND OF 32 M11 tiebreaker (no points)</t>
  </si>
  <si>
    <t>ROUND OF 32 M11 advances</t>
  </si>
  <si>
    <t>ROUND OF 32 M12 score</t>
  </si>
  <si>
    <t>ROUND OF 32 M12 tiebreaker (no points)</t>
  </si>
  <si>
    <t>ROUND OF 32 M12 advances</t>
  </si>
  <si>
    <t>ROUND OF 32 M13 score</t>
  </si>
  <si>
    <t>ROUND OF 32 M13 tiebreaker (no points)</t>
  </si>
  <si>
    <t>ROUND OF 32 M13 advances</t>
  </si>
  <si>
    <t>ROUND OF 32 M14 score</t>
  </si>
  <si>
    <t>ROUND OF 32 M14 tiebreaker (no points)</t>
  </si>
  <si>
    <t>ROUND OF 32 M14 advances</t>
  </si>
  <si>
    <t>ROUND OF 32 M15 score</t>
  </si>
  <si>
    <t>ROUND OF 32 M15 tiebreaker (no points)</t>
  </si>
  <si>
    <t>ROUND OF 32 M15 advances</t>
  </si>
  <si>
    <t>ROUND OF 32 M16 score</t>
  </si>
  <si>
    <t>ROUND OF 32 M16 tiebreaker (no points)</t>
  </si>
  <si>
    <t>ROUND OF 32 M16 advances</t>
  </si>
  <si>
    <t>Subtotal round of 32</t>
  </si>
  <si>
    <t>ROUND OF 16</t>
  </si>
  <si>
    <t>ROUND OF 16 M1 score</t>
  </si>
  <si>
    <t>ROUND OF 16 M1 tiebreaker (no points)</t>
  </si>
  <si>
    <t>ROUND OF 16 M1 advances</t>
  </si>
  <si>
    <t>ROUND OF 16 M2 score</t>
  </si>
  <si>
    <t>ROUND OF 16 M2 tiebreaker (no points)</t>
  </si>
  <si>
    <t>ROUND OF 16 M2 advances</t>
  </si>
  <si>
    <t>ROUND OF 16 M3 score</t>
  </si>
  <si>
    <t>ROUND OF 16 M3 tiebreaker (no points)</t>
  </si>
  <si>
    <t>ROUND OF 16 M3 advances</t>
  </si>
  <si>
    <t>ROUND OF 16 M4 score</t>
  </si>
  <si>
    <t>ROUND OF 16 M4 tiebreaker (no points)</t>
  </si>
  <si>
    <t>ROUND OF 16 M4 advances</t>
  </si>
  <si>
    <t>ROUND OF 16 M5 score</t>
  </si>
  <si>
    <t>ROUND OF 16 M5 tiebreaker (no points)</t>
  </si>
  <si>
    <t>ROUND OF 16 M5 advances</t>
  </si>
  <si>
    <t>ROUND OF 16 M6 score</t>
  </si>
  <si>
    <t>ROUND OF 16 M6 tiebreaker (no points)</t>
  </si>
  <si>
    <t>ROUND OF 16 M6 advances</t>
  </si>
  <si>
    <t>ROUND OF 16 M7 score</t>
  </si>
  <si>
    <t>ROUND OF 16 M7 tiebreaker (no points)</t>
  </si>
  <si>
    <t>ROUND OF 16 M7 advances</t>
  </si>
  <si>
    <t>ROUND OF 16 M8 score</t>
  </si>
  <si>
    <t>ROUND OF 16 M8 tiebreaker (no points)</t>
  </si>
  <si>
    <t>ROUND OF 16 M8 advances</t>
  </si>
  <si>
    <t>Subtotal round of 16</t>
  </si>
  <si>
    <t>QUARTER-FINALS</t>
  </si>
  <si>
    <t>QUARTER-FINALS M1 score</t>
  </si>
  <si>
    <t>QUARTER-FINALS M1 tiebreaker (no points)</t>
  </si>
  <si>
    <t>QUARTER-FINALS M1 advances</t>
  </si>
  <si>
    <t>QUARTER-FINALS M2 score</t>
  </si>
  <si>
    <t>QUARTER-FINALS M2 tiebreaker (no points)</t>
  </si>
  <si>
    <t>QUARTER-FINALS M2 advances</t>
  </si>
  <si>
    <t>QUARTER-FINALS M3 score</t>
  </si>
  <si>
    <t>QUARTER-FINALS M3 tiebreaker (no points)</t>
  </si>
  <si>
    <t>QUARTER-FINALS M3 advances</t>
  </si>
  <si>
    <t>QUARTER-FINALS M4 score</t>
  </si>
  <si>
    <t>QUARTER-FINALS M4 tiebreaker (no points)</t>
  </si>
  <si>
    <t>QUARTER-FINALS M4 advances</t>
  </si>
  <si>
    <t>Subtotal quarter-finals</t>
  </si>
  <si>
    <t>SEMI-FINALS</t>
  </si>
  <si>
    <t>SEMI-FINALS M1 score</t>
  </si>
  <si>
    <t>SEMI-FINALS M1 tiebreaker (no points)</t>
  </si>
  <si>
    <t>SEMI-FINALS M1 advances</t>
  </si>
  <si>
    <t>SEMI-FINALS M2 score</t>
  </si>
  <si>
    <t>SEMI-FINALS M2 tiebreaker (no points)</t>
  </si>
  <si>
    <t>SEMI-FINALS M2 advances</t>
  </si>
  <si>
    <t>Subtotal semi-finals</t>
  </si>
  <si>
    <t>3RD PLACE &amp; FINAL</t>
  </si>
  <si>
    <t>Champion</t>
  </si>
  <si>
    <t>Runner-up</t>
  </si>
  <si>
    <t>Subtotal final/3rd</t>
  </si>
  <si>
    <t>Subtotal awards</t>
  </si>
  <si>
    <t>TOTAL</t>
  </si>
  <si>
    <t>POOL STANDINGS</t>
  </si>
  <si>
    <t>Live ranking — updates automatically as you fill in Real results.</t>
  </si>
  <si>
    <t>Helper zone (do not edit)</t>
  </si>
  <si>
    <t>POS</t>
  </si>
  <si>
    <t>PARTICIPANT</t>
  </si>
  <si>
    <t>POINTS</t>
  </si>
  <si>
    <t>Helper: Name</t>
  </si>
  <si>
    <t>Helper: Pts</t>
  </si>
  <si>
    <t>Helper: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</si>
</sst>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22.0"/>
      <color rgb="FF5BE066"/>
      <name val="Georgia"/>
    </font>
    <font/>
    <font>
      <b/>
      <sz val="14.0"/>
      <color rgb="FF0A2E0A"/>
      <name val="Georgia"/>
    </font>
    <font>
      <sz val="10.0"/>
      <color rgb="FF4A4A47"/>
      <name val="Helvetica Neue"/>
    </font>
    <font>
      <b/>
      <sz val="11.0"/>
      <color rgb="FF0A2E0A"/>
      <name val="Courier New"/>
    </font>
    <font>
      <b/>
      <sz val="18.0"/>
      <color rgb="FF0A2E0A"/>
      <name val="Georgia"/>
    </font>
    <font>
      <i/>
      <sz val="10.0"/>
      <color rgb="FF4A4A47"/>
      <name val="Helvetica Neue"/>
    </font>
    <font>
      <b/>
      <sz val="9.0"/>
      <color rgb="FFFFFFFF"/>
      <name val="Courier New"/>
    </font>
    <font>
      <b/>
      <sz val="11.0"/>
      <color rgb="FF0A2E0A"/>
      <name val="Helvetica Neue"/>
    </font>
    <font>
      <sz val="11.0"/>
      <color theme="1"/>
      <name val="Calibri"/>
    </font>
    <font>
      <sz val="9.0"/>
      <color rgb="FF4A4A47"/>
      <name val="Helvetica Neue"/>
    </font>
    <font>
      <b/>
      <sz val="11.0"/>
      <color rgb="FFE07B3D"/>
      <name val="Helvetica Neue"/>
    </font>
    <font>
      <b/>
      <sz val="15.0"/>
      <color rgb="FF0A2E0A"/>
      <name val="Georgia"/>
    </font>
    <font>
      <b/>
      <sz val="10.0"/>
      <color rgb="FFFFFFFF"/>
      <name val="Helvetica Neue"/>
    </font>
    <font>
      <b/>
      <sz val="10.0"/>
      <color rgb="FF0A2E0A"/>
      <name val="Helvetica Neue"/>
    </font>
    <font>
      <sz val="9.0"/>
      <color rgb="FF0A2E0A"/>
      <name val="Helvetica Neue"/>
    </font>
    <font>
      <b/>
      <sz val="9.0"/>
      <color rgb="FFFFFFFF"/>
      <name val="Helvetica Neue"/>
    </font>
    <font>
      <b/>
      <sz val="13.0"/>
      <color rgb="FFFFFFFF"/>
      <name val="Georgia"/>
    </font>
    <font>
      <b/>
      <sz val="13.0"/>
      <color rgb="FF5BE066"/>
      <name val="Georgia"/>
    </font>
    <font>
      <b/>
      <sz val="20.0"/>
      <color rgb="FF0A2E0A"/>
      <name val="Georgia"/>
    </font>
    <font>
      <i/>
      <sz val="8.0"/>
      <color rgb="FFA8A8A4"/>
      <name val="Helvetica Neue"/>
    </font>
    <font>
      <b/>
      <sz val="12.0"/>
      <color rgb="FF0A2E0A"/>
      <name val="Helvetica Neue"/>
    </font>
    <font>
      <sz val="8.0"/>
      <color rgb="FFA8A8A4"/>
      <name val="Helvetica Neue"/>
    </font>
    <font>
      <sz val="11.0"/>
      <color rgb="FF0A2E0A"/>
      <name val="Helvetica Neue"/>
    </font>
  </fonts>
  <fills count="14">
    <fill>
      <patternFill patternType="none"/>
    </fill>
    <fill>
      <patternFill patternType="lightGray"/>
    </fill>
    <fill>
      <patternFill patternType="solid">
        <fgColor rgb="FF0A2E0A"/>
        <bgColor rgb="FF0A2E0A"/>
      </patternFill>
    </fill>
    <fill>
      <patternFill patternType="solid">
        <fgColor rgb="FF5BE066"/>
        <bgColor rgb="FF5BE066"/>
      </patternFill>
    </fill>
    <fill>
      <patternFill patternType="solid">
        <fgColor rgb="FFF4F4F2"/>
        <bgColor rgb="FFF4F4F2"/>
      </patternFill>
    </fill>
    <fill>
      <patternFill patternType="solid">
        <fgColor rgb="FFFCE5D3"/>
        <bgColor rgb="FFFCE5D3"/>
      </patternFill>
    </fill>
    <fill>
      <patternFill patternType="solid">
        <fgColor rgb="FFFFF8E7"/>
        <bgColor rgb="FFFFF8E7"/>
      </patternFill>
    </fill>
    <fill>
      <patternFill patternType="solid">
        <fgColor rgb="FFE8F8E8"/>
        <bgColor rgb="FFE8F8E8"/>
      </patternFill>
    </fill>
    <fill>
      <patternFill patternType="solid">
        <fgColor rgb="FFF7E78A"/>
        <bgColor rgb="FFF7E78A"/>
      </patternFill>
    </fill>
    <fill>
      <patternFill patternType="solid">
        <fgColor rgb="FFFBF5C8"/>
        <bgColor rgb="FFFBF5C8"/>
      </patternFill>
    </fill>
    <fill>
      <patternFill patternType="solid">
        <fgColor rgb="FFE0E0E0"/>
        <bgColor rgb="FFE0E0E0"/>
      </patternFill>
    </fill>
    <fill>
      <patternFill patternType="solid">
        <fgColor rgb="FFF0F0F0"/>
        <bgColor rgb="FFF0F0F0"/>
      </patternFill>
    </fill>
    <fill>
      <patternFill patternType="solid">
        <fgColor rgb="FFE8C99B"/>
        <bgColor rgb="FFE8C99B"/>
      </patternFill>
    </fill>
    <fill>
      <patternFill patternType="solid">
        <fgColor rgb="FFF4E5CD"/>
        <bgColor rgb="FFF4E5CD"/>
      </patternFill>
    </fill>
  </fills>
  <borders count="12">
    <border/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medium">
        <color rgb="FF0A2E0A"/>
      </left>
      <right style="medium">
        <color rgb="FF0A2E0A"/>
      </right>
      <top style="medium">
        <color rgb="FF0A2E0A"/>
      </top>
      <bottom style="medium">
        <color rgb="FF0A2E0A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/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/>
      <right style="thin">
        <color rgb="FFC8C8C8"/>
      </righ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5" fillId="2" fontId="8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left" shrinkToFit="0" vertical="center" wrapText="0"/>
    </xf>
    <xf borderId="5" fillId="3" fontId="10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left" shrinkToFit="0" vertical="center" wrapText="0"/>
    </xf>
    <xf borderId="6" fillId="5" fontId="12" numFmtId="1" xfId="0" applyAlignment="1" applyBorder="1" applyFill="1" applyFont="1" applyNumberFormat="1">
      <alignment horizontal="center"/>
    </xf>
    <xf borderId="5" fillId="0" fontId="11" numFmtId="0" xfId="0" applyBorder="1" applyFont="1"/>
    <xf borderId="0" fillId="0" fontId="10" numFmtId="0" xfId="0" applyAlignment="1" applyFont="1">
      <alignment horizontal="center" vertical="bottom"/>
    </xf>
    <xf borderId="6" fillId="5" fontId="12" numFmtId="1" xfId="0" applyAlignment="1" applyBorder="1" applyFont="1" applyNumberFormat="1">
      <alignment horizontal="center" readingOrder="0" shrinkToFit="0" vertical="center" wrapText="0"/>
    </xf>
    <xf borderId="6" fillId="5" fontId="12" numFmtId="0" xfId="0" applyAlignment="1" applyBorder="1" applyFont="1">
      <alignment horizontal="center" shrinkToFit="0" vertical="center" wrapText="0"/>
    </xf>
    <xf borderId="5" fillId="0" fontId="10" numFmtId="0" xfId="0" applyAlignment="1" applyBorder="1" applyFont="1">
      <alignment shrinkToFit="0" vertical="bottom" wrapText="0"/>
    </xf>
    <xf borderId="6" fillId="5" fontId="12" numFmtId="1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1"/>
    </xf>
    <xf borderId="5" fillId="2" fontId="14" numFmtId="0" xfId="0" applyAlignment="1" applyBorder="1" applyFont="1">
      <alignment horizontal="center" shrinkToFit="0" vertical="center" wrapText="0"/>
    </xf>
    <xf borderId="7" fillId="2" fontId="14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9" fillId="3" fontId="15" numFmtId="0" xfId="0" applyAlignment="1" applyBorder="1" applyFont="1">
      <alignment horizontal="center" shrinkToFit="0" vertical="center" wrapText="0"/>
    </xf>
    <xf borderId="10" fillId="3" fontId="15" numFmtId="0" xfId="0" applyAlignment="1" applyBorder="1" applyFont="1">
      <alignment horizontal="center" shrinkToFit="0" vertical="center" wrapText="0"/>
    </xf>
    <xf borderId="7" fillId="3" fontId="15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5" fillId="6" fontId="16" numFmtId="1" xfId="0" applyAlignment="1" applyBorder="1" applyFill="1" applyFont="1" applyNumberFormat="1">
      <alignment horizontal="center" shrinkToFit="0" vertical="center" wrapText="0"/>
    </xf>
    <xf borderId="5" fillId="6" fontId="16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readingOrder="0" shrinkToFit="0" vertical="center" wrapText="0"/>
    </xf>
    <xf borderId="5" fillId="3" fontId="15" numFmtId="0" xfId="0" applyAlignment="1" applyBorder="1" applyFont="1">
      <alignment horizontal="left"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5" fillId="7" fontId="15" numFmtId="0" xfId="0" applyAlignment="1" applyBorder="1" applyFill="1" applyFont="1">
      <alignment horizontal="right" shrinkToFit="0" vertical="center" wrapText="0"/>
    </xf>
    <xf borderId="5" fillId="7" fontId="15" numFmtId="0" xfId="0" applyAlignment="1" applyBorder="1" applyFont="1">
      <alignment horizontal="center" shrinkToFit="0" vertical="center" wrapText="0"/>
    </xf>
    <xf borderId="6" fillId="2" fontId="18" numFmtId="0" xfId="0" applyAlignment="1" applyBorder="1" applyFont="1">
      <alignment horizontal="right" shrinkToFit="0" vertical="center" wrapText="0"/>
    </xf>
    <xf borderId="6" fillId="2" fontId="1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1" numFmtId="0" xfId="0" applyAlignment="1" applyFont="1">
      <alignment shrinkToFit="0" vertical="bottom" wrapText="0"/>
    </xf>
    <xf borderId="5" fillId="8" fontId="9" numFmtId="0" xfId="0" applyAlignment="1" applyBorder="1" applyFill="1" applyFont="1">
      <alignment horizontal="center" shrinkToFit="0" vertical="center" wrapText="0"/>
    </xf>
    <xf borderId="5" fillId="9" fontId="9" numFmtId="0" xfId="0" applyAlignment="1" applyBorder="1" applyFill="1" applyFont="1">
      <alignment horizontal="left" shrinkToFit="0" vertical="center" wrapText="0"/>
    </xf>
    <xf borderId="5" fillId="9" fontId="22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5" fillId="10" fontId="9" numFmtId="0" xfId="0" applyAlignment="1" applyBorder="1" applyFill="1" applyFont="1">
      <alignment horizontal="center" shrinkToFit="0" vertical="center" wrapText="0"/>
    </xf>
    <xf borderId="5" fillId="11" fontId="9" numFmtId="0" xfId="0" applyAlignment="1" applyBorder="1" applyFill="1" applyFont="1">
      <alignment horizontal="left" shrinkToFit="0" vertical="center" wrapText="0"/>
    </xf>
    <xf borderId="5" fillId="11" fontId="22" numFmtId="0" xfId="0" applyAlignment="1" applyBorder="1" applyFont="1">
      <alignment horizontal="center" shrinkToFit="0" vertical="center" wrapText="0"/>
    </xf>
    <xf borderId="5" fillId="12" fontId="9" numFmtId="0" xfId="0" applyAlignment="1" applyBorder="1" applyFill="1" applyFont="1">
      <alignment horizontal="center" shrinkToFit="0" vertical="center" wrapText="0"/>
    </xf>
    <xf borderId="5" fillId="13" fontId="9" numFmtId="0" xfId="0" applyAlignment="1" applyBorder="1" applyFill="1" applyFont="1">
      <alignment horizontal="left" shrinkToFit="0" vertical="center" wrapText="0"/>
    </xf>
    <xf borderId="5" fillId="13" fontId="22" numFmtId="0" xfId="0" applyAlignment="1" applyBorder="1" applyFont="1">
      <alignment horizontal="center" shrinkToFit="0" vertical="center" wrapText="0"/>
    </xf>
    <xf borderId="5" fillId="4" fontId="9" numFmtId="0" xfId="0" applyAlignment="1" applyBorder="1" applyFont="1">
      <alignment horizontal="center" shrinkToFit="0" vertical="center" wrapText="0"/>
    </xf>
    <xf borderId="5" fillId="0" fontId="24" numFmtId="0" xfId="0" applyAlignment="1" applyBorder="1" applyFont="1">
      <alignment horizontal="left" shrinkToFit="0" vertical="center" wrapText="0"/>
    </xf>
    <xf borderId="5" fillId="0" fontId="2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3" width="3.0"/>
    <col customWidth="1" min="4" max="6" width="8.71"/>
  </cols>
  <sheetData>
    <row r="2" ht="30.0" customHeight="1">
      <c r="B2" s="1" t="s">
        <v>0</v>
      </c>
    </row>
    <row r="3" ht="30.0" customHeight="1">
      <c r="B3" s="2"/>
    </row>
    <row r="4" ht="30.0" customHeight="1">
      <c r="B4" s="3"/>
    </row>
    <row r="5" ht="12.0" customHeight="1"/>
    <row r="6" ht="21.75" customHeight="1">
      <c r="B6" s="4" t="s">
        <v>1</v>
      </c>
    </row>
    <row r="7" ht="18.0" customHeight="1">
      <c r="B7" s="5"/>
    </row>
    <row r="8" ht="21.75" customHeight="1">
      <c r="B8" s="5" t="s">
        <v>2</v>
      </c>
    </row>
    <row r="9" ht="21.75" customHeight="1">
      <c r="B9" s="5" t="s">
        <v>3</v>
      </c>
    </row>
    <row r="10" ht="21.75" customHeight="1">
      <c r="B10" s="5" t="s">
        <v>4</v>
      </c>
    </row>
    <row r="11" ht="21.75" customHeight="1">
      <c r="B11" s="5" t="s">
        <v>5</v>
      </c>
    </row>
    <row r="12" ht="21.75" customHeight="1">
      <c r="B12" s="5" t="s">
        <v>6</v>
      </c>
    </row>
    <row r="13" ht="21.75" customHeight="1">
      <c r="B13" s="5" t="s">
        <v>7</v>
      </c>
    </row>
    <row r="14" ht="21.75" customHeight="1">
      <c r="B14" s="5" t="s">
        <v>8</v>
      </c>
    </row>
    <row r="15" ht="18.0" customHeight="1">
      <c r="B15" s="5"/>
    </row>
    <row r="16" ht="21.75" customHeight="1">
      <c r="B16" s="4" t="s">
        <v>9</v>
      </c>
    </row>
    <row r="17" ht="21.75" customHeight="1">
      <c r="B17" s="5" t="s">
        <v>10</v>
      </c>
    </row>
    <row r="18" ht="21.75" customHeight="1">
      <c r="B18" s="5" t="s">
        <v>11</v>
      </c>
    </row>
    <row r="19" ht="18.0" customHeight="1">
      <c r="B19" s="5"/>
    </row>
    <row r="20" ht="21.75" customHeight="1">
      <c r="B20" s="4" t="s">
        <v>12</v>
      </c>
    </row>
    <row r="21" ht="18.0" customHeight="1">
      <c r="B21" s="5"/>
    </row>
    <row r="22" ht="21.75" customHeight="1">
      <c r="B22" s="6" t="s">
        <v>13</v>
      </c>
    </row>
    <row r="23" ht="21.75" customHeight="1">
      <c r="B23" s="5" t="s">
        <v>14</v>
      </c>
    </row>
    <row r="24" ht="21.75" customHeight="1">
      <c r="B24" s="5" t="s">
        <v>15</v>
      </c>
    </row>
    <row r="25" ht="18.0" customHeight="1">
      <c r="B25" s="5"/>
    </row>
    <row r="26" ht="21.75" customHeight="1">
      <c r="B26" s="6" t="s">
        <v>16</v>
      </c>
    </row>
    <row r="27" ht="21.75" customHeight="1">
      <c r="B27" s="5" t="s">
        <v>17</v>
      </c>
    </row>
    <row r="28" ht="21.75" customHeight="1">
      <c r="B28" s="5" t="s">
        <v>18</v>
      </c>
    </row>
    <row r="29" ht="21.75" customHeight="1">
      <c r="B29" s="5" t="s">
        <v>19</v>
      </c>
    </row>
    <row r="30" ht="18.0" customHeight="1">
      <c r="B30" s="5"/>
    </row>
    <row r="31" ht="21.75" customHeight="1">
      <c r="B31" s="6" t="s">
        <v>20</v>
      </c>
    </row>
    <row r="32" ht="21.75" customHeight="1">
      <c r="B32" s="5" t="s">
        <v>21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4" width="14.0"/>
    <col customWidth="1" min="5" max="5" width="12.29"/>
    <col customWidth="1" min="6" max="6" width="23.43"/>
  </cols>
  <sheetData>
    <row r="2" ht="31.5" customHeight="1">
      <c r="B2" s="7" t="s">
        <v>22</v>
      </c>
    </row>
    <row r="3" ht="21.75" customHeight="1">
      <c r="B3" s="8" t="s">
        <v>23</v>
      </c>
    </row>
    <row r="5" ht="21.75" customHeight="1">
      <c r="B5" s="9" t="s">
        <v>24</v>
      </c>
      <c r="C5" s="9" t="s">
        <v>25</v>
      </c>
      <c r="D5" s="9" t="s">
        <v>26</v>
      </c>
    </row>
    <row r="6" ht="21.75" customHeight="1">
      <c r="B6" s="10" t="s">
        <v>27</v>
      </c>
      <c r="C6" s="11"/>
      <c r="D6" s="11"/>
    </row>
    <row r="7" ht="18.0" customHeight="1">
      <c r="B7" s="12" t="s">
        <v>28</v>
      </c>
      <c r="C7" s="13">
        <v>2.0</v>
      </c>
      <c r="D7" s="13">
        <v>0.0</v>
      </c>
      <c r="F7" s="14" t="s">
        <v>28</v>
      </c>
      <c r="G7" s="13">
        <v>2.0</v>
      </c>
      <c r="H7" s="13">
        <v>0.0</v>
      </c>
      <c r="I7" s="15" t="b">
        <f t="shared" ref="I7:I78" si="1">F7=B7</f>
        <v>1</v>
      </c>
    </row>
    <row r="8" ht="18.0" customHeight="1">
      <c r="B8" s="12" t="s">
        <v>29</v>
      </c>
      <c r="C8" s="13">
        <v>2.0</v>
      </c>
      <c r="D8" s="13">
        <v>1.0</v>
      </c>
      <c r="F8" s="14" t="s">
        <v>29</v>
      </c>
      <c r="G8" s="13">
        <v>2.0</v>
      </c>
      <c r="H8" s="13">
        <v>1.0</v>
      </c>
      <c r="I8" s="15" t="b">
        <f t="shared" si="1"/>
        <v>1</v>
      </c>
    </row>
    <row r="9" ht="18.0" customHeight="1">
      <c r="B9" s="12" t="s">
        <v>30</v>
      </c>
      <c r="C9" s="13">
        <v>1.0</v>
      </c>
      <c r="D9" s="13">
        <v>1.0</v>
      </c>
      <c r="F9" s="14" t="s">
        <v>30</v>
      </c>
      <c r="G9" s="13">
        <v>1.0</v>
      </c>
      <c r="H9" s="13">
        <v>1.0</v>
      </c>
      <c r="I9" s="15" t="b">
        <f t="shared" si="1"/>
        <v>1</v>
      </c>
    </row>
    <row r="10" ht="18.0" customHeight="1">
      <c r="B10" s="12" t="s">
        <v>31</v>
      </c>
      <c r="C10" s="13">
        <v>1.0</v>
      </c>
      <c r="D10" s="13">
        <v>0.0</v>
      </c>
      <c r="F10" s="14" t="s">
        <v>31</v>
      </c>
      <c r="G10" s="13">
        <v>1.0</v>
      </c>
      <c r="H10" s="13">
        <v>0.0</v>
      </c>
      <c r="I10" s="15" t="b">
        <f t="shared" si="1"/>
        <v>1</v>
      </c>
    </row>
    <row r="11" ht="18.0" customHeight="1">
      <c r="B11" s="12" t="s">
        <v>32</v>
      </c>
      <c r="C11" s="13">
        <v>0.0</v>
      </c>
      <c r="D11" s="13">
        <v>3.0</v>
      </c>
      <c r="F11" s="14" t="s">
        <v>32</v>
      </c>
      <c r="G11" s="13">
        <v>0.0</v>
      </c>
      <c r="H11" s="13">
        <v>3.0</v>
      </c>
      <c r="I11" s="15" t="b">
        <f t="shared" si="1"/>
        <v>1</v>
      </c>
    </row>
    <row r="12" ht="18.0" customHeight="1">
      <c r="B12" s="12" t="s">
        <v>33</v>
      </c>
      <c r="C12" s="13">
        <v>1.0</v>
      </c>
      <c r="D12" s="13">
        <v>0.0</v>
      </c>
      <c r="F12" s="14" t="s">
        <v>33</v>
      </c>
      <c r="G12" s="13">
        <v>1.0</v>
      </c>
      <c r="H12" s="13">
        <v>0.0</v>
      </c>
      <c r="I12" s="15" t="b">
        <f t="shared" si="1"/>
        <v>1</v>
      </c>
    </row>
    <row r="13" ht="18.0" customHeight="1">
      <c r="B13" s="12" t="s">
        <v>34</v>
      </c>
      <c r="C13" s="13">
        <v>1.0</v>
      </c>
      <c r="D13" s="13">
        <v>1.0</v>
      </c>
      <c r="F13" s="14" t="s">
        <v>34</v>
      </c>
      <c r="G13" s="13">
        <v>1.0</v>
      </c>
      <c r="H13" s="13">
        <v>1.0</v>
      </c>
      <c r="I13" s="15" t="b">
        <f t="shared" si="1"/>
        <v>1</v>
      </c>
    </row>
    <row r="14" ht="18.0" customHeight="1">
      <c r="B14" s="12" t="s">
        <v>35</v>
      </c>
      <c r="C14" s="13">
        <v>1.0</v>
      </c>
      <c r="D14" s="13">
        <v>1.0</v>
      </c>
      <c r="F14" s="14" t="s">
        <v>35</v>
      </c>
      <c r="G14" s="13">
        <v>1.0</v>
      </c>
      <c r="H14" s="13">
        <v>1.0</v>
      </c>
      <c r="I14" s="15" t="b">
        <f t="shared" si="1"/>
        <v>1</v>
      </c>
    </row>
    <row r="15" ht="18.0" customHeight="1">
      <c r="B15" s="12" t="s">
        <v>36</v>
      </c>
      <c r="C15" s="13">
        <v>4.0</v>
      </c>
      <c r="D15" s="13">
        <v>1.0</v>
      </c>
      <c r="F15" s="14" t="s">
        <v>36</v>
      </c>
      <c r="G15" s="13">
        <v>4.0</v>
      </c>
      <c r="H15" s="13">
        <v>1.0</v>
      </c>
      <c r="I15" s="15" t="b">
        <f t="shared" si="1"/>
        <v>1</v>
      </c>
    </row>
    <row r="16" ht="18.0" customHeight="1">
      <c r="B16" s="12" t="s">
        <v>37</v>
      </c>
      <c r="C16" s="13">
        <v>6.0</v>
      </c>
      <c r="D16" s="13">
        <v>0.0</v>
      </c>
      <c r="F16" s="14" t="s">
        <v>37</v>
      </c>
      <c r="G16" s="13">
        <v>6.0</v>
      </c>
      <c r="H16" s="13">
        <v>0.0</v>
      </c>
      <c r="I16" s="15" t="b">
        <f t="shared" si="1"/>
        <v>1</v>
      </c>
    </row>
    <row r="17" ht="18.0" customHeight="1">
      <c r="B17" s="12" t="s">
        <v>38</v>
      </c>
      <c r="C17" s="13">
        <v>2.0</v>
      </c>
      <c r="D17" s="13">
        <v>1.0</v>
      </c>
      <c r="F17" s="14" t="s">
        <v>38</v>
      </c>
      <c r="G17" s="13">
        <v>2.0</v>
      </c>
      <c r="H17" s="13">
        <v>1.0</v>
      </c>
      <c r="I17" s="15" t="b">
        <f t="shared" si="1"/>
        <v>1</v>
      </c>
    </row>
    <row r="18" ht="18.0" customHeight="1">
      <c r="B18" s="12" t="s">
        <v>39</v>
      </c>
      <c r="C18" s="13">
        <v>3.0</v>
      </c>
      <c r="D18" s="13">
        <v>1.0</v>
      </c>
      <c r="F18" s="14" t="s">
        <v>39</v>
      </c>
      <c r="G18" s="13">
        <v>3.0</v>
      </c>
      <c r="H18" s="13">
        <v>1.0</v>
      </c>
      <c r="I18" s="15" t="b">
        <f t="shared" si="1"/>
        <v>1</v>
      </c>
    </row>
    <row r="19" ht="18.0" customHeight="1">
      <c r="B19" s="12" t="s">
        <v>40</v>
      </c>
      <c r="C19" s="13">
        <v>1.0</v>
      </c>
      <c r="D19" s="13">
        <v>1.0</v>
      </c>
      <c r="F19" s="14" t="s">
        <v>40</v>
      </c>
      <c r="G19" s="13">
        <v>1.0</v>
      </c>
      <c r="H19" s="13">
        <v>1.0</v>
      </c>
      <c r="I19" s="15" t="b">
        <f t="shared" si="1"/>
        <v>1</v>
      </c>
    </row>
    <row r="20" ht="18.0" customHeight="1">
      <c r="B20" s="12" t="s">
        <v>41</v>
      </c>
      <c r="C20" s="13">
        <v>0.0</v>
      </c>
      <c r="D20" s="13">
        <v>1.0</v>
      </c>
      <c r="F20" s="14" t="s">
        <v>41</v>
      </c>
      <c r="G20" s="13">
        <v>0.0</v>
      </c>
      <c r="H20" s="13">
        <v>1.0</v>
      </c>
      <c r="I20" s="15" t="b">
        <f t="shared" si="1"/>
        <v>1</v>
      </c>
    </row>
    <row r="21" ht="18.0" customHeight="1">
      <c r="B21" s="12" t="s">
        <v>42</v>
      </c>
      <c r="C21" s="13">
        <v>0.0</v>
      </c>
      <c r="D21" s="13">
        <v>1.0</v>
      </c>
      <c r="F21" s="14" t="s">
        <v>42</v>
      </c>
      <c r="G21" s="13">
        <v>0.0</v>
      </c>
      <c r="H21" s="13">
        <v>1.0</v>
      </c>
      <c r="I21" s="15" t="b">
        <f t="shared" si="1"/>
        <v>1</v>
      </c>
    </row>
    <row r="22" ht="18.0" customHeight="1">
      <c r="B22" s="12" t="s">
        <v>43</v>
      </c>
      <c r="C22" s="13">
        <v>3.0</v>
      </c>
      <c r="D22" s="13">
        <v>0.0</v>
      </c>
      <c r="F22" s="14" t="s">
        <v>43</v>
      </c>
      <c r="G22" s="13">
        <v>3.0</v>
      </c>
      <c r="H22" s="13">
        <v>0.0</v>
      </c>
      <c r="I22" s="15" t="b">
        <f t="shared" si="1"/>
        <v>1</v>
      </c>
    </row>
    <row r="23" ht="18.0" customHeight="1">
      <c r="B23" s="12" t="s">
        <v>44</v>
      </c>
      <c r="C23" s="13">
        <v>0.0</v>
      </c>
      <c r="D23" s="13">
        <v>3.0</v>
      </c>
      <c r="F23" s="14" t="s">
        <v>44</v>
      </c>
      <c r="G23" s="13">
        <v>0.0</v>
      </c>
      <c r="H23" s="13">
        <v>3.0</v>
      </c>
      <c r="I23" s="15" t="b">
        <f t="shared" si="1"/>
        <v>1</v>
      </c>
    </row>
    <row r="24" ht="18.0" customHeight="1">
      <c r="B24" s="12" t="s">
        <v>45</v>
      </c>
      <c r="C24" s="13">
        <v>4.0</v>
      </c>
      <c r="D24" s="13">
        <v>2.0</v>
      </c>
      <c r="F24" s="14" t="s">
        <v>45</v>
      </c>
      <c r="G24" s="13">
        <v>4.0</v>
      </c>
      <c r="H24" s="13">
        <v>2.0</v>
      </c>
      <c r="I24" s="15" t="b">
        <f t="shared" si="1"/>
        <v>1</v>
      </c>
    </row>
    <row r="25" ht="18.0" customHeight="1">
      <c r="B25" s="12" t="s">
        <v>46</v>
      </c>
      <c r="C25" s="13">
        <v>3.0</v>
      </c>
      <c r="D25" s="13">
        <v>1.0</v>
      </c>
      <c r="F25" s="14" t="s">
        <v>46</v>
      </c>
      <c r="G25" s="13">
        <v>3.0</v>
      </c>
      <c r="H25" s="13">
        <v>1.0</v>
      </c>
      <c r="I25" s="15" t="b">
        <f t="shared" si="1"/>
        <v>1</v>
      </c>
    </row>
    <row r="26" ht="18.0" customHeight="1">
      <c r="B26" s="12" t="s">
        <v>47</v>
      </c>
      <c r="C26" s="13">
        <v>2.0</v>
      </c>
      <c r="D26" s="13">
        <v>0.0</v>
      </c>
      <c r="F26" s="14" t="s">
        <v>47</v>
      </c>
      <c r="G26" s="13">
        <v>2.0</v>
      </c>
      <c r="H26" s="13">
        <v>0.0</v>
      </c>
      <c r="I26" s="15" t="b">
        <f t="shared" si="1"/>
        <v>1</v>
      </c>
    </row>
    <row r="27" ht="18.0" customHeight="1">
      <c r="B27" s="12" t="s">
        <v>48</v>
      </c>
      <c r="C27" s="13">
        <v>0.0</v>
      </c>
      <c r="D27" s="13">
        <v>1.0</v>
      </c>
      <c r="F27" s="14" t="s">
        <v>48</v>
      </c>
      <c r="G27" s="13">
        <v>0.0</v>
      </c>
      <c r="H27" s="13">
        <v>1.0</v>
      </c>
      <c r="I27" s="15" t="b">
        <f t="shared" si="1"/>
        <v>1</v>
      </c>
    </row>
    <row r="28" ht="18.0" customHeight="1">
      <c r="B28" s="12" t="s">
        <v>49</v>
      </c>
      <c r="C28" s="13">
        <v>2.0</v>
      </c>
      <c r="D28" s="13">
        <v>0.0</v>
      </c>
      <c r="F28" s="14" t="s">
        <v>49</v>
      </c>
      <c r="G28" s="13">
        <v>2.0</v>
      </c>
      <c r="H28" s="13">
        <v>0.0</v>
      </c>
      <c r="I28" s="15" t="b">
        <f t="shared" si="1"/>
        <v>1</v>
      </c>
    </row>
    <row r="29" ht="18.0" customHeight="1">
      <c r="B29" s="12" t="s">
        <v>50</v>
      </c>
      <c r="C29" s="13">
        <v>3.0</v>
      </c>
      <c r="D29" s="13">
        <v>2.0</v>
      </c>
      <c r="F29" s="14" t="s">
        <v>50</v>
      </c>
      <c r="G29" s="13">
        <v>3.0</v>
      </c>
      <c r="H29" s="13">
        <v>2.0</v>
      </c>
      <c r="I29" s="15" t="b">
        <f t="shared" si="1"/>
        <v>1</v>
      </c>
    </row>
    <row r="30" ht="18.0" customHeight="1">
      <c r="B30" s="12" t="s">
        <v>51</v>
      </c>
      <c r="C30" s="13">
        <v>0.0</v>
      </c>
      <c r="D30" s="13">
        <v>0.0</v>
      </c>
      <c r="F30" s="14" t="s">
        <v>51</v>
      </c>
      <c r="G30" s="13">
        <v>0.0</v>
      </c>
      <c r="H30" s="13">
        <v>0.0</v>
      </c>
      <c r="I30" s="15" t="b">
        <f t="shared" si="1"/>
        <v>1</v>
      </c>
    </row>
    <row r="31" ht="18.0" customHeight="1">
      <c r="B31" s="12" t="s">
        <v>52</v>
      </c>
      <c r="C31" s="13">
        <v>7.0</v>
      </c>
      <c r="D31" s="13">
        <v>1.0</v>
      </c>
      <c r="F31" s="14" t="s">
        <v>52</v>
      </c>
      <c r="G31" s="13">
        <v>7.0</v>
      </c>
      <c r="H31" s="13">
        <v>1.0</v>
      </c>
      <c r="I31" s="15" t="b">
        <f t="shared" si="1"/>
        <v>1</v>
      </c>
    </row>
    <row r="32" ht="18.0" customHeight="1">
      <c r="B32" s="12" t="s">
        <v>53</v>
      </c>
      <c r="C32" s="13">
        <v>1.0</v>
      </c>
      <c r="D32" s="13">
        <v>0.0</v>
      </c>
      <c r="F32" s="14" t="s">
        <v>53</v>
      </c>
      <c r="G32" s="13">
        <v>1.0</v>
      </c>
      <c r="H32" s="13">
        <v>0.0</v>
      </c>
      <c r="I32" s="15" t="b">
        <f t="shared" si="1"/>
        <v>1</v>
      </c>
    </row>
    <row r="33" ht="18.0" customHeight="1">
      <c r="B33" s="12" t="s">
        <v>54</v>
      </c>
      <c r="C33" s="13">
        <v>2.0</v>
      </c>
      <c r="D33" s="13">
        <v>1.0</v>
      </c>
      <c r="F33" s="14" t="s">
        <v>54</v>
      </c>
      <c r="G33" s="13">
        <v>2.0</v>
      </c>
      <c r="H33" s="13">
        <v>1.0</v>
      </c>
      <c r="I33" s="15" t="b">
        <f t="shared" si="1"/>
        <v>1</v>
      </c>
    </row>
    <row r="34" ht="18.0" customHeight="1">
      <c r="B34" s="12" t="s">
        <v>55</v>
      </c>
      <c r="C34" s="13">
        <v>0.0</v>
      </c>
      <c r="D34" s="13">
        <v>0.0</v>
      </c>
      <c r="F34" s="14" t="s">
        <v>55</v>
      </c>
      <c r="G34" s="13">
        <v>0.0</v>
      </c>
      <c r="H34" s="13">
        <v>0.0</v>
      </c>
      <c r="I34" s="15" t="b">
        <f t="shared" si="1"/>
        <v>1</v>
      </c>
    </row>
    <row r="35" ht="18.0" customHeight="1">
      <c r="B35" s="12" t="s">
        <v>56</v>
      </c>
      <c r="C35" s="13">
        <v>2.0</v>
      </c>
      <c r="D35" s="13">
        <v>1.0</v>
      </c>
      <c r="F35" s="14" t="s">
        <v>56</v>
      </c>
      <c r="G35" s="13">
        <v>2.0</v>
      </c>
      <c r="H35" s="13">
        <v>1.0</v>
      </c>
      <c r="I35" s="15" t="b">
        <f t="shared" si="1"/>
        <v>1</v>
      </c>
    </row>
    <row r="36" ht="18.0" customHeight="1">
      <c r="B36" s="12" t="s">
        <v>57</v>
      </c>
      <c r="C36" s="13">
        <v>0.0</v>
      </c>
      <c r="D36" s="13">
        <v>2.0</v>
      </c>
      <c r="F36" s="14" t="s">
        <v>57</v>
      </c>
      <c r="G36" s="13">
        <v>0.0</v>
      </c>
      <c r="H36" s="13">
        <v>2.0</v>
      </c>
      <c r="I36" s="15" t="b">
        <f t="shared" si="1"/>
        <v>1</v>
      </c>
    </row>
    <row r="37" ht="18.0" customHeight="1">
      <c r="B37" s="12" t="s">
        <v>58</v>
      </c>
      <c r="C37" s="13">
        <v>2.0</v>
      </c>
      <c r="D37" s="13">
        <v>2.0</v>
      </c>
      <c r="F37" s="14" t="s">
        <v>58</v>
      </c>
      <c r="G37" s="13">
        <v>2.0</v>
      </c>
      <c r="H37" s="13">
        <v>2.0</v>
      </c>
      <c r="I37" s="15" t="b">
        <f t="shared" si="1"/>
        <v>1</v>
      </c>
    </row>
    <row r="38" ht="18.0" customHeight="1">
      <c r="B38" s="12" t="s">
        <v>59</v>
      </c>
      <c r="C38" s="16">
        <v>1.0</v>
      </c>
      <c r="D38" s="16">
        <v>5.0</v>
      </c>
      <c r="F38" s="14" t="s">
        <v>60</v>
      </c>
      <c r="G38" s="13">
        <v>5.0</v>
      </c>
      <c r="H38" s="13">
        <v>1.0</v>
      </c>
      <c r="I38" s="15" t="b">
        <f t="shared" si="1"/>
        <v>0</v>
      </c>
    </row>
    <row r="39" ht="18.0" customHeight="1">
      <c r="B39" s="12" t="s">
        <v>61</v>
      </c>
      <c r="C39" s="16">
        <v>4.0</v>
      </c>
      <c r="D39" s="16">
        <v>0.0</v>
      </c>
      <c r="F39" s="14" t="s">
        <v>62</v>
      </c>
      <c r="G39" s="13">
        <v>5.0</v>
      </c>
      <c r="H39" s="13">
        <v>1.0</v>
      </c>
      <c r="I39" s="15" t="b">
        <f t="shared" si="1"/>
        <v>0</v>
      </c>
    </row>
    <row r="40" ht="18.0" customHeight="1">
      <c r="B40" s="12" t="s">
        <v>63</v>
      </c>
      <c r="C40" s="16">
        <v>5.0</v>
      </c>
      <c r="D40" s="16">
        <v>1.0</v>
      </c>
      <c r="F40" s="14" t="s">
        <v>64</v>
      </c>
      <c r="G40" s="13">
        <v>0.0</v>
      </c>
      <c r="H40" s="13">
        <v>4.0</v>
      </c>
      <c r="I40" s="15" t="b">
        <f t="shared" si="1"/>
        <v>0</v>
      </c>
    </row>
    <row r="41" ht="18.0" customHeight="1">
      <c r="B41" s="12" t="s">
        <v>65</v>
      </c>
      <c r="C41" s="16">
        <v>2.0</v>
      </c>
      <c r="D41" s="16">
        <v>2.0</v>
      </c>
      <c r="F41" s="14" t="s">
        <v>66</v>
      </c>
      <c r="G41" s="13">
        <v>1.0</v>
      </c>
      <c r="H41" s="13">
        <v>1.0</v>
      </c>
      <c r="I41" s="15" t="b">
        <f t="shared" si="1"/>
        <v>0</v>
      </c>
    </row>
    <row r="42" ht="18.0" customHeight="1">
      <c r="B42" s="12" t="s">
        <v>67</v>
      </c>
      <c r="C42" s="16">
        <v>5.0</v>
      </c>
      <c r="D42" s="16">
        <v>1.0</v>
      </c>
      <c r="F42" s="14" t="s">
        <v>68</v>
      </c>
      <c r="G42" s="13">
        <v>1.0</v>
      </c>
      <c r="H42" s="13">
        <v>3.0</v>
      </c>
      <c r="I42" s="15" t="b">
        <f t="shared" si="1"/>
        <v>0</v>
      </c>
    </row>
    <row r="43" ht="18.0" customHeight="1">
      <c r="B43" s="12" t="s">
        <v>69</v>
      </c>
      <c r="C43" s="13">
        <v>1.0</v>
      </c>
      <c r="D43" s="13">
        <v>1.0</v>
      </c>
      <c r="F43" s="14" t="s">
        <v>69</v>
      </c>
      <c r="G43" s="13">
        <v>1.0</v>
      </c>
      <c r="H43" s="13">
        <v>1.0</v>
      </c>
      <c r="I43" s="15" t="b">
        <f t="shared" si="1"/>
        <v>1</v>
      </c>
    </row>
    <row r="44" ht="18.0" customHeight="1">
      <c r="B44" s="12" t="s">
        <v>70</v>
      </c>
      <c r="C44" s="13">
        <v>2.0</v>
      </c>
      <c r="D44" s="13">
        <v>2.0</v>
      </c>
      <c r="F44" s="14" t="s">
        <v>70</v>
      </c>
      <c r="G44" s="13">
        <v>2.0</v>
      </c>
      <c r="H44" s="13">
        <v>2.0</v>
      </c>
      <c r="I44" s="15" t="b">
        <f t="shared" si="1"/>
        <v>1</v>
      </c>
    </row>
    <row r="45" ht="18.0" customHeight="1">
      <c r="B45" s="12" t="s">
        <v>71</v>
      </c>
      <c r="C45" s="13">
        <v>0.0</v>
      </c>
      <c r="D45" s="13">
        <v>0.0</v>
      </c>
      <c r="F45" s="14" t="s">
        <v>71</v>
      </c>
      <c r="G45" s="13">
        <v>0.0</v>
      </c>
      <c r="H45" s="13">
        <v>0.0</v>
      </c>
      <c r="I45" s="15" t="b">
        <f t="shared" si="1"/>
        <v>1</v>
      </c>
    </row>
    <row r="46" ht="18.0" customHeight="1">
      <c r="B46" s="12" t="s">
        <v>72</v>
      </c>
      <c r="C46" s="13">
        <v>1.0</v>
      </c>
      <c r="D46" s="13">
        <v>3.0</v>
      </c>
      <c r="F46" s="14" t="s">
        <v>72</v>
      </c>
      <c r="G46" s="13">
        <v>1.0</v>
      </c>
      <c r="H46" s="13">
        <v>3.0</v>
      </c>
      <c r="I46" s="15" t="b">
        <f t="shared" si="1"/>
        <v>1</v>
      </c>
    </row>
    <row r="47" ht="18.0" customHeight="1">
      <c r="B47" s="12" t="s">
        <v>73</v>
      </c>
      <c r="C47" s="13">
        <v>1.0</v>
      </c>
      <c r="D47" s="13">
        <v>5.0</v>
      </c>
      <c r="F47" s="14" t="s">
        <v>73</v>
      </c>
      <c r="G47" s="13">
        <v>1.0</v>
      </c>
      <c r="H47" s="13">
        <v>5.0</v>
      </c>
      <c r="I47" s="15" t="b">
        <f t="shared" si="1"/>
        <v>1</v>
      </c>
    </row>
    <row r="48" ht="18.0" customHeight="1">
      <c r="B48" s="12" t="s">
        <v>74</v>
      </c>
      <c r="C48" s="13">
        <v>1.0</v>
      </c>
      <c r="D48" s="13">
        <v>1.0</v>
      </c>
      <c r="F48" s="14" t="s">
        <v>74</v>
      </c>
      <c r="G48" s="13">
        <v>1.0</v>
      </c>
      <c r="H48" s="13">
        <v>1.0</v>
      </c>
      <c r="I48" s="15" t="b">
        <f t="shared" si="1"/>
        <v>1</v>
      </c>
    </row>
    <row r="49" ht="18.0" customHeight="1">
      <c r="B49" s="12" t="s">
        <v>75</v>
      </c>
      <c r="C49" s="13">
        <v>0.0</v>
      </c>
      <c r="D49" s="13">
        <v>0.0</v>
      </c>
      <c r="F49" s="14" t="s">
        <v>75</v>
      </c>
      <c r="G49" s="13">
        <v>0.0</v>
      </c>
      <c r="H49" s="13">
        <v>0.0</v>
      </c>
      <c r="I49" s="15" t="b">
        <f t="shared" si="1"/>
        <v>1</v>
      </c>
    </row>
    <row r="50" ht="18.0" customHeight="1">
      <c r="B50" s="12" t="s">
        <v>76</v>
      </c>
      <c r="C50" s="13">
        <v>1.0</v>
      </c>
      <c r="D50" s="13">
        <v>1.0</v>
      </c>
      <c r="F50" s="14" t="s">
        <v>76</v>
      </c>
      <c r="G50" s="13">
        <v>1.0</v>
      </c>
      <c r="H50" s="13">
        <v>1.0</v>
      </c>
      <c r="I50" s="15" t="b">
        <f t="shared" si="1"/>
        <v>1</v>
      </c>
    </row>
    <row r="51" ht="18.0" customHeight="1">
      <c r="B51" s="12" t="s">
        <v>77</v>
      </c>
      <c r="C51" s="13">
        <v>4.0</v>
      </c>
      <c r="D51" s="13">
        <v>0.0</v>
      </c>
      <c r="F51" s="14" t="s">
        <v>77</v>
      </c>
      <c r="G51" s="13">
        <v>4.0</v>
      </c>
      <c r="H51" s="13">
        <v>0.0</v>
      </c>
      <c r="I51" s="15" t="b">
        <f t="shared" si="1"/>
        <v>1</v>
      </c>
    </row>
    <row r="52" ht="18.0" customHeight="1">
      <c r="B52" s="12" t="s">
        <v>78</v>
      </c>
      <c r="C52" s="13">
        <v>2.0</v>
      </c>
      <c r="D52" s="13">
        <v>2.0</v>
      </c>
      <c r="F52" s="14" t="s">
        <v>78</v>
      </c>
      <c r="G52" s="13">
        <v>2.0</v>
      </c>
      <c r="H52" s="13">
        <v>2.0</v>
      </c>
      <c r="I52" s="15" t="b">
        <f t="shared" si="1"/>
        <v>1</v>
      </c>
    </row>
    <row r="53" ht="18.0" customHeight="1">
      <c r="B53" s="12" t="s">
        <v>79</v>
      </c>
      <c r="C53" s="13">
        <v>0.0</v>
      </c>
      <c r="D53" s="13">
        <v>0.0</v>
      </c>
      <c r="F53" s="14" t="s">
        <v>79</v>
      </c>
      <c r="G53" s="13">
        <v>0.0</v>
      </c>
      <c r="H53" s="13">
        <v>0.0</v>
      </c>
      <c r="I53" s="15" t="b">
        <f t="shared" si="1"/>
        <v>1</v>
      </c>
    </row>
    <row r="54" ht="18.0" customHeight="1">
      <c r="B54" s="12" t="s">
        <v>80</v>
      </c>
      <c r="C54" s="13">
        <v>0.0</v>
      </c>
      <c r="D54" s="13">
        <v>1.0</v>
      </c>
      <c r="F54" s="14" t="s">
        <v>80</v>
      </c>
      <c r="G54" s="13">
        <v>0.0</v>
      </c>
      <c r="H54" s="13">
        <v>1.0</v>
      </c>
      <c r="I54" s="15" t="b">
        <f t="shared" si="1"/>
        <v>1</v>
      </c>
    </row>
    <row r="55" ht="18.0" customHeight="1">
      <c r="B55" s="12" t="s">
        <v>81</v>
      </c>
      <c r="C55" s="13">
        <v>3.0</v>
      </c>
      <c r="D55" s="13">
        <v>1.0</v>
      </c>
      <c r="F55" s="14" t="s">
        <v>81</v>
      </c>
      <c r="G55" s="13">
        <v>3.0</v>
      </c>
      <c r="H55" s="13">
        <v>1.0</v>
      </c>
      <c r="I55" s="15" t="b">
        <f t="shared" si="1"/>
        <v>1</v>
      </c>
    </row>
    <row r="56" ht="18.0" customHeight="1">
      <c r="B56" s="12" t="s">
        <v>82</v>
      </c>
      <c r="C56" s="13">
        <v>1.0</v>
      </c>
      <c r="D56" s="13">
        <v>4.0</v>
      </c>
      <c r="F56" s="14" t="s">
        <v>82</v>
      </c>
      <c r="G56" s="13">
        <v>1.0</v>
      </c>
      <c r="H56" s="13">
        <v>4.0</v>
      </c>
      <c r="I56" s="15" t="b">
        <f t="shared" si="1"/>
        <v>1</v>
      </c>
    </row>
    <row r="57" ht="18.0" customHeight="1">
      <c r="B57" s="12" t="s">
        <v>83</v>
      </c>
      <c r="C57" s="13">
        <v>3.0</v>
      </c>
      <c r="D57" s="13">
        <v>0.0</v>
      </c>
      <c r="F57" s="14" t="s">
        <v>83</v>
      </c>
      <c r="G57" s="13">
        <v>3.0</v>
      </c>
      <c r="H57" s="13">
        <v>0.0</v>
      </c>
      <c r="I57" s="15" t="b">
        <f t="shared" si="1"/>
        <v>1</v>
      </c>
    </row>
    <row r="58" ht="18.0" customHeight="1">
      <c r="B58" s="12" t="s">
        <v>84</v>
      </c>
      <c r="C58" s="13">
        <v>3.0</v>
      </c>
      <c r="D58" s="13">
        <v>2.0</v>
      </c>
      <c r="F58" s="14" t="s">
        <v>84</v>
      </c>
      <c r="G58" s="13">
        <v>3.0</v>
      </c>
      <c r="H58" s="13">
        <v>2.0</v>
      </c>
      <c r="I58" s="15" t="b">
        <f t="shared" si="1"/>
        <v>1</v>
      </c>
    </row>
    <row r="59" ht="18.0" customHeight="1">
      <c r="B59" s="12" t="s">
        <v>85</v>
      </c>
      <c r="C59" s="13">
        <v>1.0</v>
      </c>
      <c r="D59" s="13">
        <v>4.0</v>
      </c>
      <c r="F59" s="14" t="s">
        <v>85</v>
      </c>
      <c r="G59" s="13">
        <v>1.0</v>
      </c>
      <c r="H59" s="13">
        <v>4.0</v>
      </c>
      <c r="I59" s="15" t="b">
        <f t="shared" si="1"/>
        <v>1</v>
      </c>
    </row>
    <row r="60" ht="18.0" customHeight="1">
      <c r="B60" s="12" t="s">
        <v>86</v>
      </c>
      <c r="C60" s="13">
        <v>5.0</v>
      </c>
      <c r="D60" s="13">
        <v>0.0</v>
      </c>
      <c r="F60" s="14" t="s">
        <v>86</v>
      </c>
      <c r="G60" s="13">
        <v>5.0</v>
      </c>
      <c r="H60" s="13">
        <v>0.0</v>
      </c>
      <c r="I60" s="15" t="b">
        <f t="shared" si="1"/>
        <v>1</v>
      </c>
    </row>
    <row r="61" ht="18.0" customHeight="1">
      <c r="B61" s="12" t="s">
        <v>87</v>
      </c>
      <c r="C61" s="13">
        <v>3.0</v>
      </c>
      <c r="D61" s="13">
        <v>0.0</v>
      </c>
      <c r="F61" s="14" t="s">
        <v>87</v>
      </c>
      <c r="G61" s="13">
        <v>3.0</v>
      </c>
      <c r="H61" s="13">
        <v>0.0</v>
      </c>
      <c r="I61" s="15" t="b">
        <f t="shared" si="1"/>
        <v>1</v>
      </c>
    </row>
    <row r="62" ht="18.0" customHeight="1">
      <c r="B62" s="12" t="s">
        <v>88</v>
      </c>
      <c r="C62" s="13">
        <v>3.0</v>
      </c>
      <c r="D62" s="13">
        <v>1.0</v>
      </c>
      <c r="F62" s="14" t="s">
        <v>88</v>
      </c>
      <c r="G62" s="13">
        <v>3.0</v>
      </c>
      <c r="H62" s="13">
        <v>1.0</v>
      </c>
      <c r="I62" s="15" t="b">
        <f t="shared" si="1"/>
        <v>1</v>
      </c>
    </row>
    <row r="63" ht="18.0" customHeight="1">
      <c r="B63" s="12" t="s">
        <v>89</v>
      </c>
      <c r="C63" s="13">
        <v>2.0</v>
      </c>
      <c r="D63" s="13">
        <v>0.0</v>
      </c>
      <c r="F63" s="14" t="s">
        <v>89</v>
      </c>
      <c r="G63" s="13">
        <v>2.0</v>
      </c>
      <c r="H63" s="13">
        <v>0.0</v>
      </c>
      <c r="I63" s="15" t="b">
        <f t="shared" si="1"/>
        <v>1</v>
      </c>
    </row>
    <row r="64" ht="18.0" customHeight="1">
      <c r="B64" s="12" t="s">
        <v>90</v>
      </c>
      <c r="C64" s="13">
        <v>1.0</v>
      </c>
      <c r="D64" s="13">
        <v>2.0</v>
      </c>
      <c r="F64" s="14" t="s">
        <v>90</v>
      </c>
      <c r="G64" s="13">
        <v>1.0</v>
      </c>
      <c r="H64" s="13">
        <v>2.0</v>
      </c>
      <c r="I64" s="15" t="b">
        <f t="shared" si="1"/>
        <v>1</v>
      </c>
    </row>
    <row r="65" ht="18.0" customHeight="1">
      <c r="B65" s="12" t="s">
        <v>91</v>
      </c>
      <c r="C65" s="13">
        <v>3.0</v>
      </c>
      <c r="D65" s="13">
        <v>3.0</v>
      </c>
      <c r="F65" s="14" t="s">
        <v>91</v>
      </c>
      <c r="G65" s="13">
        <v>3.0</v>
      </c>
      <c r="H65" s="13">
        <v>3.0</v>
      </c>
      <c r="I65" s="15" t="b">
        <f t="shared" si="1"/>
        <v>1</v>
      </c>
    </row>
    <row r="66" ht="18.0" customHeight="1">
      <c r="B66" s="12" t="s">
        <v>92</v>
      </c>
      <c r="C66" s="13">
        <v>1.0</v>
      </c>
      <c r="D66" s="13">
        <v>3.0</v>
      </c>
      <c r="F66" s="14" t="s">
        <v>92</v>
      </c>
      <c r="G66" s="13">
        <v>1.0</v>
      </c>
      <c r="H66" s="13">
        <v>3.0</v>
      </c>
      <c r="I66" s="15" t="b">
        <f t="shared" si="1"/>
        <v>1</v>
      </c>
    </row>
    <row r="67" ht="18.0" customHeight="1">
      <c r="B67" s="12" t="s">
        <v>93</v>
      </c>
      <c r="C67" s="13">
        <v>1.0</v>
      </c>
      <c r="D67" s="13">
        <v>1.0</v>
      </c>
      <c r="F67" s="14" t="s">
        <v>93</v>
      </c>
      <c r="G67" s="13">
        <v>1.0</v>
      </c>
      <c r="H67" s="13">
        <v>1.0</v>
      </c>
      <c r="I67" s="15" t="b">
        <f t="shared" si="1"/>
        <v>1</v>
      </c>
    </row>
    <row r="68" ht="18.0" customHeight="1">
      <c r="B68" s="12" t="s">
        <v>94</v>
      </c>
      <c r="C68" s="13">
        <v>1.0</v>
      </c>
      <c r="D68" s="13">
        <v>3.0</v>
      </c>
      <c r="F68" s="14" t="s">
        <v>94</v>
      </c>
      <c r="G68" s="13">
        <v>1.0</v>
      </c>
      <c r="H68" s="13">
        <v>3.0</v>
      </c>
      <c r="I68" s="15" t="b">
        <f t="shared" si="1"/>
        <v>1</v>
      </c>
    </row>
    <row r="69" ht="18.0" customHeight="1">
      <c r="B69" s="12" t="s">
        <v>95</v>
      </c>
      <c r="C69" s="13">
        <v>5.0</v>
      </c>
      <c r="D69" s="13">
        <v>0.0</v>
      </c>
      <c r="F69" s="14" t="s">
        <v>95</v>
      </c>
      <c r="G69" s="13">
        <v>5.0</v>
      </c>
      <c r="H69" s="13">
        <v>0.0</v>
      </c>
      <c r="I69" s="15" t="b">
        <f t="shared" si="1"/>
        <v>1</v>
      </c>
    </row>
    <row r="70" ht="18.0" customHeight="1">
      <c r="B70" s="12" t="s">
        <v>96</v>
      </c>
      <c r="C70" s="13">
        <v>1.0</v>
      </c>
      <c r="D70" s="13">
        <v>0.0</v>
      </c>
      <c r="F70" s="14" t="s">
        <v>96</v>
      </c>
      <c r="G70" s="13">
        <v>1.0</v>
      </c>
      <c r="H70" s="13">
        <v>0.0</v>
      </c>
      <c r="I70" s="15" t="b">
        <f t="shared" si="1"/>
        <v>1</v>
      </c>
    </row>
    <row r="71" ht="18.0" customHeight="1">
      <c r="B71" s="12" t="s">
        <v>97</v>
      </c>
      <c r="C71" s="13">
        <v>0.0</v>
      </c>
      <c r="D71" s="13">
        <v>0.0</v>
      </c>
      <c r="F71" s="14" t="s">
        <v>97</v>
      </c>
      <c r="G71" s="13">
        <v>0.0</v>
      </c>
      <c r="H71" s="13">
        <v>0.0</v>
      </c>
      <c r="I71" s="15" t="b">
        <f t="shared" si="1"/>
        <v>1</v>
      </c>
    </row>
    <row r="72" ht="18.0" customHeight="1">
      <c r="B72" s="12" t="s">
        <v>98</v>
      </c>
      <c r="C72" s="13">
        <v>3.0</v>
      </c>
      <c r="D72" s="13">
        <v>1.0</v>
      </c>
      <c r="F72" s="14" t="s">
        <v>98</v>
      </c>
      <c r="G72" s="13">
        <v>3.0</v>
      </c>
      <c r="H72" s="13">
        <v>1.0</v>
      </c>
      <c r="I72" s="15" t="b">
        <f t="shared" si="1"/>
        <v>1</v>
      </c>
    </row>
    <row r="73" ht="18.0" customHeight="1">
      <c r="B73" s="12" t="s">
        <v>99</v>
      </c>
      <c r="C73" s="13">
        <v>4.0</v>
      </c>
      <c r="D73" s="13">
        <v>2.0</v>
      </c>
      <c r="F73" s="14" t="s">
        <v>99</v>
      </c>
      <c r="G73" s="13">
        <v>4.0</v>
      </c>
      <c r="H73" s="13">
        <v>2.0</v>
      </c>
      <c r="I73" s="15" t="b">
        <f t="shared" si="1"/>
        <v>1</v>
      </c>
    </row>
    <row r="74" ht="18.0" customHeight="1">
      <c r="B74" s="12" t="s">
        <v>100</v>
      </c>
      <c r="C74" s="13">
        <v>1.0</v>
      </c>
      <c r="D74" s="13">
        <v>0.0</v>
      </c>
      <c r="F74" s="14" t="s">
        <v>100</v>
      </c>
      <c r="G74" s="13">
        <v>1.0</v>
      </c>
      <c r="H74" s="13">
        <v>0.0</v>
      </c>
      <c r="I74" s="15" t="b">
        <f t="shared" si="1"/>
        <v>1</v>
      </c>
    </row>
    <row r="75" ht="18.0" customHeight="1">
      <c r="B75" s="12" t="s">
        <v>101</v>
      </c>
      <c r="C75" s="13">
        <v>0.0</v>
      </c>
      <c r="D75" s="13">
        <v>0.0</v>
      </c>
      <c r="F75" s="14" t="s">
        <v>101</v>
      </c>
      <c r="G75" s="13">
        <v>0.0</v>
      </c>
      <c r="H75" s="13">
        <v>0.0</v>
      </c>
      <c r="I75" s="15" t="b">
        <f t="shared" si="1"/>
        <v>1</v>
      </c>
    </row>
    <row r="76" ht="18.0" customHeight="1">
      <c r="B76" s="12" t="s">
        <v>102</v>
      </c>
      <c r="C76" s="13">
        <v>0.0</v>
      </c>
      <c r="D76" s="13">
        <v>1.0</v>
      </c>
      <c r="F76" s="14" t="s">
        <v>102</v>
      </c>
      <c r="G76" s="13">
        <v>0.0</v>
      </c>
      <c r="H76" s="13">
        <v>1.0</v>
      </c>
      <c r="I76" s="15" t="b">
        <f t="shared" si="1"/>
        <v>1</v>
      </c>
    </row>
    <row r="77" ht="18.0" customHeight="1">
      <c r="B77" s="12" t="s">
        <v>103</v>
      </c>
      <c r="C77" s="13">
        <v>2.0</v>
      </c>
      <c r="D77" s="13">
        <v>1.0</v>
      </c>
      <c r="F77" s="14" t="s">
        <v>103</v>
      </c>
      <c r="G77" s="13">
        <v>2.0</v>
      </c>
      <c r="H77" s="13">
        <v>1.0</v>
      </c>
      <c r="I77" s="15" t="b">
        <f t="shared" si="1"/>
        <v>1</v>
      </c>
    </row>
    <row r="78" ht="18.0" customHeight="1">
      <c r="B78" s="12" t="s">
        <v>104</v>
      </c>
      <c r="C78" s="13">
        <v>0.0</v>
      </c>
      <c r="D78" s="13">
        <v>2.0</v>
      </c>
      <c r="F78" s="14" t="s">
        <v>104</v>
      </c>
      <c r="G78" s="13">
        <v>0.0</v>
      </c>
      <c r="H78" s="13">
        <v>2.0</v>
      </c>
      <c r="I78" s="15" t="b">
        <f t="shared" si="1"/>
        <v>1</v>
      </c>
    </row>
    <row r="79" ht="21.75" customHeight="1">
      <c r="B79" s="10" t="s">
        <v>105</v>
      </c>
      <c r="C79" s="11"/>
      <c r="D79" s="11"/>
    </row>
    <row r="80" ht="18.0" customHeight="1">
      <c r="B80" s="12" t="s">
        <v>106</v>
      </c>
      <c r="C80" s="17"/>
      <c r="D80" s="18"/>
    </row>
    <row r="81" ht="18.0" customHeight="1">
      <c r="B81" s="12" t="s">
        <v>107</v>
      </c>
      <c r="C81" s="17"/>
      <c r="D81" s="18"/>
    </row>
    <row r="82" ht="18.0" customHeight="1">
      <c r="B82" s="12" t="s">
        <v>108</v>
      </c>
      <c r="C82" s="17"/>
      <c r="D82" s="18"/>
    </row>
    <row r="83" ht="18.0" customHeight="1">
      <c r="B83" s="12" t="s">
        <v>109</v>
      </c>
      <c r="C83" s="17"/>
      <c r="D83" s="18"/>
    </row>
    <row r="84" ht="18.0" customHeight="1">
      <c r="B84" s="12" t="s">
        <v>110</v>
      </c>
      <c r="C84" s="17"/>
      <c r="D84" s="18"/>
    </row>
    <row r="85" ht="18.0" customHeight="1">
      <c r="B85" s="12" t="s">
        <v>111</v>
      </c>
      <c r="C85" s="17"/>
      <c r="D85" s="18"/>
    </row>
    <row r="86" ht="18.0" customHeight="1">
      <c r="B86" s="12" t="s">
        <v>112</v>
      </c>
      <c r="C86" s="17"/>
      <c r="D86" s="18"/>
    </row>
    <row r="87" ht="18.0" customHeight="1">
      <c r="B87" s="12" t="s">
        <v>113</v>
      </c>
      <c r="C87" s="17"/>
      <c r="D87" s="18"/>
    </row>
    <row r="88" ht="18.0" customHeight="1">
      <c r="B88" s="12" t="s">
        <v>114</v>
      </c>
      <c r="C88" s="17"/>
      <c r="D88" s="18"/>
    </row>
    <row r="89" ht="18.0" customHeight="1">
      <c r="B89" s="12" t="s">
        <v>115</v>
      </c>
      <c r="C89" s="17"/>
      <c r="D89" s="18"/>
    </row>
    <row r="90" ht="18.0" customHeight="1">
      <c r="B90" s="12" t="s">
        <v>116</v>
      </c>
      <c r="C90" s="17"/>
      <c r="D90" s="18"/>
    </row>
    <row r="91" ht="18.0" customHeight="1">
      <c r="B91" s="12" t="s">
        <v>117</v>
      </c>
      <c r="C91" s="17"/>
      <c r="D91" s="18"/>
    </row>
    <row r="92" ht="18.0" customHeight="1">
      <c r="B92" s="12" t="s">
        <v>118</v>
      </c>
      <c r="C92" s="17"/>
      <c r="D92" s="18"/>
    </row>
    <row r="93" ht="18.0" customHeight="1">
      <c r="B93" s="12" t="s">
        <v>119</v>
      </c>
      <c r="C93" s="17"/>
      <c r="D93" s="18"/>
    </row>
    <row r="94" ht="18.0" customHeight="1">
      <c r="B94" s="12" t="s">
        <v>120</v>
      </c>
      <c r="C94" s="17"/>
      <c r="D94" s="18"/>
    </row>
    <row r="95" ht="18.0" customHeight="1">
      <c r="B95" s="12" t="s">
        <v>121</v>
      </c>
      <c r="C95" s="17"/>
      <c r="D95" s="18"/>
    </row>
    <row r="96" ht="18.0" customHeight="1">
      <c r="B96" s="12" t="s">
        <v>122</v>
      </c>
      <c r="C96" s="17"/>
      <c r="D96" s="18"/>
    </row>
    <row r="97" ht="18.0" customHeight="1">
      <c r="B97" s="12" t="s">
        <v>123</v>
      </c>
      <c r="C97" s="17"/>
      <c r="D97" s="18"/>
    </row>
    <row r="98" ht="18.0" customHeight="1">
      <c r="B98" s="12" t="s">
        <v>124</v>
      </c>
      <c r="C98" s="17"/>
      <c r="D98" s="18"/>
    </row>
    <row r="99" ht="18.0" customHeight="1">
      <c r="B99" s="12" t="s">
        <v>125</v>
      </c>
      <c r="C99" s="17"/>
      <c r="D99" s="18"/>
    </row>
    <row r="100" ht="18.0" customHeight="1">
      <c r="B100" s="12" t="s">
        <v>126</v>
      </c>
      <c r="C100" s="17"/>
      <c r="D100" s="18"/>
    </row>
    <row r="101" ht="18.0" customHeight="1">
      <c r="B101" s="12" t="s">
        <v>127</v>
      </c>
      <c r="C101" s="17"/>
      <c r="D101" s="18"/>
    </row>
    <row r="102" ht="18.0" customHeight="1">
      <c r="B102" s="12" t="s">
        <v>128</v>
      </c>
      <c r="C102" s="17"/>
      <c r="D102" s="18"/>
    </row>
    <row r="103" ht="18.0" customHeight="1">
      <c r="B103" s="12" t="s">
        <v>129</v>
      </c>
      <c r="C103" s="17"/>
      <c r="D103" s="18"/>
    </row>
    <row r="104" ht="18.0" customHeight="1">
      <c r="B104" s="12" t="s">
        <v>130</v>
      </c>
      <c r="C104" s="17"/>
      <c r="D104" s="18"/>
    </row>
    <row r="105" ht="18.0" customHeight="1">
      <c r="B105" s="12" t="s">
        <v>131</v>
      </c>
      <c r="C105" s="17"/>
      <c r="D105" s="18"/>
    </row>
    <row r="106" ht="18.0" customHeight="1">
      <c r="B106" s="12" t="s">
        <v>132</v>
      </c>
      <c r="C106" s="17"/>
      <c r="D106" s="18"/>
    </row>
    <row r="107" ht="18.0" customHeight="1">
      <c r="B107" s="12" t="s">
        <v>133</v>
      </c>
      <c r="C107" s="17"/>
      <c r="D107" s="18"/>
    </row>
    <row r="108" ht="18.0" customHeight="1">
      <c r="B108" s="12" t="s">
        <v>134</v>
      </c>
      <c r="C108" s="17"/>
      <c r="D108" s="18"/>
    </row>
    <row r="109" ht="18.0" customHeight="1">
      <c r="B109" s="12" t="s">
        <v>135</v>
      </c>
      <c r="C109" s="17"/>
      <c r="D109" s="18"/>
    </row>
    <row r="110" ht="18.0" customHeight="1">
      <c r="B110" s="12" t="s">
        <v>136</v>
      </c>
      <c r="C110" s="17"/>
      <c r="D110" s="18"/>
    </row>
    <row r="111" ht="18.0" customHeight="1">
      <c r="B111" s="12" t="s">
        <v>137</v>
      </c>
      <c r="C111" s="17"/>
      <c r="D111" s="18"/>
    </row>
    <row r="112" ht="18.0" customHeight="1">
      <c r="B112" s="12" t="s">
        <v>138</v>
      </c>
      <c r="C112" s="17"/>
      <c r="D112" s="18"/>
    </row>
    <row r="113" ht="18.0" customHeight="1">
      <c r="B113" s="12" t="s">
        <v>139</v>
      </c>
      <c r="C113" s="17"/>
      <c r="D113" s="18"/>
    </row>
    <row r="114" ht="18.0" customHeight="1">
      <c r="B114" s="12" t="s">
        <v>140</v>
      </c>
      <c r="C114" s="17"/>
      <c r="D114" s="18"/>
    </row>
    <row r="115" ht="18.0" customHeight="1">
      <c r="B115" s="12" t="s">
        <v>141</v>
      </c>
      <c r="C115" s="17"/>
      <c r="D115" s="18"/>
    </row>
    <row r="116" ht="21.75" customHeight="1">
      <c r="B116" s="10" t="s">
        <v>142</v>
      </c>
      <c r="C116" s="11"/>
      <c r="D116" s="11"/>
    </row>
    <row r="117" ht="18.0" customHeight="1">
      <c r="B117" s="12" t="s">
        <v>143</v>
      </c>
      <c r="C117" s="17"/>
      <c r="D117" s="18"/>
    </row>
    <row r="118" ht="18.0" customHeight="1">
      <c r="B118" s="12" t="s">
        <v>144</v>
      </c>
      <c r="C118" s="17"/>
      <c r="D118" s="18"/>
    </row>
    <row r="119" ht="18.0" customHeight="1">
      <c r="B119" s="12" t="s">
        <v>145</v>
      </c>
      <c r="C119" s="17"/>
      <c r="D119" s="18"/>
    </row>
    <row r="120" ht="18.0" customHeight="1">
      <c r="B120" s="12" t="s">
        <v>146</v>
      </c>
      <c r="C120" s="17"/>
      <c r="D120" s="18"/>
    </row>
    <row r="121" ht="18.0" customHeight="1">
      <c r="B121" s="12" t="s">
        <v>147</v>
      </c>
      <c r="C121" s="17"/>
      <c r="D121" s="18"/>
    </row>
    <row r="122" ht="18.0" customHeight="1">
      <c r="B122" s="12" t="s">
        <v>148</v>
      </c>
      <c r="C122" s="17"/>
      <c r="D122" s="18"/>
    </row>
    <row r="123" ht="18.0" customHeight="1">
      <c r="B123" s="12" t="s">
        <v>149</v>
      </c>
      <c r="C123" s="17"/>
      <c r="D123" s="18"/>
    </row>
    <row r="124" ht="18.0" customHeight="1">
      <c r="B124" s="12" t="s">
        <v>150</v>
      </c>
      <c r="C124" s="17"/>
      <c r="D124" s="18"/>
    </row>
    <row r="125" ht="21.75" customHeight="1">
      <c r="B125" s="10" t="s">
        <v>151</v>
      </c>
      <c r="C125" s="11"/>
      <c r="D125" s="11"/>
    </row>
    <row r="126" ht="18.0" customHeight="1">
      <c r="B126" s="12" t="s">
        <v>152</v>
      </c>
      <c r="C126" s="19"/>
      <c r="D126" s="19"/>
    </row>
    <row r="127" ht="18.0" customHeight="1">
      <c r="B127" s="12" t="s">
        <v>153</v>
      </c>
      <c r="C127" s="17"/>
      <c r="D127" s="18"/>
    </row>
    <row r="128" ht="18.0" customHeight="1">
      <c r="B128" s="12" t="s">
        <v>154</v>
      </c>
      <c r="C128" s="17"/>
      <c r="D128" s="18"/>
    </row>
    <row r="129" ht="18.0" customHeight="1">
      <c r="B129" s="12" t="s">
        <v>155</v>
      </c>
      <c r="C129" s="19"/>
      <c r="D129" s="19"/>
    </row>
    <row r="130" ht="18.0" customHeight="1">
      <c r="B130" s="12" t="s">
        <v>156</v>
      </c>
      <c r="C130" s="17"/>
      <c r="D130" s="18"/>
    </row>
    <row r="131" ht="18.0" customHeight="1">
      <c r="B131" s="12" t="s">
        <v>157</v>
      </c>
      <c r="C131" s="17"/>
      <c r="D131" s="18"/>
    </row>
    <row r="132" ht="18.0" customHeight="1">
      <c r="B132" s="12" t="s">
        <v>158</v>
      </c>
      <c r="C132" s="19"/>
      <c r="D132" s="19"/>
    </row>
    <row r="133" ht="18.0" customHeight="1">
      <c r="B133" s="12" t="s">
        <v>159</v>
      </c>
      <c r="C133" s="17"/>
      <c r="D133" s="18"/>
    </row>
    <row r="134" ht="18.0" customHeight="1">
      <c r="B134" s="12" t="s">
        <v>160</v>
      </c>
      <c r="C134" s="17"/>
      <c r="D134" s="18"/>
    </row>
    <row r="135" ht="18.0" customHeight="1">
      <c r="B135" s="12" t="s">
        <v>161</v>
      </c>
      <c r="C135" s="19"/>
      <c r="D135" s="19"/>
    </row>
    <row r="136" ht="18.0" customHeight="1">
      <c r="B136" s="12" t="s">
        <v>162</v>
      </c>
      <c r="C136" s="17"/>
      <c r="D136" s="18"/>
    </row>
    <row r="137" ht="18.0" customHeight="1">
      <c r="B137" s="12" t="s">
        <v>163</v>
      </c>
      <c r="C137" s="17"/>
      <c r="D137" s="18"/>
    </row>
    <row r="138" ht="18.0" customHeight="1">
      <c r="B138" s="12" t="s">
        <v>164</v>
      </c>
      <c r="C138" s="19"/>
      <c r="D138" s="19"/>
    </row>
    <row r="139" ht="18.0" customHeight="1">
      <c r="B139" s="12" t="s">
        <v>165</v>
      </c>
      <c r="C139" s="17"/>
      <c r="D139" s="18"/>
    </row>
    <row r="140" ht="18.0" customHeight="1">
      <c r="B140" s="12" t="s">
        <v>166</v>
      </c>
      <c r="C140" s="17"/>
      <c r="D140" s="18"/>
    </row>
    <row r="141" ht="18.0" customHeight="1">
      <c r="B141" s="12" t="s">
        <v>167</v>
      </c>
      <c r="C141" s="19"/>
      <c r="D141" s="19"/>
    </row>
    <row r="142" ht="18.0" customHeight="1">
      <c r="B142" s="12" t="s">
        <v>168</v>
      </c>
      <c r="C142" s="17"/>
      <c r="D142" s="18"/>
    </row>
    <row r="143" ht="18.0" customHeight="1">
      <c r="B143" s="12" t="s">
        <v>169</v>
      </c>
      <c r="C143" s="17"/>
      <c r="D143" s="18"/>
    </row>
    <row r="144" ht="18.0" customHeight="1">
      <c r="B144" s="12" t="s">
        <v>170</v>
      </c>
      <c r="C144" s="19"/>
      <c r="D144" s="19"/>
    </row>
    <row r="145" ht="18.0" customHeight="1">
      <c r="B145" s="12" t="s">
        <v>171</v>
      </c>
      <c r="C145" s="17"/>
      <c r="D145" s="18"/>
    </row>
    <row r="146" ht="18.0" customHeight="1">
      <c r="B146" s="12" t="s">
        <v>172</v>
      </c>
      <c r="C146" s="17"/>
      <c r="D146" s="18"/>
    </row>
    <row r="147" ht="18.0" customHeight="1">
      <c r="B147" s="12" t="s">
        <v>173</v>
      </c>
      <c r="C147" s="19"/>
      <c r="D147" s="19"/>
    </row>
    <row r="148" ht="18.0" customHeight="1">
      <c r="B148" s="12" t="s">
        <v>174</v>
      </c>
      <c r="C148" s="17"/>
      <c r="D148" s="18"/>
    </row>
    <row r="149" ht="18.0" customHeight="1">
      <c r="B149" s="12" t="s">
        <v>175</v>
      </c>
      <c r="C149" s="17"/>
      <c r="D149" s="18"/>
    </row>
    <row r="150" ht="18.0" customHeight="1">
      <c r="B150" s="12" t="s">
        <v>176</v>
      </c>
      <c r="C150" s="19"/>
      <c r="D150" s="19"/>
    </row>
    <row r="151" ht="18.0" customHeight="1">
      <c r="B151" s="12" t="s">
        <v>177</v>
      </c>
      <c r="C151" s="17"/>
      <c r="D151" s="18"/>
    </row>
    <row r="152" ht="18.0" customHeight="1">
      <c r="B152" s="12" t="s">
        <v>178</v>
      </c>
      <c r="C152" s="17"/>
      <c r="D152" s="18"/>
    </row>
    <row r="153" ht="18.0" customHeight="1">
      <c r="B153" s="12" t="s">
        <v>179</v>
      </c>
      <c r="C153" s="19"/>
      <c r="D153" s="19"/>
    </row>
    <row r="154" ht="18.0" customHeight="1">
      <c r="B154" s="12" t="s">
        <v>180</v>
      </c>
      <c r="C154" s="17"/>
      <c r="D154" s="18"/>
    </row>
    <row r="155" ht="18.0" customHeight="1">
      <c r="B155" s="12" t="s">
        <v>181</v>
      </c>
      <c r="C155" s="17"/>
      <c r="D155" s="18"/>
    </row>
    <row r="156" ht="18.0" customHeight="1">
      <c r="B156" s="12" t="s">
        <v>182</v>
      </c>
      <c r="C156" s="19"/>
      <c r="D156" s="19"/>
    </row>
    <row r="157" ht="18.0" customHeight="1">
      <c r="B157" s="12" t="s">
        <v>183</v>
      </c>
      <c r="C157" s="17"/>
      <c r="D157" s="18"/>
    </row>
    <row r="158" ht="18.0" customHeight="1">
      <c r="B158" s="12" t="s">
        <v>184</v>
      </c>
      <c r="C158" s="17"/>
      <c r="D158" s="18"/>
    </row>
    <row r="159" ht="18.0" customHeight="1">
      <c r="B159" s="12" t="s">
        <v>185</v>
      </c>
      <c r="C159" s="19"/>
      <c r="D159" s="19"/>
    </row>
    <row r="160" ht="18.0" customHeight="1">
      <c r="B160" s="12" t="s">
        <v>186</v>
      </c>
      <c r="C160" s="17"/>
      <c r="D160" s="18"/>
    </row>
    <row r="161" ht="18.0" customHeight="1">
      <c r="B161" s="12" t="s">
        <v>187</v>
      </c>
      <c r="C161" s="17"/>
      <c r="D161" s="18"/>
    </row>
    <row r="162" ht="18.0" customHeight="1">
      <c r="B162" s="12" t="s">
        <v>188</v>
      </c>
      <c r="C162" s="19"/>
      <c r="D162" s="19"/>
    </row>
    <row r="163" ht="18.0" customHeight="1">
      <c r="B163" s="12" t="s">
        <v>189</v>
      </c>
      <c r="C163" s="17"/>
      <c r="D163" s="18"/>
    </row>
    <row r="164" ht="18.0" customHeight="1">
      <c r="B164" s="12" t="s">
        <v>190</v>
      </c>
      <c r="C164" s="17"/>
      <c r="D164" s="18"/>
    </row>
    <row r="165" ht="18.0" customHeight="1">
      <c r="B165" s="12" t="s">
        <v>191</v>
      </c>
      <c r="C165" s="19"/>
      <c r="D165" s="19"/>
    </row>
    <row r="166" ht="18.0" customHeight="1">
      <c r="B166" s="12" t="s">
        <v>192</v>
      </c>
      <c r="C166" s="17"/>
      <c r="D166" s="18"/>
    </row>
    <row r="167" ht="18.0" customHeight="1">
      <c r="B167" s="12" t="s">
        <v>193</v>
      </c>
      <c r="C167" s="17"/>
      <c r="D167" s="18"/>
    </row>
    <row r="168" ht="18.0" customHeight="1">
      <c r="B168" s="12" t="s">
        <v>194</v>
      </c>
      <c r="C168" s="19"/>
      <c r="D168" s="19"/>
    </row>
    <row r="169" ht="18.0" customHeight="1">
      <c r="B169" s="12" t="s">
        <v>195</v>
      </c>
      <c r="C169" s="17"/>
      <c r="D169" s="18"/>
    </row>
    <row r="170" ht="18.0" customHeight="1">
      <c r="B170" s="12" t="s">
        <v>196</v>
      </c>
      <c r="C170" s="17"/>
      <c r="D170" s="18"/>
    </row>
    <row r="171" ht="18.0" customHeight="1">
      <c r="B171" s="12" t="s">
        <v>197</v>
      </c>
      <c r="C171" s="19"/>
      <c r="D171" s="19"/>
    </row>
    <row r="172" ht="18.0" customHeight="1">
      <c r="B172" s="12" t="s">
        <v>198</v>
      </c>
      <c r="C172" s="17"/>
      <c r="D172" s="18"/>
    </row>
    <row r="173" ht="18.0" customHeight="1">
      <c r="B173" s="12" t="s">
        <v>199</v>
      </c>
      <c r="C173" s="17"/>
      <c r="D173" s="18"/>
    </row>
    <row r="174" ht="21.75" customHeight="1">
      <c r="B174" s="10" t="s">
        <v>200</v>
      </c>
      <c r="C174" s="11"/>
      <c r="D174" s="11"/>
    </row>
    <row r="175" ht="18.0" customHeight="1">
      <c r="B175" s="12" t="s">
        <v>201</v>
      </c>
      <c r="C175" s="19"/>
      <c r="D175" s="19"/>
    </row>
    <row r="176" ht="18.0" customHeight="1">
      <c r="B176" s="12" t="s">
        <v>202</v>
      </c>
      <c r="C176" s="17"/>
      <c r="D176" s="18"/>
    </row>
    <row r="177" ht="18.0" customHeight="1">
      <c r="B177" s="12" t="s">
        <v>203</v>
      </c>
      <c r="C177" s="17"/>
      <c r="D177" s="18"/>
    </row>
    <row r="178" ht="18.0" customHeight="1">
      <c r="B178" s="12" t="s">
        <v>204</v>
      </c>
      <c r="C178" s="19"/>
      <c r="D178" s="19"/>
    </row>
    <row r="179" ht="18.0" customHeight="1">
      <c r="B179" s="12" t="s">
        <v>205</v>
      </c>
      <c r="C179" s="17"/>
      <c r="D179" s="18"/>
    </row>
    <row r="180" ht="18.0" customHeight="1">
      <c r="B180" s="12" t="s">
        <v>206</v>
      </c>
      <c r="C180" s="17"/>
      <c r="D180" s="18"/>
    </row>
    <row r="181" ht="18.0" customHeight="1">
      <c r="B181" s="12" t="s">
        <v>207</v>
      </c>
      <c r="C181" s="19"/>
      <c r="D181" s="19"/>
    </row>
    <row r="182" ht="18.0" customHeight="1">
      <c r="B182" s="12" t="s">
        <v>208</v>
      </c>
      <c r="C182" s="17"/>
      <c r="D182" s="18"/>
    </row>
    <row r="183" ht="18.0" customHeight="1">
      <c r="B183" s="12" t="s">
        <v>209</v>
      </c>
      <c r="C183" s="17"/>
      <c r="D183" s="18"/>
    </row>
    <row r="184" ht="18.0" customHeight="1">
      <c r="B184" s="12" t="s">
        <v>210</v>
      </c>
      <c r="C184" s="19"/>
      <c r="D184" s="19"/>
    </row>
    <row r="185" ht="18.0" customHeight="1">
      <c r="B185" s="12" t="s">
        <v>211</v>
      </c>
      <c r="C185" s="17"/>
      <c r="D185" s="18"/>
    </row>
    <row r="186" ht="18.0" customHeight="1">
      <c r="B186" s="12" t="s">
        <v>212</v>
      </c>
      <c r="C186" s="17"/>
      <c r="D186" s="18"/>
    </row>
    <row r="187" ht="18.0" customHeight="1">
      <c r="B187" s="12" t="s">
        <v>213</v>
      </c>
      <c r="C187" s="19"/>
      <c r="D187" s="19"/>
    </row>
    <row r="188" ht="18.0" customHeight="1">
      <c r="B188" s="12" t="s">
        <v>214</v>
      </c>
      <c r="C188" s="17"/>
      <c r="D188" s="18"/>
    </row>
    <row r="189" ht="18.0" customHeight="1">
      <c r="B189" s="12" t="s">
        <v>215</v>
      </c>
      <c r="C189" s="17"/>
      <c r="D189" s="18"/>
    </row>
    <row r="190" ht="18.0" customHeight="1">
      <c r="B190" s="12" t="s">
        <v>216</v>
      </c>
      <c r="C190" s="19"/>
      <c r="D190" s="19"/>
    </row>
    <row r="191" ht="18.0" customHeight="1">
      <c r="B191" s="12" t="s">
        <v>217</v>
      </c>
      <c r="C191" s="17"/>
      <c r="D191" s="18"/>
    </row>
    <row r="192" ht="18.0" customHeight="1">
      <c r="B192" s="12" t="s">
        <v>218</v>
      </c>
      <c r="C192" s="17"/>
      <c r="D192" s="18"/>
    </row>
    <row r="193" ht="18.0" customHeight="1">
      <c r="B193" s="12" t="s">
        <v>219</v>
      </c>
      <c r="C193" s="19"/>
      <c r="D193" s="19"/>
    </row>
    <row r="194" ht="18.0" customHeight="1">
      <c r="B194" s="12" t="s">
        <v>220</v>
      </c>
      <c r="C194" s="17"/>
      <c r="D194" s="18"/>
    </row>
    <row r="195" ht="18.0" customHeight="1">
      <c r="B195" s="12" t="s">
        <v>221</v>
      </c>
      <c r="C195" s="17"/>
      <c r="D195" s="18"/>
    </row>
    <row r="196" ht="18.0" customHeight="1">
      <c r="B196" s="12" t="s">
        <v>222</v>
      </c>
      <c r="C196" s="19"/>
      <c r="D196" s="19"/>
    </row>
    <row r="197" ht="18.0" customHeight="1">
      <c r="B197" s="12" t="s">
        <v>223</v>
      </c>
      <c r="C197" s="17"/>
      <c r="D197" s="18"/>
    </row>
    <row r="198" ht="18.0" customHeight="1">
      <c r="B198" s="12" t="s">
        <v>224</v>
      </c>
      <c r="C198" s="17"/>
      <c r="D198" s="18"/>
    </row>
    <row r="199" ht="21.75" customHeight="1">
      <c r="B199" s="10" t="s">
        <v>225</v>
      </c>
      <c r="C199" s="11"/>
      <c r="D199" s="11"/>
    </row>
    <row r="200" ht="18.0" customHeight="1">
      <c r="B200" s="12" t="s">
        <v>226</v>
      </c>
      <c r="C200" s="19"/>
      <c r="D200" s="19"/>
    </row>
    <row r="201" ht="18.0" customHeight="1">
      <c r="B201" s="12" t="s">
        <v>227</v>
      </c>
      <c r="C201" s="17"/>
      <c r="D201" s="18"/>
    </row>
    <row r="202" ht="18.0" customHeight="1">
      <c r="B202" s="12" t="s">
        <v>228</v>
      </c>
      <c r="C202" s="17"/>
      <c r="D202" s="18"/>
    </row>
    <row r="203" ht="18.0" customHeight="1">
      <c r="B203" s="12" t="s">
        <v>229</v>
      </c>
      <c r="C203" s="19"/>
      <c r="D203" s="19"/>
    </row>
    <row r="204" ht="18.0" customHeight="1">
      <c r="B204" s="12" t="s">
        <v>230</v>
      </c>
      <c r="C204" s="17"/>
      <c r="D204" s="18"/>
    </row>
    <row r="205" ht="18.0" customHeight="1">
      <c r="B205" s="12" t="s">
        <v>231</v>
      </c>
      <c r="C205" s="17"/>
      <c r="D205" s="18"/>
    </row>
    <row r="206" ht="18.0" customHeight="1">
      <c r="B206" s="12" t="s">
        <v>232</v>
      </c>
      <c r="C206" s="19"/>
      <c r="D206" s="19"/>
    </row>
    <row r="207" ht="18.0" customHeight="1">
      <c r="B207" s="12" t="s">
        <v>233</v>
      </c>
      <c r="C207" s="17"/>
      <c r="D207" s="18"/>
    </row>
    <row r="208" ht="18.0" customHeight="1">
      <c r="B208" s="12" t="s">
        <v>234</v>
      </c>
      <c r="C208" s="17"/>
      <c r="D208" s="18"/>
    </row>
    <row r="209" ht="18.0" customHeight="1">
      <c r="B209" s="12" t="s">
        <v>235</v>
      </c>
      <c r="C209" s="19"/>
      <c r="D209" s="19"/>
    </row>
    <row r="210" ht="18.0" customHeight="1">
      <c r="B210" s="12" t="s">
        <v>236</v>
      </c>
      <c r="C210" s="17"/>
      <c r="D210" s="18"/>
    </row>
    <row r="211" ht="18.0" customHeight="1">
      <c r="B211" s="12" t="s">
        <v>237</v>
      </c>
      <c r="C211" s="17"/>
      <c r="D211" s="18"/>
    </row>
    <row r="212" ht="21.75" customHeight="1">
      <c r="B212" s="10" t="s">
        <v>238</v>
      </c>
      <c r="C212" s="11"/>
      <c r="D212" s="11"/>
    </row>
    <row r="213" ht="18.0" customHeight="1">
      <c r="B213" s="12" t="s">
        <v>239</v>
      </c>
      <c r="C213" s="19"/>
      <c r="D213" s="19"/>
    </row>
    <row r="214" ht="18.0" customHeight="1">
      <c r="B214" s="12" t="s">
        <v>240</v>
      </c>
      <c r="C214" s="17"/>
      <c r="D214" s="18"/>
    </row>
    <row r="215" ht="18.0" customHeight="1">
      <c r="B215" s="12" t="s">
        <v>241</v>
      </c>
      <c r="C215" s="17"/>
      <c r="D215" s="18"/>
    </row>
    <row r="216" ht="18.0" customHeight="1">
      <c r="B216" s="12" t="s">
        <v>242</v>
      </c>
      <c r="C216" s="19"/>
      <c r="D216" s="19"/>
    </row>
    <row r="217" ht="18.0" customHeight="1">
      <c r="B217" s="12" t="s">
        <v>243</v>
      </c>
      <c r="C217" s="17"/>
      <c r="D217" s="18"/>
    </row>
    <row r="218" ht="18.0" customHeight="1">
      <c r="B218" s="12" t="s">
        <v>244</v>
      </c>
      <c r="C218" s="17"/>
      <c r="D218" s="18"/>
    </row>
    <row r="219" ht="21.75" customHeight="1">
      <c r="B219" s="10" t="s">
        <v>245</v>
      </c>
      <c r="C219" s="11"/>
      <c r="D219" s="11"/>
    </row>
    <row r="220" ht="18.0" customHeight="1">
      <c r="B220" s="12" t="s">
        <v>246</v>
      </c>
      <c r="C220" s="19"/>
      <c r="D220" s="19"/>
    </row>
    <row r="221" ht="18.0" customHeight="1">
      <c r="B221" s="12" t="s">
        <v>247</v>
      </c>
      <c r="C221" s="17"/>
      <c r="D221" s="18"/>
    </row>
    <row r="222" ht="18.0" customHeight="1">
      <c r="B222" s="12" t="s">
        <v>248</v>
      </c>
      <c r="C222" s="17"/>
      <c r="D222" s="18"/>
    </row>
    <row r="223" ht="18.0" customHeight="1">
      <c r="B223" s="12" t="s">
        <v>249</v>
      </c>
      <c r="C223" s="19"/>
      <c r="D223" s="19"/>
    </row>
    <row r="224" ht="18.0" customHeight="1">
      <c r="B224" s="12" t="s">
        <v>250</v>
      </c>
      <c r="C224" s="17"/>
      <c r="D224" s="18"/>
    </row>
    <row r="225" ht="18.0" customHeight="1">
      <c r="B225" s="12" t="s">
        <v>251</v>
      </c>
      <c r="C225" s="17"/>
      <c r="D225" s="18"/>
    </row>
    <row r="226" ht="18.0" customHeight="1">
      <c r="B226" s="12" t="s">
        <v>252</v>
      </c>
      <c r="C226" s="17"/>
      <c r="D226" s="18"/>
    </row>
    <row r="227" ht="21.75" customHeight="1">
      <c r="B227" s="10" t="s">
        <v>253</v>
      </c>
      <c r="C227" s="11"/>
      <c r="D227" s="11"/>
    </row>
    <row r="228" ht="18.0" customHeight="1">
      <c r="B228" s="12" t="s">
        <v>254</v>
      </c>
      <c r="C228" s="17"/>
      <c r="D228" s="18"/>
    </row>
    <row r="229" ht="18.0" customHeight="1">
      <c r="B229" s="12" t="s">
        <v>255</v>
      </c>
      <c r="C229" s="17"/>
      <c r="D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62" width="10.0"/>
  </cols>
  <sheetData>
    <row r="2" ht="27.75" customHeight="1">
      <c r="B2" s="20" t="s">
        <v>256</v>
      </c>
    </row>
    <row r="3" ht="31.5" customHeight="1">
      <c r="B3" s="21" t="s">
        <v>257</v>
      </c>
    </row>
    <row r="5" ht="21.75" customHeight="1">
      <c r="B5" s="22" t="s">
        <v>258</v>
      </c>
      <c r="C5" s="23" t="s">
        <v>259</v>
      </c>
      <c r="D5" s="24"/>
      <c r="E5" s="23" t="s">
        <v>260</v>
      </c>
      <c r="F5" s="24"/>
      <c r="G5" s="23" t="s">
        <v>261</v>
      </c>
      <c r="H5" s="24"/>
      <c r="I5" s="23" t="s">
        <v>262</v>
      </c>
      <c r="J5" s="24"/>
      <c r="K5" s="23" t="s">
        <v>263</v>
      </c>
      <c r="L5" s="24"/>
      <c r="M5" s="23" t="s">
        <v>264</v>
      </c>
      <c r="N5" s="24"/>
      <c r="O5" s="23" t="s">
        <v>265</v>
      </c>
      <c r="P5" s="24"/>
      <c r="Q5" s="23" t="s">
        <v>266</v>
      </c>
      <c r="R5" s="24"/>
      <c r="S5" s="23" t="s">
        <v>267</v>
      </c>
      <c r="T5" s="24"/>
      <c r="U5" s="23" t="s">
        <v>268</v>
      </c>
      <c r="V5" s="24"/>
      <c r="W5" s="23" t="s">
        <v>269</v>
      </c>
      <c r="X5" s="24"/>
      <c r="Y5" s="23" t="s">
        <v>270</v>
      </c>
      <c r="Z5" s="24"/>
      <c r="AA5" s="23" t="s">
        <v>271</v>
      </c>
      <c r="AB5" s="24"/>
      <c r="AC5" s="23" t="s">
        <v>272</v>
      </c>
      <c r="AD5" s="24"/>
      <c r="AE5" s="23" t="s">
        <v>273</v>
      </c>
      <c r="AF5" s="24"/>
      <c r="AG5" s="23" t="s">
        <v>274</v>
      </c>
      <c r="AH5" s="24"/>
      <c r="AI5" s="23" t="s">
        <v>275</v>
      </c>
      <c r="AJ5" s="24"/>
      <c r="AK5" s="23" t="s">
        <v>276</v>
      </c>
      <c r="AL5" s="24"/>
      <c r="AM5" s="23" t="s">
        <v>277</v>
      </c>
      <c r="AN5" s="24"/>
      <c r="AO5" s="23" t="s">
        <v>278</v>
      </c>
      <c r="AP5" s="24"/>
      <c r="AQ5" s="23" t="s">
        <v>279</v>
      </c>
      <c r="AR5" s="24"/>
      <c r="AS5" s="23" t="s">
        <v>280</v>
      </c>
      <c r="AT5" s="24"/>
      <c r="AU5" s="23" t="s">
        <v>281</v>
      </c>
      <c r="AV5" s="24"/>
      <c r="AW5" s="23" t="s">
        <v>282</v>
      </c>
      <c r="AX5" s="24"/>
      <c r="AY5" s="23" t="s">
        <v>283</v>
      </c>
      <c r="AZ5" s="24"/>
      <c r="BA5" s="23" t="s">
        <v>284</v>
      </c>
      <c r="BB5" s="24"/>
      <c r="BC5" s="23" t="s">
        <v>285</v>
      </c>
      <c r="BD5" s="24"/>
      <c r="BE5" s="23" t="s">
        <v>286</v>
      </c>
      <c r="BF5" s="24"/>
      <c r="BG5" s="23" t="s">
        <v>287</v>
      </c>
      <c r="BH5" s="24"/>
      <c r="BI5" s="23" t="s">
        <v>288</v>
      </c>
      <c r="BJ5" s="24"/>
    </row>
    <row r="6" ht="21.75" customHeight="1">
      <c r="B6" s="10" t="s">
        <v>27</v>
      </c>
      <c r="C6" s="25" t="s">
        <v>289</v>
      </c>
      <c r="D6" s="26"/>
      <c r="E6" s="25" t="s">
        <v>290</v>
      </c>
      <c r="F6" s="26"/>
      <c r="G6" s="25" t="s">
        <v>291</v>
      </c>
      <c r="H6" s="26"/>
      <c r="I6" s="25" t="s">
        <v>292</v>
      </c>
      <c r="J6" s="26"/>
      <c r="K6" s="25" t="s">
        <v>293</v>
      </c>
      <c r="L6" s="26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7"/>
      <c r="AB6" s="28"/>
      <c r="AC6" s="27"/>
      <c r="AD6" s="28"/>
      <c r="AE6" s="27"/>
      <c r="AF6" s="28"/>
      <c r="AG6" s="27"/>
      <c r="AH6" s="28"/>
      <c r="AI6" s="27"/>
      <c r="AJ6" s="28"/>
      <c r="AK6" s="27"/>
      <c r="AL6" s="28"/>
      <c r="AM6" s="27"/>
      <c r="AN6" s="28"/>
      <c r="AO6" s="27"/>
      <c r="AP6" s="28"/>
      <c r="AQ6" s="27"/>
      <c r="AR6" s="28"/>
      <c r="AS6" s="27"/>
      <c r="AT6" s="28"/>
      <c r="AU6" s="27"/>
      <c r="AV6" s="28"/>
      <c r="AW6" s="27"/>
      <c r="AX6" s="28"/>
      <c r="AY6" s="27"/>
      <c r="AZ6" s="28"/>
      <c r="BA6" s="27"/>
      <c r="BB6" s="28"/>
      <c r="BC6" s="27"/>
      <c r="BD6" s="28"/>
      <c r="BE6" s="27"/>
      <c r="BF6" s="28"/>
      <c r="BG6" s="27"/>
      <c r="BH6" s="28"/>
      <c r="BI6" s="27"/>
      <c r="BJ6" s="28"/>
    </row>
    <row r="7" ht="18.0" customHeight="1">
      <c r="B7" s="12" t="s">
        <v>28</v>
      </c>
      <c r="C7" s="29">
        <v>2.0</v>
      </c>
      <c r="D7" s="29">
        <v>1.0</v>
      </c>
      <c r="E7" s="29">
        <v>2.0</v>
      </c>
      <c r="F7" s="29">
        <v>0.0</v>
      </c>
      <c r="G7" s="29">
        <v>3.0</v>
      </c>
      <c r="H7" s="29">
        <v>0.0</v>
      </c>
      <c r="I7" s="29">
        <v>3.0</v>
      </c>
      <c r="J7" s="29">
        <v>1.0</v>
      </c>
      <c r="K7" s="29">
        <v>2.0</v>
      </c>
      <c r="L7" s="29">
        <v>1.0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ht="18.0" customHeight="1">
      <c r="B8" s="12" t="s">
        <v>29</v>
      </c>
      <c r="C8" s="29">
        <v>1.0</v>
      </c>
      <c r="D8" s="29">
        <v>1.0</v>
      </c>
      <c r="E8" s="29">
        <v>1.0</v>
      </c>
      <c r="F8" s="29">
        <v>1.0</v>
      </c>
      <c r="G8" s="29">
        <v>1.0</v>
      </c>
      <c r="H8" s="29">
        <v>1.0</v>
      </c>
      <c r="I8" s="29">
        <v>2.0</v>
      </c>
      <c r="J8" s="29">
        <v>1.0</v>
      </c>
      <c r="K8" s="29">
        <v>2.0</v>
      </c>
      <c r="L8" s="29">
        <v>1.0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</row>
    <row r="9" ht="18.0" customHeight="1">
      <c r="B9" s="12" t="s">
        <v>30</v>
      </c>
      <c r="C9" s="29">
        <v>2.0</v>
      </c>
      <c r="D9" s="29">
        <v>0.0</v>
      </c>
      <c r="E9" s="29">
        <v>1.0</v>
      </c>
      <c r="F9" s="29">
        <v>0.0</v>
      </c>
      <c r="G9" s="29">
        <v>1.0</v>
      </c>
      <c r="H9" s="29">
        <v>0.0</v>
      </c>
      <c r="I9" s="29">
        <v>2.0</v>
      </c>
      <c r="J9" s="29">
        <v>0.0</v>
      </c>
      <c r="K9" s="29">
        <v>2.0</v>
      </c>
      <c r="L9" s="29">
        <v>1.0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</row>
    <row r="10" ht="18.0" customHeight="1">
      <c r="B10" s="12" t="s">
        <v>31</v>
      </c>
      <c r="C10" s="29">
        <v>2.0</v>
      </c>
      <c r="D10" s="29">
        <v>1.0</v>
      </c>
      <c r="E10" s="29">
        <v>1.0</v>
      </c>
      <c r="F10" s="29">
        <v>1.0</v>
      </c>
      <c r="G10" s="29">
        <v>3.0</v>
      </c>
      <c r="H10" s="29">
        <v>1.0</v>
      </c>
      <c r="I10" s="29">
        <v>1.0</v>
      </c>
      <c r="J10" s="29">
        <v>1.0</v>
      </c>
      <c r="K10" s="29">
        <v>2.0</v>
      </c>
      <c r="L10" s="29">
        <v>1.0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</row>
    <row r="11" ht="18.0" customHeight="1">
      <c r="B11" s="12" t="s">
        <v>32</v>
      </c>
      <c r="C11" s="29">
        <v>1.0</v>
      </c>
      <c r="D11" s="29">
        <v>2.0</v>
      </c>
      <c r="E11" s="29">
        <v>0.0</v>
      </c>
      <c r="F11" s="29">
        <v>2.0</v>
      </c>
      <c r="G11" s="29">
        <v>1.0</v>
      </c>
      <c r="H11" s="29">
        <v>1.0</v>
      </c>
      <c r="I11" s="29">
        <v>1.0</v>
      </c>
      <c r="J11" s="29">
        <v>2.0</v>
      </c>
      <c r="K11" s="29">
        <v>1.0</v>
      </c>
      <c r="L11" s="29">
        <v>2.0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</row>
    <row r="12" ht="18.0" customHeight="1">
      <c r="B12" s="12" t="s">
        <v>33</v>
      </c>
      <c r="C12" s="29">
        <v>1.0</v>
      </c>
      <c r="D12" s="29">
        <v>2.0</v>
      </c>
      <c r="E12" s="29">
        <v>0.0</v>
      </c>
      <c r="F12" s="29">
        <v>2.0</v>
      </c>
      <c r="G12" s="29">
        <v>0.0</v>
      </c>
      <c r="H12" s="29">
        <v>2.0</v>
      </c>
      <c r="I12" s="29">
        <v>1.0</v>
      </c>
      <c r="J12" s="29">
        <v>2.0</v>
      </c>
      <c r="K12" s="29">
        <v>1.0</v>
      </c>
      <c r="L12" s="29">
        <v>2.0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</row>
    <row r="13" ht="18.0" customHeight="1">
      <c r="B13" s="12" t="s">
        <v>34</v>
      </c>
      <c r="C13" s="29">
        <v>2.0</v>
      </c>
      <c r="D13" s="29">
        <v>0.0</v>
      </c>
      <c r="E13" s="29">
        <v>2.0</v>
      </c>
      <c r="F13" s="29">
        <v>1.0</v>
      </c>
      <c r="G13" s="29">
        <v>2.0</v>
      </c>
      <c r="H13" s="29">
        <v>0.0</v>
      </c>
      <c r="I13" s="29">
        <v>2.0</v>
      </c>
      <c r="J13" s="29">
        <v>0.0</v>
      </c>
      <c r="K13" s="29">
        <v>2.0</v>
      </c>
      <c r="L13" s="29">
        <v>1.0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ht="18.0" customHeight="1">
      <c r="B14" s="12" t="s">
        <v>35</v>
      </c>
      <c r="C14" s="29">
        <v>0.0</v>
      </c>
      <c r="D14" s="29">
        <v>2.0</v>
      </c>
      <c r="E14" s="29">
        <v>1.0</v>
      </c>
      <c r="F14" s="29">
        <v>2.0</v>
      </c>
      <c r="G14" s="29">
        <v>0.0</v>
      </c>
      <c r="H14" s="29">
        <v>2.0</v>
      </c>
      <c r="I14" s="29">
        <v>0.0</v>
      </c>
      <c r="J14" s="29">
        <v>3.0</v>
      </c>
      <c r="K14" s="29">
        <v>1.0</v>
      </c>
      <c r="L14" s="29">
        <v>2.0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</row>
    <row r="15" ht="18.0" customHeight="1">
      <c r="B15" s="12" t="s">
        <v>36</v>
      </c>
      <c r="C15" s="29">
        <v>1.0</v>
      </c>
      <c r="D15" s="29">
        <v>1.0</v>
      </c>
      <c r="E15" s="29">
        <v>2.0</v>
      </c>
      <c r="F15" s="29">
        <v>0.0</v>
      </c>
      <c r="G15" s="29">
        <v>1.0</v>
      </c>
      <c r="H15" s="29">
        <v>0.0</v>
      </c>
      <c r="I15" s="29">
        <v>1.0</v>
      </c>
      <c r="J15" s="29">
        <v>0.0</v>
      </c>
      <c r="K15" s="29">
        <v>2.0</v>
      </c>
      <c r="L15" s="29">
        <v>1.0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</row>
    <row r="16" ht="18.0" customHeight="1">
      <c r="B16" s="12" t="s">
        <v>37</v>
      </c>
      <c r="C16" s="29">
        <v>2.0</v>
      </c>
      <c r="D16" s="29">
        <v>1.0</v>
      </c>
      <c r="E16" s="29">
        <v>2.0</v>
      </c>
      <c r="F16" s="29">
        <v>1.0</v>
      </c>
      <c r="G16" s="29">
        <v>2.0</v>
      </c>
      <c r="H16" s="29">
        <v>1.0</v>
      </c>
      <c r="I16" s="29">
        <v>2.0</v>
      </c>
      <c r="J16" s="29">
        <v>0.0</v>
      </c>
      <c r="K16" s="29">
        <v>2.0</v>
      </c>
      <c r="L16" s="29">
        <v>1.0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</row>
    <row r="17" ht="18.0" customHeight="1">
      <c r="B17" s="12" t="s">
        <v>38</v>
      </c>
      <c r="C17" s="29">
        <v>1.0</v>
      </c>
      <c r="D17" s="29">
        <v>1.0</v>
      </c>
      <c r="E17" s="29">
        <v>1.0</v>
      </c>
      <c r="F17" s="29">
        <v>1.0</v>
      </c>
      <c r="G17" s="29">
        <v>1.0</v>
      </c>
      <c r="H17" s="29">
        <v>0.0</v>
      </c>
      <c r="I17" s="29">
        <v>2.0</v>
      </c>
      <c r="J17" s="29">
        <v>1.0</v>
      </c>
      <c r="K17" s="29">
        <v>2.0</v>
      </c>
      <c r="L17" s="29">
        <v>1.0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</row>
    <row r="18" ht="18.0" customHeight="1">
      <c r="B18" s="12" t="s">
        <v>39</v>
      </c>
      <c r="C18" s="29">
        <v>2.0</v>
      </c>
      <c r="D18" s="29">
        <v>1.0</v>
      </c>
      <c r="E18" s="29">
        <v>2.0</v>
      </c>
      <c r="F18" s="29">
        <v>1.0</v>
      </c>
      <c r="G18" s="29">
        <v>1.0</v>
      </c>
      <c r="H18" s="29">
        <v>2.0</v>
      </c>
      <c r="I18" s="29">
        <v>1.0</v>
      </c>
      <c r="J18" s="29">
        <v>0.0</v>
      </c>
      <c r="K18" s="29">
        <v>2.0</v>
      </c>
      <c r="L18" s="29">
        <v>1.0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</row>
    <row r="19" ht="18.0" customHeight="1">
      <c r="B19" s="12" t="s">
        <v>40</v>
      </c>
      <c r="C19" s="29">
        <v>2.0</v>
      </c>
      <c r="D19" s="29">
        <v>1.0</v>
      </c>
      <c r="E19" s="29">
        <v>2.0</v>
      </c>
      <c r="F19" s="29">
        <v>0.0</v>
      </c>
      <c r="G19" s="29">
        <v>2.0</v>
      </c>
      <c r="H19" s="29">
        <v>2.0</v>
      </c>
      <c r="I19" s="29">
        <v>1.0</v>
      </c>
      <c r="J19" s="29">
        <v>2.0</v>
      </c>
      <c r="K19" s="29">
        <v>2.0</v>
      </c>
      <c r="L19" s="29">
        <v>1.0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</row>
    <row r="20" ht="18.0" customHeight="1">
      <c r="B20" s="12" t="s">
        <v>41</v>
      </c>
      <c r="C20" s="29">
        <v>0.0</v>
      </c>
      <c r="D20" s="29">
        <v>3.0</v>
      </c>
      <c r="E20" s="29">
        <v>0.0</v>
      </c>
      <c r="F20" s="29">
        <v>2.0</v>
      </c>
      <c r="G20" s="29">
        <v>0.0</v>
      </c>
      <c r="H20" s="29">
        <v>2.0</v>
      </c>
      <c r="I20" s="29">
        <v>0.0</v>
      </c>
      <c r="J20" s="29">
        <v>2.0</v>
      </c>
      <c r="K20" s="29">
        <v>1.0</v>
      </c>
      <c r="L20" s="29">
        <v>2.0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</row>
    <row r="21" ht="18.0" customHeight="1">
      <c r="B21" s="12" t="s">
        <v>42</v>
      </c>
      <c r="C21" s="29">
        <v>1.0</v>
      </c>
      <c r="D21" s="29">
        <v>2.0</v>
      </c>
      <c r="E21" s="29">
        <v>1.0</v>
      </c>
      <c r="F21" s="29">
        <v>1.0</v>
      </c>
      <c r="G21" s="29">
        <v>1.0</v>
      </c>
      <c r="H21" s="29">
        <v>2.0</v>
      </c>
      <c r="I21" s="29">
        <v>0.0</v>
      </c>
      <c r="J21" s="29">
        <v>1.0</v>
      </c>
      <c r="K21" s="29">
        <v>1.0</v>
      </c>
      <c r="L21" s="29">
        <v>2.0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</row>
    <row r="22" ht="18.0" customHeight="1">
      <c r="B22" s="12" t="s">
        <v>43</v>
      </c>
      <c r="C22" s="29">
        <v>4.0</v>
      </c>
      <c r="D22" s="29">
        <v>0.0</v>
      </c>
      <c r="E22" s="29">
        <v>4.0</v>
      </c>
      <c r="F22" s="29">
        <v>0.0</v>
      </c>
      <c r="G22" s="29">
        <v>5.0</v>
      </c>
      <c r="H22" s="29">
        <v>1.0</v>
      </c>
      <c r="I22" s="29">
        <v>4.0</v>
      </c>
      <c r="J22" s="29">
        <v>0.0</v>
      </c>
      <c r="K22" s="29">
        <v>2.0</v>
      </c>
      <c r="L22" s="29">
        <v>1.0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</row>
    <row r="23" ht="18.0" customHeight="1">
      <c r="B23" s="12" t="s">
        <v>44</v>
      </c>
      <c r="C23" s="29">
        <v>1.0</v>
      </c>
      <c r="D23" s="29">
        <v>3.0</v>
      </c>
      <c r="E23" s="29">
        <v>0.0</v>
      </c>
      <c r="F23" s="29">
        <v>2.0</v>
      </c>
      <c r="G23" s="29">
        <v>1.0</v>
      </c>
      <c r="H23" s="29">
        <v>3.0</v>
      </c>
      <c r="I23" s="29">
        <v>1.0</v>
      </c>
      <c r="J23" s="29">
        <v>3.0</v>
      </c>
      <c r="K23" s="29">
        <v>1.0</v>
      </c>
      <c r="L23" s="29">
        <v>2.0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</row>
    <row r="24" ht="18.0" customHeight="1">
      <c r="B24" s="12" t="s">
        <v>45</v>
      </c>
      <c r="C24" s="29">
        <v>2.0</v>
      </c>
      <c r="D24" s="29">
        <v>0.0</v>
      </c>
      <c r="E24" s="29">
        <v>2.0</v>
      </c>
      <c r="F24" s="29">
        <v>0.0</v>
      </c>
      <c r="G24" s="29">
        <v>3.0</v>
      </c>
      <c r="H24" s="29">
        <v>0.0</v>
      </c>
      <c r="I24" s="29">
        <v>2.0</v>
      </c>
      <c r="J24" s="29">
        <v>0.0</v>
      </c>
      <c r="K24" s="29">
        <v>2.0</v>
      </c>
      <c r="L24" s="29">
        <v>1.0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</row>
    <row r="25" ht="18.0" customHeight="1">
      <c r="B25" s="12" t="s">
        <v>46</v>
      </c>
      <c r="C25" s="29">
        <v>2.0</v>
      </c>
      <c r="D25" s="29">
        <v>0.0</v>
      </c>
      <c r="E25" s="29">
        <v>1.0</v>
      </c>
      <c r="F25" s="29">
        <v>1.0</v>
      </c>
      <c r="G25" s="29">
        <v>2.0</v>
      </c>
      <c r="H25" s="29">
        <v>0.0</v>
      </c>
      <c r="I25" s="29">
        <v>2.0</v>
      </c>
      <c r="J25" s="29">
        <v>1.0</v>
      </c>
      <c r="K25" s="29">
        <v>2.0</v>
      </c>
      <c r="L25" s="29">
        <v>1.0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</row>
    <row r="26" ht="18.0" customHeight="1">
      <c r="B26" s="12" t="s">
        <v>47</v>
      </c>
      <c r="C26" s="29">
        <v>1.0</v>
      </c>
      <c r="D26" s="29">
        <v>2.0</v>
      </c>
      <c r="E26" s="29">
        <v>0.0</v>
      </c>
      <c r="F26" s="29">
        <v>2.0</v>
      </c>
      <c r="G26" s="29">
        <v>1.0</v>
      </c>
      <c r="H26" s="29">
        <v>2.0</v>
      </c>
      <c r="I26" s="29">
        <v>0.0</v>
      </c>
      <c r="J26" s="29">
        <v>1.0</v>
      </c>
      <c r="K26" s="29">
        <v>1.0</v>
      </c>
      <c r="L26" s="29">
        <v>2.0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</row>
    <row r="27" ht="18.0" customHeight="1">
      <c r="B27" s="12" t="s">
        <v>48</v>
      </c>
      <c r="C27" s="29">
        <v>2.0</v>
      </c>
      <c r="D27" s="29">
        <v>1.0</v>
      </c>
      <c r="E27" s="29">
        <v>2.0</v>
      </c>
      <c r="F27" s="29">
        <v>1.0</v>
      </c>
      <c r="G27" s="29">
        <v>2.0</v>
      </c>
      <c r="H27" s="29">
        <v>1.0</v>
      </c>
      <c r="I27" s="29">
        <v>2.0</v>
      </c>
      <c r="J27" s="29">
        <v>1.0</v>
      </c>
      <c r="K27" s="29">
        <v>2.0</v>
      </c>
      <c r="L27" s="29">
        <v>1.0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</row>
    <row r="28" ht="18.0" customHeight="1">
      <c r="B28" s="12" t="s">
        <v>49</v>
      </c>
      <c r="C28" s="29">
        <v>2.0</v>
      </c>
      <c r="D28" s="29">
        <v>0.0</v>
      </c>
      <c r="E28" s="29">
        <v>2.0</v>
      </c>
      <c r="F28" s="29">
        <v>1.0</v>
      </c>
      <c r="G28" s="29">
        <v>1.0</v>
      </c>
      <c r="H28" s="29">
        <v>1.0</v>
      </c>
      <c r="I28" s="29">
        <v>1.0</v>
      </c>
      <c r="J28" s="29">
        <v>0.0</v>
      </c>
      <c r="K28" s="29">
        <v>2.0</v>
      </c>
      <c r="L28" s="29">
        <v>1.0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</row>
    <row r="29" ht="18.0" customHeight="1">
      <c r="B29" s="12" t="s">
        <v>50</v>
      </c>
      <c r="C29" s="29">
        <v>2.0</v>
      </c>
      <c r="D29" s="29">
        <v>2.0</v>
      </c>
      <c r="E29" s="29">
        <v>2.0</v>
      </c>
      <c r="F29" s="29">
        <v>1.0</v>
      </c>
      <c r="G29" s="29">
        <v>2.0</v>
      </c>
      <c r="H29" s="29">
        <v>1.0</v>
      </c>
      <c r="I29" s="29">
        <v>2.0</v>
      </c>
      <c r="J29" s="29">
        <v>1.0</v>
      </c>
      <c r="K29" s="29">
        <v>1.0</v>
      </c>
      <c r="L29" s="29">
        <v>2.0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</row>
    <row r="30" ht="18.0" customHeight="1">
      <c r="B30" s="12" t="s">
        <v>51</v>
      </c>
      <c r="C30" s="29">
        <v>1.0</v>
      </c>
      <c r="D30" s="29">
        <v>1.0</v>
      </c>
      <c r="E30" s="29">
        <v>1.0</v>
      </c>
      <c r="F30" s="29">
        <v>1.0</v>
      </c>
      <c r="G30" s="29">
        <v>0.0</v>
      </c>
      <c r="H30" s="29">
        <v>0.0</v>
      </c>
      <c r="I30" s="29">
        <v>1.0</v>
      </c>
      <c r="J30" s="29">
        <v>0.0</v>
      </c>
      <c r="K30" s="29">
        <v>2.0</v>
      </c>
      <c r="L30" s="29">
        <v>1.0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</row>
    <row r="31" ht="18.0" customHeight="1">
      <c r="B31" s="12" t="s">
        <v>52</v>
      </c>
      <c r="C31" s="29">
        <v>4.0</v>
      </c>
      <c r="D31" s="29">
        <v>0.0</v>
      </c>
      <c r="E31" s="29">
        <v>4.0</v>
      </c>
      <c r="F31" s="29">
        <v>0.0</v>
      </c>
      <c r="G31" s="29">
        <v>6.0</v>
      </c>
      <c r="H31" s="29">
        <v>0.0</v>
      </c>
      <c r="I31" s="29">
        <v>4.0</v>
      </c>
      <c r="J31" s="29">
        <v>0.0</v>
      </c>
      <c r="K31" s="29">
        <v>2.0</v>
      </c>
      <c r="L31" s="29">
        <v>1.0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</row>
    <row r="32" ht="18.0" customHeight="1">
      <c r="B32" s="12" t="s">
        <v>53</v>
      </c>
      <c r="C32" s="29">
        <v>1.0</v>
      </c>
      <c r="D32" s="29">
        <v>1.0</v>
      </c>
      <c r="E32" s="29">
        <v>1.0</v>
      </c>
      <c r="F32" s="29">
        <v>2.0</v>
      </c>
      <c r="G32" s="29">
        <v>1.0</v>
      </c>
      <c r="H32" s="29">
        <v>1.0</v>
      </c>
      <c r="I32" s="29">
        <v>2.0</v>
      </c>
      <c r="J32" s="29">
        <v>2.0</v>
      </c>
      <c r="K32" s="29">
        <v>1.0</v>
      </c>
      <c r="L32" s="29">
        <v>2.0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</row>
    <row r="33" ht="18.0" customHeight="1">
      <c r="B33" s="12" t="s">
        <v>54</v>
      </c>
      <c r="C33" s="29">
        <v>2.0</v>
      </c>
      <c r="D33" s="29">
        <v>1.0</v>
      </c>
      <c r="E33" s="29">
        <v>2.0</v>
      </c>
      <c r="F33" s="29">
        <v>1.0</v>
      </c>
      <c r="G33" s="29">
        <v>2.0</v>
      </c>
      <c r="H33" s="29">
        <v>0.0</v>
      </c>
      <c r="I33" s="29">
        <v>3.0</v>
      </c>
      <c r="J33" s="29">
        <v>1.0</v>
      </c>
      <c r="K33" s="29">
        <v>2.0</v>
      </c>
      <c r="L33" s="29">
        <v>1.0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</row>
    <row r="34" ht="18.0" customHeight="1">
      <c r="B34" s="12" t="s">
        <v>55</v>
      </c>
      <c r="C34" s="29">
        <v>3.0</v>
      </c>
      <c r="D34" s="29">
        <v>0.0</v>
      </c>
      <c r="E34" s="29">
        <v>2.0</v>
      </c>
      <c r="F34" s="29">
        <v>0.0</v>
      </c>
      <c r="G34" s="29">
        <v>3.0</v>
      </c>
      <c r="H34" s="29">
        <v>0.0</v>
      </c>
      <c r="I34" s="29">
        <v>2.0</v>
      </c>
      <c r="J34" s="29">
        <v>0.0</v>
      </c>
      <c r="K34" s="29">
        <v>2.0</v>
      </c>
      <c r="L34" s="29">
        <v>1.0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</row>
    <row r="35" ht="18.0" customHeight="1">
      <c r="B35" s="12" t="s">
        <v>56</v>
      </c>
      <c r="C35" s="29">
        <v>1.0</v>
      </c>
      <c r="D35" s="29">
        <v>2.0</v>
      </c>
      <c r="E35" s="29">
        <v>0.0</v>
      </c>
      <c r="F35" s="29">
        <v>2.0</v>
      </c>
      <c r="G35" s="29">
        <v>0.0</v>
      </c>
      <c r="H35" s="29">
        <v>3.0</v>
      </c>
      <c r="I35" s="29">
        <v>1.0</v>
      </c>
      <c r="J35" s="29">
        <v>2.0</v>
      </c>
      <c r="K35" s="29">
        <v>1.0</v>
      </c>
      <c r="L35" s="29">
        <v>2.0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</row>
    <row r="36" ht="18.0" customHeight="1">
      <c r="B36" s="12" t="s">
        <v>57</v>
      </c>
      <c r="C36" s="29">
        <v>1.0</v>
      </c>
      <c r="D36" s="29">
        <v>2.0</v>
      </c>
      <c r="E36" s="29">
        <v>0.0</v>
      </c>
      <c r="F36" s="29">
        <v>1.0</v>
      </c>
      <c r="G36" s="29">
        <v>0.0</v>
      </c>
      <c r="H36" s="29">
        <v>2.0</v>
      </c>
      <c r="I36" s="29">
        <v>0.0</v>
      </c>
      <c r="J36" s="29">
        <v>1.0</v>
      </c>
      <c r="K36" s="29">
        <v>1.0</v>
      </c>
      <c r="L36" s="29">
        <v>2.0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ht="18.0" customHeight="1">
      <c r="B37" s="12" t="s">
        <v>58</v>
      </c>
      <c r="C37" s="29">
        <v>2.0</v>
      </c>
      <c r="D37" s="29">
        <v>1.0</v>
      </c>
      <c r="E37" s="29">
        <v>2.0</v>
      </c>
      <c r="F37" s="29">
        <v>1.0</v>
      </c>
      <c r="G37" s="29">
        <v>1.0</v>
      </c>
      <c r="H37" s="29">
        <v>2.0</v>
      </c>
      <c r="I37" s="29">
        <v>2.0</v>
      </c>
      <c r="J37" s="29">
        <v>1.0</v>
      </c>
      <c r="K37" s="29">
        <v>2.0</v>
      </c>
      <c r="L37" s="29">
        <v>1.0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ht="18.0" customHeight="1">
      <c r="B38" s="12" t="s">
        <v>59</v>
      </c>
      <c r="C38" s="29">
        <v>1.0</v>
      </c>
      <c r="D38" s="29">
        <v>0.0</v>
      </c>
      <c r="E38" s="29">
        <v>2.0</v>
      </c>
      <c r="F38" s="29">
        <v>0.0</v>
      </c>
      <c r="G38" s="29">
        <v>1.0</v>
      </c>
      <c r="H38" s="29">
        <v>0.0</v>
      </c>
      <c r="I38" s="29">
        <v>1.0</v>
      </c>
      <c r="J38" s="29">
        <v>0.0</v>
      </c>
      <c r="K38" s="29">
        <v>2.0</v>
      </c>
      <c r="L38" s="29">
        <v>1.0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ht="18.0" customHeight="1">
      <c r="B39" s="12" t="s">
        <v>61</v>
      </c>
      <c r="C39" s="29">
        <v>0.0</v>
      </c>
      <c r="D39" s="29">
        <v>2.0</v>
      </c>
      <c r="E39" s="29">
        <v>0.0</v>
      </c>
      <c r="F39" s="29">
        <v>2.0</v>
      </c>
      <c r="G39" s="29">
        <v>0.0</v>
      </c>
      <c r="H39" s="29">
        <v>1.0</v>
      </c>
      <c r="I39" s="29">
        <v>0.0</v>
      </c>
      <c r="J39" s="29">
        <v>2.0</v>
      </c>
      <c r="K39" s="29">
        <v>1.0</v>
      </c>
      <c r="L39" s="29">
        <v>2.0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  <row r="40" ht="18.0" customHeight="1">
      <c r="B40" s="12" t="s">
        <v>63</v>
      </c>
      <c r="C40" s="29">
        <v>1.0</v>
      </c>
      <c r="D40" s="29">
        <v>1.0</v>
      </c>
      <c r="E40" s="29">
        <v>2.0</v>
      </c>
      <c r="F40" s="29">
        <v>0.0</v>
      </c>
      <c r="G40" s="29">
        <v>1.0</v>
      </c>
      <c r="H40" s="29">
        <v>1.0</v>
      </c>
      <c r="I40" s="29">
        <v>3.0</v>
      </c>
      <c r="J40" s="29">
        <v>2.0</v>
      </c>
      <c r="K40" s="29">
        <v>2.0</v>
      </c>
      <c r="L40" s="29">
        <v>1.0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</row>
    <row r="41" ht="18.0" customHeight="1">
      <c r="B41" s="12" t="s">
        <v>65</v>
      </c>
      <c r="C41" s="29">
        <v>2.0</v>
      </c>
      <c r="D41" s="29">
        <v>1.0</v>
      </c>
      <c r="E41" s="29">
        <v>1.0</v>
      </c>
      <c r="F41" s="29">
        <v>1.0</v>
      </c>
      <c r="G41" s="29">
        <v>1.0</v>
      </c>
      <c r="H41" s="29">
        <v>2.0</v>
      </c>
      <c r="I41" s="29">
        <v>2.0</v>
      </c>
      <c r="J41" s="29">
        <v>1.0</v>
      </c>
      <c r="K41" s="29">
        <v>2.0</v>
      </c>
      <c r="L41" s="29">
        <v>1.0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</row>
    <row r="42" ht="18.0" customHeight="1">
      <c r="B42" s="12" t="s">
        <v>67</v>
      </c>
      <c r="C42" s="29">
        <v>0.0</v>
      </c>
      <c r="D42" s="29">
        <v>3.0</v>
      </c>
      <c r="E42" s="29">
        <v>1.0</v>
      </c>
      <c r="F42" s="29">
        <v>2.0</v>
      </c>
      <c r="G42" s="29">
        <v>0.0</v>
      </c>
      <c r="H42" s="29">
        <v>2.0</v>
      </c>
      <c r="I42" s="29">
        <v>0.0</v>
      </c>
      <c r="J42" s="29">
        <v>3.0</v>
      </c>
      <c r="K42" s="29">
        <v>1.0</v>
      </c>
      <c r="L42" s="29">
        <v>2.0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</row>
    <row r="43" ht="18.0" customHeight="1">
      <c r="B43" s="12" t="s">
        <v>69</v>
      </c>
      <c r="C43" s="29">
        <v>2.0</v>
      </c>
      <c r="D43" s="29">
        <v>1.0</v>
      </c>
      <c r="E43" s="29">
        <v>2.0</v>
      </c>
      <c r="F43" s="29">
        <v>1.0</v>
      </c>
      <c r="G43" s="29">
        <v>1.0</v>
      </c>
      <c r="H43" s="29">
        <v>1.0</v>
      </c>
      <c r="I43" s="29">
        <v>2.0</v>
      </c>
      <c r="J43" s="29">
        <v>0.0</v>
      </c>
      <c r="K43" s="29">
        <v>2.0</v>
      </c>
      <c r="L43" s="29">
        <v>1.0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</row>
    <row r="44" ht="18.0" customHeight="1">
      <c r="B44" s="12" t="s">
        <v>70</v>
      </c>
      <c r="C44" s="29">
        <v>1.0</v>
      </c>
      <c r="D44" s="29">
        <v>0.0</v>
      </c>
      <c r="E44" s="29">
        <v>1.0</v>
      </c>
      <c r="F44" s="29">
        <v>0.0</v>
      </c>
      <c r="G44" s="29">
        <v>2.0</v>
      </c>
      <c r="H44" s="29">
        <v>1.0</v>
      </c>
      <c r="I44" s="29">
        <v>1.0</v>
      </c>
      <c r="J44" s="29">
        <v>1.0</v>
      </c>
      <c r="K44" s="29">
        <v>2.0</v>
      </c>
      <c r="L44" s="29">
        <v>1.0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</row>
    <row r="45" ht="18.0" customHeight="1">
      <c r="B45" s="12" t="s">
        <v>71</v>
      </c>
      <c r="C45" s="29">
        <v>2.0</v>
      </c>
      <c r="D45" s="29">
        <v>0.0</v>
      </c>
      <c r="E45" s="29">
        <v>2.0</v>
      </c>
      <c r="F45" s="29">
        <v>1.0</v>
      </c>
      <c r="G45" s="29">
        <v>2.0</v>
      </c>
      <c r="H45" s="29">
        <v>0.0</v>
      </c>
      <c r="I45" s="29">
        <v>3.0</v>
      </c>
      <c r="J45" s="29">
        <v>1.0</v>
      </c>
      <c r="K45" s="29">
        <v>2.0</v>
      </c>
      <c r="L45" s="29">
        <v>1.0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</row>
    <row r="46" ht="18.0" customHeight="1">
      <c r="B46" s="12" t="s">
        <v>72</v>
      </c>
      <c r="C46" s="29">
        <v>1.0</v>
      </c>
      <c r="D46" s="29">
        <v>2.0</v>
      </c>
      <c r="E46" s="29">
        <v>0.0</v>
      </c>
      <c r="F46" s="29">
        <v>2.0</v>
      </c>
      <c r="G46" s="29">
        <v>0.0</v>
      </c>
      <c r="H46" s="29">
        <v>1.0</v>
      </c>
      <c r="I46" s="29">
        <v>1.0</v>
      </c>
      <c r="J46" s="29">
        <v>2.0</v>
      </c>
      <c r="K46" s="29">
        <v>1.0</v>
      </c>
      <c r="L46" s="29">
        <v>2.0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</row>
    <row r="47" ht="18.0" customHeight="1">
      <c r="B47" s="12" t="s">
        <v>73</v>
      </c>
      <c r="C47" s="29">
        <v>0.0</v>
      </c>
      <c r="D47" s="29">
        <v>3.0</v>
      </c>
      <c r="E47" s="29">
        <v>0.0</v>
      </c>
      <c r="F47" s="29">
        <v>3.0</v>
      </c>
      <c r="G47" s="29">
        <v>0.0</v>
      </c>
      <c r="H47" s="29">
        <v>2.0</v>
      </c>
      <c r="I47" s="29">
        <v>0.0</v>
      </c>
      <c r="J47" s="29">
        <v>3.0</v>
      </c>
      <c r="K47" s="29">
        <v>1.0</v>
      </c>
      <c r="L47" s="29">
        <v>2.0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</row>
    <row r="48" ht="18.0" customHeight="1">
      <c r="B48" s="12" t="s">
        <v>74</v>
      </c>
      <c r="C48" s="29">
        <v>1.0</v>
      </c>
      <c r="D48" s="29">
        <v>1.0</v>
      </c>
      <c r="E48" s="29">
        <v>1.0</v>
      </c>
      <c r="F48" s="29">
        <v>1.0</v>
      </c>
      <c r="G48" s="29">
        <v>1.0</v>
      </c>
      <c r="H48" s="29">
        <v>1.0</v>
      </c>
      <c r="I48" s="29">
        <v>1.0</v>
      </c>
      <c r="J48" s="29">
        <v>0.0</v>
      </c>
      <c r="K48" s="29">
        <v>2.0</v>
      </c>
      <c r="L48" s="29">
        <v>1.0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</row>
    <row r="49" ht="18.0" customHeight="1">
      <c r="B49" s="12" t="s">
        <v>75</v>
      </c>
      <c r="C49" s="29">
        <v>3.0</v>
      </c>
      <c r="D49" s="29">
        <v>0.0</v>
      </c>
      <c r="E49" s="29">
        <v>3.0</v>
      </c>
      <c r="F49" s="29">
        <v>0.0</v>
      </c>
      <c r="G49" s="29">
        <v>4.0</v>
      </c>
      <c r="H49" s="29">
        <v>0.0</v>
      </c>
      <c r="I49" s="29">
        <v>3.0</v>
      </c>
      <c r="J49" s="29">
        <v>0.0</v>
      </c>
      <c r="K49" s="29">
        <v>2.0</v>
      </c>
      <c r="L49" s="29">
        <v>1.0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</row>
    <row r="50" ht="18.0" customHeight="1">
      <c r="B50" s="12" t="s">
        <v>76</v>
      </c>
      <c r="C50" s="29">
        <v>2.0</v>
      </c>
      <c r="D50" s="29">
        <v>1.0</v>
      </c>
      <c r="E50" s="29">
        <v>2.0</v>
      </c>
      <c r="F50" s="29">
        <v>0.0</v>
      </c>
      <c r="G50" s="29">
        <v>0.0</v>
      </c>
      <c r="H50" s="29">
        <v>0.0</v>
      </c>
      <c r="I50" s="29">
        <v>2.0</v>
      </c>
      <c r="J50" s="29">
        <v>0.0</v>
      </c>
      <c r="K50" s="29">
        <v>2.0</v>
      </c>
      <c r="L50" s="29">
        <v>1.0</v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</row>
    <row r="51" ht="18.0" customHeight="1">
      <c r="B51" s="12" t="s">
        <v>77</v>
      </c>
      <c r="C51" s="29">
        <v>2.0</v>
      </c>
      <c r="D51" s="29">
        <v>0.0</v>
      </c>
      <c r="E51" s="29">
        <v>2.0</v>
      </c>
      <c r="F51" s="29">
        <v>0.0</v>
      </c>
      <c r="G51" s="29">
        <v>2.0</v>
      </c>
      <c r="H51" s="29">
        <v>0.0</v>
      </c>
      <c r="I51" s="29">
        <v>2.0</v>
      </c>
      <c r="J51" s="29">
        <v>1.0</v>
      </c>
      <c r="K51" s="29">
        <v>2.0</v>
      </c>
      <c r="L51" s="29">
        <v>1.0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</row>
    <row r="52" ht="18.0" customHeight="1">
      <c r="B52" s="12" t="s">
        <v>78</v>
      </c>
      <c r="C52" s="29">
        <v>1.0</v>
      </c>
      <c r="D52" s="29">
        <v>3.0</v>
      </c>
      <c r="E52" s="29">
        <v>0.0</v>
      </c>
      <c r="F52" s="29">
        <v>2.0</v>
      </c>
      <c r="G52" s="29">
        <v>0.0</v>
      </c>
      <c r="H52" s="29">
        <v>3.0</v>
      </c>
      <c r="I52" s="29">
        <v>0.0</v>
      </c>
      <c r="J52" s="29">
        <v>1.0</v>
      </c>
      <c r="K52" s="29">
        <v>1.0</v>
      </c>
      <c r="L52" s="29">
        <v>2.0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</row>
    <row r="53" ht="18.0" customHeight="1">
      <c r="B53" s="12" t="s">
        <v>79</v>
      </c>
      <c r="C53" s="29">
        <v>1.0</v>
      </c>
      <c r="D53" s="29">
        <v>1.0</v>
      </c>
      <c r="E53" s="29">
        <v>1.0</v>
      </c>
      <c r="F53" s="29">
        <v>1.0</v>
      </c>
      <c r="G53" s="29">
        <v>3.0</v>
      </c>
      <c r="H53" s="29">
        <v>1.0</v>
      </c>
      <c r="I53" s="29">
        <v>2.0</v>
      </c>
      <c r="J53" s="29">
        <v>2.0</v>
      </c>
      <c r="K53" s="29">
        <v>2.0</v>
      </c>
      <c r="L53" s="29">
        <v>1.0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</row>
    <row r="54" ht="18.0" customHeight="1">
      <c r="B54" s="12" t="s">
        <v>80</v>
      </c>
      <c r="C54" s="29">
        <v>1.0</v>
      </c>
      <c r="D54" s="29">
        <v>1.0</v>
      </c>
      <c r="E54" s="29">
        <v>1.0</v>
      </c>
      <c r="F54" s="29">
        <v>2.0</v>
      </c>
      <c r="G54" s="29">
        <v>1.0</v>
      </c>
      <c r="H54" s="29">
        <v>2.0</v>
      </c>
      <c r="I54" s="29">
        <v>1.0</v>
      </c>
      <c r="J54" s="29">
        <v>3.0</v>
      </c>
      <c r="K54" s="29">
        <v>1.0</v>
      </c>
      <c r="L54" s="29">
        <v>2.0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</row>
    <row r="55" ht="18.0" customHeight="1">
      <c r="B55" s="12" t="s">
        <v>81</v>
      </c>
      <c r="C55" s="29">
        <v>2.0</v>
      </c>
      <c r="D55" s="29">
        <v>1.0</v>
      </c>
      <c r="E55" s="29">
        <v>2.0</v>
      </c>
      <c r="F55" s="29">
        <v>0.0</v>
      </c>
      <c r="G55" s="29">
        <v>2.0</v>
      </c>
      <c r="H55" s="29">
        <v>0.0</v>
      </c>
      <c r="I55" s="29">
        <v>2.0</v>
      </c>
      <c r="J55" s="29">
        <v>1.0</v>
      </c>
      <c r="K55" s="29">
        <v>2.0</v>
      </c>
      <c r="L55" s="29">
        <v>1.0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</row>
    <row r="56" ht="18.0" customHeight="1">
      <c r="B56" s="12" t="s">
        <v>82</v>
      </c>
      <c r="C56" s="29">
        <v>0.0</v>
      </c>
      <c r="D56" s="29">
        <v>2.0</v>
      </c>
      <c r="E56" s="29">
        <v>0.0</v>
      </c>
      <c r="F56" s="29">
        <v>2.0</v>
      </c>
      <c r="G56" s="29">
        <v>0.0</v>
      </c>
      <c r="H56" s="29">
        <v>3.0</v>
      </c>
      <c r="I56" s="29">
        <v>0.0</v>
      </c>
      <c r="J56" s="29">
        <v>2.0</v>
      </c>
      <c r="K56" s="29">
        <v>1.0</v>
      </c>
      <c r="L56" s="29">
        <v>2.0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</row>
    <row r="57" ht="18.0" customHeight="1">
      <c r="B57" s="12" t="s">
        <v>83</v>
      </c>
      <c r="C57" s="29">
        <v>4.0</v>
      </c>
      <c r="D57" s="29">
        <v>0.0</v>
      </c>
      <c r="E57" s="29">
        <v>3.0</v>
      </c>
      <c r="F57" s="29">
        <v>0.0</v>
      </c>
      <c r="G57" s="29">
        <v>5.0</v>
      </c>
      <c r="H57" s="29">
        <v>0.0</v>
      </c>
      <c r="I57" s="29">
        <v>5.0</v>
      </c>
      <c r="J57" s="29">
        <v>0.0</v>
      </c>
      <c r="K57" s="29">
        <v>2.0</v>
      </c>
      <c r="L57" s="29">
        <v>1.0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</row>
    <row r="58" ht="18.0" customHeight="1">
      <c r="B58" s="12" t="s">
        <v>84</v>
      </c>
      <c r="C58" s="29">
        <v>1.0</v>
      </c>
      <c r="D58" s="29">
        <v>1.0</v>
      </c>
      <c r="E58" s="29">
        <v>1.0</v>
      </c>
      <c r="F58" s="29">
        <v>1.0</v>
      </c>
      <c r="G58" s="29">
        <v>3.0</v>
      </c>
      <c r="H58" s="29">
        <v>1.0</v>
      </c>
      <c r="I58" s="29">
        <v>1.0</v>
      </c>
      <c r="J58" s="29">
        <v>2.0</v>
      </c>
      <c r="K58" s="29">
        <v>1.0</v>
      </c>
      <c r="L58" s="29">
        <v>2.0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</row>
    <row r="59" ht="18.0" customHeight="1">
      <c r="B59" s="12" t="s">
        <v>85</v>
      </c>
      <c r="C59" s="29">
        <v>1.0</v>
      </c>
      <c r="D59" s="29">
        <v>3.0</v>
      </c>
      <c r="E59" s="29">
        <v>0.0</v>
      </c>
      <c r="F59" s="29">
        <v>2.0</v>
      </c>
      <c r="G59" s="29">
        <v>1.0</v>
      </c>
      <c r="H59" s="29">
        <v>2.0</v>
      </c>
      <c r="I59" s="29">
        <v>1.0</v>
      </c>
      <c r="J59" s="29">
        <v>3.0</v>
      </c>
      <c r="K59" s="29">
        <v>1.0</v>
      </c>
      <c r="L59" s="29">
        <v>2.0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ht="18.0" customHeight="1">
      <c r="B60" s="12" t="s">
        <v>86</v>
      </c>
      <c r="C60" s="29">
        <v>2.0</v>
      </c>
      <c r="D60" s="29">
        <v>0.0</v>
      </c>
      <c r="E60" s="29">
        <v>2.0</v>
      </c>
      <c r="F60" s="29">
        <v>0.0</v>
      </c>
      <c r="G60" s="29">
        <v>1.0</v>
      </c>
      <c r="H60" s="29">
        <v>0.0</v>
      </c>
      <c r="I60" s="29">
        <v>2.0</v>
      </c>
      <c r="J60" s="29">
        <v>0.0</v>
      </c>
      <c r="K60" s="29">
        <v>2.0</v>
      </c>
      <c r="L60" s="29">
        <v>1.0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</row>
    <row r="61" ht="18.0" customHeight="1">
      <c r="B61" s="12" t="s">
        <v>87</v>
      </c>
      <c r="C61" s="29">
        <v>3.0</v>
      </c>
      <c r="D61" s="29">
        <v>0.0</v>
      </c>
      <c r="E61" s="29">
        <v>3.0</v>
      </c>
      <c r="F61" s="29">
        <v>0.0</v>
      </c>
      <c r="G61" s="29">
        <v>1.0</v>
      </c>
      <c r="H61" s="29">
        <v>1.0</v>
      </c>
      <c r="I61" s="29">
        <v>2.0</v>
      </c>
      <c r="J61" s="29">
        <v>0.0</v>
      </c>
      <c r="K61" s="29">
        <v>2.0</v>
      </c>
      <c r="L61" s="29">
        <v>1.0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</row>
    <row r="62" ht="18.0" customHeight="1">
      <c r="B62" s="12" t="s">
        <v>88</v>
      </c>
      <c r="C62" s="29">
        <v>2.0</v>
      </c>
      <c r="D62" s="29">
        <v>0.0</v>
      </c>
      <c r="E62" s="29">
        <v>2.0</v>
      </c>
      <c r="F62" s="29">
        <v>0.0</v>
      </c>
      <c r="G62" s="29">
        <v>3.0</v>
      </c>
      <c r="H62" s="29">
        <v>0.0</v>
      </c>
      <c r="I62" s="29">
        <v>3.0</v>
      </c>
      <c r="J62" s="29">
        <v>0.0</v>
      </c>
      <c r="K62" s="29">
        <v>2.0</v>
      </c>
      <c r="L62" s="29">
        <v>1.0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</row>
    <row r="63" ht="18.0" customHeight="1">
      <c r="B63" s="12" t="s">
        <v>89</v>
      </c>
      <c r="C63" s="29">
        <v>2.0</v>
      </c>
      <c r="D63" s="29">
        <v>1.0</v>
      </c>
      <c r="E63" s="29">
        <v>2.0</v>
      </c>
      <c r="F63" s="29">
        <v>1.0</v>
      </c>
      <c r="G63" s="29">
        <v>1.0</v>
      </c>
      <c r="H63" s="29">
        <v>1.0</v>
      </c>
      <c r="I63" s="29">
        <v>3.0</v>
      </c>
      <c r="J63" s="29">
        <v>1.0</v>
      </c>
      <c r="K63" s="29">
        <v>2.0</v>
      </c>
      <c r="L63" s="29">
        <v>1.0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</row>
    <row r="64" ht="18.0" customHeight="1">
      <c r="B64" s="12" t="s">
        <v>90</v>
      </c>
      <c r="C64" s="29">
        <v>1.0</v>
      </c>
      <c r="D64" s="29">
        <v>2.0</v>
      </c>
      <c r="E64" s="29">
        <v>0.0</v>
      </c>
      <c r="F64" s="29">
        <v>1.0</v>
      </c>
      <c r="G64" s="29">
        <v>0.0</v>
      </c>
      <c r="H64" s="29">
        <v>3.0</v>
      </c>
      <c r="I64" s="29">
        <v>0.0</v>
      </c>
      <c r="J64" s="29">
        <v>2.0</v>
      </c>
      <c r="K64" s="29">
        <v>1.0</v>
      </c>
      <c r="L64" s="29">
        <v>2.0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</row>
    <row r="65" ht="18.0" customHeight="1">
      <c r="B65" s="12" t="s">
        <v>91</v>
      </c>
      <c r="C65" s="29">
        <v>1.0</v>
      </c>
      <c r="D65" s="29">
        <v>2.0</v>
      </c>
      <c r="E65" s="29">
        <v>1.0</v>
      </c>
      <c r="F65" s="29">
        <v>1.0</v>
      </c>
      <c r="G65" s="29">
        <v>1.0</v>
      </c>
      <c r="H65" s="29">
        <v>1.0</v>
      </c>
      <c r="I65" s="29">
        <v>0.0</v>
      </c>
      <c r="J65" s="29">
        <v>1.0</v>
      </c>
      <c r="K65" s="29">
        <v>1.0</v>
      </c>
      <c r="L65" s="29">
        <v>2.0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</row>
    <row r="66" ht="18.0" customHeight="1">
      <c r="B66" s="12" t="s">
        <v>92</v>
      </c>
      <c r="C66" s="29">
        <v>0.0</v>
      </c>
      <c r="D66" s="29">
        <v>4.0</v>
      </c>
      <c r="E66" s="29">
        <v>0.0</v>
      </c>
      <c r="F66" s="29">
        <v>2.0</v>
      </c>
      <c r="G66" s="29">
        <v>0.0</v>
      </c>
      <c r="H66" s="29">
        <v>2.0</v>
      </c>
      <c r="I66" s="29">
        <v>0.0</v>
      </c>
      <c r="J66" s="29">
        <v>4.0</v>
      </c>
      <c r="K66" s="29">
        <v>1.0</v>
      </c>
      <c r="L66" s="29">
        <v>2.0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</row>
    <row r="67" ht="18.0" customHeight="1">
      <c r="B67" s="12" t="s">
        <v>93</v>
      </c>
      <c r="C67" s="29">
        <v>3.0</v>
      </c>
      <c r="D67" s="29">
        <v>0.0</v>
      </c>
      <c r="E67" s="29">
        <v>3.0</v>
      </c>
      <c r="F67" s="29">
        <v>0.0</v>
      </c>
      <c r="G67" s="29">
        <v>3.0</v>
      </c>
      <c r="H67" s="29">
        <v>0.0</v>
      </c>
      <c r="I67" s="29">
        <v>4.0</v>
      </c>
      <c r="J67" s="29">
        <v>1.0</v>
      </c>
      <c r="K67" s="29">
        <v>2.0</v>
      </c>
      <c r="L67" s="29">
        <v>1.0</v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</row>
    <row r="68" ht="18.0" customHeight="1">
      <c r="B68" s="12" t="s">
        <v>94</v>
      </c>
      <c r="C68" s="29">
        <v>1.0</v>
      </c>
      <c r="D68" s="29">
        <v>2.0</v>
      </c>
      <c r="E68" s="29">
        <v>0.0</v>
      </c>
      <c r="F68" s="29">
        <v>2.0</v>
      </c>
      <c r="G68" s="29">
        <v>2.0</v>
      </c>
      <c r="H68" s="29">
        <v>2.0</v>
      </c>
      <c r="I68" s="29">
        <v>1.0</v>
      </c>
      <c r="J68" s="29">
        <v>3.0</v>
      </c>
      <c r="K68" s="29">
        <v>1.0</v>
      </c>
      <c r="L68" s="29">
        <v>2.0</v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</row>
    <row r="69" ht="18.0" customHeight="1">
      <c r="B69" s="12" t="s">
        <v>95</v>
      </c>
      <c r="C69" s="29">
        <v>2.0</v>
      </c>
      <c r="D69" s="29">
        <v>0.0</v>
      </c>
      <c r="E69" s="29">
        <v>3.0</v>
      </c>
      <c r="F69" s="29">
        <v>0.0</v>
      </c>
      <c r="G69" s="29">
        <v>3.0</v>
      </c>
      <c r="H69" s="29">
        <v>0.0</v>
      </c>
      <c r="I69" s="29">
        <v>3.0</v>
      </c>
      <c r="J69" s="29">
        <v>0.0</v>
      </c>
      <c r="K69" s="29">
        <v>2.0</v>
      </c>
      <c r="L69" s="29">
        <v>1.0</v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</row>
    <row r="70" ht="18.0" customHeight="1">
      <c r="B70" s="12" t="s">
        <v>96</v>
      </c>
      <c r="C70" s="29">
        <v>2.0</v>
      </c>
      <c r="D70" s="29">
        <v>0.0</v>
      </c>
      <c r="E70" s="29">
        <v>2.0</v>
      </c>
      <c r="F70" s="29">
        <v>0.0</v>
      </c>
      <c r="G70" s="29">
        <v>2.0</v>
      </c>
      <c r="H70" s="29">
        <v>1.0</v>
      </c>
      <c r="I70" s="29">
        <v>2.0</v>
      </c>
      <c r="J70" s="29">
        <v>0.0</v>
      </c>
      <c r="K70" s="29">
        <v>2.0</v>
      </c>
      <c r="L70" s="29">
        <v>1.0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</row>
    <row r="71" ht="18.0" customHeight="1">
      <c r="B71" s="12" t="s">
        <v>97</v>
      </c>
      <c r="C71" s="29">
        <v>1.0</v>
      </c>
      <c r="D71" s="29">
        <v>1.0</v>
      </c>
      <c r="E71" s="29">
        <v>1.0</v>
      </c>
      <c r="F71" s="29">
        <v>1.0</v>
      </c>
      <c r="G71" s="29">
        <v>1.0</v>
      </c>
      <c r="H71" s="29">
        <v>1.0</v>
      </c>
      <c r="I71" s="29">
        <v>1.0</v>
      </c>
      <c r="J71" s="29">
        <v>3.0</v>
      </c>
      <c r="K71" s="29">
        <v>1.0</v>
      </c>
      <c r="L71" s="29">
        <v>2.0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</row>
    <row r="72" ht="18.0" customHeight="1">
      <c r="B72" s="12" t="s">
        <v>98</v>
      </c>
      <c r="C72" s="29">
        <v>1.0</v>
      </c>
      <c r="D72" s="29">
        <v>1.0</v>
      </c>
      <c r="E72" s="29">
        <v>1.0</v>
      </c>
      <c r="F72" s="29">
        <v>0.0</v>
      </c>
      <c r="G72" s="29">
        <v>0.0</v>
      </c>
      <c r="H72" s="29">
        <v>1.0</v>
      </c>
      <c r="I72" s="29">
        <v>1.0</v>
      </c>
      <c r="J72" s="29">
        <v>1.0</v>
      </c>
      <c r="K72" s="29">
        <v>2.0</v>
      </c>
      <c r="L72" s="29">
        <v>1.0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</row>
    <row r="73" ht="18.0" customHeight="1">
      <c r="B73" s="12" t="s">
        <v>99</v>
      </c>
      <c r="C73" s="29">
        <v>1.0</v>
      </c>
      <c r="D73" s="29">
        <v>1.0</v>
      </c>
      <c r="E73" s="29">
        <v>2.0</v>
      </c>
      <c r="F73" s="29">
        <v>1.0</v>
      </c>
      <c r="G73" s="29">
        <v>1.0</v>
      </c>
      <c r="H73" s="29">
        <v>1.0</v>
      </c>
      <c r="I73" s="29">
        <v>2.0</v>
      </c>
      <c r="J73" s="29">
        <v>2.0</v>
      </c>
      <c r="K73" s="29">
        <v>2.0</v>
      </c>
      <c r="L73" s="29">
        <v>1.0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</row>
    <row r="74" ht="18.0" customHeight="1">
      <c r="B74" s="12" t="s">
        <v>100</v>
      </c>
      <c r="C74" s="29">
        <v>2.0</v>
      </c>
      <c r="D74" s="29">
        <v>0.0</v>
      </c>
      <c r="E74" s="29">
        <v>2.0</v>
      </c>
      <c r="F74" s="29">
        <v>1.0</v>
      </c>
      <c r="G74" s="29">
        <v>2.0</v>
      </c>
      <c r="H74" s="29">
        <v>1.0</v>
      </c>
      <c r="I74" s="29">
        <v>1.0</v>
      </c>
      <c r="J74" s="29">
        <v>0.0</v>
      </c>
      <c r="K74" s="29">
        <v>2.0</v>
      </c>
      <c r="L74" s="29">
        <v>1.0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</row>
    <row r="75" ht="18.0" customHeight="1">
      <c r="B75" s="12" t="s">
        <v>101</v>
      </c>
      <c r="C75" s="29">
        <v>3.0</v>
      </c>
      <c r="D75" s="29">
        <v>1.0</v>
      </c>
      <c r="E75" s="29">
        <v>2.0</v>
      </c>
      <c r="F75" s="29">
        <v>0.0</v>
      </c>
      <c r="G75" s="29">
        <v>2.0</v>
      </c>
      <c r="H75" s="29">
        <v>0.0</v>
      </c>
      <c r="I75" s="29">
        <v>3.0</v>
      </c>
      <c r="J75" s="29">
        <v>1.0</v>
      </c>
      <c r="K75" s="29">
        <v>2.0</v>
      </c>
      <c r="L75" s="29">
        <v>1.0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</row>
    <row r="76" ht="18.0" customHeight="1">
      <c r="B76" s="12" t="s">
        <v>102</v>
      </c>
      <c r="C76" s="29">
        <v>0.0</v>
      </c>
      <c r="D76" s="29">
        <v>2.0</v>
      </c>
      <c r="E76" s="29">
        <v>0.0</v>
      </c>
      <c r="F76" s="29">
        <v>2.0</v>
      </c>
      <c r="G76" s="29">
        <v>0.0</v>
      </c>
      <c r="H76" s="29">
        <v>2.0</v>
      </c>
      <c r="I76" s="29">
        <v>0.0</v>
      </c>
      <c r="J76" s="29">
        <v>2.0</v>
      </c>
      <c r="K76" s="29">
        <v>1.0</v>
      </c>
      <c r="L76" s="29">
        <v>2.0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</row>
    <row r="77" ht="18.0" customHeight="1">
      <c r="B77" s="12" t="s">
        <v>103</v>
      </c>
      <c r="C77" s="29">
        <v>2.0</v>
      </c>
      <c r="D77" s="29">
        <v>1.0</v>
      </c>
      <c r="E77" s="29">
        <v>1.0</v>
      </c>
      <c r="F77" s="29">
        <v>0.0</v>
      </c>
      <c r="G77" s="29">
        <v>1.0</v>
      </c>
      <c r="H77" s="29">
        <v>1.0</v>
      </c>
      <c r="I77" s="29">
        <v>1.0</v>
      </c>
      <c r="J77" s="29">
        <v>0.0</v>
      </c>
      <c r="K77" s="29">
        <v>2.0</v>
      </c>
      <c r="L77" s="29">
        <v>1.0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</row>
    <row r="78" ht="18.0" customHeight="1">
      <c r="B78" s="12" t="s">
        <v>104</v>
      </c>
      <c r="C78" s="29">
        <v>0.0</v>
      </c>
      <c r="D78" s="29">
        <v>4.0</v>
      </c>
      <c r="E78" s="29">
        <v>0.0</v>
      </c>
      <c r="F78" s="29">
        <v>2.0</v>
      </c>
      <c r="G78" s="29">
        <v>0.0</v>
      </c>
      <c r="H78" s="29">
        <v>3.0</v>
      </c>
      <c r="I78" s="29">
        <v>0.0</v>
      </c>
      <c r="J78" s="29">
        <v>3.0</v>
      </c>
      <c r="K78" s="29">
        <v>1.0</v>
      </c>
      <c r="L78" s="29">
        <v>2.0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</row>
    <row r="79" ht="21.75" customHeight="1">
      <c r="B79" s="10" t="s">
        <v>105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</row>
    <row r="80" ht="18.0" customHeight="1">
      <c r="B80" s="12" t="s">
        <v>106</v>
      </c>
      <c r="C80" s="30" t="s">
        <v>294</v>
      </c>
      <c r="D80" s="18"/>
      <c r="E80" s="30" t="s">
        <v>294</v>
      </c>
      <c r="F80" s="18"/>
      <c r="G80" s="30" t="s">
        <v>294</v>
      </c>
      <c r="H80" s="18"/>
      <c r="I80" s="30" t="s">
        <v>294</v>
      </c>
      <c r="J80" s="18"/>
      <c r="K80" s="30" t="s">
        <v>294</v>
      </c>
      <c r="L80" s="18"/>
      <c r="M80" s="30"/>
      <c r="N80" s="18"/>
      <c r="O80" s="30"/>
      <c r="P80" s="18"/>
      <c r="Q80" s="30"/>
      <c r="R80" s="18"/>
      <c r="S80" s="30"/>
      <c r="T80" s="18"/>
      <c r="U80" s="30"/>
      <c r="V80" s="18"/>
      <c r="W80" s="30"/>
      <c r="X80" s="18"/>
      <c r="Y80" s="30"/>
      <c r="Z80" s="18"/>
      <c r="AA80" s="30"/>
      <c r="AB80" s="18"/>
      <c r="AC80" s="30"/>
      <c r="AD80" s="18"/>
      <c r="AE80" s="30"/>
      <c r="AF80" s="18"/>
      <c r="AG80" s="30"/>
      <c r="AH80" s="18"/>
      <c r="AI80" s="30"/>
      <c r="AJ80" s="18"/>
      <c r="AK80" s="30"/>
      <c r="AL80" s="18"/>
      <c r="AM80" s="30"/>
      <c r="AN80" s="18"/>
      <c r="AO80" s="30"/>
      <c r="AP80" s="18"/>
      <c r="AQ80" s="30"/>
      <c r="AR80" s="18"/>
      <c r="AS80" s="30"/>
      <c r="AT80" s="18"/>
      <c r="AU80" s="30"/>
      <c r="AV80" s="18"/>
      <c r="AW80" s="30"/>
      <c r="AX80" s="18"/>
      <c r="AY80" s="30"/>
      <c r="AZ80" s="18"/>
      <c r="BA80" s="30"/>
      <c r="BB80" s="18"/>
      <c r="BC80" s="30"/>
      <c r="BD80" s="18"/>
      <c r="BE80" s="30"/>
      <c r="BF80" s="18"/>
      <c r="BG80" s="30"/>
      <c r="BH80" s="18"/>
      <c r="BI80" s="30"/>
      <c r="BJ80" s="18"/>
    </row>
    <row r="81" ht="18.0" customHeight="1">
      <c r="B81" s="12" t="s">
        <v>107</v>
      </c>
      <c r="C81" s="30" t="s">
        <v>295</v>
      </c>
      <c r="D81" s="18"/>
      <c r="E81" s="30" t="s">
        <v>296</v>
      </c>
      <c r="F81" s="18"/>
      <c r="G81" s="30" t="s">
        <v>295</v>
      </c>
      <c r="H81" s="18"/>
      <c r="I81" s="30" t="s">
        <v>296</v>
      </c>
      <c r="J81" s="18"/>
      <c r="K81" s="30" t="s">
        <v>296</v>
      </c>
      <c r="L81" s="18"/>
      <c r="M81" s="30"/>
      <c r="N81" s="18"/>
      <c r="O81" s="30"/>
      <c r="P81" s="18"/>
      <c r="Q81" s="30"/>
      <c r="R81" s="18"/>
      <c r="S81" s="30"/>
      <c r="T81" s="18"/>
      <c r="U81" s="30"/>
      <c r="V81" s="18"/>
      <c r="W81" s="30"/>
      <c r="X81" s="18"/>
      <c r="Y81" s="30"/>
      <c r="Z81" s="18"/>
      <c r="AA81" s="30"/>
      <c r="AB81" s="18"/>
      <c r="AC81" s="30"/>
      <c r="AD81" s="18"/>
      <c r="AE81" s="30"/>
      <c r="AF81" s="18"/>
      <c r="AG81" s="30"/>
      <c r="AH81" s="18"/>
      <c r="AI81" s="30"/>
      <c r="AJ81" s="18"/>
      <c r="AK81" s="30"/>
      <c r="AL81" s="18"/>
      <c r="AM81" s="30"/>
      <c r="AN81" s="18"/>
      <c r="AO81" s="30"/>
      <c r="AP81" s="18"/>
      <c r="AQ81" s="30"/>
      <c r="AR81" s="18"/>
      <c r="AS81" s="30"/>
      <c r="AT81" s="18"/>
      <c r="AU81" s="30"/>
      <c r="AV81" s="18"/>
      <c r="AW81" s="30"/>
      <c r="AX81" s="18"/>
      <c r="AY81" s="30"/>
      <c r="AZ81" s="18"/>
      <c r="BA81" s="30"/>
      <c r="BB81" s="18"/>
      <c r="BC81" s="30"/>
      <c r="BD81" s="18"/>
      <c r="BE81" s="30"/>
      <c r="BF81" s="18"/>
      <c r="BG81" s="30"/>
      <c r="BH81" s="18"/>
      <c r="BI81" s="30"/>
      <c r="BJ81" s="18"/>
    </row>
    <row r="82" ht="18.0" customHeight="1">
      <c r="B82" s="12" t="s">
        <v>108</v>
      </c>
      <c r="C82" s="30" t="s">
        <v>296</v>
      </c>
      <c r="D82" s="18"/>
      <c r="E82" s="30" t="s">
        <v>295</v>
      </c>
      <c r="F82" s="18"/>
      <c r="G82" s="30" t="s">
        <v>296</v>
      </c>
      <c r="H82" s="18"/>
      <c r="I82" s="30" t="s">
        <v>295</v>
      </c>
      <c r="J82" s="18"/>
      <c r="K82" s="30" t="s">
        <v>295</v>
      </c>
      <c r="L82" s="18"/>
      <c r="M82" s="30"/>
      <c r="N82" s="18"/>
      <c r="O82" s="30"/>
      <c r="P82" s="18"/>
      <c r="Q82" s="30"/>
      <c r="R82" s="18"/>
      <c r="S82" s="30"/>
      <c r="T82" s="18"/>
      <c r="U82" s="30"/>
      <c r="V82" s="18"/>
      <c r="W82" s="30"/>
      <c r="X82" s="18"/>
      <c r="Y82" s="30"/>
      <c r="Z82" s="18"/>
      <c r="AA82" s="30"/>
      <c r="AB82" s="18"/>
      <c r="AC82" s="30"/>
      <c r="AD82" s="18"/>
      <c r="AE82" s="30"/>
      <c r="AF82" s="18"/>
      <c r="AG82" s="30"/>
      <c r="AH82" s="18"/>
      <c r="AI82" s="30"/>
      <c r="AJ82" s="18"/>
      <c r="AK82" s="30"/>
      <c r="AL82" s="18"/>
      <c r="AM82" s="30"/>
      <c r="AN82" s="18"/>
      <c r="AO82" s="30"/>
      <c r="AP82" s="18"/>
      <c r="AQ82" s="30"/>
      <c r="AR82" s="18"/>
      <c r="AS82" s="30"/>
      <c r="AT82" s="18"/>
      <c r="AU82" s="30"/>
      <c r="AV82" s="18"/>
      <c r="AW82" s="30"/>
      <c r="AX82" s="18"/>
      <c r="AY82" s="30"/>
      <c r="AZ82" s="18"/>
      <c r="BA82" s="30"/>
      <c r="BB82" s="18"/>
      <c r="BC82" s="30"/>
      <c r="BD82" s="18"/>
      <c r="BE82" s="30"/>
      <c r="BF82" s="18"/>
      <c r="BG82" s="30"/>
      <c r="BH82" s="18"/>
      <c r="BI82" s="30"/>
      <c r="BJ82" s="18"/>
    </row>
    <row r="83" ht="18.0" customHeight="1">
      <c r="B83" s="12" t="s">
        <v>109</v>
      </c>
      <c r="C83" s="30" t="s">
        <v>297</v>
      </c>
      <c r="D83" s="18"/>
      <c r="E83" s="30" t="s">
        <v>298</v>
      </c>
      <c r="F83" s="18"/>
      <c r="G83" s="30" t="s">
        <v>298</v>
      </c>
      <c r="H83" s="18"/>
      <c r="I83" s="30" t="s">
        <v>298</v>
      </c>
      <c r="J83" s="18"/>
      <c r="K83" s="30" t="s">
        <v>298</v>
      </c>
      <c r="L83" s="18"/>
      <c r="M83" s="30"/>
      <c r="N83" s="18"/>
      <c r="O83" s="30"/>
      <c r="P83" s="18"/>
      <c r="Q83" s="30"/>
      <c r="R83" s="18"/>
      <c r="S83" s="30"/>
      <c r="T83" s="18"/>
      <c r="U83" s="30"/>
      <c r="V83" s="18"/>
      <c r="W83" s="30"/>
      <c r="X83" s="18"/>
      <c r="Y83" s="30"/>
      <c r="Z83" s="18"/>
      <c r="AA83" s="30"/>
      <c r="AB83" s="18"/>
      <c r="AC83" s="30"/>
      <c r="AD83" s="18"/>
      <c r="AE83" s="30"/>
      <c r="AF83" s="18"/>
      <c r="AG83" s="30"/>
      <c r="AH83" s="18"/>
      <c r="AI83" s="30"/>
      <c r="AJ83" s="18"/>
      <c r="AK83" s="30"/>
      <c r="AL83" s="18"/>
      <c r="AM83" s="30"/>
      <c r="AN83" s="18"/>
      <c r="AO83" s="30"/>
      <c r="AP83" s="18"/>
      <c r="AQ83" s="30"/>
      <c r="AR83" s="18"/>
      <c r="AS83" s="30"/>
      <c r="AT83" s="18"/>
      <c r="AU83" s="30"/>
      <c r="AV83" s="18"/>
      <c r="AW83" s="30"/>
      <c r="AX83" s="18"/>
      <c r="AY83" s="30"/>
      <c r="AZ83" s="18"/>
      <c r="BA83" s="30"/>
      <c r="BB83" s="18"/>
      <c r="BC83" s="30"/>
      <c r="BD83" s="18"/>
      <c r="BE83" s="30"/>
      <c r="BF83" s="18"/>
      <c r="BG83" s="30"/>
      <c r="BH83" s="18"/>
      <c r="BI83" s="30"/>
      <c r="BJ83" s="18"/>
    </row>
    <row r="84" ht="18.0" customHeight="1">
      <c r="B84" s="12" t="s">
        <v>110</v>
      </c>
      <c r="C84" s="30" t="s">
        <v>298</v>
      </c>
      <c r="D84" s="18"/>
      <c r="E84" s="30" t="s">
        <v>297</v>
      </c>
      <c r="F84" s="18"/>
      <c r="G84" s="30" t="s">
        <v>297</v>
      </c>
      <c r="H84" s="18"/>
      <c r="I84" s="30" t="s">
        <v>297</v>
      </c>
      <c r="J84" s="18"/>
      <c r="K84" s="30" t="s">
        <v>297</v>
      </c>
      <c r="L84" s="18"/>
      <c r="M84" s="30"/>
      <c r="N84" s="18"/>
      <c r="O84" s="30"/>
      <c r="P84" s="18"/>
      <c r="Q84" s="30"/>
      <c r="R84" s="18"/>
      <c r="S84" s="30"/>
      <c r="T84" s="18"/>
      <c r="U84" s="30"/>
      <c r="V84" s="18"/>
      <c r="W84" s="30"/>
      <c r="X84" s="18"/>
      <c r="Y84" s="30"/>
      <c r="Z84" s="18"/>
      <c r="AA84" s="30"/>
      <c r="AB84" s="18"/>
      <c r="AC84" s="30"/>
      <c r="AD84" s="18"/>
      <c r="AE84" s="30"/>
      <c r="AF84" s="18"/>
      <c r="AG84" s="30"/>
      <c r="AH84" s="18"/>
      <c r="AI84" s="30"/>
      <c r="AJ84" s="18"/>
      <c r="AK84" s="30"/>
      <c r="AL84" s="18"/>
      <c r="AM84" s="30"/>
      <c r="AN84" s="18"/>
      <c r="AO84" s="30"/>
      <c r="AP84" s="18"/>
      <c r="AQ84" s="30"/>
      <c r="AR84" s="18"/>
      <c r="AS84" s="30"/>
      <c r="AT84" s="18"/>
      <c r="AU84" s="30"/>
      <c r="AV84" s="18"/>
      <c r="AW84" s="30"/>
      <c r="AX84" s="18"/>
      <c r="AY84" s="30"/>
      <c r="AZ84" s="18"/>
      <c r="BA84" s="30"/>
      <c r="BB84" s="18"/>
      <c r="BC84" s="30"/>
      <c r="BD84" s="18"/>
      <c r="BE84" s="30"/>
      <c r="BF84" s="18"/>
      <c r="BG84" s="30"/>
      <c r="BH84" s="18"/>
      <c r="BI84" s="30"/>
      <c r="BJ84" s="18"/>
    </row>
    <row r="85" ht="18.0" customHeight="1">
      <c r="B85" s="12" t="s">
        <v>111</v>
      </c>
      <c r="C85" s="30" t="s">
        <v>299</v>
      </c>
      <c r="D85" s="18"/>
      <c r="E85" s="30" t="s">
        <v>299</v>
      </c>
      <c r="F85" s="18"/>
      <c r="G85" s="30" t="s">
        <v>300</v>
      </c>
      <c r="H85" s="18"/>
      <c r="I85" s="30" t="s">
        <v>299</v>
      </c>
      <c r="J85" s="18"/>
      <c r="K85" s="30" t="s">
        <v>299</v>
      </c>
      <c r="L85" s="18"/>
      <c r="M85" s="30"/>
      <c r="N85" s="18"/>
      <c r="O85" s="30"/>
      <c r="P85" s="18"/>
      <c r="Q85" s="30"/>
      <c r="R85" s="18"/>
      <c r="S85" s="30"/>
      <c r="T85" s="18"/>
      <c r="U85" s="30"/>
      <c r="V85" s="18"/>
      <c r="W85" s="30"/>
      <c r="X85" s="18"/>
      <c r="Y85" s="30"/>
      <c r="Z85" s="18"/>
      <c r="AA85" s="30"/>
      <c r="AB85" s="18"/>
      <c r="AC85" s="30"/>
      <c r="AD85" s="18"/>
      <c r="AE85" s="30"/>
      <c r="AF85" s="18"/>
      <c r="AG85" s="30"/>
      <c r="AH85" s="18"/>
      <c r="AI85" s="30"/>
      <c r="AJ85" s="18"/>
      <c r="AK85" s="30"/>
      <c r="AL85" s="18"/>
      <c r="AM85" s="30"/>
      <c r="AN85" s="18"/>
      <c r="AO85" s="30"/>
      <c r="AP85" s="18"/>
      <c r="AQ85" s="30"/>
      <c r="AR85" s="18"/>
      <c r="AS85" s="30"/>
      <c r="AT85" s="18"/>
      <c r="AU85" s="30"/>
      <c r="AV85" s="18"/>
      <c r="AW85" s="30"/>
      <c r="AX85" s="18"/>
      <c r="AY85" s="30"/>
      <c r="AZ85" s="18"/>
      <c r="BA85" s="30"/>
      <c r="BB85" s="18"/>
      <c r="BC85" s="30"/>
      <c r="BD85" s="18"/>
      <c r="BE85" s="30"/>
      <c r="BF85" s="18"/>
      <c r="BG85" s="30"/>
      <c r="BH85" s="18"/>
      <c r="BI85" s="30"/>
      <c r="BJ85" s="18"/>
    </row>
    <row r="86" ht="18.0" customHeight="1">
      <c r="B86" s="12" t="s">
        <v>112</v>
      </c>
      <c r="C86" s="30" t="s">
        <v>301</v>
      </c>
      <c r="D86" s="18"/>
      <c r="E86" s="30" t="s">
        <v>301</v>
      </c>
      <c r="F86" s="18"/>
      <c r="G86" s="30" t="s">
        <v>301</v>
      </c>
      <c r="H86" s="18"/>
      <c r="I86" s="30" t="s">
        <v>302</v>
      </c>
      <c r="J86" s="18"/>
      <c r="K86" s="30" t="s">
        <v>301</v>
      </c>
      <c r="L86" s="18"/>
      <c r="M86" s="30"/>
      <c r="N86" s="18"/>
      <c r="O86" s="30"/>
      <c r="P86" s="18"/>
      <c r="Q86" s="30"/>
      <c r="R86" s="18"/>
      <c r="S86" s="30"/>
      <c r="T86" s="18"/>
      <c r="U86" s="30"/>
      <c r="V86" s="18"/>
      <c r="W86" s="30"/>
      <c r="X86" s="18"/>
      <c r="Y86" s="30"/>
      <c r="Z86" s="18"/>
      <c r="AA86" s="30"/>
      <c r="AB86" s="18"/>
      <c r="AC86" s="30"/>
      <c r="AD86" s="18"/>
      <c r="AE86" s="30"/>
      <c r="AF86" s="18"/>
      <c r="AG86" s="30"/>
      <c r="AH86" s="18"/>
      <c r="AI86" s="30"/>
      <c r="AJ86" s="18"/>
      <c r="AK86" s="30"/>
      <c r="AL86" s="18"/>
      <c r="AM86" s="30"/>
      <c r="AN86" s="18"/>
      <c r="AO86" s="30"/>
      <c r="AP86" s="18"/>
      <c r="AQ86" s="30"/>
      <c r="AR86" s="18"/>
      <c r="AS86" s="30"/>
      <c r="AT86" s="18"/>
      <c r="AU86" s="30"/>
      <c r="AV86" s="18"/>
      <c r="AW86" s="30"/>
      <c r="AX86" s="18"/>
      <c r="AY86" s="30"/>
      <c r="AZ86" s="18"/>
      <c r="BA86" s="30"/>
      <c r="BB86" s="18"/>
      <c r="BC86" s="30"/>
      <c r="BD86" s="18"/>
      <c r="BE86" s="30"/>
      <c r="BF86" s="18"/>
      <c r="BG86" s="30"/>
      <c r="BH86" s="18"/>
      <c r="BI86" s="30"/>
      <c r="BJ86" s="18"/>
    </row>
    <row r="87" ht="18.0" customHeight="1">
      <c r="B87" s="12" t="s">
        <v>113</v>
      </c>
      <c r="C87" s="30" t="s">
        <v>302</v>
      </c>
      <c r="D87" s="18"/>
      <c r="E87" s="30" t="s">
        <v>302</v>
      </c>
      <c r="F87" s="18"/>
      <c r="G87" s="30" t="s">
        <v>302</v>
      </c>
      <c r="H87" s="18"/>
      <c r="I87" s="30" t="s">
        <v>301</v>
      </c>
      <c r="J87" s="18"/>
      <c r="K87" s="30" t="s">
        <v>302</v>
      </c>
      <c r="L87" s="18"/>
      <c r="M87" s="30"/>
      <c r="N87" s="18"/>
      <c r="O87" s="30"/>
      <c r="P87" s="18"/>
      <c r="Q87" s="30"/>
      <c r="R87" s="18"/>
      <c r="S87" s="30"/>
      <c r="T87" s="18"/>
      <c r="U87" s="30"/>
      <c r="V87" s="18"/>
      <c r="W87" s="30"/>
      <c r="X87" s="18"/>
      <c r="Y87" s="30"/>
      <c r="Z87" s="18"/>
      <c r="AA87" s="30"/>
      <c r="AB87" s="18"/>
      <c r="AC87" s="30"/>
      <c r="AD87" s="18"/>
      <c r="AE87" s="30"/>
      <c r="AF87" s="18"/>
      <c r="AG87" s="30"/>
      <c r="AH87" s="18"/>
      <c r="AI87" s="30"/>
      <c r="AJ87" s="18"/>
      <c r="AK87" s="30"/>
      <c r="AL87" s="18"/>
      <c r="AM87" s="30"/>
      <c r="AN87" s="18"/>
      <c r="AO87" s="30"/>
      <c r="AP87" s="18"/>
      <c r="AQ87" s="30"/>
      <c r="AR87" s="18"/>
      <c r="AS87" s="30"/>
      <c r="AT87" s="18"/>
      <c r="AU87" s="30"/>
      <c r="AV87" s="18"/>
      <c r="AW87" s="30"/>
      <c r="AX87" s="18"/>
      <c r="AY87" s="30"/>
      <c r="AZ87" s="18"/>
      <c r="BA87" s="30"/>
      <c r="BB87" s="18"/>
      <c r="BC87" s="30"/>
      <c r="BD87" s="18"/>
      <c r="BE87" s="30"/>
      <c r="BF87" s="18"/>
      <c r="BG87" s="30"/>
      <c r="BH87" s="18"/>
      <c r="BI87" s="30"/>
      <c r="BJ87" s="18"/>
    </row>
    <row r="88" ht="18.0" customHeight="1">
      <c r="B88" s="12" t="s">
        <v>114</v>
      </c>
      <c r="C88" s="30" t="s">
        <v>303</v>
      </c>
      <c r="D88" s="18"/>
      <c r="E88" s="30" t="s">
        <v>303</v>
      </c>
      <c r="F88" s="18"/>
      <c r="G88" s="30" t="s">
        <v>303</v>
      </c>
      <c r="H88" s="18"/>
      <c r="I88" s="30" t="s">
        <v>303</v>
      </c>
      <c r="J88" s="18"/>
      <c r="K88" s="30" t="s">
        <v>303</v>
      </c>
      <c r="L88" s="18"/>
      <c r="M88" s="30"/>
      <c r="N88" s="18"/>
      <c r="O88" s="30"/>
      <c r="P88" s="18"/>
      <c r="Q88" s="30"/>
      <c r="R88" s="18"/>
      <c r="S88" s="30"/>
      <c r="T88" s="18"/>
      <c r="U88" s="30"/>
      <c r="V88" s="18"/>
      <c r="W88" s="30"/>
      <c r="X88" s="18"/>
      <c r="Y88" s="30"/>
      <c r="Z88" s="18"/>
      <c r="AA88" s="30"/>
      <c r="AB88" s="18"/>
      <c r="AC88" s="30"/>
      <c r="AD88" s="18"/>
      <c r="AE88" s="30"/>
      <c r="AF88" s="18"/>
      <c r="AG88" s="30"/>
      <c r="AH88" s="18"/>
      <c r="AI88" s="30"/>
      <c r="AJ88" s="18"/>
      <c r="AK88" s="30"/>
      <c r="AL88" s="18"/>
      <c r="AM88" s="30"/>
      <c r="AN88" s="18"/>
      <c r="AO88" s="30"/>
      <c r="AP88" s="18"/>
      <c r="AQ88" s="30"/>
      <c r="AR88" s="18"/>
      <c r="AS88" s="30"/>
      <c r="AT88" s="18"/>
      <c r="AU88" s="30"/>
      <c r="AV88" s="18"/>
      <c r="AW88" s="30"/>
      <c r="AX88" s="18"/>
      <c r="AY88" s="30"/>
      <c r="AZ88" s="18"/>
      <c r="BA88" s="30"/>
      <c r="BB88" s="18"/>
      <c r="BC88" s="30"/>
      <c r="BD88" s="18"/>
      <c r="BE88" s="30"/>
      <c r="BF88" s="18"/>
      <c r="BG88" s="30"/>
      <c r="BH88" s="18"/>
      <c r="BI88" s="30"/>
      <c r="BJ88" s="18"/>
    </row>
    <row r="89" ht="18.0" customHeight="1">
      <c r="B89" s="12" t="s">
        <v>115</v>
      </c>
      <c r="C89" s="30" t="s">
        <v>304</v>
      </c>
      <c r="D89" s="18"/>
      <c r="E89" s="30" t="s">
        <v>305</v>
      </c>
      <c r="F89" s="18"/>
      <c r="G89" s="30" t="s">
        <v>305</v>
      </c>
      <c r="H89" s="18"/>
      <c r="I89" s="30" t="s">
        <v>305</v>
      </c>
      <c r="J89" s="18"/>
      <c r="K89" s="30" t="s">
        <v>304</v>
      </c>
      <c r="L89" s="18"/>
      <c r="M89" s="30"/>
      <c r="N89" s="18"/>
      <c r="O89" s="30"/>
      <c r="P89" s="18"/>
      <c r="Q89" s="30"/>
      <c r="R89" s="18"/>
      <c r="S89" s="30"/>
      <c r="T89" s="18"/>
      <c r="U89" s="30"/>
      <c r="V89" s="18"/>
      <c r="W89" s="30"/>
      <c r="X89" s="18"/>
      <c r="Y89" s="30"/>
      <c r="Z89" s="18"/>
      <c r="AA89" s="30"/>
      <c r="AB89" s="18"/>
      <c r="AC89" s="30"/>
      <c r="AD89" s="18"/>
      <c r="AE89" s="30"/>
      <c r="AF89" s="18"/>
      <c r="AG89" s="30"/>
      <c r="AH89" s="18"/>
      <c r="AI89" s="30"/>
      <c r="AJ89" s="18"/>
      <c r="AK89" s="30"/>
      <c r="AL89" s="18"/>
      <c r="AM89" s="30"/>
      <c r="AN89" s="18"/>
      <c r="AO89" s="30"/>
      <c r="AP89" s="18"/>
      <c r="AQ89" s="30"/>
      <c r="AR89" s="18"/>
      <c r="AS89" s="30"/>
      <c r="AT89" s="18"/>
      <c r="AU89" s="30"/>
      <c r="AV89" s="18"/>
      <c r="AW89" s="30"/>
      <c r="AX89" s="18"/>
      <c r="AY89" s="30"/>
      <c r="AZ89" s="18"/>
      <c r="BA89" s="30"/>
      <c r="BB89" s="18"/>
      <c r="BC89" s="30"/>
      <c r="BD89" s="18"/>
      <c r="BE89" s="30"/>
      <c r="BF89" s="18"/>
      <c r="BG89" s="30"/>
      <c r="BH89" s="18"/>
      <c r="BI89" s="30"/>
      <c r="BJ89" s="18"/>
    </row>
    <row r="90" ht="18.0" customHeight="1">
      <c r="B90" s="12" t="s">
        <v>116</v>
      </c>
      <c r="C90" s="30" t="s">
        <v>305</v>
      </c>
      <c r="D90" s="18"/>
      <c r="E90" s="30" t="s">
        <v>304</v>
      </c>
      <c r="F90" s="18"/>
      <c r="G90" s="30" t="s">
        <v>304</v>
      </c>
      <c r="H90" s="18"/>
      <c r="I90" s="30" t="s">
        <v>304</v>
      </c>
      <c r="J90" s="18"/>
      <c r="K90" s="30" t="s">
        <v>305</v>
      </c>
      <c r="L90" s="18"/>
      <c r="M90" s="30"/>
      <c r="N90" s="18"/>
      <c r="O90" s="30"/>
      <c r="P90" s="18"/>
      <c r="Q90" s="30"/>
      <c r="R90" s="18"/>
      <c r="S90" s="30"/>
      <c r="T90" s="18"/>
      <c r="U90" s="30"/>
      <c r="V90" s="18"/>
      <c r="W90" s="30"/>
      <c r="X90" s="18"/>
      <c r="Y90" s="30"/>
      <c r="Z90" s="18"/>
      <c r="AA90" s="30"/>
      <c r="AB90" s="18"/>
      <c r="AC90" s="30"/>
      <c r="AD90" s="18"/>
      <c r="AE90" s="30"/>
      <c r="AF90" s="18"/>
      <c r="AG90" s="30"/>
      <c r="AH90" s="18"/>
      <c r="AI90" s="30"/>
      <c r="AJ90" s="18"/>
      <c r="AK90" s="30"/>
      <c r="AL90" s="18"/>
      <c r="AM90" s="30"/>
      <c r="AN90" s="18"/>
      <c r="AO90" s="30"/>
      <c r="AP90" s="18"/>
      <c r="AQ90" s="30"/>
      <c r="AR90" s="18"/>
      <c r="AS90" s="30"/>
      <c r="AT90" s="18"/>
      <c r="AU90" s="30"/>
      <c r="AV90" s="18"/>
      <c r="AW90" s="30"/>
      <c r="AX90" s="18"/>
      <c r="AY90" s="30"/>
      <c r="AZ90" s="18"/>
      <c r="BA90" s="30"/>
      <c r="BB90" s="18"/>
      <c r="BC90" s="30"/>
      <c r="BD90" s="18"/>
      <c r="BE90" s="30"/>
      <c r="BF90" s="18"/>
      <c r="BG90" s="30"/>
      <c r="BH90" s="18"/>
      <c r="BI90" s="30"/>
      <c r="BJ90" s="18"/>
    </row>
    <row r="91" ht="18.0" customHeight="1">
      <c r="B91" s="12" t="s">
        <v>117</v>
      </c>
      <c r="C91" s="30" t="s">
        <v>306</v>
      </c>
      <c r="D91" s="18"/>
      <c r="E91" s="30" t="s">
        <v>306</v>
      </c>
      <c r="F91" s="18"/>
      <c r="G91" s="30" t="s">
        <v>307</v>
      </c>
      <c r="H91" s="18"/>
      <c r="I91" s="30" t="s">
        <v>306</v>
      </c>
      <c r="J91" s="18"/>
      <c r="K91" s="30" t="s">
        <v>306</v>
      </c>
      <c r="L91" s="18"/>
      <c r="M91" s="30"/>
      <c r="N91" s="18"/>
      <c r="O91" s="30"/>
      <c r="P91" s="18"/>
      <c r="Q91" s="30"/>
      <c r="R91" s="18"/>
      <c r="S91" s="30"/>
      <c r="T91" s="18"/>
      <c r="U91" s="30"/>
      <c r="V91" s="18"/>
      <c r="W91" s="30"/>
      <c r="X91" s="18"/>
      <c r="Y91" s="30"/>
      <c r="Z91" s="18"/>
      <c r="AA91" s="30"/>
      <c r="AB91" s="18"/>
      <c r="AC91" s="30"/>
      <c r="AD91" s="18"/>
      <c r="AE91" s="30"/>
      <c r="AF91" s="18"/>
      <c r="AG91" s="30"/>
      <c r="AH91" s="18"/>
      <c r="AI91" s="30"/>
      <c r="AJ91" s="18"/>
      <c r="AK91" s="30"/>
      <c r="AL91" s="18"/>
      <c r="AM91" s="30"/>
      <c r="AN91" s="18"/>
      <c r="AO91" s="30"/>
      <c r="AP91" s="18"/>
      <c r="AQ91" s="30"/>
      <c r="AR91" s="18"/>
      <c r="AS91" s="30"/>
      <c r="AT91" s="18"/>
      <c r="AU91" s="30"/>
      <c r="AV91" s="18"/>
      <c r="AW91" s="30"/>
      <c r="AX91" s="18"/>
      <c r="AY91" s="30"/>
      <c r="AZ91" s="18"/>
      <c r="BA91" s="30"/>
      <c r="BB91" s="18"/>
      <c r="BC91" s="30"/>
      <c r="BD91" s="18"/>
      <c r="BE91" s="30"/>
      <c r="BF91" s="18"/>
      <c r="BG91" s="30"/>
      <c r="BH91" s="18"/>
      <c r="BI91" s="30"/>
      <c r="BJ91" s="18"/>
    </row>
    <row r="92" ht="18.0" customHeight="1">
      <c r="B92" s="12" t="s">
        <v>118</v>
      </c>
      <c r="C92" s="30" t="s">
        <v>308</v>
      </c>
      <c r="D92" s="18"/>
      <c r="E92" s="30" t="s">
        <v>308</v>
      </c>
      <c r="F92" s="18"/>
      <c r="G92" s="30" t="s">
        <v>308</v>
      </c>
      <c r="H92" s="18"/>
      <c r="I92" s="30" t="s">
        <v>308</v>
      </c>
      <c r="J92" s="18"/>
      <c r="K92" s="30" t="s">
        <v>308</v>
      </c>
      <c r="L92" s="18"/>
      <c r="M92" s="30"/>
      <c r="N92" s="18"/>
      <c r="O92" s="30"/>
      <c r="P92" s="18"/>
      <c r="Q92" s="30"/>
      <c r="R92" s="18"/>
      <c r="S92" s="30"/>
      <c r="T92" s="18"/>
      <c r="U92" s="30"/>
      <c r="V92" s="18"/>
      <c r="W92" s="30"/>
      <c r="X92" s="18"/>
      <c r="Y92" s="30"/>
      <c r="Z92" s="18"/>
      <c r="AA92" s="30"/>
      <c r="AB92" s="18"/>
      <c r="AC92" s="30"/>
      <c r="AD92" s="18"/>
      <c r="AE92" s="30"/>
      <c r="AF92" s="18"/>
      <c r="AG92" s="30"/>
      <c r="AH92" s="18"/>
      <c r="AI92" s="30"/>
      <c r="AJ92" s="18"/>
      <c r="AK92" s="30"/>
      <c r="AL92" s="18"/>
      <c r="AM92" s="30"/>
      <c r="AN92" s="18"/>
      <c r="AO92" s="30"/>
      <c r="AP92" s="18"/>
      <c r="AQ92" s="30"/>
      <c r="AR92" s="18"/>
      <c r="AS92" s="30"/>
      <c r="AT92" s="18"/>
      <c r="AU92" s="30"/>
      <c r="AV92" s="18"/>
      <c r="AW92" s="30"/>
      <c r="AX92" s="18"/>
      <c r="AY92" s="30"/>
      <c r="AZ92" s="18"/>
      <c r="BA92" s="30"/>
      <c r="BB92" s="18"/>
      <c r="BC92" s="30"/>
      <c r="BD92" s="18"/>
      <c r="BE92" s="30"/>
      <c r="BF92" s="18"/>
      <c r="BG92" s="30"/>
      <c r="BH92" s="18"/>
      <c r="BI92" s="30"/>
      <c r="BJ92" s="18"/>
    </row>
    <row r="93" ht="18.0" customHeight="1">
      <c r="B93" s="12" t="s">
        <v>119</v>
      </c>
      <c r="C93" s="30" t="s">
        <v>309</v>
      </c>
      <c r="D93" s="18"/>
      <c r="E93" s="30" t="s">
        <v>309</v>
      </c>
      <c r="F93" s="18"/>
      <c r="G93" s="30" t="s">
        <v>309</v>
      </c>
      <c r="H93" s="18"/>
      <c r="I93" s="30" t="s">
        <v>309</v>
      </c>
      <c r="J93" s="18"/>
      <c r="K93" s="30" t="s">
        <v>309</v>
      </c>
      <c r="L93" s="18"/>
      <c r="M93" s="30"/>
      <c r="N93" s="18"/>
      <c r="O93" s="30"/>
      <c r="P93" s="18"/>
      <c r="Q93" s="30"/>
      <c r="R93" s="18"/>
      <c r="S93" s="30"/>
      <c r="T93" s="18"/>
      <c r="U93" s="30"/>
      <c r="V93" s="18"/>
      <c r="W93" s="30"/>
      <c r="X93" s="18"/>
      <c r="Y93" s="30"/>
      <c r="Z93" s="18"/>
      <c r="AA93" s="30"/>
      <c r="AB93" s="18"/>
      <c r="AC93" s="30"/>
      <c r="AD93" s="18"/>
      <c r="AE93" s="30"/>
      <c r="AF93" s="18"/>
      <c r="AG93" s="30"/>
      <c r="AH93" s="18"/>
      <c r="AI93" s="30"/>
      <c r="AJ93" s="18"/>
      <c r="AK93" s="30"/>
      <c r="AL93" s="18"/>
      <c r="AM93" s="30"/>
      <c r="AN93" s="18"/>
      <c r="AO93" s="30"/>
      <c r="AP93" s="18"/>
      <c r="AQ93" s="30"/>
      <c r="AR93" s="18"/>
      <c r="AS93" s="30"/>
      <c r="AT93" s="18"/>
      <c r="AU93" s="30"/>
      <c r="AV93" s="18"/>
      <c r="AW93" s="30"/>
      <c r="AX93" s="18"/>
      <c r="AY93" s="30"/>
      <c r="AZ93" s="18"/>
      <c r="BA93" s="30"/>
      <c r="BB93" s="18"/>
      <c r="BC93" s="30"/>
      <c r="BD93" s="18"/>
      <c r="BE93" s="30"/>
      <c r="BF93" s="18"/>
      <c r="BG93" s="30"/>
      <c r="BH93" s="18"/>
      <c r="BI93" s="30"/>
      <c r="BJ93" s="18"/>
    </row>
    <row r="94" ht="18.0" customHeight="1">
      <c r="B94" s="12" t="s">
        <v>120</v>
      </c>
      <c r="C94" s="30" t="s">
        <v>310</v>
      </c>
      <c r="D94" s="18"/>
      <c r="E94" s="30" t="s">
        <v>310</v>
      </c>
      <c r="F94" s="18"/>
      <c r="G94" s="30" t="s">
        <v>310</v>
      </c>
      <c r="H94" s="18"/>
      <c r="I94" s="30" t="s">
        <v>310</v>
      </c>
      <c r="J94" s="18"/>
      <c r="K94" s="30" t="s">
        <v>310</v>
      </c>
      <c r="L94" s="18"/>
      <c r="M94" s="30"/>
      <c r="N94" s="18"/>
      <c r="O94" s="30"/>
      <c r="P94" s="18"/>
      <c r="Q94" s="30"/>
      <c r="R94" s="18"/>
      <c r="S94" s="30"/>
      <c r="T94" s="18"/>
      <c r="U94" s="30"/>
      <c r="V94" s="18"/>
      <c r="W94" s="30"/>
      <c r="X94" s="18"/>
      <c r="Y94" s="30"/>
      <c r="Z94" s="18"/>
      <c r="AA94" s="30"/>
      <c r="AB94" s="18"/>
      <c r="AC94" s="30"/>
      <c r="AD94" s="18"/>
      <c r="AE94" s="30"/>
      <c r="AF94" s="18"/>
      <c r="AG94" s="30"/>
      <c r="AH94" s="18"/>
      <c r="AI94" s="30"/>
      <c r="AJ94" s="18"/>
      <c r="AK94" s="30"/>
      <c r="AL94" s="18"/>
      <c r="AM94" s="30"/>
      <c r="AN94" s="18"/>
      <c r="AO94" s="30"/>
      <c r="AP94" s="18"/>
      <c r="AQ94" s="30"/>
      <c r="AR94" s="18"/>
      <c r="AS94" s="30"/>
      <c r="AT94" s="18"/>
      <c r="AU94" s="30"/>
      <c r="AV94" s="18"/>
      <c r="AW94" s="30"/>
      <c r="AX94" s="18"/>
      <c r="AY94" s="30"/>
      <c r="AZ94" s="18"/>
      <c r="BA94" s="30"/>
      <c r="BB94" s="18"/>
      <c r="BC94" s="30"/>
      <c r="BD94" s="18"/>
      <c r="BE94" s="30"/>
      <c r="BF94" s="18"/>
      <c r="BG94" s="30"/>
      <c r="BH94" s="18"/>
      <c r="BI94" s="30"/>
      <c r="BJ94" s="18"/>
    </row>
    <row r="95" ht="18.0" customHeight="1">
      <c r="B95" s="12" t="s">
        <v>121</v>
      </c>
      <c r="C95" s="30" t="s">
        <v>311</v>
      </c>
      <c r="D95" s="18"/>
      <c r="E95" s="30" t="s">
        <v>311</v>
      </c>
      <c r="F95" s="18"/>
      <c r="G95" s="30" t="s">
        <v>311</v>
      </c>
      <c r="H95" s="18"/>
      <c r="I95" s="30" t="s">
        <v>311</v>
      </c>
      <c r="J95" s="18"/>
      <c r="K95" s="30" t="s">
        <v>311</v>
      </c>
      <c r="L95" s="18"/>
      <c r="M95" s="30"/>
      <c r="N95" s="18"/>
      <c r="O95" s="30"/>
      <c r="P95" s="18"/>
      <c r="Q95" s="30"/>
      <c r="R95" s="18"/>
      <c r="S95" s="30"/>
      <c r="T95" s="18"/>
      <c r="U95" s="30"/>
      <c r="V95" s="18"/>
      <c r="W95" s="30"/>
      <c r="X95" s="18"/>
      <c r="Y95" s="30"/>
      <c r="Z95" s="18"/>
      <c r="AA95" s="30"/>
      <c r="AB95" s="18"/>
      <c r="AC95" s="30"/>
      <c r="AD95" s="18"/>
      <c r="AE95" s="30"/>
      <c r="AF95" s="18"/>
      <c r="AG95" s="30"/>
      <c r="AH95" s="18"/>
      <c r="AI95" s="30"/>
      <c r="AJ95" s="18"/>
      <c r="AK95" s="30"/>
      <c r="AL95" s="18"/>
      <c r="AM95" s="30"/>
      <c r="AN95" s="18"/>
      <c r="AO95" s="30"/>
      <c r="AP95" s="18"/>
      <c r="AQ95" s="30"/>
      <c r="AR95" s="18"/>
      <c r="AS95" s="30"/>
      <c r="AT95" s="18"/>
      <c r="AU95" s="30"/>
      <c r="AV95" s="18"/>
      <c r="AW95" s="30"/>
      <c r="AX95" s="18"/>
      <c r="AY95" s="30"/>
      <c r="AZ95" s="18"/>
      <c r="BA95" s="30"/>
      <c r="BB95" s="18"/>
      <c r="BC95" s="30"/>
      <c r="BD95" s="18"/>
      <c r="BE95" s="30"/>
      <c r="BF95" s="18"/>
      <c r="BG95" s="30"/>
      <c r="BH95" s="18"/>
      <c r="BI95" s="30"/>
      <c r="BJ95" s="18"/>
    </row>
    <row r="96" ht="18.0" customHeight="1">
      <c r="B96" s="12" t="s">
        <v>122</v>
      </c>
      <c r="C96" s="30" t="s">
        <v>312</v>
      </c>
      <c r="D96" s="18"/>
      <c r="E96" s="30" t="s">
        <v>312</v>
      </c>
      <c r="F96" s="18"/>
      <c r="G96" s="30" t="s">
        <v>312</v>
      </c>
      <c r="H96" s="18"/>
      <c r="I96" s="30" t="s">
        <v>312</v>
      </c>
      <c r="J96" s="18"/>
      <c r="K96" s="30" t="s">
        <v>312</v>
      </c>
      <c r="L96" s="18"/>
      <c r="M96" s="30"/>
      <c r="N96" s="18"/>
      <c r="O96" s="30"/>
      <c r="P96" s="18"/>
      <c r="Q96" s="30"/>
      <c r="R96" s="18"/>
      <c r="S96" s="30"/>
      <c r="T96" s="18"/>
      <c r="U96" s="30"/>
      <c r="V96" s="18"/>
      <c r="W96" s="30"/>
      <c r="X96" s="18"/>
      <c r="Y96" s="30"/>
      <c r="Z96" s="18"/>
      <c r="AA96" s="30"/>
      <c r="AB96" s="18"/>
      <c r="AC96" s="30"/>
      <c r="AD96" s="18"/>
      <c r="AE96" s="30"/>
      <c r="AF96" s="18"/>
      <c r="AG96" s="30"/>
      <c r="AH96" s="18"/>
      <c r="AI96" s="30"/>
      <c r="AJ96" s="18"/>
      <c r="AK96" s="30"/>
      <c r="AL96" s="18"/>
      <c r="AM96" s="30"/>
      <c r="AN96" s="18"/>
      <c r="AO96" s="30"/>
      <c r="AP96" s="18"/>
      <c r="AQ96" s="30"/>
      <c r="AR96" s="18"/>
      <c r="AS96" s="30"/>
      <c r="AT96" s="18"/>
      <c r="AU96" s="30"/>
      <c r="AV96" s="18"/>
      <c r="AW96" s="30"/>
      <c r="AX96" s="18"/>
      <c r="AY96" s="30"/>
      <c r="AZ96" s="18"/>
      <c r="BA96" s="30"/>
      <c r="BB96" s="18"/>
      <c r="BC96" s="30"/>
      <c r="BD96" s="18"/>
      <c r="BE96" s="30"/>
      <c r="BF96" s="18"/>
      <c r="BG96" s="30"/>
      <c r="BH96" s="18"/>
      <c r="BI96" s="30"/>
      <c r="BJ96" s="18"/>
    </row>
    <row r="97" ht="18.0" customHeight="1">
      <c r="B97" s="12" t="s">
        <v>123</v>
      </c>
      <c r="C97" s="30" t="s">
        <v>313</v>
      </c>
      <c r="D97" s="18"/>
      <c r="E97" s="30" t="s">
        <v>313</v>
      </c>
      <c r="F97" s="18"/>
      <c r="G97" s="30" t="s">
        <v>313</v>
      </c>
      <c r="H97" s="18"/>
      <c r="I97" s="30" t="s">
        <v>313</v>
      </c>
      <c r="J97" s="18"/>
      <c r="K97" s="30" t="s">
        <v>313</v>
      </c>
      <c r="L97" s="18"/>
      <c r="M97" s="30"/>
      <c r="N97" s="18"/>
      <c r="O97" s="30"/>
      <c r="P97" s="18"/>
      <c r="Q97" s="30"/>
      <c r="R97" s="18"/>
      <c r="S97" s="30"/>
      <c r="T97" s="18"/>
      <c r="U97" s="30"/>
      <c r="V97" s="18"/>
      <c r="W97" s="30"/>
      <c r="X97" s="18"/>
      <c r="Y97" s="30"/>
      <c r="Z97" s="18"/>
      <c r="AA97" s="30"/>
      <c r="AB97" s="18"/>
      <c r="AC97" s="30"/>
      <c r="AD97" s="18"/>
      <c r="AE97" s="30"/>
      <c r="AF97" s="18"/>
      <c r="AG97" s="30"/>
      <c r="AH97" s="18"/>
      <c r="AI97" s="30"/>
      <c r="AJ97" s="18"/>
      <c r="AK97" s="30"/>
      <c r="AL97" s="18"/>
      <c r="AM97" s="30"/>
      <c r="AN97" s="18"/>
      <c r="AO97" s="30"/>
      <c r="AP97" s="18"/>
      <c r="AQ97" s="30"/>
      <c r="AR97" s="18"/>
      <c r="AS97" s="30"/>
      <c r="AT97" s="18"/>
      <c r="AU97" s="30"/>
      <c r="AV97" s="18"/>
      <c r="AW97" s="30"/>
      <c r="AX97" s="18"/>
      <c r="AY97" s="30"/>
      <c r="AZ97" s="18"/>
      <c r="BA97" s="30"/>
      <c r="BB97" s="18"/>
      <c r="BC97" s="30"/>
      <c r="BD97" s="18"/>
      <c r="BE97" s="30"/>
      <c r="BF97" s="18"/>
      <c r="BG97" s="30"/>
      <c r="BH97" s="18"/>
      <c r="BI97" s="30"/>
      <c r="BJ97" s="18"/>
    </row>
    <row r="98" ht="18.0" customHeight="1">
      <c r="B98" s="12" t="s">
        <v>124</v>
      </c>
      <c r="C98" s="30" t="s">
        <v>314</v>
      </c>
      <c r="D98" s="18"/>
      <c r="E98" s="30" t="s">
        <v>314</v>
      </c>
      <c r="F98" s="18"/>
      <c r="G98" s="30" t="s">
        <v>314</v>
      </c>
      <c r="H98" s="18"/>
      <c r="I98" s="30" t="s">
        <v>314</v>
      </c>
      <c r="J98" s="18"/>
      <c r="K98" s="30" t="s">
        <v>314</v>
      </c>
      <c r="L98" s="18"/>
      <c r="M98" s="30"/>
      <c r="N98" s="18"/>
      <c r="O98" s="30"/>
      <c r="P98" s="18"/>
      <c r="Q98" s="30"/>
      <c r="R98" s="18"/>
      <c r="S98" s="30"/>
      <c r="T98" s="18"/>
      <c r="U98" s="30"/>
      <c r="V98" s="18"/>
      <c r="W98" s="30"/>
      <c r="X98" s="18"/>
      <c r="Y98" s="30"/>
      <c r="Z98" s="18"/>
      <c r="AA98" s="30"/>
      <c r="AB98" s="18"/>
      <c r="AC98" s="30"/>
      <c r="AD98" s="18"/>
      <c r="AE98" s="30"/>
      <c r="AF98" s="18"/>
      <c r="AG98" s="30"/>
      <c r="AH98" s="18"/>
      <c r="AI98" s="30"/>
      <c r="AJ98" s="18"/>
      <c r="AK98" s="30"/>
      <c r="AL98" s="18"/>
      <c r="AM98" s="30"/>
      <c r="AN98" s="18"/>
      <c r="AO98" s="30"/>
      <c r="AP98" s="18"/>
      <c r="AQ98" s="30"/>
      <c r="AR98" s="18"/>
      <c r="AS98" s="30"/>
      <c r="AT98" s="18"/>
      <c r="AU98" s="30"/>
      <c r="AV98" s="18"/>
      <c r="AW98" s="30"/>
      <c r="AX98" s="18"/>
      <c r="AY98" s="30"/>
      <c r="AZ98" s="18"/>
      <c r="BA98" s="30"/>
      <c r="BB98" s="18"/>
      <c r="BC98" s="30"/>
      <c r="BD98" s="18"/>
      <c r="BE98" s="30"/>
      <c r="BF98" s="18"/>
      <c r="BG98" s="30"/>
      <c r="BH98" s="18"/>
      <c r="BI98" s="30"/>
      <c r="BJ98" s="18"/>
    </row>
    <row r="99" ht="18.0" customHeight="1">
      <c r="B99" s="12" t="s">
        <v>125</v>
      </c>
      <c r="C99" s="30" t="s">
        <v>315</v>
      </c>
      <c r="D99" s="18"/>
      <c r="E99" s="30" t="s">
        <v>315</v>
      </c>
      <c r="F99" s="18"/>
      <c r="G99" s="30" t="s">
        <v>315</v>
      </c>
      <c r="H99" s="18"/>
      <c r="I99" s="30" t="s">
        <v>315</v>
      </c>
      <c r="J99" s="18"/>
      <c r="K99" s="30" t="s">
        <v>315</v>
      </c>
      <c r="L99" s="18"/>
      <c r="M99" s="30"/>
      <c r="N99" s="18"/>
      <c r="O99" s="30"/>
      <c r="P99" s="18"/>
      <c r="Q99" s="30"/>
      <c r="R99" s="18"/>
      <c r="S99" s="30"/>
      <c r="T99" s="18"/>
      <c r="U99" s="30"/>
      <c r="V99" s="18"/>
      <c r="W99" s="30"/>
      <c r="X99" s="18"/>
      <c r="Y99" s="30"/>
      <c r="Z99" s="18"/>
      <c r="AA99" s="30"/>
      <c r="AB99" s="18"/>
      <c r="AC99" s="30"/>
      <c r="AD99" s="18"/>
      <c r="AE99" s="30"/>
      <c r="AF99" s="18"/>
      <c r="AG99" s="30"/>
      <c r="AH99" s="18"/>
      <c r="AI99" s="30"/>
      <c r="AJ99" s="18"/>
      <c r="AK99" s="30"/>
      <c r="AL99" s="18"/>
      <c r="AM99" s="30"/>
      <c r="AN99" s="18"/>
      <c r="AO99" s="30"/>
      <c r="AP99" s="18"/>
      <c r="AQ99" s="30"/>
      <c r="AR99" s="18"/>
      <c r="AS99" s="30"/>
      <c r="AT99" s="18"/>
      <c r="AU99" s="30"/>
      <c r="AV99" s="18"/>
      <c r="AW99" s="30"/>
      <c r="AX99" s="18"/>
      <c r="AY99" s="30"/>
      <c r="AZ99" s="18"/>
      <c r="BA99" s="30"/>
      <c r="BB99" s="18"/>
      <c r="BC99" s="30"/>
      <c r="BD99" s="18"/>
      <c r="BE99" s="30"/>
      <c r="BF99" s="18"/>
      <c r="BG99" s="30"/>
      <c r="BH99" s="18"/>
      <c r="BI99" s="30"/>
      <c r="BJ99" s="18"/>
    </row>
    <row r="100" ht="18.0" customHeight="1">
      <c r="B100" s="12" t="s">
        <v>126</v>
      </c>
      <c r="C100" s="30" t="s">
        <v>316</v>
      </c>
      <c r="D100" s="18"/>
      <c r="E100" s="30" t="s">
        <v>316</v>
      </c>
      <c r="F100" s="18"/>
      <c r="G100" s="30" t="s">
        <v>316</v>
      </c>
      <c r="H100" s="18"/>
      <c r="I100" s="30" t="s">
        <v>316</v>
      </c>
      <c r="J100" s="18"/>
      <c r="K100" s="30" t="s">
        <v>316</v>
      </c>
      <c r="L100" s="18"/>
      <c r="M100" s="30"/>
      <c r="N100" s="18"/>
      <c r="O100" s="30"/>
      <c r="P100" s="18"/>
      <c r="Q100" s="30"/>
      <c r="R100" s="18"/>
      <c r="S100" s="30"/>
      <c r="T100" s="18"/>
      <c r="U100" s="30"/>
      <c r="V100" s="18"/>
      <c r="W100" s="30"/>
      <c r="X100" s="18"/>
      <c r="Y100" s="30"/>
      <c r="Z100" s="18"/>
      <c r="AA100" s="30"/>
      <c r="AB100" s="18"/>
      <c r="AC100" s="30"/>
      <c r="AD100" s="18"/>
      <c r="AE100" s="30"/>
      <c r="AF100" s="18"/>
      <c r="AG100" s="30"/>
      <c r="AH100" s="18"/>
      <c r="AI100" s="30"/>
      <c r="AJ100" s="18"/>
      <c r="AK100" s="30"/>
      <c r="AL100" s="18"/>
      <c r="AM100" s="30"/>
      <c r="AN100" s="18"/>
      <c r="AO100" s="30"/>
      <c r="AP100" s="18"/>
      <c r="AQ100" s="30"/>
      <c r="AR100" s="18"/>
      <c r="AS100" s="30"/>
      <c r="AT100" s="18"/>
      <c r="AU100" s="30"/>
      <c r="AV100" s="18"/>
      <c r="AW100" s="30"/>
      <c r="AX100" s="18"/>
      <c r="AY100" s="30"/>
      <c r="AZ100" s="18"/>
      <c r="BA100" s="30"/>
      <c r="BB100" s="18"/>
      <c r="BC100" s="30"/>
      <c r="BD100" s="18"/>
      <c r="BE100" s="30"/>
      <c r="BF100" s="18"/>
      <c r="BG100" s="30"/>
      <c r="BH100" s="18"/>
      <c r="BI100" s="30"/>
      <c r="BJ100" s="18"/>
    </row>
    <row r="101" ht="18.0" customHeight="1">
      <c r="B101" s="12" t="s">
        <v>127</v>
      </c>
      <c r="C101" s="30" t="s">
        <v>317</v>
      </c>
      <c r="D101" s="18"/>
      <c r="E101" s="30" t="s">
        <v>317</v>
      </c>
      <c r="F101" s="18"/>
      <c r="G101" s="30" t="s">
        <v>317</v>
      </c>
      <c r="H101" s="18"/>
      <c r="I101" s="30" t="s">
        <v>317</v>
      </c>
      <c r="J101" s="18"/>
      <c r="K101" s="30" t="s">
        <v>317</v>
      </c>
      <c r="L101" s="18"/>
      <c r="M101" s="30"/>
      <c r="N101" s="18"/>
      <c r="O101" s="30"/>
      <c r="P101" s="18"/>
      <c r="Q101" s="30"/>
      <c r="R101" s="18"/>
      <c r="S101" s="30"/>
      <c r="T101" s="18"/>
      <c r="U101" s="30"/>
      <c r="V101" s="18"/>
      <c r="W101" s="30"/>
      <c r="X101" s="18"/>
      <c r="Y101" s="30"/>
      <c r="Z101" s="18"/>
      <c r="AA101" s="30"/>
      <c r="AB101" s="18"/>
      <c r="AC101" s="30"/>
      <c r="AD101" s="18"/>
      <c r="AE101" s="30"/>
      <c r="AF101" s="18"/>
      <c r="AG101" s="30"/>
      <c r="AH101" s="18"/>
      <c r="AI101" s="30"/>
      <c r="AJ101" s="18"/>
      <c r="AK101" s="30"/>
      <c r="AL101" s="18"/>
      <c r="AM101" s="30"/>
      <c r="AN101" s="18"/>
      <c r="AO101" s="30"/>
      <c r="AP101" s="18"/>
      <c r="AQ101" s="30"/>
      <c r="AR101" s="18"/>
      <c r="AS101" s="30"/>
      <c r="AT101" s="18"/>
      <c r="AU101" s="30"/>
      <c r="AV101" s="18"/>
      <c r="AW101" s="30"/>
      <c r="AX101" s="18"/>
      <c r="AY101" s="30"/>
      <c r="AZ101" s="18"/>
      <c r="BA101" s="30"/>
      <c r="BB101" s="18"/>
      <c r="BC101" s="30"/>
      <c r="BD101" s="18"/>
      <c r="BE101" s="30"/>
      <c r="BF101" s="18"/>
      <c r="BG101" s="30"/>
      <c r="BH101" s="18"/>
      <c r="BI101" s="30"/>
      <c r="BJ101" s="18"/>
    </row>
    <row r="102" ht="18.0" customHeight="1">
      <c r="B102" s="12" t="s">
        <v>128</v>
      </c>
      <c r="C102" s="30" t="s">
        <v>318</v>
      </c>
      <c r="D102" s="18"/>
      <c r="E102" s="30" t="s">
        <v>318</v>
      </c>
      <c r="F102" s="18"/>
      <c r="G102" s="30" t="s">
        <v>318</v>
      </c>
      <c r="H102" s="18"/>
      <c r="I102" s="30" t="s">
        <v>318</v>
      </c>
      <c r="J102" s="18"/>
      <c r="K102" s="30" t="s">
        <v>318</v>
      </c>
      <c r="L102" s="18"/>
      <c r="M102" s="30"/>
      <c r="N102" s="18"/>
      <c r="O102" s="30"/>
      <c r="P102" s="18"/>
      <c r="Q102" s="30"/>
      <c r="R102" s="18"/>
      <c r="S102" s="30"/>
      <c r="T102" s="18"/>
      <c r="U102" s="30"/>
      <c r="V102" s="18"/>
      <c r="W102" s="30"/>
      <c r="X102" s="18"/>
      <c r="Y102" s="30"/>
      <c r="Z102" s="18"/>
      <c r="AA102" s="30"/>
      <c r="AB102" s="18"/>
      <c r="AC102" s="30"/>
      <c r="AD102" s="18"/>
      <c r="AE102" s="30"/>
      <c r="AF102" s="18"/>
      <c r="AG102" s="30"/>
      <c r="AH102" s="18"/>
      <c r="AI102" s="30"/>
      <c r="AJ102" s="18"/>
      <c r="AK102" s="30"/>
      <c r="AL102" s="18"/>
      <c r="AM102" s="30"/>
      <c r="AN102" s="18"/>
      <c r="AO102" s="30"/>
      <c r="AP102" s="18"/>
      <c r="AQ102" s="30"/>
      <c r="AR102" s="18"/>
      <c r="AS102" s="30"/>
      <c r="AT102" s="18"/>
      <c r="AU102" s="30"/>
      <c r="AV102" s="18"/>
      <c r="AW102" s="30"/>
      <c r="AX102" s="18"/>
      <c r="AY102" s="30"/>
      <c r="AZ102" s="18"/>
      <c r="BA102" s="30"/>
      <c r="BB102" s="18"/>
      <c r="BC102" s="30"/>
      <c r="BD102" s="18"/>
      <c r="BE102" s="30"/>
      <c r="BF102" s="18"/>
      <c r="BG102" s="30"/>
      <c r="BH102" s="18"/>
      <c r="BI102" s="30"/>
      <c r="BJ102" s="18"/>
    </row>
    <row r="103" ht="18.0" customHeight="1">
      <c r="B103" s="12" t="s">
        <v>129</v>
      </c>
      <c r="C103" s="30" t="s">
        <v>319</v>
      </c>
      <c r="D103" s="18"/>
      <c r="E103" s="30" t="s">
        <v>319</v>
      </c>
      <c r="F103" s="18"/>
      <c r="G103" s="30" t="s">
        <v>319</v>
      </c>
      <c r="H103" s="18"/>
      <c r="I103" s="30" t="s">
        <v>319</v>
      </c>
      <c r="J103" s="18"/>
      <c r="K103" s="30" t="s">
        <v>319</v>
      </c>
      <c r="L103" s="18"/>
      <c r="M103" s="30"/>
      <c r="N103" s="18"/>
      <c r="O103" s="30"/>
      <c r="P103" s="18"/>
      <c r="Q103" s="30"/>
      <c r="R103" s="18"/>
      <c r="S103" s="30"/>
      <c r="T103" s="18"/>
      <c r="U103" s="30"/>
      <c r="V103" s="18"/>
      <c r="W103" s="30"/>
      <c r="X103" s="18"/>
      <c r="Y103" s="30"/>
      <c r="Z103" s="18"/>
      <c r="AA103" s="30"/>
      <c r="AB103" s="18"/>
      <c r="AC103" s="30"/>
      <c r="AD103" s="18"/>
      <c r="AE103" s="30"/>
      <c r="AF103" s="18"/>
      <c r="AG103" s="30"/>
      <c r="AH103" s="18"/>
      <c r="AI103" s="30"/>
      <c r="AJ103" s="18"/>
      <c r="AK103" s="30"/>
      <c r="AL103" s="18"/>
      <c r="AM103" s="30"/>
      <c r="AN103" s="18"/>
      <c r="AO103" s="30"/>
      <c r="AP103" s="18"/>
      <c r="AQ103" s="30"/>
      <c r="AR103" s="18"/>
      <c r="AS103" s="30"/>
      <c r="AT103" s="18"/>
      <c r="AU103" s="30"/>
      <c r="AV103" s="18"/>
      <c r="AW103" s="30"/>
      <c r="AX103" s="18"/>
      <c r="AY103" s="30"/>
      <c r="AZ103" s="18"/>
      <c r="BA103" s="30"/>
      <c r="BB103" s="18"/>
      <c r="BC103" s="30"/>
      <c r="BD103" s="18"/>
      <c r="BE103" s="30"/>
      <c r="BF103" s="18"/>
      <c r="BG103" s="30"/>
      <c r="BH103" s="18"/>
      <c r="BI103" s="30"/>
      <c r="BJ103" s="18"/>
    </row>
    <row r="104" ht="18.0" customHeight="1">
      <c r="B104" s="12" t="s">
        <v>130</v>
      </c>
      <c r="C104" s="30" t="s">
        <v>320</v>
      </c>
      <c r="D104" s="18"/>
      <c r="E104" s="30" t="s">
        <v>320</v>
      </c>
      <c r="F104" s="18"/>
      <c r="G104" s="30" t="s">
        <v>320</v>
      </c>
      <c r="H104" s="18"/>
      <c r="I104" s="30" t="s">
        <v>320</v>
      </c>
      <c r="J104" s="18"/>
      <c r="K104" s="30" t="s">
        <v>320</v>
      </c>
      <c r="L104" s="18"/>
      <c r="M104" s="30"/>
      <c r="N104" s="18"/>
      <c r="O104" s="30"/>
      <c r="P104" s="18"/>
      <c r="Q104" s="30"/>
      <c r="R104" s="18"/>
      <c r="S104" s="30"/>
      <c r="T104" s="18"/>
      <c r="U104" s="30"/>
      <c r="V104" s="18"/>
      <c r="W104" s="30"/>
      <c r="X104" s="18"/>
      <c r="Y104" s="30"/>
      <c r="Z104" s="18"/>
      <c r="AA104" s="30"/>
      <c r="AB104" s="18"/>
      <c r="AC104" s="30"/>
      <c r="AD104" s="18"/>
      <c r="AE104" s="30"/>
      <c r="AF104" s="18"/>
      <c r="AG104" s="30"/>
      <c r="AH104" s="18"/>
      <c r="AI104" s="30"/>
      <c r="AJ104" s="18"/>
      <c r="AK104" s="30"/>
      <c r="AL104" s="18"/>
      <c r="AM104" s="30"/>
      <c r="AN104" s="18"/>
      <c r="AO104" s="30"/>
      <c r="AP104" s="18"/>
      <c r="AQ104" s="30"/>
      <c r="AR104" s="18"/>
      <c r="AS104" s="30"/>
      <c r="AT104" s="18"/>
      <c r="AU104" s="30"/>
      <c r="AV104" s="18"/>
      <c r="AW104" s="30"/>
      <c r="AX104" s="18"/>
      <c r="AY104" s="30"/>
      <c r="AZ104" s="18"/>
      <c r="BA104" s="30"/>
      <c r="BB104" s="18"/>
      <c r="BC104" s="30"/>
      <c r="BD104" s="18"/>
      <c r="BE104" s="30"/>
      <c r="BF104" s="18"/>
      <c r="BG104" s="30"/>
      <c r="BH104" s="18"/>
      <c r="BI104" s="30"/>
      <c r="BJ104" s="18"/>
    </row>
    <row r="105" ht="18.0" customHeight="1">
      <c r="B105" s="12" t="s">
        <v>131</v>
      </c>
      <c r="C105" s="30" t="s">
        <v>321</v>
      </c>
      <c r="D105" s="18"/>
      <c r="E105" s="30" t="s">
        <v>322</v>
      </c>
      <c r="F105" s="18"/>
      <c r="G105" s="30" t="s">
        <v>322</v>
      </c>
      <c r="H105" s="18"/>
      <c r="I105" s="30" t="s">
        <v>321</v>
      </c>
      <c r="J105" s="18"/>
      <c r="K105" s="30" t="s">
        <v>321</v>
      </c>
      <c r="L105" s="18"/>
      <c r="M105" s="30"/>
      <c r="N105" s="18"/>
      <c r="O105" s="30"/>
      <c r="P105" s="18"/>
      <c r="Q105" s="30"/>
      <c r="R105" s="18"/>
      <c r="S105" s="30"/>
      <c r="T105" s="18"/>
      <c r="U105" s="30"/>
      <c r="V105" s="18"/>
      <c r="W105" s="30"/>
      <c r="X105" s="18"/>
      <c r="Y105" s="30"/>
      <c r="Z105" s="18"/>
      <c r="AA105" s="30"/>
      <c r="AB105" s="18"/>
      <c r="AC105" s="30"/>
      <c r="AD105" s="18"/>
      <c r="AE105" s="30"/>
      <c r="AF105" s="18"/>
      <c r="AG105" s="30"/>
      <c r="AH105" s="18"/>
      <c r="AI105" s="30"/>
      <c r="AJ105" s="18"/>
      <c r="AK105" s="30"/>
      <c r="AL105" s="18"/>
      <c r="AM105" s="30"/>
      <c r="AN105" s="18"/>
      <c r="AO105" s="30"/>
      <c r="AP105" s="18"/>
      <c r="AQ105" s="30"/>
      <c r="AR105" s="18"/>
      <c r="AS105" s="30"/>
      <c r="AT105" s="18"/>
      <c r="AU105" s="30"/>
      <c r="AV105" s="18"/>
      <c r="AW105" s="30"/>
      <c r="AX105" s="18"/>
      <c r="AY105" s="30"/>
      <c r="AZ105" s="18"/>
      <c r="BA105" s="30"/>
      <c r="BB105" s="18"/>
      <c r="BC105" s="30"/>
      <c r="BD105" s="18"/>
      <c r="BE105" s="30"/>
      <c r="BF105" s="18"/>
      <c r="BG105" s="30"/>
      <c r="BH105" s="18"/>
      <c r="BI105" s="30"/>
      <c r="BJ105" s="18"/>
    </row>
    <row r="106" ht="18.0" customHeight="1">
      <c r="B106" s="12" t="s">
        <v>132</v>
      </c>
      <c r="C106" s="30" t="s">
        <v>322</v>
      </c>
      <c r="D106" s="18"/>
      <c r="E106" s="30" t="s">
        <v>321</v>
      </c>
      <c r="F106" s="18"/>
      <c r="G106" s="30" t="s">
        <v>321</v>
      </c>
      <c r="H106" s="18"/>
      <c r="I106" s="30" t="s">
        <v>322</v>
      </c>
      <c r="J106" s="18"/>
      <c r="K106" s="30" t="s">
        <v>322</v>
      </c>
      <c r="L106" s="18"/>
      <c r="M106" s="30"/>
      <c r="N106" s="18"/>
      <c r="O106" s="30"/>
      <c r="P106" s="18"/>
      <c r="Q106" s="30"/>
      <c r="R106" s="18"/>
      <c r="S106" s="30"/>
      <c r="T106" s="18"/>
      <c r="U106" s="30"/>
      <c r="V106" s="18"/>
      <c r="W106" s="30"/>
      <c r="X106" s="18"/>
      <c r="Y106" s="30"/>
      <c r="Z106" s="18"/>
      <c r="AA106" s="30"/>
      <c r="AB106" s="18"/>
      <c r="AC106" s="30"/>
      <c r="AD106" s="18"/>
      <c r="AE106" s="30"/>
      <c r="AF106" s="18"/>
      <c r="AG106" s="30"/>
      <c r="AH106" s="18"/>
      <c r="AI106" s="30"/>
      <c r="AJ106" s="18"/>
      <c r="AK106" s="30"/>
      <c r="AL106" s="18"/>
      <c r="AM106" s="30"/>
      <c r="AN106" s="18"/>
      <c r="AO106" s="30"/>
      <c r="AP106" s="18"/>
      <c r="AQ106" s="30"/>
      <c r="AR106" s="18"/>
      <c r="AS106" s="30"/>
      <c r="AT106" s="18"/>
      <c r="AU106" s="30"/>
      <c r="AV106" s="18"/>
      <c r="AW106" s="30"/>
      <c r="AX106" s="18"/>
      <c r="AY106" s="30"/>
      <c r="AZ106" s="18"/>
      <c r="BA106" s="30"/>
      <c r="BB106" s="18"/>
      <c r="BC106" s="30"/>
      <c r="BD106" s="18"/>
      <c r="BE106" s="30"/>
      <c r="BF106" s="18"/>
      <c r="BG106" s="30"/>
      <c r="BH106" s="18"/>
      <c r="BI106" s="30"/>
      <c r="BJ106" s="18"/>
    </row>
    <row r="107" ht="18.0" customHeight="1">
      <c r="B107" s="12" t="s">
        <v>133</v>
      </c>
      <c r="C107" s="30" t="s">
        <v>323</v>
      </c>
      <c r="D107" s="18"/>
      <c r="E107" s="30" t="s">
        <v>323</v>
      </c>
      <c r="F107" s="18"/>
      <c r="G107" s="30" t="s">
        <v>324</v>
      </c>
      <c r="H107" s="18"/>
      <c r="I107" s="30" t="s">
        <v>323</v>
      </c>
      <c r="J107" s="18"/>
      <c r="K107" s="30" t="s">
        <v>323</v>
      </c>
      <c r="L107" s="18"/>
      <c r="M107" s="30"/>
      <c r="N107" s="18"/>
      <c r="O107" s="30"/>
      <c r="P107" s="18"/>
      <c r="Q107" s="30"/>
      <c r="R107" s="18"/>
      <c r="S107" s="30"/>
      <c r="T107" s="18"/>
      <c r="U107" s="30"/>
      <c r="V107" s="18"/>
      <c r="W107" s="30"/>
      <c r="X107" s="18"/>
      <c r="Y107" s="30"/>
      <c r="Z107" s="18"/>
      <c r="AA107" s="30"/>
      <c r="AB107" s="18"/>
      <c r="AC107" s="30"/>
      <c r="AD107" s="18"/>
      <c r="AE107" s="30"/>
      <c r="AF107" s="18"/>
      <c r="AG107" s="30"/>
      <c r="AH107" s="18"/>
      <c r="AI107" s="30"/>
      <c r="AJ107" s="18"/>
      <c r="AK107" s="30"/>
      <c r="AL107" s="18"/>
      <c r="AM107" s="30"/>
      <c r="AN107" s="18"/>
      <c r="AO107" s="30"/>
      <c r="AP107" s="18"/>
      <c r="AQ107" s="30"/>
      <c r="AR107" s="18"/>
      <c r="AS107" s="30"/>
      <c r="AT107" s="18"/>
      <c r="AU107" s="30"/>
      <c r="AV107" s="18"/>
      <c r="AW107" s="30"/>
      <c r="AX107" s="18"/>
      <c r="AY107" s="30"/>
      <c r="AZ107" s="18"/>
      <c r="BA107" s="30"/>
      <c r="BB107" s="18"/>
      <c r="BC107" s="30"/>
      <c r="BD107" s="18"/>
      <c r="BE107" s="30"/>
      <c r="BF107" s="18"/>
      <c r="BG107" s="30"/>
      <c r="BH107" s="18"/>
      <c r="BI107" s="30"/>
      <c r="BJ107" s="18"/>
    </row>
    <row r="108" ht="18.0" customHeight="1">
      <c r="B108" s="12" t="s">
        <v>134</v>
      </c>
      <c r="C108" s="30" t="s">
        <v>324</v>
      </c>
      <c r="D108" s="18"/>
      <c r="E108" s="30" t="s">
        <v>324</v>
      </c>
      <c r="F108" s="18"/>
      <c r="G108" s="30" t="s">
        <v>325</v>
      </c>
      <c r="H108" s="18"/>
      <c r="I108" s="30" t="s">
        <v>324</v>
      </c>
      <c r="J108" s="18"/>
      <c r="K108" s="30" t="s">
        <v>324</v>
      </c>
      <c r="L108" s="18"/>
      <c r="M108" s="30"/>
      <c r="N108" s="18"/>
      <c r="O108" s="30"/>
      <c r="P108" s="18"/>
      <c r="Q108" s="30"/>
      <c r="R108" s="18"/>
      <c r="S108" s="30"/>
      <c r="T108" s="18"/>
      <c r="U108" s="30"/>
      <c r="V108" s="18"/>
      <c r="W108" s="30"/>
      <c r="X108" s="18"/>
      <c r="Y108" s="30"/>
      <c r="Z108" s="18"/>
      <c r="AA108" s="30"/>
      <c r="AB108" s="18"/>
      <c r="AC108" s="30"/>
      <c r="AD108" s="18"/>
      <c r="AE108" s="30"/>
      <c r="AF108" s="18"/>
      <c r="AG108" s="30"/>
      <c r="AH108" s="18"/>
      <c r="AI108" s="30"/>
      <c r="AJ108" s="18"/>
      <c r="AK108" s="30"/>
      <c r="AL108" s="18"/>
      <c r="AM108" s="30"/>
      <c r="AN108" s="18"/>
      <c r="AO108" s="30"/>
      <c r="AP108" s="18"/>
      <c r="AQ108" s="30"/>
      <c r="AR108" s="18"/>
      <c r="AS108" s="30"/>
      <c r="AT108" s="18"/>
      <c r="AU108" s="30"/>
      <c r="AV108" s="18"/>
      <c r="AW108" s="30"/>
      <c r="AX108" s="18"/>
      <c r="AY108" s="30"/>
      <c r="AZ108" s="18"/>
      <c r="BA108" s="30"/>
      <c r="BB108" s="18"/>
      <c r="BC108" s="30"/>
      <c r="BD108" s="18"/>
      <c r="BE108" s="30"/>
      <c r="BF108" s="18"/>
      <c r="BG108" s="30"/>
      <c r="BH108" s="18"/>
      <c r="BI108" s="30"/>
      <c r="BJ108" s="18"/>
    </row>
    <row r="109" ht="18.0" customHeight="1">
      <c r="B109" s="12" t="s">
        <v>135</v>
      </c>
      <c r="C109" s="30" t="s">
        <v>325</v>
      </c>
      <c r="D109" s="18"/>
      <c r="E109" s="30" t="s">
        <v>325</v>
      </c>
      <c r="F109" s="18"/>
      <c r="G109" s="30" t="s">
        <v>323</v>
      </c>
      <c r="H109" s="18"/>
      <c r="I109" s="30" t="s">
        <v>325</v>
      </c>
      <c r="J109" s="18"/>
      <c r="K109" s="30" t="s">
        <v>325</v>
      </c>
      <c r="L109" s="18"/>
      <c r="M109" s="30"/>
      <c r="N109" s="18"/>
      <c r="O109" s="30"/>
      <c r="P109" s="18"/>
      <c r="Q109" s="30"/>
      <c r="R109" s="18"/>
      <c r="S109" s="30"/>
      <c r="T109" s="18"/>
      <c r="U109" s="30"/>
      <c r="V109" s="18"/>
      <c r="W109" s="30"/>
      <c r="X109" s="18"/>
      <c r="Y109" s="30"/>
      <c r="Z109" s="18"/>
      <c r="AA109" s="30"/>
      <c r="AB109" s="18"/>
      <c r="AC109" s="30"/>
      <c r="AD109" s="18"/>
      <c r="AE109" s="30"/>
      <c r="AF109" s="18"/>
      <c r="AG109" s="30"/>
      <c r="AH109" s="18"/>
      <c r="AI109" s="30"/>
      <c r="AJ109" s="18"/>
      <c r="AK109" s="30"/>
      <c r="AL109" s="18"/>
      <c r="AM109" s="30"/>
      <c r="AN109" s="18"/>
      <c r="AO109" s="30"/>
      <c r="AP109" s="18"/>
      <c r="AQ109" s="30"/>
      <c r="AR109" s="18"/>
      <c r="AS109" s="30"/>
      <c r="AT109" s="18"/>
      <c r="AU109" s="30"/>
      <c r="AV109" s="18"/>
      <c r="AW109" s="30"/>
      <c r="AX109" s="18"/>
      <c r="AY109" s="30"/>
      <c r="AZ109" s="18"/>
      <c r="BA109" s="30"/>
      <c r="BB109" s="18"/>
      <c r="BC109" s="30"/>
      <c r="BD109" s="18"/>
      <c r="BE109" s="30"/>
      <c r="BF109" s="18"/>
      <c r="BG109" s="30"/>
      <c r="BH109" s="18"/>
      <c r="BI109" s="30"/>
      <c r="BJ109" s="18"/>
    </row>
    <row r="110" ht="18.0" customHeight="1">
      <c r="B110" s="12" t="s">
        <v>136</v>
      </c>
      <c r="C110" s="30" t="s">
        <v>326</v>
      </c>
      <c r="D110" s="18"/>
      <c r="E110" s="30" t="s">
        <v>326</v>
      </c>
      <c r="F110" s="18"/>
      <c r="G110" s="30" t="s">
        <v>326</v>
      </c>
      <c r="H110" s="18"/>
      <c r="I110" s="30" t="s">
        <v>326</v>
      </c>
      <c r="J110" s="18"/>
      <c r="K110" s="30" t="s">
        <v>326</v>
      </c>
      <c r="L110" s="18"/>
      <c r="M110" s="30"/>
      <c r="N110" s="18"/>
      <c r="O110" s="30"/>
      <c r="P110" s="18"/>
      <c r="Q110" s="30"/>
      <c r="R110" s="18"/>
      <c r="S110" s="30"/>
      <c r="T110" s="18"/>
      <c r="U110" s="30"/>
      <c r="V110" s="18"/>
      <c r="W110" s="30"/>
      <c r="X110" s="18"/>
      <c r="Y110" s="30"/>
      <c r="Z110" s="18"/>
      <c r="AA110" s="30"/>
      <c r="AB110" s="18"/>
      <c r="AC110" s="30"/>
      <c r="AD110" s="18"/>
      <c r="AE110" s="30"/>
      <c r="AF110" s="18"/>
      <c r="AG110" s="30"/>
      <c r="AH110" s="18"/>
      <c r="AI110" s="30"/>
      <c r="AJ110" s="18"/>
      <c r="AK110" s="30"/>
      <c r="AL110" s="18"/>
      <c r="AM110" s="30"/>
      <c r="AN110" s="18"/>
      <c r="AO110" s="30"/>
      <c r="AP110" s="18"/>
      <c r="AQ110" s="30"/>
      <c r="AR110" s="18"/>
      <c r="AS110" s="30"/>
      <c r="AT110" s="18"/>
      <c r="AU110" s="30"/>
      <c r="AV110" s="18"/>
      <c r="AW110" s="30"/>
      <c r="AX110" s="18"/>
      <c r="AY110" s="30"/>
      <c r="AZ110" s="18"/>
      <c r="BA110" s="30"/>
      <c r="BB110" s="18"/>
      <c r="BC110" s="30"/>
      <c r="BD110" s="18"/>
      <c r="BE110" s="30"/>
      <c r="BF110" s="18"/>
      <c r="BG110" s="30"/>
      <c r="BH110" s="18"/>
      <c r="BI110" s="30"/>
      <c r="BJ110" s="18"/>
    </row>
    <row r="111" ht="18.0" customHeight="1">
      <c r="B111" s="12" t="s">
        <v>137</v>
      </c>
      <c r="C111" s="30" t="s">
        <v>327</v>
      </c>
      <c r="D111" s="18"/>
      <c r="E111" s="30" t="s">
        <v>327</v>
      </c>
      <c r="F111" s="18"/>
      <c r="G111" s="30" t="s">
        <v>327</v>
      </c>
      <c r="H111" s="18"/>
      <c r="I111" s="30" t="s">
        <v>327</v>
      </c>
      <c r="J111" s="18"/>
      <c r="K111" s="30" t="s">
        <v>327</v>
      </c>
      <c r="L111" s="18"/>
      <c r="M111" s="30"/>
      <c r="N111" s="18"/>
      <c r="O111" s="30"/>
      <c r="P111" s="18"/>
      <c r="Q111" s="30"/>
      <c r="R111" s="18"/>
      <c r="S111" s="30"/>
      <c r="T111" s="18"/>
      <c r="U111" s="30"/>
      <c r="V111" s="18"/>
      <c r="W111" s="30"/>
      <c r="X111" s="18"/>
      <c r="Y111" s="30"/>
      <c r="Z111" s="18"/>
      <c r="AA111" s="30"/>
      <c r="AB111" s="18"/>
      <c r="AC111" s="30"/>
      <c r="AD111" s="18"/>
      <c r="AE111" s="30"/>
      <c r="AF111" s="18"/>
      <c r="AG111" s="30"/>
      <c r="AH111" s="18"/>
      <c r="AI111" s="30"/>
      <c r="AJ111" s="18"/>
      <c r="AK111" s="30"/>
      <c r="AL111" s="18"/>
      <c r="AM111" s="30"/>
      <c r="AN111" s="18"/>
      <c r="AO111" s="30"/>
      <c r="AP111" s="18"/>
      <c r="AQ111" s="30"/>
      <c r="AR111" s="18"/>
      <c r="AS111" s="30"/>
      <c r="AT111" s="18"/>
      <c r="AU111" s="30"/>
      <c r="AV111" s="18"/>
      <c r="AW111" s="30"/>
      <c r="AX111" s="18"/>
      <c r="AY111" s="30"/>
      <c r="AZ111" s="18"/>
      <c r="BA111" s="30"/>
      <c r="BB111" s="18"/>
      <c r="BC111" s="30"/>
      <c r="BD111" s="18"/>
      <c r="BE111" s="30"/>
      <c r="BF111" s="18"/>
      <c r="BG111" s="30"/>
      <c r="BH111" s="18"/>
      <c r="BI111" s="30"/>
      <c r="BJ111" s="18"/>
    </row>
    <row r="112" ht="18.0" customHeight="1">
      <c r="B112" s="12" t="s">
        <v>138</v>
      </c>
      <c r="C112" s="30" t="s">
        <v>328</v>
      </c>
      <c r="D112" s="18"/>
      <c r="E112" s="30" t="s">
        <v>329</v>
      </c>
      <c r="F112" s="18"/>
      <c r="G112" s="30" t="s">
        <v>328</v>
      </c>
      <c r="H112" s="18"/>
      <c r="I112" s="30" t="s">
        <v>329</v>
      </c>
      <c r="J112" s="18"/>
      <c r="K112" s="30" t="s">
        <v>329</v>
      </c>
      <c r="L112" s="18"/>
      <c r="M112" s="30"/>
      <c r="N112" s="18"/>
      <c r="O112" s="30"/>
      <c r="P112" s="18"/>
      <c r="Q112" s="30"/>
      <c r="R112" s="18"/>
      <c r="S112" s="30"/>
      <c r="T112" s="18"/>
      <c r="U112" s="30"/>
      <c r="V112" s="18"/>
      <c r="W112" s="30"/>
      <c r="X112" s="18"/>
      <c r="Y112" s="30"/>
      <c r="Z112" s="18"/>
      <c r="AA112" s="30"/>
      <c r="AB112" s="18"/>
      <c r="AC112" s="30"/>
      <c r="AD112" s="18"/>
      <c r="AE112" s="30"/>
      <c r="AF112" s="18"/>
      <c r="AG112" s="30"/>
      <c r="AH112" s="18"/>
      <c r="AI112" s="30"/>
      <c r="AJ112" s="18"/>
      <c r="AK112" s="30"/>
      <c r="AL112" s="18"/>
      <c r="AM112" s="30"/>
      <c r="AN112" s="18"/>
      <c r="AO112" s="30"/>
      <c r="AP112" s="18"/>
      <c r="AQ112" s="30"/>
      <c r="AR112" s="18"/>
      <c r="AS112" s="30"/>
      <c r="AT112" s="18"/>
      <c r="AU112" s="30"/>
      <c r="AV112" s="18"/>
      <c r="AW112" s="30"/>
      <c r="AX112" s="18"/>
      <c r="AY112" s="30"/>
      <c r="AZ112" s="18"/>
      <c r="BA112" s="30"/>
      <c r="BB112" s="18"/>
      <c r="BC112" s="30"/>
      <c r="BD112" s="18"/>
      <c r="BE112" s="30"/>
      <c r="BF112" s="18"/>
      <c r="BG112" s="30"/>
      <c r="BH112" s="18"/>
      <c r="BI112" s="30"/>
      <c r="BJ112" s="18"/>
    </row>
    <row r="113" ht="18.0" customHeight="1">
      <c r="B113" s="12" t="s">
        <v>139</v>
      </c>
      <c r="C113" s="30" t="s">
        <v>330</v>
      </c>
      <c r="D113" s="18"/>
      <c r="E113" s="30" t="s">
        <v>330</v>
      </c>
      <c r="F113" s="18"/>
      <c r="G113" s="30" t="s">
        <v>330</v>
      </c>
      <c r="H113" s="18"/>
      <c r="I113" s="30" t="s">
        <v>330</v>
      </c>
      <c r="J113" s="18"/>
      <c r="K113" s="30" t="s">
        <v>330</v>
      </c>
      <c r="L113" s="18"/>
      <c r="M113" s="30"/>
      <c r="N113" s="18"/>
      <c r="O113" s="30"/>
      <c r="P113" s="18"/>
      <c r="Q113" s="30"/>
      <c r="R113" s="18"/>
      <c r="S113" s="30"/>
      <c r="T113" s="18"/>
      <c r="U113" s="30"/>
      <c r="V113" s="18"/>
      <c r="W113" s="30"/>
      <c r="X113" s="18"/>
      <c r="Y113" s="30"/>
      <c r="Z113" s="18"/>
      <c r="AA113" s="30"/>
      <c r="AB113" s="18"/>
      <c r="AC113" s="30"/>
      <c r="AD113" s="18"/>
      <c r="AE113" s="30"/>
      <c r="AF113" s="18"/>
      <c r="AG113" s="30"/>
      <c r="AH113" s="18"/>
      <c r="AI113" s="30"/>
      <c r="AJ113" s="18"/>
      <c r="AK113" s="30"/>
      <c r="AL113" s="18"/>
      <c r="AM113" s="30"/>
      <c r="AN113" s="18"/>
      <c r="AO113" s="30"/>
      <c r="AP113" s="18"/>
      <c r="AQ113" s="30"/>
      <c r="AR113" s="18"/>
      <c r="AS113" s="30"/>
      <c r="AT113" s="18"/>
      <c r="AU113" s="30"/>
      <c r="AV113" s="18"/>
      <c r="AW113" s="30"/>
      <c r="AX113" s="18"/>
      <c r="AY113" s="30"/>
      <c r="AZ113" s="18"/>
      <c r="BA113" s="30"/>
      <c r="BB113" s="18"/>
      <c r="BC113" s="30"/>
      <c r="BD113" s="18"/>
      <c r="BE113" s="30"/>
      <c r="BF113" s="18"/>
      <c r="BG113" s="30"/>
      <c r="BH113" s="18"/>
      <c r="BI113" s="30"/>
      <c r="BJ113" s="18"/>
    </row>
    <row r="114" ht="18.0" customHeight="1">
      <c r="B114" s="12" t="s">
        <v>140</v>
      </c>
      <c r="C114" s="30" t="s">
        <v>331</v>
      </c>
      <c r="D114" s="18"/>
      <c r="E114" s="30" t="s">
        <v>331</v>
      </c>
      <c r="F114" s="18"/>
      <c r="G114" s="30" t="s">
        <v>331</v>
      </c>
      <c r="H114" s="18"/>
      <c r="I114" s="30" t="s">
        <v>331</v>
      </c>
      <c r="J114" s="18"/>
      <c r="K114" s="30" t="s">
        <v>331</v>
      </c>
      <c r="L114" s="18"/>
      <c r="M114" s="30"/>
      <c r="N114" s="18"/>
      <c r="O114" s="30"/>
      <c r="P114" s="18"/>
      <c r="Q114" s="30"/>
      <c r="R114" s="18"/>
      <c r="S114" s="30"/>
      <c r="T114" s="18"/>
      <c r="U114" s="30"/>
      <c r="V114" s="18"/>
      <c r="W114" s="30"/>
      <c r="X114" s="18"/>
      <c r="Y114" s="30"/>
      <c r="Z114" s="18"/>
      <c r="AA114" s="30"/>
      <c r="AB114" s="18"/>
      <c r="AC114" s="30"/>
      <c r="AD114" s="18"/>
      <c r="AE114" s="30"/>
      <c r="AF114" s="18"/>
      <c r="AG114" s="30"/>
      <c r="AH114" s="18"/>
      <c r="AI114" s="30"/>
      <c r="AJ114" s="18"/>
      <c r="AK114" s="30"/>
      <c r="AL114" s="18"/>
      <c r="AM114" s="30"/>
      <c r="AN114" s="18"/>
      <c r="AO114" s="30"/>
      <c r="AP114" s="18"/>
      <c r="AQ114" s="30"/>
      <c r="AR114" s="18"/>
      <c r="AS114" s="30"/>
      <c r="AT114" s="18"/>
      <c r="AU114" s="30"/>
      <c r="AV114" s="18"/>
      <c r="AW114" s="30"/>
      <c r="AX114" s="18"/>
      <c r="AY114" s="30"/>
      <c r="AZ114" s="18"/>
      <c r="BA114" s="30"/>
      <c r="BB114" s="18"/>
      <c r="BC114" s="30"/>
      <c r="BD114" s="18"/>
      <c r="BE114" s="30"/>
      <c r="BF114" s="18"/>
      <c r="BG114" s="30"/>
      <c r="BH114" s="18"/>
      <c r="BI114" s="30"/>
      <c r="BJ114" s="18"/>
    </row>
    <row r="115" ht="18.0" customHeight="1">
      <c r="B115" s="12" t="s">
        <v>141</v>
      </c>
      <c r="C115" s="30" t="s">
        <v>332</v>
      </c>
      <c r="D115" s="18"/>
      <c r="E115" s="30" t="s">
        <v>332</v>
      </c>
      <c r="F115" s="18"/>
      <c r="G115" s="30" t="s">
        <v>332</v>
      </c>
      <c r="H115" s="18"/>
      <c r="I115" s="30" t="s">
        <v>332</v>
      </c>
      <c r="J115" s="18"/>
      <c r="K115" s="30" t="s">
        <v>332</v>
      </c>
      <c r="L115" s="18"/>
      <c r="M115" s="30"/>
      <c r="N115" s="18"/>
      <c r="O115" s="30"/>
      <c r="P115" s="18"/>
      <c r="Q115" s="30"/>
      <c r="R115" s="18"/>
      <c r="S115" s="30"/>
      <c r="T115" s="18"/>
      <c r="U115" s="30"/>
      <c r="V115" s="18"/>
      <c r="W115" s="30"/>
      <c r="X115" s="18"/>
      <c r="Y115" s="30"/>
      <c r="Z115" s="18"/>
      <c r="AA115" s="30"/>
      <c r="AB115" s="18"/>
      <c r="AC115" s="30"/>
      <c r="AD115" s="18"/>
      <c r="AE115" s="30"/>
      <c r="AF115" s="18"/>
      <c r="AG115" s="30"/>
      <c r="AH115" s="18"/>
      <c r="AI115" s="30"/>
      <c r="AJ115" s="18"/>
      <c r="AK115" s="30"/>
      <c r="AL115" s="18"/>
      <c r="AM115" s="30"/>
      <c r="AN115" s="18"/>
      <c r="AO115" s="30"/>
      <c r="AP115" s="18"/>
      <c r="AQ115" s="30"/>
      <c r="AR115" s="18"/>
      <c r="AS115" s="30"/>
      <c r="AT115" s="18"/>
      <c r="AU115" s="30"/>
      <c r="AV115" s="18"/>
      <c r="AW115" s="30"/>
      <c r="AX115" s="18"/>
      <c r="AY115" s="30"/>
      <c r="AZ115" s="18"/>
      <c r="BA115" s="30"/>
      <c r="BB115" s="18"/>
      <c r="BC115" s="30"/>
      <c r="BD115" s="18"/>
      <c r="BE115" s="30"/>
      <c r="BF115" s="18"/>
      <c r="BG115" s="30"/>
      <c r="BH115" s="18"/>
      <c r="BI115" s="30"/>
      <c r="BJ115" s="18"/>
    </row>
    <row r="116" ht="21.75" customHeight="1">
      <c r="B116" s="10" t="s">
        <v>142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</row>
    <row r="117" ht="18.0" customHeight="1">
      <c r="B117" s="12" t="s">
        <v>143</v>
      </c>
      <c r="C117" s="30" t="s">
        <v>296</v>
      </c>
      <c r="D117" s="18"/>
      <c r="E117" s="30" t="s">
        <v>303</v>
      </c>
      <c r="F117" s="18"/>
      <c r="G117" s="30" t="s">
        <v>323</v>
      </c>
      <c r="H117" s="18"/>
      <c r="I117" s="30" t="s">
        <v>310</v>
      </c>
      <c r="J117" s="18"/>
      <c r="K117" s="30" t="s">
        <v>295</v>
      </c>
      <c r="L117" s="18"/>
      <c r="M117" s="30"/>
      <c r="N117" s="18"/>
      <c r="O117" s="30"/>
      <c r="P117" s="18"/>
      <c r="Q117" s="30"/>
      <c r="R117" s="18"/>
      <c r="S117" s="30"/>
      <c r="T117" s="18"/>
      <c r="U117" s="30"/>
      <c r="V117" s="18"/>
      <c r="W117" s="30"/>
      <c r="X117" s="18"/>
      <c r="Y117" s="30"/>
      <c r="Z117" s="18"/>
      <c r="AA117" s="30"/>
      <c r="AB117" s="18"/>
      <c r="AC117" s="30"/>
      <c r="AD117" s="18"/>
      <c r="AE117" s="30"/>
      <c r="AF117" s="18"/>
      <c r="AG117" s="30"/>
      <c r="AH117" s="18"/>
      <c r="AI117" s="30"/>
      <c r="AJ117" s="18"/>
      <c r="AK117" s="30"/>
      <c r="AL117" s="18"/>
      <c r="AM117" s="30"/>
      <c r="AN117" s="18"/>
      <c r="AO117" s="30"/>
      <c r="AP117" s="18"/>
      <c r="AQ117" s="30"/>
      <c r="AR117" s="18"/>
      <c r="AS117" s="30"/>
      <c r="AT117" s="18"/>
      <c r="AU117" s="30"/>
      <c r="AV117" s="18"/>
      <c r="AW117" s="30"/>
      <c r="AX117" s="18"/>
      <c r="AY117" s="30"/>
      <c r="AZ117" s="18"/>
      <c r="BA117" s="30"/>
      <c r="BB117" s="18"/>
      <c r="BC117" s="30"/>
      <c r="BD117" s="18"/>
      <c r="BE117" s="30"/>
      <c r="BF117" s="18"/>
      <c r="BG117" s="30"/>
      <c r="BH117" s="18"/>
      <c r="BI117" s="30"/>
      <c r="BJ117" s="18"/>
    </row>
    <row r="118" ht="18.0" customHeight="1">
      <c r="B118" s="12" t="s">
        <v>144</v>
      </c>
      <c r="C118" s="30" t="s">
        <v>310</v>
      </c>
      <c r="D118" s="18"/>
      <c r="E118" s="30" t="s">
        <v>316</v>
      </c>
      <c r="F118" s="18"/>
      <c r="G118" s="30" t="s">
        <v>296</v>
      </c>
      <c r="H118" s="18"/>
      <c r="I118" s="30" t="s">
        <v>295</v>
      </c>
      <c r="J118" s="18"/>
      <c r="K118" s="30" t="s">
        <v>299</v>
      </c>
      <c r="L118" s="18"/>
      <c r="M118" s="30"/>
      <c r="N118" s="18"/>
      <c r="O118" s="30"/>
      <c r="P118" s="18"/>
      <c r="Q118" s="30"/>
      <c r="R118" s="18"/>
      <c r="S118" s="30"/>
      <c r="T118" s="18"/>
      <c r="U118" s="30"/>
      <c r="V118" s="18"/>
      <c r="W118" s="30"/>
      <c r="X118" s="18"/>
      <c r="Y118" s="30"/>
      <c r="Z118" s="18"/>
      <c r="AA118" s="30"/>
      <c r="AB118" s="18"/>
      <c r="AC118" s="30"/>
      <c r="AD118" s="18"/>
      <c r="AE118" s="30"/>
      <c r="AF118" s="18"/>
      <c r="AG118" s="30"/>
      <c r="AH118" s="18"/>
      <c r="AI118" s="30"/>
      <c r="AJ118" s="18"/>
      <c r="AK118" s="30"/>
      <c r="AL118" s="18"/>
      <c r="AM118" s="30"/>
      <c r="AN118" s="18"/>
      <c r="AO118" s="30"/>
      <c r="AP118" s="18"/>
      <c r="AQ118" s="30"/>
      <c r="AR118" s="18"/>
      <c r="AS118" s="30"/>
      <c r="AT118" s="18"/>
      <c r="AU118" s="30"/>
      <c r="AV118" s="18"/>
      <c r="AW118" s="30"/>
      <c r="AX118" s="18"/>
      <c r="AY118" s="30"/>
      <c r="AZ118" s="18"/>
      <c r="BA118" s="30"/>
      <c r="BB118" s="18"/>
      <c r="BC118" s="30"/>
      <c r="BD118" s="18"/>
      <c r="BE118" s="30"/>
      <c r="BF118" s="18"/>
      <c r="BG118" s="30"/>
      <c r="BH118" s="18"/>
      <c r="BI118" s="30"/>
      <c r="BJ118" s="18"/>
    </row>
    <row r="119" ht="18.0" customHeight="1">
      <c r="B119" s="12" t="s">
        <v>145</v>
      </c>
      <c r="C119" s="30" t="s">
        <v>322</v>
      </c>
      <c r="D119" s="18"/>
      <c r="E119" s="30" t="s">
        <v>321</v>
      </c>
      <c r="F119" s="18"/>
      <c r="G119" s="30" t="s">
        <v>310</v>
      </c>
      <c r="H119" s="18"/>
      <c r="I119" s="30" t="s">
        <v>322</v>
      </c>
      <c r="J119" s="18"/>
      <c r="K119" s="30" t="s">
        <v>303</v>
      </c>
      <c r="L119" s="18"/>
      <c r="M119" s="30"/>
      <c r="N119" s="18"/>
      <c r="O119" s="30"/>
      <c r="P119" s="18"/>
      <c r="Q119" s="30"/>
      <c r="R119" s="18"/>
      <c r="S119" s="30"/>
      <c r="T119" s="18"/>
      <c r="U119" s="30"/>
      <c r="V119" s="18"/>
      <c r="W119" s="30"/>
      <c r="X119" s="18"/>
      <c r="Y119" s="30"/>
      <c r="Z119" s="18"/>
      <c r="AA119" s="30"/>
      <c r="AB119" s="18"/>
      <c r="AC119" s="30"/>
      <c r="AD119" s="18"/>
      <c r="AE119" s="30"/>
      <c r="AF119" s="18"/>
      <c r="AG119" s="30"/>
      <c r="AH119" s="18"/>
      <c r="AI119" s="30"/>
      <c r="AJ119" s="18"/>
      <c r="AK119" s="30"/>
      <c r="AL119" s="18"/>
      <c r="AM119" s="30"/>
      <c r="AN119" s="18"/>
      <c r="AO119" s="30"/>
      <c r="AP119" s="18"/>
      <c r="AQ119" s="30"/>
      <c r="AR119" s="18"/>
      <c r="AS119" s="30"/>
      <c r="AT119" s="18"/>
      <c r="AU119" s="30"/>
      <c r="AV119" s="18"/>
      <c r="AW119" s="30"/>
      <c r="AX119" s="18"/>
      <c r="AY119" s="30"/>
      <c r="AZ119" s="18"/>
      <c r="BA119" s="30"/>
      <c r="BB119" s="18"/>
      <c r="BC119" s="30"/>
      <c r="BD119" s="18"/>
      <c r="BE119" s="30"/>
      <c r="BF119" s="18"/>
      <c r="BG119" s="30"/>
      <c r="BH119" s="18"/>
      <c r="BI119" s="30"/>
      <c r="BJ119" s="18"/>
    </row>
    <row r="120" ht="18.0" customHeight="1">
      <c r="B120" s="12" t="s">
        <v>146</v>
      </c>
      <c r="C120" s="30" t="s">
        <v>299</v>
      </c>
      <c r="D120" s="18"/>
      <c r="E120" s="30" t="s">
        <v>295</v>
      </c>
      <c r="F120" s="18"/>
      <c r="G120" s="30" t="s">
        <v>319</v>
      </c>
      <c r="H120" s="18"/>
      <c r="I120" s="30" t="s">
        <v>303</v>
      </c>
      <c r="J120" s="18"/>
      <c r="K120" s="30" t="s">
        <v>306</v>
      </c>
      <c r="L120" s="18"/>
      <c r="M120" s="30"/>
      <c r="N120" s="18"/>
      <c r="O120" s="30"/>
      <c r="P120" s="18"/>
      <c r="Q120" s="30"/>
      <c r="R120" s="18"/>
      <c r="S120" s="30"/>
      <c r="T120" s="18"/>
      <c r="U120" s="30"/>
      <c r="V120" s="18"/>
      <c r="W120" s="30"/>
      <c r="X120" s="18"/>
      <c r="Y120" s="30"/>
      <c r="Z120" s="18"/>
      <c r="AA120" s="30"/>
      <c r="AB120" s="18"/>
      <c r="AC120" s="30"/>
      <c r="AD120" s="18"/>
      <c r="AE120" s="30"/>
      <c r="AF120" s="18"/>
      <c r="AG120" s="30"/>
      <c r="AH120" s="18"/>
      <c r="AI120" s="30"/>
      <c r="AJ120" s="18"/>
      <c r="AK120" s="30"/>
      <c r="AL120" s="18"/>
      <c r="AM120" s="30"/>
      <c r="AN120" s="18"/>
      <c r="AO120" s="30"/>
      <c r="AP120" s="18"/>
      <c r="AQ120" s="30"/>
      <c r="AR120" s="18"/>
      <c r="AS120" s="30"/>
      <c r="AT120" s="18"/>
      <c r="AU120" s="30"/>
      <c r="AV120" s="18"/>
      <c r="AW120" s="30"/>
      <c r="AX120" s="18"/>
      <c r="AY120" s="30"/>
      <c r="AZ120" s="18"/>
      <c r="BA120" s="30"/>
      <c r="BB120" s="18"/>
      <c r="BC120" s="30"/>
      <c r="BD120" s="18"/>
      <c r="BE120" s="30"/>
      <c r="BF120" s="18"/>
      <c r="BG120" s="30"/>
      <c r="BH120" s="18"/>
      <c r="BI120" s="30"/>
      <c r="BJ120" s="18"/>
    </row>
    <row r="121" ht="18.0" customHeight="1">
      <c r="B121" s="12" t="s">
        <v>147</v>
      </c>
      <c r="C121" s="30" t="s">
        <v>316</v>
      </c>
      <c r="D121" s="18"/>
      <c r="E121" s="30" t="s">
        <v>325</v>
      </c>
      <c r="F121" s="18"/>
      <c r="G121" s="30" t="s">
        <v>316</v>
      </c>
      <c r="H121" s="18"/>
      <c r="I121" s="30" t="s">
        <v>306</v>
      </c>
      <c r="J121" s="18"/>
      <c r="K121" s="30" t="s">
        <v>310</v>
      </c>
      <c r="L121" s="18"/>
      <c r="M121" s="30"/>
      <c r="N121" s="18"/>
      <c r="O121" s="30"/>
      <c r="P121" s="18"/>
      <c r="Q121" s="30"/>
      <c r="R121" s="18"/>
      <c r="S121" s="30"/>
      <c r="T121" s="18"/>
      <c r="U121" s="30"/>
      <c r="V121" s="18"/>
      <c r="W121" s="30"/>
      <c r="X121" s="18"/>
      <c r="Y121" s="30"/>
      <c r="Z121" s="18"/>
      <c r="AA121" s="30"/>
      <c r="AB121" s="18"/>
      <c r="AC121" s="30"/>
      <c r="AD121" s="18"/>
      <c r="AE121" s="30"/>
      <c r="AF121" s="18"/>
      <c r="AG121" s="30"/>
      <c r="AH121" s="18"/>
      <c r="AI121" s="30"/>
      <c r="AJ121" s="18"/>
      <c r="AK121" s="30"/>
      <c r="AL121" s="18"/>
      <c r="AM121" s="30"/>
      <c r="AN121" s="18"/>
      <c r="AO121" s="30"/>
      <c r="AP121" s="18"/>
      <c r="AQ121" s="30"/>
      <c r="AR121" s="18"/>
      <c r="AS121" s="30"/>
      <c r="AT121" s="18"/>
      <c r="AU121" s="30"/>
      <c r="AV121" s="18"/>
      <c r="AW121" s="30"/>
      <c r="AX121" s="18"/>
      <c r="AY121" s="30"/>
      <c r="AZ121" s="18"/>
      <c r="BA121" s="30"/>
      <c r="BB121" s="18"/>
      <c r="BC121" s="30"/>
      <c r="BD121" s="18"/>
      <c r="BE121" s="30"/>
      <c r="BF121" s="18"/>
      <c r="BG121" s="30"/>
      <c r="BH121" s="18"/>
      <c r="BI121" s="30"/>
      <c r="BJ121" s="18"/>
    </row>
    <row r="122" ht="18.0" customHeight="1">
      <c r="B122" s="12" t="s">
        <v>148</v>
      </c>
      <c r="C122" s="30" t="s">
        <v>303</v>
      </c>
      <c r="D122" s="18"/>
      <c r="E122" s="30" t="s">
        <v>310</v>
      </c>
      <c r="F122" s="18"/>
      <c r="G122" s="30" t="s">
        <v>332</v>
      </c>
      <c r="H122" s="18"/>
      <c r="I122" s="30" t="s">
        <v>325</v>
      </c>
      <c r="J122" s="18"/>
      <c r="K122" s="30" t="s">
        <v>313</v>
      </c>
      <c r="L122" s="18"/>
      <c r="M122" s="30"/>
      <c r="N122" s="18"/>
      <c r="O122" s="30"/>
      <c r="P122" s="18"/>
      <c r="Q122" s="30"/>
      <c r="R122" s="18"/>
      <c r="S122" s="30"/>
      <c r="T122" s="18"/>
      <c r="U122" s="30"/>
      <c r="V122" s="18"/>
      <c r="W122" s="30"/>
      <c r="X122" s="18"/>
      <c r="Y122" s="30"/>
      <c r="Z122" s="18"/>
      <c r="AA122" s="30"/>
      <c r="AB122" s="18"/>
      <c r="AC122" s="30"/>
      <c r="AD122" s="18"/>
      <c r="AE122" s="30"/>
      <c r="AF122" s="18"/>
      <c r="AG122" s="30"/>
      <c r="AH122" s="18"/>
      <c r="AI122" s="30"/>
      <c r="AJ122" s="18"/>
      <c r="AK122" s="30"/>
      <c r="AL122" s="18"/>
      <c r="AM122" s="30"/>
      <c r="AN122" s="18"/>
      <c r="AO122" s="30"/>
      <c r="AP122" s="18"/>
      <c r="AQ122" s="30"/>
      <c r="AR122" s="18"/>
      <c r="AS122" s="30"/>
      <c r="AT122" s="18"/>
      <c r="AU122" s="30"/>
      <c r="AV122" s="18"/>
      <c r="AW122" s="30"/>
      <c r="AX122" s="18"/>
      <c r="AY122" s="30"/>
      <c r="AZ122" s="18"/>
      <c r="BA122" s="30"/>
      <c r="BB122" s="18"/>
      <c r="BC122" s="30"/>
      <c r="BD122" s="18"/>
      <c r="BE122" s="30"/>
      <c r="BF122" s="18"/>
      <c r="BG122" s="30"/>
      <c r="BH122" s="18"/>
      <c r="BI122" s="30"/>
      <c r="BJ122" s="18"/>
    </row>
    <row r="123" ht="18.0" customHeight="1">
      <c r="B123" s="12" t="s">
        <v>149</v>
      </c>
      <c r="C123" s="30" t="s">
        <v>332</v>
      </c>
      <c r="D123" s="18"/>
      <c r="E123" s="30" t="s">
        <v>299</v>
      </c>
      <c r="F123" s="18"/>
      <c r="G123" s="30" t="s">
        <v>328</v>
      </c>
      <c r="H123" s="18"/>
      <c r="I123" s="30" t="s">
        <v>313</v>
      </c>
      <c r="J123" s="18"/>
      <c r="K123" s="30" t="s">
        <v>316</v>
      </c>
      <c r="L123" s="18"/>
      <c r="M123" s="30"/>
      <c r="N123" s="18"/>
      <c r="O123" s="30"/>
      <c r="P123" s="18"/>
      <c r="Q123" s="30"/>
      <c r="R123" s="18"/>
      <c r="S123" s="30"/>
      <c r="T123" s="18"/>
      <c r="U123" s="30"/>
      <c r="V123" s="18"/>
      <c r="W123" s="30"/>
      <c r="X123" s="18"/>
      <c r="Y123" s="30"/>
      <c r="Z123" s="18"/>
      <c r="AA123" s="30"/>
      <c r="AB123" s="18"/>
      <c r="AC123" s="30"/>
      <c r="AD123" s="18"/>
      <c r="AE123" s="30"/>
      <c r="AF123" s="18"/>
      <c r="AG123" s="30"/>
      <c r="AH123" s="18"/>
      <c r="AI123" s="30"/>
      <c r="AJ123" s="18"/>
      <c r="AK123" s="30"/>
      <c r="AL123" s="18"/>
      <c r="AM123" s="30"/>
      <c r="AN123" s="18"/>
      <c r="AO123" s="30"/>
      <c r="AP123" s="18"/>
      <c r="AQ123" s="30"/>
      <c r="AR123" s="18"/>
      <c r="AS123" s="30"/>
      <c r="AT123" s="18"/>
      <c r="AU123" s="30"/>
      <c r="AV123" s="18"/>
      <c r="AW123" s="30"/>
      <c r="AX123" s="18"/>
      <c r="AY123" s="30"/>
      <c r="AZ123" s="18"/>
      <c r="BA123" s="30"/>
      <c r="BB123" s="18"/>
      <c r="BC123" s="30"/>
      <c r="BD123" s="18"/>
      <c r="BE123" s="30"/>
      <c r="BF123" s="18"/>
      <c r="BG123" s="30"/>
      <c r="BH123" s="18"/>
      <c r="BI123" s="30"/>
      <c r="BJ123" s="18"/>
    </row>
    <row r="124" ht="18.0" customHeight="1">
      <c r="B124" s="12" t="s">
        <v>150</v>
      </c>
      <c r="C124" s="30" t="s">
        <v>313</v>
      </c>
      <c r="D124" s="18"/>
      <c r="E124" s="30" t="s">
        <v>332</v>
      </c>
      <c r="F124" s="18"/>
      <c r="G124" s="30" t="s">
        <v>303</v>
      </c>
      <c r="H124" s="18"/>
      <c r="I124" s="30" t="s">
        <v>299</v>
      </c>
      <c r="J124" s="18"/>
      <c r="K124" s="30" t="s">
        <v>319</v>
      </c>
      <c r="L124" s="18"/>
      <c r="M124" s="30"/>
      <c r="N124" s="18"/>
      <c r="O124" s="30"/>
      <c r="P124" s="18"/>
      <c r="Q124" s="30"/>
      <c r="R124" s="18"/>
      <c r="S124" s="30"/>
      <c r="T124" s="18"/>
      <c r="U124" s="30"/>
      <c r="V124" s="18"/>
      <c r="W124" s="30"/>
      <c r="X124" s="18"/>
      <c r="Y124" s="30"/>
      <c r="Z124" s="18"/>
      <c r="AA124" s="30"/>
      <c r="AB124" s="18"/>
      <c r="AC124" s="30"/>
      <c r="AD124" s="18"/>
      <c r="AE124" s="30"/>
      <c r="AF124" s="18"/>
      <c r="AG124" s="30"/>
      <c r="AH124" s="18"/>
      <c r="AI124" s="30"/>
      <c r="AJ124" s="18"/>
      <c r="AK124" s="30"/>
      <c r="AL124" s="18"/>
      <c r="AM124" s="30"/>
      <c r="AN124" s="18"/>
      <c r="AO124" s="30"/>
      <c r="AP124" s="18"/>
      <c r="AQ124" s="30"/>
      <c r="AR124" s="18"/>
      <c r="AS124" s="30"/>
      <c r="AT124" s="18"/>
      <c r="AU124" s="30"/>
      <c r="AV124" s="18"/>
      <c r="AW124" s="30"/>
      <c r="AX124" s="18"/>
      <c r="AY124" s="30"/>
      <c r="AZ124" s="18"/>
      <c r="BA124" s="30"/>
      <c r="BB124" s="18"/>
      <c r="BC124" s="30"/>
      <c r="BD124" s="18"/>
      <c r="BE124" s="30"/>
      <c r="BF124" s="18"/>
      <c r="BG124" s="30"/>
      <c r="BH124" s="18"/>
      <c r="BI124" s="30"/>
      <c r="BJ124" s="18"/>
    </row>
    <row r="125" ht="21.75" customHeight="1">
      <c r="B125" s="10" t="s">
        <v>151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</row>
    <row r="126" ht="18.0" customHeight="1">
      <c r="B126" s="12" t="s">
        <v>152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</row>
    <row r="127" ht="18.0" customHeight="1">
      <c r="B127" s="12" t="s">
        <v>153</v>
      </c>
      <c r="C127" s="30"/>
      <c r="D127" s="18"/>
      <c r="E127" s="30"/>
      <c r="F127" s="18"/>
      <c r="G127" s="30"/>
      <c r="H127" s="18"/>
      <c r="I127" s="30"/>
      <c r="J127" s="18"/>
      <c r="K127" s="30"/>
      <c r="L127" s="18"/>
      <c r="M127" s="30"/>
      <c r="N127" s="18"/>
      <c r="O127" s="30"/>
      <c r="P127" s="18"/>
      <c r="Q127" s="30"/>
      <c r="R127" s="18"/>
      <c r="S127" s="30"/>
      <c r="T127" s="18"/>
      <c r="U127" s="30"/>
      <c r="V127" s="18"/>
      <c r="W127" s="30"/>
      <c r="X127" s="18"/>
      <c r="Y127" s="30"/>
      <c r="Z127" s="18"/>
      <c r="AA127" s="30"/>
      <c r="AB127" s="18"/>
      <c r="AC127" s="30"/>
      <c r="AD127" s="18"/>
      <c r="AE127" s="30"/>
      <c r="AF127" s="18"/>
      <c r="AG127" s="30"/>
      <c r="AH127" s="18"/>
      <c r="AI127" s="30"/>
      <c r="AJ127" s="18"/>
      <c r="AK127" s="30"/>
      <c r="AL127" s="18"/>
      <c r="AM127" s="30"/>
      <c r="AN127" s="18"/>
      <c r="AO127" s="30"/>
      <c r="AP127" s="18"/>
      <c r="AQ127" s="30"/>
      <c r="AR127" s="18"/>
      <c r="AS127" s="30"/>
      <c r="AT127" s="18"/>
      <c r="AU127" s="30"/>
      <c r="AV127" s="18"/>
      <c r="AW127" s="30"/>
      <c r="AX127" s="18"/>
      <c r="AY127" s="30"/>
      <c r="AZ127" s="18"/>
      <c r="BA127" s="30"/>
      <c r="BB127" s="18"/>
      <c r="BC127" s="30"/>
      <c r="BD127" s="18"/>
      <c r="BE127" s="30"/>
      <c r="BF127" s="18"/>
      <c r="BG127" s="30"/>
      <c r="BH127" s="18"/>
      <c r="BI127" s="30"/>
      <c r="BJ127" s="18"/>
    </row>
    <row r="128" ht="18.0" customHeight="1">
      <c r="B128" s="12" t="s">
        <v>154</v>
      </c>
      <c r="C128" s="30"/>
      <c r="D128" s="18"/>
      <c r="E128" s="30"/>
      <c r="F128" s="18"/>
      <c r="G128" s="30"/>
      <c r="H128" s="18"/>
      <c r="I128" s="30"/>
      <c r="J128" s="18"/>
      <c r="K128" s="30"/>
      <c r="L128" s="18"/>
      <c r="M128" s="30"/>
      <c r="N128" s="18"/>
      <c r="O128" s="30"/>
      <c r="P128" s="18"/>
      <c r="Q128" s="30"/>
      <c r="R128" s="18"/>
      <c r="S128" s="30"/>
      <c r="T128" s="18"/>
      <c r="U128" s="30"/>
      <c r="V128" s="18"/>
      <c r="W128" s="30"/>
      <c r="X128" s="18"/>
      <c r="Y128" s="30"/>
      <c r="Z128" s="18"/>
      <c r="AA128" s="30"/>
      <c r="AB128" s="18"/>
      <c r="AC128" s="30"/>
      <c r="AD128" s="18"/>
      <c r="AE128" s="30"/>
      <c r="AF128" s="18"/>
      <c r="AG128" s="30"/>
      <c r="AH128" s="18"/>
      <c r="AI128" s="30"/>
      <c r="AJ128" s="18"/>
      <c r="AK128" s="30"/>
      <c r="AL128" s="18"/>
      <c r="AM128" s="30"/>
      <c r="AN128" s="18"/>
      <c r="AO128" s="30"/>
      <c r="AP128" s="18"/>
      <c r="AQ128" s="30"/>
      <c r="AR128" s="18"/>
      <c r="AS128" s="30"/>
      <c r="AT128" s="18"/>
      <c r="AU128" s="30"/>
      <c r="AV128" s="18"/>
      <c r="AW128" s="30"/>
      <c r="AX128" s="18"/>
      <c r="AY128" s="30"/>
      <c r="AZ128" s="18"/>
      <c r="BA128" s="30"/>
      <c r="BB128" s="18"/>
      <c r="BC128" s="30"/>
      <c r="BD128" s="18"/>
      <c r="BE128" s="30"/>
      <c r="BF128" s="18"/>
      <c r="BG128" s="30"/>
      <c r="BH128" s="18"/>
      <c r="BI128" s="30"/>
      <c r="BJ128" s="18"/>
    </row>
    <row r="129" ht="18.0" customHeight="1">
      <c r="B129" s="12" t="s">
        <v>155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</row>
    <row r="130" ht="18.0" customHeight="1">
      <c r="B130" s="12" t="s">
        <v>156</v>
      </c>
      <c r="C130" s="30"/>
      <c r="D130" s="18"/>
      <c r="E130" s="30"/>
      <c r="F130" s="18"/>
      <c r="G130" s="30"/>
      <c r="H130" s="18"/>
      <c r="I130" s="30"/>
      <c r="J130" s="18"/>
      <c r="K130" s="30"/>
      <c r="L130" s="18"/>
      <c r="M130" s="30"/>
      <c r="N130" s="18"/>
      <c r="O130" s="30"/>
      <c r="P130" s="18"/>
      <c r="Q130" s="30"/>
      <c r="R130" s="18"/>
      <c r="S130" s="30"/>
      <c r="T130" s="18"/>
      <c r="U130" s="30"/>
      <c r="V130" s="18"/>
      <c r="W130" s="30"/>
      <c r="X130" s="18"/>
      <c r="Y130" s="30"/>
      <c r="Z130" s="18"/>
      <c r="AA130" s="30"/>
      <c r="AB130" s="18"/>
      <c r="AC130" s="30"/>
      <c r="AD130" s="18"/>
      <c r="AE130" s="30"/>
      <c r="AF130" s="18"/>
      <c r="AG130" s="30"/>
      <c r="AH130" s="18"/>
      <c r="AI130" s="30"/>
      <c r="AJ130" s="18"/>
      <c r="AK130" s="30"/>
      <c r="AL130" s="18"/>
      <c r="AM130" s="30"/>
      <c r="AN130" s="18"/>
      <c r="AO130" s="30"/>
      <c r="AP130" s="18"/>
      <c r="AQ130" s="30"/>
      <c r="AR130" s="18"/>
      <c r="AS130" s="30"/>
      <c r="AT130" s="18"/>
      <c r="AU130" s="30"/>
      <c r="AV130" s="18"/>
      <c r="AW130" s="30"/>
      <c r="AX130" s="18"/>
      <c r="AY130" s="30"/>
      <c r="AZ130" s="18"/>
      <c r="BA130" s="30"/>
      <c r="BB130" s="18"/>
      <c r="BC130" s="30"/>
      <c r="BD130" s="18"/>
      <c r="BE130" s="30"/>
      <c r="BF130" s="18"/>
      <c r="BG130" s="30"/>
      <c r="BH130" s="18"/>
      <c r="BI130" s="30"/>
      <c r="BJ130" s="18"/>
    </row>
    <row r="131" ht="18.0" customHeight="1">
      <c r="B131" s="12" t="s">
        <v>157</v>
      </c>
      <c r="C131" s="30"/>
      <c r="D131" s="18"/>
      <c r="E131" s="30"/>
      <c r="F131" s="18"/>
      <c r="G131" s="30"/>
      <c r="H131" s="18"/>
      <c r="I131" s="30"/>
      <c r="J131" s="18"/>
      <c r="K131" s="30"/>
      <c r="L131" s="18"/>
      <c r="M131" s="30"/>
      <c r="N131" s="18"/>
      <c r="O131" s="30"/>
      <c r="P131" s="18"/>
      <c r="Q131" s="30"/>
      <c r="R131" s="18"/>
      <c r="S131" s="30"/>
      <c r="T131" s="18"/>
      <c r="U131" s="30"/>
      <c r="V131" s="18"/>
      <c r="W131" s="30"/>
      <c r="X131" s="18"/>
      <c r="Y131" s="30"/>
      <c r="Z131" s="18"/>
      <c r="AA131" s="30"/>
      <c r="AB131" s="18"/>
      <c r="AC131" s="30"/>
      <c r="AD131" s="18"/>
      <c r="AE131" s="30"/>
      <c r="AF131" s="18"/>
      <c r="AG131" s="30"/>
      <c r="AH131" s="18"/>
      <c r="AI131" s="30"/>
      <c r="AJ131" s="18"/>
      <c r="AK131" s="30"/>
      <c r="AL131" s="18"/>
      <c r="AM131" s="30"/>
      <c r="AN131" s="18"/>
      <c r="AO131" s="30"/>
      <c r="AP131" s="18"/>
      <c r="AQ131" s="30"/>
      <c r="AR131" s="18"/>
      <c r="AS131" s="30"/>
      <c r="AT131" s="18"/>
      <c r="AU131" s="30"/>
      <c r="AV131" s="18"/>
      <c r="AW131" s="30"/>
      <c r="AX131" s="18"/>
      <c r="AY131" s="30"/>
      <c r="AZ131" s="18"/>
      <c r="BA131" s="30"/>
      <c r="BB131" s="18"/>
      <c r="BC131" s="30"/>
      <c r="BD131" s="18"/>
      <c r="BE131" s="30"/>
      <c r="BF131" s="18"/>
      <c r="BG131" s="30"/>
      <c r="BH131" s="18"/>
      <c r="BI131" s="30"/>
      <c r="BJ131" s="18"/>
    </row>
    <row r="132" ht="18.0" customHeight="1">
      <c r="B132" s="12" t="s">
        <v>158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</row>
    <row r="133" ht="18.0" customHeight="1">
      <c r="B133" s="12" t="s">
        <v>159</v>
      </c>
      <c r="C133" s="30"/>
      <c r="D133" s="18"/>
      <c r="E133" s="30"/>
      <c r="F133" s="18"/>
      <c r="G133" s="30"/>
      <c r="H133" s="18"/>
      <c r="I133" s="30"/>
      <c r="J133" s="18"/>
      <c r="K133" s="30"/>
      <c r="L133" s="18"/>
      <c r="M133" s="30"/>
      <c r="N133" s="18"/>
      <c r="O133" s="30"/>
      <c r="P133" s="18"/>
      <c r="Q133" s="30"/>
      <c r="R133" s="18"/>
      <c r="S133" s="30"/>
      <c r="T133" s="18"/>
      <c r="U133" s="30"/>
      <c r="V133" s="18"/>
      <c r="W133" s="30"/>
      <c r="X133" s="18"/>
      <c r="Y133" s="30"/>
      <c r="Z133" s="18"/>
      <c r="AA133" s="30"/>
      <c r="AB133" s="18"/>
      <c r="AC133" s="30"/>
      <c r="AD133" s="18"/>
      <c r="AE133" s="30"/>
      <c r="AF133" s="18"/>
      <c r="AG133" s="30"/>
      <c r="AH133" s="18"/>
      <c r="AI133" s="30"/>
      <c r="AJ133" s="18"/>
      <c r="AK133" s="30"/>
      <c r="AL133" s="18"/>
      <c r="AM133" s="30"/>
      <c r="AN133" s="18"/>
      <c r="AO133" s="30"/>
      <c r="AP133" s="18"/>
      <c r="AQ133" s="30"/>
      <c r="AR133" s="18"/>
      <c r="AS133" s="30"/>
      <c r="AT133" s="18"/>
      <c r="AU133" s="30"/>
      <c r="AV133" s="18"/>
      <c r="AW133" s="30"/>
      <c r="AX133" s="18"/>
      <c r="AY133" s="30"/>
      <c r="AZ133" s="18"/>
      <c r="BA133" s="30"/>
      <c r="BB133" s="18"/>
      <c r="BC133" s="30"/>
      <c r="BD133" s="18"/>
      <c r="BE133" s="30"/>
      <c r="BF133" s="18"/>
      <c r="BG133" s="30"/>
      <c r="BH133" s="18"/>
      <c r="BI133" s="30"/>
      <c r="BJ133" s="18"/>
    </row>
    <row r="134" ht="18.0" customHeight="1">
      <c r="B134" s="12" t="s">
        <v>160</v>
      </c>
      <c r="C134" s="30"/>
      <c r="D134" s="18"/>
      <c r="E134" s="30"/>
      <c r="F134" s="18"/>
      <c r="G134" s="30"/>
      <c r="H134" s="18"/>
      <c r="I134" s="30"/>
      <c r="J134" s="18"/>
      <c r="K134" s="30"/>
      <c r="L134" s="18"/>
      <c r="M134" s="30"/>
      <c r="N134" s="18"/>
      <c r="O134" s="30"/>
      <c r="P134" s="18"/>
      <c r="Q134" s="30"/>
      <c r="R134" s="18"/>
      <c r="S134" s="30"/>
      <c r="T134" s="18"/>
      <c r="U134" s="30"/>
      <c r="V134" s="18"/>
      <c r="W134" s="30"/>
      <c r="X134" s="18"/>
      <c r="Y134" s="30"/>
      <c r="Z134" s="18"/>
      <c r="AA134" s="30"/>
      <c r="AB134" s="18"/>
      <c r="AC134" s="30"/>
      <c r="AD134" s="18"/>
      <c r="AE134" s="30"/>
      <c r="AF134" s="18"/>
      <c r="AG134" s="30"/>
      <c r="AH134" s="18"/>
      <c r="AI134" s="30"/>
      <c r="AJ134" s="18"/>
      <c r="AK134" s="30"/>
      <c r="AL134" s="18"/>
      <c r="AM134" s="30"/>
      <c r="AN134" s="18"/>
      <c r="AO134" s="30"/>
      <c r="AP134" s="18"/>
      <c r="AQ134" s="30"/>
      <c r="AR134" s="18"/>
      <c r="AS134" s="30"/>
      <c r="AT134" s="18"/>
      <c r="AU134" s="30"/>
      <c r="AV134" s="18"/>
      <c r="AW134" s="30"/>
      <c r="AX134" s="18"/>
      <c r="AY134" s="30"/>
      <c r="AZ134" s="18"/>
      <c r="BA134" s="30"/>
      <c r="BB134" s="18"/>
      <c r="BC134" s="30"/>
      <c r="BD134" s="18"/>
      <c r="BE134" s="30"/>
      <c r="BF134" s="18"/>
      <c r="BG134" s="30"/>
      <c r="BH134" s="18"/>
      <c r="BI134" s="30"/>
      <c r="BJ134" s="18"/>
    </row>
    <row r="135" ht="18.0" customHeight="1">
      <c r="B135" s="12" t="s">
        <v>161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</row>
    <row r="136" ht="18.0" customHeight="1">
      <c r="B136" s="12" t="s">
        <v>162</v>
      </c>
      <c r="C136" s="30"/>
      <c r="D136" s="18"/>
      <c r="E136" s="30"/>
      <c r="F136" s="18"/>
      <c r="G136" s="30"/>
      <c r="H136" s="18"/>
      <c r="I136" s="30"/>
      <c r="J136" s="18"/>
      <c r="K136" s="30"/>
      <c r="L136" s="18"/>
      <c r="M136" s="30"/>
      <c r="N136" s="18"/>
      <c r="O136" s="30"/>
      <c r="P136" s="18"/>
      <c r="Q136" s="30"/>
      <c r="R136" s="18"/>
      <c r="S136" s="30"/>
      <c r="T136" s="18"/>
      <c r="U136" s="30"/>
      <c r="V136" s="18"/>
      <c r="W136" s="30"/>
      <c r="X136" s="18"/>
      <c r="Y136" s="30"/>
      <c r="Z136" s="18"/>
      <c r="AA136" s="30"/>
      <c r="AB136" s="18"/>
      <c r="AC136" s="30"/>
      <c r="AD136" s="18"/>
      <c r="AE136" s="30"/>
      <c r="AF136" s="18"/>
      <c r="AG136" s="30"/>
      <c r="AH136" s="18"/>
      <c r="AI136" s="30"/>
      <c r="AJ136" s="18"/>
      <c r="AK136" s="30"/>
      <c r="AL136" s="18"/>
      <c r="AM136" s="30"/>
      <c r="AN136" s="18"/>
      <c r="AO136" s="30"/>
      <c r="AP136" s="18"/>
      <c r="AQ136" s="30"/>
      <c r="AR136" s="18"/>
      <c r="AS136" s="30"/>
      <c r="AT136" s="18"/>
      <c r="AU136" s="30"/>
      <c r="AV136" s="18"/>
      <c r="AW136" s="30"/>
      <c r="AX136" s="18"/>
      <c r="AY136" s="30"/>
      <c r="AZ136" s="18"/>
      <c r="BA136" s="30"/>
      <c r="BB136" s="18"/>
      <c r="BC136" s="30"/>
      <c r="BD136" s="18"/>
      <c r="BE136" s="30"/>
      <c r="BF136" s="18"/>
      <c r="BG136" s="30"/>
      <c r="BH136" s="18"/>
      <c r="BI136" s="30"/>
      <c r="BJ136" s="18"/>
    </row>
    <row r="137" ht="18.0" customHeight="1">
      <c r="B137" s="12" t="s">
        <v>163</v>
      </c>
      <c r="C137" s="30"/>
      <c r="D137" s="18"/>
      <c r="E137" s="30"/>
      <c r="F137" s="18"/>
      <c r="G137" s="30"/>
      <c r="H137" s="18"/>
      <c r="I137" s="30"/>
      <c r="J137" s="18"/>
      <c r="K137" s="30"/>
      <c r="L137" s="18"/>
      <c r="M137" s="30"/>
      <c r="N137" s="18"/>
      <c r="O137" s="30"/>
      <c r="P137" s="18"/>
      <c r="Q137" s="30"/>
      <c r="R137" s="18"/>
      <c r="S137" s="30"/>
      <c r="T137" s="18"/>
      <c r="U137" s="30"/>
      <c r="V137" s="18"/>
      <c r="W137" s="30"/>
      <c r="X137" s="18"/>
      <c r="Y137" s="30"/>
      <c r="Z137" s="18"/>
      <c r="AA137" s="30"/>
      <c r="AB137" s="18"/>
      <c r="AC137" s="30"/>
      <c r="AD137" s="18"/>
      <c r="AE137" s="30"/>
      <c r="AF137" s="18"/>
      <c r="AG137" s="30"/>
      <c r="AH137" s="18"/>
      <c r="AI137" s="30"/>
      <c r="AJ137" s="18"/>
      <c r="AK137" s="30"/>
      <c r="AL137" s="18"/>
      <c r="AM137" s="30"/>
      <c r="AN137" s="18"/>
      <c r="AO137" s="30"/>
      <c r="AP137" s="18"/>
      <c r="AQ137" s="30"/>
      <c r="AR137" s="18"/>
      <c r="AS137" s="30"/>
      <c r="AT137" s="18"/>
      <c r="AU137" s="30"/>
      <c r="AV137" s="18"/>
      <c r="AW137" s="30"/>
      <c r="AX137" s="18"/>
      <c r="AY137" s="30"/>
      <c r="AZ137" s="18"/>
      <c r="BA137" s="30"/>
      <c r="BB137" s="18"/>
      <c r="BC137" s="30"/>
      <c r="BD137" s="18"/>
      <c r="BE137" s="30"/>
      <c r="BF137" s="18"/>
      <c r="BG137" s="30"/>
      <c r="BH137" s="18"/>
      <c r="BI137" s="30"/>
      <c r="BJ137" s="18"/>
    </row>
    <row r="138" ht="18.0" customHeight="1">
      <c r="B138" s="12" t="s">
        <v>164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</row>
    <row r="139" ht="18.0" customHeight="1">
      <c r="B139" s="12" t="s">
        <v>165</v>
      </c>
      <c r="C139" s="30"/>
      <c r="D139" s="18"/>
      <c r="E139" s="30"/>
      <c r="F139" s="18"/>
      <c r="G139" s="30"/>
      <c r="H139" s="18"/>
      <c r="I139" s="30"/>
      <c r="J139" s="18"/>
      <c r="K139" s="30"/>
      <c r="L139" s="18"/>
      <c r="M139" s="30"/>
      <c r="N139" s="18"/>
      <c r="O139" s="30"/>
      <c r="P139" s="18"/>
      <c r="Q139" s="30"/>
      <c r="R139" s="18"/>
      <c r="S139" s="30"/>
      <c r="T139" s="18"/>
      <c r="U139" s="30"/>
      <c r="V139" s="18"/>
      <c r="W139" s="30"/>
      <c r="X139" s="18"/>
      <c r="Y139" s="30"/>
      <c r="Z139" s="18"/>
      <c r="AA139" s="30"/>
      <c r="AB139" s="18"/>
      <c r="AC139" s="30"/>
      <c r="AD139" s="18"/>
      <c r="AE139" s="30"/>
      <c r="AF139" s="18"/>
      <c r="AG139" s="30"/>
      <c r="AH139" s="18"/>
      <c r="AI139" s="30"/>
      <c r="AJ139" s="18"/>
      <c r="AK139" s="30"/>
      <c r="AL139" s="18"/>
      <c r="AM139" s="30"/>
      <c r="AN139" s="18"/>
      <c r="AO139" s="30"/>
      <c r="AP139" s="18"/>
      <c r="AQ139" s="30"/>
      <c r="AR139" s="18"/>
      <c r="AS139" s="30"/>
      <c r="AT139" s="18"/>
      <c r="AU139" s="30"/>
      <c r="AV139" s="18"/>
      <c r="AW139" s="30"/>
      <c r="AX139" s="18"/>
      <c r="AY139" s="30"/>
      <c r="AZ139" s="18"/>
      <c r="BA139" s="30"/>
      <c r="BB139" s="18"/>
      <c r="BC139" s="30"/>
      <c r="BD139" s="18"/>
      <c r="BE139" s="30"/>
      <c r="BF139" s="18"/>
      <c r="BG139" s="30"/>
      <c r="BH139" s="18"/>
      <c r="BI139" s="30"/>
      <c r="BJ139" s="18"/>
    </row>
    <row r="140" ht="18.0" customHeight="1">
      <c r="B140" s="12" t="s">
        <v>166</v>
      </c>
      <c r="C140" s="30"/>
      <c r="D140" s="18"/>
      <c r="E140" s="30"/>
      <c r="F140" s="18"/>
      <c r="G140" s="30"/>
      <c r="H140" s="18"/>
      <c r="I140" s="30"/>
      <c r="J140" s="18"/>
      <c r="K140" s="30"/>
      <c r="L140" s="18"/>
      <c r="M140" s="30"/>
      <c r="N140" s="18"/>
      <c r="O140" s="30"/>
      <c r="P140" s="18"/>
      <c r="Q140" s="30"/>
      <c r="R140" s="18"/>
      <c r="S140" s="30"/>
      <c r="T140" s="18"/>
      <c r="U140" s="30"/>
      <c r="V140" s="18"/>
      <c r="W140" s="30"/>
      <c r="X140" s="18"/>
      <c r="Y140" s="30"/>
      <c r="Z140" s="18"/>
      <c r="AA140" s="30"/>
      <c r="AB140" s="18"/>
      <c r="AC140" s="30"/>
      <c r="AD140" s="18"/>
      <c r="AE140" s="30"/>
      <c r="AF140" s="18"/>
      <c r="AG140" s="30"/>
      <c r="AH140" s="18"/>
      <c r="AI140" s="30"/>
      <c r="AJ140" s="18"/>
      <c r="AK140" s="30"/>
      <c r="AL140" s="18"/>
      <c r="AM140" s="30"/>
      <c r="AN140" s="18"/>
      <c r="AO140" s="30"/>
      <c r="AP140" s="18"/>
      <c r="AQ140" s="30"/>
      <c r="AR140" s="18"/>
      <c r="AS140" s="30"/>
      <c r="AT140" s="18"/>
      <c r="AU140" s="30"/>
      <c r="AV140" s="18"/>
      <c r="AW140" s="30"/>
      <c r="AX140" s="18"/>
      <c r="AY140" s="30"/>
      <c r="AZ140" s="18"/>
      <c r="BA140" s="30"/>
      <c r="BB140" s="18"/>
      <c r="BC140" s="30"/>
      <c r="BD140" s="18"/>
      <c r="BE140" s="30"/>
      <c r="BF140" s="18"/>
      <c r="BG140" s="30"/>
      <c r="BH140" s="18"/>
      <c r="BI140" s="30"/>
      <c r="BJ140" s="18"/>
    </row>
    <row r="141" ht="18.0" customHeight="1">
      <c r="B141" s="12" t="s">
        <v>167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</row>
    <row r="142" ht="18.0" customHeight="1">
      <c r="B142" s="12" t="s">
        <v>168</v>
      </c>
      <c r="C142" s="30"/>
      <c r="D142" s="18"/>
      <c r="E142" s="30"/>
      <c r="F142" s="18"/>
      <c r="G142" s="30"/>
      <c r="H142" s="18"/>
      <c r="I142" s="30"/>
      <c r="J142" s="18"/>
      <c r="K142" s="30"/>
      <c r="L142" s="18"/>
      <c r="M142" s="30"/>
      <c r="N142" s="18"/>
      <c r="O142" s="30"/>
      <c r="P142" s="18"/>
      <c r="Q142" s="30"/>
      <c r="R142" s="18"/>
      <c r="S142" s="30"/>
      <c r="T142" s="18"/>
      <c r="U142" s="30"/>
      <c r="V142" s="18"/>
      <c r="W142" s="30"/>
      <c r="X142" s="18"/>
      <c r="Y142" s="30"/>
      <c r="Z142" s="18"/>
      <c r="AA142" s="30"/>
      <c r="AB142" s="18"/>
      <c r="AC142" s="30"/>
      <c r="AD142" s="18"/>
      <c r="AE142" s="30"/>
      <c r="AF142" s="18"/>
      <c r="AG142" s="30"/>
      <c r="AH142" s="18"/>
      <c r="AI142" s="30"/>
      <c r="AJ142" s="18"/>
      <c r="AK142" s="30"/>
      <c r="AL142" s="18"/>
      <c r="AM142" s="30"/>
      <c r="AN142" s="18"/>
      <c r="AO142" s="30"/>
      <c r="AP142" s="18"/>
      <c r="AQ142" s="30"/>
      <c r="AR142" s="18"/>
      <c r="AS142" s="30"/>
      <c r="AT142" s="18"/>
      <c r="AU142" s="30"/>
      <c r="AV142" s="18"/>
      <c r="AW142" s="30"/>
      <c r="AX142" s="18"/>
      <c r="AY142" s="30"/>
      <c r="AZ142" s="18"/>
      <c r="BA142" s="30"/>
      <c r="BB142" s="18"/>
      <c r="BC142" s="30"/>
      <c r="BD142" s="18"/>
      <c r="BE142" s="30"/>
      <c r="BF142" s="18"/>
      <c r="BG142" s="30"/>
      <c r="BH142" s="18"/>
      <c r="BI142" s="30"/>
      <c r="BJ142" s="18"/>
    </row>
    <row r="143" ht="18.0" customHeight="1">
      <c r="B143" s="12" t="s">
        <v>169</v>
      </c>
      <c r="C143" s="30"/>
      <c r="D143" s="18"/>
      <c r="E143" s="30"/>
      <c r="F143" s="18"/>
      <c r="G143" s="30"/>
      <c r="H143" s="18"/>
      <c r="I143" s="30"/>
      <c r="J143" s="18"/>
      <c r="K143" s="30"/>
      <c r="L143" s="18"/>
      <c r="M143" s="30"/>
      <c r="N143" s="18"/>
      <c r="O143" s="30"/>
      <c r="P143" s="18"/>
      <c r="Q143" s="30"/>
      <c r="R143" s="18"/>
      <c r="S143" s="30"/>
      <c r="T143" s="18"/>
      <c r="U143" s="30"/>
      <c r="V143" s="18"/>
      <c r="W143" s="30"/>
      <c r="X143" s="18"/>
      <c r="Y143" s="30"/>
      <c r="Z143" s="18"/>
      <c r="AA143" s="30"/>
      <c r="AB143" s="18"/>
      <c r="AC143" s="30"/>
      <c r="AD143" s="18"/>
      <c r="AE143" s="30"/>
      <c r="AF143" s="18"/>
      <c r="AG143" s="30"/>
      <c r="AH143" s="18"/>
      <c r="AI143" s="30"/>
      <c r="AJ143" s="18"/>
      <c r="AK143" s="30"/>
      <c r="AL143" s="18"/>
      <c r="AM143" s="30"/>
      <c r="AN143" s="18"/>
      <c r="AO143" s="30"/>
      <c r="AP143" s="18"/>
      <c r="AQ143" s="30"/>
      <c r="AR143" s="18"/>
      <c r="AS143" s="30"/>
      <c r="AT143" s="18"/>
      <c r="AU143" s="30"/>
      <c r="AV143" s="18"/>
      <c r="AW143" s="30"/>
      <c r="AX143" s="18"/>
      <c r="AY143" s="30"/>
      <c r="AZ143" s="18"/>
      <c r="BA143" s="30"/>
      <c r="BB143" s="18"/>
      <c r="BC143" s="30"/>
      <c r="BD143" s="18"/>
      <c r="BE143" s="30"/>
      <c r="BF143" s="18"/>
      <c r="BG143" s="30"/>
      <c r="BH143" s="18"/>
      <c r="BI143" s="30"/>
      <c r="BJ143" s="18"/>
    </row>
    <row r="144" ht="18.0" customHeight="1">
      <c r="B144" s="12" t="s">
        <v>170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</row>
    <row r="145" ht="18.0" customHeight="1">
      <c r="B145" s="12" t="s">
        <v>171</v>
      </c>
      <c r="C145" s="30"/>
      <c r="D145" s="18"/>
      <c r="E145" s="30"/>
      <c r="F145" s="18"/>
      <c r="G145" s="30"/>
      <c r="H145" s="18"/>
      <c r="I145" s="30"/>
      <c r="J145" s="18"/>
      <c r="K145" s="30"/>
      <c r="L145" s="18"/>
      <c r="M145" s="30"/>
      <c r="N145" s="18"/>
      <c r="O145" s="30"/>
      <c r="P145" s="18"/>
      <c r="Q145" s="30"/>
      <c r="R145" s="18"/>
      <c r="S145" s="30"/>
      <c r="T145" s="18"/>
      <c r="U145" s="30"/>
      <c r="V145" s="18"/>
      <c r="W145" s="30"/>
      <c r="X145" s="18"/>
      <c r="Y145" s="30"/>
      <c r="Z145" s="18"/>
      <c r="AA145" s="30"/>
      <c r="AB145" s="18"/>
      <c r="AC145" s="30"/>
      <c r="AD145" s="18"/>
      <c r="AE145" s="30"/>
      <c r="AF145" s="18"/>
      <c r="AG145" s="30"/>
      <c r="AH145" s="18"/>
      <c r="AI145" s="30"/>
      <c r="AJ145" s="18"/>
      <c r="AK145" s="30"/>
      <c r="AL145" s="18"/>
      <c r="AM145" s="30"/>
      <c r="AN145" s="18"/>
      <c r="AO145" s="30"/>
      <c r="AP145" s="18"/>
      <c r="AQ145" s="30"/>
      <c r="AR145" s="18"/>
      <c r="AS145" s="30"/>
      <c r="AT145" s="18"/>
      <c r="AU145" s="30"/>
      <c r="AV145" s="18"/>
      <c r="AW145" s="30"/>
      <c r="AX145" s="18"/>
      <c r="AY145" s="30"/>
      <c r="AZ145" s="18"/>
      <c r="BA145" s="30"/>
      <c r="BB145" s="18"/>
      <c r="BC145" s="30"/>
      <c r="BD145" s="18"/>
      <c r="BE145" s="30"/>
      <c r="BF145" s="18"/>
      <c r="BG145" s="30"/>
      <c r="BH145" s="18"/>
      <c r="BI145" s="30"/>
      <c r="BJ145" s="18"/>
    </row>
    <row r="146" ht="18.0" customHeight="1">
      <c r="B146" s="12" t="s">
        <v>172</v>
      </c>
      <c r="C146" s="30"/>
      <c r="D146" s="18"/>
      <c r="E146" s="30"/>
      <c r="F146" s="18"/>
      <c r="G146" s="30"/>
      <c r="H146" s="18"/>
      <c r="I146" s="30"/>
      <c r="J146" s="18"/>
      <c r="K146" s="30"/>
      <c r="L146" s="18"/>
      <c r="M146" s="30"/>
      <c r="N146" s="18"/>
      <c r="O146" s="30"/>
      <c r="P146" s="18"/>
      <c r="Q146" s="30"/>
      <c r="R146" s="18"/>
      <c r="S146" s="30"/>
      <c r="T146" s="18"/>
      <c r="U146" s="30"/>
      <c r="V146" s="18"/>
      <c r="W146" s="30"/>
      <c r="X146" s="18"/>
      <c r="Y146" s="30"/>
      <c r="Z146" s="18"/>
      <c r="AA146" s="30"/>
      <c r="AB146" s="18"/>
      <c r="AC146" s="30"/>
      <c r="AD146" s="18"/>
      <c r="AE146" s="30"/>
      <c r="AF146" s="18"/>
      <c r="AG146" s="30"/>
      <c r="AH146" s="18"/>
      <c r="AI146" s="30"/>
      <c r="AJ146" s="18"/>
      <c r="AK146" s="30"/>
      <c r="AL146" s="18"/>
      <c r="AM146" s="30"/>
      <c r="AN146" s="18"/>
      <c r="AO146" s="30"/>
      <c r="AP146" s="18"/>
      <c r="AQ146" s="30"/>
      <c r="AR146" s="18"/>
      <c r="AS146" s="30"/>
      <c r="AT146" s="18"/>
      <c r="AU146" s="30"/>
      <c r="AV146" s="18"/>
      <c r="AW146" s="30"/>
      <c r="AX146" s="18"/>
      <c r="AY146" s="30"/>
      <c r="AZ146" s="18"/>
      <c r="BA146" s="30"/>
      <c r="BB146" s="18"/>
      <c r="BC146" s="30"/>
      <c r="BD146" s="18"/>
      <c r="BE146" s="30"/>
      <c r="BF146" s="18"/>
      <c r="BG146" s="30"/>
      <c r="BH146" s="18"/>
      <c r="BI146" s="30"/>
      <c r="BJ146" s="18"/>
    </row>
    <row r="147" ht="18.0" customHeight="1">
      <c r="B147" s="12" t="s">
        <v>173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</row>
    <row r="148" ht="18.0" customHeight="1">
      <c r="B148" s="12" t="s">
        <v>174</v>
      </c>
      <c r="C148" s="30"/>
      <c r="D148" s="18"/>
      <c r="E148" s="30"/>
      <c r="F148" s="18"/>
      <c r="G148" s="30"/>
      <c r="H148" s="18"/>
      <c r="I148" s="30"/>
      <c r="J148" s="18"/>
      <c r="K148" s="30"/>
      <c r="L148" s="18"/>
      <c r="M148" s="30"/>
      <c r="N148" s="18"/>
      <c r="O148" s="30"/>
      <c r="P148" s="18"/>
      <c r="Q148" s="30"/>
      <c r="R148" s="18"/>
      <c r="S148" s="30"/>
      <c r="T148" s="18"/>
      <c r="U148" s="30"/>
      <c r="V148" s="18"/>
      <c r="W148" s="30"/>
      <c r="X148" s="18"/>
      <c r="Y148" s="30"/>
      <c r="Z148" s="18"/>
      <c r="AA148" s="30"/>
      <c r="AB148" s="18"/>
      <c r="AC148" s="30"/>
      <c r="AD148" s="18"/>
      <c r="AE148" s="30"/>
      <c r="AF148" s="18"/>
      <c r="AG148" s="30"/>
      <c r="AH148" s="18"/>
      <c r="AI148" s="30"/>
      <c r="AJ148" s="18"/>
      <c r="AK148" s="30"/>
      <c r="AL148" s="18"/>
      <c r="AM148" s="30"/>
      <c r="AN148" s="18"/>
      <c r="AO148" s="30"/>
      <c r="AP148" s="18"/>
      <c r="AQ148" s="30"/>
      <c r="AR148" s="18"/>
      <c r="AS148" s="30"/>
      <c r="AT148" s="18"/>
      <c r="AU148" s="30"/>
      <c r="AV148" s="18"/>
      <c r="AW148" s="30"/>
      <c r="AX148" s="18"/>
      <c r="AY148" s="30"/>
      <c r="AZ148" s="18"/>
      <c r="BA148" s="30"/>
      <c r="BB148" s="18"/>
      <c r="BC148" s="30"/>
      <c r="BD148" s="18"/>
      <c r="BE148" s="30"/>
      <c r="BF148" s="18"/>
      <c r="BG148" s="30"/>
      <c r="BH148" s="18"/>
      <c r="BI148" s="30"/>
      <c r="BJ148" s="18"/>
    </row>
    <row r="149" ht="18.0" customHeight="1">
      <c r="B149" s="12" t="s">
        <v>175</v>
      </c>
      <c r="C149" s="30"/>
      <c r="D149" s="18"/>
      <c r="E149" s="30"/>
      <c r="F149" s="18"/>
      <c r="G149" s="30"/>
      <c r="H149" s="18"/>
      <c r="I149" s="30"/>
      <c r="J149" s="18"/>
      <c r="K149" s="30"/>
      <c r="L149" s="18"/>
      <c r="M149" s="30"/>
      <c r="N149" s="18"/>
      <c r="O149" s="30"/>
      <c r="P149" s="18"/>
      <c r="Q149" s="30"/>
      <c r="R149" s="18"/>
      <c r="S149" s="30"/>
      <c r="T149" s="18"/>
      <c r="U149" s="30"/>
      <c r="V149" s="18"/>
      <c r="W149" s="30"/>
      <c r="X149" s="18"/>
      <c r="Y149" s="30"/>
      <c r="Z149" s="18"/>
      <c r="AA149" s="30"/>
      <c r="AB149" s="18"/>
      <c r="AC149" s="30"/>
      <c r="AD149" s="18"/>
      <c r="AE149" s="30"/>
      <c r="AF149" s="18"/>
      <c r="AG149" s="30"/>
      <c r="AH149" s="18"/>
      <c r="AI149" s="30"/>
      <c r="AJ149" s="18"/>
      <c r="AK149" s="30"/>
      <c r="AL149" s="18"/>
      <c r="AM149" s="30"/>
      <c r="AN149" s="18"/>
      <c r="AO149" s="30"/>
      <c r="AP149" s="18"/>
      <c r="AQ149" s="30"/>
      <c r="AR149" s="18"/>
      <c r="AS149" s="30"/>
      <c r="AT149" s="18"/>
      <c r="AU149" s="30"/>
      <c r="AV149" s="18"/>
      <c r="AW149" s="30"/>
      <c r="AX149" s="18"/>
      <c r="AY149" s="30"/>
      <c r="AZ149" s="18"/>
      <c r="BA149" s="30"/>
      <c r="BB149" s="18"/>
      <c r="BC149" s="30"/>
      <c r="BD149" s="18"/>
      <c r="BE149" s="30"/>
      <c r="BF149" s="18"/>
      <c r="BG149" s="30"/>
      <c r="BH149" s="18"/>
      <c r="BI149" s="30"/>
      <c r="BJ149" s="18"/>
    </row>
    <row r="150" ht="18.0" customHeight="1">
      <c r="B150" s="12" t="s">
        <v>176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</row>
    <row r="151" ht="18.0" customHeight="1">
      <c r="B151" s="12" t="s">
        <v>177</v>
      </c>
      <c r="C151" s="30"/>
      <c r="D151" s="18"/>
      <c r="E151" s="30"/>
      <c r="F151" s="18"/>
      <c r="G151" s="30"/>
      <c r="H151" s="18"/>
      <c r="I151" s="30"/>
      <c r="J151" s="18"/>
      <c r="K151" s="30"/>
      <c r="L151" s="18"/>
      <c r="M151" s="30"/>
      <c r="N151" s="18"/>
      <c r="O151" s="30"/>
      <c r="P151" s="18"/>
      <c r="Q151" s="30"/>
      <c r="R151" s="18"/>
      <c r="S151" s="30"/>
      <c r="T151" s="18"/>
      <c r="U151" s="30"/>
      <c r="V151" s="18"/>
      <c r="W151" s="30"/>
      <c r="X151" s="18"/>
      <c r="Y151" s="30"/>
      <c r="Z151" s="18"/>
      <c r="AA151" s="30"/>
      <c r="AB151" s="18"/>
      <c r="AC151" s="30"/>
      <c r="AD151" s="18"/>
      <c r="AE151" s="30"/>
      <c r="AF151" s="18"/>
      <c r="AG151" s="30"/>
      <c r="AH151" s="18"/>
      <c r="AI151" s="30"/>
      <c r="AJ151" s="18"/>
      <c r="AK151" s="30"/>
      <c r="AL151" s="18"/>
      <c r="AM151" s="30"/>
      <c r="AN151" s="18"/>
      <c r="AO151" s="30"/>
      <c r="AP151" s="18"/>
      <c r="AQ151" s="30"/>
      <c r="AR151" s="18"/>
      <c r="AS151" s="30"/>
      <c r="AT151" s="18"/>
      <c r="AU151" s="30"/>
      <c r="AV151" s="18"/>
      <c r="AW151" s="30"/>
      <c r="AX151" s="18"/>
      <c r="AY151" s="30"/>
      <c r="AZ151" s="18"/>
      <c r="BA151" s="30"/>
      <c r="BB151" s="18"/>
      <c r="BC151" s="30"/>
      <c r="BD151" s="18"/>
      <c r="BE151" s="30"/>
      <c r="BF151" s="18"/>
      <c r="BG151" s="30"/>
      <c r="BH151" s="18"/>
      <c r="BI151" s="30"/>
      <c r="BJ151" s="18"/>
    </row>
    <row r="152" ht="18.0" customHeight="1">
      <c r="B152" s="12" t="s">
        <v>178</v>
      </c>
      <c r="C152" s="30"/>
      <c r="D152" s="18"/>
      <c r="E152" s="30"/>
      <c r="F152" s="18"/>
      <c r="G152" s="30"/>
      <c r="H152" s="18"/>
      <c r="I152" s="30"/>
      <c r="J152" s="18"/>
      <c r="K152" s="30"/>
      <c r="L152" s="18"/>
      <c r="M152" s="30"/>
      <c r="N152" s="18"/>
      <c r="O152" s="30"/>
      <c r="P152" s="18"/>
      <c r="Q152" s="30"/>
      <c r="R152" s="18"/>
      <c r="S152" s="30"/>
      <c r="T152" s="18"/>
      <c r="U152" s="30"/>
      <c r="V152" s="18"/>
      <c r="W152" s="30"/>
      <c r="X152" s="18"/>
      <c r="Y152" s="30"/>
      <c r="Z152" s="18"/>
      <c r="AA152" s="30"/>
      <c r="AB152" s="18"/>
      <c r="AC152" s="30"/>
      <c r="AD152" s="18"/>
      <c r="AE152" s="30"/>
      <c r="AF152" s="18"/>
      <c r="AG152" s="30"/>
      <c r="AH152" s="18"/>
      <c r="AI152" s="30"/>
      <c r="AJ152" s="18"/>
      <c r="AK152" s="30"/>
      <c r="AL152" s="18"/>
      <c r="AM152" s="30"/>
      <c r="AN152" s="18"/>
      <c r="AO152" s="30"/>
      <c r="AP152" s="18"/>
      <c r="AQ152" s="30"/>
      <c r="AR152" s="18"/>
      <c r="AS152" s="30"/>
      <c r="AT152" s="18"/>
      <c r="AU152" s="30"/>
      <c r="AV152" s="18"/>
      <c r="AW152" s="30"/>
      <c r="AX152" s="18"/>
      <c r="AY152" s="30"/>
      <c r="AZ152" s="18"/>
      <c r="BA152" s="30"/>
      <c r="BB152" s="18"/>
      <c r="BC152" s="30"/>
      <c r="BD152" s="18"/>
      <c r="BE152" s="30"/>
      <c r="BF152" s="18"/>
      <c r="BG152" s="30"/>
      <c r="BH152" s="18"/>
      <c r="BI152" s="30"/>
      <c r="BJ152" s="18"/>
    </row>
    <row r="153" ht="18.0" customHeight="1">
      <c r="B153" s="12" t="s">
        <v>179</v>
      </c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</row>
    <row r="154" ht="18.0" customHeight="1">
      <c r="B154" s="12" t="s">
        <v>180</v>
      </c>
      <c r="C154" s="30"/>
      <c r="D154" s="18"/>
      <c r="E154" s="30"/>
      <c r="F154" s="18"/>
      <c r="G154" s="30"/>
      <c r="H154" s="18"/>
      <c r="I154" s="30"/>
      <c r="J154" s="18"/>
      <c r="K154" s="30"/>
      <c r="L154" s="18"/>
      <c r="M154" s="30"/>
      <c r="N154" s="18"/>
      <c r="O154" s="30"/>
      <c r="P154" s="18"/>
      <c r="Q154" s="30"/>
      <c r="R154" s="18"/>
      <c r="S154" s="30"/>
      <c r="T154" s="18"/>
      <c r="U154" s="30"/>
      <c r="V154" s="18"/>
      <c r="W154" s="30"/>
      <c r="X154" s="18"/>
      <c r="Y154" s="30"/>
      <c r="Z154" s="18"/>
      <c r="AA154" s="30"/>
      <c r="AB154" s="18"/>
      <c r="AC154" s="30"/>
      <c r="AD154" s="18"/>
      <c r="AE154" s="30"/>
      <c r="AF154" s="18"/>
      <c r="AG154" s="30"/>
      <c r="AH154" s="18"/>
      <c r="AI154" s="30"/>
      <c r="AJ154" s="18"/>
      <c r="AK154" s="30"/>
      <c r="AL154" s="18"/>
      <c r="AM154" s="30"/>
      <c r="AN154" s="18"/>
      <c r="AO154" s="30"/>
      <c r="AP154" s="18"/>
      <c r="AQ154" s="30"/>
      <c r="AR154" s="18"/>
      <c r="AS154" s="30"/>
      <c r="AT154" s="18"/>
      <c r="AU154" s="30"/>
      <c r="AV154" s="18"/>
      <c r="AW154" s="30"/>
      <c r="AX154" s="18"/>
      <c r="AY154" s="30"/>
      <c r="AZ154" s="18"/>
      <c r="BA154" s="30"/>
      <c r="BB154" s="18"/>
      <c r="BC154" s="30"/>
      <c r="BD154" s="18"/>
      <c r="BE154" s="30"/>
      <c r="BF154" s="18"/>
      <c r="BG154" s="30"/>
      <c r="BH154" s="18"/>
      <c r="BI154" s="30"/>
      <c r="BJ154" s="18"/>
    </row>
    <row r="155" ht="18.0" customHeight="1">
      <c r="B155" s="12" t="s">
        <v>181</v>
      </c>
      <c r="C155" s="30"/>
      <c r="D155" s="18"/>
      <c r="E155" s="30"/>
      <c r="F155" s="18"/>
      <c r="G155" s="30"/>
      <c r="H155" s="18"/>
      <c r="I155" s="30"/>
      <c r="J155" s="18"/>
      <c r="K155" s="30"/>
      <c r="L155" s="18"/>
      <c r="M155" s="30"/>
      <c r="N155" s="18"/>
      <c r="O155" s="30"/>
      <c r="P155" s="18"/>
      <c r="Q155" s="30"/>
      <c r="R155" s="18"/>
      <c r="S155" s="30"/>
      <c r="T155" s="18"/>
      <c r="U155" s="30"/>
      <c r="V155" s="18"/>
      <c r="W155" s="30"/>
      <c r="X155" s="18"/>
      <c r="Y155" s="30"/>
      <c r="Z155" s="18"/>
      <c r="AA155" s="30"/>
      <c r="AB155" s="18"/>
      <c r="AC155" s="30"/>
      <c r="AD155" s="18"/>
      <c r="AE155" s="30"/>
      <c r="AF155" s="18"/>
      <c r="AG155" s="30"/>
      <c r="AH155" s="18"/>
      <c r="AI155" s="30"/>
      <c r="AJ155" s="18"/>
      <c r="AK155" s="30"/>
      <c r="AL155" s="18"/>
      <c r="AM155" s="30"/>
      <c r="AN155" s="18"/>
      <c r="AO155" s="30"/>
      <c r="AP155" s="18"/>
      <c r="AQ155" s="30"/>
      <c r="AR155" s="18"/>
      <c r="AS155" s="30"/>
      <c r="AT155" s="18"/>
      <c r="AU155" s="30"/>
      <c r="AV155" s="18"/>
      <c r="AW155" s="30"/>
      <c r="AX155" s="18"/>
      <c r="AY155" s="30"/>
      <c r="AZ155" s="18"/>
      <c r="BA155" s="30"/>
      <c r="BB155" s="18"/>
      <c r="BC155" s="30"/>
      <c r="BD155" s="18"/>
      <c r="BE155" s="30"/>
      <c r="BF155" s="18"/>
      <c r="BG155" s="30"/>
      <c r="BH155" s="18"/>
      <c r="BI155" s="30"/>
      <c r="BJ155" s="18"/>
    </row>
    <row r="156" ht="18.0" customHeight="1">
      <c r="B156" s="12" t="s">
        <v>182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</row>
    <row r="157" ht="18.0" customHeight="1">
      <c r="B157" s="12" t="s">
        <v>183</v>
      </c>
      <c r="C157" s="30"/>
      <c r="D157" s="18"/>
      <c r="E157" s="30"/>
      <c r="F157" s="18"/>
      <c r="G157" s="30"/>
      <c r="H157" s="18"/>
      <c r="I157" s="30"/>
      <c r="J157" s="18"/>
      <c r="K157" s="30"/>
      <c r="L157" s="18"/>
      <c r="M157" s="30"/>
      <c r="N157" s="18"/>
      <c r="O157" s="30"/>
      <c r="P157" s="18"/>
      <c r="Q157" s="30"/>
      <c r="R157" s="18"/>
      <c r="S157" s="30"/>
      <c r="T157" s="18"/>
      <c r="U157" s="30"/>
      <c r="V157" s="18"/>
      <c r="W157" s="30"/>
      <c r="X157" s="18"/>
      <c r="Y157" s="30"/>
      <c r="Z157" s="18"/>
      <c r="AA157" s="30"/>
      <c r="AB157" s="18"/>
      <c r="AC157" s="30"/>
      <c r="AD157" s="18"/>
      <c r="AE157" s="30"/>
      <c r="AF157" s="18"/>
      <c r="AG157" s="30"/>
      <c r="AH157" s="18"/>
      <c r="AI157" s="30"/>
      <c r="AJ157" s="18"/>
      <c r="AK157" s="30"/>
      <c r="AL157" s="18"/>
      <c r="AM157" s="30"/>
      <c r="AN157" s="18"/>
      <c r="AO157" s="30"/>
      <c r="AP157" s="18"/>
      <c r="AQ157" s="30"/>
      <c r="AR157" s="18"/>
      <c r="AS157" s="30"/>
      <c r="AT157" s="18"/>
      <c r="AU157" s="30"/>
      <c r="AV157" s="18"/>
      <c r="AW157" s="30"/>
      <c r="AX157" s="18"/>
      <c r="AY157" s="30"/>
      <c r="AZ157" s="18"/>
      <c r="BA157" s="30"/>
      <c r="BB157" s="18"/>
      <c r="BC157" s="30"/>
      <c r="BD157" s="18"/>
      <c r="BE157" s="30"/>
      <c r="BF157" s="18"/>
      <c r="BG157" s="30"/>
      <c r="BH157" s="18"/>
      <c r="BI157" s="30"/>
      <c r="BJ157" s="18"/>
    </row>
    <row r="158" ht="18.0" customHeight="1">
      <c r="B158" s="12" t="s">
        <v>184</v>
      </c>
      <c r="C158" s="30"/>
      <c r="D158" s="18"/>
      <c r="E158" s="30"/>
      <c r="F158" s="18"/>
      <c r="G158" s="30"/>
      <c r="H158" s="18"/>
      <c r="I158" s="30"/>
      <c r="J158" s="18"/>
      <c r="K158" s="30"/>
      <c r="L158" s="18"/>
      <c r="M158" s="30"/>
      <c r="N158" s="18"/>
      <c r="O158" s="30"/>
      <c r="P158" s="18"/>
      <c r="Q158" s="30"/>
      <c r="R158" s="18"/>
      <c r="S158" s="30"/>
      <c r="T158" s="18"/>
      <c r="U158" s="30"/>
      <c r="V158" s="18"/>
      <c r="W158" s="30"/>
      <c r="X158" s="18"/>
      <c r="Y158" s="30"/>
      <c r="Z158" s="18"/>
      <c r="AA158" s="30"/>
      <c r="AB158" s="18"/>
      <c r="AC158" s="30"/>
      <c r="AD158" s="18"/>
      <c r="AE158" s="30"/>
      <c r="AF158" s="18"/>
      <c r="AG158" s="30"/>
      <c r="AH158" s="18"/>
      <c r="AI158" s="30"/>
      <c r="AJ158" s="18"/>
      <c r="AK158" s="30"/>
      <c r="AL158" s="18"/>
      <c r="AM158" s="30"/>
      <c r="AN158" s="18"/>
      <c r="AO158" s="30"/>
      <c r="AP158" s="18"/>
      <c r="AQ158" s="30"/>
      <c r="AR158" s="18"/>
      <c r="AS158" s="30"/>
      <c r="AT158" s="18"/>
      <c r="AU158" s="30"/>
      <c r="AV158" s="18"/>
      <c r="AW158" s="30"/>
      <c r="AX158" s="18"/>
      <c r="AY158" s="30"/>
      <c r="AZ158" s="18"/>
      <c r="BA158" s="30"/>
      <c r="BB158" s="18"/>
      <c r="BC158" s="30"/>
      <c r="BD158" s="18"/>
      <c r="BE158" s="30"/>
      <c r="BF158" s="18"/>
      <c r="BG158" s="30"/>
      <c r="BH158" s="18"/>
      <c r="BI158" s="30"/>
      <c r="BJ158" s="18"/>
    </row>
    <row r="159" ht="18.0" customHeight="1">
      <c r="B159" s="12" t="s">
        <v>185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</row>
    <row r="160" ht="18.0" customHeight="1">
      <c r="B160" s="12" t="s">
        <v>186</v>
      </c>
      <c r="C160" s="30"/>
      <c r="D160" s="18"/>
      <c r="E160" s="30"/>
      <c r="F160" s="18"/>
      <c r="G160" s="30"/>
      <c r="H160" s="18"/>
      <c r="I160" s="30"/>
      <c r="J160" s="18"/>
      <c r="K160" s="30"/>
      <c r="L160" s="18"/>
      <c r="M160" s="30"/>
      <c r="N160" s="18"/>
      <c r="O160" s="30"/>
      <c r="P160" s="18"/>
      <c r="Q160" s="30"/>
      <c r="R160" s="18"/>
      <c r="S160" s="30"/>
      <c r="T160" s="18"/>
      <c r="U160" s="30"/>
      <c r="V160" s="18"/>
      <c r="W160" s="30"/>
      <c r="X160" s="18"/>
      <c r="Y160" s="30"/>
      <c r="Z160" s="18"/>
      <c r="AA160" s="30"/>
      <c r="AB160" s="18"/>
      <c r="AC160" s="30"/>
      <c r="AD160" s="18"/>
      <c r="AE160" s="30"/>
      <c r="AF160" s="18"/>
      <c r="AG160" s="30"/>
      <c r="AH160" s="18"/>
      <c r="AI160" s="30"/>
      <c r="AJ160" s="18"/>
      <c r="AK160" s="30"/>
      <c r="AL160" s="18"/>
      <c r="AM160" s="30"/>
      <c r="AN160" s="18"/>
      <c r="AO160" s="30"/>
      <c r="AP160" s="18"/>
      <c r="AQ160" s="30"/>
      <c r="AR160" s="18"/>
      <c r="AS160" s="30"/>
      <c r="AT160" s="18"/>
      <c r="AU160" s="30"/>
      <c r="AV160" s="18"/>
      <c r="AW160" s="30"/>
      <c r="AX160" s="18"/>
      <c r="AY160" s="30"/>
      <c r="AZ160" s="18"/>
      <c r="BA160" s="30"/>
      <c r="BB160" s="18"/>
      <c r="BC160" s="30"/>
      <c r="BD160" s="18"/>
      <c r="BE160" s="30"/>
      <c r="BF160" s="18"/>
      <c r="BG160" s="30"/>
      <c r="BH160" s="18"/>
      <c r="BI160" s="30"/>
      <c r="BJ160" s="18"/>
    </row>
    <row r="161" ht="18.0" customHeight="1">
      <c r="B161" s="12" t="s">
        <v>187</v>
      </c>
      <c r="C161" s="30"/>
      <c r="D161" s="18"/>
      <c r="E161" s="30"/>
      <c r="F161" s="18"/>
      <c r="G161" s="30"/>
      <c r="H161" s="18"/>
      <c r="I161" s="30"/>
      <c r="J161" s="18"/>
      <c r="K161" s="30"/>
      <c r="L161" s="18"/>
      <c r="M161" s="30"/>
      <c r="N161" s="18"/>
      <c r="O161" s="30"/>
      <c r="P161" s="18"/>
      <c r="Q161" s="30"/>
      <c r="R161" s="18"/>
      <c r="S161" s="30"/>
      <c r="T161" s="18"/>
      <c r="U161" s="30"/>
      <c r="V161" s="18"/>
      <c r="W161" s="30"/>
      <c r="X161" s="18"/>
      <c r="Y161" s="30"/>
      <c r="Z161" s="18"/>
      <c r="AA161" s="30"/>
      <c r="AB161" s="18"/>
      <c r="AC161" s="30"/>
      <c r="AD161" s="18"/>
      <c r="AE161" s="30"/>
      <c r="AF161" s="18"/>
      <c r="AG161" s="30"/>
      <c r="AH161" s="18"/>
      <c r="AI161" s="30"/>
      <c r="AJ161" s="18"/>
      <c r="AK161" s="30"/>
      <c r="AL161" s="18"/>
      <c r="AM161" s="30"/>
      <c r="AN161" s="18"/>
      <c r="AO161" s="30"/>
      <c r="AP161" s="18"/>
      <c r="AQ161" s="30"/>
      <c r="AR161" s="18"/>
      <c r="AS161" s="30"/>
      <c r="AT161" s="18"/>
      <c r="AU161" s="30"/>
      <c r="AV161" s="18"/>
      <c r="AW161" s="30"/>
      <c r="AX161" s="18"/>
      <c r="AY161" s="30"/>
      <c r="AZ161" s="18"/>
      <c r="BA161" s="30"/>
      <c r="BB161" s="18"/>
      <c r="BC161" s="30"/>
      <c r="BD161" s="18"/>
      <c r="BE161" s="30"/>
      <c r="BF161" s="18"/>
      <c r="BG161" s="30"/>
      <c r="BH161" s="18"/>
      <c r="BI161" s="30"/>
      <c r="BJ161" s="18"/>
    </row>
    <row r="162" ht="18.0" customHeight="1">
      <c r="B162" s="12" t="s">
        <v>188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</row>
    <row r="163" ht="18.0" customHeight="1">
      <c r="B163" s="12" t="s">
        <v>189</v>
      </c>
      <c r="C163" s="30"/>
      <c r="D163" s="18"/>
      <c r="E163" s="30"/>
      <c r="F163" s="18"/>
      <c r="G163" s="30"/>
      <c r="H163" s="18"/>
      <c r="I163" s="30"/>
      <c r="J163" s="18"/>
      <c r="K163" s="30"/>
      <c r="L163" s="18"/>
      <c r="M163" s="30"/>
      <c r="N163" s="18"/>
      <c r="O163" s="30"/>
      <c r="P163" s="18"/>
      <c r="Q163" s="30"/>
      <c r="R163" s="18"/>
      <c r="S163" s="30"/>
      <c r="T163" s="18"/>
      <c r="U163" s="30"/>
      <c r="V163" s="18"/>
      <c r="W163" s="30"/>
      <c r="X163" s="18"/>
      <c r="Y163" s="30"/>
      <c r="Z163" s="18"/>
      <c r="AA163" s="30"/>
      <c r="AB163" s="18"/>
      <c r="AC163" s="30"/>
      <c r="AD163" s="18"/>
      <c r="AE163" s="30"/>
      <c r="AF163" s="18"/>
      <c r="AG163" s="30"/>
      <c r="AH163" s="18"/>
      <c r="AI163" s="30"/>
      <c r="AJ163" s="18"/>
      <c r="AK163" s="30"/>
      <c r="AL163" s="18"/>
      <c r="AM163" s="30"/>
      <c r="AN163" s="18"/>
      <c r="AO163" s="30"/>
      <c r="AP163" s="18"/>
      <c r="AQ163" s="30"/>
      <c r="AR163" s="18"/>
      <c r="AS163" s="30"/>
      <c r="AT163" s="18"/>
      <c r="AU163" s="30"/>
      <c r="AV163" s="18"/>
      <c r="AW163" s="30"/>
      <c r="AX163" s="18"/>
      <c r="AY163" s="30"/>
      <c r="AZ163" s="18"/>
      <c r="BA163" s="30"/>
      <c r="BB163" s="18"/>
      <c r="BC163" s="30"/>
      <c r="BD163" s="18"/>
      <c r="BE163" s="30"/>
      <c r="BF163" s="18"/>
      <c r="BG163" s="30"/>
      <c r="BH163" s="18"/>
      <c r="BI163" s="30"/>
      <c r="BJ163" s="18"/>
    </row>
    <row r="164" ht="18.0" customHeight="1">
      <c r="B164" s="12" t="s">
        <v>190</v>
      </c>
      <c r="C164" s="30"/>
      <c r="D164" s="18"/>
      <c r="E164" s="30"/>
      <c r="F164" s="18"/>
      <c r="G164" s="30"/>
      <c r="H164" s="18"/>
      <c r="I164" s="30"/>
      <c r="J164" s="18"/>
      <c r="K164" s="30"/>
      <c r="L164" s="18"/>
      <c r="M164" s="30"/>
      <c r="N164" s="18"/>
      <c r="O164" s="30"/>
      <c r="P164" s="18"/>
      <c r="Q164" s="30"/>
      <c r="R164" s="18"/>
      <c r="S164" s="30"/>
      <c r="T164" s="18"/>
      <c r="U164" s="30"/>
      <c r="V164" s="18"/>
      <c r="W164" s="30"/>
      <c r="X164" s="18"/>
      <c r="Y164" s="30"/>
      <c r="Z164" s="18"/>
      <c r="AA164" s="30"/>
      <c r="AB164" s="18"/>
      <c r="AC164" s="30"/>
      <c r="AD164" s="18"/>
      <c r="AE164" s="30"/>
      <c r="AF164" s="18"/>
      <c r="AG164" s="30"/>
      <c r="AH164" s="18"/>
      <c r="AI164" s="30"/>
      <c r="AJ164" s="18"/>
      <c r="AK164" s="30"/>
      <c r="AL164" s="18"/>
      <c r="AM164" s="30"/>
      <c r="AN164" s="18"/>
      <c r="AO164" s="30"/>
      <c r="AP164" s="18"/>
      <c r="AQ164" s="30"/>
      <c r="AR164" s="18"/>
      <c r="AS164" s="30"/>
      <c r="AT164" s="18"/>
      <c r="AU164" s="30"/>
      <c r="AV164" s="18"/>
      <c r="AW164" s="30"/>
      <c r="AX164" s="18"/>
      <c r="AY164" s="30"/>
      <c r="AZ164" s="18"/>
      <c r="BA164" s="30"/>
      <c r="BB164" s="18"/>
      <c r="BC164" s="30"/>
      <c r="BD164" s="18"/>
      <c r="BE164" s="30"/>
      <c r="BF164" s="18"/>
      <c r="BG164" s="30"/>
      <c r="BH164" s="18"/>
      <c r="BI164" s="30"/>
      <c r="BJ164" s="18"/>
    </row>
    <row r="165" ht="18.0" customHeight="1">
      <c r="B165" s="12" t="s">
        <v>191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</row>
    <row r="166" ht="18.0" customHeight="1">
      <c r="B166" s="12" t="s">
        <v>192</v>
      </c>
      <c r="C166" s="30"/>
      <c r="D166" s="18"/>
      <c r="E166" s="30"/>
      <c r="F166" s="18"/>
      <c r="G166" s="30"/>
      <c r="H166" s="18"/>
      <c r="I166" s="30"/>
      <c r="J166" s="18"/>
      <c r="K166" s="30"/>
      <c r="L166" s="18"/>
      <c r="M166" s="30"/>
      <c r="N166" s="18"/>
      <c r="O166" s="30"/>
      <c r="P166" s="18"/>
      <c r="Q166" s="30"/>
      <c r="R166" s="18"/>
      <c r="S166" s="30"/>
      <c r="T166" s="18"/>
      <c r="U166" s="30"/>
      <c r="V166" s="18"/>
      <c r="W166" s="30"/>
      <c r="X166" s="18"/>
      <c r="Y166" s="30"/>
      <c r="Z166" s="18"/>
      <c r="AA166" s="30"/>
      <c r="AB166" s="18"/>
      <c r="AC166" s="30"/>
      <c r="AD166" s="18"/>
      <c r="AE166" s="30"/>
      <c r="AF166" s="18"/>
      <c r="AG166" s="30"/>
      <c r="AH166" s="18"/>
      <c r="AI166" s="30"/>
      <c r="AJ166" s="18"/>
      <c r="AK166" s="30"/>
      <c r="AL166" s="18"/>
      <c r="AM166" s="30"/>
      <c r="AN166" s="18"/>
      <c r="AO166" s="30"/>
      <c r="AP166" s="18"/>
      <c r="AQ166" s="30"/>
      <c r="AR166" s="18"/>
      <c r="AS166" s="30"/>
      <c r="AT166" s="18"/>
      <c r="AU166" s="30"/>
      <c r="AV166" s="18"/>
      <c r="AW166" s="30"/>
      <c r="AX166" s="18"/>
      <c r="AY166" s="30"/>
      <c r="AZ166" s="18"/>
      <c r="BA166" s="30"/>
      <c r="BB166" s="18"/>
      <c r="BC166" s="30"/>
      <c r="BD166" s="18"/>
      <c r="BE166" s="30"/>
      <c r="BF166" s="18"/>
      <c r="BG166" s="30"/>
      <c r="BH166" s="18"/>
      <c r="BI166" s="30"/>
      <c r="BJ166" s="18"/>
    </row>
    <row r="167" ht="18.0" customHeight="1">
      <c r="B167" s="12" t="s">
        <v>193</v>
      </c>
      <c r="C167" s="30"/>
      <c r="D167" s="18"/>
      <c r="E167" s="30"/>
      <c r="F167" s="18"/>
      <c r="G167" s="30"/>
      <c r="H167" s="18"/>
      <c r="I167" s="30"/>
      <c r="J167" s="18"/>
      <c r="K167" s="30"/>
      <c r="L167" s="18"/>
      <c r="M167" s="30"/>
      <c r="N167" s="18"/>
      <c r="O167" s="30"/>
      <c r="P167" s="18"/>
      <c r="Q167" s="30"/>
      <c r="R167" s="18"/>
      <c r="S167" s="30"/>
      <c r="T167" s="18"/>
      <c r="U167" s="30"/>
      <c r="V167" s="18"/>
      <c r="W167" s="30"/>
      <c r="X167" s="18"/>
      <c r="Y167" s="30"/>
      <c r="Z167" s="18"/>
      <c r="AA167" s="30"/>
      <c r="AB167" s="18"/>
      <c r="AC167" s="30"/>
      <c r="AD167" s="18"/>
      <c r="AE167" s="30"/>
      <c r="AF167" s="18"/>
      <c r="AG167" s="30"/>
      <c r="AH167" s="18"/>
      <c r="AI167" s="30"/>
      <c r="AJ167" s="18"/>
      <c r="AK167" s="30"/>
      <c r="AL167" s="18"/>
      <c r="AM167" s="30"/>
      <c r="AN167" s="18"/>
      <c r="AO167" s="30"/>
      <c r="AP167" s="18"/>
      <c r="AQ167" s="30"/>
      <c r="AR167" s="18"/>
      <c r="AS167" s="30"/>
      <c r="AT167" s="18"/>
      <c r="AU167" s="30"/>
      <c r="AV167" s="18"/>
      <c r="AW167" s="30"/>
      <c r="AX167" s="18"/>
      <c r="AY167" s="30"/>
      <c r="AZ167" s="18"/>
      <c r="BA167" s="30"/>
      <c r="BB167" s="18"/>
      <c r="BC167" s="30"/>
      <c r="BD167" s="18"/>
      <c r="BE167" s="30"/>
      <c r="BF167" s="18"/>
      <c r="BG167" s="30"/>
      <c r="BH167" s="18"/>
      <c r="BI167" s="30"/>
      <c r="BJ167" s="18"/>
    </row>
    <row r="168" ht="18.0" customHeight="1">
      <c r="B168" s="12" t="s">
        <v>194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</row>
    <row r="169" ht="18.0" customHeight="1">
      <c r="B169" s="12" t="s">
        <v>195</v>
      </c>
      <c r="C169" s="30"/>
      <c r="D169" s="18"/>
      <c r="E169" s="30"/>
      <c r="F169" s="18"/>
      <c r="G169" s="30"/>
      <c r="H169" s="18"/>
      <c r="I169" s="30"/>
      <c r="J169" s="18"/>
      <c r="K169" s="30"/>
      <c r="L169" s="18"/>
      <c r="M169" s="30"/>
      <c r="N169" s="18"/>
      <c r="O169" s="30"/>
      <c r="P169" s="18"/>
      <c r="Q169" s="30"/>
      <c r="R169" s="18"/>
      <c r="S169" s="30"/>
      <c r="T169" s="18"/>
      <c r="U169" s="30"/>
      <c r="V169" s="18"/>
      <c r="W169" s="30"/>
      <c r="X169" s="18"/>
      <c r="Y169" s="30"/>
      <c r="Z169" s="18"/>
      <c r="AA169" s="30"/>
      <c r="AB169" s="18"/>
      <c r="AC169" s="30"/>
      <c r="AD169" s="18"/>
      <c r="AE169" s="30"/>
      <c r="AF169" s="18"/>
      <c r="AG169" s="30"/>
      <c r="AH169" s="18"/>
      <c r="AI169" s="30"/>
      <c r="AJ169" s="18"/>
      <c r="AK169" s="30"/>
      <c r="AL169" s="18"/>
      <c r="AM169" s="30"/>
      <c r="AN169" s="18"/>
      <c r="AO169" s="30"/>
      <c r="AP169" s="18"/>
      <c r="AQ169" s="30"/>
      <c r="AR169" s="18"/>
      <c r="AS169" s="30"/>
      <c r="AT169" s="18"/>
      <c r="AU169" s="30"/>
      <c r="AV169" s="18"/>
      <c r="AW169" s="30"/>
      <c r="AX169" s="18"/>
      <c r="AY169" s="30"/>
      <c r="AZ169" s="18"/>
      <c r="BA169" s="30"/>
      <c r="BB169" s="18"/>
      <c r="BC169" s="30"/>
      <c r="BD169" s="18"/>
      <c r="BE169" s="30"/>
      <c r="BF169" s="18"/>
      <c r="BG169" s="30"/>
      <c r="BH169" s="18"/>
      <c r="BI169" s="30"/>
      <c r="BJ169" s="18"/>
    </row>
    <row r="170" ht="18.0" customHeight="1">
      <c r="B170" s="12" t="s">
        <v>196</v>
      </c>
      <c r="C170" s="30"/>
      <c r="D170" s="18"/>
      <c r="E170" s="30"/>
      <c r="F170" s="18"/>
      <c r="G170" s="30"/>
      <c r="H170" s="18"/>
      <c r="I170" s="30"/>
      <c r="J170" s="18"/>
      <c r="K170" s="30"/>
      <c r="L170" s="18"/>
      <c r="M170" s="30"/>
      <c r="N170" s="18"/>
      <c r="O170" s="30"/>
      <c r="P170" s="18"/>
      <c r="Q170" s="30"/>
      <c r="R170" s="18"/>
      <c r="S170" s="30"/>
      <c r="T170" s="18"/>
      <c r="U170" s="30"/>
      <c r="V170" s="18"/>
      <c r="W170" s="30"/>
      <c r="X170" s="18"/>
      <c r="Y170" s="30"/>
      <c r="Z170" s="18"/>
      <c r="AA170" s="30"/>
      <c r="AB170" s="18"/>
      <c r="AC170" s="30"/>
      <c r="AD170" s="18"/>
      <c r="AE170" s="30"/>
      <c r="AF170" s="18"/>
      <c r="AG170" s="30"/>
      <c r="AH170" s="18"/>
      <c r="AI170" s="30"/>
      <c r="AJ170" s="18"/>
      <c r="AK170" s="30"/>
      <c r="AL170" s="18"/>
      <c r="AM170" s="30"/>
      <c r="AN170" s="18"/>
      <c r="AO170" s="30"/>
      <c r="AP170" s="18"/>
      <c r="AQ170" s="30"/>
      <c r="AR170" s="18"/>
      <c r="AS170" s="30"/>
      <c r="AT170" s="18"/>
      <c r="AU170" s="30"/>
      <c r="AV170" s="18"/>
      <c r="AW170" s="30"/>
      <c r="AX170" s="18"/>
      <c r="AY170" s="30"/>
      <c r="AZ170" s="18"/>
      <c r="BA170" s="30"/>
      <c r="BB170" s="18"/>
      <c r="BC170" s="30"/>
      <c r="BD170" s="18"/>
      <c r="BE170" s="30"/>
      <c r="BF170" s="18"/>
      <c r="BG170" s="30"/>
      <c r="BH170" s="18"/>
      <c r="BI170" s="30"/>
      <c r="BJ170" s="18"/>
    </row>
    <row r="171" ht="18.0" customHeight="1">
      <c r="B171" s="12" t="s">
        <v>197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</row>
    <row r="172" ht="18.0" customHeight="1">
      <c r="B172" s="12" t="s">
        <v>198</v>
      </c>
      <c r="C172" s="30"/>
      <c r="D172" s="18"/>
      <c r="E172" s="30"/>
      <c r="F172" s="18"/>
      <c r="G172" s="30"/>
      <c r="H172" s="18"/>
      <c r="I172" s="30"/>
      <c r="J172" s="18"/>
      <c r="K172" s="30"/>
      <c r="L172" s="18"/>
      <c r="M172" s="30"/>
      <c r="N172" s="18"/>
      <c r="O172" s="30"/>
      <c r="P172" s="18"/>
      <c r="Q172" s="30"/>
      <c r="R172" s="18"/>
      <c r="S172" s="30"/>
      <c r="T172" s="18"/>
      <c r="U172" s="30"/>
      <c r="V172" s="18"/>
      <c r="W172" s="30"/>
      <c r="X172" s="18"/>
      <c r="Y172" s="30"/>
      <c r="Z172" s="18"/>
      <c r="AA172" s="30"/>
      <c r="AB172" s="18"/>
      <c r="AC172" s="30"/>
      <c r="AD172" s="18"/>
      <c r="AE172" s="30"/>
      <c r="AF172" s="18"/>
      <c r="AG172" s="30"/>
      <c r="AH172" s="18"/>
      <c r="AI172" s="30"/>
      <c r="AJ172" s="18"/>
      <c r="AK172" s="30"/>
      <c r="AL172" s="18"/>
      <c r="AM172" s="30"/>
      <c r="AN172" s="18"/>
      <c r="AO172" s="30"/>
      <c r="AP172" s="18"/>
      <c r="AQ172" s="30"/>
      <c r="AR172" s="18"/>
      <c r="AS172" s="30"/>
      <c r="AT172" s="18"/>
      <c r="AU172" s="30"/>
      <c r="AV172" s="18"/>
      <c r="AW172" s="30"/>
      <c r="AX172" s="18"/>
      <c r="AY172" s="30"/>
      <c r="AZ172" s="18"/>
      <c r="BA172" s="30"/>
      <c r="BB172" s="18"/>
      <c r="BC172" s="30"/>
      <c r="BD172" s="18"/>
      <c r="BE172" s="30"/>
      <c r="BF172" s="18"/>
      <c r="BG172" s="30"/>
      <c r="BH172" s="18"/>
      <c r="BI172" s="30"/>
      <c r="BJ172" s="18"/>
    </row>
    <row r="173" ht="18.0" customHeight="1">
      <c r="B173" s="12" t="s">
        <v>199</v>
      </c>
      <c r="C173" s="30"/>
      <c r="D173" s="18"/>
      <c r="E173" s="30"/>
      <c r="F173" s="18"/>
      <c r="G173" s="30"/>
      <c r="H173" s="18"/>
      <c r="I173" s="30"/>
      <c r="J173" s="18"/>
      <c r="K173" s="30"/>
      <c r="L173" s="18"/>
      <c r="M173" s="30"/>
      <c r="N173" s="18"/>
      <c r="O173" s="30"/>
      <c r="P173" s="18"/>
      <c r="Q173" s="30"/>
      <c r="R173" s="18"/>
      <c r="S173" s="30"/>
      <c r="T173" s="18"/>
      <c r="U173" s="30"/>
      <c r="V173" s="18"/>
      <c r="W173" s="30"/>
      <c r="X173" s="18"/>
      <c r="Y173" s="30"/>
      <c r="Z173" s="18"/>
      <c r="AA173" s="30"/>
      <c r="AB173" s="18"/>
      <c r="AC173" s="30"/>
      <c r="AD173" s="18"/>
      <c r="AE173" s="30"/>
      <c r="AF173" s="18"/>
      <c r="AG173" s="30"/>
      <c r="AH173" s="18"/>
      <c r="AI173" s="30"/>
      <c r="AJ173" s="18"/>
      <c r="AK173" s="30"/>
      <c r="AL173" s="18"/>
      <c r="AM173" s="30"/>
      <c r="AN173" s="18"/>
      <c r="AO173" s="30"/>
      <c r="AP173" s="18"/>
      <c r="AQ173" s="30"/>
      <c r="AR173" s="18"/>
      <c r="AS173" s="30"/>
      <c r="AT173" s="18"/>
      <c r="AU173" s="30"/>
      <c r="AV173" s="18"/>
      <c r="AW173" s="30"/>
      <c r="AX173" s="18"/>
      <c r="AY173" s="30"/>
      <c r="AZ173" s="18"/>
      <c r="BA173" s="30"/>
      <c r="BB173" s="18"/>
      <c r="BC173" s="30"/>
      <c r="BD173" s="18"/>
      <c r="BE173" s="30"/>
      <c r="BF173" s="18"/>
      <c r="BG173" s="30"/>
      <c r="BH173" s="18"/>
      <c r="BI173" s="30"/>
      <c r="BJ173" s="18"/>
    </row>
    <row r="174" ht="21.75" customHeight="1">
      <c r="B174" s="10" t="s">
        <v>200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</row>
    <row r="175" ht="18.0" customHeight="1">
      <c r="B175" s="12" t="s">
        <v>201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</row>
    <row r="176" ht="18.0" customHeight="1">
      <c r="B176" s="12" t="s">
        <v>202</v>
      </c>
      <c r="C176" s="30"/>
      <c r="D176" s="18"/>
      <c r="E176" s="30"/>
      <c r="F176" s="18"/>
      <c r="G176" s="30"/>
      <c r="H176" s="18"/>
      <c r="I176" s="30"/>
      <c r="J176" s="18"/>
      <c r="K176" s="30"/>
      <c r="L176" s="18"/>
      <c r="M176" s="30"/>
      <c r="N176" s="18"/>
      <c r="O176" s="30"/>
      <c r="P176" s="18"/>
      <c r="Q176" s="30"/>
      <c r="R176" s="18"/>
      <c r="S176" s="30"/>
      <c r="T176" s="18"/>
      <c r="U176" s="30"/>
      <c r="V176" s="18"/>
      <c r="W176" s="30"/>
      <c r="X176" s="18"/>
      <c r="Y176" s="30"/>
      <c r="Z176" s="18"/>
      <c r="AA176" s="30"/>
      <c r="AB176" s="18"/>
      <c r="AC176" s="30"/>
      <c r="AD176" s="18"/>
      <c r="AE176" s="30"/>
      <c r="AF176" s="18"/>
      <c r="AG176" s="30"/>
      <c r="AH176" s="18"/>
      <c r="AI176" s="30"/>
      <c r="AJ176" s="18"/>
      <c r="AK176" s="30"/>
      <c r="AL176" s="18"/>
      <c r="AM176" s="30"/>
      <c r="AN176" s="18"/>
      <c r="AO176" s="30"/>
      <c r="AP176" s="18"/>
      <c r="AQ176" s="30"/>
      <c r="AR176" s="18"/>
      <c r="AS176" s="30"/>
      <c r="AT176" s="18"/>
      <c r="AU176" s="30"/>
      <c r="AV176" s="18"/>
      <c r="AW176" s="30"/>
      <c r="AX176" s="18"/>
      <c r="AY176" s="30"/>
      <c r="AZ176" s="18"/>
      <c r="BA176" s="30"/>
      <c r="BB176" s="18"/>
      <c r="BC176" s="30"/>
      <c r="BD176" s="18"/>
      <c r="BE176" s="30"/>
      <c r="BF176" s="18"/>
      <c r="BG176" s="30"/>
      <c r="BH176" s="18"/>
      <c r="BI176" s="30"/>
      <c r="BJ176" s="18"/>
    </row>
    <row r="177" ht="18.0" customHeight="1">
      <c r="B177" s="12" t="s">
        <v>203</v>
      </c>
      <c r="C177" s="30"/>
      <c r="D177" s="18"/>
      <c r="E177" s="30"/>
      <c r="F177" s="18"/>
      <c r="G177" s="30"/>
      <c r="H177" s="18"/>
      <c r="I177" s="30"/>
      <c r="J177" s="18"/>
      <c r="K177" s="30"/>
      <c r="L177" s="18"/>
      <c r="M177" s="30"/>
      <c r="N177" s="18"/>
      <c r="O177" s="30"/>
      <c r="P177" s="18"/>
      <c r="Q177" s="30"/>
      <c r="R177" s="18"/>
      <c r="S177" s="30"/>
      <c r="T177" s="18"/>
      <c r="U177" s="30"/>
      <c r="V177" s="18"/>
      <c r="W177" s="30"/>
      <c r="X177" s="18"/>
      <c r="Y177" s="30"/>
      <c r="Z177" s="18"/>
      <c r="AA177" s="30"/>
      <c r="AB177" s="18"/>
      <c r="AC177" s="30"/>
      <c r="AD177" s="18"/>
      <c r="AE177" s="30"/>
      <c r="AF177" s="18"/>
      <c r="AG177" s="30"/>
      <c r="AH177" s="18"/>
      <c r="AI177" s="30"/>
      <c r="AJ177" s="18"/>
      <c r="AK177" s="30"/>
      <c r="AL177" s="18"/>
      <c r="AM177" s="30"/>
      <c r="AN177" s="18"/>
      <c r="AO177" s="30"/>
      <c r="AP177" s="18"/>
      <c r="AQ177" s="30"/>
      <c r="AR177" s="18"/>
      <c r="AS177" s="30"/>
      <c r="AT177" s="18"/>
      <c r="AU177" s="30"/>
      <c r="AV177" s="18"/>
      <c r="AW177" s="30"/>
      <c r="AX177" s="18"/>
      <c r="AY177" s="30"/>
      <c r="AZ177" s="18"/>
      <c r="BA177" s="30"/>
      <c r="BB177" s="18"/>
      <c r="BC177" s="30"/>
      <c r="BD177" s="18"/>
      <c r="BE177" s="30"/>
      <c r="BF177" s="18"/>
      <c r="BG177" s="30"/>
      <c r="BH177" s="18"/>
      <c r="BI177" s="30"/>
      <c r="BJ177" s="18"/>
    </row>
    <row r="178" ht="18.0" customHeight="1">
      <c r="B178" s="12" t="s">
        <v>204</v>
      </c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</row>
    <row r="179" ht="18.0" customHeight="1">
      <c r="B179" s="12" t="s">
        <v>205</v>
      </c>
      <c r="C179" s="30"/>
      <c r="D179" s="18"/>
      <c r="E179" s="30"/>
      <c r="F179" s="18"/>
      <c r="G179" s="30"/>
      <c r="H179" s="18"/>
      <c r="I179" s="30"/>
      <c r="J179" s="18"/>
      <c r="K179" s="30"/>
      <c r="L179" s="18"/>
      <c r="M179" s="30"/>
      <c r="N179" s="18"/>
      <c r="O179" s="30"/>
      <c r="P179" s="18"/>
      <c r="Q179" s="30"/>
      <c r="R179" s="18"/>
      <c r="S179" s="30"/>
      <c r="T179" s="18"/>
      <c r="U179" s="30"/>
      <c r="V179" s="18"/>
      <c r="W179" s="30"/>
      <c r="X179" s="18"/>
      <c r="Y179" s="30"/>
      <c r="Z179" s="18"/>
      <c r="AA179" s="30"/>
      <c r="AB179" s="18"/>
      <c r="AC179" s="30"/>
      <c r="AD179" s="18"/>
      <c r="AE179" s="30"/>
      <c r="AF179" s="18"/>
      <c r="AG179" s="30"/>
      <c r="AH179" s="18"/>
      <c r="AI179" s="30"/>
      <c r="AJ179" s="18"/>
      <c r="AK179" s="30"/>
      <c r="AL179" s="18"/>
      <c r="AM179" s="30"/>
      <c r="AN179" s="18"/>
      <c r="AO179" s="30"/>
      <c r="AP179" s="18"/>
      <c r="AQ179" s="30"/>
      <c r="AR179" s="18"/>
      <c r="AS179" s="30"/>
      <c r="AT179" s="18"/>
      <c r="AU179" s="30"/>
      <c r="AV179" s="18"/>
      <c r="AW179" s="30"/>
      <c r="AX179" s="18"/>
      <c r="AY179" s="30"/>
      <c r="AZ179" s="18"/>
      <c r="BA179" s="30"/>
      <c r="BB179" s="18"/>
      <c r="BC179" s="30"/>
      <c r="BD179" s="18"/>
      <c r="BE179" s="30"/>
      <c r="BF179" s="18"/>
      <c r="BG179" s="30"/>
      <c r="BH179" s="18"/>
      <c r="BI179" s="30"/>
      <c r="BJ179" s="18"/>
    </row>
    <row r="180" ht="18.0" customHeight="1">
      <c r="B180" s="12" t="s">
        <v>206</v>
      </c>
      <c r="C180" s="30"/>
      <c r="D180" s="18"/>
      <c r="E180" s="30"/>
      <c r="F180" s="18"/>
      <c r="G180" s="30"/>
      <c r="H180" s="18"/>
      <c r="I180" s="30"/>
      <c r="J180" s="18"/>
      <c r="K180" s="30"/>
      <c r="L180" s="18"/>
      <c r="M180" s="30"/>
      <c r="N180" s="18"/>
      <c r="O180" s="30"/>
      <c r="P180" s="18"/>
      <c r="Q180" s="30"/>
      <c r="R180" s="18"/>
      <c r="S180" s="30"/>
      <c r="T180" s="18"/>
      <c r="U180" s="30"/>
      <c r="V180" s="18"/>
      <c r="W180" s="30"/>
      <c r="X180" s="18"/>
      <c r="Y180" s="30"/>
      <c r="Z180" s="18"/>
      <c r="AA180" s="30"/>
      <c r="AB180" s="18"/>
      <c r="AC180" s="30"/>
      <c r="AD180" s="18"/>
      <c r="AE180" s="30"/>
      <c r="AF180" s="18"/>
      <c r="AG180" s="30"/>
      <c r="AH180" s="18"/>
      <c r="AI180" s="30"/>
      <c r="AJ180" s="18"/>
      <c r="AK180" s="30"/>
      <c r="AL180" s="18"/>
      <c r="AM180" s="30"/>
      <c r="AN180" s="18"/>
      <c r="AO180" s="30"/>
      <c r="AP180" s="18"/>
      <c r="AQ180" s="30"/>
      <c r="AR180" s="18"/>
      <c r="AS180" s="30"/>
      <c r="AT180" s="18"/>
      <c r="AU180" s="30"/>
      <c r="AV180" s="18"/>
      <c r="AW180" s="30"/>
      <c r="AX180" s="18"/>
      <c r="AY180" s="30"/>
      <c r="AZ180" s="18"/>
      <c r="BA180" s="30"/>
      <c r="BB180" s="18"/>
      <c r="BC180" s="30"/>
      <c r="BD180" s="18"/>
      <c r="BE180" s="30"/>
      <c r="BF180" s="18"/>
      <c r="BG180" s="30"/>
      <c r="BH180" s="18"/>
      <c r="BI180" s="30"/>
      <c r="BJ180" s="18"/>
    </row>
    <row r="181" ht="18.0" customHeight="1">
      <c r="B181" s="12" t="s">
        <v>207</v>
      </c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</row>
    <row r="182" ht="18.0" customHeight="1">
      <c r="B182" s="12" t="s">
        <v>208</v>
      </c>
      <c r="C182" s="30"/>
      <c r="D182" s="18"/>
      <c r="E182" s="30"/>
      <c r="F182" s="18"/>
      <c r="G182" s="30"/>
      <c r="H182" s="18"/>
      <c r="I182" s="30"/>
      <c r="J182" s="18"/>
      <c r="K182" s="30"/>
      <c r="L182" s="18"/>
      <c r="M182" s="30"/>
      <c r="N182" s="18"/>
      <c r="O182" s="30"/>
      <c r="P182" s="18"/>
      <c r="Q182" s="30"/>
      <c r="R182" s="18"/>
      <c r="S182" s="30"/>
      <c r="T182" s="18"/>
      <c r="U182" s="30"/>
      <c r="V182" s="18"/>
      <c r="W182" s="30"/>
      <c r="X182" s="18"/>
      <c r="Y182" s="30"/>
      <c r="Z182" s="18"/>
      <c r="AA182" s="30"/>
      <c r="AB182" s="18"/>
      <c r="AC182" s="30"/>
      <c r="AD182" s="18"/>
      <c r="AE182" s="30"/>
      <c r="AF182" s="18"/>
      <c r="AG182" s="30"/>
      <c r="AH182" s="18"/>
      <c r="AI182" s="30"/>
      <c r="AJ182" s="18"/>
      <c r="AK182" s="30"/>
      <c r="AL182" s="18"/>
      <c r="AM182" s="30"/>
      <c r="AN182" s="18"/>
      <c r="AO182" s="30"/>
      <c r="AP182" s="18"/>
      <c r="AQ182" s="30"/>
      <c r="AR182" s="18"/>
      <c r="AS182" s="30"/>
      <c r="AT182" s="18"/>
      <c r="AU182" s="30"/>
      <c r="AV182" s="18"/>
      <c r="AW182" s="30"/>
      <c r="AX182" s="18"/>
      <c r="AY182" s="30"/>
      <c r="AZ182" s="18"/>
      <c r="BA182" s="30"/>
      <c r="BB182" s="18"/>
      <c r="BC182" s="30"/>
      <c r="BD182" s="18"/>
      <c r="BE182" s="30"/>
      <c r="BF182" s="18"/>
      <c r="BG182" s="30"/>
      <c r="BH182" s="18"/>
      <c r="BI182" s="30"/>
      <c r="BJ182" s="18"/>
    </row>
    <row r="183" ht="18.0" customHeight="1">
      <c r="B183" s="12" t="s">
        <v>209</v>
      </c>
      <c r="C183" s="30"/>
      <c r="D183" s="18"/>
      <c r="E183" s="30"/>
      <c r="F183" s="18"/>
      <c r="G183" s="30"/>
      <c r="H183" s="18"/>
      <c r="I183" s="30"/>
      <c r="J183" s="18"/>
      <c r="K183" s="30"/>
      <c r="L183" s="18"/>
      <c r="M183" s="30"/>
      <c r="N183" s="18"/>
      <c r="O183" s="30"/>
      <c r="P183" s="18"/>
      <c r="Q183" s="30"/>
      <c r="R183" s="18"/>
      <c r="S183" s="30"/>
      <c r="T183" s="18"/>
      <c r="U183" s="30"/>
      <c r="V183" s="18"/>
      <c r="W183" s="30"/>
      <c r="X183" s="18"/>
      <c r="Y183" s="30"/>
      <c r="Z183" s="18"/>
      <c r="AA183" s="30"/>
      <c r="AB183" s="18"/>
      <c r="AC183" s="30"/>
      <c r="AD183" s="18"/>
      <c r="AE183" s="30"/>
      <c r="AF183" s="18"/>
      <c r="AG183" s="30"/>
      <c r="AH183" s="18"/>
      <c r="AI183" s="30"/>
      <c r="AJ183" s="18"/>
      <c r="AK183" s="30"/>
      <c r="AL183" s="18"/>
      <c r="AM183" s="30"/>
      <c r="AN183" s="18"/>
      <c r="AO183" s="30"/>
      <c r="AP183" s="18"/>
      <c r="AQ183" s="30"/>
      <c r="AR183" s="18"/>
      <c r="AS183" s="30"/>
      <c r="AT183" s="18"/>
      <c r="AU183" s="30"/>
      <c r="AV183" s="18"/>
      <c r="AW183" s="30"/>
      <c r="AX183" s="18"/>
      <c r="AY183" s="30"/>
      <c r="AZ183" s="18"/>
      <c r="BA183" s="30"/>
      <c r="BB183" s="18"/>
      <c r="BC183" s="30"/>
      <c r="BD183" s="18"/>
      <c r="BE183" s="30"/>
      <c r="BF183" s="18"/>
      <c r="BG183" s="30"/>
      <c r="BH183" s="18"/>
      <c r="BI183" s="30"/>
      <c r="BJ183" s="18"/>
    </row>
    <row r="184" ht="18.0" customHeight="1">
      <c r="B184" s="12" t="s">
        <v>210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</row>
    <row r="185" ht="18.0" customHeight="1">
      <c r="B185" s="12" t="s">
        <v>211</v>
      </c>
      <c r="C185" s="30"/>
      <c r="D185" s="18"/>
      <c r="E185" s="30"/>
      <c r="F185" s="18"/>
      <c r="G185" s="30"/>
      <c r="H185" s="18"/>
      <c r="I185" s="30"/>
      <c r="J185" s="18"/>
      <c r="K185" s="30"/>
      <c r="L185" s="18"/>
      <c r="M185" s="30"/>
      <c r="N185" s="18"/>
      <c r="O185" s="30"/>
      <c r="P185" s="18"/>
      <c r="Q185" s="30"/>
      <c r="R185" s="18"/>
      <c r="S185" s="30"/>
      <c r="T185" s="18"/>
      <c r="U185" s="30"/>
      <c r="V185" s="18"/>
      <c r="W185" s="30"/>
      <c r="X185" s="18"/>
      <c r="Y185" s="30"/>
      <c r="Z185" s="18"/>
      <c r="AA185" s="30"/>
      <c r="AB185" s="18"/>
      <c r="AC185" s="30"/>
      <c r="AD185" s="18"/>
      <c r="AE185" s="30"/>
      <c r="AF185" s="18"/>
      <c r="AG185" s="30"/>
      <c r="AH185" s="18"/>
      <c r="AI185" s="30"/>
      <c r="AJ185" s="18"/>
      <c r="AK185" s="30"/>
      <c r="AL185" s="18"/>
      <c r="AM185" s="30"/>
      <c r="AN185" s="18"/>
      <c r="AO185" s="30"/>
      <c r="AP185" s="18"/>
      <c r="AQ185" s="30"/>
      <c r="AR185" s="18"/>
      <c r="AS185" s="30"/>
      <c r="AT185" s="18"/>
      <c r="AU185" s="30"/>
      <c r="AV185" s="18"/>
      <c r="AW185" s="30"/>
      <c r="AX185" s="18"/>
      <c r="AY185" s="30"/>
      <c r="AZ185" s="18"/>
      <c r="BA185" s="30"/>
      <c r="BB185" s="18"/>
      <c r="BC185" s="30"/>
      <c r="BD185" s="18"/>
      <c r="BE185" s="30"/>
      <c r="BF185" s="18"/>
      <c r="BG185" s="30"/>
      <c r="BH185" s="18"/>
      <c r="BI185" s="30"/>
      <c r="BJ185" s="18"/>
    </row>
    <row r="186" ht="18.0" customHeight="1">
      <c r="B186" s="12" t="s">
        <v>212</v>
      </c>
      <c r="C186" s="30"/>
      <c r="D186" s="18"/>
      <c r="E186" s="30"/>
      <c r="F186" s="18"/>
      <c r="G186" s="30"/>
      <c r="H186" s="18"/>
      <c r="I186" s="30"/>
      <c r="J186" s="18"/>
      <c r="K186" s="30"/>
      <c r="L186" s="18"/>
      <c r="M186" s="30"/>
      <c r="N186" s="18"/>
      <c r="O186" s="30"/>
      <c r="P186" s="18"/>
      <c r="Q186" s="30"/>
      <c r="R186" s="18"/>
      <c r="S186" s="30"/>
      <c r="T186" s="18"/>
      <c r="U186" s="30"/>
      <c r="V186" s="18"/>
      <c r="W186" s="30"/>
      <c r="X186" s="18"/>
      <c r="Y186" s="30"/>
      <c r="Z186" s="18"/>
      <c r="AA186" s="30"/>
      <c r="AB186" s="18"/>
      <c r="AC186" s="30"/>
      <c r="AD186" s="18"/>
      <c r="AE186" s="30"/>
      <c r="AF186" s="18"/>
      <c r="AG186" s="30"/>
      <c r="AH186" s="18"/>
      <c r="AI186" s="30"/>
      <c r="AJ186" s="18"/>
      <c r="AK186" s="30"/>
      <c r="AL186" s="18"/>
      <c r="AM186" s="30"/>
      <c r="AN186" s="18"/>
      <c r="AO186" s="30"/>
      <c r="AP186" s="18"/>
      <c r="AQ186" s="30"/>
      <c r="AR186" s="18"/>
      <c r="AS186" s="30"/>
      <c r="AT186" s="18"/>
      <c r="AU186" s="30"/>
      <c r="AV186" s="18"/>
      <c r="AW186" s="30"/>
      <c r="AX186" s="18"/>
      <c r="AY186" s="30"/>
      <c r="AZ186" s="18"/>
      <c r="BA186" s="30"/>
      <c r="BB186" s="18"/>
      <c r="BC186" s="30"/>
      <c r="BD186" s="18"/>
      <c r="BE186" s="30"/>
      <c r="BF186" s="18"/>
      <c r="BG186" s="30"/>
      <c r="BH186" s="18"/>
      <c r="BI186" s="30"/>
      <c r="BJ186" s="18"/>
    </row>
    <row r="187" ht="18.0" customHeight="1">
      <c r="B187" s="12" t="s">
        <v>213</v>
      </c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</row>
    <row r="188" ht="18.0" customHeight="1">
      <c r="B188" s="12" t="s">
        <v>214</v>
      </c>
      <c r="C188" s="30"/>
      <c r="D188" s="18"/>
      <c r="E188" s="30"/>
      <c r="F188" s="18"/>
      <c r="G188" s="30"/>
      <c r="H188" s="18"/>
      <c r="I188" s="30"/>
      <c r="J188" s="18"/>
      <c r="K188" s="30"/>
      <c r="L188" s="18"/>
      <c r="M188" s="30"/>
      <c r="N188" s="18"/>
      <c r="O188" s="30"/>
      <c r="P188" s="18"/>
      <c r="Q188" s="30"/>
      <c r="R188" s="18"/>
      <c r="S188" s="30"/>
      <c r="T188" s="18"/>
      <c r="U188" s="30"/>
      <c r="V188" s="18"/>
      <c r="W188" s="30"/>
      <c r="X188" s="18"/>
      <c r="Y188" s="30"/>
      <c r="Z188" s="18"/>
      <c r="AA188" s="30"/>
      <c r="AB188" s="18"/>
      <c r="AC188" s="30"/>
      <c r="AD188" s="18"/>
      <c r="AE188" s="30"/>
      <c r="AF188" s="18"/>
      <c r="AG188" s="30"/>
      <c r="AH188" s="18"/>
      <c r="AI188" s="30"/>
      <c r="AJ188" s="18"/>
      <c r="AK188" s="30"/>
      <c r="AL188" s="18"/>
      <c r="AM188" s="30"/>
      <c r="AN188" s="18"/>
      <c r="AO188" s="30"/>
      <c r="AP188" s="18"/>
      <c r="AQ188" s="30"/>
      <c r="AR188" s="18"/>
      <c r="AS188" s="30"/>
      <c r="AT188" s="18"/>
      <c r="AU188" s="30"/>
      <c r="AV188" s="18"/>
      <c r="AW188" s="30"/>
      <c r="AX188" s="18"/>
      <c r="AY188" s="30"/>
      <c r="AZ188" s="18"/>
      <c r="BA188" s="30"/>
      <c r="BB188" s="18"/>
      <c r="BC188" s="30"/>
      <c r="BD188" s="18"/>
      <c r="BE188" s="30"/>
      <c r="BF188" s="18"/>
      <c r="BG188" s="30"/>
      <c r="BH188" s="18"/>
      <c r="BI188" s="30"/>
      <c r="BJ188" s="18"/>
    </row>
    <row r="189" ht="18.0" customHeight="1">
      <c r="B189" s="12" t="s">
        <v>215</v>
      </c>
      <c r="C189" s="30"/>
      <c r="D189" s="18"/>
      <c r="E189" s="30"/>
      <c r="F189" s="18"/>
      <c r="G189" s="30"/>
      <c r="H189" s="18"/>
      <c r="I189" s="30"/>
      <c r="J189" s="18"/>
      <c r="K189" s="30"/>
      <c r="L189" s="18"/>
      <c r="M189" s="30"/>
      <c r="N189" s="18"/>
      <c r="O189" s="30"/>
      <c r="P189" s="18"/>
      <c r="Q189" s="30"/>
      <c r="R189" s="18"/>
      <c r="S189" s="30"/>
      <c r="T189" s="18"/>
      <c r="U189" s="30"/>
      <c r="V189" s="18"/>
      <c r="W189" s="30"/>
      <c r="X189" s="18"/>
      <c r="Y189" s="30"/>
      <c r="Z189" s="18"/>
      <c r="AA189" s="30"/>
      <c r="AB189" s="18"/>
      <c r="AC189" s="30"/>
      <c r="AD189" s="18"/>
      <c r="AE189" s="30"/>
      <c r="AF189" s="18"/>
      <c r="AG189" s="30"/>
      <c r="AH189" s="18"/>
      <c r="AI189" s="30"/>
      <c r="AJ189" s="18"/>
      <c r="AK189" s="30"/>
      <c r="AL189" s="18"/>
      <c r="AM189" s="30"/>
      <c r="AN189" s="18"/>
      <c r="AO189" s="30"/>
      <c r="AP189" s="18"/>
      <c r="AQ189" s="30"/>
      <c r="AR189" s="18"/>
      <c r="AS189" s="30"/>
      <c r="AT189" s="18"/>
      <c r="AU189" s="30"/>
      <c r="AV189" s="18"/>
      <c r="AW189" s="30"/>
      <c r="AX189" s="18"/>
      <c r="AY189" s="30"/>
      <c r="AZ189" s="18"/>
      <c r="BA189" s="30"/>
      <c r="BB189" s="18"/>
      <c r="BC189" s="30"/>
      <c r="BD189" s="18"/>
      <c r="BE189" s="30"/>
      <c r="BF189" s="18"/>
      <c r="BG189" s="30"/>
      <c r="BH189" s="18"/>
      <c r="BI189" s="30"/>
      <c r="BJ189" s="18"/>
    </row>
    <row r="190" ht="18.0" customHeight="1">
      <c r="B190" s="12" t="s">
        <v>216</v>
      </c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</row>
    <row r="191" ht="18.0" customHeight="1">
      <c r="B191" s="12" t="s">
        <v>217</v>
      </c>
      <c r="C191" s="30"/>
      <c r="D191" s="18"/>
      <c r="E191" s="30"/>
      <c r="F191" s="18"/>
      <c r="G191" s="30"/>
      <c r="H191" s="18"/>
      <c r="I191" s="30"/>
      <c r="J191" s="18"/>
      <c r="K191" s="30"/>
      <c r="L191" s="18"/>
      <c r="M191" s="30"/>
      <c r="N191" s="18"/>
      <c r="O191" s="30"/>
      <c r="P191" s="18"/>
      <c r="Q191" s="30"/>
      <c r="R191" s="18"/>
      <c r="S191" s="30"/>
      <c r="T191" s="18"/>
      <c r="U191" s="30"/>
      <c r="V191" s="18"/>
      <c r="W191" s="30"/>
      <c r="X191" s="18"/>
      <c r="Y191" s="30"/>
      <c r="Z191" s="18"/>
      <c r="AA191" s="30"/>
      <c r="AB191" s="18"/>
      <c r="AC191" s="30"/>
      <c r="AD191" s="18"/>
      <c r="AE191" s="30"/>
      <c r="AF191" s="18"/>
      <c r="AG191" s="30"/>
      <c r="AH191" s="18"/>
      <c r="AI191" s="30"/>
      <c r="AJ191" s="18"/>
      <c r="AK191" s="30"/>
      <c r="AL191" s="18"/>
      <c r="AM191" s="30"/>
      <c r="AN191" s="18"/>
      <c r="AO191" s="30"/>
      <c r="AP191" s="18"/>
      <c r="AQ191" s="30"/>
      <c r="AR191" s="18"/>
      <c r="AS191" s="30"/>
      <c r="AT191" s="18"/>
      <c r="AU191" s="30"/>
      <c r="AV191" s="18"/>
      <c r="AW191" s="30"/>
      <c r="AX191" s="18"/>
      <c r="AY191" s="30"/>
      <c r="AZ191" s="18"/>
      <c r="BA191" s="30"/>
      <c r="BB191" s="18"/>
      <c r="BC191" s="30"/>
      <c r="BD191" s="18"/>
      <c r="BE191" s="30"/>
      <c r="BF191" s="18"/>
      <c r="BG191" s="30"/>
      <c r="BH191" s="18"/>
      <c r="BI191" s="30"/>
      <c r="BJ191" s="18"/>
    </row>
    <row r="192" ht="18.0" customHeight="1">
      <c r="B192" s="12" t="s">
        <v>218</v>
      </c>
      <c r="C192" s="30"/>
      <c r="D192" s="18"/>
      <c r="E192" s="30"/>
      <c r="F192" s="18"/>
      <c r="G192" s="30"/>
      <c r="H192" s="18"/>
      <c r="I192" s="30"/>
      <c r="J192" s="18"/>
      <c r="K192" s="30"/>
      <c r="L192" s="18"/>
      <c r="M192" s="30"/>
      <c r="N192" s="18"/>
      <c r="O192" s="30"/>
      <c r="P192" s="18"/>
      <c r="Q192" s="30"/>
      <c r="R192" s="18"/>
      <c r="S192" s="30"/>
      <c r="T192" s="18"/>
      <c r="U192" s="30"/>
      <c r="V192" s="18"/>
      <c r="W192" s="30"/>
      <c r="X192" s="18"/>
      <c r="Y192" s="30"/>
      <c r="Z192" s="18"/>
      <c r="AA192" s="30"/>
      <c r="AB192" s="18"/>
      <c r="AC192" s="30"/>
      <c r="AD192" s="18"/>
      <c r="AE192" s="30"/>
      <c r="AF192" s="18"/>
      <c r="AG192" s="30"/>
      <c r="AH192" s="18"/>
      <c r="AI192" s="30"/>
      <c r="AJ192" s="18"/>
      <c r="AK192" s="30"/>
      <c r="AL192" s="18"/>
      <c r="AM192" s="30"/>
      <c r="AN192" s="18"/>
      <c r="AO192" s="30"/>
      <c r="AP192" s="18"/>
      <c r="AQ192" s="30"/>
      <c r="AR192" s="18"/>
      <c r="AS192" s="30"/>
      <c r="AT192" s="18"/>
      <c r="AU192" s="30"/>
      <c r="AV192" s="18"/>
      <c r="AW192" s="30"/>
      <c r="AX192" s="18"/>
      <c r="AY192" s="30"/>
      <c r="AZ192" s="18"/>
      <c r="BA192" s="30"/>
      <c r="BB192" s="18"/>
      <c r="BC192" s="30"/>
      <c r="BD192" s="18"/>
      <c r="BE192" s="30"/>
      <c r="BF192" s="18"/>
      <c r="BG192" s="30"/>
      <c r="BH192" s="18"/>
      <c r="BI192" s="30"/>
      <c r="BJ192" s="18"/>
    </row>
    <row r="193" ht="18.0" customHeight="1">
      <c r="B193" s="12" t="s">
        <v>219</v>
      </c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</row>
    <row r="194" ht="18.0" customHeight="1">
      <c r="B194" s="12" t="s">
        <v>220</v>
      </c>
      <c r="C194" s="30"/>
      <c r="D194" s="18"/>
      <c r="E194" s="30"/>
      <c r="F194" s="18"/>
      <c r="G194" s="30"/>
      <c r="H194" s="18"/>
      <c r="I194" s="30"/>
      <c r="J194" s="18"/>
      <c r="K194" s="30"/>
      <c r="L194" s="18"/>
      <c r="M194" s="30"/>
      <c r="N194" s="18"/>
      <c r="O194" s="30"/>
      <c r="P194" s="18"/>
      <c r="Q194" s="30"/>
      <c r="R194" s="18"/>
      <c r="S194" s="30"/>
      <c r="T194" s="18"/>
      <c r="U194" s="30"/>
      <c r="V194" s="18"/>
      <c r="W194" s="30"/>
      <c r="X194" s="18"/>
      <c r="Y194" s="30"/>
      <c r="Z194" s="18"/>
      <c r="AA194" s="30"/>
      <c r="AB194" s="18"/>
      <c r="AC194" s="30"/>
      <c r="AD194" s="18"/>
      <c r="AE194" s="30"/>
      <c r="AF194" s="18"/>
      <c r="AG194" s="30"/>
      <c r="AH194" s="18"/>
      <c r="AI194" s="30"/>
      <c r="AJ194" s="18"/>
      <c r="AK194" s="30"/>
      <c r="AL194" s="18"/>
      <c r="AM194" s="30"/>
      <c r="AN194" s="18"/>
      <c r="AO194" s="30"/>
      <c r="AP194" s="18"/>
      <c r="AQ194" s="30"/>
      <c r="AR194" s="18"/>
      <c r="AS194" s="30"/>
      <c r="AT194" s="18"/>
      <c r="AU194" s="30"/>
      <c r="AV194" s="18"/>
      <c r="AW194" s="30"/>
      <c r="AX194" s="18"/>
      <c r="AY194" s="30"/>
      <c r="AZ194" s="18"/>
      <c r="BA194" s="30"/>
      <c r="BB194" s="18"/>
      <c r="BC194" s="30"/>
      <c r="BD194" s="18"/>
      <c r="BE194" s="30"/>
      <c r="BF194" s="18"/>
      <c r="BG194" s="30"/>
      <c r="BH194" s="18"/>
      <c r="BI194" s="30"/>
      <c r="BJ194" s="18"/>
    </row>
    <row r="195" ht="18.0" customHeight="1">
      <c r="B195" s="12" t="s">
        <v>221</v>
      </c>
      <c r="C195" s="30"/>
      <c r="D195" s="18"/>
      <c r="E195" s="30"/>
      <c r="F195" s="18"/>
      <c r="G195" s="30"/>
      <c r="H195" s="18"/>
      <c r="I195" s="30"/>
      <c r="J195" s="18"/>
      <c r="K195" s="30"/>
      <c r="L195" s="18"/>
      <c r="M195" s="30"/>
      <c r="N195" s="18"/>
      <c r="O195" s="30"/>
      <c r="P195" s="18"/>
      <c r="Q195" s="30"/>
      <c r="R195" s="18"/>
      <c r="S195" s="30"/>
      <c r="T195" s="18"/>
      <c r="U195" s="30"/>
      <c r="V195" s="18"/>
      <c r="W195" s="30"/>
      <c r="X195" s="18"/>
      <c r="Y195" s="30"/>
      <c r="Z195" s="18"/>
      <c r="AA195" s="30"/>
      <c r="AB195" s="18"/>
      <c r="AC195" s="30"/>
      <c r="AD195" s="18"/>
      <c r="AE195" s="30"/>
      <c r="AF195" s="18"/>
      <c r="AG195" s="30"/>
      <c r="AH195" s="18"/>
      <c r="AI195" s="30"/>
      <c r="AJ195" s="18"/>
      <c r="AK195" s="30"/>
      <c r="AL195" s="18"/>
      <c r="AM195" s="30"/>
      <c r="AN195" s="18"/>
      <c r="AO195" s="30"/>
      <c r="AP195" s="18"/>
      <c r="AQ195" s="30"/>
      <c r="AR195" s="18"/>
      <c r="AS195" s="30"/>
      <c r="AT195" s="18"/>
      <c r="AU195" s="30"/>
      <c r="AV195" s="18"/>
      <c r="AW195" s="30"/>
      <c r="AX195" s="18"/>
      <c r="AY195" s="30"/>
      <c r="AZ195" s="18"/>
      <c r="BA195" s="30"/>
      <c r="BB195" s="18"/>
      <c r="BC195" s="30"/>
      <c r="BD195" s="18"/>
      <c r="BE195" s="30"/>
      <c r="BF195" s="18"/>
      <c r="BG195" s="30"/>
      <c r="BH195" s="18"/>
      <c r="BI195" s="30"/>
      <c r="BJ195" s="18"/>
    </row>
    <row r="196" ht="18.0" customHeight="1">
      <c r="B196" s="12" t="s">
        <v>222</v>
      </c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</row>
    <row r="197" ht="18.0" customHeight="1">
      <c r="B197" s="12" t="s">
        <v>223</v>
      </c>
      <c r="C197" s="30"/>
      <c r="D197" s="18"/>
      <c r="E197" s="30"/>
      <c r="F197" s="18"/>
      <c r="G197" s="30"/>
      <c r="H197" s="18"/>
      <c r="I197" s="30"/>
      <c r="J197" s="18"/>
      <c r="K197" s="30"/>
      <c r="L197" s="18"/>
      <c r="M197" s="30"/>
      <c r="N197" s="18"/>
      <c r="O197" s="30"/>
      <c r="P197" s="18"/>
      <c r="Q197" s="30"/>
      <c r="R197" s="18"/>
      <c r="S197" s="30"/>
      <c r="T197" s="18"/>
      <c r="U197" s="30"/>
      <c r="V197" s="18"/>
      <c r="W197" s="30"/>
      <c r="X197" s="18"/>
      <c r="Y197" s="30"/>
      <c r="Z197" s="18"/>
      <c r="AA197" s="30"/>
      <c r="AB197" s="18"/>
      <c r="AC197" s="30"/>
      <c r="AD197" s="18"/>
      <c r="AE197" s="30"/>
      <c r="AF197" s="18"/>
      <c r="AG197" s="30"/>
      <c r="AH197" s="18"/>
      <c r="AI197" s="30"/>
      <c r="AJ197" s="18"/>
      <c r="AK197" s="30"/>
      <c r="AL197" s="18"/>
      <c r="AM197" s="30"/>
      <c r="AN197" s="18"/>
      <c r="AO197" s="30"/>
      <c r="AP197" s="18"/>
      <c r="AQ197" s="30"/>
      <c r="AR197" s="18"/>
      <c r="AS197" s="30"/>
      <c r="AT197" s="18"/>
      <c r="AU197" s="30"/>
      <c r="AV197" s="18"/>
      <c r="AW197" s="30"/>
      <c r="AX197" s="18"/>
      <c r="AY197" s="30"/>
      <c r="AZ197" s="18"/>
      <c r="BA197" s="30"/>
      <c r="BB197" s="18"/>
      <c r="BC197" s="30"/>
      <c r="BD197" s="18"/>
      <c r="BE197" s="30"/>
      <c r="BF197" s="18"/>
      <c r="BG197" s="30"/>
      <c r="BH197" s="18"/>
      <c r="BI197" s="30"/>
      <c r="BJ197" s="18"/>
    </row>
    <row r="198" ht="18.0" customHeight="1">
      <c r="B198" s="12" t="s">
        <v>224</v>
      </c>
      <c r="C198" s="30"/>
      <c r="D198" s="18"/>
      <c r="E198" s="30"/>
      <c r="F198" s="18"/>
      <c r="G198" s="30"/>
      <c r="H198" s="18"/>
      <c r="I198" s="30"/>
      <c r="J198" s="18"/>
      <c r="K198" s="30"/>
      <c r="L198" s="18"/>
      <c r="M198" s="30"/>
      <c r="N198" s="18"/>
      <c r="O198" s="30"/>
      <c r="P198" s="18"/>
      <c r="Q198" s="30"/>
      <c r="R198" s="18"/>
      <c r="S198" s="30"/>
      <c r="T198" s="18"/>
      <c r="U198" s="30"/>
      <c r="V198" s="18"/>
      <c r="W198" s="30"/>
      <c r="X198" s="18"/>
      <c r="Y198" s="30"/>
      <c r="Z198" s="18"/>
      <c r="AA198" s="30"/>
      <c r="AB198" s="18"/>
      <c r="AC198" s="30"/>
      <c r="AD198" s="18"/>
      <c r="AE198" s="30"/>
      <c r="AF198" s="18"/>
      <c r="AG198" s="30"/>
      <c r="AH198" s="18"/>
      <c r="AI198" s="30"/>
      <c r="AJ198" s="18"/>
      <c r="AK198" s="30"/>
      <c r="AL198" s="18"/>
      <c r="AM198" s="30"/>
      <c r="AN198" s="18"/>
      <c r="AO198" s="30"/>
      <c r="AP198" s="18"/>
      <c r="AQ198" s="30"/>
      <c r="AR198" s="18"/>
      <c r="AS198" s="30"/>
      <c r="AT198" s="18"/>
      <c r="AU198" s="30"/>
      <c r="AV198" s="18"/>
      <c r="AW198" s="30"/>
      <c r="AX198" s="18"/>
      <c r="AY198" s="30"/>
      <c r="AZ198" s="18"/>
      <c r="BA198" s="30"/>
      <c r="BB198" s="18"/>
      <c r="BC198" s="30"/>
      <c r="BD198" s="18"/>
      <c r="BE198" s="30"/>
      <c r="BF198" s="18"/>
      <c r="BG198" s="30"/>
      <c r="BH198" s="18"/>
      <c r="BI198" s="30"/>
      <c r="BJ198" s="18"/>
    </row>
    <row r="199" ht="21.75" customHeight="1">
      <c r="B199" s="10" t="s">
        <v>225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</row>
    <row r="200" ht="18.0" customHeight="1">
      <c r="B200" s="12" t="s">
        <v>226</v>
      </c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</row>
    <row r="201" ht="18.0" customHeight="1">
      <c r="B201" s="12" t="s">
        <v>227</v>
      </c>
      <c r="C201" s="30"/>
      <c r="D201" s="18"/>
      <c r="E201" s="30"/>
      <c r="F201" s="18"/>
      <c r="G201" s="30"/>
      <c r="H201" s="18"/>
      <c r="I201" s="30"/>
      <c r="J201" s="18"/>
      <c r="K201" s="30"/>
      <c r="L201" s="18"/>
      <c r="M201" s="30"/>
      <c r="N201" s="18"/>
      <c r="O201" s="30"/>
      <c r="P201" s="18"/>
      <c r="Q201" s="30"/>
      <c r="R201" s="18"/>
      <c r="S201" s="30"/>
      <c r="T201" s="18"/>
      <c r="U201" s="30"/>
      <c r="V201" s="18"/>
      <c r="W201" s="30"/>
      <c r="X201" s="18"/>
      <c r="Y201" s="30"/>
      <c r="Z201" s="18"/>
      <c r="AA201" s="30"/>
      <c r="AB201" s="18"/>
      <c r="AC201" s="30"/>
      <c r="AD201" s="18"/>
      <c r="AE201" s="30"/>
      <c r="AF201" s="18"/>
      <c r="AG201" s="30"/>
      <c r="AH201" s="18"/>
      <c r="AI201" s="30"/>
      <c r="AJ201" s="18"/>
      <c r="AK201" s="30"/>
      <c r="AL201" s="18"/>
      <c r="AM201" s="30"/>
      <c r="AN201" s="18"/>
      <c r="AO201" s="30"/>
      <c r="AP201" s="18"/>
      <c r="AQ201" s="30"/>
      <c r="AR201" s="18"/>
      <c r="AS201" s="30"/>
      <c r="AT201" s="18"/>
      <c r="AU201" s="30"/>
      <c r="AV201" s="18"/>
      <c r="AW201" s="30"/>
      <c r="AX201" s="18"/>
      <c r="AY201" s="30"/>
      <c r="AZ201" s="18"/>
      <c r="BA201" s="30"/>
      <c r="BB201" s="18"/>
      <c r="BC201" s="30"/>
      <c r="BD201" s="18"/>
      <c r="BE201" s="30"/>
      <c r="BF201" s="18"/>
      <c r="BG201" s="30"/>
      <c r="BH201" s="18"/>
      <c r="BI201" s="30"/>
      <c r="BJ201" s="18"/>
    </row>
    <row r="202" ht="18.0" customHeight="1">
      <c r="B202" s="12" t="s">
        <v>228</v>
      </c>
      <c r="C202" s="30"/>
      <c r="D202" s="18"/>
      <c r="E202" s="30"/>
      <c r="F202" s="18"/>
      <c r="G202" s="30"/>
      <c r="H202" s="18"/>
      <c r="I202" s="30"/>
      <c r="J202" s="18"/>
      <c r="K202" s="30"/>
      <c r="L202" s="18"/>
      <c r="M202" s="30"/>
      <c r="N202" s="18"/>
      <c r="O202" s="30"/>
      <c r="P202" s="18"/>
      <c r="Q202" s="30"/>
      <c r="R202" s="18"/>
      <c r="S202" s="30"/>
      <c r="T202" s="18"/>
      <c r="U202" s="30"/>
      <c r="V202" s="18"/>
      <c r="W202" s="30"/>
      <c r="X202" s="18"/>
      <c r="Y202" s="30"/>
      <c r="Z202" s="18"/>
      <c r="AA202" s="30"/>
      <c r="AB202" s="18"/>
      <c r="AC202" s="30"/>
      <c r="AD202" s="18"/>
      <c r="AE202" s="30"/>
      <c r="AF202" s="18"/>
      <c r="AG202" s="30"/>
      <c r="AH202" s="18"/>
      <c r="AI202" s="30"/>
      <c r="AJ202" s="18"/>
      <c r="AK202" s="30"/>
      <c r="AL202" s="18"/>
      <c r="AM202" s="30"/>
      <c r="AN202" s="18"/>
      <c r="AO202" s="30"/>
      <c r="AP202" s="18"/>
      <c r="AQ202" s="30"/>
      <c r="AR202" s="18"/>
      <c r="AS202" s="30"/>
      <c r="AT202" s="18"/>
      <c r="AU202" s="30"/>
      <c r="AV202" s="18"/>
      <c r="AW202" s="30"/>
      <c r="AX202" s="18"/>
      <c r="AY202" s="30"/>
      <c r="AZ202" s="18"/>
      <c r="BA202" s="30"/>
      <c r="BB202" s="18"/>
      <c r="BC202" s="30"/>
      <c r="BD202" s="18"/>
      <c r="BE202" s="30"/>
      <c r="BF202" s="18"/>
      <c r="BG202" s="30"/>
      <c r="BH202" s="18"/>
      <c r="BI202" s="30"/>
      <c r="BJ202" s="18"/>
    </row>
    <row r="203" ht="18.0" customHeight="1">
      <c r="B203" s="12" t="s">
        <v>229</v>
      </c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</row>
    <row r="204" ht="18.0" customHeight="1">
      <c r="B204" s="12" t="s">
        <v>230</v>
      </c>
      <c r="C204" s="30"/>
      <c r="D204" s="18"/>
      <c r="E204" s="30"/>
      <c r="F204" s="18"/>
      <c r="G204" s="30"/>
      <c r="H204" s="18"/>
      <c r="I204" s="30"/>
      <c r="J204" s="18"/>
      <c r="K204" s="30"/>
      <c r="L204" s="18"/>
      <c r="M204" s="30"/>
      <c r="N204" s="18"/>
      <c r="O204" s="30"/>
      <c r="P204" s="18"/>
      <c r="Q204" s="30"/>
      <c r="R204" s="18"/>
      <c r="S204" s="30"/>
      <c r="T204" s="18"/>
      <c r="U204" s="30"/>
      <c r="V204" s="18"/>
      <c r="W204" s="30"/>
      <c r="X204" s="18"/>
      <c r="Y204" s="30"/>
      <c r="Z204" s="18"/>
      <c r="AA204" s="30"/>
      <c r="AB204" s="18"/>
      <c r="AC204" s="30"/>
      <c r="AD204" s="18"/>
      <c r="AE204" s="30"/>
      <c r="AF204" s="18"/>
      <c r="AG204" s="30"/>
      <c r="AH204" s="18"/>
      <c r="AI204" s="30"/>
      <c r="AJ204" s="18"/>
      <c r="AK204" s="30"/>
      <c r="AL204" s="18"/>
      <c r="AM204" s="30"/>
      <c r="AN204" s="18"/>
      <c r="AO204" s="30"/>
      <c r="AP204" s="18"/>
      <c r="AQ204" s="30"/>
      <c r="AR204" s="18"/>
      <c r="AS204" s="30"/>
      <c r="AT204" s="18"/>
      <c r="AU204" s="30"/>
      <c r="AV204" s="18"/>
      <c r="AW204" s="30"/>
      <c r="AX204" s="18"/>
      <c r="AY204" s="30"/>
      <c r="AZ204" s="18"/>
      <c r="BA204" s="30"/>
      <c r="BB204" s="18"/>
      <c r="BC204" s="30"/>
      <c r="BD204" s="18"/>
      <c r="BE204" s="30"/>
      <c r="BF204" s="18"/>
      <c r="BG204" s="30"/>
      <c r="BH204" s="18"/>
      <c r="BI204" s="30"/>
      <c r="BJ204" s="18"/>
    </row>
    <row r="205" ht="18.0" customHeight="1">
      <c r="B205" s="12" t="s">
        <v>231</v>
      </c>
      <c r="C205" s="30"/>
      <c r="D205" s="18"/>
      <c r="E205" s="30"/>
      <c r="F205" s="18"/>
      <c r="G205" s="30"/>
      <c r="H205" s="18"/>
      <c r="I205" s="30"/>
      <c r="J205" s="18"/>
      <c r="K205" s="30"/>
      <c r="L205" s="18"/>
      <c r="M205" s="30"/>
      <c r="N205" s="18"/>
      <c r="O205" s="30"/>
      <c r="P205" s="18"/>
      <c r="Q205" s="30"/>
      <c r="R205" s="18"/>
      <c r="S205" s="30"/>
      <c r="T205" s="18"/>
      <c r="U205" s="30"/>
      <c r="V205" s="18"/>
      <c r="W205" s="30"/>
      <c r="X205" s="18"/>
      <c r="Y205" s="30"/>
      <c r="Z205" s="18"/>
      <c r="AA205" s="30"/>
      <c r="AB205" s="18"/>
      <c r="AC205" s="30"/>
      <c r="AD205" s="18"/>
      <c r="AE205" s="30"/>
      <c r="AF205" s="18"/>
      <c r="AG205" s="30"/>
      <c r="AH205" s="18"/>
      <c r="AI205" s="30"/>
      <c r="AJ205" s="18"/>
      <c r="AK205" s="30"/>
      <c r="AL205" s="18"/>
      <c r="AM205" s="30"/>
      <c r="AN205" s="18"/>
      <c r="AO205" s="30"/>
      <c r="AP205" s="18"/>
      <c r="AQ205" s="30"/>
      <c r="AR205" s="18"/>
      <c r="AS205" s="30"/>
      <c r="AT205" s="18"/>
      <c r="AU205" s="30"/>
      <c r="AV205" s="18"/>
      <c r="AW205" s="30"/>
      <c r="AX205" s="18"/>
      <c r="AY205" s="30"/>
      <c r="AZ205" s="18"/>
      <c r="BA205" s="30"/>
      <c r="BB205" s="18"/>
      <c r="BC205" s="30"/>
      <c r="BD205" s="18"/>
      <c r="BE205" s="30"/>
      <c r="BF205" s="18"/>
      <c r="BG205" s="30"/>
      <c r="BH205" s="18"/>
      <c r="BI205" s="30"/>
      <c r="BJ205" s="18"/>
    </row>
    <row r="206" ht="18.0" customHeight="1">
      <c r="B206" s="12" t="s">
        <v>232</v>
      </c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</row>
    <row r="207" ht="18.0" customHeight="1">
      <c r="B207" s="12" t="s">
        <v>233</v>
      </c>
      <c r="C207" s="30"/>
      <c r="D207" s="18"/>
      <c r="E207" s="30"/>
      <c r="F207" s="18"/>
      <c r="G207" s="30"/>
      <c r="H207" s="18"/>
      <c r="I207" s="30"/>
      <c r="J207" s="18"/>
      <c r="K207" s="30"/>
      <c r="L207" s="18"/>
      <c r="M207" s="30"/>
      <c r="N207" s="18"/>
      <c r="O207" s="30"/>
      <c r="P207" s="18"/>
      <c r="Q207" s="30"/>
      <c r="R207" s="18"/>
      <c r="S207" s="30"/>
      <c r="T207" s="18"/>
      <c r="U207" s="30"/>
      <c r="V207" s="18"/>
      <c r="W207" s="30"/>
      <c r="X207" s="18"/>
      <c r="Y207" s="30"/>
      <c r="Z207" s="18"/>
      <c r="AA207" s="30"/>
      <c r="AB207" s="18"/>
      <c r="AC207" s="30"/>
      <c r="AD207" s="18"/>
      <c r="AE207" s="30"/>
      <c r="AF207" s="18"/>
      <c r="AG207" s="30"/>
      <c r="AH207" s="18"/>
      <c r="AI207" s="30"/>
      <c r="AJ207" s="18"/>
      <c r="AK207" s="30"/>
      <c r="AL207" s="18"/>
      <c r="AM207" s="30"/>
      <c r="AN207" s="18"/>
      <c r="AO207" s="30"/>
      <c r="AP207" s="18"/>
      <c r="AQ207" s="30"/>
      <c r="AR207" s="18"/>
      <c r="AS207" s="30"/>
      <c r="AT207" s="18"/>
      <c r="AU207" s="30"/>
      <c r="AV207" s="18"/>
      <c r="AW207" s="30"/>
      <c r="AX207" s="18"/>
      <c r="AY207" s="30"/>
      <c r="AZ207" s="18"/>
      <c r="BA207" s="30"/>
      <c r="BB207" s="18"/>
      <c r="BC207" s="30"/>
      <c r="BD207" s="18"/>
      <c r="BE207" s="30"/>
      <c r="BF207" s="18"/>
      <c r="BG207" s="30"/>
      <c r="BH207" s="18"/>
      <c r="BI207" s="30"/>
      <c r="BJ207" s="18"/>
    </row>
    <row r="208" ht="18.0" customHeight="1">
      <c r="B208" s="12" t="s">
        <v>234</v>
      </c>
      <c r="C208" s="30"/>
      <c r="D208" s="18"/>
      <c r="E208" s="30"/>
      <c r="F208" s="18"/>
      <c r="G208" s="30"/>
      <c r="H208" s="18"/>
      <c r="I208" s="30"/>
      <c r="J208" s="18"/>
      <c r="K208" s="30"/>
      <c r="L208" s="18"/>
      <c r="M208" s="30"/>
      <c r="N208" s="18"/>
      <c r="O208" s="30"/>
      <c r="P208" s="18"/>
      <c r="Q208" s="30"/>
      <c r="R208" s="18"/>
      <c r="S208" s="30"/>
      <c r="T208" s="18"/>
      <c r="U208" s="30"/>
      <c r="V208" s="18"/>
      <c r="W208" s="30"/>
      <c r="X208" s="18"/>
      <c r="Y208" s="30"/>
      <c r="Z208" s="18"/>
      <c r="AA208" s="30"/>
      <c r="AB208" s="18"/>
      <c r="AC208" s="30"/>
      <c r="AD208" s="18"/>
      <c r="AE208" s="30"/>
      <c r="AF208" s="18"/>
      <c r="AG208" s="30"/>
      <c r="AH208" s="18"/>
      <c r="AI208" s="30"/>
      <c r="AJ208" s="18"/>
      <c r="AK208" s="30"/>
      <c r="AL208" s="18"/>
      <c r="AM208" s="30"/>
      <c r="AN208" s="18"/>
      <c r="AO208" s="30"/>
      <c r="AP208" s="18"/>
      <c r="AQ208" s="30"/>
      <c r="AR208" s="18"/>
      <c r="AS208" s="30"/>
      <c r="AT208" s="18"/>
      <c r="AU208" s="30"/>
      <c r="AV208" s="18"/>
      <c r="AW208" s="30"/>
      <c r="AX208" s="18"/>
      <c r="AY208" s="30"/>
      <c r="AZ208" s="18"/>
      <c r="BA208" s="30"/>
      <c r="BB208" s="18"/>
      <c r="BC208" s="30"/>
      <c r="BD208" s="18"/>
      <c r="BE208" s="30"/>
      <c r="BF208" s="18"/>
      <c r="BG208" s="30"/>
      <c r="BH208" s="18"/>
      <c r="BI208" s="30"/>
      <c r="BJ208" s="18"/>
    </row>
    <row r="209" ht="18.0" customHeight="1">
      <c r="B209" s="12" t="s">
        <v>235</v>
      </c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</row>
    <row r="210" ht="18.0" customHeight="1">
      <c r="B210" s="12" t="s">
        <v>236</v>
      </c>
      <c r="C210" s="30"/>
      <c r="D210" s="18"/>
      <c r="E210" s="30"/>
      <c r="F210" s="18"/>
      <c r="G210" s="30"/>
      <c r="H210" s="18"/>
      <c r="I210" s="30"/>
      <c r="J210" s="18"/>
      <c r="K210" s="30"/>
      <c r="L210" s="18"/>
      <c r="M210" s="30"/>
      <c r="N210" s="18"/>
      <c r="O210" s="30"/>
      <c r="P210" s="18"/>
      <c r="Q210" s="30"/>
      <c r="R210" s="18"/>
      <c r="S210" s="30"/>
      <c r="T210" s="18"/>
      <c r="U210" s="30"/>
      <c r="V210" s="18"/>
      <c r="W210" s="30"/>
      <c r="X210" s="18"/>
      <c r="Y210" s="30"/>
      <c r="Z210" s="18"/>
      <c r="AA210" s="30"/>
      <c r="AB210" s="18"/>
      <c r="AC210" s="30"/>
      <c r="AD210" s="18"/>
      <c r="AE210" s="30"/>
      <c r="AF210" s="18"/>
      <c r="AG210" s="30"/>
      <c r="AH210" s="18"/>
      <c r="AI210" s="30"/>
      <c r="AJ210" s="18"/>
      <c r="AK210" s="30"/>
      <c r="AL210" s="18"/>
      <c r="AM210" s="30"/>
      <c r="AN210" s="18"/>
      <c r="AO210" s="30"/>
      <c r="AP210" s="18"/>
      <c r="AQ210" s="30"/>
      <c r="AR210" s="18"/>
      <c r="AS210" s="30"/>
      <c r="AT210" s="18"/>
      <c r="AU210" s="30"/>
      <c r="AV210" s="18"/>
      <c r="AW210" s="30"/>
      <c r="AX210" s="18"/>
      <c r="AY210" s="30"/>
      <c r="AZ210" s="18"/>
      <c r="BA210" s="30"/>
      <c r="BB210" s="18"/>
      <c r="BC210" s="30"/>
      <c r="BD210" s="18"/>
      <c r="BE210" s="30"/>
      <c r="BF210" s="18"/>
      <c r="BG210" s="30"/>
      <c r="BH210" s="18"/>
      <c r="BI210" s="30"/>
      <c r="BJ210" s="18"/>
    </row>
    <row r="211" ht="18.0" customHeight="1">
      <c r="B211" s="12" t="s">
        <v>237</v>
      </c>
      <c r="C211" s="30"/>
      <c r="D211" s="18"/>
      <c r="E211" s="30"/>
      <c r="F211" s="18"/>
      <c r="G211" s="30"/>
      <c r="H211" s="18"/>
      <c r="I211" s="30"/>
      <c r="J211" s="18"/>
      <c r="K211" s="30"/>
      <c r="L211" s="18"/>
      <c r="M211" s="30"/>
      <c r="N211" s="18"/>
      <c r="O211" s="30"/>
      <c r="P211" s="18"/>
      <c r="Q211" s="30"/>
      <c r="R211" s="18"/>
      <c r="S211" s="30"/>
      <c r="T211" s="18"/>
      <c r="U211" s="30"/>
      <c r="V211" s="18"/>
      <c r="W211" s="30"/>
      <c r="X211" s="18"/>
      <c r="Y211" s="30"/>
      <c r="Z211" s="18"/>
      <c r="AA211" s="30"/>
      <c r="AB211" s="18"/>
      <c r="AC211" s="30"/>
      <c r="AD211" s="18"/>
      <c r="AE211" s="30"/>
      <c r="AF211" s="18"/>
      <c r="AG211" s="30"/>
      <c r="AH211" s="18"/>
      <c r="AI211" s="30"/>
      <c r="AJ211" s="18"/>
      <c r="AK211" s="30"/>
      <c r="AL211" s="18"/>
      <c r="AM211" s="30"/>
      <c r="AN211" s="18"/>
      <c r="AO211" s="30"/>
      <c r="AP211" s="18"/>
      <c r="AQ211" s="30"/>
      <c r="AR211" s="18"/>
      <c r="AS211" s="30"/>
      <c r="AT211" s="18"/>
      <c r="AU211" s="30"/>
      <c r="AV211" s="18"/>
      <c r="AW211" s="30"/>
      <c r="AX211" s="18"/>
      <c r="AY211" s="30"/>
      <c r="AZ211" s="18"/>
      <c r="BA211" s="30"/>
      <c r="BB211" s="18"/>
      <c r="BC211" s="30"/>
      <c r="BD211" s="18"/>
      <c r="BE211" s="30"/>
      <c r="BF211" s="18"/>
      <c r="BG211" s="30"/>
      <c r="BH211" s="18"/>
      <c r="BI211" s="30"/>
      <c r="BJ211" s="18"/>
    </row>
    <row r="212" ht="21.75" customHeight="1">
      <c r="B212" s="10" t="s">
        <v>238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</row>
    <row r="213" ht="18.0" customHeight="1">
      <c r="B213" s="12" t="s">
        <v>239</v>
      </c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</row>
    <row r="214" ht="18.0" customHeight="1">
      <c r="B214" s="12" t="s">
        <v>240</v>
      </c>
      <c r="C214" s="30"/>
      <c r="D214" s="18"/>
      <c r="E214" s="30"/>
      <c r="F214" s="18"/>
      <c r="G214" s="30"/>
      <c r="H214" s="18"/>
      <c r="I214" s="30"/>
      <c r="J214" s="18"/>
      <c r="K214" s="30"/>
      <c r="L214" s="18"/>
      <c r="M214" s="30"/>
      <c r="N214" s="18"/>
      <c r="O214" s="30"/>
      <c r="P214" s="18"/>
      <c r="Q214" s="30"/>
      <c r="R214" s="18"/>
      <c r="S214" s="30"/>
      <c r="T214" s="18"/>
      <c r="U214" s="30"/>
      <c r="V214" s="18"/>
      <c r="W214" s="30"/>
      <c r="X214" s="18"/>
      <c r="Y214" s="30"/>
      <c r="Z214" s="18"/>
      <c r="AA214" s="30"/>
      <c r="AB214" s="18"/>
      <c r="AC214" s="30"/>
      <c r="AD214" s="18"/>
      <c r="AE214" s="30"/>
      <c r="AF214" s="18"/>
      <c r="AG214" s="30"/>
      <c r="AH214" s="18"/>
      <c r="AI214" s="30"/>
      <c r="AJ214" s="18"/>
      <c r="AK214" s="30"/>
      <c r="AL214" s="18"/>
      <c r="AM214" s="30"/>
      <c r="AN214" s="18"/>
      <c r="AO214" s="30"/>
      <c r="AP214" s="18"/>
      <c r="AQ214" s="30"/>
      <c r="AR214" s="18"/>
      <c r="AS214" s="30"/>
      <c r="AT214" s="18"/>
      <c r="AU214" s="30"/>
      <c r="AV214" s="18"/>
      <c r="AW214" s="30"/>
      <c r="AX214" s="18"/>
      <c r="AY214" s="30"/>
      <c r="AZ214" s="18"/>
      <c r="BA214" s="30"/>
      <c r="BB214" s="18"/>
      <c r="BC214" s="30"/>
      <c r="BD214" s="18"/>
      <c r="BE214" s="30"/>
      <c r="BF214" s="18"/>
      <c r="BG214" s="30"/>
      <c r="BH214" s="18"/>
      <c r="BI214" s="30"/>
      <c r="BJ214" s="18"/>
    </row>
    <row r="215" ht="18.0" customHeight="1">
      <c r="B215" s="12" t="s">
        <v>241</v>
      </c>
      <c r="C215" s="30"/>
      <c r="D215" s="18"/>
      <c r="E215" s="30"/>
      <c r="F215" s="18"/>
      <c r="G215" s="30"/>
      <c r="H215" s="18"/>
      <c r="I215" s="30"/>
      <c r="J215" s="18"/>
      <c r="K215" s="30"/>
      <c r="L215" s="18"/>
      <c r="M215" s="30"/>
      <c r="N215" s="18"/>
      <c r="O215" s="30"/>
      <c r="P215" s="18"/>
      <c r="Q215" s="30"/>
      <c r="R215" s="18"/>
      <c r="S215" s="30"/>
      <c r="T215" s="18"/>
      <c r="U215" s="30"/>
      <c r="V215" s="18"/>
      <c r="W215" s="30"/>
      <c r="X215" s="18"/>
      <c r="Y215" s="30"/>
      <c r="Z215" s="18"/>
      <c r="AA215" s="30"/>
      <c r="AB215" s="18"/>
      <c r="AC215" s="30"/>
      <c r="AD215" s="18"/>
      <c r="AE215" s="30"/>
      <c r="AF215" s="18"/>
      <c r="AG215" s="30"/>
      <c r="AH215" s="18"/>
      <c r="AI215" s="30"/>
      <c r="AJ215" s="18"/>
      <c r="AK215" s="30"/>
      <c r="AL215" s="18"/>
      <c r="AM215" s="30"/>
      <c r="AN215" s="18"/>
      <c r="AO215" s="30"/>
      <c r="AP215" s="18"/>
      <c r="AQ215" s="30"/>
      <c r="AR215" s="18"/>
      <c r="AS215" s="30"/>
      <c r="AT215" s="18"/>
      <c r="AU215" s="30"/>
      <c r="AV215" s="18"/>
      <c r="AW215" s="30"/>
      <c r="AX215" s="18"/>
      <c r="AY215" s="30"/>
      <c r="AZ215" s="18"/>
      <c r="BA215" s="30"/>
      <c r="BB215" s="18"/>
      <c r="BC215" s="30"/>
      <c r="BD215" s="18"/>
      <c r="BE215" s="30"/>
      <c r="BF215" s="18"/>
      <c r="BG215" s="30"/>
      <c r="BH215" s="18"/>
      <c r="BI215" s="30"/>
      <c r="BJ215" s="18"/>
    </row>
    <row r="216" ht="18.0" customHeight="1">
      <c r="B216" s="12" t="s">
        <v>242</v>
      </c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</row>
    <row r="217" ht="18.0" customHeight="1">
      <c r="B217" s="12" t="s">
        <v>243</v>
      </c>
      <c r="C217" s="30"/>
      <c r="D217" s="18"/>
      <c r="E217" s="30"/>
      <c r="F217" s="18"/>
      <c r="G217" s="30"/>
      <c r="H217" s="18"/>
      <c r="I217" s="30"/>
      <c r="J217" s="18"/>
      <c r="K217" s="30"/>
      <c r="L217" s="18"/>
      <c r="M217" s="30"/>
      <c r="N217" s="18"/>
      <c r="O217" s="30"/>
      <c r="P217" s="18"/>
      <c r="Q217" s="30"/>
      <c r="R217" s="18"/>
      <c r="S217" s="30"/>
      <c r="T217" s="18"/>
      <c r="U217" s="30"/>
      <c r="V217" s="18"/>
      <c r="W217" s="30"/>
      <c r="X217" s="18"/>
      <c r="Y217" s="30"/>
      <c r="Z217" s="18"/>
      <c r="AA217" s="30"/>
      <c r="AB217" s="18"/>
      <c r="AC217" s="30"/>
      <c r="AD217" s="18"/>
      <c r="AE217" s="30"/>
      <c r="AF217" s="18"/>
      <c r="AG217" s="30"/>
      <c r="AH217" s="18"/>
      <c r="AI217" s="30"/>
      <c r="AJ217" s="18"/>
      <c r="AK217" s="30"/>
      <c r="AL217" s="18"/>
      <c r="AM217" s="30"/>
      <c r="AN217" s="18"/>
      <c r="AO217" s="30"/>
      <c r="AP217" s="18"/>
      <c r="AQ217" s="30"/>
      <c r="AR217" s="18"/>
      <c r="AS217" s="30"/>
      <c r="AT217" s="18"/>
      <c r="AU217" s="30"/>
      <c r="AV217" s="18"/>
      <c r="AW217" s="30"/>
      <c r="AX217" s="18"/>
      <c r="AY217" s="30"/>
      <c r="AZ217" s="18"/>
      <c r="BA217" s="30"/>
      <c r="BB217" s="18"/>
      <c r="BC217" s="30"/>
      <c r="BD217" s="18"/>
      <c r="BE217" s="30"/>
      <c r="BF217" s="18"/>
      <c r="BG217" s="30"/>
      <c r="BH217" s="18"/>
      <c r="BI217" s="30"/>
      <c r="BJ217" s="18"/>
    </row>
    <row r="218" ht="18.0" customHeight="1">
      <c r="B218" s="12" t="s">
        <v>244</v>
      </c>
      <c r="C218" s="30"/>
      <c r="D218" s="18"/>
      <c r="E218" s="30"/>
      <c r="F218" s="18"/>
      <c r="G218" s="30"/>
      <c r="H218" s="18"/>
      <c r="I218" s="30"/>
      <c r="J218" s="18"/>
      <c r="K218" s="30"/>
      <c r="L218" s="18"/>
      <c r="M218" s="30"/>
      <c r="N218" s="18"/>
      <c r="O218" s="30"/>
      <c r="P218" s="18"/>
      <c r="Q218" s="30"/>
      <c r="R218" s="18"/>
      <c r="S218" s="30"/>
      <c r="T218" s="18"/>
      <c r="U218" s="30"/>
      <c r="V218" s="18"/>
      <c r="W218" s="30"/>
      <c r="X218" s="18"/>
      <c r="Y218" s="30"/>
      <c r="Z218" s="18"/>
      <c r="AA218" s="30"/>
      <c r="AB218" s="18"/>
      <c r="AC218" s="30"/>
      <c r="AD218" s="18"/>
      <c r="AE218" s="30"/>
      <c r="AF218" s="18"/>
      <c r="AG218" s="30"/>
      <c r="AH218" s="18"/>
      <c r="AI218" s="30"/>
      <c r="AJ218" s="18"/>
      <c r="AK218" s="30"/>
      <c r="AL218" s="18"/>
      <c r="AM218" s="30"/>
      <c r="AN218" s="18"/>
      <c r="AO218" s="30"/>
      <c r="AP218" s="18"/>
      <c r="AQ218" s="30"/>
      <c r="AR218" s="18"/>
      <c r="AS218" s="30"/>
      <c r="AT218" s="18"/>
      <c r="AU218" s="30"/>
      <c r="AV218" s="18"/>
      <c r="AW218" s="30"/>
      <c r="AX218" s="18"/>
      <c r="AY218" s="30"/>
      <c r="AZ218" s="18"/>
      <c r="BA218" s="30"/>
      <c r="BB218" s="18"/>
      <c r="BC218" s="30"/>
      <c r="BD218" s="18"/>
      <c r="BE218" s="30"/>
      <c r="BF218" s="18"/>
      <c r="BG218" s="30"/>
      <c r="BH218" s="18"/>
      <c r="BI218" s="30"/>
      <c r="BJ218" s="18"/>
    </row>
    <row r="219" ht="21.75" customHeight="1">
      <c r="B219" s="10" t="s">
        <v>245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</row>
    <row r="220" ht="18.0" customHeight="1">
      <c r="B220" s="12" t="s">
        <v>246</v>
      </c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</row>
    <row r="221" ht="18.0" customHeight="1">
      <c r="B221" s="12" t="s">
        <v>247</v>
      </c>
      <c r="C221" s="30"/>
      <c r="D221" s="18"/>
      <c r="E221" s="30"/>
      <c r="F221" s="18"/>
      <c r="G221" s="30"/>
      <c r="H221" s="18"/>
      <c r="I221" s="30"/>
      <c r="J221" s="18"/>
      <c r="K221" s="30"/>
      <c r="L221" s="18"/>
      <c r="M221" s="30"/>
      <c r="N221" s="18"/>
      <c r="O221" s="30"/>
      <c r="P221" s="18"/>
      <c r="Q221" s="30"/>
      <c r="R221" s="18"/>
      <c r="S221" s="30"/>
      <c r="T221" s="18"/>
      <c r="U221" s="30"/>
      <c r="V221" s="18"/>
      <c r="W221" s="30"/>
      <c r="X221" s="18"/>
      <c r="Y221" s="30"/>
      <c r="Z221" s="18"/>
      <c r="AA221" s="30"/>
      <c r="AB221" s="18"/>
      <c r="AC221" s="30"/>
      <c r="AD221" s="18"/>
      <c r="AE221" s="30"/>
      <c r="AF221" s="18"/>
      <c r="AG221" s="30"/>
      <c r="AH221" s="18"/>
      <c r="AI221" s="30"/>
      <c r="AJ221" s="18"/>
      <c r="AK221" s="30"/>
      <c r="AL221" s="18"/>
      <c r="AM221" s="30"/>
      <c r="AN221" s="18"/>
      <c r="AO221" s="30"/>
      <c r="AP221" s="18"/>
      <c r="AQ221" s="30"/>
      <c r="AR221" s="18"/>
      <c r="AS221" s="30"/>
      <c r="AT221" s="18"/>
      <c r="AU221" s="30"/>
      <c r="AV221" s="18"/>
      <c r="AW221" s="30"/>
      <c r="AX221" s="18"/>
      <c r="AY221" s="30"/>
      <c r="AZ221" s="18"/>
      <c r="BA221" s="30"/>
      <c r="BB221" s="18"/>
      <c r="BC221" s="30"/>
      <c r="BD221" s="18"/>
      <c r="BE221" s="30"/>
      <c r="BF221" s="18"/>
      <c r="BG221" s="30"/>
      <c r="BH221" s="18"/>
      <c r="BI221" s="30"/>
      <c r="BJ221" s="18"/>
    </row>
    <row r="222" ht="18.0" customHeight="1">
      <c r="B222" s="12" t="s">
        <v>248</v>
      </c>
      <c r="C222" s="30"/>
      <c r="D222" s="18"/>
      <c r="E222" s="30"/>
      <c r="F222" s="18"/>
      <c r="G222" s="30"/>
      <c r="H222" s="18"/>
      <c r="I222" s="30"/>
      <c r="J222" s="18"/>
      <c r="K222" s="30"/>
      <c r="L222" s="18"/>
      <c r="M222" s="30"/>
      <c r="N222" s="18"/>
      <c r="O222" s="30"/>
      <c r="P222" s="18"/>
      <c r="Q222" s="30"/>
      <c r="R222" s="18"/>
      <c r="S222" s="30"/>
      <c r="T222" s="18"/>
      <c r="U222" s="30"/>
      <c r="V222" s="18"/>
      <c r="W222" s="30"/>
      <c r="X222" s="18"/>
      <c r="Y222" s="30"/>
      <c r="Z222" s="18"/>
      <c r="AA222" s="30"/>
      <c r="AB222" s="18"/>
      <c r="AC222" s="30"/>
      <c r="AD222" s="18"/>
      <c r="AE222" s="30"/>
      <c r="AF222" s="18"/>
      <c r="AG222" s="30"/>
      <c r="AH222" s="18"/>
      <c r="AI222" s="30"/>
      <c r="AJ222" s="18"/>
      <c r="AK222" s="30"/>
      <c r="AL222" s="18"/>
      <c r="AM222" s="30"/>
      <c r="AN222" s="18"/>
      <c r="AO222" s="30"/>
      <c r="AP222" s="18"/>
      <c r="AQ222" s="30"/>
      <c r="AR222" s="18"/>
      <c r="AS222" s="30"/>
      <c r="AT222" s="18"/>
      <c r="AU222" s="30"/>
      <c r="AV222" s="18"/>
      <c r="AW222" s="30"/>
      <c r="AX222" s="18"/>
      <c r="AY222" s="30"/>
      <c r="AZ222" s="18"/>
      <c r="BA222" s="30"/>
      <c r="BB222" s="18"/>
      <c r="BC222" s="30"/>
      <c r="BD222" s="18"/>
      <c r="BE222" s="30"/>
      <c r="BF222" s="18"/>
      <c r="BG222" s="30"/>
      <c r="BH222" s="18"/>
      <c r="BI222" s="30"/>
      <c r="BJ222" s="18"/>
    </row>
    <row r="223" ht="18.0" customHeight="1">
      <c r="B223" s="12" t="s">
        <v>249</v>
      </c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</row>
    <row r="224" ht="18.0" customHeight="1">
      <c r="B224" s="12" t="s">
        <v>250</v>
      </c>
      <c r="C224" s="30"/>
      <c r="D224" s="18"/>
      <c r="E224" s="30"/>
      <c r="F224" s="18"/>
      <c r="G224" s="30"/>
      <c r="H224" s="18"/>
      <c r="I224" s="30"/>
      <c r="J224" s="18"/>
      <c r="K224" s="30"/>
      <c r="L224" s="18"/>
      <c r="M224" s="30"/>
      <c r="N224" s="18"/>
      <c r="O224" s="30"/>
      <c r="P224" s="18"/>
      <c r="Q224" s="30"/>
      <c r="R224" s="18"/>
      <c r="S224" s="30"/>
      <c r="T224" s="18"/>
      <c r="U224" s="30"/>
      <c r="V224" s="18"/>
      <c r="W224" s="30"/>
      <c r="X224" s="18"/>
      <c r="Y224" s="30"/>
      <c r="Z224" s="18"/>
      <c r="AA224" s="30"/>
      <c r="AB224" s="18"/>
      <c r="AC224" s="30"/>
      <c r="AD224" s="18"/>
      <c r="AE224" s="30"/>
      <c r="AF224" s="18"/>
      <c r="AG224" s="30"/>
      <c r="AH224" s="18"/>
      <c r="AI224" s="30"/>
      <c r="AJ224" s="18"/>
      <c r="AK224" s="30"/>
      <c r="AL224" s="18"/>
      <c r="AM224" s="30"/>
      <c r="AN224" s="18"/>
      <c r="AO224" s="30"/>
      <c r="AP224" s="18"/>
      <c r="AQ224" s="30"/>
      <c r="AR224" s="18"/>
      <c r="AS224" s="30"/>
      <c r="AT224" s="18"/>
      <c r="AU224" s="30"/>
      <c r="AV224" s="18"/>
      <c r="AW224" s="30"/>
      <c r="AX224" s="18"/>
      <c r="AY224" s="30"/>
      <c r="AZ224" s="18"/>
      <c r="BA224" s="30"/>
      <c r="BB224" s="18"/>
      <c r="BC224" s="30"/>
      <c r="BD224" s="18"/>
      <c r="BE224" s="30"/>
      <c r="BF224" s="18"/>
      <c r="BG224" s="30"/>
      <c r="BH224" s="18"/>
      <c r="BI224" s="30"/>
      <c r="BJ224" s="18"/>
    </row>
    <row r="225" ht="18.0" customHeight="1">
      <c r="B225" s="12" t="s">
        <v>251</v>
      </c>
      <c r="C225" s="30"/>
      <c r="D225" s="18"/>
      <c r="E225" s="30"/>
      <c r="F225" s="18"/>
      <c r="G225" s="30"/>
      <c r="H225" s="18"/>
      <c r="I225" s="30"/>
      <c r="J225" s="18"/>
      <c r="K225" s="30"/>
      <c r="L225" s="18"/>
      <c r="M225" s="30"/>
      <c r="N225" s="18"/>
      <c r="O225" s="30"/>
      <c r="P225" s="18"/>
      <c r="Q225" s="30"/>
      <c r="R225" s="18"/>
      <c r="S225" s="30"/>
      <c r="T225" s="18"/>
      <c r="U225" s="30"/>
      <c r="V225" s="18"/>
      <c r="W225" s="30"/>
      <c r="X225" s="18"/>
      <c r="Y225" s="30"/>
      <c r="Z225" s="18"/>
      <c r="AA225" s="30"/>
      <c r="AB225" s="18"/>
      <c r="AC225" s="30"/>
      <c r="AD225" s="18"/>
      <c r="AE225" s="30"/>
      <c r="AF225" s="18"/>
      <c r="AG225" s="30"/>
      <c r="AH225" s="18"/>
      <c r="AI225" s="30"/>
      <c r="AJ225" s="18"/>
      <c r="AK225" s="30"/>
      <c r="AL225" s="18"/>
      <c r="AM225" s="30"/>
      <c r="AN225" s="18"/>
      <c r="AO225" s="30"/>
      <c r="AP225" s="18"/>
      <c r="AQ225" s="30"/>
      <c r="AR225" s="18"/>
      <c r="AS225" s="30"/>
      <c r="AT225" s="18"/>
      <c r="AU225" s="30"/>
      <c r="AV225" s="18"/>
      <c r="AW225" s="30"/>
      <c r="AX225" s="18"/>
      <c r="AY225" s="30"/>
      <c r="AZ225" s="18"/>
      <c r="BA225" s="30"/>
      <c r="BB225" s="18"/>
      <c r="BC225" s="30"/>
      <c r="BD225" s="18"/>
      <c r="BE225" s="30"/>
      <c r="BF225" s="18"/>
      <c r="BG225" s="30"/>
      <c r="BH225" s="18"/>
      <c r="BI225" s="30"/>
      <c r="BJ225" s="18"/>
    </row>
    <row r="226" ht="18.0" customHeight="1">
      <c r="B226" s="12" t="s">
        <v>252</v>
      </c>
      <c r="C226" s="30"/>
      <c r="D226" s="18"/>
      <c r="E226" s="30"/>
      <c r="F226" s="18"/>
      <c r="G226" s="30"/>
      <c r="H226" s="18"/>
      <c r="I226" s="30"/>
      <c r="J226" s="18"/>
      <c r="K226" s="30"/>
      <c r="L226" s="18"/>
      <c r="M226" s="30"/>
      <c r="N226" s="18"/>
      <c r="O226" s="30"/>
      <c r="P226" s="18"/>
      <c r="Q226" s="30"/>
      <c r="R226" s="18"/>
      <c r="S226" s="30"/>
      <c r="T226" s="18"/>
      <c r="U226" s="30"/>
      <c r="V226" s="18"/>
      <c r="W226" s="30"/>
      <c r="X226" s="18"/>
      <c r="Y226" s="30"/>
      <c r="Z226" s="18"/>
      <c r="AA226" s="30"/>
      <c r="AB226" s="18"/>
      <c r="AC226" s="30"/>
      <c r="AD226" s="18"/>
      <c r="AE226" s="30"/>
      <c r="AF226" s="18"/>
      <c r="AG226" s="30"/>
      <c r="AH226" s="18"/>
      <c r="AI226" s="30"/>
      <c r="AJ226" s="18"/>
      <c r="AK226" s="30"/>
      <c r="AL226" s="18"/>
      <c r="AM226" s="30"/>
      <c r="AN226" s="18"/>
      <c r="AO226" s="30"/>
      <c r="AP226" s="18"/>
      <c r="AQ226" s="30"/>
      <c r="AR226" s="18"/>
      <c r="AS226" s="30"/>
      <c r="AT226" s="18"/>
      <c r="AU226" s="30"/>
      <c r="AV226" s="18"/>
      <c r="AW226" s="30"/>
      <c r="AX226" s="18"/>
      <c r="AY226" s="30"/>
      <c r="AZ226" s="18"/>
      <c r="BA226" s="30"/>
      <c r="BB226" s="18"/>
      <c r="BC226" s="30"/>
      <c r="BD226" s="18"/>
      <c r="BE226" s="30"/>
      <c r="BF226" s="18"/>
      <c r="BG226" s="30"/>
      <c r="BH226" s="18"/>
      <c r="BI226" s="30"/>
      <c r="BJ226" s="18"/>
    </row>
    <row r="227" ht="21.75" customHeight="1">
      <c r="B227" s="10" t="s">
        <v>253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</row>
    <row r="228" ht="18.0" customHeight="1">
      <c r="B228" s="12" t="s">
        <v>254</v>
      </c>
      <c r="C228" s="30"/>
      <c r="D228" s="18"/>
      <c r="E228" s="30"/>
      <c r="F228" s="18"/>
      <c r="G228" s="30"/>
      <c r="H228" s="18"/>
      <c r="I228" s="30"/>
      <c r="J228" s="18"/>
      <c r="K228" s="30"/>
      <c r="L228" s="18"/>
      <c r="M228" s="30"/>
      <c r="N228" s="18"/>
      <c r="O228" s="30"/>
      <c r="P228" s="18"/>
      <c r="Q228" s="30"/>
      <c r="R228" s="18"/>
      <c r="S228" s="30"/>
      <c r="T228" s="18"/>
      <c r="U228" s="30"/>
      <c r="V228" s="18"/>
      <c r="W228" s="30"/>
      <c r="X228" s="18"/>
      <c r="Y228" s="30"/>
      <c r="Z228" s="18"/>
      <c r="AA228" s="30"/>
      <c r="AB228" s="18"/>
      <c r="AC228" s="30"/>
      <c r="AD228" s="18"/>
      <c r="AE228" s="30"/>
      <c r="AF228" s="18"/>
      <c r="AG228" s="30"/>
      <c r="AH228" s="18"/>
      <c r="AI228" s="30"/>
      <c r="AJ228" s="18"/>
      <c r="AK228" s="30"/>
      <c r="AL228" s="18"/>
      <c r="AM228" s="30"/>
      <c r="AN228" s="18"/>
      <c r="AO228" s="30"/>
      <c r="AP228" s="18"/>
      <c r="AQ228" s="30"/>
      <c r="AR228" s="18"/>
      <c r="AS228" s="30"/>
      <c r="AT228" s="18"/>
      <c r="AU228" s="30"/>
      <c r="AV228" s="18"/>
      <c r="AW228" s="30"/>
      <c r="AX228" s="18"/>
      <c r="AY228" s="30"/>
      <c r="AZ228" s="18"/>
      <c r="BA228" s="30"/>
      <c r="BB228" s="18"/>
      <c r="BC228" s="30"/>
      <c r="BD228" s="18"/>
      <c r="BE228" s="30"/>
      <c r="BF228" s="18"/>
      <c r="BG228" s="30"/>
      <c r="BH228" s="18"/>
      <c r="BI228" s="30"/>
      <c r="BJ228" s="18"/>
    </row>
    <row r="229" ht="18.0" customHeight="1">
      <c r="B229" s="12" t="s">
        <v>255</v>
      </c>
      <c r="C229" s="30"/>
      <c r="D229" s="18"/>
      <c r="E229" s="30"/>
      <c r="F229" s="18"/>
      <c r="G229" s="30"/>
      <c r="H229" s="18"/>
      <c r="I229" s="30"/>
      <c r="J229" s="18"/>
      <c r="K229" s="30"/>
      <c r="L229" s="18"/>
      <c r="M229" s="30"/>
      <c r="N229" s="18"/>
      <c r="O229" s="30"/>
      <c r="P229" s="18"/>
      <c r="Q229" s="30"/>
      <c r="R229" s="18"/>
      <c r="S229" s="30"/>
      <c r="T229" s="18"/>
      <c r="U229" s="30"/>
      <c r="V229" s="18"/>
      <c r="W229" s="30"/>
      <c r="X229" s="18"/>
      <c r="Y229" s="30"/>
      <c r="Z229" s="18"/>
      <c r="AA229" s="30"/>
      <c r="AB229" s="18"/>
      <c r="AC229" s="30"/>
      <c r="AD229" s="18"/>
      <c r="AE229" s="30"/>
      <c r="AF229" s="18"/>
      <c r="AG229" s="30"/>
      <c r="AH229" s="18"/>
      <c r="AI229" s="30"/>
      <c r="AJ229" s="18"/>
      <c r="AK229" s="30"/>
      <c r="AL229" s="18"/>
      <c r="AM229" s="30"/>
      <c r="AN229" s="18"/>
      <c r="AO229" s="30"/>
      <c r="AP229" s="18"/>
      <c r="AQ229" s="30"/>
      <c r="AR229" s="18"/>
      <c r="AS229" s="30"/>
      <c r="AT229" s="18"/>
      <c r="AU229" s="30"/>
      <c r="AV229" s="18"/>
      <c r="AW229" s="30"/>
      <c r="AX229" s="18"/>
      <c r="AY229" s="30"/>
      <c r="AZ229" s="18"/>
      <c r="BA229" s="30"/>
      <c r="BB229" s="18"/>
      <c r="BC229" s="30"/>
      <c r="BD229" s="18"/>
      <c r="BE229" s="30"/>
      <c r="BF229" s="18"/>
      <c r="BG229" s="30"/>
      <c r="BH229" s="18"/>
      <c r="BI229" s="30"/>
      <c r="BJ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</sheetData>
  <mergeCells count="57">
    <mergeCell ref="BC6:BD6"/>
    <mergeCell ref="BE6:BF6"/>
    <mergeCell ref="AO6:AP6"/>
    <mergeCell ref="AQ6:AR6"/>
    <mergeCell ref="AS6:AT6"/>
    <mergeCell ref="AU6:AV6"/>
    <mergeCell ref="AW6:AX6"/>
    <mergeCell ref="AY6:AZ6"/>
    <mergeCell ref="BA6:BB6"/>
    <mergeCell ref="B2:F2"/>
    <mergeCell ref="B3:F3"/>
    <mergeCell ref="C5:D5"/>
    <mergeCell ref="E5:F5"/>
    <mergeCell ref="G5:H5"/>
    <mergeCell ref="I5:J5"/>
    <mergeCell ref="K5:L5"/>
    <mergeCell ref="AA5:AB5"/>
    <mergeCell ref="AC5:AD5"/>
    <mergeCell ref="AE5:AF5"/>
    <mergeCell ref="AG5:AH5"/>
    <mergeCell ref="AI5:AJ5"/>
    <mergeCell ref="AK5:AL5"/>
    <mergeCell ref="AM5:AN5"/>
    <mergeCell ref="BC5:BD5"/>
    <mergeCell ref="BE5:BF5"/>
    <mergeCell ref="BG5:BH5"/>
    <mergeCell ref="BI5:BJ5"/>
    <mergeCell ref="BG6:BH6"/>
    <mergeCell ref="BI6:BJ6"/>
    <mergeCell ref="AO5:AP5"/>
    <mergeCell ref="AQ5:AR5"/>
    <mergeCell ref="AS5:AT5"/>
    <mergeCell ref="AU5:AV5"/>
    <mergeCell ref="AW5:AX5"/>
    <mergeCell ref="AY5:AZ5"/>
    <mergeCell ref="BA5:BB5"/>
    <mergeCell ref="M5:N5"/>
    <mergeCell ref="O5:P5"/>
    <mergeCell ref="Q5:R5"/>
    <mergeCell ref="S5:T5"/>
    <mergeCell ref="U5:V5"/>
    <mergeCell ref="W5:X5"/>
    <mergeCell ref="Y5:Z5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11.0"/>
    <col customWidth="1" min="4" max="4" width="8.71"/>
    <col customWidth="1" min="5" max="5" width="11.0"/>
    <col customWidth="1" min="6" max="6" width="8.71"/>
    <col customWidth="1" min="7" max="7" width="11.0"/>
    <col customWidth="1" min="8" max="8" width="8.71"/>
    <col customWidth="1" min="9" max="9" width="11.0"/>
    <col customWidth="1" min="10" max="10" width="8.71"/>
    <col customWidth="1" min="11" max="11" width="11.0"/>
    <col customWidth="1" min="12" max="12" width="8.71"/>
    <col customWidth="1" min="13" max="13" width="11.0"/>
    <col customWidth="1" min="14" max="14" width="8.71"/>
    <col customWidth="1" min="15" max="15" width="11.0"/>
    <col customWidth="1" min="16" max="16" width="8.71"/>
    <col customWidth="1" min="17" max="17" width="11.0"/>
    <col customWidth="1" min="18" max="18" width="8.71"/>
    <col customWidth="1" min="19" max="19" width="11.0"/>
    <col customWidth="1" min="20" max="20" width="8.71"/>
    <col customWidth="1" min="21" max="21" width="11.0"/>
    <col customWidth="1" min="22" max="22" width="8.71"/>
    <col customWidth="1" min="23" max="23" width="11.0"/>
    <col customWidth="1" min="24" max="24" width="8.71"/>
    <col customWidth="1" min="25" max="25" width="11.0"/>
    <col customWidth="1" min="26" max="26" width="8.71"/>
    <col customWidth="1" min="27" max="27" width="11.0"/>
    <col customWidth="1" min="28" max="28" width="8.71"/>
    <col customWidth="1" min="29" max="29" width="11.0"/>
    <col customWidth="1" min="30" max="30" width="8.71"/>
    <col customWidth="1" min="31" max="31" width="11.0"/>
    <col customWidth="1" min="32" max="32" width="8.71"/>
    <col customWidth="1" min="33" max="33" width="11.0"/>
    <col customWidth="1" min="34" max="34" width="8.71"/>
    <col customWidth="1" min="35" max="35" width="11.0"/>
    <col customWidth="1" min="36" max="36" width="8.71"/>
    <col customWidth="1" min="37" max="37" width="11.0"/>
    <col customWidth="1" min="38" max="38" width="8.71"/>
    <col customWidth="1" min="39" max="39" width="11.0"/>
    <col customWidth="1" min="40" max="40" width="8.71"/>
    <col customWidth="1" min="41" max="41" width="11.0"/>
    <col customWidth="1" min="42" max="42" width="8.71"/>
    <col customWidth="1" min="43" max="43" width="11.0"/>
    <col customWidth="1" min="44" max="44" width="8.71"/>
    <col customWidth="1" min="45" max="45" width="11.0"/>
    <col customWidth="1" min="46" max="46" width="8.71"/>
    <col customWidth="1" min="47" max="47" width="11.0"/>
    <col customWidth="1" min="48" max="48" width="8.71"/>
    <col customWidth="1" min="49" max="49" width="11.0"/>
    <col customWidth="1" min="50" max="50" width="8.71"/>
    <col customWidth="1" min="51" max="51" width="11.0"/>
    <col customWidth="1" min="52" max="52" width="8.71"/>
    <col customWidth="1" min="53" max="53" width="11.0"/>
    <col customWidth="1" min="54" max="54" width="8.71"/>
    <col customWidth="1" min="55" max="55" width="11.0"/>
    <col customWidth="1" min="56" max="56" width="8.71"/>
    <col customWidth="1" min="57" max="57" width="11.0"/>
    <col customWidth="1" min="58" max="58" width="8.71"/>
    <col customWidth="1" min="59" max="59" width="11.0"/>
    <col customWidth="1" min="60" max="60" width="8.71"/>
    <col customWidth="1" min="61" max="61" width="11.0"/>
  </cols>
  <sheetData>
    <row r="2" ht="27.75" customHeight="1">
      <c r="B2" s="20" t="s">
        <v>333</v>
      </c>
    </row>
    <row r="5" ht="27.75" customHeight="1">
      <c r="B5" s="22" t="s">
        <v>258</v>
      </c>
      <c r="C5" s="31" t="str">
        <f>'Raw data'!C6</f>
        <v>Matt</v>
      </c>
      <c r="E5" s="31" t="str">
        <f>'Raw data'!E6</f>
        <v>Fer</v>
      </c>
      <c r="G5" s="31" t="str">
        <f>'Raw data'!G6</f>
        <v>Pano</v>
      </c>
      <c r="I5" s="31" t="str">
        <f>'Raw data'!I6</f>
        <v>Tere</v>
      </c>
      <c r="K5" s="32" t="s">
        <v>334</v>
      </c>
      <c r="M5" s="31" t="str">
        <f>'Raw data'!M6</f>
        <v/>
      </c>
      <c r="O5" s="31" t="str">
        <f>'Raw data'!O6</f>
        <v/>
      </c>
      <c r="Q5" s="31" t="str">
        <f>'Raw data'!Q6</f>
        <v/>
      </c>
      <c r="S5" s="31" t="str">
        <f>'Raw data'!S6</f>
        <v/>
      </c>
      <c r="U5" s="31" t="str">
        <f>'Raw data'!U6</f>
        <v/>
      </c>
      <c r="W5" s="31" t="str">
        <f>'Raw data'!W6</f>
        <v/>
      </c>
      <c r="Y5" s="31" t="str">
        <f>'Raw data'!Y6</f>
        <v/>
      </c>
      <c r="AA5" s="31" t="str">
        <f>'Raw data'!AA6</f>
        <v/>
      </c>
      <c r="AC5" s="31" t="str">
        <f>'Raw data'!AC6</f>
        <v/>
      </c>
      <c r="AE5" s="31" t="str">
        <f>'Raw data'!AE6</f>
        <v/>
      </c>
      <c r="AG5" s="31" t="str">
        <f>'Raw data'!AG6</f>
        <v/>
      </c>
      <c r="AI5" s="31" t="str">
        <f>'Raw data'!AI6</f>
        <v/>
      </c>
      <c r="AK5" s="31" t="str">
        <f>'Raw data'!AK6</f>
        <v/>
      </c>
      <c r="AM5" s="31" t="str">
        <f>'Raw data'!AM6</f>
        <v/>
      </c>
      <c r="AO5" s="31" t="str">
        <f>'Raw data'!AO6</f>
        <v/>
      </c>
      <c r="AQ5" s="31" t="str">
        <f>'Raw data'!AQ6</f>
        <v/>
      </c>
      <c r="AS5" s="31" t="str">
        <f>'Raw data'!AS6</f>
        <v/>
      </c>
      <c r="AU5" s="31" t="str">
        <f>'Raw data'!AU6</f>
        <v/>
      </c>
      <c r="AW5" s="31" t="str">
        <f>'Raw data'!AW6</f>
        <v/>
      </c>
      <c r="AY5" s="31" t="str">
        <f>'Raw data'!AY6</f>
        <v/>
      </c>
      <c r="BA5" s="31" t="str">
        <f>'Raw data'!BA6</f>
        <v/>
      </c>
      <c r="BC5" s="31" t="str">
        <f>'Raw data'!BC6</f>
        <v/>
      </c>
      <c r="BE5" s="31" t="str">
        <f>'Raw data'!BE6</f>
        <v/>
      </c>
      <c r="BG5" s="31" t="str">
        <f>'Raw data'!BG6</f>
        <v/>
      </c>
      <c r="BI5" s="31" t="str">
        <f>'Raw data'!BI6</f>
        <v/>
      </c>
    </row>
    <row r="7" ht="19.5" customHeight="1">
      <c r="B7" s="33" t="s">
        <v>335</v>
      </c>
      <c r="C7" s="11"/>
      <c r="E7" s="11"/>
      <c r="G7" s="11"/>
      <c r="I7" s="11"/>
      <c r="K7" s="11"/>
      <c r="M7" s="11"/>
      <c r="O7" s="11"/>
      <c r="Q7" s="11"/>
      <c r="S7" s="11"/>
      <c r="U7" s="11"/>
      <c r="W7" s="11"/>
      <c r="Y7" s="11"/>
      <c r="AA7" s="11"/>
      <c r="AC7" s="11"/>
      <c r="AE7" s="11"/>
      <c r="AG7" s="11"/>
      <c r="AI7" s="11"/>
      <c r="AK7" s="11"/>
      <c r="AM7" s="11"/>
      <c r="AO7" s="11"/>
      <c r="AQ7" s="11"/>
      <c r="AS7" s="11"/>
      <c r="AU7" s="11"/>
      <c r="AW7" s="11"/>
      <c r="AY7" s="11"/>
      <c r="BA7" s="11"/>
      <c r="BC7" s="11"/>
      <c r="BE7" s="11"/>
      <c r="BG7" s="11"/>
      <c r="BI7" s="11"/>
    </row>
    <row r="8" ht="18.0" customHeight="1">
      <c r="B8" s="12" t="s">
        <v>28</v>
      </c>
      <c r="C8" s="34">
        <f>IFERROR(IF(AND(ISNUMBER('Real results'!C7),ISNUMBER('Real results'!D7),ISNUMBER(#REF!),ISNUMBER(#REF!)),IF(SIGN(#REF!-#REF!)=SIGN('Real results'!C7-'Real results'!D7),2+IF(AND(#REF!='Real results'!C7,#REF!='Real results'!D7),2,0),0),0),0)</f>
        <v>0</v>
      </c>
      <c r="E8" s="34">
        <f>IFERROR(IF(AND(ISNUMBER('Real results'!C7),ISNUMBER('Real results'!D7),ISNUMBER(#REF!),ISNUMBER(#REF!)),IF(SIGN(#REF!-#REF!)=SIGN('Real results'!C7-'Real results'!D7),2+IF(AND(#REF!='Real results'!C7,#REF!='Real results'!D7),2,0),0),0),0)</f>
        <v>0</v>
      </c>
      <c r="G8" s="34">
        <f>IFERROR(IF(AND(ISNUMBER('Real results'!C7),ISNUMBER('Real results'!D7),ISNUMBER('Raw data'!G7),ISNUMBER('Raw data'!H7)),IF(SIGN('Raw data'!G7-'Raw data'!H7)=SIGN('Real results'!C7-'Real results'!D7),2+IF(AND('Raw data'!G7='Real results'!C7,'Raw data'!H7='Real results'!D7),2,0),0),0),0)</f>
        <v>2</v>
      </c>
      <c r="I8" s="34">
        <f>IFERROR(IF(AND(ISNUMBER('Real results'!C7),ISNUMBER('Real results'!D7),ISNUMBER('Raw data'!I7),ISNUMBER('Raw data'!J7)),IF(SIGN('Raw data'!I7-'Raw data'!J7)=SIGN('Real results'!C7-'Real results'!D7),2+IF(AND('Raw data'!I7='Real results'!C7,'Raw data'!J7='Real results'!D7),2,0),0),0),0)</f>
        <v>2</v>
      </c>
      <c r="K8" s="34">
        <f>IFERROR(IF(AND(ISNUMBER('Real results'!C7),ISNUMBER('Real results'!D7),ISNUMBER('Raw data'!K7),ISNUMBER('Raw data'!L7)),IF(SIGN('Raw data'!K7-'Raw data'!L7)=SIGN('Real results'!C7-'Real results'!D7),2+IF(AND('Raw data'!K7='Real results'!C7,'Raw data'!L7='Real results'!D7),2,0),0),0),0)</f>
        <v>2</v>
      </c>
      <c r="M8" s="34">
        <f>IFERROR(IF(AND(ISNUMBER('Real results'!C7),ISNUMBER('Real results'!D7),ISNUMBER('Raw data'!M7),ISNUMBER('Raw data'!N7)),IF(SIGN('Raw data'!M7-'Raw data'!N7)=SIGN('Real results'!C7-'Real results'!D7),2+IF(AND('Raw data'!M7='Real results'!C7,'Raw data'!N7='Real results'!D7),2,0),0),0),0)</f>
        <v>0</v>
      </c>
      <c r="O8" s="34">
        <f>IFERROR(IF(AND(ISNUMBER('Real results'!C7),ISNUMBER('Real results'!D7),ISNUMBER('Raw data'!O7),ISNUMBER('Raw data'!P7)),IF(SIGN('Raw data'!O7-'Raw data'!P7)=SIGN('Real results'!C7-'Real results'!D7),2+IF(AND('Raw data'!O7='Real results'!C7,'Raw data'!P7='Real results'!D7),2,0),0),0),0)</f>
        <v>0</v>
      </c>
      <c r="Q8" s="34">
        <f>IFERROR(IF(AND(ISNUMBER('Real results'!C7),ISNUMBER('Real results'!D7),ISNUMBER('Raw data'!Q7),ISNUMBER('Raw data'!R7)),IF(SIGN('Raw data'!Q7-'Raw data'!R7)=SIGN('Real results'!C7-'Real results'!D7),2+IF(AND('Raw data'!Q7='Real results'!C7,'Raw data'!R7='Real results'!D7),2,0),0),0),0)</f>
        <v>0</v>
      </c>
      <c r="S8" s="34">
        <f>IFERROR(IF(AND(ISNUMBER('Real results'!C7),ISNUMBER('Real results'!D7),ISNUMBER('Raw data'!S7),ISNUMBER('Raw data'!T7)),IF(SIGN('Raw data'!S7-'Raw data'!T7)=SIGN('Real results'!C7-'Real results'!D7),2+IF(AND('Raw data'!S7='Real results'!C7,'Raw data'!T7='Real results'!D7),2,0),0),0),0)</f>
        <v>0</v>
      </c>
      <c r="U8" s="34">
        <f>IFERROR(IF(AND(ISNUMBER('Real results'!C7),ISNUMBER('Real results'!D7),ISNUMBER('Raw data'!U7),ISNUMBER('Raw data'!V7)),IF(SIGN('Raw data'!U7-'Raw data'!V7)=SIGN('Real results'!C7-'Real results'!D7),2+IF(AND('Raw data'!U7='Real results'!C7,'Raw data'!V7='Real results'!D7),2,0),0),0),0)</f>
        <v>0</v>
      </c>
      <c r="W8" s="34">
        <f>IFERROR(IF(AND(ISNUMBER('Real results'!C7),ISNUMBER('Real results'!D7),ISNUMBER('Raw data'!W7),ISNUMBER('Raw data'!X7)),IF(SIGN('Raw data'!W7-'Raw data'!X7)=SIGN('Real results'!C7-'Real results'!D7),2+IF(AND('Raw data'!W7='Real results'!C7,'Raw data'!X7='Real results'!D7),2,0),0),0),0)</f>
        <v>0</v>
      </c>
      <c r="Y8" s="34">
        <f>IFERROR(IF(AND(ISNUMBER('Real results'!C7),ISNUMBER('Real results'!D7),ISNUMBER('Raw data'!Y7),ISNUMBER('Raw data'!Z7)),IF(SIGN('Raw data'!Y7-'Raw data'!Z7)=SIGN('Real results'!C7-'Real results'!D7),2+IF(AND('Raw data'!Y7='Real results'!C7,'Raw data'!Z7='Real results'!D7),2,0),0),0),0)</f>
        <v>0</v>
      </c>
      <c r="AA8" s="34">
        <f>IFERROR(IF(AND(ISNUMBER('Real results'!C7),ISNUMBER('Real results'!D7),ISNUMBER('Raw data'!AA7),ISNUMBER('Raw data'!AB7)),IF(SIGN('Raw data'!AA7-'Raw data'!AB7)=SIGN('Real results'!C7-'Real results'!D7),2+IF(AND('Raw data'!AA7='Real results'!C7,'Raw data'!AB7='Real results'!D7),2,0),0),0),0)</f>
        <v>0</v>
      </c>
      <c r="AC8" s="34">
        <f>IFERROR(IF(AND(ISNUMBER('Real results'!C7),ISNUMBER('Real results'!D7),ISNUMBER('Raw data'!AC7),ISNUMBER('Raw data'!AD7)),IF(SIGN('Raw data'!AC7-'Raw data'!AD7)=SIGN('Real results'!C7-'Real results'!D7),2+IF(AND('Raw data'!AC7='Real results'!C7,'Raw data'!AD7='Real results'!D7),2,0),0),0),0)</f>
        <v>0</v>
      </c>
      <c r="AE8" s="34">
        <f>IFERROR(IF(AND(ISNUMBER('Real results'!C7),ISNUMBER('Real results'!D7),ISNUMBER('Raw data'!AE7),ISNUMBER('Raw data'!AF7)),IF(SIGN('Raw data'!AE7-'Raw data'!AF7)=SIGN('Real results'!C7-'Real results'!D7),2+IF(AND('Raw data'!AE7='Real results'!C7,'Raw data'!AF7='Real results'!D7),2,0),0),0),0)</f>
        <v>0</v>
      </c>
      <c r="AG8" s="34">
        <f>IFERROR(IF(AND(ISNUMBER('Real results'!C7),ISNUMBER('Real results'!D7),ISNUMBER('Raw data'!AG7),ISNUMBER('Raw data'!AH7)),IF(SIGN('Raw data'!AG7-'Raw data'!AH7)=SIGN('Real results'!C7-'Real results'!D7),2+IF(AND('Raw data'!AG7='Real results'!C7,'Raw data'!AH7='Real results'!D7),2,0),0),0),0)</f>
        <v>0</v>
      </c>
      <c r="AI8" s="34">
        <f>IFERROR(IF(AND(ISNUMBER('Real results'!C7),ISNUMBER('Real results'!D7),ISNUMBER('Raw data'!AI7),ISNUMBER('Raw data'!AJ7)),IF(SIGN('Raw data'!AI7-'Raw data'!AJ7)=SIGN('Real results'!C7-'Real results'!D7),2+IF(AND('Raw data'!AI7='Real results'!C7,'Raw data'!AJ7='Real results'!D7),2,0),0),0),0)</f>
        <v>0</v>
      </c>
      <c r="AK8" s="34">
        <f>IFERROR(IF(AND(ISNUMBER('Real results'!C7),ISNUMBER('Real results'!D7),ISNUMBER('Raw data'!AK7),ISNUMBER('Raw data'!AL7)),IF(SIGN('Raw data'!AK7-'Raw data'!AL7)=SIGN('Real results'!C7-'Real results'!D7),2+IF(AND('Raw data'!AK7='Real results'!C7,'Raw data'!AL7='Real results'!D7),2,0),0),0),0)</f>
        <v>0</v>
      </c>
      <c r="AM8" s="34">
        <f>IFERROR(IF(AND(ISNUMBER('Real results'!C7),ISNUMBER('Real results'!D7),ISNUMBER('Raw data'!AM7),ISNUMBER('Raw data'!AN7)),IF(SIGN('Raw data'!AM7-'Raw data'!AN7)=SIGN('Real results'!C7-'Real results'!D7),2+IF(AND('Raw data'!AM7='Real results'!C7,'Raw data'!AN7='Real results'!D7),2,0),0),0),0)</f>
        <v>0</v>
      </c>
      <c r="AO8" s="34">
        <f>IFERROR(IF(AND(ISNUMBER('Real results'!C7),ISNUMBER('Real results'!D7),ISNUMBER('Raw data'!AO7),ISNUMBER('Raw data'!AP7)),IF(SIGN('Raw data'!AO7-'Raw data'!AP7)=SIGN('Real results'!C7-'Real results'!D7),2+IF(AND('Raw data'!AO7='Real results'!C7,'Raw data'!AP7='Real results'!D7),2,0),0),0),0)</f>
        <v>0</v>
      </c>
      <c r="AQ8" s="34">
        <f>IFERROR(IF(AND(ISNUMBER('Real results'!C7),ISNUMBER('Real results'!D7),ISNUMBER('Raw data'!AQ7),ISNUMBER('Raw data'!AR7)),IF(SIGN('Raw data'!AQ7-'Raw data'!AR7)=SIGN('Real results'!C7-'Real results'!D7),2+IF(AND('Raw data'!AQ7='Real results'!C7,'Raw data'!AR7='Real results'!D7),2,0),0),0),0)</f>
        <v>0</v>
      </c>
      <c r="AS8" s="34">
        <f>IFERROR(IF(AND(ISNUMBER('Real results'!C7),ISNUMBER('Real results'!D7),ISNUMBER('Raw data'!AS7),ISNUMBER('Raw data'!AT7)),IF(SIGN('Raw data'!AS7-'Raw data'!AT7)=SIGN('Real results'!C7-'Real results'!D7),2+IF(AND('Raw data'!AS7='Real results'!C7,'Raw data'!AT7='Real results'!D7),2,0),0),0),0)</f>
        <v>0</v>
      </c>
      <c r="AU8" s="34">
        <f>IFERROR(IF(AND(ISNUMBER('Real results'!C7),ISNUMBER('Real results'!D7),ISNUMBER('Raw data'!AU7),ISNUMBER('Raw data'!AV7)),IF(SIGN('Raw data'!AU7-'Raw data'!AV7)=SIGN('Real results'!C7-'Real results'!D7),2+IF(AND('Raw data'!AU7='Real results'!C7,'Raw data'!AV7='Real results'!D7),2,0),0),0),0)</f>
        <v>0</v>
      </c>
      <c r="AW8" s="34">
        <f>IFERROR(IF(AND(ISNUMBER('Real results'!C7),ISNUMBER('Real results'!D7),ISNUMBER('Raw data'!AW7),ISNUMBER('Raw data'!AX7)),IF(SIGN('Raw data'!AW7-'Raw data'!AX7)=SIGN('Real results'!C7-'Real results'!D7),2+IF(AND('Raw data'!AW7='Real results'!C7,'Raw data'!AX7='Real results'!D7),2,0),0),0),0)</f>
        <v>0</v>
      </c>
      <c r="AY8" s="34">
        <f>IFERROR(IF(AND(ISNUMBER('Real results'!C7),ISNUMBER('Real results'!D7),ISNUMBER('Raw data'!AY7),ISNUMBER('Raw data'!AZ7)),IF(SIGN('Raw data'!AY7-'Raw data'!AZ7)=SIGN('Real results'!C7-'Real results'!D7),2+IF(AND('Raw data'!AY7='Real results'!C7,'Raw data'!AZ7='Real results'!D7),2,0),0),0),0)</f>
        <v>0</v>
      </c>
      <c r="BA8" s="34">
        <f>IFERROR(IF(AND(ISNUMBER('Real results'!C7),ISNUMBER('Real results'!D7),ISNUMBER('Raw data'!BA7),ISNUMBER('Raw data'!BB7)),IF(SIGN('Raw data'!BA7-'Raw data'!BB7)=SIGN('Real results'!C7-'Real results'!D7),2+IF(AND('Raw data'!BA7='Real results'!C7,'Raw data'!BB7='Real results'!D7),2,0),0),0),0)</f>
        <v>0</v>
      </c>
      <c r="BC8" s="34">
        <f>IFERROR(IF(AND(ISNUMBER('Real results'!C7),ISNUMBER('Real results'!D7),ISNUMBER('Raw data'!BC7),ISNUMBER('Raw data'!BD7)),IF(SIGN('Raw data'!BC7-'Raw data'!BD7)=SIGN('Real results'!C7-'Real results'!D7),2+IF(AND('Raw data'!BC7='Real results'!C7,'Raw data'!BD7='Real results'!D7),2,0),0),0),0)</f>
        <v>0</v>
      </c>
      <c r="BE8" s="34">
        <f>IFERROR(IF(AND(ISNUMBER('Real results'!C7),ISNUMBER('Real results'!D7),ISNUMBER('Raw data'!BE7),ISNUMBER('Raw data'!BF7)),IF(SIGN('Raw data'!BE7-'Raw data'!BF7)=SIGN('Real results'!C7-'Real results'!D7),2+IF(AND('Raw data'!BE7='Real results'!C7,'Raw data'!BF7='Real results'!D7),2,0),0),0),0)</f>
        <v>0</v>
      </c>
      <c r="BG8" s="34">
        <f>IFERROR(IF(AND(ISNUMBER('Real results'!C7),ISNUMBER('Real results'!D7),ISNUMBER('Raw data'!BG7),ISNUMBER('Raw data'!BH7)),IF(SIGN('Raw data'!BG7-'Raw data'!BH7)=SIGN('Real results'!C7-'Real results'!D7),2+IF(AND('Raw data'!BG7='Real results'!C7,'Raw data'!BH7='Real results'!D7),2,0),0),0),0)</f>
        <v>0</v>
      </c>
      <c r="BI8" s="34">
        <f>IFERROR(IF(AND(ISNUMBER('Real results'!C7),ISNUMBER('Real results'!D7),ISNUMBER('Raw data'!BI7),ISNUMBER('Raw data'!BJ7)),IF(SIGN('Raw data'!BI7-'Raw data'!BJ7)=SIGN('Real results'!C7-'Real results'!D7),2+IF(AND('Raw data'!BI7='Real results'!C7,'Raw data'!BJ7='Real results'!D7),2,0),0),0),0)</f>
        <v>0</v>
      </c>
    </row>
    <row r="9" ht="18.0" customHeight="1">
      <c r="B9" s="12" t="s">
        <v>29</v>
      </c>
      <c r="C9" s="34">
        <f>IFERROR(IF(AND(ISNUMBER('Real results'!C8),ISNUMBER('Real results'!D8),ISNUMBER(#REF!),ISNUMBER(#REF!)),IF(SIGN(#REF!-#REF!)=SIGN('Real results'!C8-'Real results'!D8),2+IF(AND(#REF!='Real results'!C8,#REF!='Real results'!D8),2,0),0),0),0)</f>
        <v>0</v>
      </c>
      <c r="E9" s="34">
        <f>IFERROR(IF(AND(ISNUMBER('Real results'!C8),ISNUMBER('Real results'!D8),ISNUMBER('Raw data'!E7),ISNUMBER('Raw data'!F7)),IF(SIGN('Raw data'!E7-'Raw data'!F7)=SIGN('Real results'!C8-'Real results'!D8),2+IF(AND('Raw data'!E7='Real results'!C8,'Raw data'!F7='Real results'!D8),2,0),0),0),0)</f>
        <v>2</v>
      </c>
      <c r="G9" s="34">
        <f>IFERROR(IF(AND(ISNUMBER('Real results'!C8),ISNUMBER('Real results'!D8),ISNUMBER('Raw data'!G8),ISNUMBER('Raw data'!H8)),IF(SIGN('Raw data'!G8-'Raw data'!H8)=SIGN('Real results'!C8-'Real results'!D8),2+IF(AND('Raw data'!G8='Real results'!C8,'Raw data'!H8='Real results'!D8),2,0),0),0),0)</f>
        <v>0</v>
      </c>
      <c r="I9" s="34">
        <f>IFERROR(IF(AND(ISNUMBER('Real results'!C8),ISNUMBER('Real results'!D8),ISNUMBER('Raw data'!I8),ISNUMBER('Raw data'!J8)),IF(SIGN('Raw data'!I8-'Raw data'!J8)=SIGN('Real results'!C8-'Real results'!D8),2+IF(AND('Raw data'!I8='Real results'!C8,'Raw data'!J8='Real results'!D8),2,0),0),0),0)</f>
        <v>4</v>
      </c>
      <c r="K9" s="34">
        <f>IFERROR(IF(AND(ISNUMBER('Real results'!C8),ISNUMBER('Real results'!D8),ISNUMBER('Raw data'!K8),ISNUMBER('Raw data'!L8)),IF(SIGN('Raw data'!K8-'Raw data'!L8)=SIGN('Real results'!C8-'Real results'!D8),2+IF(AND('Raw data'!K8='Real results'!C8,'Raw data'!L8='Real results'!D8),2,0),0),0),0)</f>
        <v>4</v>
      </c>
      <c r="M9" s="34">
        <f>IFERROR(IF(AND(ISNUMBER('Real results'!C8),ISNUMBER('Real results'!D8),ISNUMBER('Raw data'!M8),ISNUMBER('Raw data'!N8)),IF(SIGN('Raw data'!M8-'Raw data'!N8)=SIGN('Real results'!C8-'Real results'!D8),2+IF(AND('Raw data'!M8='Real results'!C8,'Raw data'!N8='Real results'!D8),2,0),0),0),0)</f>
        <v>0</v>
      </c>
      <c r="O9" s="34">
        <f>IFERROR(IF(AND(ISNUMBER('Real results'!C8),ISNUMBER('Real results'!D8),ISNUMBER('Raw data'!O8),ISNUMBER('Raw data'!P8)),IF(SIGN('Raw data'!O8-'Raw data'!P8)=SIGN('Real results'!C8-'Real results'!D8),2+IF(AND('Raw data'!O8='Real results'!C8,'Raw data'!P8='Real results'!D8),2,0),0),0),0)</f>
        <v>0</v>
      </c>
      <c r="Q9" s="34">
        <f>IFERROR(IF(AND(ISNUMBER('Real results'!C8),ISNUMBER('Real results'!D8),ISNUMBER('Raw data'!Q8),ISNUMBER('Raw data'!R8)),IF(SIGN('Raw data'!Q8-'Raw data'!R8)=SIGN('Real results'!C8-'Real results'!D8),2+IF(AND('Raw data'!Q8='Real results'!C8,'Raw data'!R8='Real results'!D8),2,0),0),0),0)</f>
        <v>0</v>
      </c>
      <c r="S9" s="34">
        <f>IFERROR(IF(AND(ISNUMBER('Real results'!C8),ISNUMBER('Real results'!D8),ISNUMBER('Raw data'!S8),ISNUMBER('Raw data'!T8)),IF(SIGN('Raw data'!S8-'Raw data'!T8)=SIGN('Real results'!C8-'Real results'!D8),2+IF(AND('Raw data'!S8='Real results'!C8,'Raw data'!T8='Real results'!D8),2,0),0),0),0)</f>
        <v>0</v>
      </c>
      <c r="U9" s="34">
        <f>IFERROR(IF(AND(ISNUMBER('Real results'!C8),ISNUMBER('Real results'!D8),ISNUMBER('Raw data'!U8),ISNUMBER('Raw data'!V8)),IF(SIGN('Raw data'!U8-'Raw data'!V8)=SIGN('Real results'!C8-'Real results'!D8),2+IF(AND('Raw data'!U8='Real results'!C8,'Raw data'!V8='Real results'!D8),2,0),0),0),0)</f>
        <v>0</v>
      </c>
      <c r="W9" s="34">
        <f>IFERROR(IF(AND(ISNUMBER('Real results'!C8),ISNUMBER('Real results'!D8),ISNUMBER('Raw data'!W8),ISNUMBER('Raw data'!X8)),IF(SIGN('Raw data'!W8-'Raw data'!X8)=SIGN('Real results'!C8-'Real results'!D8),2+IF(AND('Raw data'!W8='Real results'!C8,'Raw data'!X8='Real results'!D8),2,0),0),0),0)</f>
        <v>0</v>
      </c>
      <c r="Y9" s="34">
        <f>IFERROR(IF(AND(ISNUMBER('Real results'!C8),ISNUMBER('Real results'!D8),ISNUMBER('Raw data'!Y8),ISNUMBER('Raw data'!Z8)),IF(SIGN('Raw data'!Y8-'Raw data'!Z8)=SIGN('Real results'!C8-'Real results'!D8),2+IF(AND('Raw data'!Y8='Real results'!C8,'Raw data'!Z8='Real results'!D8),2,0),0),0),0)</f>
        <v>0</v>
      </c>
      <c r="AA9" s="34">
        <f>IFERROR(IF(AND(ISNUMBER('Real results'!C8),ISNUMBER('Real results'!D8),ISNUMBER('Raw data'!AA8),ISNUMBER('Raw data'!AB8)),IF(SIGN('Raw data'!AA8-'Raw data'!AB8)=SIGN('Real results'!C8-'Real results'!D8),2+IF(AND('Raw data'!AA8='Real results'!C8,'Raw data'!AB8='Real results'!D8),2,0),0),0),0)</f>
        <v>0</v>
      </c>
      <c r="AC9" s="34">
        <f>IFERROR(IF(AND(ISNUMBER('Real results'!C8),ISNUMBER('Real results'!D8),ISNUMBER('Raw data'!AC8),ISNUMBER('Raw data'!AD8)),IF(SIGN('Raw data'!AC8-'Raw data'!AD8)=SIGN('Real results'!C8-'Real results'!D8),2+IF(AND('Raw data'!AC8='Real results'!C8,'Raw data'!AD8='Real results'!D8),2,0),0),0),0)</f>
        <v>0</v>
      </c>
      <c r="AE9" s="34">
        <f>IFERROR(IF(AND(ISNUMBER('Real results'!C8),ISNUMBER('Real results'!D8),ISNUMBER('Raw data'!AE8),ISNUMBER('Raw data'!AF8)),IF(SIGN('Raw data'!AE8-'Raw data'!AF8)=SIGN('Real results'!C8-'Real results'!D8),2+IF(AND('Raw data'!AE8='Real results'!C8,'Raw data'!AF8='Real results'!D8),2,0),0),0),0)</f>
        <v>0</v>
      </c>
      <c r="AG9" s="34">
        <f>IFERROR(IF(AND(ISNUMBER('Real results'!C8),ISNUMBER('Real results'!D8),ISNUMBER('Raw data'!AG8),ISNUMBER('Raw data'!AH8)),IF(SIGN('Raw data'!AG8-'Raw data'!AH8)=SIGN('Real results'!C8-'Real results'!D8),2+IF(AND('Raw data'!AG8='Real results'!C8,'Raw data'!AH8='Real results'!D8),2,0),0),0),0)</f>
        <v>0</v>
      </c>
      <c r="AI9" s="34">
        <f>IFERROR(IF(AND(ISNUMBER('Real results'!C8),ISNUMBER('Real results'!D8),ISNUMBER('Raw data'!AI8),ISNUMBER('Raw data'!AJ8)),IF(SIGN('Raw data'!AI8-'Raw data'!AJ8)=SIGN('Real results'!C8-'Real results'!D8),2+IF(AND('Raw data'!AI8='Real results'!C8,'Raw data'!AJ8='Real results'!D8),2,0),0),0),0)</f>
        <v>0</v>
      </c>
      <c r="AK9" s="34">
        <f>IFERROR(IF(AND(ISNUMBER('Real results'!C8),ISNUMBER('Real results'!D8),ISNUMBER('Raw data'!AK8),ISNUMBER('Raw data'!AL8)),IF(SIGN('Raw data'!AK8-'Raw data'!AL8)=SIGN('Real results'!C8-'Real results'!D8),2+IF(AND('Raw data'!AK8='Real results'!C8,'Raw data'!AL8='Real results'!D8),2,0),0),0),0)</f>
        <v>0</v>
      </c>
      <c r="AM9" s="34">
        <f>IFERROR(IF(AND(ISNUMBER('Real results'!C8),ISNUMBER('Real results'!D8),ISNUMBER('Raw data'!AM8),ISNUMBER('Raw data'!AN8)),IF(SIGN('Raw data'!AM8-'Raw data'!AN8)=SIGN('Real results'!C8-'Real results'!D8),2+IF(AND('Raw data'!AM8='Real results'!C8,'Raw data'!AN8='Real results'!D8),2,0),0),0),0)</f>
        <v>0</v>
      </c>
      <c r="AO9" s="34">
        <f>IFERROR(IF(AND(ISNUMBER('Real results'!C8),ISNUMBER('Real results'!D8),ISNUMBER('Raw data'!AO8),ISNUMBER('Raw data'!AP8)),IF(SIGN('Raw data'!AO8-'Raw data'!AP8)=SIGN('Real results'!C8-'Real results'!D8),2+IF(AND('Raw data'!AO8='Real results'!C8,'Raw data'!AP8='Real results'!D8),2,0),0),0),0)</f>
        <v>0</v>
      </c>
      <c r="AQ9" s="34">
        <f>IFERROR(IF(AND(ISNUMBER('Real results'!C8),ISNUMBER('Real results'!D8),ISNUMBER('Raw data'!AQ8),ISNUMBER('Raw data'!AR8)),IF(SIGN('Raw data'!AQ8-'Raw data'!AR8)=SIGN('Real results'!C8-'Real results'!D8),2+IF(AND('Raw data'!AQ8='Real results'!C8,'Raw data'!AR8='Real results'!D8),2,0),0),0),0)</f>
        <v>0</v>
      </c>
      <c r="AS9" s="34">
        <f>IFERROR(IF(AND(ISNUMBER('Real results'!C8),ISNUMBER('Real results'!D8),ISNUMBER('Raw data'!AS8),ISNUMBER('Raw data'!AT8)),IF(SIGN('Raw data'!AS8-'Raw data'!AT8)=SIGN('Real results'!C8-'Real results'!D8),2+IF(AND('Raw data'!AS8='Real results'!C8,'Raw data'!AT8='Real results'!D8),2,0),0),0),0)</f>
        <v>0</v>
      </c>
      <c r="AU9" s="34">
        <f>IFERROR(IF(AND(ISNUMBER('Real results'!C8),ISNUMBER('Real results'!D8),ISNUMBER('Raw data'!AU8),ISNUMBER('Raw data'!AV8)),IF(SIGN('Raw data'!AU8-'Raw data'!AV8)=SIGN('Real results'!C8-'Real results'!D8),2+IF(AND('Raw data'!AU8='Real results'!C8,'Raw data'!AV8='Real results'!D8),2,0),0),0),0)</f>
        <v>0</v>
      </c>
      <c r="AW9" s="34">
        <f>IFERROR(IF(AND(ISNUMBER('Real results'!C8),ISNUMBER('Real results'!D8),ISNUMBER('Raw data'!AW8),ISNUMBER('Raw data'!AX8)),IF(SIGN('Raw data'!AW8-'Raw data'!AX8)=SIGN('Real results'!C8-'Real results'!D8),2+IF(AND('Raw data'!AW8='Real results'!C8,'Raw data'!AX8='Real results'!D8),2,0),0),0),0)</f>
        <v>0</v>
      </c>
      <c r="AY9" s="34">
        <f>IFERROR(IF(AND(ISNUMBER('Real results'!C8),ISNUMBER('Real results'!D8),ISNUMBER('Raw data'!AY8),ISNUMBER('Raw data'!AZ8)),IF(SIGN('Raw data'!AY8-'Raw data'!AZ8)=SIGN('Real results'!C8-'Real results'!D8),2+IF(AND('Raw data'!AY8='Real results'!C8,'Raw data'!AZ8='Real results'!D8),2,0),0),0),0)</f>
        <v>0</v>
      </c>
      <c r="BA9" s="34">
        <f>IFERROR(IF(AND(ISNUMBER('Real results'!C8),ISNUMBER('Real results'!D8),ISNUMBER('Raw data'!BA8),ISNUMBER('Raw data'!BB8)),IF(SIGN('Raw data'!BA8-'Raw data'!BB8)=SIGN('Real results'!C8-'Real results'!D8),2+IF(AND('Raw data'!BA8='Real results'!C8,'Raw data'!BB8='Real results'!D8),2,0),0),0),0)</f>
        <v>0</v>
      </c>
      <c r="BC9" s="34">
        <f>IFERROR(IF(AND(ISNUMBER('Real results'!C8),ISNUMBER('Real results'!D8),ISNUMBER('Raw data'!BC8),ISNUMBER('Raw data'!BD8)),IF(SIGN('Raw data'!BC8-'Raw data'!BD8)=SIGN('Real results'!C8-'Real results'!D8),2+IF(AND('Raw data'!BC8='Real results'!C8,'Raw data'!BD8='Real results'!D8),2,0),0),0),0)</f>
        <v>0</v>
      </c>
      <c r="BE9" s="34">
        <f>IFERROR(IF(AND(ISNUMBER('Real results'!C8),ISNUMBER('Real results'!D8),ISNUMBER('Raw data'!BE8),ISNUMBER('Raw data'!BF8)),IF(SIGN('Raw data'!BE8-'Raw data'!BF8)=SIGN('Real results'!C8-'Real results'!D8),2+IF(AND('Raw data'!BE8='Real results'!C8,'Raw data'!BF8='Real results'!D8),2,0),0),0),0)</f>
        <v>0</v>
      </c>
      <c r="BG9" s="34">
        <f>IFERROR(IF(AND(ISNUMBER('Real results'!C8),ISNUMBER('Real results'!D8),ISNUMBER('Raw data'!BG8),ISNUMBER('Raw data'!BH8)),IF(SIGN('Raw data'!BG8-'Raw data'!BH8)=SIGN('Real results'!C8-'Real results'!D8),2+IF(AND('Raw data'!BG8='Real results'!C8,'Raw data'!BH8='Real results'!D8),2,0),0),0),0)</f>
        <v>0</v>
      </c>
      <c r="BI9" s="34">
        <f>IFERROR(IF(AND(ISNUMBER('Real results'!C8),ISNUMBER('Real results'!D8),ISNUMBER('Raw data'!BI8),ISNUMBER('Raw data'!BJ8)),IF(SIGN('Raw data'!BI8-'Raw data'!BJ8)=SIGN('Real results'!C8-'Real results'!D8),2+IF(AND('Raw data'!BI8='Real results'!C8,'Raw data'!BJ8='Real results'!D8),2,0),0),0),0)</f>
        <v>0</v>
      </c>
    </row>
    <row r="10" ht="18.0" customHeight="1">
      <c r="B10" s="12" t="s">
        <v>30</v>
      </c>
      <c r="C10" s="34">
        <f>IFERROR(IF(AND(ISNUMBER('Real results'!C9),ISNUMBER('Real results'!D9),ISNUMBER('Raw data'!C7),ISNUMBER('Raw data'!D7)),IF(SIGN('Raw data'!C7-'Raw data'!D7)=SIGN('Real results'!C9-'Real results'!D9),2+IF(AND('Raw data'!C7='Real results'!C9,'Raw data'!D7='Real results'!D9),2,0),0),0),0)</f>
        <v>0</v>
      </c>
      <c r="E10" s="34">
        <f>IFERROR(IF(AND(ISNUMBER('Real results'!C9),ISNUMBER('Real results'!D9),ISNUMBER('Raw data'!E8),ISNUMBER('Raw data'!F8)),IF(SIGN('Raw data'!E8-'Raw data'!F8)=SIGN('Real results'!C9-'Real results'!D9),2+IF(AND('Raw data'!E8='Real results'!C9,'Raw data'!F8='Real results'!D9),2,0),0),0),0)</f>
        <v>4</v>
      </c>
      <c r="G10" s="34">
        <f>IFERROR(IF(AND(ISNUMBER('Real results'!C9),ISNUMBER('Real results'!D9),ISNUMBER('Raw data'!G9),ISNUMBER('Raw data'!H9)),IF(SIGN('Raw data'!G9-'Raw data'!H9)=SIGN('Real results'!C9-'Real results'!D9),2+IF(AND('Raw data'!G9='Real results'!C9,'Raw data'!H9='Real results'!D9),2,0),0),0),0)</f>
        <v>0</v>
      </c>
      <c r="I10" s="34">
        <f>IFERROR(IF(AND(ISNUMBER('Real results'!C9),ISNUMBER('Real results'!D9),ISNUMBER('Raw data'!I9),ISNUMBER('Raw data'!J9)),IF(SIGN('Raw data'!I9-'Raw data'!J9)=SIGN('Real results'!C9-'Real results'!D9),2+IF(AND('Raw data'!I9='Real results'!C9,'Raw data'!J9='Real results'!D9),2,0),0),0),0)</f>
        <v>0</v>
      </c>
      <c r="K10" s="34">
        <f>IFERROR(IF(AND(ISNUMBER('Real results'!C9),ISNUMBER('Real results'!D9),ISNUMBER('Raw data'!K9),ISNUMBER('Raw data'!L9)),IF(SIGN('Raw data'!K9-'Raw data'!L9)=SIGN('Real results'!C9-'Real results'!D9),2+IF(AND('Raw data'!K9='Real results'!C9,'Raw data'!L9='Real results'!D9),2,0),0),0),0)</f>
        <v>0</v>
      </c>
      <c r="M10" s="34">
        <f>IFERROR(IF(AND(ISNUMBER('Real results'!C9),ISNUMBER('Real results'!D9),ISNUMBER('Raw data'!M9),ISNUMBER('Raw data'!N9)),IF(SIGN('Raw data'!M9-'Raw data'!N9)=SIGN('Real results'!C9-'Real results'!D9),2+IF(AND('Raw data'!M9='Real results'!C9,'Raw data'!N9='Real results'!D9),2,0),0),0),0)</f>
        <v>0</v>
      </c>
      <c r="O10" s="34">
        <f>IFERROR(IF(AND(ISNUMBER('Real results'!C9),ISNUMBER('Real results'!D9),ISNUMBER('Raw data'!O9),ISNUMBER('Raw data'!P9)),IF(SIGN('Raw data'!O9-'Raw data'!P9)=SIGN('Real results'!C9-'Real results'!D9),2+IF(AND('Raw data'!O9='Real results'!C9,'Raw data'!P9='Real results'!D9),2,0),0),0),0)</f>
        <v>0</v>
      </c>
      <c r="Q10" s="34">
        <f>IFERROR(IF(AND(ISNUMBER('Real results'!C9),ISNUMBER('Real results'!D9),ISNUMBER('Raw data'!Q9),ISNUMBER('Raw data'!R9)),IF(SIGN('Raw data'!Q9-'Raw data'!R9)=SIGN('Real results'!C9-'Real results'!D9),2+IF(AND('Raw data'!Q9='Real results'!C9,'Raw data'!R9='Real results'!D9),2,0),0),0),0)</f>
        <v>0</v>
      </c>
      <c r="S10" s="34">
        <f>IFERROR(IF(AND(ISNUMBER('Real results'!C9),ISNUMBER('Real results'!D9),ISNUMBER('Raw data'!S9),ISNUMBER('Raw data'!T9)),IF(SIGN('Raw data'!S9-'Raw data'!T9)=SIGN('Real results'!C9-'Real results'!D9),2+IF(AND('Raw data'!S9='Real results'!C9,'Raw data'!T9='Real results'!D9),2,0),0),0),0)</f>
        <v>0</v>
      </c>
      <c r="U10" s="34">
        <f>IFERROR(IF(AND(ISNUMBER('Real results'!C9),ISNUMBER('Real results'!D9),ISNUMBER('Raw data'!U9),ISNUMBER('Raw data'!V9)),IF(SIGN('Raw data'!U9-'Raw data'!V9)=SIGN('Real results'!C9-'Real results'!D9),2+IF(AND('Raw data'!U9='Real results'!C9,'Raw data'!V9='Real results'!D9),2,0),0),0),0)</f>
        <v>0</v>
      </c>
      <c r="W10" s="34">
        <f>IFERROR(IF(AND(ISNUMBER('Real results'!C9),ISNUMBER('Real results'!D9),ISNUMBER('Raw data'!W9),ISNUMBER('Raw data'!X9)),IF(SIGN('Raw data'!W9-'Raw data'!X9)=SIGN('Real results'!C9-'Real results'!D9),2+IF(AND('Raw data'!W9='Real results'!C9,'Raw data'!X9='Real results'!D9),2,0),0),0),0)</f>
        <v>0</v>
      </c>
      <c r="Y10" s="34">
        <f>IFERROR(IF(AND(ISNUMBER('Real results'!C9),ISNUMBER('Real results'!D9),ISNUMBER('Raw data'!Y9),ISNUMBER('Raw data'!Z9)),IF(SIGN('Raw data'!Y9-'Raw data'!Z9)=SIGN('Real results'!C9-'Real results'!D9),2+IF(AND('Raw data'!Y9='Real results'!C9,'Raw data'!Z9='Real results'!D9),2,0),0),0),0)</f>
        <v>0</v>
      </c>
      <c r="AA10" s="34">
        <f>IFERROR(IF(AND(ISNUMBER('Real results'!C9),ISNUMBER('Real results'!D9),ISNUMBER('Raw data'!AA9),ISNUMBER('Raw data'!AB9)),IF(SIGN('Raw data'!AA9-'Raw data'!AB9)=SIGN('Real results'!C9-'Real results'!D9),2+IF(AND('Raw data'!AA9='Real results'!C9,'Raw data'!AB9='Real results'!D9),2,0),0),0),0)</f>
        <v>0</v>
      </c>
      <c r="AC10" s="34">
        <f>IFERROR(IF(AND(ISNUMBER('Real results'!C9),ISNUMBER('Real results'!D9),ISNUMBER('Raw data'!AC9),ISNUMBER('Raw data'!AD9)),IF(SIGN('Raw data'!AC9-'Raw data'!AD9)=SIGN('Real results'!C9-'Real results'!D9),2+IF(AND('Raw data'!AC9='Real results'!C9,'Raw data'!AD9='Real results'!D9),2,0),0),0),0)</f>
        <v>0</v>
      </c>
      <c r="AE10" s="34">
        <f>IFERROR(IF(AND(ISNUMBER('Real results'!C9),ISNUMBER('Real results'!D9),ISNUMBER('Raw data'!AE9),ISNUMBER('Raw data'!AF9)),IF(SIGN('Raw data'!AE9-'Raw data'!AF9)=SIGN('Real results'!C9-'Real results'!D9),2+IF(AND('Raw data'!AE9='Real results'!C9,'Raw data'!AF9='Real results'!D9),2,0),0),0),0)</f>
        <v>0</v>
      </c>
      <c r="AG10" s="34">
        <f>IFERROR(IF(AND(ISNUMBER('Real results'!C9),ISNUMBER('Real results'!D9),ISNUMBER('Raw data'!AG9),ISNUMBER('Raw data'!AH9)),IF(SIGN('Raw data'!AG9-'Raw data'!AH9)=SIGN('Real results'!C9-'Real results'!D9),2+IF(AND('Raw data'!AG9='Real results'!C9,'Raw data'!AH9='Real results'!D9),2,0),0),0),0)</f>
        <v>0</v>
      </c>
      <c r="AI10" s="34">
        <f>IFERROR(IF(AND(ISNUMBER('Real results'!C9),ISNUMBER('Real results'!D9),ISNUMBER('Raw data'!AI9),ISNUMBER('Raw data'!AJ9)),IF(SIGN('Raw data'!AI9-'Raw data'!AJ9)=SIGN('Real results'!C9-'Real results'!D9),2+IF(AND('Raw data'!AI9='Real results'!C9,'Raw data'!AJ9='Real results'!D9),2,0),0),0),0)</f>
        <v>0</v>
      </c>
      <c r="AK10" s="34">
        <f>IFERROR(IF(AND(ISNUMBER('Real results'!C9),ISNUMBER('Real results'!D9),ISNUMBER('Raw data'!AK9),ISNUMBER('Raw data'!AL9)),IF(SIGN('Raw data'!AK9-'Raw data'!AL9)=SIGN('Real results'!C9-'Real results'!D9),2+IF(AND('Raw data'!AK9='Real results'!C9,'Raw data'!AL9='Real results'!D9),2,0),0),0),0)</f>
        <v>0</v>
      </c>
      <c r="AM10" s="34">
        <f>IFERROR(IF(AND(ISNUMBER('Real results'!C9),ISNUMBER('Real results'!D9),ISNUMBER('Raw data'!AM9),ISNUMBER('Raw data'!AN9)),IF(SIGN('Raw data'!AM9-'Raw data'!AN9)=SIGN('Real results'!C9-'Real results'!D9),2+IF(AND('Raw data'!AM9='Real results'!C9,'Raw data'!AN9='Real results'!D9),2,0),0),0),0)</f>
        <v>0</v>
      </c>
      <c r="AO10" s="34">
        <f>IFERROR(IF(AND(ISNUMBER('Real results'!C9),ISNUMBER('Real results'!D9),ISNUMBER('Raw data'!AO9),ISNUMBER('Raw data'!AP9)),IF(SIGN('Raw data'!AO9-'Raw data'!AP9)=SIGN('Real results'!C9-'Real results'!D9),2+IF(AND('Raw data'!AO9='Real results'!C9,'Raw data'!AP9='Real results'!D9),2,0),0),0),0)</f>
        <v>0</v>
      </c>
      <c r="AQ10" s="34">
        <f>IFERROR(IF(AND(ISNUMBER('Real results'!C9),ISNUMBER('Real results'!D9),ISNUMBER('Raw data'!AQ9),ISNUMBER('Raw data'!AR9)),IF(SIGN('Raw data'!AQ9-'Raw data'!AR9)=SIGN('Real results'!C9-'Real results'!D9),2+IF(AND('Raw data'!AQ9='Real results'!C9,'Raw data'!AR9='Real results'!D9),2,0),0),0),0)</f>
        <v>0</v>
      </c>
      <c r="AS10" s="34">
        <f>IFERROR(IF(AND(ISNUMBER('Real results'!C9),ISNUMBER('Real results'!D9),ISNUMBER('Raw data'!AS9),ISNUMBER('Raw data'!AT9)),IF(SIGN('Raw data'!AS9-'Raw data'!AT9)=SIGN('Real results'!C9-'Real results'!D9),2+IF(AND('Raw data'!AS9='Real results'!C9,'Raw data'!AT9='Real results'!D9),2,0),0),0),0)</f>
        <v>0</v>
      </c>
      <c r="AU10" s="34">
        <f>IFERROR(IF(AND(ISNUMBER('Real results'!C9),ISNUMBER('Real results'!D9),ISNUMBER('Raw data'!AU9),ISNUMBER('Raw data'!AV9)),IF(SIGN('Raw data'!AU9-'Raw data'!AV9)=SIGN('Real results'!C9-'Real results'!D9),2+IF(AND('Raw data'!AU9='Real results'!C9,'Raw data'!AV9='Real results'!D9),2,0),0),0),0)</f>
        <v>0</v>
      </c>
      <c r="AW10" s="34">
        <f>IFERROR(IF(AND(ISNUMBER('Real results'!C9),ISNUMBER('Real results'!D9),ISNUMBER('Raw data'!AW9),ISNUMBER('Raw data'!AX9)),IF(SIGN('Raw data'!AW9-'Raw data'!AX9)=SIGN('Real results'!C9-'Real results'!D9),2+IF(AND('Raw data'!AW9='Real results'!C9,'Raw data'!AX9='Real results'!D9),2,0),0),0),0)</f>
        <v>0</v>
      </c>
      <c r="AY10" s="34">
        <f>IFERROR(IF(AND(ISNUMBER('Real results'!C9),ISNUMBER('Real results'!D9),ISNUMBER('Raw data'!AY9),ISNUMBER('Raw data'!AZ9)),IF(SIGN('Raw data'!AY9-'Raw data'!AZ9)=SIGN('Real results'!C9-'Real results'!D9),2+IF(AND('Raw data'!AY9='Real results'!C9,'Raw data'!AZ9='Real results'!D9),2,0),0),0),0)</f>
        <v>0</v>
      </c>
      <c r="BA10" s="34">
        <f>IFERROR(IF(AND(ISNUMBER('Real results'!C9),ISNUMBER('Real results'!D9),ISNUMBER('Raw data'!BA9),ISNUMBER('Raw data'!BB9)),IF(SIGN('Raw data'!BA9-'Raw data'!BB9)=SIGN('Real results'!C9-'Real results'!D9),2+IF(AND('Raw data'!BA9='Real results'!C9,'Raw data'!BB9='Real results'!D9),2,0),0),0),0)</f>
        <v>0</v>
      </c>
      <c r="BC10" s="34">
        <f>IFERROR(IF(AND(ISNUMBER('Real results'!C9),ISNUMBER('Real results'!D9),ISNUMBER('Raw data'!BC9),ISNUMBER('Raw data'!BD9)),IF(SIGN('Raw data'!BC9-'Raw data'!BD9)=SIGN('Real results'!C9-'Real results'!D9),2+IF(AND('Raw data'!BC9='Real results'!C9,'Raw data'!BD9='Real results'!D9),2,0),0),0),0)</f>
        <v>0</v>
      </c>
      <c r="BE10" s="34">
        <f>IFERROR(IF(AND(ISNUMBER('Real results'!C9),ISNUMBER('Real results'!D9),ISNUMBER('Raw data'!BE9),ISNUMBER('Raw data'!BF9)),IF(SIGN('Raw data'!BE9-'Raw data'!BF9)=SIGN('Real results'!C9-'Real results'!D9),2+IF(AND('Raw data'!BE9='Real results'!C9,'Raw data'!BF9='Real results'!D9),2,0),0),0),0)</f>
        <v>0</v>
      </c>
      <c r="BG10" s="34">
        <f>IFERROR(IF(AND(ISNUMBER('Real results'!C9),ISNUMBER('Real results'!D9),ISNUMBER('Raw data'!BG9),ISNUMBER('Raw data'!BH9)),IF(SIGN('Raw data'!BG9-'Raw data'!BH9)=SIGN('Real results'!C9-'Real results'!D9),2+IF(AND('Raw data'!BG9='Real results'!C9,'Raw data'!BH9='Real results'!D9),2,0),0),0),0)</f>
        <v>0</v>
      </c>
      <c r="BI10" s="34">
        <f>IFERROR(IF(AND(ISNUMBER('Real results'!C9),ISNUMBER('Real results'!D9),ISNUMBER('Raw data'!BI9),ISNUMBER('Raw data'!BJ9)),IF(SIGN('Raw data'!BI9-'Raw data'!BJ9)=SIGN('Real results'!C9-'Real results'!D9),2+IF(AND('Raw data'!BI9='Real results'!C9,'Raw data'!BJ9='Real results'!D9),2,0),0),0),0)</f>
        <v>0</v>
      </c>
    </row>
    <row r="11" ht="18.0" customHeight="1">
      <c r="B11" s="12" t="s">
        <v>31</v>
      </c>
      <c r="C11" s="34">
        <f>IFERROR(IF(AND(ISNUMBER('Real results'!C10),ISNUMBER('Real results'!D10),ISNUMBER('Raw data'!C8),ISNUMBER('Raw data'!D8)),IF(SIGN('Raw data'!C8-'Raw data'!D8)=SIGN('Real results'!C10-'Real results'!D10),2+IF(AND('Raw data'!C8='Real results'!C10,'Raw data'!D8='Real results'!D10),2,0),0),0),0)</f>
        <v>0</v>
      </c>
      <c r="E11" s="34">
        <f>IFERROR(IF(AND(ISNUMBER('Real results'!C10),ISNUMBER('Real results'!D10),ISNUMBER('Raw data'!E9),ISNUMBER('Raw data'!F9)),IF(SIGN('Raw data'!E9-'Raw data'!F9)=SIGN('Real results'!C10-'Real results'!D10),2+IF(AND('Raw data'!E9='Real results'!C10,'Raw data'!F9='Real results'!D10),2,0),0),0),0)</f>
        <v>4</v>
      </c>
      <c r="G11" s="34">
        <f>IFERROR(IF(AND(ISNUMBER('Real results'!C10),ISNUMBER('Real results'!D10),ISNUMBER('Raw data'!G10),ISNUMBER('Raw data'!H10)),IF(SIGN('Raw data'!G10-'Raw data'!H10)=SIGN('Real results'!C10-'Real results'!D10),2+IF(AND('Raw data'!G10='Real results'!C10,'Raw data'!H10='Real results'!D10),2,0),0),0),0)</f>
        <v>2</v>
      </c>
      <c r="I11" s="34">
        <f>IFERROR(IF(AND(ISNUMBER('Real results'!C10),ISNUMBER('Real results'!D10),ISNUMBER('Raw data'!I10),ISNUMBER('Raw data'!J10)),IF(SIGN('Raw data'!I10-'Raw data'!J10)=SIGN('Real results'!C10-'Real results'!D10),2+IF(AND('Raw data'!I10='Real results'!C10,'Raw data'!J10='Real results'!D10),2,0),0),0),0)</f>
        <v>0</v>
      </c>
      <c r="K11" s="34">
        <f>IFERROR(IF(AND(ISNUMBER('Real results'!C10),ISNUMBER('Real results'!D10),ISNUMBER('Raw data'!K10),ISNUMBER('Raw data'!L10)),IF(SIGN('Raw data'!K10-'Raw data'!L10)=SIGN('Real results'!C10-'Real results'!D10),2+IF(AND('Raw data'!K10='Real results'!C10,'Raw data'!L10='Real results'!D10),2,0),0),0),0)</f>
        <v>2</v>
      </c>
      <c r="M11" s="34">
        <f>IFERROR(IF(AND(ISNUMBER('Real results'!C10),ISNUMBER('Real results'!D10),ISNUMBER('Raw data'!M10),ISNUMBER('Raw data'!N10)),IF(SIGN('Raw data'!M10-'Raw data'!N10)=SIGN('Real results'!C10-'Real results'!D10),2+IF(AND('Raw data'!M10='Real results'!C10,'Raw data'!N10='Real results'!D10),2,0),0),0),0)</f>
        <v>0</v>
      </c>
      <c r="O11" s="34">
        <f>IFERROR(IF(AND(ISNUMBER('Real results'!C10),ISNUMBER('Real results'!D10),ISNUMBER('Raw data'!O10),ISNUMBER('Raw data'!P10)),IF(SIGN('Raw data'!O10-'Raw data'!P10)=SIGN('Real results'!C10-'Real results'!D10),2+IF(AND('Raw data'!O10='Real results'!C10,'Raw data'!P10='Real results'!D10),2,0),0),0),0)</f>
        <v>0</v>
      </c>
      <c r="Q11" s="34">
        <f>IFERROR(IF(AND(ISNUMBER('Real results'!C10),ISNUMBER('Real results'!D10),ISNUMBER('Raw data'!Q10),ISNUMBER('Raw data'!R10)),IF(SIGN('Raw data'!Q10-'Raw data'!R10)=SIGN('Real results'!C10-'Real results'!D10),2+IF(AND('Raw data'!Q10='Real results'!C10,'Raw data'!R10='Real results'!D10),2,0),0),0),0)</f>
        <v>0</v>
      </c>
      <c r="S11" s="34">
        <f>IFERROR(IF(AND(ISNUMBER('Real results'!C10),ISNUMBER('Real results'!D10),ISNUMBER('Raw data'!S10),ISNUMBER('Raw data'!T10)),IF(SIGN('Raw data'!S10-'Raw data'!T10)=SIGN('Real results'!C10-'Real results'!D10),2+IF(AND('Raw data'!S10='Real results'!C10,'Raw data'!T10='Real results'!D10),2,0),0),0),0)</f>
        <v>0</v>
      </c>
      <c r="U11" s="34">
        <f>IFERROR(IF(AND(ISNUMBER('Real results'!C10),ISNUMBER('Real results'!D10),ISNUMBER('Raw data'!U10),ISNUMBER('Raw data'!V10)),IF(SIGN('Raw data'!U10-'Raw data'!V10)=SIGN('Real results'!C10-'Real results'!D10),2+IF(AND('Raw data'!U10='Real results'!C10,'Raw data'!V10='Real results'!D10),2,0),0),0),0)</f>
        <v>0</v>
      </c>
      <c r="W11" s="34">
        <f>IFERROR(IF(AND(ISNUMBER('Real results'!C10),ISNUMBER('Real results'!D10),ISNUMBER('Raw data'!W10),ISNUMBER('Raw data'!X10)),IF(SIGN('Raw data'!W10-'Raw data'!X10)=SIGN('Real results'!C10-'Real results'!D10),2+IF(AND('Raw data'!W10='Real results'!C10,'Raw data'!X10='Real results'!D10),2,0),0),0),0)</f>
        <v>0</v>
      </c>
      <c r="Y11" s="34">
        <f>IFERROR(IF(AND(ISNUMBER('Real results'!C10),ISNUMBER('Real results'!D10),ISNUMBER('Raw data'!Y10),ISNUMBER('Raw data'!Z10)),IF(SIGN('Raw data'!Y10-'Raw data'!Z10)=SIGN('Real results'!C10-'Real results'!D10),2+IF(AND('Raw data'!Y10='Real results'!C10,'Raw data'!Z10='Real results'!D10),2,0),0),0),0)</f>
        <v>0</v>
      </c>
      <c r="AA11" s="34">
        <f>IFERROR(IF(AND(ISNUMBER('Real results'!C10),ISNUMBER('Real results'!D10),ISNUMBER('Raw data'!AA10),ISNUMBER('Raw data'!AB10)),IF(SIGN('Raw data'!AA10-'Raw data'!AB10)=SIGN('Real results'!C10-'Real results'!D10),2+IF(AND('Raw data'!AA10='Real results'!C10,'Raw data'!AB10='Real results'!D10),2,0),0),0),0)</f>
        <v>0</v>
      </c>
      <c r="AC11" s="34">
        <f>IFERROR(IF(AND(ISNUMBER('Real results'!C10),ISNUMBER('Real results'!D10),ISNUMBER('Raw data'!AC10),ISNUMBER('Raw data'!AD10)),IF(SIGN('Raw data'!AC10-'Raw data'!AD10)=SIGN('Real results'!C10-'Real results'!D10),2+IF(AND('Raw data'!AC10='Real results'!C10,'Raw data'!AD10='Real results'!D10),2,0),0),0),0)</f>
        <v>0</v>
      </c>
      <c r="AE11" s="34">
        <f>IFERROR(IF(AND(ISNUMBER('Real results'!C10),ISNUMBER('Real results'!D10),ISNUMBER('Raw data'!AE10),ISNUMBER('Raw data'!AF10)),IF(SIGN('Raw data'!AE10-'Raw data'!AF10)=SIGN('Real results'!C10-'Real results'!D10),2+IF(AND('Raw data'!AE10='Real results'!C10,'Raw data'!AF10='Real results'!D10),2,0),0),0),0)</f>
        <v>0</v>
      </c>
      <c r="AG11" s="34">
        <f>IFERROR(IF(AND(ISNUMBER('Real results'!C10),ISNUMBER('Real results'!D10),ISNUMBER('Raw data'!AG10),ISNUMBER('Raw data'!AH10)),IF(SIGN('Raw data'!AG10-'Raw data'!AH10)=SIGN('Real results'!C10-'Real results'!D10),2+IF(AND('Raw data'!AG10='Real results'!C10,'Raw data'!AH10='Real results'!D10),2,0),0),0),0)</f>
        <v>0</v>
      </c>
      <c r="AI11" s="34">
        <f>IFERROR(IF(AND(ISNUMBER('Real results'!C10),ISNUMBER('Real results'!D10),ISNUMBER('Raw data'!AI10),ISNUMBER('Raw data'!AJ10)),IF(SIGN('Raw data'!AI10-'Raw data'!AJ10)=SIGN('Real results'!C10-'Real results'!D10),2+IF(AND('Raw data'!AI10='Real results'!C10,'Raw data'!AJ10='Real results'!D10),2,0),0),0),0)</f>
        <v>0</v>
      </c>
      <c r="AK11" s="34">
        <f>IFERROR(IF(AND(ISNUMBER('Real results'!C10),ISNUMBER('Real results'!D10),ISNUMBER('Raw data'!AK10),ISNUMBER('Raw data'!AL10)),IF(SIGN('Raw data'!AK10-'Raw data'!AL10)=SIGN('Real results'!C10-'Real results'!D10),2+IF(AND('Raw data'!AK10='Real results'!C10,'Raw data'!AL10='Real results'!D10),2,0),0),0),0)</f>
        <v>0</v>
      </c>
      <c r="AM11" s="34">
        <f>IFERROR(IF(AND(ISNUMBER('Real results'!C10),ISNUMBER('Real results'!D10),ISNUMBER('Raw data'!AM10),ISNUMBER('Raw data'!AN10)),IF(SIGN('Raw data'!AM10-'Raw data'!AN10)=SIGN('Real results'!C10-'Real results'!D10),2+IF(AND('Raw data'!AM10='Real results'!C10,'Raw data'!AN10='Real results'!D10),2,0),0),0),0)</f>
        <v>0</v>
      </c>
      <c r="AO11" s="34">
        <f>IFERROR(IF(AND(ISNUMBER('Real results'!C10),ISNUMBER('Real results'!D10),ISNUMBER('Raw data'!AO10),ISNUMBER('Raw data'!AP10)),IF(SIGN('Raw data'!AO10-'Raw data'!AP10)=SIGN('Real results'!C10-'Real results'!D10),2+IF(AND('Raw data'!AO10='Real results'!C10,'Raw data'!AP10='Real results'!D10),2,0),0),0),0)</f>
        <v>0</v>
      </c>
      <c r="AQ11" s="34">
        <f>IFERROR(IF(AND(ISNUMBER('Real results'!C10),ISNUMBER('Real results'!D10),ISNUMBER('Raw data'!AQ10),ISNUMBER('Raw data'!AR10)),IF(SIGN('Raw data'!AQ10-'Raw data'!AR10)=SIGN('Real results'!C10-'Real results'!D10),2+IF(AND('Raw data'!AQ10='Real results'!C10,'Raw data'!AR10='Real results'!D10),2,0),0),0),0)</f>
        <v>0</v>
      </c>
      <c r="AS11" s="34">
        <f>IFERROR(IF(AND(ISNUMBER('Real results'!C10),ISNUMBER('Real results'!D10),ISNUMBER('Raw data'!AS10),ISNUMBER('Raw data'!AT10)),IF(SIGN('Raw data'!AS10-'Raw data'!AT10)=SIGN('Real results'!C10-'Real results'!D10),2+IF(AND('Raw data'!AS10='Real results'!C10,'Raw data'!AT10='Real results'!D10),2,0),0),0),0)</f>
        <v>0</v>
      </c>
      <c r="AU11" s="34">
        <f>IFERROR(IF(AND(ISNUMBER('Real results'!C10),ISNUMBER('Real results'!D10),ISNUMBER('Raw data'!AU10),ISNUMBER('Raw data'!AV10)),IF(SIGN('Raw data'!AU10-'Raw data'!AV10)=SIGN('Real results'!C10-'Real results'!D10),2+IF(AND('Raw data'!AU10='Real results'!C10,'Raw data'!AV10='Real results'!D10),2,0),0),0),0)</f>
        <v>0</v>
      </c>
      <c r="AW11" s="34">
        <f>IFERROR(IF(AND(ISNUMBER('Real results'!C10),ISNUMBER('Real results'!D10),ISNUMBER('Raw data'!AW10),ISNUMBER('Raw data'!AX10)),IF(SIGN('Raw data'!AW10-'Raw data'!AX10)=SIGN('Real results'!C10-'Real results'!D10),2+IF(AND('Raw data'!AW10='Real results'!C10,'Raw data'!AX10='Real results'!D10),2,0),0),0),0)</f>
        <v>0</v>
      </c>
      <c r="AY11" s="34">
        <f>IFERROR(IF(AND(ISNUMBER('Real results'!C10),ISNUMBER('Real results'!D10),ISNUMBER('Raw data'!AY10),ISNUMBER('Raw data'!AZ10)),IF(SIGN('Raw data'!AY10-'Raw data'!AZ10)=SIGN('Real results'!C10-'Real results'!D10),2+IF(AND('Raw data'!AY10='Real results'!C10,'Raw data'!AZ10='Real results'!D10),2,0),0),0),0)</f>
        <v>0</v>
      </c>
      <c r="BA11" s="34">
        <f>IFERROR(IF(AND(ISNUMBER('Real results'!C10),ISNUMBER('Real results'!D10),ISNUMBER('Raw data'!BA10),ISNUMBER('Raw data'!BB10)),IF(SIGN('Raw data'!BA10-'Raw data'!BB10)=SIGN('Real results'!C10-'Real results'!D10),2+IF(AND('Raw data'!BA10='Real results'!C10,'Raw data'!BB10='Real results'!D10),2,0),0),0),0)</f>
        <v>0</v>
      </c>
      <c r="BC11" s="34">
        <f>IFERROR(IF(AND(ISNUMBER('Real results'!C10),ISNUMBER('Real results'!D10),ISNUMBER('Raw data'!BC10),ISNUMBER('Raw data'!BD10)),IF(SIGN('Raw data'!BC10-'Raw data'!BD10)=SIGN('Real results'!C10-'Real results'!D10),2+IF(AND('Raw data'!BC10='Real results'!C10,'Raw data'!BD10='Real results'!D10),2,0),0),0),0)</f>
        <v>0</v>
      </c>
      <c r="BE11" s="34">
        <f>IFERROR(IF(AND(ISNUMBER('Real results'!C10),ISNUMBER('Real results'!D10),ISNUMBER('Raw data'!BE10),ISNUMBER('Raw data'!BF10)),IF(SIGN('Raw data'!BE10-'Raw data'!BF10)=SIGN('Real results'!C10-'Real results'!D10),2+IF(AND('Raw data'!BE10='Real results'!C10,'Raw data'!BF10='Real results'!D10),2,0),0),0),0)</f>
        <v>0</v>
      </c>
      <c r="BG11" s="34">
        <f>IFERROR(IF(AND(ISNUMBER('Real results'!C10),ISNUMBER('Real results'!D10),ISNUMBER('Raw data'!BG10),ISNUMBER('Raw data'!BH10)),IF(SIGN('Raw data'!BG10-'Raw data'!BH10)=SIGN('Real results'!C10-'Real results'!D10),2+IF(AND('Raw data'!BG10='Real results'!C10,'Raw data'!BH10='Real results'!D10),2,0),0),0),0)</f>
        <v>0</v>
      </c>
      <c r="BI11" s="34">
        <f>IFERROR(IF(AND(ISNUMBER('Real results'!C10),ISNUMBER('Real results'!D10),ISNUMBER('Raw data'!BI10),ISNUMBER('Raw data'!BJ10)),IF(SIGN('Raw data'!BI10-'Raw data'!BJ10)=SIGN('Real results'!C10-'Real results'!D10),2+IF(AND('Raw data'!BI10='Real results'!C10,'Raw data'!BJ10='Real results'!D10),2,0),0),0),0)</f>
        <v>0</v>
      </c>
    </row>
    <row r="12" ht="18.0" customHeight="1">
      <c r="B12" s="12" t="s">
        <v>32</v>
      </c>
      <c r="C12" s="34">
        <f>IFERROR(IF(AND(ISNUMBER('Real results'!C11),ISNUMBER('Real results'!D11),ISNUMBER('Raw data'!C9),ISNUMBER('Raw data'!D9)),IF(SIGN('Raw data'!C9-'Raw data'!D9)=SIGN('Real results'!C11-'Real results'!D11),2+IF(AND('Raw data'!C9='Real results'!C11,'Raw data'!D9='Real results'!D11),2,0),0),0),0)</f>
        <v>0</v>
      </c>
      <c r="E12" s="34">
        <f>IFERROR(IF(AND(ISNUMBER('Real results'!C11),ISNUMBER('Real results'!D11),ISNUMBER('Raw data'!E10),ISNUMBER('Raw data'!F10)),IF(SIGN('Raw data'!E10-'Raw data'!F10)=SIGN('Real results'!C11-'Real results'!D11),2+IF(AND('Raw data'!E10='Real results'!C11,'Raw data'!F10='Real results'!D11),2,0),0),0),0)</f>
        <v>0</v>
      </c>
      <c r="G12" s="34">
        <f>IFERROR(IF(AND(ISNUMBER('Real results'!C11),ISNUMBER('Real results'!D11),ISNUMBER('Raw data'!G11),ISNUMBER('Raw data'!H11)),IF(SIGN('Raw data'!G11-'Raw data'!H11)=SIGN('Real results'!C11-'Real results'!D11),2+IF(AND('Raw data'!G11='Real results'!C11,'Raw data'!H11='Real results'!D11),2,0),0),0),0)</f>
        <v>0</v>
      </c>
      <c r="I12" s="34">
        <f>IFERROR(IF(AND(ISNUMBER('Real results'!C11),ISNUMBER('Real results'!D11),ISNUMBER('Raw data'!I11),ISNUMBER('Raw data'!J11)),IF(SIGN('Raw data'!I11-'Raw data'!J11)=SIGN('Real results'!C11-'Real results'!D11),2+IF(AND('Raw data'!I11='Real results'!C11,'Raw data'!J11='Real results'!D11),2,0),0),0),0)</f>
        <v>2</v>
      </c>
      <c r="K12" s="34">
        <f>IFERROR(IF(AND(ISNUMBER('Real results'!C11),ISNUMBER('Real results'!D11),ISNUMBER('Raw data'!K11),ISNUMBER('Raw data'!L11)),IF(SIGN('Raw data'!K11-'Raw data'!L11)=SIGN('Real results'!C11-'Real results'!D11),2+IF(AND('Raw data'!K11='Real results'!C11,'Raw data'!L11='Real results'!D11),2,0),0),0),0)</f>
        <v>2</v>
      </c>
      <c r="M12" s="34">
        <f>IFERROR(IF(AND(ISNUMBER('Real results'!C11),ISNUMBER('Real results'!D11),ISNUMBER('Raw data'!M11),ISNUMBER('Raw data'!N11)),IF(SIGN('Raw data'!M11-'Raw data'!N11)=SIGN('Real results'!C11-'Real results'!D11),2+IF(AND('Raw data'!M11='Real results'!C11,'Raw data'!N11='Real results'!D11),2,0),0),0),0)</f>
        <v>0</v>
      </c>
      <c r="O12" s="34">
        <f>IFERROR(IF(AND(ISNUMBER('Real results'!C11),ISNUMBER('Real results'!D11),ISNUMBER('Raw data'!O11),ISNUMBER('Raw data'!P11)),IF(SIGN('Raw data'!O11-'Raw data'!P11)=SIGN('Real results'!C11-'Real results'!D11),2+IF(AND('Raw data'!O11='Real results'!C11,'Raw data'!P11='Real results'!D11),2,0),0),0),0)</f>
        <v>0</v>
      </c>
      <c r="Q12" s="34">
        <f>IFERROR(IF(AND(ISNUMBER('Real results'!C11),ISNUMBER('Real results'!D11),ISNUMBER('Raw data'!Q11),ISNUMBER('Raw data'!R11)),IF(SIGN('Raw data'!Q11-'Raw data'!R11)=SIGN('Real results'!C11-'Real results'!D11),2+IF(AND('Raw data'!Q11='Real results'!C11,'Raw data'!R11='Real results'!D11),2,0),0),0),0)</f>
        <v>0</v>
      </c>
      <c r="S12" s="34">
        <f>IFERROR(IF(AND(ISNUMBER('Real results'!C11),ISNUMBER('Real results'!D11),ISNUMBER('Raw data'!S11),ISNUMBER('Raw data'!T11)),IF(SIGN('Raw data'!S11-'Raw data'!T11)=SIGN('Real results'!C11-'Real results'!D11),2+IF(AND('Raw data'!S11='Real results'!C11,'Raw data'!T11='Real results'!D11),2,0),0),0),0)</f>
        <v>0</v>
      </c>
      <c r="U12" s="34">
        <f>IFERROR(IF(AND(ISNUMBER('Real results'!C11),ISNUMBER('Real results'!D11),ISNUMBER('Raw data'!U11),ISNUMBER('Raw data'!V11)),IF(SIGN('Raw data'!U11-'Raw data'!V11)=SIGN('Real results'!C11-'Real results'!D11),2+IF(AND('Raw data'!U11='Real results'!C11,'Raw data'!V11='Real results'!D11),2,0),0),0),0)</f>
        <v>0</v>
      </c>
      <c r="W12" s="34">
        <f>IFERROR(IF(AND(ISNUMBER('Real results'!C11),ISNUMBER('Real results'!D11),ISNUMBER('Raw data'!W11),ISNUMBER('Raw data'!X11)),IF(SIGN('Raw data'!W11-'Raw data'!X11)=SIGN('Real results'!C11-'Real results'!D11),2+IF(AND('Raw data'!W11='Real results'!C11,'Raw data'!X11='Real results'!D11),2,0),0),0),0)</f>
        <v>0</v>
      </c>
      <c r="Y12" s="34">
        <f>IFERROR(IF(AND(ISNUMBER('Real results'!C11),ISNUMBER('Real results'!D11),ISNUMBER('Raw data'!Y11),ISNUMBER('Raw data'!Z11)),IF(SIGN('Raw data'!Y11-'Raw data'!Z11)=SIGN('Real results'!C11-'Real results'!D11),2+IF(AND('Raw data'!Y11='Real results'!C11,'Raw data'!Z11='Real results'!D11),2,0),0),0),0)</f>
        <v>0</v>
      </c>
      <c r="AA12" s="34">
        <f>IFERROR(IF(AND(ISNUMBER('Real results'!C11),ISNUMBER('Real results'!D11),ISNUMBER('Raw data'!AA11),ISNUMBER('Raw data'!AB11)),IF(SIGN('Raw data'!AA11-'Raw data'!AB11)=SIGN('Real results'!C11-'Real results'!D11),2+IF(AND('Raw data'!AA11='Real results'!C11,'Raw data'!AB11='Real results'!D11),2,0),0),0),0)</f>
        <v>0</v>
      </c>
      <c r="AC12" s="34">
        <f>IFERROR(IF(AND(ISNUMBER('Real results'!C11),ISNUMBER('Real results'!D11),ISNUMBER('Raw data'!AC11),ISNUMBER('Raw data'!AD11)),IF(SIGN('Raw data'!AC11-'Raw data'!AD11)=SIGN('Real results'!C11-'Real results'!D11),2+IF(AND('Raw data'!AC11='Real results'!C11,'Raw data'!AD11='Real results'!D11),2,0),0),0),0)</f>
        <v>0</v>
      </c>
      <c r="AE12" s="34">
        <f>IFERROR(IF(AND(ISNUMBER('Real results'!C11),ISNUMBER('Real results'!D11),ISNUMBER('Raw data'!AE11),ISNUMBER('Raw data'!AF11)),IF(SIGN('Raw data'!AE11-'Raw data'!AF11)=SIGN('Real results'!C11-'Real results'!D11),2+IF(AND('Raw data'!AE11='Real results'!C11,'Raw data'!AF11='Real results'!D11),2,0),0),0),0)</f>
        <v>0</v>
      </c>
      <c r="AG12" s="34">
        <f>IFERROR(IF(AND(ISNUMBER('Real results'!C11),ISNUMBER('Real results'!D11),ISNUMBER('Raw data'!AG11),ISNUMBER('Raw data'!AH11)),IF(SIGN('Raw data'!AG11-'Raw data'!AH11)=SIGN('Real results'!C11-'Real results'!D11),2+IF(AND('Raw data'!AG11='Real results'!C11,'Raw data'!AH11='Real results'!D11),2,0),0),0),0)</f>
        <v>0</v>
      </c>
      <c r="AI12" s="34">
        <f>IFERROR(IF(AND(ISNUMBER('Real results'!C11),ISNUMBER('Real results'!D11),ISNUMBER('Raw data'!AI11),ISNUMBER('Raw data'!AJ11)),IF(SIGN('Raw data'!AI11-'Raw data'!AJ11)=SIGN('Real results'!C11-'Real results'!D11),2+IF(AND('Raw data'!AI11='Real results'!C11,'Raw data'!AJ11='Real results'!D11),2,0),0),0),0)</f>
        <v>0</v>
      </c>
      <c r="AK12" s="34">
        <f>IFERROR(IF(AND(ISNUMBER('Real results'!C11),ISNUMBER('Real results'!D11),ISNUMBER('Raw data'!AK11),ISNUMBER('Raw data'!AL11)),IF(SIGN('Raw data'!AK11-'Raw data'!AL11)=SIGN('Real results'!C11-'Real results'!D11),2+IF(AND('Raw data'!AK11='Real results'!C11,'Raw data'!AL11='Real results'!D11),2,0),0),0),0)</f>
        <v>0</v>
      </c>
      <c r="AM12" s="34">
        <f>IFERROR(IF(AND(ISNUMBER('Real results'!C11),ISNUMBER('Real results'!D11),ISNUMBER('Raw data'!AM11),ISNUMBER('Raw data'!AN11)),IF(SIGN('Raw data'!AM11-'Raw data'!AN11)=SIGN('Real results'!C11-'Real results'!D11),2+IF(AND('Raw data'!AM11='Real results'!C11,'Raw data'!AN11='Real results'!D11),2,0),0),0),0)</f>
        <v>0</v>
      </c>
      <c r="AO12" s="34">
        <f>IFERROR(IF(AND(ISNUMBER('Real results'!C11),ISNUMBER('Real results'!D11),ISNUMBER('Raw data'!AO11),ISNUMBER('Raw data'!AP11)),IF(SIGN('Raw data'!AO11-'Raw data'!AP11)=SIGN('Real results'!C11-'Real results'!D11),2+IF(AND('Raw data'!AO11='Real results'!C11,'Raw data'!AP11='Real results'!D11),2,0),0),0),0)</f>
        <v>0</v>
      </c>
      <c r="AQ12" s="34">
        <f>IFERROR(IF(AND(ISNUMBER('Real results'!C11),ISNUMBER('Real results'!D11),ISNUMBER('Raw data'!AQ11),ISNUMBER('Raw data'!AR11)),IF(SIGN('Raw data'!AQ11-'Raw data'!AR11)=SIGN('Real results'!C11-'Real results'!D11),2+IF(AND('Raw data'!AQ11='Real results'!C11,'Raw data'!AR11='Real results'!D11),2,0),0),0),0)</f>
        <v>0</v>
      </c>
      <c r="AS12" s="34">
        <f>IFERROR(IF(AND(ISNUMBER('Real results'!C11),ISNUMBER('Real results'!D11),ISNUMBER('Raw data'!AS11),ISNUMBER('Raw data'!AT11)),IF(SIGN('Raw data'!AS11-'Raw data'!AT11)=SIGN('Real results'!C11-'Real results'!D11),2+IF(AND('Raw data'!AS11='Real results'!C11,'Raw data'!AT11='Real results'!D11),2,0),0),0),0)</f>
        <v>0</v>
      </c>
      <c r="AU12" s="34">
        <f>IFERROR(IF(AND(ISNUMBER('Real results'!C11),ISNUMBER('Real results'!D11),ISNUMBER('Raw data'!AU11),ISNUMBER('Raw data'!AV11)),IF(SIGN('Raw data'!AU11-'Raw data'!AV11)=SIGN('Real results'!C11-'Real results'!D11),2+IF(AND('Raw data'!AU11='Real results'!C11,'Raw data'!AV11='Real results'!D11),2,0),0),0),0)</f>
        <v>0</v>
      </c>
      <c r="AW12" s="34">
        <f>IFERROR(IF(AND(ISNUMBER('Real results'!C11),ISNUMBER('Real results'!D11),ISNUMBER('Raw data'!AW11),ISNUMBER('Raw data'!AX11)),IF(SIGN('Raw data'!AW11-'Raw data'!AX11)=SIGN('Real results'!C11-'Real results'!D11),2+IF(AND('Raw data'!AW11='Real results'!C11,'Raw data'!AX11='Real results'!D11),2,0),0),0),0)</f>
        <v>0</v>
      </c>
      <c r="AY12" s="34">
        <f>IFERROR(IF(AND(ISNUMBER('Real results'!C11),ISNUMBER('Real results'!D11),ISNUMBER('Raw data'!AY11),ISNUMBER('Raw data'!AZ11)),IF(SIGN('Raw data'!AY11-'Raw data'!AZ11)=SIGN('Real results'!C11-'Real results'!D11),2+IF(AND('Raw data'!AY11='Real results'!C11,'Raw data'!AZ11='Real results'!D11),2,0),0),0),0)</f>
        <v>0</v>
      </c>
      <c r="BA12" s="34">
        <f>IFERROR(IF(AND(ISNUMBER('Real results'!C11),ISNUMBER('Real results'!D11),ISNUMBER('Raw data'!BA11),ISNUMBER('Raw data'!BB11)),IF(SIGN('Raw data'!BA11-'Raw data'!BB11)=SIGN('Real results'!C11-'Real results'!D11),2+IF(AND('Raw data'!BA11='Real results'!C11,'Raw data'!BB11='Real results'!D11),2,0),0),0),0)</f>
        <v>0</v>
      </c>
      <c r="BC12" s="34">
        <f>IFERROR(IF(AND(ISNUMBER('Real results'!C11),ISNUMBER('Real results'!D11),ISNUMBER('Raw data'!BC11),ISNUMBER('Raw data'!BD11)),IF(SIGN('Raw data'!BC11-'Raw data'!BD11)=SIGN('Real results'!C11-'Real results'!D11),2+IF(AND('Raw data'!BC11='Real results'!C11,'Raw data'!BD11='Real results'!D11),2,0),0),0),0)</f>
        <v>0</v>
      </c>
      <c r="BE12" s="34">
        <f>IFERROR(IF(AND(ISNUMBER('Real results'!C11),ISNUMBER('Real results'!D11),ISNUMBER('Raw data'!BE11),ISNUMBER('Raw data'!BF11)),IF(SIGN('Raw data'!BE11-'Raw data'!BF11)=SIGN('Real results'!C11-'Real results'!D11),2+IF(AND('Raw data'!BE11='Real results'!C11,'Raw data'!BF11='Real results'!D11),2,0),0),0),0)</f>
        <v>0</v>
      </c>
      <c r="BG12" s="34">
        <f>IFERROR(IF(AND(ISNUMBER('Real results'!C11),ISNUMBER('Real results'!D11),ISNUMBER('Raw data'!BG11),ISNUMBER('Raw data'!BH11)),IF(SIGN('Raw data'!BG11-'Raw data'!BH11)=SIGN('Real results'!C11-'Real results'!D11),2+IF(AND('Raw data'!BG11='Real results'!C11,'Raw data'!BH11='Real results'!D11),2,0),0),0),0)</f>
        <v>0</v>
      </c>
      <c r="BI12" s="34">
        <f>IFERROR(IF(AND(ISNUMBER('Real results'!C11),ISNUMBER('Real results'!D11),ISNUMBER('Raw data'!BI11),ISNUMBER('Raw data'!BJ11)),IF(SIGN('Raw data'!BI11-'Raw data'!BJ11)=SIGN('Real results'!C11-'Real results'!D11),2+IF(AND('Raw data'!BI11='Real results'!C11,'Raw data'!BJ11='Real results'!D11),2,0),0),0),0)</f>
        <v>0</v>
      </c>
    </row>
    <row r="13" ht="18.0" customHeight="1">
      <c r="B13" s="12" t="s">
        <v>33</v>
      </c>
      <c r="C13" s="34">
        <f>IFERROR(IF(AND(ISNUMBER('Real results'!C12),ISNUMBER('Real results'!D12),ISNUMBER('Raw data'!C10),ISNUMBER('Raw data'!D10)),IF(SIGN('Raw data'!C10-'Raw data'!D10)=SIGN('Real results'!C12-'Real results'!D12),2+IF(AND('Raw data'!C10='Real results'!C12,'Raw data'!D10='Real results'!D12),2,0),0),0),0)</f>
        <v>2</v>
      </c>
      <c r="E13" s="34">
        <f>IFERROR(IF(AND(ISNUMBER('Real results'!C12),ISNUMBER('Real results'!D12),ISNUMBER('Raw data'!E11),ISNUMBER('Raw data'!F11)),IF(SIGN('Raw data'!E11-'Raw data'!F11)=SIGN('Real results'!C12-'Real results'!D12),2+IF(AND('Raw data'!E11='Real results'!C12,'Raw data'!F11='Real results'!D12),2,0),0),0),0)</f>
        <v>0</v>
      </c>
      <c r="G13" s="34">
        <f>IFERROR(IF(AND(ISNUMBER('Real results'!C12),ISNUMBER('Real results'!D12),ISNUMBER('Raw data'!G12),ISNUMBER('Raw data'!H12)),IF(SIGN('Raw data'!G12-'Raw data'!H12)=SIGN('Real results'!C12-'Real results'!D12),2+IF(AND('Raw data'!G12='Real results'!C12,'Raw data'!H12='Real results'!D12),2,0),0),0),0)</f>
        <v>0</v>
      </c>
      <c r="I13" s="34">
        <f>IFERROR(IF(AND(ISNUMBER('Real results'!C12),ISNUMBER('Real results'!D12),ISNUMBER('Raw data'!I12),ISNUMBER('Raw data'!J12)),IF(SIGN('Raw data'!I12-'Raw data'!J12)=SIGN('Real results'!C12-'Real results'!D12),2+IF(AND('Raw data'!I12='Real results'!C12,'Raw data'!J12='Real results'!D12),2,0),0),0),0)</f>
        <v>0</v>
      </c>
      <c r="K13" s="34">
        <f>IFERROR(IF(AND(ISNUMBER('Real results'!C12),ISNUMBER('Real results'!D12),ISNUMBER('Raw data'!K12),ISNUMBER('Raw data'!L12)),IF(SIGN('Raw data'!K12-'Raw data'!L12)=SIGN('Real results'!C12-'Real results'!D12),2+IF(AND('Raw data'!K12='Real results'!C12,'Raw data'!L12='Real results'!D12),2,0),0),0),0)</f>
        <v>0</v>
      </c>
      <c r="M13" s="34">
        <f>IFERROR(IF(AND(ISNUMBER('Real results'!C12),ISNUMBER('Real results'!D12),ISNUMBER('Raw data'!M12),ISNUMBER('Raw data'!N12)),IF(SIGN('Raw data'!M12-'Raw data'!N12)=SIGN('Real results'!C12-'Real results'!D12),2+IF(AND('Raw data'!M12='Real results'!C12,'Raw data'!N12='Real results'!D12),2,0),0),0),0)</f>
        <v>0</v>
      </c>
      <c r="O13" s="34">
        <f>IFERROR(IF(AND(ISNUMBER('Real results'!C12),ISNUMBER('Real results'!D12),ISNUMBER('Raw data'!O12),ISNUMBER('Raw data'!P12)),IF(SIGN('Raw data'!O12-'Raw data'!P12)=SIGN('Real results'!C12-'Real results'!D12),2+IF(AND('Raw data'!O12='Real results'!C12,'Raw data'!P12='Real results'!D12),2,0),0),0),0)</f>
        <v>0</v>
      </c>
      <c r="Q13" s="34">
        <f>IFERROR(IF(AND(ISNUMBER('Real results'!C12),ISNUMBER('Real results'!D12),ISNUMBER('Raw data'!Q12),ISNUMBER('Raw data'!R12)),IF(SIGN('Raw data'!Q12-'Raw data'!R12)=SIGN('Real results'!C12-'Real results'!D12),2+IF(AND('Raw data'!Q12='Real results'!C12,'Raw data'!R12='Real results'!D12),2,0),0),0),0)</f>
        <v>0</v>
      </c>
      <c r="S13" s="34">
        <f>IFERROR(IF(AND(ISNUMBER('Real results'!C12),ISNUMBER('Real results'!D12),ISNUMBER('Raw data'!S12),ISNUMBER('Raw data'!T12)),IF(SIGN('Raw data'!S12-'Raw data'!T12)=SIGN('Real results'!C12-'Real results'!D12),2+IF(AND('Raw data'!S12='Real results'!C12,'Raw data'!T12='Real results'!D12),2,0),0),0),0)</f>
        <v>0</v>
      </c>
      <c r="U13" s="34">
        <f>IFERROR(IF(AND(ISNUMBER('Real results'!C12),ISNUMBER('Real results'!D12),ISNUMBER('Raw data'!U12),ISNUMBER('Raw data'!V12)),IF(SIGN('Raw data'!U12-'Raw data'!V12)=SIGN('Real results'!C12-'Real results'!D12),2+IF(AND('Raw data'!U12='Real results'!C12,'Raw data'!V12='Real results'!D12),2,0),0),0),0)</f>
        <v>0</v>
      </c>
      <c r="W13" s="34">
        <f>IFERROR(IF(AND(ISNUMBER('Real results'!C12),ISNUMBER('Real results'!D12),ISNUMBER('Raw data'!W12),ISNUMBER('Raw data'!X12)),IF(SIGN('Raw data'!W12-'Raw data'!X12)=SIGN('Real results'!C12-'Real results'!D12),2+IF(AND('Raw data'!W12='Real results'!C12,'Raw data'!X12='Real results'!D12),2,0),0),0),0)</f>
        <v>0</v>
      </c>
      <c r="Y13" s="34">
        <f>IFERROR(IF(AND(ISNUMBER('Real results'!C12),ISNUMBER('Real results'!D12),ISNUMBER('Raw data'!Y12),ISNUMBER('Raw data'!Z12)),IF(SIGN('Raw data'!Y12-'Raw data'!Z12)=SIGN('Real results'!C12-'Real results'!D12),2+IF(AND('Raw data'!Y12='Real results'!C12,'Raw data'!Z12='Real results'!D12),2,0),0),0),0)</f>
        <v>0</v>
      </c>
      <c r="AA13" s="34">
        <f>IFERROR(IF(AND(ISNUMBER('Real results'!C12),ISNUMBER('Real results'!D12),ISNUMBER('Raw data'!AA12),ISNUMBER('Raw data'!AB12)),IF(SIGN('Raw data'!AA12-'Raw data'!AB12)=SIGN('Real results'!C12-'Real results'!D12),2+IF(AND('Raw data'!AA12='Real results'!C12,'Raw data'!AB12='Real results'!D12),2,0),0),0),0)</f>
        <v>0</v>
      </c>
      <c r="AC13" s="34">
        <f>IFERROR(IF(AND(ISNUMBER('Real results'!C12),ISNUMBER('Real results'!D12),ISNUMBER('Raw data'!AC12),ISNUMBER('Raw data'!AD12)),IF(SIGN('Raw data'!AC12-'Raw data'!AD12)=SIGN('Real results'!C12-'Real results'!D12),2+IF(AND('Raw data'!AC12='Real results'!C12,'Raw data'!AD12='Real results'!D12),2,0),0),0),0)</f>
        <v>0</v>
      </c>
      <c r="AE13" s="34">
        <f>IFERROR(IF(AND(ISNUMBER('Real results'!C12),ISNUMBER('Real results'!D12),ISNUMBER('Raw data'!AE12),ISNUMBER('Raw data'!AF12)),IF(SIGN('Raw data'!AE12-'Raw data'!AF12)=SIGN('Real results'!C12-'Real results'!D12),2+IF(AND('Raw data'!AE12='Real results'!C12,'Raw data'!AF12='Real results'!D12),2,0),0),0),0)</f>
        <v>0</v>
      </c>
      <c r="AG13" s="34">
        <f>IFERROR(IF(AND(ISNUMBER('Real results'!C12),ISNUMBER('Real results'!D12),ISNUMBER('Raw data'!AG12),ISNUMBER('Raw data'!AH12)),IF(SIGN('Raw data'!AG12-'Raw data'!AH12)=SIGN('Real results'!C12-'Real results'!D12),2+IF(AND('Raw data'!AG12='Real results'!C12,'Raw data'!AH12='Real results'!D12),2,0),0),0),0)</f>
        <v>0</v>
      </c>
      <c r="AI13" s="34">
        <f>IFERROR(IF(AND(ISNUMBER('Real results'!C12),ISNUMBER('Real results'!D12),ISNUMBER('Raw data'!AI12),ISNUMBER('Raw data'!AJ12)),IF(SIGN('Raw data'!AI12-'Raw data'!AJ12)=SIGN('Real results'!C12-'Real results'!D12),2+IF(AND('Raw data'!AI12='Real results'!C12,'Raw data'!AJ12='Real results'!D12),2,0),0),0),0)</f>
        <v>0</v>
      </c>
      <c r="AK13" s="34">
        <f>IFERROR(IF(AND(ISNUMBER('Real results'!C12),ISNUMBER('Real results'!D12),ISNUMBER('Raw data'!AK12),ISNUMBER('Raw data'!AL12)),IF(SIGN('Raw data'!AK12-'Raw data'!AL12)=SIGN('Real results'!C12-'Real results'!D12),2+IF(AND('Raw data'!AK12='Real results'!C12,'Raw data'!AL12='Real results'!D12),2,0),0),0),0)</f>
        <v>0</v>
      </c>
      <c r="AM13" s="34">
        <f>IFERROR(IF(AND(ISNUMBER('Real results'!C12),ISNUMBER('Real results'!D12),ISNUMBER('Raw data'!AM12),ISNUMBER('Raw data'!AN12)),IF(SIGN('Raw data'!AM12-'Raw data'!AN12)=SIGN('Real results'!C12-'Real results'!D12),2+IF(AND('Raw data'!AM12='Real results'!C12,'Raw data'!AN12='Real results'!D12),2,0),0),0),0)</f>
        <v>0</v>
      </c>
      <c r="AO13" s="34">
        <f>IFERROR(IF(AND(ISNUMBER('Real results'!C12),ISNUMBER('Real results'!D12),ISNUMBER('Raw data'!AO12),ISNUMBER('Raw data'!AP12)),IF(SIGN('Raw data'!AO12-'Raw data'!AP12)=SIGN('Real results'!C12-'Real results'!D12),2+IF(AND('Raw data'!AO12='Real results'!C12,'Raw data'!AP12='Real results'!D12),2,0),0),0),0)</f>
        <v>0</v>
      </c>
      <c r="AQ13" s="34">
        <f>IFERROR(IF(AND(ISNUMBER('Real results'!C12),ISNUMBER('Real results'!D12),ISNUMBER('Raw data'!AQ12),ISNUMBER('Raw data'!AR12)),IF(SIGN('Raw data'!AQ12-'Raw data'!AR12)=SIGN('Real results'!C12-'Real results'!D12),2+IF(AND('Raw data'!AQ12='Real results'!C12,'Raw data'!AR12='Real results'!D12),2,0),0),0),0)</f>
        <v>0</v>
      </c>
      <c r="AS13" s="34">
        <f>IFERROR(IF(AND(ISNUMBER('Real results'!C12),ISNUMBER('Real results'!D12),ISNUMBER('Raw data'!AS12),ISNUMBER('Raw data'!AT12)),IF(SIGN('Raw data'!AS12-'Raw data'!AT12)=SIGN('Real results'!C12-'Real results'!D12),2+IF(AND('Raw data'!AS12='Real results'!C12,'Raw data'!AT12='Real results'!D12),2,0),0),0),0)</f>
        <v>0</v>
      </c>
      <c r="AU13" s="34">
        <f>IFERROR(IF(AND(ISNUMBER('Real results'!C12),ISNUMBER('Real results'!D12),ISNUMBER('Raw data'!AU12),ISNUMBER('Raw data'!AV12)),IF(SIGN('Raw data'!AU12-'Raw data'!AV12)=SIGN('Real results'!C12-'Real results'!D12),2+IF(AND('Raw data'!AU12='Real results'!C12,'Raw data'!AV12='Real results'!D12),2,0),0),0),0)</f>
        <v>0</v>
      </c>
      <c r="AW13" s="34">
        <f>IFERROR(IF(AND(ISNUMBER('Real results'!C12),ISNUMBER('Real results'!D12),ISNUMBER('Raw data'!AW12),ISNUMBER('Raw data'!AX12)),IF(SIGN('Raw data'!AW12-'Raw data'!AX12)=SIGN('Real results'!C12-'Real results'!D12),2+IF(AND('Raw data'!AW12='Real results'!C12,'Raw data'!AX12='Real results'!D12),2,0),0),0),0)</f>
        <v>0</v>
      </c>
      <c r="AY13" s="34">
        <f>IFERROR(IF(AND(ISNUMBER('Real results'!C12),ISNUMBER('Real results'!D12),ISNUMBER('Raw data'!AY12),ISNUMBER('Raw data'!AZ12)),IF(SIGN('Raw data'!AY12-'Raw data'!AZ12)=SIGN('Real results'!C12-'Real results'!D12),2+IF(AND('Raw data'!AY12='Real results'!C12,'Raw data'!AZ12='Real results'!D12),2,0),0),0),0)</f>
        <v>0</v>
      </c>
      <c r="BA13" s="34">
        <f>IFERROR(IF(AND(ISNUMBER('Real results'!C12),ISNUMBER('Real results'!D12),ISNUMBER('Raw data'!BA12),ISNUMBER('Raw data'!BB12)),IF(SIGN('Raw data'!BA12-'Raw data'!BB12)=SIGN('Real results'!C12-'Real results'!D12),2+IF(AND('Raw data'!BA12='Real results'!C12,'Raw data'!BB12='Real results'!D12),2,0),0),0),0)</f>
        <v>0</v>
      </c>
      <c r="BC13" s="34">
        <f>IFERROR(IF(AND(ISNUMBER('Real results'!C12),ISNUMBER('Real results'!D12),ISNUMBER('Raw data'!BC12),ISNUMBER('Raw data'!BD12)),IF(SIGN('Raw data'!BC12-'Raw data'!BD12)=SIGN('Real results'!C12-'Real results'!D12),2+IF(AND('Raw data'!BC12='Real results'!C12,'Raw data'!BD12='Real results'!D12),2,0),0),0),0)</f>
        <v>0</v>
      </c>
      <c r="BE13" s="34">
        <f>IFERROR(IF(AND(ISNUMBER('Real results'!C12),ISNUMBER('Real results'!D12),ISNUMBER('Raw data'!BE12),ISNUMBER('Raw data'!BF12)),IF(SIGN('Raw data'!BE12-'Raw data'!BF12)=SIGN('Real results'!C12-'Real results'!D12),2+IF(AND('Raw data'!BE12='Real results'!C12,'Raw data'!BF12='Real results'!D12),2,0),0),0),0)</f>
        <v>0</v>
      </c>
      <c r="BG13" s="34">
        <f>IFERROR(IF(AND(ISNUMBER('Real results'!C12),ISNUMBER('Real results'!D12),ISNUMBER('Raw data'!BG12),ISNUMBER('Raw data'!BH12)),IF(SIGN('Raw data'!BG12-'Raw data'!BH12)=SIGN('Real results'!C12-'Real results'!D12),2+IF(AND('Raw data'!BG12='Real results'!C12,'Raw data'!BH12='Real results'!D12),2,0),0),0),0)</f>
        <v>0</v>
      </c>
      <c r="BI13" s="34">
        <f>IFERROR(IF(AND(ISNUMBER('Real results'!C12),ISNUMBER('Real results'!D12),ISNUMBER('Raw data'!BI12),ISNUMBER('Raw data'!BJ12)),IF(SIGN('Raw data'!BI12-'Raw data'!BJ12)=SIGN('Real results'!C12-'Real results'!D12),2+IF(AND('Raw data'!BI12='Real results'!C12,'Raw data'!BJ12='Real results'!D12),2,0),0),0),0)</f>
        <v>0</v>
      </c>
    </row>
    <row r="14" ht="18.0" customHeight="1">
      <c r="B14" s="12" t="s">
        <v>34</v>
      </c>
      <c r="C14" s="34">
        <f>IFERROR(IF(AND(ISNUMBER('Real results'!C13),ISNUMBER('Real results'!D13),ISNUMBER('Raw data'!C11),ISNUMBER('Raw data'!D11)),IF(SIGN('Raw data'!C11-'Raw data'!D11)=SIGN('Real results'!C13-'Real results'!D13),2+IF(AND('Raw data'!C11='Real results'!C13,'Raw data'!D11='Real results'!D13),2,0),0),0),0)</f>
        <v>0</v>
      </c>
      <c r="E14" s="34">
        <f>IFERROR(IF(AND(ISNUMBER('Real results'!C13),ISNUMBER('Real results'!D13),ISNUMBER('Raw data'!E12),ISNUMBER('Raw data'!F12)),IF(SIGN('Raw data'!E12-'Raw data'!F12)=SIGN('Real results'!C13-'Real results'!D13),2+IF(AND('Raw data'!E12='Real results'!C13,'Raw data'!F12='Real results'!D13),2,0),0),0),0)</f>
        <v>0</v>
      </c>
      <c r="G14" s="34">
        <f>IFERROR(IF(AND(ISNUMBER('Real results'!C13),ISNUMBER('Real results'!D13),ISNUMBER('Raw data'!G13),ISNUMBER('Raw data'!H13)),IF(SIGN('Raw data'!G13-'Raw data'!H13)=SIGN('Real results'!C13-'Real results'!D13),2+IF(AND('Raw data'!G13='Real results'!C13,'Raw data'!H13='Real results'!D13),2,0),0),0),0)</f>
        <v>0</v>
      </c>
      <c r="I14" s="34">
        <f>IFERROR(IF(AND(ISNUMBER('Real results'!C13),ISNUMBER('Real results'!D13),ISNUMBER('Raw data'!I13),ISNUMBER('Raw data'!J13)),IF(SIGN('Raw data'!I13-'Raw data'!J13)=SIGN('Real results'!C13-'Real results'!D13),2+IF(AND('Raw data'!I13='Real results'!C13,'Raw data'!J13='Real results'!D13),2,0),0),0),0)</f>
        <v>0</v>
      </c>
      <c r="K14" s="34">
        <f>IFERROR(IF(AND(ISNUMBER('Real results'!C13),ISNUMBER('Real results'!D13),ISNUMBER('Raw data'!K13),ISNUMBER('Raw data'!L13)),IF(SIGN('Raw data'!K13-'Raw data'!L13)=SIGN('Real results'!C13-'Real results'!D13),2+IF(AND('Raw data'!K13='Real results'!C13,'Raw data'!L13='Real results'!D13),2,0),0),0),0)</f>
        <v>0</v>
      </c>
      <c r="M14" s="34">
        <f>IFERROR(IF(AND(ISNUMBER('Real results'!C13),ISNUMBER('Real results'!D13),ISNUMBER('Raw data'!M13),ISNUMBER('Raw data'!N13)),IF(SIGN('Raw data'!M13-'Raw data'!N13)=SIGN('Real results'!C13-'Real results'!D13),2+IF(AND('Raw data'!M13='Real results'!C13,'Raw data'!N13='Real results'!D13),2,0),0),0),0)</f>
        <v>0</v>
      </c>
      <c r="O14" s="34">
        <f>IFERROR(IF(AND(ISNUMBER('Real results'!C13),ISNUMBER('Real results'!D13),ISNUMBER('Raw data'!O13),ISNUMBER('Raw data'!P13)),IF(SIGN('Raw data'!O13-'Raw data'!P13)=SIGN('Real results'!C13-'Real results'!D13),2+IF(AND('Raw data'!O13='Real results'!C13,'Raw data'!P13='Real results'!D13),2,0),0),0),0)</f>
        <v>0</v>
      </c>
      <c r="Q14" s="34">
        <f>IFERROR(IF(AND(ISNUMBER('Real results'!C13),ISNUMBER('Real results'!D13),ISNUMBER('Raw data'!Q13),ISNUMBER('Raw data'!R13)),IF(SIGN('Raw data'!Q13-'Raw data'!R13)=SIGN('Real results'!C13-'Real results'!D13),2+IF(AND('Raw data'!Q13='Real results'!C13,'Raw data'!R13='Real results'!D13),2,0),0),0),0)</f>
        <v>0</v>
      </c>
      <c r="S14" s="34">
        <f>IFERROR(IF(AND(ISNUMBER('Real results'!C13),ISNUMBER('Real results'!D13),ISNUMBER('Raw data'!S13),ISNUMBER('Raw data'!T13)),IF(SIGN('Raw data'!S13-'Raw data'!T13)=SIGN('Real results'!C13-'Real results'!D13),2+IF(AND('Raw data'!S13='Real results'!C13,'Raw data'!T13='Real results'!D13),2,0),0),0),0)</f>
        <v>0</v>
      </c>
      <c r="U14" s="34">
        <f>IFERROR(IF(AND(ISNUMBER('Real results'!C13),ISNUMBER('Real results'!D13),ISNUMBER('Raw data'!U13),ISNUMBER('Raw data'!V13)),IF(SIGN('Raw data'!U13-'Raw data'!V13)=SIGN('Real results'!C13-'Real results'!D13),2+IF(AND('Raw data'!U13='Real results'!C13,'Raw data'!V13='Real results'!D13),2,0),0),0),0)</f>
        <v>0</v>
      </c>
      <c r="W14" s="34">
        <f>IFERROR(IF(AND(ISNUMBER('Real results'!C13),ISNUMBER('Real results'!D13),ISNUMBER('Raw data'!W13),ISNUMBER('Raw data'!X13)),IF(SIGN('Raw data'!W13-'Raw data'!X13)=SIGN('Real results'!C13-'Real results'!D13),2+IF(AND('Raw data'!W13='Real results'!C13,'Raw data'!X13='Real results'!D13),2,0),0),0),0)</f>
        <v>0</v>
      </c>
      <c r="Y14" s="34">
        <f>IFERROR(IF(AND(ISNUMBER('Real results'!C13),ISNUMBER('Real results'!D13),ISNUMBER('Raw data'!Y13),ISNUMBER('Raw data'!Z13)),IF(SIGN('Raw data'!Y13-'Raw data'!Z13)=SIGN('Real results'!C13-'Real results'!D13),2+IF(AND('Raw data'!Y13='Real results'!C13,'Raw data'!Z13='Real results'!D13),2,0),0),0),0)</f>
        <v>0</v>
      </c>
      <c r="AA14" s="34">
        <f>IFERROR(IF(AND(ISNUMBER('Real results'!C13),ISNUMBER('Real results'!D13),ISNUMBER('Raw data'!AA13),ISNUMBER('Raw data'!AB13)),IF(SIGN('Raw data'!AA13-'Raw data'!AB13)=SIGN('Real results'!C13-'Real results'!D13),2+IF(AND('Raw data'!AA13='Real results'!C13,'Raw data'!AB13='Real results'!D13),2,0),0),0),0)</f>
        <v>0</v>
      </c>
      <c r="AC14" s="34">
        <f>IFERROR(IF(AND(ISNUMBER('Real results'!C13),ISNUMBER('Real results'!D13),ISNUMBER('Raw data'!AC13),ISNUMBER('Raw data'!AD13)),IF(SIGN('Raw data'!AC13-'Raw data'!AD13)=SIGN('Real results'!C13-'Real results'!D13),2+IF(AND('Raw data'!AC13='Real results'!C13,'Raw data'!AD13='Real results'!D13),2,0),0),0),0)</f>
        <v>0</v>
      </c>
      <c r="AE14" s="34">
        <f>IFERROR(IF(AND(ISNUMBER('Real results'!C13),ISNUMBER('Real results'!D13),ISNUMBER('Raw data'!AE13),ISNUMBER('Raw data'!AF13)),IF(SIGN('Raw data'!AE13-'Raw data'!AF13)=SIGN('Real results'!C13-'Real results'!D13),2+IF(AND('Raw data'!AE13='Real results'!C13,'Raw data'!AF13='Real results'!D13),2,0),0),0),0)</f>
        <v>0</v>
      </c>
      <c r="AG14" s="34">
        <f>IFERROR(IF(AND(ISNUMBER('Real results'!C13),ISNUMBER('Real results'!D13),ISNUMBER('Raw data'!AG13),ISNUMBER('Raw data'!AH13)),IF(SIGN('Raw data'!AG13-'Raw data'!AH13)=SIGN('Real results'!C13-'Real results'!D13),2+IF(AND('Raw data'!AG13='Real results'!C13,'Raw data'!AH13='Real results'!D13),2,0),0),0),0)</f>
        <v>0</v>
      </c>
      <c r="AI14" s="34">
        <f>IFERROR(IF(AND(ISNUMBER('Real results'!C13),ISNUMBER('Real results'!D13),ISNUMBER('Raw data'!AI13),ISNUMBER('Raw data'!AJ13)),IF(SIGN('Raw data'!AI13-'Raw data'!AJ13)=SIGN('Real results'!C13-'Real results'!D13),2+IF(AND('Raw data'!AI13='Real results'!C13,'Raw data'!AJ13='Real results'!D13),2,0),0),0),0)</f>
        <v>0</v>
      </c>
      <c r="AK14" s="34">
        <f>IFERROR(IF(AND(ISNUMBER('Real results'!C13),ISNUMBER('Real results'!D13),ISNUMBER('Raw data'!AK13),ISNUMBER('Raw data'!AL13)),IF(SIGN('Raw data'!AK13-'Raw data'!AL13)=SIGN('Real results'!C13-'Real results'!D13),2+IF(AND('Raw data'!AK13='Real results'!C13,'Raw data'!AL13='Real results'!D13),2,0),0),0),0)</f>
        <v>0</v>
      </c>
      <c r="AM14" s="34">
        <f>IFERROR(IF(AND(ISNUMBER('Real results'!C13),ISNUMBER('Real results'!D13),ISNUMBER('Raw data'!AM13),ISNUMBER('Raw data'!AN13)),IF(SIGN('Raw data'!AM13-'Raw data'!AN13)=SIGN('Real results'!C13-'Real results'!D13),2+IF(AND('Raw data'!AM13='Real results'!C13,'Raw data'!AN13='Real results'!D13),2,0),0),0),0)</f>
        <v>0</v>
      </c>
      <c r="AO14" s="34">
        <f>IFERROR(IF(AND(ISNUMBER('Real results'!C13),ISNUMBER('Real results'!D13),ISNUMBER('Raw data'!AO13),ISNUMBER('Raw data'!AP13)),IF(SIGN('Raw data'!AO13-'Raw data'!AP13)=SIGN('Real results'!C13-'Real results'!D13),2+IF(AND('Raw data'!AO13='Real results'!C13,'Raw data'!AP13='Real results'!D13),2,0),0),0),0)</f>
        <v>0</v>
      </c>
      <c r="AQ14" s="34">
        <f>IFERROR(IF(AND(ISNUMBER('Real results'!C13),ISNUMBER('Real results'!D13),ISNUMBER('Raw data'!AQ13),ISNUMBER('Raw data'!AR13)),IF(SIGN('Raw data'!AQ13-'Raw data'!AR13)=SIGN('Real results'!C13-'Real results'!D13),2+IF(AND('Raw data'!AQ13='Real results'!C13,'Raw data'!AR13='Real results'!D13),2,0),0),0),0)</f>
        <v>0</v>
      </c>
      <c r="AS14" s="34">
        <f>IFERROR(IF(AND(ISNUMBER('Real results'!C13),ISNUMBER('Real results'!D13),ISNUMBER('Raw data'!AS13),ISNUMBER('Raw data'!AT13)),IF(SIGN('Raw data'!AS13-'Raw data'!AT13)=SIGN('Real results'!C13-'Real results'!D13),2+IF(AND('Raw data'!AS13='Real results'!C13,'Raw data'!AT13='Real results'!D13),2,0),0),0),0)</f>
        <v>0</v>
      </c>
      <c r="AU14" s="34">
        <f>IFERROR(IF(AND(ISNUMBER('Real results'!C13),ISNUMBER('Real results'!D13),ISNUMBER('Raw data'!AU13),ISNUMBER('Raw data'!AV13)),IF(SIGN('Raw data'!AU13-'Raw data'!AV13)=SIGN('Real results'!C13-'Real results'!D13),2+IF(AND('Raw data'!AU13='Real results'!C13,'Raw data'!AV13='Real results'!D13),2,0),0),0),0)</f>
        <v>0</v>
      </c>
      <c r="AW14" s="34">
        <f>IFERROR(IF(AND(ISNUMBER('Real results'!C13),ISNUMBER('Real results'!D13),ISNUMBER('Raw data'!AW13),ISNUMBER('Raw data'!AX13)),IF(SIGN('Raw data'!AW13-'Raw data'!AX13)=SIGN('Real results'!C13-'Real results'!D13),2+IF(AND('Raw data'!AW13='Real results'!C13,'Raw data'!AX13='Real results'!D13),2,0),0),0),0)</f>
        <v>0</v>
      </c>
      <c r="AY14" s="34">
        <f>IFERROR(IF(AND(ISNUMBER('Real results'!C13),ISNUMBER('Real results'!D13),ISNUMBER('Raw data'!AY13),ISNUMBER('Raw data'!AZ13)),IF(SIGN('Raw data'!AY13-'Raw data'!AZ13)=SIGN('Real results'!C13-'Real results'!D13),2+IF(AND('Raw data'!AY13='Real results'!C13,'Raw data'!AZ13='Real results'!D13),2,0),0),0),0)</f>
        <v>0</v>
      </c>
      <c r="BA14" s="34">
        <f>IFERROR(IF(AND(ISNUMBER('Real results'!C13),ISNUMBER('Real results'!D13),ISNUMBER('Raw data'!BA13),ISNUMBER('Raw data'!BB13)),IF(SIGN('Raw data'!BA13-'Raw data'!BB13)=SIGN('Real results'!C13-'Real results'!D13),2+IF(AND('Raw data'!BA13='Real results'!C13,'Raw data'!BB13='Real results'!D13),2,0),0),0),0)</f>
        <v>0</v>
      </c>
      <c r="BC14" s="34">
        <f>IFERROR(IF(AND(ISNUMBER('Real results'!C13),ISNUMBER('Real results'!D13),ISNUMBER('Raw data'!BC13),ISNUMBER('Raw data'!BD13)),IF(SIGN('Raw data'!BC13-'Raw data'!BD13)=SIGN('Real results'!C13-'Real results'!D13),2+IF(AND('Raw data'!BC13='Real results'!C13,'Raw data'!BD13='Real results'!D13),2,0),0),0),0)</f>
        <v>0</v>
      </c>
      <c r="BE14" s="34">
        <f>IFERROR(IF(AND(ISNUMBER('Real results'!C13),ISNUMBER('Real results'!D13),ISNUMBER('Raw data'!BE13),ISNUMBER('Raw data'!BF13)),IF(SIGN('Raw data'!BE13-'Raw data'!BF13)=SIGN('Real results'!C13-'Real results'!D13),2+IF(AND('Raw data'!BE13='Real results'!C13,'Raw data'!BF13='Real results'!D13),2,0),0),0),0)</f>
        <v>0</v>
      </c>
      <c r="BG14" s="34">
        <f>IFERROR(IF(AND(ISNUMBER('Real results'!C13),ISNUMBER('Real results'!D13),ISNUMBER('Raw data'!BG13),ISNUMBER('Raw data'!BH13)),IF(SIGN('Raw data'!BG13-'Raw data'!BH13)=SIGN('Real results'!C13-'Real results'!D13),2+IF(AND('Raw data'!BG13='Real results'!C13,'Raw data'!BH13='Real results'!D13),2,0),0),0),0)</f>
        <v>0</v>
      </c>
      <c r="BI14" s="34">
        <f>IFERROR(IF(AND(ISNUMBER('Real results'!C13),ISNUMBER('Real results'!D13),ISNUMBER('Raw data'!BI13),ISNUMBER('Raw data'!BJ13)),IF(SIGN('Raw data'!BI13-'Raw data'!BJ13)=SIGN('Real results'!C13-'Real results'!D13),2+IF(AND('Raw data'!BI13='Real results'!C13,'Raw data'!BJ13='Real results'!D13),2,0),0),0),0)</f>
        <v>0</v>
      </c>
    </row>
    <row r="15" ht="18.0" customHeight="1">
      <c r="B15" s="12" t="s">
        <v>35</v>
      </c>
      <c r="C15" s="34">
        <f>IFERROR(IF(AND(ISNUMBER('Real results'!C14),ISNUMBER('Real results'!D14),ISNUMBER('Raw data'!C12),ISNUMBER('Raw data'!D12)),IF(SIGN('Raw data'!C12-'Raw data'!D12)=SIGN('Real results'!C14-'Real results'!D14),2+IF(AND('Raw data'!C12='Real results'!C14,'Raw data'!D12='Real results'!D14),2,0),0),0),0)</f>
        <v>0</v>
      </c>
      <c r="E15" s="34">
        <f>IFERROR(IF(AND(ISNUMBER('Real results'!C14),ISNUMBER('Real results'!D14),ISNUMBER('Raw data'!E13),ISNUMBER('Raw data'!F13)),IF(SIGN('Raw data'!E13-'Raw data'!F13)=SIGN('Real results'!C14-'Real results'!D14),2+IF(AND('Raw data'!E13='Real results'!C14,'Raw data'!F13='Real results'!D14),2,0),0),0),0)</f>
        <v>0</v>
      </c>
      <c r="G15" s="34">
        <f>IFERROR(IF(AND(ISNUMBER('Real results'!C14),ISNUMBER('Real results'!D14),ISNUMBER('Raw data'!G14),ISNUMBER('Raw data'!H14)),IF(SIGN('Raw data'!G14-'Raw data'!H14)=SIGN('Real results'!C14-'Real results'!D14),2+IF(AND('Raw data'!G14='Real results'!C14,'Raw data'!H14='Real results'!D14),2,0),0),0),0)</f>
        <v>0</v>
      </c>
      <c r="I15" s="34">
        <f>IFERROR(IF(AND(ISNUMBER('Real results'!C14),ISNUMBER('Real results'!D14),ISNUMBER('Raw data'!I14),ISNUMBER('Raw data'!J14)),IF(SIGN('Raw data'!I14-'Raw data'!J14)=SIGN('Real results'!C14-'Real results'!D14),2+IF(AND('Raw data'!I14='Real results'!C14,'Raw data'!J14='Real results'!D14),2,0),0),0),0)</f>
        <v>0</v>
      </c>
      <c r="K15" s="34">
        <f>IFERROR(IF(AND(ISNUMBER('Real results'!C14),ISNUMBER('Real results'!D14),ISNUMBER('Raw data'!K14),ISNUMBER('Raw data'!L14)),IF(SIGN('Raw data'!K14-'Raw data'!L14)=SIGN('Real results'!C14-'Real results'!D14),2+IF(AND('Raw data'!K14='Real results'!C14,'Raw data'!L14='Real results'!D14),2,0),0),0),0)</f>
        <v>0</v>
      </c>
      <c r="M15" s="34">
        <f>IFERROR(IF(AND(ISNUMBER('Real results'!C14),ISNUMBER('Real results'!D14),ISNUMBER('Raw data'!M14),ISNUMBER('Raw data'!N14)),IF(SIGN('Raw data'!M14-'Raw data'!N14)=SIGN('Real results'!C14-'Real results'!D14),2+IF(AND('Raw data'!M14='Real results'!C14,'Raw data'!N14='Real results'!D14),2,0),0),0),0)</f>
        <v>0</v>
      </c>
      <c r="O15" s="34">
        <f>IFERROR(IF(AND(ISNUMBER('Real results'!C14),ISNUMBER('Real results'!D14),ISNUMBER('Raw data'!O14),ISNUMBER('Raw data'!P14)),IF(SIGN('Raw data'!O14-'Raw data'!P14)=SIGN('Real results'!C14-'Real results'!D14),2+IF(AND('Raw data'!O14='Real results'!C14,'Raw data'!P14='Real results'!D14),2,0),0),0),0)</f>
        <v>0</v>
      </c>
      <c r="Q15" s="34">
        <f>IFERROR(IF(AND(ISNUMBER('Real results'!C14),ISNUMBER('Real results'!D14),ISNUMBER('Raw data'!Q14),ISNUMBER('Raw data'!R14)),IF(SIGN('Raw data'!Q14-'Raw data'!R14)=SIGN('Real results'!C14-'Real results'!D14),2+IF(AND('Raw data'!Q14='Real results'!C14,'Raw data'!R14='Real results'!D14),2,0),0),0),0)</f>
        <v>0</v>
      </c>
      <c r="S15" s="34">
        <f>IFERROR(IF(AND(ISNUMBER('Real results'!C14),ISNUMBER('Real results'!D14),ISNUMBER('Raw data'!S14),ISNUMBER('Raw data'!T14)),IF(SIGN('Raw data'!S14-'Raw data'!T14)=SIGN('Real results'!C14-'Real results'!D14),2+IF(AND('Raw data'!S14='Real results'!C14,'Raw data'!T14='Real results'!D14),2,0),0),0),0)</f>
        <v>0</v>
      </c>
      <c r="U15" s="34">
        <f>IFERROR(IF(AND(ISNUMBER('Real results'!C14),ISNUMBER('Real results'!D14),ISNUMBER('Raw data'!U14),ISNUMBER('Raw data'!V14)),IF(SIGN('Raw data'!U14-'Raw data'!V14)=SIGN('Real results'!C14-'Real results'!D14),2+IF(AND('Raw data'!U14='Real results'!C14,'Raw data'!V14='Real results'!D14),2,0),0),0),0)</f>
        <v>0</v>
      </c>
      <c r="W15" s="34">
        <f>IFERROR(IF(AND(ISNUMBER('Real results'!C14),ISNUMBER('Real results'!D14),ISNUMBER('Raw data'!W14),ISNUMBER('Raw data'!X14)),IF(SIGN('Raw data'!W14-'Raw data'!X14)=SIGN('Real results'!C14-'Real results'!D14),2+IF(AND('Raw data'!W14='Real results'!C14,'Raw data'!X14='Real results'!D14),2,0),0),0),0)</f>
        <v>0</v>
      </c>
      <c r="Y15" s="34">
        <f>IFERROR(IF(AND(ISNUMBER('Real results'!C14),ISNUMBER('Real results'!D14),ISNUMBER('Raw data'!Y14),ISNUMBER('Raw data'!Z14)),IF(SIGN('Raw data'!Y14-'Raw data'!Z14)=SIGN('Real results'!C14-'Real results'!D14),2+IF(AND('Raw data'!Y14='Real results'!C14,'Raw data'!Z14='Real results'!D14),2,0),0),0),0)</f>
        <v>0</v>
      </c>
      <c r="AA15" s="34">
        <f>IFERROR(IF(AND(ISNUMBER('Real results'!C14),ISNUMBER('Real results'!D14),ISNUMBER('Raw data'!AA14),ISNUMBER('Raw data'!AB14)),IF(SIGN('Raw data'!AA14-'Raw data'!AB14)=SIGN('Real results'!C14-'Real results'!D14),2+IF(AND('Raw data'!AA14='Real results'!C14,'Raw data'!AB14='Real results'!D14),2,0),0),0),0)</f>
        <v>0</v>
      </c>
      <c r="AC15" s="34">
        <f>IFERROR(IF(AND(ISNUMBER('Real results'!C14),ISNUMBER('Real results'!D14),ISNUMBER('Raw data'!AC14),ISNUMBER('Raw data'!AD14)),IF(SIGN('Raw data'!AC14-'Raw data'!AD14)=SIGN('Real results'!C14-'Real results'!D14),2+IF(AND('Raw data'!AC14='Real results'!C14,'Raw data'!AD14='Real results'!D14),2,0),0),0),0)</f>
        <v>0</v>
      </c>
      <c r="AE15" s="34">
        <f>IFERROR(IF(AND(ISNUMBER('Real results'!C14),ISNUMBER('Real results'!D14),ISNUMBER('Raw data'!AE14),ISNUMBER('Raw data'!AF14)),IF(SIGN('Raw data'!AE14-'Raw data'!AF14)=SIGN('Real results'!C14-'Real results'!D14),2+IF(AND('Raw data'!AE14='Real results'!C14,'Raw data'!AF14='Real results'!D14),2,0),0),0),0)</f>
        <v>0</v>
      </c>
      <c r="AG15" s="34">
        <f>IFERROR(IF(AND(ISNUMBER('Real results'!C14),ISNUMBER('Real results'!D14),ISNUMBER('Raw data'!AG14),ISNUMBER('Raw data'!AH14)),IF(SIGN('Raw data'!AG14-'Raw data'!AH14)=SIGN('Real results'!C14-'Real results'!D14),2+IF(AND('Raw data'!AG14='Real results'!C14,'Raw data'!AH14='Real results'!D14),2,0),0),0),0)</f>
        <v>0</v>
      </c>
      <c r="AI15" s="34">
        <f>IFERROR(IF(AND(ISNUMBER('Real results'!C14),ISNUMBER('Real results'!D14),ISNUMBER('Raw data'!AI14),ISNUMBER('Raw data'!AJ14)),IF(SIGN('Raw data'!AI14-'Raw data'!AJ14)=SIGN('Real results'!C14-'Real results'!D14),2+IF(AND('Raw data'!AI14='Real results'!C14,'Raw data'!AJ14='Real results'!D14),2,0),0),0),0)</f>
        <v>0</v>
      </c>
      <c r="AK15" s="34">
        <f>IFERROR(IF(AND(ISNUMBER('Real results'!C14),ISNUMBER('Real results'!D14),ISNUMBER('Raw data'!AK14),ISNUMBER('Raw data'!AL14)),IF(SIGN('Raw data'!AK14-'Raw data'!AL14)=SIGN('Real results'!C14-'Real results'!D14),2+IF(AND('Raw data'!AK14='Real results'!C14,'Raw data'!AL14='Real results'!D14),2,0),0),0),0)</f>
        <v>0</v>
      </c>
      <c r="AM15" s="34">
        <f>IFERROR(IF(AND(ISNUMBER('Real results'!C14),ISNUMBER('Real results'!D14),ISNUMBER('Raw data'!AM14),ISNUMBER('Raw data'!AN14)),IF(SIGN('Raw data'!AM14-'Raw data'!AN14)=SIGN('Real results'!C14-'Real results'!D14),2+IF(AND('Raw data'!AM14='Real results'!C14,'Raw data'!AN14='Real results'!D14),2,0),0),0),0)</f>
        <v>0</v>
      </c>
      <c r="AO15" s="34">
        <f>IFERROR(IF(AND(ISNUMBER('Real results'!C14),ISNUMBER('Real results'!D14),ISNUMBER('Raw data'!AO14),ISNUMBER('Raw data'!AP14)),IF(SIGN('Raw data'!AO14-'Raw data'!AP14)=SIGN('Real results'!C14-'Real results'!D14),2+IF(AND('Raw data'!AO14='Real results'!C14,'Raw data'!AP14='Real results'!D14),2,0),0),0),0)</f>
        <v>0</v>
      </c>
      <c r="AQ15" s="34">
        <f>IFERROR(IF(AND(ISNUMBER('Real results'!C14),ISNUMBER('Real results'!D14),ISNUMBER('Raw data'!AQ14),ISNUMBER('Raw data'!AR14)),IF(SIGN('Raw data'!AQ14-'Raw data'!AR14)=SIGN('Real results'!C14-'Real results'!D14),2+IF(AND('Raw data'!AQ14='Real results'!C14,'Raw data'!AR14='Real results'!D14),2,0),0),0),0)</f>
        <v>0</v>
      </c>
      <c r="AS15" s="34">
        <f>IFERROR(IF(AND(ISNUMBER('Real results'!C14),ISNUMBER('Real results'!D14),ISNUMBER('Raw data'!AS14),ISNUMBER('Raw data'!AT14)),IF(SIGN('Raw data'!AS14-'Raw data'!AT14)=SIGN('Real results'!C14-'Real results'!D14),2+IF(AND('Raw data'!AS14='Real results'!C14,'Raw data'!AT14='Real results'!D14),2,0),0),0),0)</f>
        <v>0</v>
      </c>
      <c r="AU15" s="34">
        <f>IFERROR(IF(AND(ISNUMBER('Real results'!C14),ISNUMBER('Real results'!D14),ISNUMBER('Raw data'!AU14),ISNUMBER('Raw data'!AV14)),IF(SIGN('Raw data'!AU14-'Raw data'!AV14)=SIGN('Real results'!C14-'Real results'!D14),2+IF(AND('Raw data'!AU14='Real results'!C14,'Raw data'!AV14='Real results'!D14),2,0),0),0),0)</f>
        <v>0</v>
      </c>
      <c r="AW15" s="34">
        <f>IFERROR(IF(AND(ISNUMBER('Real results'!C14),ISNUMBER('Real results'!D14),ISNUMBER('Raw data'!AW14),ISNUMBER('Raw data'!AX14)),IF(SIGN('Raw data'!AW14-'Raw data'!AX14)=SIGN('Real results'!C14-'Real results'!D14),2+IF(AND('Raw data'!AW14='Real results'!C14,'Raw data'!AX14='Real results'!D14),2,0),0),0),0)</f>
        <v>0</v>
      </c>
      <c r="AY15" s="34">
        <f>IFERROR(IF(AND(ISNUMBER('Real results'!C14),ISNUMBER('Real results'!D14),ISNUMBER('Raw data'!AY14),ISNUMBER('Raw data'!AZ14)),IF(SIGN('Raw data'!AY14-'Raw data'!AZ14)=SIGN('Real results'!C14-'Real results'!D14),2+IF(AND('Raw data'!AY14='Real results'!C14,'Raw data'!AZ14='Real results'!D14),2,0),0),0),0)</f>
        <v>0</v>
      </c>
      <c r="BA15" s="34">
        <f>IFERROR(IF(AND(ISNUMBER('Real results'!C14),ISNUMBER('Real results'!D14),ISNUMBER('Raw data'!BA14),ISNUMBER('Raw data'!BB14)),IF(SIGN('Raw data'!BA14-'Raw data'!BB14)=SIGN('Real results'!C14-'Real results'!D14),2+IF(AND('Raw data'!BA14='Real results'!C14,'Raw data'!BB14='Real results'!D14),2,0),0),0),0)</f>
        <v>0</v>
      </c>
      <c r="BC15" s="34">
        <f>IFERROR(IF(AND(ISNUMBER('Real results'!C14),ISNUMBER('Real results'!D14),ISNUMBER('Raw data'!BC14),ISNUMBER('Raw data'!BD14)),IF(SIGN('Raw data'!BC14-'Raw data'!BD14)=SIGN('Real results'!C14-'Real results'!D14),2+IF(AND('Raw data'!BC14='Real results'!C14,'Raw data'!BD14='Real results'!D14),2,0),0),0),0)</f>
        <v>0</v>
      </c>
      <c r="BE15" s="34">
        <f>IFERROR(IF(AND(ISNUMBER('Real results'!C14),ISNUMBER('Real results'!D14),ISNUMBER('Raw data'!BE14),ISNUMBER('Raw data'!BF14)),IF(SIGN('Raw data'!BE14-'Raw data'!BF14)=SIGN('Real results'!C14-'Real results'!D14),2+IF(AND('Raw data'!BE14='Real results'!C14,'Raw data'!BF14='Real results'!D14),2,0),0),0),0)</f>
        <v>0</v>
      </c>
      <c r="BG15" s="34">
        <f>IFERROR(IF(AND(ISNUMBER('Real results'!C14),ISNUMBER('Real results'!D14),ISNUMBER('Raw data'!BG14),ISNUMBER('Raw data'!BH14)),IF(SIGN('Raw data'!BG14-'Raw data'!BH14)=SIGN('Real results'!C14-'Real results'!D14),2+IF(AND('Raw data'!BG14='Real results'!C14,'Raw data'!BH14='Real results'!D14),2,0),0),0),0)</f>
        <v>0</v>
      </c>
      <c r="BI15" s="34">
        <f>IFERROR(IF(AND(ISNUMBER('Real results'!C14),ISNUMBER('Real results'!D14),ISNUMBER('Raw data'!BI14),ISNUMBER('Raw data'!BJ14)),IF(SIGN('Raw data'!BI14-'Raw data'!BJ14)=SIGN('Real results'!C14-'Real results'!D14),2+IF(AND('Raw data'!BI14='Real results'!C14,'Raw data'!BJ14='Real results'!D14),2,0),0),0),0)</f>
        <v>0</v>
      </c>
    </row>
    <row r="16" ht="18.0" customHeight="1">
      <c r="B16" s="12" t="s">
        <v>36</v>
      </c>
      <c r="C16" s="34">
        <f>IFERROR(IF(AND(ISNUMBER('Real results'!C15),ISNUMBER('Real results'!D15),ISNUMBER('Raw data'!C13),ISNUMBER('Raw data'!D13)),IF(SIGN('Raw data'!C13-'Raw data'!D13)=SIGN('Real results'!C15-'Real results'!D15),2+IF(AND('Raw data'!C13='Real results'!C15,'Raw data'!D13='Real results'!D15),2,0),0),0),0)</f>
        <v>2</v>
      </c>
      <c r="E16" s="34">
        <f>IFERROR(IF(AND(ISNUMBER('Real results'!C15),ISNUMBER('Real results'!D15),ISNUMBER('Raw data'!E14),ISNUMBER('Raw data'!F14)),IF(SIGN('Raw data'!E14-'Raw data'!F14)=SIGN('Real results'!C15-'Real results'!D15),2+IF(AND('Raw data'!E14='Real results'!C15,'Raw data'!F14='Real results'!D15),2,0),0),0),0)</f>
        <v>0</v>
      </c>
      <c r="G16" s="34">
        <f>IFERROR(IF(AND(ISNUMBER('Real results'!C15),ISNUMBER('Real results'!D15),ISNUMBER('Raw data'!G15),ISNUMBER('Raw data'!H15)),IF(SIGN('Raw data'!G15-'Raw data'!H15)=SIGN('Real results'!C15-'Real results'!D15),2+IF(AND('Raw data'!G15='Real results'!C15,'Raw data'!H15='Real results'!D15),2,0),0),0),0)</f>
        <v>2</v>
      </c>
      <c r="I16" s="34">
        <f>IFERROR(IF(AND(ISNUMBER('Real results'!C15),ISNUMBER('Real results'!D15),ISNUMBER('Raw data'!I15),ISNUMBER('Raw data'!J15)),IF(SIGN('Raw data'!I15-'Raw data'!J15)=SIGN('Real results'!C15-'Real results'!D15),2+IF(AND('Raw data'!I15='Real results'!C15,'Raw data'!J15='Real results'!D15),2,0),0),0),0)</f>
        <v>2</v>
      </c>
      <c r="K16" s="34">
        <f>IFERROR(IF(AND(ISNUMBER('Real results'!C15),ISNUMBER('Real results'!D15),ISNUMBER('Raw data'!K15),ISNUMBER('Raw data'!L15)),IF(SIGN('Raw data'!K15-'Raw data'!L15)=SIGN('Real results'!C15-'Real results'!D15),2+IF(AND('Raw data'!K15='Real results'!C15,'Raw data'!L15='Real results'!D15),2,0),0),0),0)</f>
        <v>2</v>
      </c>
      <c r="M16" s="34">
        <f>IFERROR(IF(AND(ISNUMBER('Real results'!C15),ISNUMBER('Real results'!D15),ISNUMBER('Raw data'!M15),ISNUMBER('Raw data'!N15)),IF(SIGN('Raw data'!M15-'Raw data'!N15)=SIGN('Real results'!C15-'Real results'!D15),2+IF(AND('Raw data'!M15='Real results'!C15,'Raw data'!N15='Real results'!D15),2,0),0),0),0)</f>
        <v>0</v>
      </c>
      <c r="O16" s="34">
        <f>IFERROR(IF(AND(ISNUMBER('Real results'!C15),ISNUMBER('Real results'!D15),ISNUMBER('Raw data'!O15),ISNUMBER('Raw data'!P15)),IF(SIGN('Raw data'!O15-'Raw data'!P15)=SIGN('Real results'!C15-'Real results'!D15),2+IF(AND('Raw data'!O15='Real results'!C15,'Raw data'!P15='Real results'!D15),2,0),0),0),0)</f>
        <v>0</v>
      </c>
      <c r="Q16" s="34">
        <f>IFERROR(IF(AND(ISNUMBER('Real results'!C15),ISNUMBER('Real results'!D15),ISNUMBER('Raw data'!Q15),ISNUMBER('Raw data'!R15)),IF(SIGN('Raw data'!Q15-'Raw data'!R15)=SIGN('Real results'!C15-'Real results'!D15),2+IF(AND('Raw data'!Q15='Real results'!C15,'Raw data'!R15='Real results'!D15),2,0),0),0),0)</f>
        <v>0</v>
      </c>
      <c r="S16" s="34">
        <f>IFERROR(IF(AND(ISNUMBER('Real results'!C15),ISNUMBER('Real results'!D15),ISNUMBER('Raw data'!S15),ISNUMBER('Raw data'!T15)),IF(SIGN('Raw data'!S15-'Raw data'!T15)=SIGN('Real results'!C15-'Real results'!D15),2+IF(AND('Raw data'!S15='Real results'!C15,'Raw data'!T15='Real results'!D15),2,0),0),0),0)</f>
        <v>0</v>
      </c>
      <c r="U16" s="34">
        <f>IFERROR(IF(AND(ISNUMBER('Real results'!C15),ISNUMBER('Real results'!D15),ISNUMBER('Raw data'!U15),ISNUMBER('Raw data'!V15)),IF(SIGN('Raw data'!U15-'Raw data'!V15)=SIGN('Real results'!C15-'Real results'!D15),2+IF(AND('Raw data'!U15='Real results'!C15,'Raw data'!V15='Real results'!D15),2,0),0),0),0)</f>
        <v>0</v>
      </c>
      <c r="W16" s="34">
        <f>IFERROR(IF(AND(ISNUMBER('Real results'!C15),ISNUMBER('Real results'!D15),ISNUMBER('Raw data'!W15),ISNUMBER('Raw data'!X15)),IF(SIGN('Raw data'!W15-'Raw data'!X15)=SIGN('Real results'!C15-'Real results'!D15),2+IF(AND('Raw data'!W15='Real results'!C15,'Raw data'!X15='Real results'!D15),2,0),0),0),0)</f>
        <v>0</v>
      </c>
      <c r="Y16" s="34">
        <f>IFERROR(IF(AND(ISNUMBER('Real results'!C15),ISNUMBER('Real results'!D15),ISNUMBER('Raw data'!Y15),ISNUMBER('Raw data'!Z15)),IF(SIGN('Raw data'!Y15-'Raw data'!Z15)=SIGN('Real results'!C15-'Real results'!D15),2+IF(AND('Raw data'!Y15='Real results'!C15,'Raw data'!Z15='Real results'!D15),2,0),0),0),0)</f>
        <v>0</v>
      </c>
      <c r="AA16" s="34">
        <f>IFERROR(IF(AND(ISNUMBER('Real results'!C15),ISNUMBER('Real results'!D15),ISNUMBER('Raw data'!AA15),ISNUMBER('Raw data'!AB15)),IF(SIGN('Raw data'!AA15-'Raw data'!AB15)=SIGN('Real results'!C15-'Real results'!D15),2+IF(AND('Raw data'!AA15='Real results'!C15,'Raw data'!AB15='Real results'!D15),2,0),0),0),0)</f>
        <v>0</v>
      </c>
      <c r="AC16" s="34">
        <f>IFERROR(IF(AND(ISNUMBER('Real results'!C15),ISNUMBER('Real results'!D15),ISNUMBER('Raw data'!AC15),ISNUMBER('Raw data'!AD15)),IF(SIGN('Raw data'!AC15-'Raw data'!AD15)=SIGN('Real results'!C15-'Real results'!D15),2+IF(AND('Raw data'!AC15='Real results'!C15,'Raw data'!AD15='Real results'!D15),2,0),0),0),0)</f>
        <v>0</v>
      </c>
      <c r="AE16" s="34">
        <f>IFERROR(IF(AND(ISNUMBER('Real results'!C15),ISNUMBER('Real results'!D15),ISNUMBER('Raw data'!AE15),ISNUMBER('Raw data'!AF15)),IF(SIGN('Raw data'!AE15-'Raw data'!AF15)=SIGN('Real results'!C15-'Real results'!D15),2+IF(AND('Raw data'!AE15='Real results'!C15,'Raw data'!AF15='Real results'!D15),2,0),0),0),0)</f>
        <v>0</v>
      </c>
      <c r="AG16" s="34">
        <f>IFERROR(IF(AND(ISNUMBER('Real results'!C15),ISNUMBER('Real results'!D15),ISNUMBER('Raw data'!AG15),ISNUMBER('Raw data'!AH15)),IF(SIGN('Raw data'!AG15-'Raw data'!AH15)=SIGN('Real results'!C15-'Real results'!D15),2+IF(AND('Raw data'!AG15='Real results'!C15,'Raw data'!AH15='Real results'!D15),2,0),0),0),0)</f>
        <v>0</v>
      </c>
      <c r="AI16" s="34">
        <f>IFERROR(IF(AND(ISNUMBER('Real results'!C15),ISNUMBER('Real results'!D15),ISNUMBER('Raw data'!AI15),ISNUMBER('Raw data'!AJ15)),IF(SIGN('Raw data'!AI15-'Raw data'!AJ15)=SIGN('Real results'!C15-'Real results'!D15),2+IF(AND('Raw data'!AI15='Real results'!C15,'Raw data'!AJ15='Real results'!D15),2,0),0),0),0)</f>
        <v>0</v>
      </c>
      <c r="AK16" s="34">
        <f>IFERROR(IF(AND(ISNUMBER('Real results'!C15),ISNUMBER('Real results'!D15),ISNUMBER('Raw data'!AK15),ISNUMBER('Raw data'!AL15)),IF(SIGN('Raw data'!AK15-'Raw data'!AL15)=SIGN('Real results'!C15-'Real results'!D15),2+IF(AND('Raw data'!AK15='Real results'!C15,'Raw data'!AL15='Real results'!D15),2,0),0),0),0)</f>
        <v>0</v>
      </c>
      <c r="AM16" s="34">
        <f>IFERROR(IF(AND(ISNUMBER('Real results'!C15),ISNUMBER('Real results'!D15),ISNUMBER('Raw data'!AM15),ISNUMBER('Raw data'!AN15)),IF(SIGN('Raw data'!AM15-'Raw data'!AN15)=SIGN('Real results'!C15-'Real results'!D15),2+IF(AND('Raw data'!AM15='Real results'!C15,'Raw data'!AN15='Real results'!D15),2,0),0),0),0)</f>
        <v>0</v>
      </c>
      <c r="AO16" s="34">
        <f>IFERROR(IF(AND(ISNUMBER('Real results'!C15),ISNUMBER('Real results'!D15),ISNUMBER('Raw data'!AO15),ISNUMBER('Raw data'!AP15)),IF(SIGN('Raw data'!AO15-'Raw data'!AP15)=SIGN('Real results'!C15-'Real results'!D15),2+IF(AND('Raw data'!AO15='Real results'!C15,'Raw data'!AP15='Real results'!D15),2,0),0),0),0)</f>
        <v>0</v>
      </c>
      <c r="AQ16" s="34">
        <f>IFERROR(IF(AND(ISNUMBER('Real results'!C15),ISNUMBER('Real results'!D15),ISNUMBER('Raw data'!AQ15),ISNUMBER('Raw data'!AR15)),IF(SIGN('Raw data'!AQ15-'Raw data'!AR15)=SIGN('Real results'!C15-'Real results'!D15),2+IF(AND('Raw data'!AQ15='Real results'!C15,'Raw data'!AR15='Real results'!D15),2,0),0),0),0)</f>
        <v>0</v>
      </c>
      <c r="AS16" s="34">
        <f>IFERROR(IF(AND(ISNUMBER('Real results'!C15),ISNUMBER('Real results'!D15),ISNUMBER('Raw data'!AS15),ISNUMBER('Raw data'!AT15)),IF(SIGN('Raw data'!AS15-'Raw data'!AT15)=SIGN('Real results'!C15-'Real results'!D15),2+IF(AND('Raw data'!AS15='Real results'!C15,'Raw data'!AT15='Real results'!D15),2,0),0),0),0)</f>
        <v>0</v>
      </c>
      <c r="AU16" s="34">
        <f>IFERROR(IF(AND(ISNUMBER('Real results'!C15),ISNUMBER('Real results'!D15),ISNUMBER('Raw data'!AU15),ISNUMBER('Raw data'!AV15)),IF(SIGN('Raw data'!AU15-'Raw data'!AV15)=SIGN('Real results'!C15-'Real results'!D15),2+IF(AND('Raw data'!AU15='Real results'!C15,'Raw data'!AV15='Real results'!D15),2,0),0),0),0)</f>
        <v>0</v>
      </c>
      <c r="AW16" s="34">
        <f>IFERROR(IF(AND(ISNUMBER('Real results'!C15),ISNUMBER('Real results'!D15),ISNUMBER('Raw data'!AW15),ISNUMBER('Raw data'!AX15)),IF(SIGN('Raw data'!AW15-'Raw data'!AX15)=SIGN('Real results'!C15-'Real results'!D15),2+IF(AND('Raw data'!AW15='Real results'!C15,'Raw data'!AX15='Real results'!D15),2,0),0),0),0)</f>
        <v>0</v>
      </c>
      <c r="AY16" s="34">
        <f>IFERROR(IF(AND(ISNUMBER('Real results'!C15),ISNUMBER('Real results'!D15),ISNUMBER('Raw data'!AY15),ISNUMBER('Raw data'!AZ15)),IF(SIGN('Raw data'!AY15-'Raw data'!AZ15)=SIGN('Real results'!C15-'Real results'!D15),2+IF(AND('Raw data'!AY15='Real results'!C15,'Raw data'!AZ15='Real results'!D15),2,0),0),0),0)</f>
        <v>0</v>
      </c>
      <c r="BA16" s="34">
        <f>IFERROR(IF(AND(ISNUMBER('Real results'!C15),ISNUMBER('Real results'!D15),ISNUMBER('Raw data'!BA15),ISNUMBER('Raw data'!BB15)),IF(SIGN('Raw data'!BA15-'Raw data'!BB15)=SIGN('Real results'!C15-'Real results'!D15),2+IF(AND('Raw data'!BA15='Real results'!C15,'Raw data'!BB15='Real results'!D15),2,0),0),0),0)</f>
        <v>0</v>
      </c>
      <c r="BC16" s="34">
        <f>IFERROR(IF(AND(ISNUMBER('Real results'!C15),ISNUMBER('Real results'!D15),ISNUMBER('Raw data'!BC15),ISNUMBER('Raw data'!BD15)),IF(SIGN('Raw data'!BC15-'Raw data'!BD15)=SIGN('Real results'!C15-'Real results'!D15),2+IF(AND('Raw data'!BC15='Real results'!C15,'Raw data'!BD15='Real results'!D15),2,0),0),0),0)</f>
        <v>0</v>
      </c>
      <c r="BE16" s="34">
        <f>IFERROR(IF(AND(ISNUMBER('Real results'!C15),ISNUMBER('Real results'!D15),ISNUMBER('Raw data'!BE15),ISNUMBER('Raw data'!BF15)),IF(SIGN('Raw data'!BE15-'Raw data'!BF15)=SIGN('Real results'!C15-'Real results'!D15),2+IF(AND('Raw data'!BE15='Real results'!C15,'Raw data'!BF15='Real results'!D15),2,0),0),0),0)</f>
        <v>0</v>
      </c>
      <c r="BG16" s="34">
        <f>IFERROR(IF(AND(ISNUMBER('Real results'!C15),ISNUMBER('Real results'!D15),ISNUMBER('Raw data'!BG15),ISNUMBER('Raw data'!BH15)),IF(SIGN('Raw data'!BG15-'Raw data'!BH15)=SIGN('Real results'!C15-'Real results'!D15),2+IF(AND('Raw data'!BG15='Real results'!C15,'Raw data'!BH15='Real results'!D15),2,0),0),0),0)</f>
        <v>0</v>
      </c>
      <c r="BI16" s="34">
        <f>IFERROR(IF(AND(ISNUMBER('Real results'!C15),ISNUMBER('Real results'!D15),ISNUMBER('Raw data'!BI15),ISNUMBER('Raw data'!BJ15)),IF(SIGN('Raw data'!BI15-'Raw data'!BJ15)=SIGN('Real results'!C15-'Real results'!D15),2+IF(AND('Raw data'!BI15='Real results'!C15,'Raw data'!BJ15='Real results'!D15),2,0),0),0),0)</f>
        <v>0</v>
      </c>
    </row>
    <row r="17" ht="18.0" customHeight="1">
      <c r="B17" s="12" t="s">
        <v>37</v>
      </c>
      <c r="C17" s="34">
        <f>IFERROR(IF(AND(ISNUMBER('Real results'!C16),ISNUMBER('Real results'!D16),ISNUMBER('Raw data'!C14),ISNUMBER('Raw data'!D14)),IF(SIGN('Raw data'!C14-'Raw data'!D14)=SIGN('Real results'!C16-'Real results'!D16),2+IF(AND('Raw data'!C14='Real results'!C16,'Raw data'!D14='Real results'!D16),2,0),0),0),0)</f>
        <v>0</v>
      </c>
      <c r="E17" s="34">
        <f>IFERROR(IF(AND(ISNUMBER('Real results'!C16),ISNUMBER('Real results'!D16),ISNUMBER('Raw data'!E15),ISNUMBER('Raw data'!F15)),IF(SIGN('Raw data'!E15-'Raw data'!F15)=SIGN('Real results'!C16-'Real results'!D16),2+IF(AND('Raw data'!E15='Real results'!C16,'Raw data'!F15='Real results'!D16),2,0),0),0),0)</f>
        <v>2</v>
      </c>
      <c r="G17" s="34">
        <f>IFERROR(IF(AND(ISNUMBER('Real results'!C16),ISNUMBER('Real results'!D16),ISNUMBER('Raw data'!G16),ISNUMBER('Raw data'!H16)),IF(SIGN('Raw data'!G16-'Raw data'!H16)=SIGN('Real results'!C16-'Real results'!D16),2+IF(AND('Raw data'!G16='Real results'!C16,'Raw data'!H16='Real results'!D16),2,0),0),0),0)</f>
        <v>2</v>
      </c>
      <c r="I17" s="34">
        <f>IFERROR(IF(AND(ISNUMBER('Real results'!C16),ISNUMBER('Real results'!D16),ISNUMBER('Raw data'!I16),ISNUMBER('Raw data'!J16)),IF(SIGN('Raw data'!I16-'Raw data'!J16)=SIGN('Real results'!C16-'Real results'!D16),2+IF(AND('Raw data'!I16='Real results'!C16,'Raw data'!J16='Real results'!D16),2,0),0),0),0)</f>
        <v>2</v>
      </c>
      <c r="K17" s="34">
        <f>IFERROR(IF(AND(ISNUMBER('Real results'!C16),ISNUMBER('Real results'!D16),ISNUMBER('Raw data'!K16),ISNUMBER('Raw data'!L16)),IF(SIGN('Raw data'!K16-'Raw data'!L16)=SIGN('Real results'!C16-'Real results'!D16),2+IF(AND('Raw data'!K16='Real results'!C16,'Raw data'!L16='Real results'!D16),2,0),0),0),0)</f>
        <v>2</v>
      </c>
      <c r="M17" s="34">
        <f>IFERROR(IF(AND(ISNUMBER('Real results'!C16),ISNUMBER('Real results'!D16),ISNUMBER('Raw data'!M16),ISNUMBER('Raw data'!N16)),IF(SIGN('Raw data'!M16-'Raw data'!N16)=SIGN('Real results'!C16-'Real results'!D16),2+IF(AND('Raw data'!M16='Real results'!C16,'Raw data'!N16='Real results'!D16),2,0),0),0),0)</f>
        <v>0</v>
      </c>
      <c r="O17" s="34">
        <f>IFERROR(IF(AND(ISNUMBER('Real results'!C16),ISNUMBER('Real results'!D16),ISNUMBER('Raw data'!O16),ISNUMBER('Raw data'!P16)),IF(SIGN('Raw data'!O16-'Raw data'!P16)=SIGN('Real results'!C16-'Real results'!D16),2+IF(AND('Raw data'!O16='Real results'!C16,'Raw data'!P16='Real results'!D16),2,0),0),0),0)</f>
        <v>0</v>
      </c>
      <c r="Q17" s="34">
        <f>IFERROR(IF(AND(ISNUMBER('Real results'!C16),ISNUMBER('Real results'!D16),ISNUMBER('Raw data'!Q16),ISNUMBER('Raw data'!R16)),IF(SIGN('Raw data'!Q16-'Raw data'!R16)=SIGN('Real results'!C16-'Real results'!D16),2+IF(AND('Raw data'!Q16='Real results'!C16,'Raw data'!R16='Real results'!D16),2,0),0),0),0)</f>
        <v>0</v>
      </c>
      <c r="S17" s="34">
        <f>IFERROR(IF(AND(ISNUMBER('Real results'!C16),ISNUMBER('Real results'!D16),ISNUMBER('Raw data'!S16),ISNUMBER('Raw data'!T16)),IF(SIGN('Raw data'!S16-'Raw data'!T16)=SIGN('Real results'!C16-'Real results'!D16),2+IF(AND('Raw data'!S16='Real results'!C16,'Raw data'!T16='Real results'!D16),2,0),0),0),0)</f>
        <v>0</v>
      </c>
      <c r="U17" s="34">
        <f>IFERROR(IF(AND(ISNUMBER('Real results'!C16),ISNUMBER('Real results'!D16),ISNUMBER('Raw data'!U16),ISNUMBER('Raw data'!V16)),IF(SIGN('Raw data'!U16-'Raw data'!V16)=SIGN('Real results'!C16-'Real results'!D16),2+IF(AND('Raw data'!U16='Real results'!C16,'Raw data'!V16='Real results'!D16),2,0),0),0),0)</f>
        <v>0</v>
      </c>
      <c r="W17" s="34">
        <f>IFERROR(IF(AND(ISNUMBER('Real results'!C16),ISNUMBER('Real results'!D16),ISNUMBER('Raw data'!W16),ISNUMBER('Raw data'!X16)),IF(SIGN('Raw data'!W16-'Raw data'!X16)=SIGN('Real results'!C16-'Real results'!D16),2+IF(AND('Raw data'!W16='Real results'!C16,'Raw data'!X16='Real results'!D16),2,0),0),0),0)</f>
        <v>0</v>
      </c>
      <c r="Y17" s="34">
        <f>IFERROR(IF(AND(ISNUMBER('Real results'!C16),ISNUMBER('Real results'!D16),ISNUMBER('Raw data'!Y16),ISNUMBER('Raw data'!Z16)),IF(SIGN('Raw data'!Y16-'Raw data'!Z16)=SIGN('Real results'!C16-'Real results'!D16),2+IF(AND('Raw data'!Y16='Real results'!C16,'Raw data'!Z16='Real results'!D16),2,0),0),0),0)</f>
        <v>0</v>
      </c>
      <c r="AA17" s="34">
        <f>IFERROR(IF(AND(ISNUMBER('Real results'!C16),ISNUMBER('Real results'!D16),ISNUMBER('Raw data'!AA16),ISNUMBER('Raw data'!AB16)),IF(SIGN('Raw data'!AA16-'Raw data'!AB16)=SIGN('Real results'!C16-'Real results'!D16),2+IF(AND('Raw data'!AA16='Real results'!C16,'Raw data'!AB16='Real results'!D16),2,0),0),0),0)</f>
        <v>0</v>
      </c>
      <c r="AC17" s="34">
        <f>IFERROR(IF(AND(ISNUMBER('Real results'!C16),ISNUMBER('Real results'!D16),ISNUMBER('Raw data'!AC16),ISNUMBER('Raw data'!AD16)),IF(SIGN('Raw data'!AC16-'Raw data'!AD16)=SIGN('Real results'!C16-'Real results'!D16),2+IF(AND('Raw data'!AC16='Real results'!C16,'Raw data'!AD16='Real results'!D16),2,0),0),0),0)</f>
        <v>0</v>
      </c>
      <c r="AE17" s="34">
        <f>IFERROR(IF(AND(ISNUMBER('Real results'!C16),ISNUMBER('Real results'!D16),ISNUMBER('Raw data'!AE16),ISNUMBER('Raw data'!AF16)),IF(SIGN('Raw data'!AE16-'Raw data'!AF16)=SIGN('Real results'!C16-'Real results'!D16),2+IF(AND('Raw data'!AE16='Real results'!C16,'Raw data'!AF16='Real results'!D16),2,0),0),0),0)</f>
        <v>0</v>
      </c>
      <c r="AG17" s="34">
        <f>IFERROR(IF(AND(ISNUMBER('Real results'!C16),ISNUMBER('Real results'!D16),ISNUMBER('Raw data'!AG16),ISNUMBER('Raw data'!AH16)),IF(SIGN('Raw data'!AG16-'Raw data'!AH16)=SIGN('Real results'!C16-'Real results'!D16),2+IF(AND('Raw data'!AG16='Real results'!C16,'Raw data'!AH16='Real results'!D16),2,0),0),0),0)</f>
        <v>0</v>
      </c>
      <c r="AI17" s="34">
        <f>IFERROR(IF(AND(ISNUMBER('Real results'!C16),ISNUMBER('Real results'!D16),ISNUMBER('Raw data'!AI16),ISNUMBER('Raw data'!AJ16)),IF(SIGN('Raw data'!AI16-'Raw data'!AJ16)=SIGN('Real results'!C16-'Real results'!D16),2+IF(AND('Raw data'!AI16='Real results'!C16,'Raw data'!AJ16='Real results'!D16),2,0),0),0),0)</f>
        <v>0</v>
      </c>
      <c r="AK17" s="34">
        <f>IFERROR(IF(AND(ISNUMBER('Real results'!C16),ISNUMBER('Real results'!D16),ISNUMBER('Raw data'!AK16),ISNUMBER('Raw data'!AL16)),IF(SIGN('Raw data'!AK16-'Raw data'!AL16)=SIGN('Real results'!C16-'Real results'!D16),2+IF(AND('Raw data'!AK16='Real results'!C16,'Raw data'!AL16='Real results'!D16),2,0),0),0),0)</f>
        <v>0</v>
      </c>
      <c r="AM17" s="34">
        <f>IFERROR(IF(AND(ISNUMBER('Real results'!C16),ISNUMBER('Real results'!D16),ISNUMBER('Raw data'!AM16),ISNUMBER('Raw data'!AN16)),IF(SIGN('Raw data'!AM16-'Raw data'!AN16)=SIGN('Real results'!C16-'Real results'!D16),2+IF(AND('Raw data'!AM16='Real results'!C16,'Raw data'!AN16='Real results'!D16),2,0),0),0),0)</f>
        <v>0</v>
      </c>
      <c r="AO17" s="34">
        <f>IFERROR(IF(AND(ISNUMBER('Real results'!C16),ISNUMBER('Real results'!D16),ISNUMBER('Raw data'!AO16),ISNUMBER('Raw data'!AP16)),IF(SIGN('Raw data'!AO16-'Raw data'!AP16)=SIGN('Real results'!C16-'Real results'!D16),2+IF(AND('Raw data'!AO16='Real results'!C16,'Raw data'!AP16='Real results'!D16),2,0),0),0),0)</f>
        <v>0</v>
      </c>
      <c r="AQ17" s="34">
        <f>IFERROR(IF(AND(ISNUMBER('Real results'!C16),ISNUMBER('Real results'!D16),ISNUMBER('Raw data'!AQ16),ISNUMBER('Raw data'!AR16)),IF(SIGN('Raw data'!AQ16-'Raw data'!AR16)=SIGN('Real results'!C16-'Real results'!D16),2+IF(AND('Raw data'!AQ16='Real results'!C16,'Raw data'!AR16='Real results'!D16),2,0),0),0),0)</f>
        <v>0</v>
      </c>
      <c r="AS17" s="34">
        <f>IFERROR(IF(AND(ISNUMBER('Real results'!C16),ISNUMBER('Real results'!D16),ISNUMBER('Raw data'!AS16),ISNUMBER('Raw data'!AT16)),IF(SIGN('Raw data'!AS16-'Raw data'!AT16)=SIGN('Real results'!C16-'Real results'!D16),2+IF(AND('Raw data'!AS16='Real results'!C16,'Raw data'!AT16='Real results'!D16),2,0),0),0),0)</f>
        <v>0</v>
      </c>
      <c r="AU17" s="34">
        <f>IFERROR(IF(AND(ISNUMBER('Real results'!C16),ISNUMBER('Real results'!D16),ISNUMBER('Raw data'!AU16),ISNUMBER('Raw data'!AV16)),IF(SIGN('Raw data'!AU16-'Raw data'!AV16)=SIGN('Real results'!C16-'Real results'!D16),2+IF(AND('Raw data'!AU16='Real results'!C16,'Raw data'!AV16='Real results'!D16),2,0),0),0),0)</f>
        <v>0</v>
      </c>
      <c r="AW17" s="34">
        <f>IFERROR(IF(AND(ISNUMBER('Real results'!C16),ISNUMBER('Real results'!D16),ISNUMBER('Raw data'!AW16),ISNUMBER('Raw data'!AX16)),IF(SIGN('Raw data'!AW16-'Raw data'!AX16)=SIGN('Real results'!C16-'Real results'!D16),2+IF(AND('Raw data'!AW16='Real results'!C16,'Raw data'!AX16='Real results'!D16),2,0),0),0),0)</f>
        <v>0</v>
      </c>
      <c r="AY17" s="34">
        <f>IFERROR(IF(AND(ISNUMBER('Real results'!C16),ISNUMBER('Real results'!D16),ISNUMBER('Raw data'!AY16),ISNUMBER('Raw data'!AZ16)),IF(SIGN('Raw data'!AY16-'Raw data'!AZ16)=SIGN('Real results'!C16-'Real results'!D16),2+IF(AND('Raw data'!AY16='Real results'!C16,'Raw data'!AZ16='Real results'!D16),2,0),0),0),0)</f>
        <v>0</v>
      </c>
      <c r="BA17" s="34">
        <f>IFERROR(IF(AND(ISNUMBER('Real results'!C16),ISNUMBER('Real results'!D16),ISNUMBER('Raw data'!BA16),ISNUMBER('Raw data'!BB16)),IF(SIGN('Raw data'!BA16-'Raw data'!BB16)=SIGN('Real results'!C16-'Real results'!D16),2+IF(AND('Raw data'!BA16='Real results'!C16,'Raw data'!BB16='Real results'!D16),2,0),0),0),0)</f>
        <v>0</v>
      </c>
      <c r="BC17" s="34">
        <f>IFERROR(IF(AND(ISNUMBER('Real results'!C16),ISNUMBER('Real results'!D16),ISNUMBER('Raw data'!BC16),ISNUMBER('Raw data'!BD16)),IF(SIGN('Raw data'!BC16-'Raw data'!BD16)=SIGN('Real results'!C16-'Real results'!D16),2+IF(AND('Raw data'!BC16='Real results'!C16,'Raw data'!BD16='Real results'!D16),2,0),0),0),0)</f>
        <v>0</v>
      </c>
      <c r="BE17" s="34">
        <f>IFERROR(IF(AND(ISNUMBER('Real results'!C16),ISNUMBER('Real results'!D16),ISNUMBER('Raw data'!BE16),ISNUMBER('Raw data'!BF16)),IF(SIGN('Raw data'!BE16-'Raw data'!BF16)=SIGN('Real results'!C16-'Real results'!D16),2+IF(AND('Raw data'!BE16='Real results'!C16,'Raw data'!BF16='Real results'!D16),2,0),0),0),0)</f>
        <v>0</v>
      </c>
      <c r="BG17" s="34">
        <f>IFERROR(IF(AND(ISNUMBER('Real results'!C16),ISNUMBER('Real results'!D16),ISNUMBER('Raw data'!BG16),ISNUMBER('Raw data'!BH16)),IF(SIGN('Raw data'!BG16-'Raw data'!BH16)=SIGN('Real results'!C16-'Real results'!D16),2+IF(AND('Raw data'!BG16='Real results'!C16,'Raw data'!BH16='Real results'!D16),2,0),0),0),0)</f>
        <v>0</v>
      </c>
      <c r="BI17" s="34">
        <f>IFERROR(IF(AND(ISNUMBER('Real results'!C16),ISNUMBER('Real results'!D16),ISNUMBER('Raw data'!BI16),ISNUMBER('Raw data'!BJ16)),IF(SIGN('Raw data'!BI16-'Raw data'!BJ16)=SIGN('Real results'!C16-'Real results'!D16),2+IF(AND('Raw data'!BI16='Real results'!C16,'Raw data'!BJ16='Real results'!D16),2,0),0),0),0)</f>
        <v>0</v>
      </c>
    </row>
    <row r="18" ht="18.0" customHeight="1">
      <c r="B18" s="12" t="s">
        <v>38</v>
      </c>
      <c r="C18" s="34">
        <f>IFERROR(IF(AND(ISNUMBER('Real results'!C17),ISNUMBER('Real results'!D17),ISNUMBER('Raw data'!C15),ISNUMBER('Raw data'!D15)),IF(SIGN('Raw data'!C15-'Raw data'!D15)=SIGN('Real results'!C17-'Real results'!D17),2+IF(AND('Raw data'!C15='Real results'!C17,'Raw data'!D15='Real results'!D17),2,0),0),0),0)</f>
        <v>0</v>
      </c>
      <c r="E18" s="34">
        <f>IFERROR(IF(AND(ISNUMBER('Real results'!C17),ISNUMBER('Real results'!D17),ISNUMBER('Raw data'!E16),ISNUMBER('Raw data'!F16)),IF(SIGN('Raw data'!E16-'Raw data'!F16)=SIGN('Real results'!C17-'Real results'!D17),2+IF(AND('Raw data'!E16='Real results'!C17,'Raw data'!F16='Real results'!D17),2,0),0),0),0)</f>
        <v>4</v>
      </c>
      <c r="G18" s="34">
        <f>IFERROR(IF(AND(ISNUMBER('Real results'!C17),ISNUMBER('Real results'!D17),ISNUMBER('Raw data'!G17),ISNUMBER('Raw data'!H17)),IF(SIGN('Raw data'!G17-'Raw data'!H17)=SIGN('Real results'!C17-'Real results'!D17),2+IF(AND('Raw data'!G17='Real results'!C17,'Raw data'!H17='Real results'!D17),2,0),0),0),0)</f>
        <v>2</v>
      </c>
      <c r="I18" s="34">
        <f>IFERROR(IF(AND(ISNUMBER('Real results'!C17),ISNUMBER('Real results'!D17),ISNUMBER('Raw data'!I17),ISNUMBER('Raw data'!J17)),IF(SIGN('Raw data'!I17-'Raw data'!J17)=SIGN('Real results'!C17-'Real results'!D17),2+IF(AND('Raw data'!I17='Real results'!C17,'Raw data'!J17='Real results'!D17),2,0),0),0),0)</f>
        <v>4</v>
      </c>
      <c r="K18" s="34">
        <f>IFERROR(IF(AND(ISNUMBER('Real results'!C17),ISNUMBER('Real results'!D17),ISNUMBER('Raw data'!K17),ISNUMBER('Raw data'!L17)),IF(SIGN('Raw data'!K17-'Raw data'!L17)=SIGN('Real results'!C17-'Real results'!D17),2+IF(AND('Raw data'!K17='Real results'!C17,'Raw data'!L17='Real results'!D17),2,0),0),0),0)</f>
        <v>4</v>
      </c>
      <c r="M18" s="34">
        <f>IFERROR(IF(AND(ISNUMBER('Real results'!C17),ISNUMBER('Real results'!D17),ISNUMBER('Raw data'!M17),ISNUMBER('Raw data'!N17)),IF(SIGN('Raw data'!M17-'Raw data'!N17)=SIGN('Real results'!C17-'Real results'!D17),2+IF(AND('Raw data'!M17='Real results'!C17,'Raw data'!N17='Real results'!D17),2,0),0),0),0)</f>
        <v>0</v>
      </c>
      <c r="O18" s="34">
        <f>IFERROR(IF(AND(ISNUMBER('Real results'!C17),ISNUMBER('Real results'!D17),ISNUMBER('Raw data'!O17),ISNUMBER('Raw data'!P17)),IF(SIGN('Raw data'!O17-'Raw data'!P17)=SIGN('Real results'!C17-'Real results'!D17),2+IF(AND('Raw data'!O17='Real results'!C17,'Raw data'!P17='Real results'!D17),2,0),0),0),0)</f>
        <v>0</v>
      </c>
      <c r="Q18" s="34">
        <f>IFERROR(IF(AND(ISNUMBER('Real results'!C17),ISNUMBER('Real results'!D17),ISNUMBER('Raw data'!Q17),ISNUMBER('Raw data'!R17)),IF(SIGN('Raw data'!Q17-'Raw data'!R17)=SIGN('Real results'!C17-'Real results'!D17),2+IF(AND('Raw data'!Q17='Real results'!C17,'Raw data'!R17='Real results'!D17),2,0),0),0),0)</f>
        <v>0</v>
      </c>
      <c r="S18" s="34">
        <f>IFERROR(IF(AND(ISNUMBER('Real results'!C17),ISNUMBER('Real results'!D17),ISNUMBER('Raw data'!S17),ISNUMBER('Raw data'!T17)),IF(SIGN('Raw data'!S17-'Raw data'!T17)=SIGN('Real results'!C17-'Real results'!D17),2+IF(AND('Raw data'!S17='Real results'!C17,'Raw data'!T17='Real results'!D17),2,0),0),0),0)</f>
        <v>0</v>
      </c>
      <c r="U18" s="34">
        <f>IFERROR(IF(AND(ISNUMBER('Real results'!C17),ISNUMBER('Real results'!D17),ISNUMBER('Raw data'!U17),ISNUMBER('Raw data'!V17)),IF(SIGN('Raw data'!U17-'Raw data'!V17)=SIGN('Real results'!C17-'Real results'!D17),2+IF(AND('Raw data'!U17='Real results'!C17,'Raw data'!V17='Real results'!D17),2,0),0),0),0)</f>
        <v>0</v>
      </c>
      <c r="W18" s="34">
        <f>IFERROR(IF(AND(ISNUMBER('Real results'!C17),ISNUMBER('Real results'!D17),ISNUMBER('Raw data'!W17),ISNUMBER('Raw data'!X17)),IF(SIGN('Raw data'!W17-'Raw data'!X17)=SIGN('Real results'!C17-'Real results'!D17),2+IF(AND('Raw data'!W17='Real results'!C17,'Raw data'!X17='Real results'!D17),2,0),0),0),0)</f>
        <v>0</v>
      </c>
      <c r="Y18" s="34">
        <f>IFERROR(IF(AND(ISNUMBER('Real results'!C17),ISNUMBER('Real results'!D17),ISNUMBER('Raw data'!Y17),ISNUMBER('Raw data'!Z17)),IF(SIGN('Raw data'!Y17-'Raw data'!Z17)=SIGN('Real results'!C17-'Real results'!D17),2+IF(AND('Raw data'!Y17='Real results'!C17,'Raw data'!Z17='Real results'!D17),2,0),0),0),0)</f>
        <v>0</v>
      </c>
      <c r="AA18" s="34">
        <f>IFERROR(IF(AND(ISNUMBER('Real results'!C17),ISNUMBER('Real results'!D17),ISNUMBER('Raw data'!AA17),ISNUMBER('Raw data'!AB17)),IF(SIGN('Raw data'!AA17-'Raw data'!AB17)=SIGN('Real results'!C17-'Real results'!D17),2+IF(AND('Raw data'!AA17='Real results'!C17,'Raw data'!AB17='Real results'!D17),2,0),0),0),0)</f>
        <v>0</v>
      </c>
      <c r="AC18" s="34">
        <f>IFERROR(IF(AND(ISNUMBER('Real results'!C17),ISNUMBER('Real results'!D17),ISNUMBER('Raw data'!AC17),ISNUMBER('Raw data'!AD17)),IF(SIGN('Raw data'!AC17-'Raw data'!AD17)=SIGN('Real results'!C17-'Real results'!D17),2+IF(AND('Raw data'!AC17='Real results'!C17,'Raw data'!AD17='Real results'!D17),2,0),0),0),0)</f>
        <v>0</v>
      </c>
      <c r="AE18" s="34">
        <f>IFERROR(IF(AND(ISNUMBER('Real results'!C17),ISNUMBER('Real results'!D17),ISNUMBER('Raw data'!AE17),ISNUMBER('Raw data'!AF17)),IF(SIGN('Raw data'!AE17-'Raw data'!AF17)=SIGN('Real results'!C17-'Real results'!D17),2+IF(AND('Raw data'!AE17='Real results'!C17,'Raw data'!AF17='Real results'!D17),2,0),0),0),0)</f>
        <v>0</v>
      </c>
      <c r="AG18" s="34">
        <f>IFERROR(IF(AND(ISNUMBER('Real results'!C17),ISNUMBER('Real results'!D17),ISNUMBER('Raw data'!AG17),ISNUMBER('Raw data'!AH17)),IF(SIGN('Raw data'!AG17-'Raw data'!AH17)=SIGN('Real results'!C17-'Real results'!D17),2+IF(AND('Raw data'!AG17='Real results'!C17,'Raw data'!AH17='Real results'!D17),2,0),0),0),0)</f>
        <v>0</v>
      </c>
      <c r="AI18" s="34">
        <f>IFERROR(IF(AND(ISNUMBER('Real results'!C17),ISNUMBER('Real results'!D17),ISNUMBER('Raw data'!AI17),ISNUMBER('Raw data'!AJ17)),IF(SIGN('Raw data'!AI17-'Raw data'!AJ17)=SIGN('Real results'!C17-'Real results'!D17),2+IF(AND('Raw data'!AI17='Real results'!C17,'Raw data'!AJ17='Real results'!D17),2,0),0),0),0)</f>
        <v>0</v>
      </c>
      <c r="AK18" s="34">
        <f>IFERROR(IF(AND(ISNUMBER('Real results'!C17),ISNUMBER('Real results'!D17),ISNUMBER('Raw data'!AK17),ISNUMBER('Raw data'!AL17)),IF(SIGN('Raw data'!AK17-'Raw data'!AL17)=SIGN('Real results'!C17-'Real results'!D17),2+IF(AND('Raw data'!AK17='Real results'!C17,'Raw data'!AL17='Real results'!D17),2,0),0),0),0)</f>
        <v>0</v>
      </c>
      <c r="AM18" s="34">
        <f>IFERROR(IF(AND(ISNUMBER('Real results'!C17),ISNUMBER('Real results'!D17),ISNUMBER('Raw data'!AM17),ISNUMBER('Raw data'!AN17)),IF(SIGN('Raw data'!AM17-'Raw data'!AN17)=SIGN('Real results'!C17-'Real results'!D17),2+IF(AND('Raw data'!AM17='Real results'!C17,'Raw data'!AN17='Real results'!D17),2,0),0),0),0)</f>
        <v>0</v>
      </c>
      <c r="AO18" s="34">
        <f>IFERROR(IF(AND(ISNUMBER('Real results'!C17),ISNUMBER('Real results'!D17),ISNUMBER('Raw data'!AO17),ISNUMBER('Raw data'!AP17)),IF(SIGN('Raw data'!AO17-'Raw data'!AP17)=SIGN('Real results'!C17-'Real results'!D17),2+IF(AND('Raw data'!AO17='Real results'!C17,'Raw data'!AP17='Real results'!D17),2,0),0),0),0)</f>
        <v>0</v>
      </c>
      <c r="AQ18" s="34">
        <f>IFERROR(IF(AND(ISNUMBER('Real results'!C17),ISNUMBER('Real results'!D17),ISNUMBER('Raw data'!AQ17),ISNUMBER('Raw data'!AR17)),IF(SIGN('Raw data'!AQ17-'Raw data'!AR17)=SIGN('Real results'!C17-'Real results'!D17),2+IF(AND('Raw data'!AQ17='Real results'!C17,'Raw data'!AR17='Real results'!D17),2,0),0),0),0)</f>
        <v>0</v>
      </c>
      <c r="AS18" s="34">
        <f>IFERROR(IF(AND(ISNUMBER('Real results'!C17),ISNUMBER('Real results'!D17),ISNUMBER('Raw data'!AS17),ISNUMBER('Raw data'!AT17)),IF(SIGN('Raw data'!AS17-'Raw data'!AT17)=SIGN('Real results'!C17-'Real results'!D17),2+IF(AND('Raw data'!AS17='Real results'!C17,'Raw data'!AT17='Real results'!D17),2,0),0),0),0)</f>
        <v>0</v>
      </c>
      <c r="AU18" s="34">
        <f>IFERROR(IF(AND(ISNUMBER('Real results'!C17),ISNUMBER('Real results'!D17),ISNUMBER('Raw data'!AU17),ISNUMBER('Raw data'!AV17)),IF(SIGN('Raw data'!AU17-'Raw data'!AV17)=SIGN('Real results'!C17-'Real results'!D17),2+IF(AND('Raw data'!AU17='Real results'!C17,'Raw data'!AV17='Real results'!D17),2,0),0),0),0)</f>
        <v>0</v>
      </c>
      <c r="AW18" s="34">
        <f>IFERROR(IF(AND(ISNUMBER('Real results'!C17),ISNUMBER('Real results'!D17),ISNUMBER('Raw data'!AW17),ISNUMBER('Raw data'!AX17)),IF(SIGN('Raw data'!AW17-'Raw data'!AX17)=SIGN('Real results'!C17-'Real results'!D17),2+IF(AND('Raw data'!AW17='Real results'!C17,'Raw data'!AX17='Real results'!D17),2,0),0),0),0)</f>
        <v>0</v>
      </c>
      <c r="AY18" s="34">
        <f>IFERROR(IF(AND(ISNUMBER('Real results'!C17),ISNUMBER('Real results'!D17),ISNUMBER('Raw data'!AY17),ISNUMBER('Raw data'!AZ17)),IF(SIGN('Raw data'!AY17-'Raw data'!AZ17)=SIGN('Real results'!C17-'Real results'!D17),2+IF(AND('Raw data'!AY17='Real results'!C17,'Raw data'!AZ17='Real results'!D17),2,0),0),0),0)</f>
        <v>0</v>
      </c>
      <c r="BA18" s="34">
        <f>IFERROR(IF(AND(ISNUMBER('Real results'!C17),ISNUMBER('Real results'!D17),ISNUMBER('Raw data'!BA17),ISNUMBER('Raw data'!BB17)),IF(SIGN('Raw data'!BA17-'Raw data'!BB17)=SIGN('Real results'!C17-'Real results'!D17),2+IF(AND('Raw data'!BA17='Real results'!C17,'Raw data'!BB17='Real results'!D17),2,0),0),0),0)</f>
        <v>0</v>
      </c>
      <c r="BC18" s="34">
        <f>IFERROR(IF(AND(ISNUMBER('Real results'!C17),ISNUMBER('Real results'!D17),ISNUMBER('Raw data'!BC17),ISNUMBER('Raw data'!BD17)),IF(SIGN('Raw data'!BC17-'Raw data'!BD17)=SIGN('Real results'!C17-'Real results'!D17),2+IF(AND('Raw data'!BC17='Real results'!C17,'Raw data'!BD17='Real results'!D17),2,0),0),0),0)</f>
        <v>0</v>
      </c>
      <c r="BE18" s="34">
        <f>IFERROR(IF(AND(ISNUMBER('Real results'!C17),ISNUMBER('Real results'!D17),ISNUMBER('Raw data'!BE17),ISNUMBER('Raw data'!BF17)),IF(SIGN('Raw data'!BE17-'Raw data'!BF17)=SIGN('Real results'!C17-'Real results'!D17),2+IF(AND('Raw data'!BE17='Real results'!C17,'Raw data'!BF17='Real results'!D17),2,0),0),0),0)</f>
        <v>0</v>
      </c>
      <c r="BG18" s="34">
        <f>IFERROR(IF(AND(ISNUMBER('Real results'!C17),ISNUMBER('Real results'!D17),ISNUMBER('Raw data'!BG17),ISNUMBER('Raw data'!BH17)),IF(SIGN('Raw data'!BG17-'Raw data'!BH17)=SIGN('Real results'!C17-'Real results'!D17),2+IF(AND('Raw data'!BG17='Real results'!C17,'Raw data'!BH17='Real results'!D17),2,0),0),0),0)</f>
        <v>0</v>
      </c>
      <c r="BI18" s="34">
        <f>IFERROR(IF(AND(ISNUMBER('Real results'!C17),ISNUMBER('Real results'!D17),ISNUMBER('Raw data'!BI17),ISNUMBER('Raw data'!BJ17)),IF(SIGN('Raw data'!BI17-'Raw data'!BJ17)=SIGN('Real results'!C17-'Real results'!D17),2+IF(AND('Raw data'!BI17='Real results'!C17,'Raw data'!BJ17='Real results'!D17),2,0),0),0),0)</f>
        <v>0</v>
      </c>
    </row>
    <row r="19" ht="18.0" customHeight="1">
      <c r="B19" s="12" t="s">
        <v>39</v>
      </c>
      <c r="C19" s="34">
        <f>IFERROR(IF(AND(ISNUMBER('Real results'!C18),ISNUMBER('Real results'!D18),ISNUMBER('Raw data'!C16),ISNUMBER('Raw data'!D16)),IF(SIGN('Raw data'!C16-'Raw data'!D16)=SIGN('Real results'!C18-'Real results'!D18),2+IF(AND('Raw data'!C16='Real results'!C18,'Raw data'!D16='Real results'!D18),2,0),0),0),0)</f>
        <v>2</v>
      </c>
      <c r="E19" s="34">
        <f>IFERROR(IF(AND(ISNUMBER('Real results'!C18),ISNUMBER('Real results'!D18),ISNUMBER('Raw data'!E17),ISNUMBER('Raw data'!F17)),IF(SIGN('Raw data'!E17-'Raw data'!F17)=SIGN('Real results'!C18-'Real results'!D18),2+IF(AND('Raw data'!E17='Real results'!C18,'Raw data'!F17='Real results'!D18),2,0),0),0),0)</f>
        <v>0</v>
      </c>
      <c r="G19" s="34">
        <f>IFERROR(IF(AND(ISNUMBER('Real results'!C18),ISNUMBER('Real results'!D18),ISNUMBER('Raw data'!G18),ISNUMBER('Raw data'!H18)),IF(SIGN('Raw data'!G18-'Raw data'!H18)=SIGN('Real results'!C18-'Real results'!D18),2+IF(AND('Raw data'!G18='Real results'!C18,'Raw data'!H18='Real results'!D18),2,0),0),0),0)</f>
        <v>0</v>
      </c>
      <c r="I19" s="34">
        <f>IFERROR(IF(AND(ISNUMBER('Real results'!C18),ISNUMBER('Real results'!D18),ISNUMBER('Raw data'!I18),ISNUMBER('Raw data'!J18)),IF(SIGN('Raw data'!I18-'Raw data'!J18)=SIGN('Real results'!C18-'Real results'!D18),2+IF(AND('Raw data'!I18='Real results'!C18,'Raw data'!J18='Real results'!D18),2,0),0),0),0)</f>
        <v>2</v>
      </c>
      <c r="K19" s="34">
        <f>IFERROR(IF(AND(ISNUMBER('Real results'!C18),ISNUMBER('Real results'!D18),ISNUMBER('Raw data'!K18),ISNUMBER('Raw data'!L18)),IF(SIGN('Raw data'!K18-'Raw data'!L18)=SIGN('Real results'!C18-'Real results'!D18),2+IF(AND('Raw data'!K18='Real results'!C18,'Raw data'!L18='Real results'!D18),2,0),0),0),0)</f>
        <v>2</v>
      </c>
      <c r="M19" s="34">
        <f>IFERROR(IF(AND(ISNUMBER('Real results'!C18),ISNUMBER('Real results'!D18),ISNUMBER('Raw data'!M18),ISNUMBER('Raw data'!N18)),IF(SIGN('Raw data'!M18-'Raw data'!N18)=SIGN('Real results'!C18-'Real results'!D18),2+IF(AND('Raw data'!M18='Real results'!C18,'Raw data'!N18='Real results'!D18),2,0),0),0),0)</f>
        <v>0</v>
      </c>
      <c r="O19" s="34">
        <f>IFERROR(IF(AND(ISNUMBER('Real results'!C18),ISNUMBER('Real results'!D18),ISNUMBER('Raw data'!O18),ISNUMBER('Raw data'!P18)),IF(SIGN('Raw data'!O18-'Raw data'!P18)=SIGN('Real results'!C18-'Real results'!D18),2+IF(AND('Raw data'!O18='Real results'!C18,'Raw data'!P18='Real results'!D18),2,0),0),0),0)</f>
        <v>0</v>
      </c>
      <c r="Q19" s="34">
        <f>IFERROR(IF(AND(ISNUMBER('Real results'!C18),ISNUMBER('Real results'!D18),ISNUMBER('Raw data'!Q18),ISNUMBER('Raw data'!R18)),IF(SIGN('Raw data'!Q18-'Raw data'!R18)=SIGN('Real results'!C18-'Real results'!D18),2+IF(AND('Raw data'!Q18='Real results'!C18,'Raw data'!R18='Real results'!D18),2,0),0),0),0)</f>
        <v>0</v>
      </c>
      <c r="S19" s="34">
        <f>IFERROR(IF(AND(ISNUMBER('Real results'!C18),ISNUMBER('Real results'!D18),ISNUMBER('Raw data'!S18),ISNUMBER('Raw data'!T18)),IF(SIGN('Raw data'!S18-'Raw data'!T18)=SIGN('Real results'!C18-'Real results'!D18),2+IF(AND('Raw data'!S18='Real results'!C18,'Raw data'!T18='Real results'!D18),2,0),0),0),0)</f>
        <v>0</v>
      </c>
      <c r="U19" s="34">
        <f>IFERROR(IF(AND(ISNUMBER('Real results'!C18),ISNUMBER('Real results'!D18),ISNUMBER('Raw data'!U18),ISNUMBER('Raw data'!V18)),IF(SIGN('Raw data'!U18-'Raw data'!V18)=SIGN('Real results'!C18-'Real results'!D18),2+IF(AND('Raw data'!U18='Real results'!C18,'Raw data'!V18='Real results'!D18),2,0),0),0),0)</f>
        <v>0</v>
      </c>
      <c r="W19" s="34">
        <f>IFERROR(IF(AND(ISNUMBER('Real results'!C18),ISNUMBER('Real results'!D18),ISNUMBER('Raw data'!W18),ISNUMBER('Raw data'!X18)),IF(SIGN('Raw data'!W18-'Raw data'!X18)=SIGN('Real results'!C18-'Real results'!D18),2+IF(AND('Raw data'!W18='Real results'!C18,'Raw data'!X18='Real results'!D18),2,0),0),0),0)</f>
        <v>0</v>
      </c>
      <c r="Y19" s="34">
        <f>IFERROR(IF(AND(ISNUMBER('Real results'!C18),ISNUMBER('Real results'!D18),ISNUMBER('Raw data'!Y18),ISNUMBER('Raw data'!Z18)),IF(SIGN('Raw data'!Y18-'Raw data'!Z18)=SIGN('Real results'!C18-'Real results'!D18),2+IF(AND('Raw data'!Y18='Real results'!C18,'Raw data'!Z18='Real results'!D18),2,0),0),0),0)</f>
        <v>0</v>
      </c>
      <c r="AA19" s="34">
        <f>IFERROR(IF(AND(ISNUMBER('Real results'!C18),ISNUMBER('Real results'!D18),ISNUMBER('Raw data'!AA18),ISNUMBER('Raw data'!AB18)),IF(SIGN('Raw data'!AA18-'Raw data'!AB18)=SIGN('Real results'!C18-'Real results'!D18),2+IF(AND('Raw data'!AA18='Real results'!C18,'Raw data'!AB18='Real results'!D18),2,0),0),0),0)</f>
        <v>0</v>
      </c>
      <c r="AC19" s="34">
        <f>IFERROR(IF(AND(ISNUMBER('Real results'!C18),ISNUMBER('Real results'!D18),ISNUMBER('Raw data'!AC18),ISNUMBER('Raw data'!AD18)),IF(SIGN('Raw data'!AC18-'Raw data'!AD18)=SIGN('Real results'!C18-'Real results'!D18),2+IF(AND('Raw data'!AC18='Real results'!C18,'Raw data'!AD18='Real results'!D18),2,0),0),0),0)</f>
        <v>0</v>
      </c>
      <c r="AE19" s="34">
        <f>IFERROR(IF(AND(ISNUMBER('Real results'!C18),ISNUMBER('Real results'!D18),ISNUMBER('Raw data'!AE18),ISNUMBER('Raw data'!AF18)),IF(SIGN('Raw data'!AE18-'Raw data'!AF18)=SIGN('Real results'!C18-'Real results'!D18),2+IF(AND('Raw data'!AE18='Real results'!C18,'Raw data'!AF18='Real results'!D18),2,0),0),0),0)</f>
        <v>0</v>
      </c>
      <c r="AG19" s="34">
        <f>IFERROR(IF(AND(ISNUMBER('Real results'!C18),ISNUMBER('Real results'!D18),ISNUMBER('Raw data'!AG18),ISNUMBER('Raw data'!AH18)),IF(SIGN('Raw data'!AG18-'Raw data'!AH18)=SIGN('Real results'!C18-'Real results'!D18),2+IF(AND('Raw data'!AG18='Real results'!C18,'Raw data'!AH18='Real results'!D18),2,0),0),0),0)</f>
        <v>0</v>
      </c>
      <c r="AI19" s="34">
        <f>IFERROR(IF(AND(ISNUMBER('Real results'!C18),ISNUMBER('Real results'!D18),ISNUMBER('Raw data'!AI18),ISNUMBER('Raw data'!AJ18)),IF(SIGN('Raw data'!AI18-'Raw data'!AJ18)=SIGN('Real results'!C18-'Real results'!D18),2+IF(AND('Raw data'!AI18='Real results'!C18,'Raw data'!AJ18='Real results'!D18),2,0),0),0),0)</f>
        <v>0</v>
      </c>
      <c r="AK19" s="34">
        <f>IFERROR(IF(AND(ISNUMBER('Real results'!C18),ISNUMBER('Real results'!D18),ISNUMBER('Raw data'!AK18),ISNUMBER('Raw data'!AL18)),IF(SIGN('Raw data'!AK18-'Raw data'!AL18)=SIGN('Real results'!C18-'Real results'!D18),2+IF(AND('Raw data'!AK18='Real results'!C18,'Raw data'!AL18='Real results'!D18),2,0),0),0),0)</f>
        <v>0</v>
      </c>
      <c r="AM19" s="34">
        <f>IFERROR(IF(AND(ISNUMBER('Real results'!C18),ISNUMBER('Real results'!D18),ISNUMBER('Raw data'!AM18),ISNUMBER('Raw data'!AN18)),IF(SIGN('Raw data'!AM18-'Raw data'!AN18)=SIGN('Real results'!C18-'Real results'!D18),2+IF(AND('Raw data'!AM18='Real results'!C18,'Raw data'!AN18='Real results'!D18),2,0),0),0),0)</f>
        <v>0</v>
      </c>
      <c r="AO19" s="34">
        <f>IFERROR(IF(AND(ISNUMBER('Real results'!C18),ISNUMBER('Real results'!D18),ISNUMBER('Raw data'!AO18),ISNUMBER('Raw data'!AP18)),IF(SIGN('Raw data'!AO18-'Raw data'!AP18)=SIGN('Real results'!C18-'Real results'!D18),2+IF(AND('Raw data'!AO18='Real results'!C18,'Raw data'!AP18='Real results'!D18),2,0),0),0),0)</f>
        <v>0</v>
      </c>
      <c r="AQ19" s="34">
        <f>IFERROR(IF(AND(ISNUMBER('Real results'!C18),ISNUMBER('Real results'!D18),ISNUMBER('Raw data'!AQ18),ISNUMBER('Raw data'!AR18)),IF(SIGN('Raw data'!AQ18-'Raw data'!AR18)=SIGN('Real results'!C18-'Real results'!D18),2+IF(AND('Raw data'!AQ18='Real results'!C18,'Raw data'!AR18='Real results'!D18),2,0),0),0),0)</f>
        <v>0</v>
      </c>
      <c r="AS19" s="34">
        <f>IFERROR(IF(AND(ISNUMBER('Real results'!C18),ISNUMBER('Real results'!D18),ISNUMBER('Raw data'!AS18),ISNUMBER('Raw data'!AT18)),IF(SIGN('Raw data'!AS18-'Raw data'!AT18)=SIGN('Real results'!C18-'Real results'!D18),2+IF(AND('Raw data'!AS18='Real results'!C18,'Raw data'!AT18='Real results'!D18),2,0),0),0),0)</f>
        <v>0</v>
      </c>
      <c r="AU19" s="34">
        <f>IFERROR(IF(AND(ISNUMBER('Real results'!C18),ISNUMBER('Real results'!D18),ISNUMBER('Raw data'!AU18),ISNUMBER('Raw data'!AV18)),IF(SIGN('Raw data'!AU18-'Raw data'!AV18)=SIGN('Real results'!C18-'Real results'!D18),2+IF(AND('Raw data'!AU18='Real results'!C18,'Raw data'!AV18='Real results'!D18),2,0),0),0),0)</f>
        <v>0</v>
      </c>
      <c r="AW19" s="34">
        <f>IFERROR(IF(AND(ISNUMBER('Real results'!C18),ISNUMBER('Real results'!D18),ISNUMBER('Raw data'!AW18),ISNUMBER('Raw data'!AX18)),IF(SIGN('Raw data'!AW18-'Raw data'!AX18)=SIGN('Real results'!C18-'Real results'!D18),2+IF(AND('Raw data'!AW18='Real results'!C18,'Raw data'!AX18='Real results'!D18),2,0),0),0),0)</f>
        <v>0</v>
      </c>
      <c r="AY19" s="34">
        <f>IFERROR(IF(AND(ISNUMBER('Real results'!C18),ISNUMBER('Real results'!D18),ISNUMBER('Raw data'!AY18),ISNUMBER('Raw data'!AZ18)),IF(SIGN('Raw data'!AY18-'Raw data'!AZ18)=SIGN('Real results'!C18-'Real results'!D18),2+IF(AND('Raw data'!AY18='Real results'!C18,'Raw data'!AZ18='Real results'!D18),2,0),0),0),0)</f>
        <v>0</v>
      </c>
      <c r="BA19" s="34">
        <f>IFERROR(IF(AND(ISNUMBER('Real results'!C18),ISNUMBER('Real results'!D18),ISNUMBER('Raw data'!BA18),ISNUMBER('Raw data'!BB18)),IF(SIGN('Raw data'!BA18-'Raw data'!BB18)=SIGN('Real results'!C18-'Real results'!D18),2+IF(AND('Raw data'!BA18='Real results'!C18,'Raw data'!BB18='Real results'!D18),2,0),0),0),0)</f>
        <v>0</v>
      </c>
      <c r="BC19" s="34">
        <f>IFERROR(IF(AND(ISNUMBER('Real results'!C18),ISNUMBER('Real results'!D18),ISNUMBER('Raw data'!BC18),ISNUMBER('Raw data'!BD18)),IF(SIGN('Raw data'!BC18-'Raw data'!BD18)=SIGN('Real results'!C18-'Real results'!D18),2+IF(AND('Raw data'!BC18='Real results'!C18,'Raw data'!BD18='Real results'!D18),2,0),0),0),0)</f>
        <v>0</v>
      </c>
      <c r="BE19" s="34">
        <f>IFERROR(IF(AND(ISNUMBER('Real results'!C18),ISNUMBER('Real results'!D18),ISNUMBER('Raw data'!BE18),ISNUMBER('Raw data'!BF18)),IF(SIGN('Raw data'!BE18-'Raw data'!BF18)=SIGN('Real results'!C18-'Real results'!D18),2+IF(AND('Raw data'!BE18='Real results'!C18,'Raw data'!BF18='Real results'!D18),2,0),0),0),0)</f>
        <v>0</v>
      </c>
      <c r="BG19" s="34">
        <f>IFERROR(IF(AND(ISNUMBER('Real results'!C18),ISNUMBER('Real results'!D18),ISNUMBER('Raw data'!BG18),ISNUMBER('Raw data'!BH18)),IF(SIGN('Raw data'!BG18-'Raw data'!BH18)=SIGN('Real results'!C18-'Real results'!D18),2+IF(AND('Raw data'!BG18='Real results'!C18,'Raw data'!BH18='Real results'!D18),2,0),0),0),0)</f>
        <v>0</v>
      </c>
      <c r="BI19" s="34">
        <f>IFERROR(IF(AND(ISNUMBER('Real results'!C18),ISNUMBER('Real results'!D18),ISNUMBER('Raw data'!BI18),ISNUMBER('Raw data'!BJ18)),IF(SIGN('Raw data'!BI18-'Raw data'!BJ18)=SIGN('Real results'!C18-'Real results'!D18),2+IF(AND('Raw data'!BI18='Real results'!C18,'Raw data'!BJ18='Real results'!D18),2,0),0),0),0)</f>
        <v>0</v>
      </c>
    </row>
    <row r="20" ht="18.0" customHeight="1">
      <c r="B20" s="12" t="s">
        <v>40</v>
      </c>
      <c r="C20" s="34">
        <f>IFERROR(IF(AND(ISNUMBER('Real results'!C19),ISNUMBER('Real results'!D19),ISNUMBER('Raw data'!C17),ISNUMBER('Raw data'!D17)),IF(SIGN('Raw data'!C17-'Raw data'!D17)=SIGN('Real results'!C19-'Real results'!D19),2+IF(AND('Raw data'!C17='Real results'!C19,'Raw data'!D17='Real results'!D19),2,0),0),0),0)</f>
        <v>4</v>
      </c>
      <c r="E20" s="34">
        <f>IFERROR(IF(AND(ISNUMBER('Real results'!C19),ISNUMBER('Real results'!D19),ISNUMBER('Raw data'!E18),ISNUMBER('Raw data'!F18)),IF(SIGN('Raw data'!E18-'Raw data'!F18)=SIGN('Real results'!C19-'Real results'!D19),2+IF(AND('Raw data'!E18='Real results'!C19,'Raw data'!F18='Real results'!D19),2,0),0),0),0)</f>
        <v>0</v>
      </c>
      <c r="G20" s="34">
        <f>IFERROR(IF(AND(ISNUMBER('Real results'!C19),ISNUMBER('Real results'!D19),ISNUMBER('Raw data'!G19),ISNUMBER('Raw data'!H19)),IF(SIGN('Raw data'!G19-'Raw data'!H19)=SIGN('Real results'!C19-'Real results'!D19),2+IF(AND('Raw data'!G19='Real results'!C19,'Raw data'!H19='Real results'!D19),2,0),0),0),0)</f>
        <v>2</v>
      </c>
      <c r="I20" s="34">
        <f>IFERROR(IF(AND(ISNUMBER('Real results'!C19),ISNUMBER('Real results'!D19),ISNUMBER('Raw data'!I19),ISNUMBER('Raw data'!J19)),IF(SIGN('Raw data'!I19-'Raw data'!J19)=SIGN('Real results'!C19-'Real results'!D19),2+IF(AND('Raw data'!I19='Real results'!C19,'Raw data'!J19='Real results'!D19),2,0),0),0),0)</f>
        <v>0</v>
      </c>
      <c r="K20" s="34">
        <f>IFERROR(IF(AND(ISNUMBER('Real results'!C19),ISNUMBER('Real results'!D19),ISNUMBER('Raw data'!K19),ISNUMBER('Raw data'!L19)),IF(SIGN('Raw data'!K19-'Raw data'!L19)=SIGN('Real results'!C19-'Real results'!D19),2+IF(AND('Raw data'!K19='Real results'!C19,'Raw data'!L19='Real results'!D19),2,0),0),0),0)</f>
        <v>0</v>
      </c>
      <c r="M20" s="34">
        <f>IFERROR(IF(AND(ISNUMBER('Real results'!C19),ISNUMBER('Real results'!D19),ISNUMBER('Raw data'!M19),ISNUMBER('Raw data'!N19)),IF(SIGN('Raw data'!M19-'Raw data'!N19)=SIGN('Real results'!C19-'Real results'!D19),2+IF(AND('Raw data'!M19='Real results'!C19,'Raw data'!N19='Real results'!D19),2,0),0),0),0)</f>
        <v>0</v>
      </c>
      <c r="O20" s="34">
        <f>IFERROR(IF(AND(ISNUMBER('Real results'!C19),ISNUMBER('Real results'!D19),ISNUMBER('Raw data'!O19),ISNUMBER('Raw data'!P19)),IF(SIGN('Raw data'!O19-'Raw data'!P19)=SIGN('Real results'!C19-'Real results'!D19),2+IF(AND('Raw data'!O19='Real results'!C19,'Raw data'!P19='Real results'!D19),2,0),0),0),0)</f>
        <v>0</v>
      </c>
      <c r="Q20" s="34">
        <f>IFERROR(IF(AND(ISNUMBER('Real results'!C19),ISNUMBER('Real results'!D19),ISNUMBER('Raw data'!Q19),ISNUMBER('Raw data'!R19)),IF(SIGN('Raw data'!Q19-'Raw data'!R19)=SIGN('Real results'!C19-'Real results'!D19),2+IF(AND('Raw data'!Q19='Real results'!C19,'Raw data'!R19='Real results'!D19),2,0),0),0),0)</f>
        <v>0</v>
      </c>
      <c r="S20" s="34">
        <f>IFERROR(IF(AND(ISNUMBER('Real results'!C19),ISNUMBER('Real results'!D19),ISNUMBER('Raw data'!S19),ISNUMBER('Raw data'!T19)),IF(SIGN('Raw data'!S19-'Raw data'!T19)=SIGN('Real results'!C19-'Real results'!D19),2+IF(AND('Raw data'!S19='Real results'!C19,'Raw data'!T19='Real results'!D19),2,0),0),0),0)</f>
        <v>0</v>
      </c>
      <c r="U20" s="34">
        <f>IFERROR(IF(AND(ISNUMBER('Real results'!C19),ISNUMBER('Real results'!D19),ISNUMBER('Raw data'!U19),ISNUMBER('Raw data'!V19)),IF(SIGN('Raw data'!U19-'Raw data'!V19)=SIGN('Real results'!C19-'Real results'!D19),2+IF(AND('Raw data'!U19='Real results'!C19,'Raw data'!V19='Real results'!D19),2,0),0),0),0)</f>
        <v>0</v>
      </c>
      <c r="W20" s="34">
        <f>IFERROR(IF(AND(ISNUMBER('Real results'!C19),ISNUMBER('Real results'!D19),ISNUMBER('Raw data'!W19),ISNUMBER('Raw data'!X19)),IF(SIGN('Raw data'!W19-'Raw data'!X19)=SIGN('Real results'!C19-'Real results'!D19),2+IF(AND('Raw data'!W19='Real results'!C19,'Raw data'!X19='Real results'!D19),2,0),0),0),0)</f>
        <v>0</v>
      </c>
      <c r="Y20" s="34">
        <f>IFERROR(IF(AND(ISNUMBER('Real results'!C19),ISNUMBER('Real results'!D19),ISNUMBER('Raw data'!Y19),ISNUMBER('Raw data'!Z19)),IF(SIGN('Raw data'!Y19-'Raw data'!Z19)=SIGN('Real results'!C19-'Real results'!D19),2+IF(AND('Raw data'!Y19='Real results'!C19,'Raw data'!Z19='Real results'!D19),2,0),0),0),0)</f>
        <v>0</v>
      </c>
      <c r="AA20" s="34">
        <f>IFERROR(IF(AND(ISNUMBER('Real results'!C19),ISNUMBER('Real results'!D19),ISNUMBER('Raw data'!AA19),ISNUMBER('Raw data'!AB19)),IF(SIGN('Raw data'!AA19-'Raw data'!AB19)=SIGN('Real results'!C19-'Real results'!D19),2+IF(AND('Raw data'!AA19='Real results'!C19,'Raw data'!AB19='Real results'!D19),2,0),0),0),0)</f>
        <v>0</v>
      </c>
      <c r="AC20" s="34">
        <f>IFERROR(IF(AND(ISNUMBER('Real results'!C19),ISNUMBER('Real results'!D19),ISNUMBER('Raw data'!AC19),ISNUMBER('Raw data'!AD19)),IF(SIGN('Raw data'!AC19-'Raw data'!AD19)=SIGN('Real results'!C19-'Real results'!D19),2+IF(AND('Raw data'!AC19='Real results'!C19,'Raw data'!AD19='Real results'!D19),2,0),0),0),0)</f>
        <v>0</v>
      </c>
      <c r="AE20" s="34">
        <f>IFERROR(IF(AND(ISNUMBER('Real results'!C19),ISNUMBER('Real results'!D19),ISNUMBER('Raw data'!AE19),ISNUMBER('Raw data'!AF19)),IF(SIGN('Raw data'!AE19-'Raw data'!AF19)=SIGN('Real results'!C19-'Real results'!D19),2+IF(AND('Raw data'!AE19='Real results'!C19,'Raw data'!AF19='Real results'!D19),2,0),0),0),0)</f>
        <v>0</v>
      </c>
      <c r="AG20" s="34">
        <f>IFERROR(IF(AND(ISNUMBER('Real results'!C19),ISNUMBER('Real results'!D19),ISNUMBER('Raw data'!AG19),ISNUMBER('Raw data'!AH19)),IF(SIGN('Raw data'!AG19-'Raw data'!AH19)=SIGN('Real results'!C19-'Real results'!D19),2+IF(AND('Raw data'!AG19='Real results'!C19,'Raw data'!AH19='Real results'!D19),2,0),0),0),0)</f>
        <v>0</v>
      </c>
      <c r="AI20" s="34">
        <f>IFERROR(IF(AND(ISNUMBER('Real results'!C19),ISNUMBER('Real results'!D19),ISNUMBER('Raw data'!AI19),ISNUMBER('Raw data'!AJ19)),IF(SIGN('Raw data'!AI19-'Raw data'!AJ19)=SIGN('Real results'!C19-'Real results'!D19),2+IF(AND('Raw data'!AI19='Real results'!C19,'Raw data'!AJ19='Real results'!D19),2,0),0),0),0)</f>
        <v>0</v>
      </c>
      <c r="AK20" s="34">
        <f>IFERROR(IF(AND(ISNUMBER('Real results'!C19),ISNUMBER('Real results'!D19),ISNUMBER('Raw data'!AK19),ISNUMBER('Raw data'!AL19)),IF(SIGN('Raw data'!AK19-'Raw data'!AL19)=SIGN('Real results'!C19-'Real results'!D19),2+IF(AND('Raw data'!AK19='Real results'!C19,'Raw data'!AL19='Real results'!D19),2,0),0),0),0)</f>
        <v>0</v>
      </c>
      <c r="AM20" s="34">
        <f>IFERROR(IF(AND(ISNUMBER('Real results'!C19),ISNUMBER('Real results'!D19),ISNUMBER('Raw data'!AM19),ISNUMBER('Raw data'!AN19)),IF(SIGN('Raw data'!AM19-'Raw data'!AN19)=SIGN('Real results'!C19-'Real results'!D19),2+IF(AND('Raw data'!AM19='Real results'!C19,'Raw data'!AN19='Real results'!D19),2,0),0),0),0)</f>
        <v>0</v>
      </c>
      <c r="AO20" s="34">
        <f>IFERROR(IF(AND(ISNUMBER('Real results'!C19),ISNUMBER('Real results'!D19),ISNUMBER('Raw data'!AO19),ISNUMBER('Raw data'!AP19)),IF(SIGN('Raw data'!AO19-'Raw data'!AP19)=SIGN('Real results'!C19-'Real results'!D19),2+IF(AND('Raw data'!AO19='Real results'!C19,'Raw data'!AP19='Real results'!D19),2,0),0),0),0)</f>
        <v>0</v>
      </c>
      <c r="AQ20" s="34">
        <f>IFERROR(IF(AND(ISNUMBER('Real results'!C19),ISNUMBER('Real results'!D19),ISNUMBER('Raw data'!AQ19),ISNUMBER('Raw data'!AR19)),IF(SIGN('Raw data'!AQ19-'Raw data'!AR19)=SIGN('Real results'!C19-'Real results'!D19),2+IF(AND('Raw data'!AQ19='Real results'!C19,'Raw data'!AR19='Real results'!D19),2,0),0),0),0)</f>
        <v>0</v>
      </c>
      <c r="AS20" s="34">
        <f>IFERROR(IF(AND(ISNUMBER('Real results'!C19),ISNUMBER('Real results'!D19),ISNUMBER('Raw data'!AS19),ISNUMBER('Raw data'!AT19)),IF(SIGN('Raw data'!AS19-'Raw data'!AT19)=SIGN('Real results'!C19-'Real results'!D19),2+IF(AND('Raw data'!AS19='Real results'!C19,'Raw data'!AT19='Real results'!D19),2,0),0),0),0)</f>
        <v>0</v>
      </c>
      <c r="AU20" s="34">
        <f>IFERROR(IF(AND(ISNUMBER('Real results'!C19),ISNUMBER('Real results'!D19),ISNUMBER('Raw data'!AU19),ISNUMBER('Raw data'!AV19)),IF(SIGN('Raw data'!AU19-'Raw data'!AV19)=SIGN('Real results'!C19-'Real results'!D19),2+IF(AND('Raw data'!AU19='Real results'!C19,'Raw data'!AV19='Real results'!D19),2,0),0),0),0)</f>
        <v>0</v>
      </c>
      <c r="AW20" s="34">
        <f>IFERROR(IF(AND(ISNUMBER('Real results'!C19),ISNUMBER('Real results'!D19),ISNUMBER('Raw data'!AW19),ISNUMBER('Raw data'!AX19)),IF(SIGN('Raw data'!AW19-'Raw data'!AX19)=SIGN('Real results'!C19-'Real results'!D19),2+IF(AND('Raw data'!AW19='Real results'!C19,'Raw data'!AX19='Real results'!D19),2,0),0),0),0)</f>
        <v>0</v>
      </c>
      <c r="AY20" s="34">
        <f>IFERROR(IF(AND(ISNUMBER('Real results'!C19),ISNUMBER('Real results'!D19),ISNUMBER('Raw data'!AY19),ISNUMBER('Raw data'!AZ19)),IF(SIGN('Raw data'!AY19-'Raw data'!AZ19)=SIGN('Real results'!C19-'Real results'!D19),2+IF(AND('Raw data'!AY19='Real results'!C19,'Raw data'!AZ19='Real results'!D19),2,0),0),0),0)</f>
        <v>0</v>
      </c>
      <c r="BA20" s="34">
        <f>IFERROR(IF(AND(ISNUMBER('Real results'!C19),ISNUMBER('Real results'!D19),ISNUMBER('Raw data'!BA19),ISNUMBER('Raw data'!BB19)),IF(SIGN('Raw data'!BA19-'Raw data'!BB19)=SIGN('Real results'!C19-'Real results'!D19),2+IF(AND('Raw data'!BA19='Real results'!C19,'Raw data'!BB19='Real results'!D19),2,0),0),0),0)</f>
        <v>0</v>
      </c>
      <c r="BC20" s="34">
        <f>IFERROR(IF(AND(ISNUMBER('Real results'!C19),ISNUMBER('Real results'!D19),ISNUMBER('Raw data'!BC19),ISNUMBER('Raw data'!BD19)),IF(SIGN('Raw data'!BC19-'Raw data'!BD19)=SIGN('Real results'!C19-'Real results'!D19),2+IF(AND('Raw data'!BC19='Real results'!C19,'Raw data'!BD19='Real results'!D19),2,0),0),0),0)</f>
        <v>0</v>
      </c>
      <c r="BE20" s="34">
        <f>IFERROR(IF(AND(ISNUMBER('Real results'!C19),ISNUMBER('Real results'!D19),ISNUMBER('Raw data'!BE19),ISNUMBER('Raw data'!BF19)),IF(SIGN('Raw data'!BE19-'Raw data'!BF19)=SIGN('Real results'!C19-'Real results'!D19),2+IF(AND('Raw data'!BE19='Real results'!C19,'Raw data'!BF19='Real results'!D19),2,0),0),0),0)</f>
        <v>0</v>
      </c>
      <c r="BG20" s="34">
        <f>IFERROR(IF(AND(ISNUMBER('Real results'!C19),ISNUMBER('Real results'!D19),ISNUMBER('Raw data'!BG19),ISNUMBER('Raw data'!BH19)),IF(SIGN('Raw data'!BG19-'Raw data'!BH19)=SIGN('Real results'!C19-'Real results'!D19),2+IF(AND('Raw data'!BG19='Real results'!C19,'Raw data'!BH19='Real results'!D19),2,0),0),0),0)</f>
        <v>0</v>
      </c>
      <c r="BI20" s="34">
        <f>IFERROR(IF(AND(ISNUMBER('Real results'!C19),ISNUMBER('Real results'!D19),ISNUMBER('Raw data'!BI19),ISNUMBER('Raw data'!BJ19)),IF(SIGN('Raw data'!BI19-'Raw data'!BJ19)=SIGN('Real results'!C19-'Real results'!D19),2+IF(AND('Raw data'!BI19='Real results'!C19,'Raw data'!BJ19='Real results'!D19),2,0),0),0),0)</f>
        <v>0</v>
      </c>
    </row>
    <row r="21" ht="18.0" customHeight="1">
      <c r="B21" s="12" t="s">
        <v>41</v>
      </c>
      <c r="C21" s="34">
        <f>IFERROR(IF(AND(ISNUMBER('Real results'!C20),ISNUMBER('Real results'!D20),ISNUMBER('Raw data'!C18),ISNUMBER('Raw data'!D18)),IF(SIGN('Raw data'!C18-'Raw data'!D18)=SIGN('Real results'!C20-'Real results'!D20),2+IF(AND('Raw data'!C18='Real results'!C20,'Raw data'!D18='Real results'!D20),2,0),0),0),0)</f>
        <v>0</v>
      </c>
      <c r="E21" s="34">
        <f>IFERROR(IF(AND(ISNUMBER('Real results'!C20),ISNUMBER('Real results'!D20),ISNUMBER('Raw data'!E19),ISNUMBER('Raw data'!F19)),IF(SIGN('Raw data'!E19-'Raw data'!F19)=SIGN('Real results'!C20-'Real results'!D20),2+IF(AND('Raw data'!E19='Real results'!C20,'Raw data'!F19='Real results'!D20),2,0),0),0),0)</f>
        <v>0</v>
      </c>
      <c r="G21" s="34">
        <f>IFERROR(IF(AND(ISNUMBER('Real results'!C20),ISNUMBER('Real results'!D20),ISNUMBER('Raw data'!G20),ISNUMBER('Raw data'!H20)),IF(SIGN('Raw data'!G20-'Raw data'!H20)=SIGN('Real results'!C20-'Real results'!D20),2+IF(AND('Raw data'!G20='Real results'!C20,'Raw data'!H20='Real results'!D20),2,0),0),0),0)</f>
        <v>2</v>
      </c>
      <c r="I21" s="34">
        <f>IFERROR(IF(AND(ISNUMBER('Real results'!C20),ISNUMBER('Real results'!D20),ISNUMBER('Raw data'!I20),ISNUMBER('Raw data'!J20)),IF(SIGN('Raw data'!I20-'Raw data'!J20)=SIGN('Real results'!C20-'Real results'!D20),2+IF(AND('Raw data'!I20='Real results'!C20,'Raw data'!J20='Real results'!D20),2,0),0),0),0)</f>
        <v>2</v>
      </c>
      <c r="K21" s="34">
        <f>IFERROR(IF(AND(ISNUMBER('Real results'!C20),ISNUMBER('Real results'!D20),ISNUMBER('Raw data'!K20),ISNUMBER('Raw data'!L20)),IF(SIGN('Raw data'!K20-'Raw data'!L20)=SIGN('Real results'!C20-'Real results'!D20),2+IF(AND('Raw data'!K20='Real results'!C20,'Raw data'!L20='Real results'!D20),2,0),0),0),0)</f>
        <v>2</v>
      </c>
      <c r="M21" s="34">
        <f>IFERROR(IF(AND(ISNUMBER('Real results'!C20),ISNUMBER('Real results'!D20),ISNUMBER('Raw data'!M20),ISNUMBER('Raw data'!N20)),IF(SIGN('Raw data'!M20-'Raw data'!N20)=SIGN('Real results'!C20-'Real results'!D20),2+IF(AND('Raw data'!M20='Real results'!C20,'Raw data'!N20='Real results'!D20),2,0),0),0),0)</f>
        <v>0</v>
      </c>
      <c r="O21" s="34">
        <f>IFERROR(IF(AND(ISNUMBER('Real results'!C20),ISNUMBER('Real results'!D20),ISNUMBER('Raw data'!O20),ISNUMBER('Raw data'!P20)),IF(SIGN('Raw data'!O20-'Raw data'!P20)=SIGN('Real results'!C20-'Real results'!D20),2+IF(AND('Raw data'!O20='Real results'!C20,'Raw data'!P20='Real results'!D20),2,0),0),0),0)</f>
        <v>0</v>
      </c>
      <c r="Q21" s="34">
        <f>IFERROR(IF(AND(ISNUMBER('Real results'!C20),ISNUMBER('Real results'!D20),ISNUMBER('Raw data'!Q20),ISNUMBER('Raw data'!R20)),IF(SIGN('Raw data'!Q20-'Raw data'!R20)=SIGN('Real results'!C20-'Real results'!D20),2+IF(AND('Raw data'!Q20='Real results'!C20,'Raw data'!R20='Real results'!D20),2,0),0),0),0)</f>
        <v>0</v>
      </c>
      <c r="S21" s="34">
        <f>IFERROR(IF(AND(ISNUMBER('Real results'!C20),ISNUMBER('Real results'!D20),ISNUMBER('Raw data'!S20),ISNUMBER('Raw data'!T20)),IF(SIGN('Raw data'!S20-'Raw data'!T20)=SIGN('Real results'!C20-'Real results'!D20),2+IF(AND('Raw data'!S20='Real results'!C20,'Raw data'!T20='Real results'!D20),2,0),0),0),0)</f>
        <v>0</v>
      </c>
      <c r="U21" s="34">
        <f>IFERROR(IF(AND(ISNUMBER('Real results'!C20),ISNUMBER('Real results'!D20),ISNUMBER('Raw data'!U20),ISNUMBER('Raw data'!V20)),IF(SIGN('Raw data'!U20-'Raw data'!V20)=SIGN('Real results'!C20-'Real results'!D20),2+IF(AND('Raw data'!U20='Real results'!C20,'Raw data'!V20='Real results'!D20),2,0),0),0),0)</f>
        <v>0</v>
      </c>
      <c r="W21" s="34">
        <f>IFERROR(IF(AND(ISNUMBER('Real results'!C20),ISNUMBER('Real results'!D20),ISNUMBER('Raw data'!W20),ISNUMBER('Raw data'!X20)),IF(SIGN('Raw data'!W20-'Raw data'!X20)=SIGN('Real results'!C20-'Real results'!D20),2+IF(AND('Raw data'!W20='Real results'!C20,'Raw data'!X20='Real results'!D20),2,0),0),0),0)</f>
        <v>0</v>
      </c>
      <c r="Y21" s="34">
        <f>IFERROR(IF(AND(ISNUMBER('Real results'!C20),ISNUMBER('Real results'!D20),ISNUMBER('Raw data'!Y20),ISNUMBER('Raw data'!Z20)),IF(SIGN('Raw data'!Y20-'Raw data'!Z20)=SIGN('Real results'!C20-'Real results'!D20),2+IF(AND('Raw data'!Y20='Real results'!C20,'Raw data'!Z20='Real results'!D20),2,0),0),0),0)</f>
        <v>0</v>
      </c>
      <c r="AA21" s="34">
        <f>IFERROR(IF(AND(ISNUMBER('Real results'!C20),ISNUMBER('Real results'!D20),ISNUMBER('Raw data'!AA20),ISNUMBER('Raw data'!AB20)),IF(SIGN('Raw data'!AA20-'Raw data'!AB20)=SIGN('Real results'!C20-'Real results'!D20),2+IF(AND('Raw data'!AA20='Real results'!C20,'Raw data'!AB20='Real results'!D20),2,0),0),0),0)</f>
        <v>0</v>
      </c>
      <c r="AC21" s="34">
        <f>IFERROR(IF(AND(ISNUMBER('Real results'!C20),ISNUMBER('Real results'!D20),ISNUMBER('Raw data'!AC20),ISNUMBER('Raw data'!AD20)),IF(SIGN('Raw data'!AC20-'Raw data'!AD20)=SIGN('Real results'!C20-'Real results'!D20),2+IF(AND('Raw data'!AC20='Real results'!C20,'Raw data'!AD20='Real results'!D20),2,0),0),0),0)</f>
        <v>0</v>
      </c>
      <c r="AE21" s="34">
        <f>IFERROR(IF(AND(ISNUMBER('Real results'!C20),ISNUMBER('Real results'!D20),ISNUMBER('Raw data'!AE20),ISNUMBER('Raw data'!AF20)),IF(SIGN('Raw data'!AE20-'Raw data'!AF20)=SIGN('Real results'!C20-'Real results'!D20),2+IF(AND('Raw data'!AE20='Real results'!C20,'Raw data'!AF20='Real results'!D20),2,0),0),0),0)</f>
        <v>0</v>
      </c>
      <c r="AG21" s="34">
        <f>IFERROR(IF(AND(ISNUMBER('Real results'!C20),ISNUMBER('Real results'!D20),ISNUMBER('Raw data'!AG20),ISNUMBER('Raw data'!AH20)),IF(SIGN('Raw data'!AG20-'Raw data'!AH20)=SIGN('Real results'!C20-'Real results'!D20),2+IF(AND('Raw data'!AG20='Real results'!C20,'Raw data'!AH20='Real results'!D20),2,0),0),0),0)</f>
        <v>0</v>
      </c>
      <c r="AI21" s="34">
        <f>IFERROR(IF(AND(ISNUMBER('Real results'!C20),ISNUMBER('Real results'!D20),ISNUMBER('Raw data'!AI20),ISNUMBER('Raw data'!AJ20)),IF(SIGN('Raw data'!AI20-'Raw data'!AJ20)=SIGN('Real results'!C20-'Real results'!D20),2+IF(AND('Raw data'!AI20='Real results'!C20,'Raw data'!AJ20='Real results'!D20),2,0),0),0),0)</f>
        <v>0</v>
      </c>
      <c r="AK21" s="34">
        <f>IFERROR(IF(AND(ISNUMBER('Real results'!C20),ISNUMBER('Real results'!D20),ISNUMBER('Raw data'!AK20),ISNUMBER('Raw data'!AL20)),IF(SIGN('Raw data'!AK20-'Raw data'!AL20)=SIGN('Real results'!C20-'Real results'!D20),2+IF(AND('Raw data'!AK20='Real results'!C20,'Raw data'!AL20='Real results'!D20),2,0),0),0),0)</f>
        <v>0</v>
      </c>
      <c r="AM21" s="34">
        <f>IFERROR(IF(AND(ISNUMBER('Real results'!C20),ISNUMBER('Real results'!D20),ISNUMBER('Raw data'!AM20),ISNUMBER('Raw data'!AN20)),IF(SIGN('Raw data'!AM20-'Raw data'!AN20)=SIGN('Real results'!C20-'Real results'!D20),2+IF(AND('Raw data'!AM20='Real results'!C20,'Raw data'!AN20='Real results'!D20),2,0),0),0),0)</f>
        <v>0</v>
      </c>
      <c r="AO21" s="34">
        <f>IFERROR(IF(AND(ISNUMBER('Real results'!C20),ISNUMBER('Real results'!D20),ISNUMBER('Raw data'!AO20),ISNUMBER('Raw data'!AP20)),IF(SIGN('Raw data'!AO20-'Raw data'!AP20)=SIGN('Real results'!C20-'Real results'!D20),2+IF(AND('Raw data'!AO20='Real results'!C20,'Raw data'!AP20='Real results'!D20),2,0),0),0),0)</f>
        <v>0</v>
      </c>
      <c r="AQ21" s="34">
        <f>IFERROR(IF(AND(ISNUMBER('Real results'!C20),ISNUMBER('Real results'!D20),ISNUMBER('Raw data'!AQ20),ISNUMBER('Raw data'!AR20)),IF(SIGN('Raw data'!AQ20-'Raw data'!AR20)=SIGN('Real results'!C20-'Real results'!D20),2+IF(AND('Raw data'!AQ20='Real results'!C20,'Raw data'!AR20='Real results'!D20),2,0),0),0),0)</f>
        <v>0</v>
      </c>
      <c r="AS21" s="34">
        <f>IFERROR(IF(AND(ISNUMBER('Real results'!C20),ISNUMBER('Real results'!D20),ISNUMBER('Raw data'!AS20),ISNUMBER('Raw data'!AT20)),IF(SIGN('Raw data'!AS20-'Raw data'!AT20)=SIGN('Real results'!C20-'Real results'!D20),2+IF(AND('Raw data'!AS20='Real results'!C20,'Raw data'!AT20='Real results'!D20),2,0),0),0),0)</f>
        <v>0</v>
      </c>
      <c r="AU21" s="34">
        <f>IFERROR(IF(AND(ISNUMBER('Real results'!C20),ISNUMBER('Real results'!D20),ISNUMBER('Raw data'!AU20),ISNUMBER('Raw data'!AV20)),IF(SIGN('Raw data'!AU20-'Raw data'!AV20)=SIGN('Real results'!C20-'Real results'!D20),2+IF(AND('Raw data'!AU20='Real results'!C20,'Raw data'!AV20='Real results'!D20),2,0),0),0),0)</f>
        <v>0</v>
      </c>
      <c r="AW21" s="34">
        <f>IFERROR(IF(AND(ISNUMBER('Real results'!C20),ISNUMBER('Real results'!D20),ISNUMBER('Raw data'!AW20),ISNUMBER('Raw data'!AX20)),IF(SIGN('Raw data'!AW20-'Raw data'!AX20)=SIGN('Real results'!C20-'Real results'!D20),2+IF(AND('Raw data'!AW20='Real results'!C20,'Raw data'!AX20='Real results'!D20),2,0),0),0),0)</f>
        <v>0</v>
      </c>
      <c r="AY21" s="34">
        <f>IFERROR(IF(AND(ISNUMBER('Real results'!C20),ISNUMBER('Real results'!D20),ISNUMBER('Raw data'!AY20),ISNUMBER('Raw data'!AZ20)),IF(SIGN('Raw data'!AY20-'Raw data'!AZ20)=SIGN('Real results'!C20-'Real results'!D20),2+IF(AND('Raw data'!AY20='Real results'!C20,'Raw data'!AZ20='Real results'!D20),2,0),0),0),0)</f>
        <v>0</v>
      </c>
      <c r="BA21" s="34">
        <f>IFERROR(IF(AND(ISNUMBER('Real results'!C20),ISNUMBER('Real results'!D20),ISNUMBER('Raw data'!BA20),ISNUMBER('Raw data'!BB20)),IF(SIGN('Raw data'!BA20-'Raw data'!BB20)=SIGN('Real results'!C20-'Real results'!D20),2+IF(AND('Raw data'!BA20='Real results'!C20,'Raw data'!BB20='Real results'!D20),2,0),0),0),0)</f>
        <v>0</v>
      </c>
      <c r="BC21" s="34">
        <f>IFERROR(IF(AND(ISNUMBER('Real results'!C20),ISNUMBER('Real results'!D20),ISNUMBER('Raw data'!BC20),ISNUMBER('Raw data'!BD20)),IF(SIGN('Raw data'!BC20-'Raw data'!BD20)=SIGN('Real results'!C20-'Real results'!D20),2+IF(AND('Raw data'!BC20='Real results'!C20,'Raw data'!BD20='Real results'!D20),2,0),0),0),0)</f>
        <v>0</v>
      </c>
      <c r="BE21" s="34">
        <f>IFERROR(IF(AND(ISNUMBER('Real results'!C20),ISNUMBER('Real results'!D20),ISNUMBER('Raw data'!BE20),ISNUMBER('Raw data'!BF20)),IF(SIGN('Raw data'!BE20-'Raw data'!BF20)=SIGN('Real results'!C20-'Real results'!D20),2+IF(AND('Raw data'!BE20='Real results'!C20,'Raw data'!BF20='Real results'!D20),2,0),0),0),0)</f>
        <v>0</v>
      </c>
      <c r="BG21" s="34">
        <f>IFERROR(IF(AND(ISNUMBER('Real results'!C20),ISNUMBER('Real results'!D20),ISNUMBER('Raw data'!BG20),ISNUMBER('Raw data'!BH20)),IF(SIGN('Raw data'!BG20-'Raw data'!BH20)=SIGN('Real results'!C20-'Real results'!D20),2+IF(AND('Raw data'!BG20='Real results'!C20,'Raw data'!BH20='Real results'!D20),2,0),0),0),0)</f>
        <v>0</v>
      </c>
      <c r="BI21" s="34">
        <f>IFERROR(IF(AND(ISNUMBER('Real results'!C20),ISNUMBER('Real results'!D20),ISNUMBER('Raw data'!BI20),ISNUMBER('Raw data'!BJ20)),IF(SIGN('Raw data'!BI20-'Raw data'!BJ20)=SIGN('Real results'!C20-'Real results'!D20),2+IF(AND('Raw data'!BI20='Real results'!C20,'Raw data'!BJ20='Real results'!D20),2,0),0),0),0)</f>
        <v>0</v>
      </c>
    </row>
    <row r="22" ht="18.0" customHeight="1">
      <c r="B22" s="12" t="s">
        <v>42</v>
      </c>
      <c r="C22" s="34">
        <f>IFERROR(IF(AND(ISNUMBER('Real results'!C21),ISNUMBER('Real results'!D21),ISNUMBER('Raw data'!C19),ISNUMBER('Raw data'!D19)),IF(SIGN('Raw data'!C19-'Raw data'!D19)=SIGN('Real results'!C21-'Real results'!D21),2+IF(AND('Raw data'!C19='Real results'!C21,'Raw data'!D19='Real results'!D21),2,0),0),0),0)</f>
        <v>0</v>
      </c>
      <c r="E22" s="34">
        <f>IFERROR(IF(AND(ISNUMBER('Real results'!C21),ISNUMBER('Real results'!D21),ISNUMBER('Raw data'!E20),ISNUMBER('Raw data'!F20)),IF(SIGN('Raw data'!E20-'Raw data'!F20)=SIGN('Real results'!C21-'Real results'!D21),2+IF(AND('Raw data'!E20='Real results'!C21,'Raw data'!F20='Real results'!D21),2,0),0),0),0)</f>
        <v>2</v>
      </c>
      <c r="G22" s="34">
        <f>IFERROR(IF(AND(ISNUMBER('Real results'!C21),ISNUMBER('Real results'!D21),ISNUMBER('Raw data'!G21),ISNUMBER('Raw data'!H21)),IF(SIGN('Raw data'!G21-'Raw data'!H21)=SIGN('Real results'!C21-'Real results'!D21),2+IF(AND('Raw data'!G21='Real results'!C21,'Raw data'!H21='Real results'!D21),2,0),0),0),0)</f>
        <v>2</v>
      </c>
      <c r="I22" s="34">
        <f>IFERROR(IF(AND(ISNUMBER('Real results'!C21),ISNUMBER('Real results'!D21),ISNUMBER('Raw data'!I21),ISNUMBER('Raw data'!J21)),IF(SIGN('Raw data'!I21-'Raw data'!J21)=SIGN('Real results'!C21-'Real results'!D21),2+IF(AND('Raw data'!I21='Real results'!C21,'Raw data'!J21='Real results'!D21),2,0),0),0),0)</f>
        <v>4</v>
      </c>
      <c r="K22" s="34">
        <f>IFERROR(IF(AND(ISNUMBER('Real results'!C21),ISNUMBER('Real results'!D21),ISNUMBER('Raw data'!K21),ISNUMBER('Raw data'!L21)),IF(SIGN('Raw data'!K21-'Raw data'!L21)=SIGN('Real results'!C21-'Real results'!D21),2+IF(AND('Raw data'!K21='Real results'!C21,'Raw data'!L21='Real results'!D21),2,0),0),0),0)</f>
        <v>2</v>
      </c>
      <c r="M22" s="34">
        <f>IFERROR(IF(AND(ISNUMBER('Real results'!C21),ISNUMBER('Real results'!D21),ISNUMBER('Raw data'!M21),ISNUMBER('Raw data'!N21)),IF(SIGN('Raw data'!M21-'Raw data'!N21)=SIGN('Real results'!C21-'Real results'!D21),2+IF(AND('Raw data'!M21='Real results'!C21,'Raw data'!N21='Real results'!D21),2,0),0),0),0)</f>
        <v>0</v>
      </c>
      <c r="O22" s="34">
        <f>IFERROR(IF(AND(ISNUMBER('Real results'!C21),ISNUMBER('Real results'!D21),ISNUMBER('Raw data'!O21),ISNUMBER('Raw data'!P21)),IF(SIGN('Raw data'!O21-'Raw data'!P21)=SIGN('Real results'!C21-'Real results'!D21),2+IF(AND('Raw data'!O21='Real results'!C21,'Raw data'!P21='Real results'!D21),2,0),0),0),0)</f>
        <v>0</v>
      </c>
      <c r="Q22" s="34">
        <f>IFERROR(IF(AND(ISNUMBER('Real results'!C21),ISNUMBER('Real results'!D21),ISNUMBER('Raw data'!Q21),ISNUMBER('Raw data'!R21)),IF(SIGN('Raw data'!Q21-'Raw data'!R21)=SIGN('Real results'!C21-'Real results'!D21),2+IF(AND('Raw data'!Q21='Real results'!C21,'Raw data'!R21='Real results'!D21),2,0),0),0),0)</f>
        <v>0</v>
      </c>
      <c r="S22" s="34">
        <f>IFERROR(IF(AND(ISNUMBER('Real results'!C21),ISNUMBER('Real results'!D21),ISNUMBER('Raw data'!S21),ISNUMBER('Raw data'!T21)),IF(SIGN('Raw data'!S21-'Raw data'!T21)=SIGN('Real results'!C21-'Real results'!D21),2+IF(AND('Raw data'!S21='Real results'!C21,'Raw data'!T21='Real results'!D21),2,0),0),0),0)</f>
        <v>0</v>
      </c>
      <c r="U22" s="34">
        <f>IFERROR(IF(AND(ISNUMBER('Real results'!C21),ISNUMBER('Real results'!D21),ISNUMBER('Raw data'!U21),ISNUMBER('Raw data'!V21)),IF(SIGN('Raw data'!U21-'Raw data'!V21)=SIGN('Real results'!C21-'Real results'!D21),2+IF(AND('Raw data'!U21='Real results'!C21,'Raw data'!V21='Real results'!D21),2,0),0),0),0)</f>
        <v>0</v>
      </c>
      <c r="W22" s="34">
        <f>IFERROR(IF(AND(ISNUMBER('Real results'!C21),ISNUMBER('Real results'!D21),ISNUMBER('Raw data'!W21),ISNUMBER('Raw data'!X21)),IF(SIGN('Raw data'!W21-'Raw data'!X21)=SIGN('Real results'!C21-'Real results'!D21),2+IF(AND('Raw data'!W21='Real results'!C21,'Raw data'!X21='Real results'!D21),2,0),0),0),0)</f>
        <v>0</v>
      </c>
      <c r="Y22" s="34">
        <f>IFERROR(IF(AND(ISNUMBER('Real results'!C21),ISNUMBER('Real results'!D21),ISNUMBER('Raw data'!Y21),ISNUMBER('Raw data'!Z21)),IF(SIGN('Raw data'!Y21-'Raw data'!Z21)=SIGN('Real results'!C21-'Real results'!D21),2+IF(AND('Raw data'!Y21='Real results'!C21,'Raw data'!Z21='Real results'!D21),2,0),0),0),0)</f>
        <v>0</v>
      </c>
      <c r="AA22" s="34">
        <f>IFERROR(IF(AND(ISNUMBER('Real results'!C21),ISNUMBER('Real results'!D21),ISNUMBER('Raw data'!AA21),ISNUMBER('Raw data'!AB21)),IF(SIGN('Raw data'!AA21-'Raw data'!AB21)=SIGN('Real results'!C21-'Real results'!D21),2+IF(AND('Raw data'!AA21='Real results'!C21,'Raw data'!AB21='Real results'!D21),2,0),0),0),0)</f>
        <v>0</v>
      </c>
      <c r="AC22" s="34">
        <f>IFERROR(IF(AND(ISNUMBER('Real results'!C21),ISNUMBER('Real results'!D21),ISNUMBER('Raw data'!AC21),ISNUMBER('Raw data'!AD21)),IF(SIGN('Raw data'!AC21-'Raw data'!AD21)=SIGN('Real results'!C21-'Real results'!D21),2+IF(AND('Raw data'!AC21='Real results'!C21,'Raw data'!AD21='Real results'!D21),2,0),0),0),0)</f>
        <v>0</v>
      </c>
      <c r="AE22" s="34">
        <f>IFERROR(IF(AND(ISNUMBER('Real results'!C21),ISNUMBER('Real results'!D21),ISNUMBER('Raw data'!AE21),ISNUMBER('Raw data'!AF21)),IF(SIGN('Raw data'!AE21-'Raw data'!AF21)=SIGN('Real results'!C21-'Real results'!D21),2+IF(AND('Raw data'!AE21='Real results'!C21,'Raw data'!AF21='Real results'!D21),2,0),0),0),0)</f>
        <v>0</v>
      </c>
      <c r="AG22" s="34">
        <f>IFERROR(IF(AND(ISNUMBER('Real results'!C21),ISNUMBER('Real results'!D21),ISNUMBER('Raw data'!AG21),ISNUMBER('Raw data'!AH21)),IF(SIGN('Raw data'!AG21-'Raw data'!AH21)=SIGN('Real results'!C21-'Real results'!D21),2+IF(AND('Raw data'!AG21='Real results'!C21,'Raw data'!AH21='Real results'!D21),2,0),0),0),0)</f>
        <v>0</v>
      </c>
      <c r="AI22" s="34">
        <f>IFERROR(IF(AND(ISNUMBER('Real results'!C21),ISNUMBER('Real results'!D21),ISNUMBER('Raw data'!AI21),ISNUMBER('Raw data'!AJ21)),IF(SIGN('Raw data'!AI21-'Raw data'!AJ21)=SIGN('Real results'!C21-'Real results'!D21),2+IF(AND('Raw data'!AI21='Real results'!C21,'Raw data'!AJ21='Real results'!D21),2,0),0),0),0)</f>
        <v>0</v>
      </c>
      <c r="AK22" s="34">
        <f>IFERROR(IF(AND(ISNUMBER('Real results'!C21),ISNUMBER('Real results'!D21),ISNUMBER('Raw data'!AK21),ISNUMBER('Raw data'!AL21)),IF(SIGN('Raw data'!AK21-'Raw data'!AL21)=SIGN('Real results'!C21-'Real results'!D21),2+IF(AND('Raw data'!AK21='Real results'!C21,'Raw data'!AL21='Real results'!D21),2,0),0),0),0)</f>
        <v>0</v>
      </c>
      <c r="AM22" s="34">
        <f>IFERROR(IF(AND(ISNUMBER('Real results'!C21),ISNUMBER('Real results'!D21),ISNUMBER('Raw data'!AM21),ISNUMBER('Raw data'!AN21)),IF(SIGN('Raw data'!AM21-'Raw data'!AN21)=SIGN('Real results'!C21-'Real results'!D21),2+IF(AND('Raw data'!AM21='Real results'!C21,'Raw data'!AN21='Real results'!D21),2,0),0),0),0)</f>
        <v>0</v>
      </c>
      <c r="AO22" s="34">
        <f>IFERROR(IF(AND(ISNUMBER('Real results'!C21),ISNUMBER('Real results'!D21),ISNUMBER('Raw data'!AO21),ISNUMBER('Raw data'!AP21)),IF(SIGN('Raw data'!AO21-'Raw data'!AP21)=SIGN('Real results'!C21-'Real results'!D21),2+IF(AND('Raw data'!AO21='Real results'!C21,'Raw data'!AP21='Real results'!D21),2,0),0),0),0)</f>
        <v>0</v>
      </c>
      <c r="AQ22" s="34">
        <f>IFERROR(IF(AND(ISNUMBER('Real results'!C21),ISNUMBER('Real results'!D21),ISNUMBER('Raw data'!AQ21),ISNUMBER('Raw data'!AR21)),IF(SIGN('Raw data'!AQ21-'Raw data'!AR21)=SIGN('Real results'!C21-'Real results'!D21),2+IF(AND('Raw data'!AQ21='Real results'!C21,'Raw data'!AR21='Real results'!D21),2,0),0),0),0)</f>
        <v>0</v>
      </c>
      <c r="AS22" s="34">
        <f>IFERROR(IF(AND(ISNUMBER('Real results'!C21),ISNUMBER('Real results'!D21),ISNUMBER('Raw data'!AS21),ISNUMBER('Raw data'!AT21)),IF(SIGN('Raw data'!AS21-'Raw data'!AT21)=SIGN('Real results'!C21-'Real results'!D21),2+IF(AND('Raw data'!AS21='Real results'!C21,'Raw data'!AT21='Real results'!D21),2,0),0),0),0)</f>
        <v>0</v>
      </c>
      <c r="AU22" s="34">
        <f>IFERROR(IF(AND(ISNUMBER('Real results'!C21),ISNUMBER('Real results'!D21),ISNUMBER('Raw data'!AU21),ISNUMBER('Raw data'!AV21)),IF(SIGN('Raw data'!AU21-'Raw data'!AV21)=SIGN('Real results'!C21-'Real results'!D21),2+IF(AND('Raw data'!AU21='Real results'!C21,'Raw data'!AV21='Real results'!D21),2,0),0),0),0)</f>
        <v>0</v>
      </c>
      <c r="AW22" s="34">
        <f>IFERROR(IF(AND(ISNUMBER('Real results'!C21),ISNUMBER('Real results'!D21),ISNUMBER('Raw data'!AW21),ISNUMBER('Raw data'!AX21)),IF(SIGN('Raw data'!AW21-'Raw data'!AX21)=SIGN('Real results'!C21-'Real results'!D21),2+IF(AND('Raw data'!AW21='Real results'!C21,'Raw data'!AX21='Real results'!D21),2,0),0),0),0)</f>
        <v>0</v>
      </c>
      <c r="AY22" s="34">
        <f>IFERROR(IF(AND(ISNUMBER('Real results'!C21),ISNUMBER('Real results'!D21),ISNUMBER('Raw data'!AY21),ISNUMBER('Raw data'!AZ21)),IF(SIGN('Raw data'!AY21-'Raw data'!AZ21)=SIGN('Real results'!C21-'Real results'!D21),2+IF(AND('Raw data'!AY21='Real results'!C21,'Raw data'!AZ21='Real results'!D21),2,0),0),0),0)</f>
        <v>0</v>
      </c>
      <c r="BA22" s="34">
        <f>IFERROR(IF(AND(ISNUMBER('Real results'!C21),ISNUMBER('Real results'!D21),ISNUMBER('Raw data'!BA21),ISNUMBER('Raw data'!BB21)),IF(SIGN('Raw data'!BA21-'Raw data'!BB21)=SIGN('Real results'!C21-'Real results'!D21),2+IF(AND('Raw data'!BA21='Real results'!C21,'Raw data'!BB21='Real results'!D21),2,0),0),0),0)</f>
        <v>0</v>
      </c>
      <c r="BC22" s="34">
        <f>IFERROR(IF(AND(ISNUMBER('Real results'!C21),ISNUMBER('Real results'!D21),ISNUMBER('Raw data'!BC21),ISNUMBER('Raw data'!BD21)),IF(SIGN('Raw data'!BC21-'Raw data'!BD21)=SIGN('Real results'!C21-'Real results'!D21),2+IF(AND('Raw data'!BC21='Real results'!C21,'Raw data'!BD21='Real results'!D21),2,0),0),0),0)</f>
        <v>0</v>
      </c>
      <c r="BE22" s="34">
        <f>IFERROR(IF(AND(ISNUMBER('Real results'!C21),ISNUMBER('Real results'!D21),ISNUMBER('Raw data'!BE21),ISNUMBER('Raw data'!BF21)),IF(SIGN('Raw data'!BE21-'Raw data'!BF21)=SIGN('Real results'!C21-'Real results'!D21),2+IF(AND('Raw data'!BE21='Real results'!C21,'Raw data'!BF21='Real results'!D21),2,0),0),0),0)</f>
        <v>0</v>
      </c>
      <c r="BG22" s="34">
        <f>IFERROR(IF(AND(ISNUMBER('Real results'!C21),ISNUMBER('Real results'!D21),ISNUMBER('Raw data'!BG21),ISNUMBER('Raw data'!BH21)),IF(SIGN('Raw data'!BG21-'Raw data'!BH21)=SIGN('Real results'!C21-'Real results'!D21),2+IF(AND('Raw data'!BG21='Real results'!C21,'Raw data'!BH21='Real results'!D21),2,0),0),0),0)</f>
        <v>0</v>
      </c>
      <c r="BI22" s="34">
        <f>IFERROR(IF(AND(ISNUMBER('Real results'!C21),ISNUMBER('Real results'!D21),ISNUMBER('Raw data'!BI21),ISNUMBER('Raw data'!BJ21)),IF(SIGN('Raw data'!BI21-'Raw data'!BJ21)=SIGN('Real results'!C21-'Real results'!D21),2+IF(AND('Raw data'!BI21='Real results'!C21,'Raw data'!BJ21='Real results'!D21),2,0),0),0),0)</f>
        <v>0</v>
      </c>
    </row>
    <row r="23" ht="18.0" customHeight="1">
      <c r="B23" s="12" t="s">
        <v>43</v>
      </c>
      <c r="C23" s="34">
        <f>IFERROR(IF(AND(ISNUMBER('Real results'!C22),ISNUMBER('Real results'!D22),ISNUMBER('Raw data'!C20),ISNUMBER('Raw data'!D20)),IF(SIGN('Raw data'!C20-'Raw data'!D20)=SIGN('Real results'!C22-'Real results'!D22),2+IF(AND('Raw data'!C20='Real results'!C22,'Raw data'!D20='Real results'!D22),2,0),0),0),0)</f>
        <v>0</v>
      </c>
      <c r="E23" s="34">
        <f>IFERROR(IF(AND(ISNUMBER('Real results'!C22),ISNUMBER('Real results'!D22),ISNUMBER('Raw data'!E21),ISNUMBER('Raw data'!F21)),IF(SIGN('Raw data'!E21-'Raw data'!F21)=SIGN('Real results'!C22-'Real results'!D22),2+IF(AND('Raw data'!E21='Real results'!C22,'Raw data'!F21='Real results'!D22),2,0),0),0),0)</f>
        <v>0</v>
      </c>
      <c r="G23" s="34">
        <f>IFERROR(IF(AND(ISNUMBER('Real results'!C22),ISNUMBER('Real results'!D22),ISNUMBER('Raw data'!G22),ISNUMBER('Raw data'!H22)),IF(SIGN('Raw data'!G22-'Raw data'!H22)=SIGN('Real results'!C22-'Real results'!D22),2+IF(AND('Raw data'!G22='Real results'!C22,'Raw data'!H22='Real results'!D22),2,0),0),0),0)</f>
        <v>2</v>
      </c>
      <c r="I23" s="34">
        <f>IFERROR(IF(AND(ISNUMBER('Real results'!C22),ISNUMBER('Real results'!D22),ISNUMBER('Raw data'!I22),ISNUMBER('Raw data'!J22)),IF(SIGN('Raw data'!I22-'Raw data'!J22)=SIGN('Real results'!C22-'Real results'!D22),2+IF(AND('Raw data'!I22='Real results'!C22,'Raw data'!J22='Real results'!D22),2,0),0),0),0)</f>
        <v>2</v>
      </c>
      <c r="K23" s="34">
        <f>IFERROR(IF(AND(ISNUMBER('Real results'!C22),ISNUMBER('Real results'!D22),ISNUMBER('Raw data'!K22),ISNUMBER('Raw data'!L22)),IF(SIGN('Raw data'!K22-'Raw data'!L22)=SIGN('Real results'!C22-'Real results'!D22),2+IF(AND('Raw data'!K22='Real results'!C22,'Raw data'!L22='Real results'!D22),2,0),0),0),0)</f>
        <v>2</v>
      </c>
      <c r="M23" s="34">
        <f>IFERROR(IF(AND(ISNUMBER('Real results'!C22),ISNUMBER('Real results'!D22),ISNUMBER('Raw data'!M22),ISNUMBER('Raw data'!N22)),IF(SIGN('Raw data'!M22-'Raw data'!N22)=SIGN('Real results'!C22-'Real results'!D22),2+IF(AND('Raw data'!M22='Real results'!C22,'Raw data'!N22='Real results'!D22),2,0),0),0),0)</f>
        <v>0</v>
      </c>
      <c r="O23" s="34">
        <f>IFERROR(IF(AND(ISNUMBER('Real results'!C22),ISNUMBER('Real results'!D22),ISNUMBER('Raw data'!O22),ISNUMBER('Raw data'!P22)),IF(SIGN('Raw data'!O22-'Raw data'!P22)=SIGN('Real results'!C22-'Real results'!D22),2+IF(AND('Raw data'!O22='Real results'!C22,'Raw data'!P22='Real results'!D22),2,0),0),0),0)</f>
        <v>0</v>
      </c>
      <c r="Q23" s="34">
        <f>IFERROR(IF(AND(ISNUMBER('Real results'!C22),ISNUMBER('Real results'!D22),ISNUMBER('Raw data'!Q22),ISNUMBER('Raw data'!R22)),IF(SIGN('Raw data'!Q22-'Raw data'!R22)=SIGN('Real results'!C22-'Real results'!D22),2+IF(AND('Raw data'!Q22='Real results'!C22,'Raw data'!R22='Real results'!D22),2,0),0),0),0)</f>
        <v>0</v>
      </c>
      <c r="S23" s="34">
        <f>IFERROR(IF(AND(ISNUMBER('Real results'!C22),ISNUMBER('Real results'!D22),ISNUMBER('Raw data'!S22),ISNUMBER('Raw data'!T22)),IF(SIGN('Raw data'!S22-'Raw data'!T22)=SIGN('Real results'!C22-'Real results'!D22),2+IF(AND('Raw data'!S22='Real results'!C22,'Raw data'!T22='Real results'!D22),2,0),0),0),0)</f>
        <v>0</v>
      </c>
      <c r="U23" s="34">
        <f>IFERROR(IF(AND(ISNUMBER('Real results'!C22),ISNUMBER('Real results'!D22),ISNUMBER('Raw data'!U22),ISNUMBER('Raw data'!V22)),IF(SIGN('Raw data'!U22-'Raw data'!V22)=SIGN('Real results'!C22-'Real results'!D22),2+IF(AND('Raw data'!U22='Real results'!C22,'Raw data'!V22='Real results'!D22),2,0),0),0),0)</f>
        <v>0</v>
      </c>
      <c r="W23" s="34">
        <f>IFERROR(IF(AND(ISNUMBER('Real results'!C22),ISNUMBER('Real results'!D22),ISNUMBER('Raw data'!W22),ISNUMBER('Raw data'!X22)),IF(SIGN('Raw data'!W22-'Raw data'!X22)=SIGN('Real results'!C22-'Real results'!D22),2+IF(AND('Raw data'!W22='Real results'!C22,'Raw data'!X22='Real results'!D22),2,0),0),0),0)</f>
        <v>0</v>
      </c>
      <c r="Y23" s="34">
        <f>IFERROR(IF(AND(ISNUMBER('Real results'!C22),ISNUMBER('Real results'!D22),ISNUMBER('Raw data'!Y22),ISNUMBER('Raw data'!Z22)),IF(SIGN('Raw data'!Y22-'Raw data'!Z22)=SIGN('Real results'!C22-'Real results'!D22),2+IF(AND('Raw data'!Y22='Real results'!C22,'Raw data'!Z22='Real results'!D22),2,0),0),0),0)</f>
        <v>0</v>
      </c>
      <c r="AA23" s="34">
        <f>IFERROR(IF(AND(ISNUMBER('Real results'!C22),ISNUMBER('Real results'!D22),ISNUMBER('Raw data'!AA22),ISNUMBER('Raw data'!AB22)),IF(SIGN('Raw data'!AA22-'Raw data'!AB22)=SIGN('Real results'!C22-'Real results'!D22),2+IF(AND('Raw data'!AA22='Real results'!C22,'Raw data'!AB22='Real results'!D22),2,0),0),0),0)</f>
        <v>0</v>
      </c>
      <c r="AC23" s="34">
        <f>IFERROR(IF(AND(ISNUMBER('Real results'!C22),ISNUMBER('Real results'!D22),ISNUMBER('Raw data'!AC22),ISNUMBER('Raw data'!AD22)),IF(SIGN('Raw data'!AC22-'Raw data'!AD22)=SIGN('Real results'!C22-'Real results'!D22),2+IF(AND('Raw data'!AC22='Real results'!C22,'Raw data'!AD22='Real results'!D22),2,0),0),0),0)</f>
        <v>0</v>
      </c>
      <c r="AE23" s="34">
        <f>IFERROR(IF(AND(ISNUMBER('Real results'!C22),ISNUMBER('Real results'!D22),ISNUMBER('Raw data'!AE22),ISNUMBER('Raw data'!AF22)),IF(SIGN('Raw data'!AE22-'Raw data'!AF22)=SIGN('Real results'!C22-'Real results'!D22),2+IF(AND('Raw data'!AE22='Real results'!C22,'Raw data'!AF22='Real results'!D22),2,0),0),0),0)</f>
        <v>0</v>
      </c>
      <c r="AG23" s="34">
        <f>IFERROR(IF(AND(ISNUMBER('Real results'!C22),ISNUMBER('Real results'!D22),ISNUMBER('Raw data'!AG22),ISNUMBER('Raw data'!AH22)),IF(SIGN('Raw data'!AG22-'Raw data'!AH22)=SIGN('Real results'!C22-'Real results'!D22),2+IF(AND('Raw data'!AG22='Real results'!C22,'Raw data'!AH22='Real results'!D22),2,0),0),0),0)</f>
        <v>0</v>
      </c>
      <c r="AI23" s="34">
        <f>IFERROR(IF(AND(ISNUMBER('Real results'!C22),ISNUMBER('Real results'!D22),ISNUMBER('Raw data'!AI22),ISNUMBER('Raw data'!AJ22)),IF(SIGN('Raw data'!AI22-'Raw data'!AJ22)=SIGN('Real results'!C22-'Real results'!D22),2+IF(AND('Raw data'!AI22='Real results'!C22,'Raw data'!AJ22='Real results'!D22),2,0),0),0),0)</f>
        <v>0</v>
      </c>
      <c r="AK23" s="34">
        <f>IFERROR(IF(AND(ISNUMBER('Real results'!C22),ISNUMBER('Real results'!D22),ISNUMBER('Raw data'!AK22),ISNUMBER('Raw data'!AL22)),IF(SIGN('Raw data'!AK22-'Raw data'!AL22)=SIGN('Real results'!C22-'Real results'!D22),2+IF(AND('Raw data'!AK22='Real results'!C22,'Raw data'!AL22='Real results'!D22),2,0),0),0),0)</f>
        <v>0</v>
      </c>
      <c r="AM23" s="34">
        <f>IFERROR(IF(AND(ISNUMBER('Real results'!C22),ISNUMBER('Real results'!D22),ISNUMBER('Raw data'!AM22),ISNUMBER('Raw data'!AN22)),IF(SIGN('Raw data'!AM22-'Raw data'!AN22)=SIGN('Real results'!C22-'Real results'!D22),2+IF(AND('Raw data'!AM22='Real results'!C22,'Raw data'!AN22='Real results'!D22),2,0),0),0),0)</f>
        <v>0</v>
      </c>
      <c r="AO23" s="34">
        <f>IFERROR(IF(AND(ISNUMBER('Real results'!C22),ISNUMBER('Real results'!D22),ISNUMBER('Raw data'!AO22),ISNUMBER('Raw data'!AP22)),IF(SIGN('Raw data'!AO22-'Raw data'!AP22)=SIGN('Real results'!C22-'Real results'!D22),2+IF(AND('Raw data'!AO22='Real results'!C22,'Raw data'!AP22='Real results'!D22),2,0),0),0),0)</f>
        <v>0</v>
      </c>
      <c r="AQ23" s="34">
        <f>IFERROR(IF(AND(ISNUMBER('Real results'!C22),ISNUMBER('Real results'!D22),ISNUMBER('Raw data'!AQ22),ISNUMBER('Raw data'!AR22)),IF(SIGN('Raw data'!AQ22-'Raw data'!AR22)=SIGN('Real results'!C22-'Real results'!D22),2+IF(AND('Raw data'!AQ22='Real results'!C22,'Raw data'!AR22='Real results'!D22),2,0),0),0),0)</f>
        <v>0</v>
      </c>
      <c r="AS23" s="34">
        <f>IFERROR(IF(AND(ISNUMBER('Real results'!C22),ISNUMBER('Real results'!D22),ISNUMBER('Raw data'!AS22),ISNUMBER('Raw data'!AT22)),IF(SIGN('Raw data'!AS22-'Raw data'!AT22)=SIGN('Real results'!C22-'Real results'!D22),2+IF(AND('Raw data'!AS22='Real results'!C22,'Raw data'!AT22='Real results'!D22),2,0),0),0),0)</f>
        <v>0</v>
      </c>
      <c r="AU23" s="34">
        <f>IFERROR(IF(AND(ISNUMBER('Real results'!C22),ISNUMBER('Real results'!D22),ISNUMBER('Raw data'!AU22),ISNUMBER('Raw data'!AV22)),IF(SIGN('Raw data'!AU22-'Raw data'!AV22)=SIGN('Real results'!C22-'Real results'!D22),2+IF(AND('Raw data'!AU22='Real results'!C22,'Raw data'!AV22='Real results'!D22),2,0),0),0),0)</f>
        <v>0</v>
      </c>
      <c r="AW23" s="34">
        <f>IFERROR(IF(AND(ISNUMBER('Real results'!C22),ISNUMBER('Real results'!D22),ISNUMBER('Raw data'!AW22),ISNUMBER('Raw data'!AX22)),IF(SIGN('Raw data'!AW22-'Raw data'!AX22)=SIGN('Real results'!C22-'Real results'!D22),2+IF(AND('Raw data'!AW22='Real results'!C22,'Raw data'!AX22='Real results'!D22),2,0),0),0),0)</f>
        <v>0</v>
      </c>
      <c r="AY23" s="34">
        <f>IFERROR(IF(AND(ISNUMBER('Real results'!C22),ISNUMBER('Real results'!D22),ISNUMBER('Raw data'!AY22),ISNUMBER('Raw data'!AZ22)),IF(SIGN('Raw data'!AY22-'Raw data'!AZ22)=SIGN('Real results'!C22-'Real results'!D22),2+IF(AND('Raw data'!AY22='Real results'!C22,'Raw data'!AZ22='Real results'!D22),2,0),0),0),0)</f>
        <v>0</v>
      </c>
      <c r="BA23" s="34">
        <f>IFERROR(IF(AND(ISNUMBER('Real results'!C22),ISNUMBER('Real results'!D22),ISNUMBER('Raw data'!BA22),ISNUMBER('Raw data'!BB22)),IF(SIGN('Raw data'!BA22-'Raw data'!BB22)=SIGN('Real results'!C22-'Real results'!D22),2+IF(AND('Raw data'!BA22='Real results'!C22,'Raw data'!BB22='Real results'!D22),2,0),0),0),0)</f>
        <v>0</v>
      </c>
      <c r="BC23" s="34">
        <f>IFERROR(IF(AND(ISNUMBER('Real results'!C22),ISNUMBER('Real results'!D22),ISNUMBER('Raw data'!BC22),ISNUMBER('Raw data'!BD22)),IF(SIGN('Raw data'!BC22-'Raw data'!BD22)=SIGN('Real results'!C22-'Real results'!D22),2+IF(AND('Raw data'!BC22='Real results'!C22,'Raw data'!BD22='Real results'!D22),2,0),0),0),0)</f>
        <v>0</v>
      </c>
      <c r="BE23" s="34">
        <f>IFERROR(IF(AND(ISNUMBER('Real results'!C22),ISNUMBER('Real results'!D22),ISNUMBER('Raw data'!BE22),ISNUMBER('Raw data'!BF22)),IF(SIGN('Raw data'!BE22-'Raw data'!BF22)=SIGN('Real results'!C22-'Real results'!D22),2+IF(AND('Raw data'!BE22='Real results'!C22,'Raw data'!BF22='Real results'!D22),2,0),0),0),0)</f>
        <v>0</v>
      </c>
      <c r="BG23" s="34">
        <f>IFERROR(IF(AND(ISNUMBER('Real results'!C22),ISNUMBER('Real results'!D22),ISNUMBER('Raw data'!BG22),ISNUMBER('Raw data'!BH22)),IF(SIGN('Raw data'!BG22-'Raw data'!BH22)=SIGN('Real results'!C22-'Real results'!D22),2+IF(AND('Raw data'!BG22='Real results'!C22,'Raw data'!BH22='Real results'!D22),2,0),0),0),0)</f>
        <v>0</v>
      </c>
      <c r="BI23" s="34">
        <f>IFERROR(IF(AND(ISNUMBER('Real results'!C22),ISNUMBER('Real results'!D22),ISNUMBER('Raw data'!BI22),ISNUMBER('Raw data'!BJ22)),IF(SIGN('Raw data'!BI22-'Raw data'!BJ22)=SIGN('Real results'!C22-'Real results'!D22),2+IF(AND('Raw data'!BI22='Real results'!C22,'Raw data'!BJ22='Real results'!D22),2,0),0),0),0)</f>
        <v>0</v>
      </c>
    </row>
    <row r="24" ht="18.0" customHeight="1">
      <c r="B24" s="12" t="s">
        <v>44</v>
      </c>
      <c r="C24" s="34">
        <f>IFERROR(IF(AND(ISNUMBER('Real results'!C23),ISNUMBER('Real results'!D23),ISNUMBER('Raw data'!C21),ISNUMBER('Raw data'!D21)),IF(SIGN('Raw data'!C21-'Raw data'!D21)=SIGN('Real results'!C23-'Real results'!D23),2+IF(AND('Raw data'!C21='Real results'!C23,'Raw data'!D21='Real results'!D23),2,0),0),0),0)</f>
        <v>2</v>
      </c>
      <c r="E24" s="34">
        <f>IFERROR(IF(AND(ISNUMBER('Real results'!C23),ISNUMBER('Real results'!D23),ISNUMBER('Raw data'!E22),ISNUMBER('Raw data'!F22)),IF(SIGN('Raw data'!E22-'Raw data'!F22)=SIGN('Real results'!C23-'Real results'!D23),2+IF(AND('Raw data'!E22='Real results'!C23,'Raw data'!F22='Real results'!D23),2,0),0),0),0)</f>
        <v>0</v>
      </c>
      <c r="G24" s="34">
        <f>IFERROR(IF(AND(ISNUMBER('Real results'!C23),ISNUMBER('Real results'!D23),ISNUMBER('Raw data'!G23),ISNUMBER('Raw data'!H23)),IF(SIGN('Raw data'!G23-'Raw data'!H23)=SIGN('Real results'!C23-'Real results'!D23),2+IF(AND('Raw data'!G23='Real results'!C23,'Raw data'!H23='Real results'!D23),2,0),0),0),0)</f>
        <v>2</v>
      </c>
      <c r="I24" s="34">
        <f>IFERROR(IF(AND(ISNUMBER('Real results'!C23),ISNUMBER('Real results'!D23),ISNUMBER('Raw data'!I23),ISNUMBER('Raw data'!J23)),IF(SIGN('Raw data'!I23-'Raw data'!J23)=SIGN('Real results'!C23-'Real results'!D23),2+IF(AND('Raw data'!I23='Real results'!C23,'Raw data'!J23='Real results'!D23),2,0),0),0),0)</f>
        <v>2</v>
      </c>
      <c r="K24" s="34">
        <f>IFERROR(IF(AND(ISNUMBER('Real results'!C23),ISNUMBER('Real results'!D23),ISNUMBER('Raw data'!K23),ISNUMBER('Raw data'!L23)),IF(SIGN('Raw data'!K23-'Raw data'!L23)=SIGN('Real results'!C23-'Real results'!D23),2+IF(AND('Raw data'!K23='Real results'!C23,'Raw data'!L23='Real results'!D23),2,0),0),0),0)</f>
        <v>2</v>
      </c>
      <c r="M24" s="34">
        <f>IFERROR(IF(AND(ISNUMBER('Real results'!C23),ISNUMBER('Real results'!D23),ISNUMBER('Raw data'!M23),ISNUMBER('Raw data'!N23)),IF(SIGN('Raw data'!M23-'Raw data'!N23)=SIGN('Real results'!C23-'Real results'!D23),2+IF(AND('Raw data'!M23='Real results'!C23,'Raw data'!N23='Real results'!D23),2,0),0),0),0)</f>
        <v>0</v>
      </c>
      <c r="O24" s="34">
        <f>IFERROR(IF(AND(ISNUMBER('Real results'!C23),ISNUMBER('Real results'!D23),ISNUMBER('Raw data'!O23),ISNUMBER('Raw data'!P23)),IF(SIGN('Raw data'!O23-'Raw data'!P23)=SIGN('Real results'!C23-'Real results'!D23),2+IF(AND('Raw data'!O23='Real results'!C23,'Raw data'!P23='Real results'!D23),2,0),0),0),0)</f>
        <v>0</v>
      </c>
      <c r="Q24" s="34">
        <f>IFERROR(IF(AND(ISNUMBER('Real results'!C23),ISNUMBER('Real results'!D23),ISNUMBER('Raw data'!Q23),ISNUMBER('Raw data'!R23)),IF(SIGN('Raw data'!Q23-'Raw data'!R23)=SIGN('Real results'!C23-'Real results'!D23),2+IF(AND('Raw data'!Q23='Real results'!C23,'Raw data'!R23='Real results'!D23),2,0),0),0),0)</f>
        <v>0</v>
      </c>
      <c r="S24" s="34">
        <f>IFERROR(IF(AND(ISNUMBER('Real results'!C23),ISNUMBER('Real results'!D23),ISNUMBER('Raw data'!S23),ISNUMBER('Raw data'!T23)),IF(SIGN('Raw data'!S23-'Raw data'!T23)=SIGN('Real results'!C23-'Real results'!D23),2+IF(AND('Raw data'!S23='Real results'!C23,'Raw data'!T23='Real results'!D23),2,0),0),0),0)</f>
        <v>0</v>
      </c>
      <c r="U24" s="34">
        <f>IFERROR(IF(AND(ISNUMBER('Real results'!C23),ISNUMBER('Real results'!D23),ISNUMBER('Raw data'!U23),ISNUMBER('Raw data'!V23)),IF(SIGN('Raw data'!U23-'Raw data'!V23)=SIGN('Real results'!C23-'Real results'!D23),2+IF(AND('Raw data'!U23='Real results'!C23,'Raw data'!V23='Real results'!D23),2,0),0),0),0)</f>
        <v>0</v>
      </c>
      <c r="W24" s="34">
        <f>IFERROR(IF(AND(ISNUMBER('Real results'!C23),ISNUMBER('Real results'!D23),ISNUMBER('Raw data'!W23),ISNUMBER('Raw data'!X23)),IF(SIGN('Raw data'!W23-'Raw data'!X23)=SIGN('Real results'!C23-'Real results'!D23),2+IF(AND('Raw data'!W23='Real results'!C23,'Raw data'!X23='Real results'!D23),2,0),0),0),0)</f>
        <v>0</v>
      </c>
      <c r="Y24" s="34">
        <f>IFERROR(IF(AND(ISNUMBER('Real results'!C23),ISNUMBER('Real results'!D23),ISNUMBER('Raw data'!Y23),ISNUMBER('Raw data'!Z23)),IF(SIGN('Raw data'!Y23-'Raw data'!Z23)=SIGN('Real results'!C23-'Real results'!D23),2+IF(AND('Raw data'!Y23='Real results'!C23,'Raw data'!Z23='Real results'!D23),2,0),0),0),0)</f>
        <v>0</v>
      </c>
      <c r="AA24" s="34">
        <f>IFERROR(IF(AND(ISNUMBER('Real results'!C23),ISNUMBER('Real results'!D23),ISNUMBER('Raw data'!AA23),ISNUMBER('Raw data'!AB23)),IF(SIGN('Raw data'!AA23-'Raw data'!AB23)=SIGN('Real results'!C23-'Real results'!D23),2+IF(AND('Raw data'!AA23='Real results'!C23,'Raw data'!AB23='Real results'!D23),2,0),0),0),0)</f>
        <v>0</v>
      </c>
      <c r="AC24" s="34">
        <f>IFERROR(IF(AND(ISNUMBER('Real results'!C23),ISNUMBER('Real results'!D23),ISNUMBER('Raw data'!AC23),ISNUMBER('Raw data'!AD23)),IF(SIGN('Raw data'!AC23-'Raw data'!AD23)=SIGN('Real results'!C23-'Real results'!D23),2+IF(AND('Raw data'!AC23='Real results'!C23,'Raw data'!AD23='Real results'!D23),2,0),0),0),0)</f>
        <v>0</v>
      </c>
      <c r="AE24" s="34">
        <f>IFERROR(IF(AND(ISNUMBER('Real results'!C23),ISNUMBER('Real results'!D23),ISNUMBER('Raw data'!AE23),ISNUMBER('Raw data'!AF23)),IF(SIGN('Raw data'!AE23-'Raw data'!AF23)=SIGN('Real results'!C23-'Real results'!D23),2+IF(AND('Raw data'!AE23='Real results'!C23,'Raw data'!AF23='Real results'!D23),2,0),0),0),0)</f>
        <v>0</v>
      </c>
      <c r="AG24" s="34">
        <f>IFERROR(IF(AND(ISNUMBER('Real results'!C23),ISNUMBER('Real results'!D23),ISNUMBER('Raw data'!AG23),ISNUMBER('Raw data'!AH23)),IF(SIGN('Raw data'!AG23-'Raw data'!AH23)=SIGN('Real results'!C23-'Real results'!D23),2+IF(AND('Raw data'!AG23='Real results'!C23,'Raw data'!AH23='Real results'!D23),2,0),0),0),0)</f>
        <v>0</v>
      </c>
      <c r="AI24" s="34">
        <f>IFERROR(IF(AND(ISNUMBER('Real results'!C23),ISNUMBER('Real results'!D23),ISNUMBER('Raw data'!AI23),ISNUMBER('Raw data'!AJ23)),IF(SIGN('Raw data'!AI23-'Raw data'!AJ23)=SIGN('Real results'!C23-'Real results'!D23),2+IF(AND('Raw data'!AI23='Real results'!C23,'Raw data'!AJ23='Real results'!D23),2,0),0),0),0)</f>
        <v>0</v>
      </c>
      <c r="AK24" s="34">
        <f>IFERROR(IF(AND(ISNUMBER('Real results'!C23),ISNUMBER('Real results'!D23),ISNUMBER('Raw data'!AK23),ISNUMBER('Raw data'!AL23)),IF(SIGN('Raw data'!AK23-'Raw data'!AL23)=SIGN('Real results'!C23-'Real results'!D23),2+IF(AND('Raw data'!AK23='Real results'!C23,'Raw data'!AL23='Real results'!D23),2,0),0),0),0)</f>
        <v>0</v>
      </c>
      <c r="AM24" s="34">
        <f>IFERROR(IF(AND(ISNUMBER('Real results'!C23),ISNUMBER('Real results'!D23),ISNUMBER('Raw data'!AM23),ISNUMBER('Raw data'!AN23)),IF(SIGN('Raw data'!AM23-'Raw data'!AN23)=SIGN('Real results'!C23-'Real results'!D23),2+IF(AND('Raw data'!AM23='Real results'!C23,'Raw data'!AN23='Real results'!D23),2,0),0),0),0)</f>
        <v>0</v>
      </c>
      <c r="AO24" s="34">
        <f>IFERROR(IF(AND(ISNUMBER('Real results'!C23),ISNUMBER('Real results'!D23),ISNUMBER('Raw data'!AO23),ISNUMBER('Raw data'!AP23)),IF(SIGN('Raw data'!AO23-'Raw data'!AP23)=SIGN('Real results'!C23-'Real results'!D23),2+IF(AND('Raw data'!AO23='Real results'!C23,'Raw data'!AP23='Real results'!D23),2,0),0),0),0)</f>
        <v>0</v>
      </c>
      <c r="AQ24" s="34">
        <f>IFERROR(IF(AND(ISNUMBER('Real results'!C23),ISNUMBER('Real results'!D23),ISNUMBER('Raw data'!AQ23),ISNUMBER('Raw data'!AR23)),IF(SIGN('Raw data'!AQ23-'Raw data'!AR23)=SIGN('Real results'!C23-'Real results'!D23),2+IF(AND('Raw data'!AQ23='Real results'!C23,'Raw data'!AR23='Real results'!D23),2,0),0),0),0)</f>
        <v>0</v>
      </c>
      <c r="AS24" s="34">
        <f>IFERROR(IF(AND(ISNUMBER('Real results'!C23),ISNUMBER('Real results'!D23),ISNUMBER('Raw data'!AS23),ISNUMBER('Raw data'!AT23)),IF(SIGN('Raw data'!AS23-'Raw data'!AT23)=SIGN('Real results'!C23-'Real results'!D23),2+IF(AND('Raw data'!AS23='Real results'!C23,'Raw data'!AT23='Real results'!D23),2,0),0),0),0)</f>
        <v>0</v>
      </c>
      <c r="AU24" s="34">
        <f>IFERROR(IF(AND(ISNUMBER('Real results'!C23),ISNUMBER('Real results'!D23),ISNUMBER('Raw data'!AU23),ISNUMBER('Raw data'!AV23)),IF(SIGN('Raw data'!AU23-'Raw data'!AV23)=SIGN('Real results'!C23-'Real results'!D23),2+IF(AND('Raw data'!AU23='Real results'!C23,'Raw data'!AV23='Real results'!D23),2,0),0),0),0)</f>
        <v>0</v>
      </c>
      <c r="AW24" s="34">
        <f>IFERROR(IF(AND(ISNUMBER('Real results'!C23),ISNUMBER('Real results'!D23),ISNUMBER('Raw data'!AW23),ISNUMBER('Raw data'!AX23)),IF(SIGN('Raw data'!AW23-'Raw data'!AX23)=SIGN('Real results'!C23-'Real results'!D23),2+IF(AND('Raw data'!AW23='Real results'!C23,'Raw data'!AX23='Real results'!D23),2,0),0),0),0)</f>
        <v>0</v>
      </c>
      <c r="AY24" s="34">
        <f>IFERROR(IF(AND(ISNUMBER('Real results'!C23),ISNUMBER('Real results'!D23),ISNUMBER('Raw data'!AY23),ISNUMBER('Raw data'!AZ23)),IF(SIGN('Raw data'!AY23-'Raw data'!AZ23)=SIGN('Real results'!C23-'Real results'!D23),2+IF(AND('Raw data'!AY23='Real results'!C23,'Raw data'!AZ23='Real results'!D23),2,0),0),0),0)</f>
        <v>0</v>
      </c>
      <c r="BA24" s="34">
        <f>IFERROR(IF(AND(ISNUMBER('Real results'!C23),ISNUMBER('Real results'!D23),ISNUMBER('Raw data'!BA23),ISNUMBER('Raw data'!BB23)),IF(SIGN('Raw data'!BA23-'Raw data'!BB23)=SIGN('Real results'!C23-'Real results'!D23),2+IF(AND('Raw data'!BA23='Real results'!C23,'Raw data'!BB23='Real results'!D23),2,0),0),0),0)</f>
        <v>0</v>
      </c>
      <c r="BC24" s="34">
        <f>IFERROR(IF(AND(ISNUMBER('Real results'!C23),ISNUMBER('Real results'!D23),ISNUMBER('Raw data'!BC23),ISNUMBER('Raw data'!BD23)),IF(SIGN('Raw data'!BC23-'Raw data'!BD23)=SIGN('Real results'!C23-'Real results'!D23),2+IF(AND('Raw data'!BC23='Real results'!C23,'Raw data'!BD23='Real results'!D23),2,0),0),0),0)</f>
        <v>0</v>
      </c>
      <c r="BE24" s="34">
        <f>IFERROR(IF(AND(ISNUMBER('Real results'!C23),ISNUMBER('Real results'!D23),ISNUMBER('Raw data'!BE23),ISNUMBER('Raw data'!BF23)),IF(SIGN('Raw data'!BE23-'Raw data'!BF23)=SIGN('Real results'!C23-'Real results'!D23),2+IF(AND('Raw data'!BE23='Real results'!C23,'Raw data'!BF23='Real results'!D23),2,0),0),0),0)</f>
        <v>0</v>
      </c>
      <c r="BG24" s="34">
        <f>IFERROR(IF(AND(ISNUMBER('Real results'!C23),ISNUMBER('Real results'!D23),ISNUMBER('Raw data'!BG23),ISNUMBER('Raw data'!BH23)),IF(SIGN('Raw data'!BG23-'Raw data'!BH23)=SIGN('Real results'!C23-'Real results'!D23),2+IF(AND('Raw data'!BG23='Real results'!C23,'Raw data'!BH23='Real results'!D23),2,0),0),0),0)</f>
        <v>0</v>
      </c>
      <c r="BI24" s="34">
        <f>IFERROR(IF(AND(ISNUMBER('Real results'!C23),ISNUMBER('Real results'!D23),ISNUMBER('Raw data'!BI23),ISNUMBER('Raw data'!BJ23)),IF(SIGN('Raw data'!BI23-'Raw data'!BJ23)=SIGN('Real results'!C23-'Real results'!D23),2+IF(AND('Raw data'!BI23='Real results'!C23,'Raw data'!BJ23='Real results'!D23),2,0),0),0),0)</f>
        <v>0</v>
      </c>
    </row>
    <row r="25" ht="18.0" customHeight="1">
      <c r="B25" s="12" t="s">
        <v>45</v>
      </c>
      <c r="C25" s="34">
        <f>IFERROR(IF(AND(ISNUMBER('Real results'!C24),ISNUMBER('Real results'!D24),ISNUMBER('Raw data'!C22),ISNUMBER('Raw data'!D22)),IF(SIGN('Raw data'!C22-'Raw data'!D22)=SIGN('Real results'!C24-'Real results'!D24),2+IF(AND('Raw data'!C22='Real results'!C24,'Raw data'!D22='Real results'!D24),2,0),0),0),0)</f>
        <v>2</v>
      </c>
      <c r="E25" s="34">
        <f>IFERROR(IF(AND(ISNUMBER('Real results'!C24),ISNUMBER('Real results'!D24),ISNUMBER('Raw data'!E23),ISNUMBER('Raw data'!F23)),IF(SIGN('Raw data'!E23-'Raw data'!F23)=SIGN('Real results'!C24-'Real results'!D24),2+IF(AND('Raw data'!E23='Real results'!C24,'Raw data'!F23='Real results'!D24),2,0),0),0),0)</f>
        <v>0</v>
      </c>
      <c r="G25" s="34">
        <f>IFERROR(IF(AND(ISNUMBER('Real results'!C24),ISNUMBER('Real results'!D24),ISNUMBER('Raw data'!G24),ISNUMBER('Raw data'!H24)),IF(SIGN('Raw data'!G24-'Raw data'!H24)=SIGN('Real results'!C24-'Real results'!D24),2+IF(AND('Raw data'!G24='Real results'!C24,'Raw data'!H24='Real results'!D24),2,0),0),0),0)</f>
        <v>2</v>
      </c>
      <c r="I25" s="34">
        <f>IFERROR(IF(AND(ISNUMBER('Real results'!C24),ISNUMBER('Real results'!D24),ISNUMBER('Raw data'!I24),ISNUMBER('Raw data'!J24)),IF(SIGN('Raw data'!I24-'Raw data'!J24)=SIGN('Real results'!C24-'Real results'!D24),2+IF(AND('Raw data'!I24='Real results'!C24,'Raw data'!J24='Real results'!D24),2,0),0),0),0)</f>
        <v>2</v>
      </c>
      <c r="K25" s="34">
        <f>IFERROR(IF(AND(ISNUMBER('Real results'!C24),ISNUMBER('Real results'!D24),ISNUMBER('Raw data'!K24),ISNUMBER('Raw data'!L24)),IF(SIGN('Raw data'!K24-'Raw data'!L24)=SIGN('Real results'!C24-'Real results'!D24),2+IF(AND('Raw data'!K24='Real results'!C24,'Raw data'!L24='Real results'!D24),2,0),0),0),0)</f>
        <v>2</v>
      </c>
      <c r="M25" s="34">
        <f>IFERROR(IF(AND(ISNUMBER('Real results'!C24),ISNUMBER('Real results'!D24),ISNUMBER('Raw data'!M24),ISNUMBER('Raw data'!N24)),IF(SIGN('Raw data'!M24-'Raw data'!N24)=SIGN('Real results'!C24-'Real results'!D24),2+IF(AND('Raw data'!M24='Real results'!C24,'Raw data'!N24='Real results'!D24),2,0),0),0),0)</f>
        <v>0</v>
      </c>
      <c r="O25" s="34">
        <f>IFERROR(IF(AND(ISNUMBER('Real results'!C24),ISNUMBER('Real results'!D24),ISNUMBER('Raw data'!O24),ISNUMBER('Raw data'!P24)),IF(SIGN('Raw data'!O24-'Raw data'!P24)=SIGN('Real results'!C24-'Real results'!D24),2+IF(AND('Raw data'!O24='Real results'!C24,'Raw data'!P24='Real results'!D24),2,0),0),0),0)</f>
        <v>0</v>
      </c>
      <c r="Q25" s="34">
        <f>IFERROR(IF(AND(ISNUMBER('Real results'!C24),ISNUMBER('Real results'!D24),ISNUMBER('Raw data'!Q24),ISNUMBER('Raw data'!R24)),IF(SIGN('Raw data'!Q24-'Raw data'!R24)=SIGN('Real results'!C24-'Real results'!D24),2+IF(AND('Raw data'!Q24='Real results'!C24,'Raw data'!R24='Real results'!D24),2,0),0),0),0)</f>
        <v>0</v>
      </c>
      <c r="S25" s="34">
        <f>IFERROR(IF(AND(ISNUMBER('Real results'!C24),ISNUMBER('Real results'!D24),ISNUMBER('Raw data'!S24),ISNUMBER('Raw data'!T24)),IF(SIGN('Raw data'!S24-'Raw data'!T24)=SIGN('Real results'!C24-'Real results'!D24),2+IF(AND('Raw data'!S24='Real results'!C24,'Raw data'!T24='Real results'!D24),2,0),0),0),0)</f>
        <v>0</v>
      </c>
      <c r="U25" s="34">
        <f>IFERROR(IF(AND(ISNUMBER('Real results'!C24),ISNUMBER('Real results'!D24),ISNUMBER('Raw data'!U24),ISNUMBER('Raw data'!V24)),IF(SIGN('Raw data'!U24-'Raw data'!V24)=SIGN('Real results'!C24-'Real results'!D24),2+IF(AND('Raw data'!U24='Real results'!C24,'Raw data'!V24='Real results'!D24),2,0),0),0),0)</f>
        <v>0</v>
      </c>
      <c r="W25" s="34">
        <f>IFERROR(IF(AND(ISNUMBER('Real results'!C24),ISNUMBER('Real results'!D24),ISNUMBER('Raw data'!W24),ISNUMBER('Raw data'!X24)),IF(SIGN('Raw data'!W24-'Raw data'!X24)=SIGN('Real results'!C24-'Real results'!D24),2+IF(AND('Raw data'!W24='Real results'!C24,'Raw data'!X24='Real results'!D24),2,0),0),0),0)</f>
        <v>0</v>
      </c>
      <c r="Y25" s="34">
        <f>IFERROR(IF(AND(ISNUMBER('Real results'!C24),ISNUMBER('Real results'!D24),ISNUMBER('Raw data'!Y24),ISNUMBER('Raw data'!Z24)),IF(SIGN('Raw data'!Y24-'Raw data'!Z24)=SIGN('Real results'!C24-'Real results'!D24),2+IF(AND('Raw data'!Y24='Real results'!C24,'Raw data'!Z24='Real results'!D24),2,0),0),0),0)</f>
        <v>0</v>
      </c>
      <c r="AA25" s="34">
        <f>IFERROR(IF(AND(ISNUMBER('Real results'!C24),ISNUMBER('Real results'!D24),ISNUMBER('Raw data'!AA24),ISNUMBER('Raw data'!AB24)),IF(SIGN('Raw data'!AA24-'Raw data'!AB24)=SIGN('Real results'!C24-'Real results'!D24),2+IF(AND('Raw data'!AA24='Real results'!C24,'Raw data'!AB24='Real results'!D24),2,0),0),0),0)</f>
        <v>0</v>
      </c>
      <c r="AC25" s="34">
        <f>IFERROR(IF(AND(ISNUMBER('Real results'!C24),ISNUMBER('Real results'!D24),ISNUMBER('Raw data'!AC24),ISNUMBER('Raw data'!AD24)),IF(SIGN('Raw data'!AC24-'Raw data'!AD24)=SIGN('Real results'!C24-'Real results'!D24),2+IF(AND('Raw data'!AC24='Real results'!C24,'Raw data'!AD24='Real results'!D24),2,0),0),0),0)</f>
        <v>0</v>
      </c>
      <c r="AE25" s="34">
        <f>IFERROR(IF(AND(ISNUMBER('Real results'!C24),ISNUMBER('Real results'!D24),ISNUMBER('Raw data'!AE24),ISNUMBER('Raw data'!AF24)),IF(SIGN('Raw data'!AE24-'Raw data'!AF24)=SIGN('Real results'!C24-'Real results'!D24),2+IF(AND('Raw data'!AE24='Real results'!C24,'Raw data'!AF24='Real results'!D24),2,0),0),0),0)</f>
        <v>0</v>
      </c>
      <c r="AG25" s="34">
        <f>IFERROR(IF(AND(ISNUMBER('Real results'!C24),ISNUMBER('Real results'!D24),ISNUMBER('Raw data'!AG24),ISNUMBER('Raw data'!AH24)),IF(SIGN('Raw data'!AG24-'Raw data'!AH24)=SIGN('Real results'!C24-'Real results'!D24),2+IF(AND('Raw data'!AG24='Real results'!C24,'Raw data'!AH24='Real results'!D24),2,0),0),0),0)</f>
        <v>0</v>
      </c>
      <c r="AI25" s="34">
        <f>IFERROR(IF(AND(ISNUMBER('Real results'!C24),ISNUMBER('Real results'!D24),ISNUMBER('Raw data'!AI24),ISNUMBER('Raw data'!AJ24)),IF(SIGN('Raw data'!AI24-'Raw data'!AJ24)=SIGN('Real results'!C24-'Real results'!D24),2+IF(AND('Raw data'!AI24='Real results'!C24,'Raw data'!AJ24='Real results'!D24),2,0),0),0),0)</f>
        <v>0</v>
      </c>
      <c r="AK25" s="34">
        <f>IFERROR(IF(AND(ISNUMBER('Real results'!C24),ISNUMBER('Real results'!D24),ISNUMBER('Raw data'!AK24),ISNUMBER('Raw data'!AL24)),IF(SIGN('Raw data'!AK24-'Raw data'!AL24)=SIGN('Real results'!C24-'Real results'!D24),2+IF(AND('Raw data'!AK24='Real results'!C24,'Raw data'!AL24='Real results'!D24),2,0),0),0),0)</f>
        <v>0</v>
      </c>
      <c r="AM25" s="34">
        <f>IFERROR(IF(AND(ISNUMBER('Real results'!C24),ISNUMBER('Real results'!D24),ISNUMBER('Raw data'!AM24),ISNUMBER('Raw data'!AN24)),IF(SIGN('Raw data'!AM24-'Raw data'!AN24)=SIGN('Real results'!C24-'Real results'!D24),2+IF(AND('Raw data'!AM24='Real results'!C24,'Raw data'!AN24='Real results'!D24),2,0),0),0),0)</f>
        <v>0</v>
      </c>
      <c r="AO25" s="34">
        <f>IFERROR(IF(AND(ISNUMBER('Real results'!C24),ISNUMBER('Real results'!D24),ISNUMBER('Raw data'!AO24),ISNUMBER('Raw data'!AP24)),IF(SIGN('Raw data'!AO24-'Raw data'!AP24)=SIGN('Real results'!C24-'Real results'!D24),2+IF(AND('Raw data'!AO24='Real results'!C24,'Raw data'!AP24='Real results'!D24),2,0),0),0),0)</f>
        <v>0</v>
      </c>
      <c r="AQ25" s="34">
        <f>IFERROR(IF(AND(ISNUMBER('Real results'!C24),ISNUMBER('Real results'!D24),ISNUMBER('Raw data'!AQ24),ISNUMBER('Raw data'!AR24)),IF(SIGN('Raw data'!AQ24-'Raw data'!AR24)=SIGN('Real results'!C24-'Real results'!D24),2+IF(AND('Raw data'!AQ24='Real results'!C24,'Raw data'!AR24='Real results'!D24),2,0),0),0),0)</f>
        <v>0</v>
      </c>
      <c r="AS25" s="34">
        <f>IFERROR(IF(AND(ISNUMBER('Real results'!C24),ISNUMBER('Real results'!D24),ISNUMBER('Raw data'!AS24),ISNUMBER('Raw data'!AT24)),IF(SIGN('Raw data'!AS24-'Raw data'!AT24)=SIGN('Real results'!C24-'Real results'!D24),2+IF(AND('Raw data'!AS24='Real results'!C24,'Raw data'!AT24='Real results'!D24),2,0),0),0),0)</f>
        <v>0</v>
      </c>
      <c r="AU25" s="34">
        <f>IFERROR(IF(AND(ISNUMBER('Real results'!C24),ISNUMBER('Real results'!D24),ISNUMBER('Raw data'!AU24),ISNUMBER('Raw data'!AV24)),IF(SIGN('Raw data'!AU24-'Raw data'!AV24)=SIGN('Real results'!C24-'Real results'!D24),2+IF(AND('Raw data'!AU24='Real results'!C24,'Raw data'!AV24='Real results'!D24),2,0),0),0),0)</f>
        <v>0</v>
      </c>
      <c r="AW25" s="34">
        <f>IFERROR(IF(AND(ISNUMBER('Real results'!C24),ISNUMBER('Real results'!D24),ISNUMBER('Raw data'!AW24),ISNUMBER('Raw data'!AX24)),IF(SIGN('Raw data'!AW24-'Raw data'!AX24)=SIGN('Real results'!C24-'Real results'!D24),2+IF(AND('Raw data'!AW24='Real results'!C24,'Raw data'!AX24='Real results'!D24),2,0),0),0),0)</f>
        <v>0</v>
      </c>
      <c r="AY25" s="34">
        <f>IFERROR(IF(AND(ISNUMBER('Real results'!C24),ISNUMBER('Real results'!D24),ISNUMBER('Raw data'!AY24),ISNUMBER('Raw data'!AZ24)),IF(SIGN('Raw data'!AY24-'Raw data'!AZ24)=SIGN('Real results'!C24-'Real results'!D24),2+IF(AND('Raw data'!AY24='Real results'!C24,'Raw data'!AZ24='Real results'!D24),2,0),0),0),0)</f>
        <v>0</v>
      </c>
      <c r="BA25" s="34">
        <f>IFERROR(IF(AND(ISNUMBER('Real results'!C24),ISNUMBER('Real results'!D24),ISNUMBER('Raw data'!BA24),ISNUMBER('Raw data'!BB24)),IF(SIGN('Raw data'!BA24-'Raw data'!BB24)=SIGN('Real results'!C24-'Real results'!D24),2+IF(AND('Raw data'!BA24='Real results'!C24,'Raw data'!BB24='Real results'!D24),2,0),0),0),0)</f>
        <v>0</v>
      </c>
      <c r="BC25" s="34">
        <f>IFERROR(IF(AND(ISNUMBER('Real results'!C24),ISNUMBER('Real results'!D24),ISNUMBER('Raw data'!BC24),ISNUMBER('Raw data'!BD24)),IF(SIGN('Raw data'!BC24-'Raw data'!BD24)=SIGN('Real results'!C24-'Real results'!D24),2+IF(AND('Raw data'!BC24='Real results'!C24,'Raw data'!BD24='Real results'!D24),2,0),0),0),0)</f>
        <v>0</v>
      </c>
      <c r="BE25" s="34">
        <f>IFERROR(IF(AND(ISNUMBER('Real results'!C24),ISNUMBER('Real results'!D24),ISNUMBER('Raw data'!BE24),ISNUMBER('Raw data'!BF24)),IF(SIGN('Raw data'!BE24-'Raw data'!BF24)=SIGN('Real results'!C24-'Real results'!D24),2+IF(AND('Raw data'!BE24='Real results'!C24,'Raw data'!BF24='Real results'!D24),2,0),0),0),0)</f>
        <v>0</v>
      </c>
      <c r="BG25" s="34">
        <f>IFERROR(IF(AND(ISNUMBER('Real results'!C24),ISNUMBER('Real results'!D24),ISNUMBER('Raw data'!BG24),ISNUMBER('Raw data'!BH24)),IF(SIGN('Raw data'!BG24-'Raw data'!BH24)=SIGN('Real results'!C24-'Real results'!D24),2+IF(AND('Raw data'!BG24='Real results'!C24,'Raw data'!BH24='Real results'!D24),2,0),0),0),0)</f>
        <v>0</v>
      </c>
      <c r="BI25" s="34">
        <f>IFERROR(IF(AND(ISNUMBER('Real results'!C24),ISNUMBER('Real results'!D24),ISNUMBER('Raw data'!BI24),ISNUMBER('Raw data'!BJ24)),IF(SIGN('Raw data'!BI24-'Raw data'!BJ24)=SIGN('Real results'!C24-'Real results'!D24),2+IF(AND('Raw data'!BI24='Real results'!C24,'Raw data'!BJ24='Real results'!D24),2,0),0),0),0)</f>
        <v>0</v>
      </c>
    </row>
    <row r="26" ht="18.0" customHeight="1">
      <c r="B26" s="12" t="s">
        <v>46</v>
      </c>
      <c r="C26" s="34">
        <f>IFERROR(IF(AND(ISNUMBER('Real results'!C25),ISNUMBER('Real results'!D25),ISNUMBER('Raw data'!C23),ISNUMBER('Raw data'!D23)),IF(SIGN('Raw data'!C23-'Raw data'!D23)=SIGN('Real results'!C25-'Real results'!D25),2+IF(AND('Raw data'!C23='Real results'!C25,'Raw data'!D23='Real results'!D25),2,0),0),0),0)</f>
        <v>0</v>
      </c>
      <c r="E26" s="34">
        <f>IFERROR(IF(AND(ISNUMBER('Real results'!C25),ISNUMBER('Real results'!D25),ISNUMBER('Raw data'!E24),ISNUMBER('Raw data'!F24)),IF(SIGN('Raw data'!E24-'Raw data'!F24)=SIGN('Real results'!C25-'Real results'!D25),2+IF(AND('Raw data'!E24='Real results'!C25,'Raw data'!F24='Real results'!D25),2,0),0),0),0)</f>
        <v>2</v>
      </c>
      <c r="G26" s="34">
        <f>IFERROR(IF(AND(ISNUMBER('Real results'!C25),ISNUMBER('Real results'!D25),ISNUMBER('Raw data'!G25),ISNUMBER('Raw data'!H25)),IF(SIGN('Raw data'!G25-'Raw data'!H25)=SIGN('Real results'!C25-'Real results'!D25),2+IF(AND('Raw data'!G25='Real results'!C25,'Raw data'!H25='Real results'!D25),2,0),0),0),0)</f>
        <v>2</v>
      </c>
      <c r="I26" s="34">
        <f>IFERROR(IF(AND(ISNUMBER('Real results'!C25),ISNUMBER('Real results'!D25),ISNUMBER('Raw data'!I25),ISNUMBER('Raw data'!J25)),IF(SIGN('Raw data'!I25-'Raw data'!J25)=SIGN('Real results'!C25-'Real results'!D25),2+IF(AND('Raw data'!I25='Real results'!C25,'Raw data'!J25='Real results'!D25),2,0),0),0),0)</f>
        <v>2</v>
      </c>
      <c r="K26" s="34">
        <f>IFERROR(IF(AND(ISNUMBER('Real results'!C25),ISNUMBER('Real results'!D25),ISNUMBER('Raw data'!K25),ISNUMBER('Raw data'!L25)),IF(SIGN('Raw data'!K25-'Raw data'!L25)=SIGN('Real results'!C25-'Real results'!D25),2+IF(AND('Raw data'!K25='Real results'!C25,'Raw data'!L25='Real results'!D25),2,0),0),0),0)</f>
        <v>2</v>
      </c>
      <c r="M26" s="34">
        <f>IFERROR(IF(AND(ISNUMBER('Real results'!C25),ISNUMBER('Real results'!D25),ISNUMBER('Raw data'!M25),ISNUMBER('Raw data'!N25)),IF(SIGN('Raw data'!M25-'Raw data'!N25)=SIGN('Real results'!C25-'Real results'!D25),2+IF(AND('Raw data'!M25='Real results'!C25,'Raw data'!N25='Real results'!D25),2,0),0),0),0)</f>
        <v>0</v>
      </c>
      <c r="O26" s="34">
        <f>IFERROR(IF(AND(ISNUMBER('Real results'!C25),ISNUMBER('Real results'!D25),ISNUMBER('Raw data'!O25),ISNUMBER('Raw data'!P25)),IF(SIGN('Raw data'!O25-'Raw data'!P25)=SIGN('Real results'!C25-'Real results'!D25),2+IF(AND('Raw data'!O25='Real results'!C25,'Raw data'!P25='Real results'!D25),2,0),0),0),0)</f>
        <v>0</v>
      </c>
      <c r="Q26" s="34">
        <f>IFERROR(IF(AND(ISNUMBER('Real results'!C25),ISNUMBER('Real results'!D25),ISNUMBER('Raw data'!Q25),ISNUMBER('Raw data'!R25)),IF(SIGN('Raw data'!Q25-'Raw data'!R25)=SIGN('Real results'!C25-'Real results'!D25),2+IF(AND('Raw data'!Q25='Real results'!C25,'Raw data'!R25='Real results'!D25),2,0),0),0),0)</f>
        <v>0</v>
      </c>
      <c r="S26" s="34">
        <f>IFERROR(IF(AND(ISNUMBER('Real results'!C25),ISNUMBER('Real results'!D25),ISNUMBER('Raw data'!S25),ISNUMBER('Raw data'!T25)),IF(SIGN('Raw data'!S25-'Raw data'!T25)=SIGN('Real results'!C25-'Real results'!D25),2+IF(AND('Raw data'!S25='Real results'!C25,'Raw data'!T25='Real results'!D25),2,0),0),0),0)</f>
        <v>0</v>
      </c>
      <c r="U26" s="34">
        <f>IFERROR(IF(AND(ISNUMBER('Real results'!C25),ISNUMBER('Real results'!D25),ISNUMBER('Raw data'!U25),ISNUMBER('Raw data'!V25)),IF(SIGN('Raw data'!U25-'Raw data'!V25)=SIGN('Real results'!C25-'Real results'!D25),2+IF(AND('Raw data'!U25='Real results'!C25,'Raw data'!V25='Real results'!D25),2,0),0),0),0)</f>
        <v>0</v>
      </c>
      <c r="W26" s="34">
        <f>IFERROR(IF(AND(ISNUMBER('Real results'!C25),ISNUMBER('Real results'!D25),ISNUMBER('Raw data'!W25),ISNUMBER('Raw data'!X25)),IF(SIGN('Raw data'!W25-'Raw data'!X25)=SIGN('Real results'!C25-'Real results'!D25),2+IF(AND('Raw data'!W25='Real results'!C25,'Raw data'!X25='Real results'!D25),2,0),0),0),0)</f>
        <v>0</v>
      </c>
      <c r="Y26" s="34">
        <f>IFERROR(IF(AND(ISNUMBER('Real results'!C25),ISNUMBER('Real results'!D25),ISNUMBER('Raw data'!Y25),ISNUMBER('Raw data'!Z25)),IF(SIGN('Raw data'!Y25-'Raw data'!Z25)=SIGN('Real results'!C25-'Real results'!D25),2+IF(AND('Raw data'!Y25='Real results'!C25,'Raw data'!Z25='Real results'!D25),2,0),0),0),0)</f>
        <v>0</v>
      </c>
      <c r="AA26" s="34">
        <f>IFERROR(IF(AND(ISNUMBER('Real results'!C25),ISNUMBER('Real results'!D25),ISNUMBER('Raw data'!AA25),ISNUMBER('Raw data'!AB25)),IF(SIGN('Raw data'!AA25-'Raw data'!AB25)=SIGN('Real results'!C25-'Real results'!D25),2+IF(AND('Raw data'!AA25='Real results'!C25,'Raw data'!AB25='Real results'!D25),2,0),0),0),0)</f>
        <v>0</v>
      </c>
      <c r="AC26" s="34">
        <f>IFERROR(IF(AND(ISNUMBER('Real results'!C25),ISNUMBER('Real results'!D25),ISNUMBER('Raw data'!AC25),ISNUMBER('Raw data'!AD25)),IF(SIGN('Raw data'!AC25-'Raw data'!AD25)=SIGN('Real results'!C25-'Real results'!D25),2+IF(AND('Raw data'!AC25='Real results'!C25,'Raw data'!AD25='Real results'!D25),2,0),0),0),0)</f>
        <v>0</v>
      </c>
      <c r="AE26" s="34">
        <f>IFERROR(IF(AND(ISNUMBER('Real results'!C25),ISNUMBER('Real results'!D25),ISNUMBER('Raw data'!AE25),ISNUMBER('Raw data'!AF25)),IF(SIGN('Raw data'!AE25-'Raw data'!AF25)=SIGN('Real results'!C25-'Real results'!D25),2+IF(AND('Raw data'!AE25='Real results'!C25,'Raw data'!AF25='Real results'!D25),2,0),0),0),0)</f>
        <v>0</v>
      </c>
      <c r="AG26" s="34">
        <f>IFERROR(IF(AND(ISNUMBER('Real results'!C25),ISNUMBER('Real results'!D25),ISNUMBER('Raw data'!AG25),ISNUMBER('Raw data'!AH25)),IF(SIGN('Raw data'!AG25-'Raw data'!AH25)=SIGN('Real results'!C25-'Real results'!D25),2+IF(AND('Raw data'!AG25='Real results'!C25,'Raw data'!AH25='Real results'!D25),2,0),0),0),0)</f>
        <v>0</v>
      </c>
      <c r="AI26" s="34">
        <f>IFERROR(IF(AND(ISNUMBER('Real results'!C25),ISNUMBER('Real results'!D25),ISNUMBER('Raw data'!AI25),ISNUMBER('Raw data'!AJ25)),IF(SIGN('Raw data'!AI25-'Raw data'!AJ25)=SIGN('Real results'!C25-'Real results'!D25),2+IF(AND('Raw data'!AI25='Real results'!C25,'Raw data'!AJ25='Real results'!D25),2,0),0),0),0)</f>
        <v>0</v>
      </c>
      <c r="AK26" s="34">
        <f>IFERROR(IF(AND(ISNUMBER('Real results'!C25),ISNUMBER('Real results'!D25),ISNUMBER('Raw data'!AK25),ISNUMBER('Raw data'!AL25)),IF(SIGN('Raw data'!AK25-'Raw data'!AL25)=SIGN('Real results'!C25-'Real results'!D25),2+IF(AND('Raw data'!AK25='Real results'!C25,'Raw data'!AL25='Real results'!D25),2,0),0),0),0)</f>
        <v>0</v>
      </c>
      <c r="AM26" s="34">
        <f>IFERROR(IF(AND(ISNUMBER('Real results'!C25),ISNUMBER('Real results'!D25),ISNUMBER('Raw data'!AM25),ISNUMBER('Raw data'!AN25)),IF(SIGN('Raw data'!AM25-'Raw data'!AN25)=SIGN('Real results'!C25-'Real results'!D25),2+IF(AND('Raw data'!AM25='Real results'!C25,'Raw data'!AN25='Real results'!D25),2,0),0),0),0)</f>
        <v>0</v>
      </c>
      <c r="AO26" s="34">
        <f>IFERROR(IF(AND(ISNUMBER('Real results'!C25),ISNUMBER('Real results'!D25),ISNUMBER('Raw data'!AO25),ISNUMBER('Raw data'!AP25)),IF(SIGN('Raw data'!AO25-'Raw data'!AP25)=SIGN('Real results'!C25-'Real results'!D25),2+IF(AND('Raw data'!AO25='Real results'!C25,'Raw data'!AP25='Real results'!D25),2,0),0),0),0)</f>
        <v>0</v>
      </c>
      <c r="AQ26" s="34">
        <f>IFERROR(IF(AND(ISNUMBER('Real results'!C25),ISNUMBER('Real results'!D25),ISNUMBER('Raw data'!AQ25),ISNUMBER('Raw data'!AR25)),IF(SIGN('Raw data'!AQ25-'Raw data'!AR25)=SIGN('Real results'!C25-'Real results'!D25),2+IF(AND('Raw data'!AQ25='Real results'!C25,'Raw data'!AR25='Real results'!D25),2,0),0),0),0)</f>
        <v>0</v>
      </c>
      <c r="AS26" s="34">
        <f>IFERROR(IF(AND(ISNUMBER('Real results'!C25),ISNUMBER('Real results'!D25),ISNUMBER('Raw data'!AS25),ISNUMBER('Raw data'!AT25)),IF(SIGN('Raw data'!AS25-'Raw data'!AT25)=SIGN('Real results'!C25-'Real results'!D25),2+IF(AND('Raw data'!AS25='Real results'!C25,'Raw data'!AT25='Real results'!D25),2,0),0),0),0)</f>
        <v>0</v>
      </c>
      <c r="AU26" s="34">
        <f>IFERROR(IF(AND(ISNUMBER('Real results'!C25),ISNUMBER('Real results'!D25),ISNUMBER('Raw data'!AU25),ISNUMBER('Raw data'!AV25)),IF(SIGN('Raw data'!AU25-'Raw data'!AV25)=SIGN('Real results'!C25-'Real results'!D25),2+IF(AND('Raw data'!AU25='Real results'!C25,'Raw data'!AV25='Real results'!D25),2,0),0),0),0)</f>
        <v>0</v>
      </c>
      <c r="AW26" s="34">
        <f>IFERROR(IF(AND(ISNUMBER('Real results'!C25),ISNUMBER('Real results'!D25),ISNUMBER('Raw data'!AW25),ISNUMBER('Raw data'!AX25)),IF(SIGN('Raw data'!AW25-'Raw data'!AX25)=SIGN('Real results'!C25-'Real results'!D25),2+IF(AND('Raw data'!AW25='Real results'!C25,'Raw data'!AX25='Real results'!D25),2,0),0),0),0)</f>
        <v>0</v>
      </c>
      <c r="AY26" s="34">
        <f>IFERROR(IF(AND(ISNUMBER('Real results'!C25),ISNUMBER('Real results'!D25),ISNUMBER('Raw data'!AY25),ISNUMBER('Raw data'!AZ25)),IF(SIGN('Raw data'!AY25-'Raw data'!AZ25)=SIGN('Real results'!C25-'Real results'!D25),2+IF(AND('Raw data'!AY25='Real results'!C25,'Raw data'!AZ25='Real results'!D25),2,0),0),0),0)</f>
        <v>0</v>
      </c>
      <c r="BA26" s="34">
        <f>IFERROR(IF(AND(ISNUMBER('Real results'!C25),ISNUMBER('Real results'!D25),ISNUMBER('Raw data'!BA25),ISNUMBER('Raw data'!BB25)),IF(SIGN('Raw data'!BA25-'Raw data'!BB25)=SIGN('Real results'!C25-'Real results'!D25),2+IF(AND('Raw data'!BA25='Real results'!C25,'Raw data'!BB25='Real results'!D25),2,0),0),0),0)</f>
        <v>0</v>
      </c>
      <c r="BC26" s="34">
        <f>IFERROR(IF(AND(ISNUMBER('Real results'!C25),ISNUMBER('Real results'!D25),ISNUMBER('Raw data'!BC25),ISNUMBER('Raw data'!BD25)),IF(SIGN('Raw data'!BC25-'Raw data'!BD25)=SIGN('Real results'!C25-'Real results'!D25),2+IF(AND('Raw data'!BC25='Real results'!C25,'Raw data'!BD25='Real results'!D25),2,0),0),0),0)</f>
        <v>0</v>
      </c>
      <c r="BE26" s="34">
        <f>IFERROR(IF(AND(ISNUMBER('Real results'!C25),ISNUMBER('Real results'!D25),ISNUMBER('Raw data'!BE25),ISNUMBER('Raw data'!BF25)),IF(SIGN('Raw data'!BE25-'Raw data'!BF25)=SIGN('Real results'!C25-'Real results'!D25),2+IF(AND('Raw data'!BE25='Real results'!C25,'Raw data'!BF25='Real results'!D25),2,0),0),0),0)</f>
        <v>0</v>
      </c>
      <c r="BG26" s="34">
        <f>IFERROR(IF(AND(ISNUMBER('Real results'!C25),ISNUMBER('Real results'!D25),ISNUMBER('Raw data'!BG25),ISNUMBER('Raw data'!BH25)),IF(SIGN('Raw data'!BG25-'Raw data'!BH25)=SIGN('Real results'!C25-'Real results'!D25),2+IF(AND('Raw data'!BG25='Real results'!C25,'Raw data'!BH25='Real results'!D25),2,0),0),0),0)</f>
        <v>0</v>
      </c>
      <c r="BI26" s="34">
        <f>IFERROR(IF(AND(ISNUMBER('Real results'!C25),ISNUMBER('Real results'!D25),ISNUMBER('Raw data'!BI25),ISNUMBER('Raw data'!BJ25)),IF(SIGN('Raw data'!BI25-'Raw data'!BJ25)=SIGN('Real results'!C25-'Real results'!D25),2+IF(AND('Raw data'!BI25='Real results'!C25,'Raw data'!BJ25='Real results'!D25),2,0),0),0),0)</f>
        <v>0</v>
      </c>
    </row>
    <row r="27" ht="18.0" customHeight="1">
      <c r="B27" s="12" t="s">
        <v>47</v>
      </c>
      <c r="C27" s="34">
        <f>IFERROR(IF(AND(ISNUMBER('Real results'!C26),ISNUMBER('Real results'!D26),ISNUMBER('Raw data'!C24),ISNUMBER('Raw data'!D24)),IF(SIGN('Raw data'!C24-'Raw data'!D24)=SIGN('Real results'!C26-'Real results'!D26),2+IF(AND('Raw data'!C24='Real results'!C26,'Raw data'!D24='Real results'!D26),2,0),0),0),0)</f>
        <v>4</v>
      </c>
      <c r="E27" s="34">
        <f>IFERROR(IF(AND(ISNUMBER('Real results'!C26),ISNUMBER('Real results'!D26),ISNUMBER('Raw data'!E25),ISNUMBER('Raw data'!F25)),IF(SIGN('Raw data'!E25-'Raw data'!F25)=SIGN('Real results'!C26-'Real results'!D26),2+IF(AND('Raw data'!E25='Real results'!C26,'Raw data'!F25='Real results'!D26),2,0),0),0),0)</f>
        <v>0</v>
      </c>
      <c r="G27" s="34">
        <f>IFERROR(IF(AND(ISNUMBER('Real results'!C26),ISNUMBER('Real results'!D26),ISNUMBER('Raw data'!G26),ISNUMBER('Raw data'!H26)),IF(SIGN('Raw data'!G26-'Raw data'!H26)=SIGN('Real results'!C26-'Real results'!D26),2+IF(AND('Raw data'!G26='Real results'!C26,'Raw data'!H26='Real results'!D26),2,0),0),0),0)</f>
        <v>0</v>
      </c>
      <c r="I27" s="34">
        <f>IFERROR(IF(AND(ISNUMBER('Real results'!C26),ISNUMBER('Real results'!D26),ISNUMBER('Raw data'!I26),ISNUMBER('Raw data'!J26)),IF(SIGN('Raw data'!I26-'Raw data'!J26)=SIGN('Real results'!C26-'Real results'!D26),2+IF(AND('Raw data'!I26='Real results'!C26,'Raw data'!J26='Real results'!D26),2,0),0),0),0)</f>
        <v>0</v>
      </c>
      <c r="K27" s="34">
        <f>IFERROR(IF(AND(ISNUMBER('Real results'!C26),ISNUMBER('Real results'!D26),ISNUMBER('Raw data'!K26),ISNUMBER('Raw data'!L26)),IF(SIGN('Raw data'!K26-'Raw data'!L26)=SIGN('Real results'!C26-'Real results'!D26),2+IF(AND('Raw data'!K26='Real results'!C26,'Raw data'!L26='Real results'!D26),2,0),0),0),0)</f>
        <v>0</v>
      </c>
      <c r="M27" s="34">
        <f>IFERROR(IF(AND(ISNUMBER('Real results'!C26),ISNUMBER('Real results'!D26),ISNUMBER('Raw data'!M26),ISNUMBER('Raw data'!N26)),IF(SIGN('Raw data'!M26-'Raw data'!N26)=SIGN('Real results'!C26-'Real results'!D26),2+IF(AND('Raw data'!M26='Real results'!C26,'Raw data'!N26='Real results'!D26),2,0),0),0),0)</f>
        <v>0</v>
      </c>
      <c r="O27" s="34">
        <f>IFERROR(IF(AND(ISNUMBER('Real results'!C26),ISNUMBER('Real results'!D26),ISNUMBER('Raw data'!O26),ISNUMBER('Raw data'!P26)),IF(SIGN('Raw data'!O26-'Raw data'!P26)=SIGN('Real results'!C26-'Real results'!D26),2+IF(AND('Raw data'!O26='Real results'!C26,'Raw data'!P26='Real results'!D26),2,0),0),0),0)</f>
        <v>0</v>
      </c>
      <c r="Q27" s="34">
        <f>IFERROR(IF(AND(ISNUMBER('Real results'!C26),ISNUMBER('Real results'!D26),ISNUMBER('Raw data'!Q26),ISNUMBER('Raw data'!R26)),IF(SIGN('Raw data'!Q26-'Raw data'!R26)=SIGN('Real results'!C26-'Real results'!D26),2+IF(AND('Raw data'!Q26='Real results'!C26,'Raw data'!R26='Real results'!D26),2,0),0),0),0)</f>
        <v>0</v>
      </c>
      <c r="S27" s="34">
        <f>IFERROR(IF(AND(ISNUMBER('Real results'!C26),ISNUMBER('Real results'!D26),ISNUMBER('Raw data'!S26),ISNUMBER('Raw data'!T26)),IF(SIGN('Raw data'!S26-'Raw data'!T26)=SIGN('Real results'!C26-'Real results'!D26),2+IF(AND('Raw data'!S26='Real results'!C26,'Raw data'!T26='Real results'!D26),2,0),0),0),0)</f>
        <v>0</v>
      </c>
      <c r="U27" s="34">
        <f>IFERROR(IF(AND(ISNUMBER('Real results'!C26),ISNUMBER('Real results'!D26),ISNUMBER('Raw data'!U26),ISNUMBER('Raw data'!V26)),IF(SIGN('Raw data'!U26-'Raw data'!V26)=SIGN('Real results'!C26-'Real results'!D26),2+IF(AND('Raw data'!U26='Real results'!C26,'Raw data'!V26='Real results'!D26),2,0),0),0),0)</f>
        <v>0</v>
      </c>
      <c r="W27" s="34">
        <f>IFERROR(IF(AND(ISNUMBER('Real results'!C26),ISNUMBER('Real results'!D26),ISNUMBER('Raw data'!W26),ISNUMBER('Raw data'!X26)),IF(SIGN('Raw data'!W26-'Raw data'!X26)=SIGN('Real results'!C26-'Real results'!D26),2+IF(AND('Raw data'!W26='Real results'!C26,'Raw data'!X26='Real results'!D26),2,0),0),0),0)</f>
        <v>0</v>
      </c>
      <c r="Y27" s="34">
        <f>IFERROR(IF(AND(ISNUMBER('Real results'!C26),ISNUMBER('Real results'!D26),ISNUMBER('Raw data'!Y26),ISNUMBER('Raw data'!Z26)),IF(SIGN('Raw data'!Y26-'Raw data'!Z26)=SIGN('Real results'!C26-'Real results'!D26),2+IF(AND('Raw data'!Y26='Real results'!C26,'Raw data'!Z26='Real results'!D26),2,0),0),0),0)</f>
        <v>0</v>
      </c>
      <c r="AA27" s="34">
        <f>IFERROR(IF(AND(ISNUMBER('Real results'!C26),ISNUMBER('Real results'!D26),ISNUMBER('Raw data'!AA26),ISNUMBER('Raw data'!AB26)),IF(SIGN('Raw data'!AA26-'Raw data'!AB26)=SIGN('Real results'!C26-'Real results'!D26),2+IF(AND('Raw data'!AA26='Real results'!C26,'Raw data'!AB26='Real results'!D26),2,0),0),0),0)</f>
        <v>0</v>
      </c>
      <c r="AC27" s="34">
        <f>IFERROR(IF(AND(ISNUMBER('Real results'!C26),ISNUMBER('Real results'!D26),ISNUMBER('Raw data'!AC26),ISNUMBER('Raw data'!AD26)),IF(SIGN('Raw data'!AC26-'Raw data'!AD26)=SIGN('Real results'!C26-'Real results'!D26),2+IF(AND('Raw data'!AC26='Real results'!C26,'Raw data'!AD26='Real results'!D26),2,0),0),0),0)</f>
        <v>0</v>
      </c>
      <c r="AE27" s="34">
        <f>IFERROR(IF(AND(ISNUMBER('Real results'!C26),ISNUMBER('Real results'!D26),ISNUMBER('Raw data'!AE26),ISNUMBER('Raw data'!AF26)),IF(SIGN('Raw data'!AE26-'Raw data'!AF26)=SIGN('Real results'!C26-'Real results'!D26),2+IF(AND('Raw data'!AE26='Real results'!C26,'Raw data'!AF26='Real results'!D26),2,0),0),0),0)</f>
        <v>0</v>
      </c>
      <c r="AG27" s="34">
        <f>IFERROR(IF(AND(ISNUMBER('Real results'!C26),ISNUMBER('Real results'!D26),ISNUMBER('Raw data'!AG26),ISNUMBER('Raw data'!AH26)),IF(SIGN('Raw data'!AG26-'Raw data'!AH26)=SIGN('Real results'!C26-'Real results'!D26),2+IF(AND('Raw data'!AG26='Real results'!C26,'Raw data'!AH26='Real results'!D26),2,0),0),0),0)</f>
        <v>0</v>
      </c>
      <c r="AI27" s="34">
        <f>IFERROR(IF(AND(ISNUMBER('Real results'!C26),ISNUMBER('Real results'!D26),ISNUMBER('Raw data'!AI26),ISNUMBER('Raw data'!AJ26)),IF(SIGN('Raw data'!AI26-'Raw data'!AJ26)=SIGN('Real results'!C26-'Real results'!D26),2+IF(AND('Raw data'!AI26='Real results'!C26,'Raw data'!AJ26='Real results'!D26),2,0),0),0),0)</f>
        <v>0</v>
      </c>
      <c r="AK27" s="34">
        <f>IFERROR(IF(AND(ISNUMBER('Real results'!C26),ISNUMBER('Real results'!D26),ISNUMBER('Raw data'!AK26),ISNUMBER('Raw data'!AL26)),IF(SIGN('Raw data'!AK26-'Raw data'!AL26)=SIGN('Real results'!C26-'Real results'!D26),2+IF(AND('Raw data'!AK26='Real results'!C26,'Raw data'!AL26='Real results'!D26),2,0),0),0),0)</f>
        <v>0</v>
      </c>
      <c r="AM27" s="34">
        <f>IFERROR(IF(AND(ISNUMBER('Real results'!C26),ISNUMBER('Real results'!D26),ISNUMBER('Raw data'!AM26),ISNUMBER('Raw data'!AN26)),IF(SIGN('Raw data'!AM26-'Raw data'!AN26)=SIGN('Real results'!C26-'Real results'!D26),2+IF(AND('Raw data'!AM26='Real results'!C26,'Raw data'!AN26='Real results'!D26),2,0),0),0),0)</f>
        <v>0</v>
      </c>
      <c r="AO27" s="34">
        <f>IFERROR(IF(AND(ISNUMBER('Real results'!C26),ISNUMBER('Real results'!D26),ISNUMBER('Raw data'!AO26),ISNUMBER('Raw data'!AP26)),IF(SIGN('Raw data'!AO26-'Raw data'!AP26)=SIGN('Real results'!C26-'Real results'!D26),2+IF(AND('Raw data'!AO26='Real results'!C26,'Raw data'!AP26='Real results'!D26),2,0),0),0),0)</f>
        <v>0</v>
      </c>
      <c r="AQ27" s="34">
        <f>IFERROR(IF(AND(ISNUMBER('Real results'!C26),ISNUMBER('Real results'!D26),ISNUMBER('Raw data'!AQ26),ISNUMBER('Raw data'!AR26)),IF(SIGN('Raw data'!AQ26-'Raw data'!AR26)=SIGN('Real results'!C26-'Real results'!D26),2+IF(AND('Raw data'!AQ26='Real results'!C26,'Raw data'!AR26='Real results'!D26),2,0),0),0),0)</f>
        <v>0</v>
      </c>
      <c r="AS27" s="34">
        <f>IFERROR(IF(AND(ISNUMBER('Real results'!C26),ISNUMBER('Real results'!D26),ISNUMBER('Raw data'!AS26),ISNUMBER('Raw data'!AT26)),IF(SIGN('Raw data'!AS26-'Raw data'!AT26)=SIGN('Real results'!C26-'Real results'!D26),2+IF(AND('Raw data'!AS26='Real results'!C26,'Raw data'!AT26='Real results'!D26),2,0),0),0),0)</f>
        <v>0</v>
      </c>
      <c r="AU27" s="34">
        <f>IFERROR(IF(AND(ISNUMBER('Real results'!C26),ISNUMBER('Real results'!D26),ISNUMBER('Raw data'!AU26),ISNUMBER('Raw data'!AV26)),IF(SIGN('Raw data'!AU26-'Raw data'!AV26)=SIGN('Real results'!C26-'Real results'!D26),2+IF(AND('Raw data'!AU26='Real results'!C26,'Raw data'!AV26='Real results'!D26),2,0),0),0),0)</f>
        <v>0</v>
      </c>
      <c r="AW27" s="34">
        <f>IFERROR(IF(AND(ISNUMBER('Real results'!C26),ISNUMBER('Real results'!D26),ISNUMBER('Raw data'!AW26),ISNUMBER('Raw data'!AX26)),IF(SIGN('Raw data'!AW26-'Raw data'!AX26)=SIGN('Real results'!C26-'Real results'!D26),2+IF(AND('Raw data'!AW26='Real results'!C26,'Raw data'!AX26='Real results'!D26),2,0),0),0),0)</f>
        <v>0</v>
      </c>
      <c r="AY27" s="34">
        <f>IFERROR(IF(AND(ISNUMBER('Real results'!C26),ISNUMBER('Real results'!D26),ISNUMBER('Raw data'!AY26),ISNUMBER('Raw data'!AZ26)),IF(SIGN('Raw data'!AY26-'Raw data'!AZ26)=SIGN('Real results'!C26-'Real results'!D26),2+IF(AND('Raw data'!AY26='Real results'!C26,'Raw data'!AZ26='Real results'!D26),2,0),0),0),0)</f>
        <v>0</v>
      </c>
      <c r="BA27" s="34">
        <f>IFERROR(IF(AND(ISNUMBER('Real results'!C26),ISNUMBER('Real results'!D26),ISNUMBER('Raw data'!BA26),ISNUMBER('Raw data'!BB26)),IF(SIGN('Raw data'!BA26-'Raw data'!BB26)=SIGN('Real results'!C26-'Real results'!D26),2+IF(AND('Raw data'!BA26='Real results'!C26,'Raw data'!BB26='Real results'!D26),2,0),0),0),0)</f>
        <v>0</v>
      </c>
      <c r="BC27" s="34">
        <f>IFERROR(IF(AND(ISNUMBER('Real results'!C26),ISNUMBER('Real results'!D26),ISNUMBER('Raw data'!BC26),ISNUMBER('Raw data'!BD26)),IF(SIGN('Raw data'!BC26-'Raw data'!BD26)=SIGN('Real results'!C26-'Real results'!D26),2+IF(AND('Raw data'!BC26='Real results'!C26,'Raw data'!BD26='Real results'!D26),2,0),0),0),0)</f>
        <v>0</v>
      </c>
      <c r="BE27" s="34">
        <f>IFERROR(IF(AND(ISNUMBER('Real results'!C26),ISNUMBER('Real results'!D26),ISNUMBER('Raw data'!BE26),ISNUMBER('Raw data'!BF26)),IF(SIGN('Raw data'!BE26-'Raw data'!BF26)=SIGN('Real results'!C26-'Real results'!D26),2+IF(AND('Raw data'!BE26='Real results'!C26,'Raw data'!BF26='Real results'!D26),2,0),0),0),0)</f>
        <v>0</v>
      </c>
      <c r="BG27" s="34">
        <f>IFERROR(IF(AND(ISNUMBER('Real results'!C26),ISNUMBER('Real results'!D26),ISNUMBER('Raw data'!BG26),ISNUMBER('Raw data'!BH26)),IF(SIGN('Raw data'!BG26-'Raw data'!BH26)=SIGN('Real results'!C26-'Real results'!D26),2+IF(AND('Raw data'!BG26='Real results'!C26,'Raw data'!BH26='Real results'!D26),2,0),0),0),0)</f>
        <v>0</v>
      </c>
      <c r="BI27" s="34">
        <f>IFERROR(IF(AND(ISNUMBER('Real results'!C26),ISNUMBER('Real results'!D26),ISNUMBER('Raw data'!BI26),ISNUMBER('Raw data'!BJ26)),IF(SIGN('Raw data'!BI26-'Raw data'!BJ26)=SIGN('Real results'!C26-'Real results'!D26),2+IF(AND('Raw data'!BI26='Real results'!C26,'Raw data'!BJ26='Real results'!D26),2,0),0),0),0)</f>
        <v>0</v>
      </c>
    </row>
    <row r="28" ht="18.0" customHeight="1">
      <c r="B28" s="12" t="s">
        <v>48</v>
      </c>
      <c r="C28" s="34">
        <f>IFERROR(IF(AND(ISNUMBER('Real results'!C27),ISNUMBER('Real results'!D27),ISNUMBER('Raw data'!C25),ISNUMBER('Raw data'!D25)),IF(SIGN('Raw data'!C25-'Raw data'!D25)=SIGN('Real results'!C27-'Real results'!D27),2+IF(AND('Raw data'!C25='Real results'!C27,'Raw data'!D25='Real results'!D27),2,0),0),0),0)</f>
        <v>0</v>
      </c>
      <c r="E28" s="34">
        <f>IFERROR(IF(AND(ISNUMBER('Real results'!C27),ISNUMBER('Real results'!D27),ISNUMBER('Raw data'!E26),ISNUMBER('Raw data'!F26)),IF(SIGN('Raw data'!E26-'Raw data'!F26)=SIGN('Real results'!C27-'Real results'!D27),2+IF(AND('Raw data'!E26='Real results'!C27,'Raw data'!F26='Real results'!D27),2,0),0),0),0)</f>
        <v>2</v>
      </c>
      <c r="G28" s="34">
        <f>IFERROR(IF(AND(ISNUMBER('Real results'!C27),ISNUMBER('Real results'!D27),ISNUMBER('Raw data'!G27),ISNUMBER('Raw data'!H27)),IF(SIGN('Raw data'!G27-'Raw data'!H27)=SIGN('Real results'!C27-'Real results'!D27),2+IF(AND('Raw data'!G27='Real results'!C27,'Raw data'!H27='Real results'!D27),2,0),0),0),0)</f>
        <v>0</v>
      </c>
      <c r="I28" s="34">
        <f>IFERROR(IF(AND(ISNUMBER('Real results'!C27),ISNUMBER('Real results'!D27),ISNUMBER('Raw data'!I27),ISNUMBER('Raw data'!J27)),IF(SIGN('Raw data'!I27-'Raw data'!J27)=SIGN('Real results'!C27-'Real results'!D27),2+IF(AND('Raw data'!I27='Real results'!C27,'Raw data'!J27='Real results'!D27),2,0),0),0),0)</f>
        <v>0</v>
      </c>
      <c r="K28" s="34">
        <f>IFERROR(IF(AND(ISNUMBER('Real results'!C27),ISNUMBER('Real results'!D27),ISNUMBER('Raw data'!K27),ISNUMBER('Raw data'!L27)),IF(SIGN('Raw data'!K27-'Raw data'!L27)=SIGN('Real results'!C27-'Real results'!D27),2+IF(AND('Raw data'!K27='Real results'!C27,'Raw data'!L27='Real results'!D27),2,0),0),0),0)</f>
        <v>0</v>
      </c>
      <c r="M28" s="34">
        <f>IFERROR(IF(AND(ISNUMBER('Real results'!C27),ISNUMBER('Real results'!D27),ISNUMBER('Raw data'!M27),ISNUMBER('Raw data'!N27)),IF(SIGN('Raw data'!M27-'Raw data'!N27)=SIGN('Real results'!C27-'Real results'!D27),2+IF(AND('Raw data'!M27='Real results'!C27,'Raw data'!N27='Real results'!D27),2,0),0),0),0)</f>
        <v>0</v>
      </c>
      <c r="O28" s="34">
        <f>IFERROR(IF(AND(ISNUMBER('Real results'!C27),ISNUMBER('Real results'!D27),ISNUMBER('Raw data'!O27),ISNUMBER('Raw data'!P27)),IF(SIGN('Raw data'!O27-'Raw data'!P27)=SIGN('Real results'!C27-'Real results'!D27),2+IF(AND('Raw data'!O27='Real results'!C27,'Raw data'!P27='Real results'!D27),2,0),0),0),0)</f>
        <v>0</v>
      </c>
      <c r="Q28" s="34">
        <f>IFERROR(IF(AND(ISNUMBER('Real results'!C27),ISNUMBER('Real results'!D27),ISNUMBER('Raw data'!Q27),ISNUMBER('Raw data'!R27)),IF(SIGN('Raw data'!Q27-'Raw data'!R27)=SIGN('Real results'!C27-'Real results'!D27),2+IF(AND('Raw data'!Q27='Real results'!C27,'Raw data'!R27='Real results'!D27),2,0),0),0),0)</f>
        <v>0</v>
      </c>
      <c r="S28" s="34">
        <f>IFERROR(IF(AND(ISNUMBER('Real results'!C27),ISNUMBER('Real results'!D27),ISNUMBER('Raw data'!S27),ISNUMBER('Raw data'!T27)),IF(SIGN('Raw data'!S27-'Raw data'!T27)=SIGN('Real results'!C27-'Real results'!D27),2+IF(AND('Raw data'!S27='Real results'!C27,'Raw data'!T27='Real results'!D27),2,0),0),0),0)</f>
        <v>0</v>
      </c>
      <c r="U28" s="34">
        <f>IFERROR(IF(AND(ISNUMBER('Real results'!C27),ISNUMBER('Real results'!D27),ISNUMBER('Raw data'!U27),ISNUMBER('Raw data'!V27)),IF(SIGN('Raw data'!U27-'Raw data'!V27)=SIGN('Real results'!C27-'Real results'!D27),2+IF(AND('Raw data'!U27='Real results'!C27,'Raw data'!V27='Real results'!D27),2,0),0),0),0)</f>
        <v>0</v>
      </c>
      <c r="W28" s="34">
        <f>IFERROR(IF(AND(ISNUMBER('Real results'!C27),ISNUMBER('Real results'!D27),ISNUMBER('Raw data'!W27),ISNUMBER('Raw data'!X27)),IF(SIGN('Raw data'!W27-'Raw data'!X27)=SIGN('Real results'!C27-'Real results'!D27),2+IF(AND('Raw data'!W27='Real results'!C27,'Raw data'!X27='Real results'!D27),2,0),0),0),0)</f>
        <v>0</v>
      </c>
      <c r="Y28" s="34">
        <f>IFERROR(IF(AND(ISNUMBER('Real results'!C27),ISNUMBER('Real results'!D27),ISNUMBER('Raw data'!Y27),ISNUMBER('Raw data'!Z27)),IF(SIGN('Raw data'!Y27-'Raw data'!Z27)=SIGN('Real results'!C27-'Real results'!D27),2+IF(AND('Raw data'!Y27='Real results'!C27,'Raw data'!Z27='Real results'!D27),2,0),0),0),0)</f>
        <v>0</v>
      </c>
      <c r="AA28" s="34">
        <f>IFERROR(IF(AND(ISNUMBER('Real results'!C27),ISNUMBER('Real results'!D27),ISNUMBER('Raw data'!AA27),ISNUMBER('Raw data'!AB27)),IF(SIGN('Raw data'!AA27-'Raw data'!AB27)=SIGN('Real results'!C27-'Real results'!D27),2+IF(AND('Raw data'!AA27='Real results'!C27,'Raw data'!AB27='Real results'!D27),2,0),0),0),0)</f>
        <v>0</v>
      </c>
      <c r="AC28" s="34">
        <f>IFERROR(IF(AND(ISNUMBER('Real results'!C27),ISNUMBER('Real results'!D27),ISNUMBER('Raw data'!AC27),ISNUMBER('Raw data'!AD27)),IF(SIGN('Raw data'!AC27-'Raw data'!AD27)=SIGN('Real results'!C27-'Real results'!D27),2+IF(AND('Raw data'!AC27='Real results'!C27,'Raw data'!AD27='Real results'!D27),2,0),0),0),0)</f>
        <v>0</v>
      </c>
      <c r="AE28" s="34">
        <f>IFERROR(IF(AND(ISNUMBER('Real results'!C27),ISNUMBER('Real results'!D27),ISNUMBER('Raw data'!AE27),ISNUMBER('Raw data'!AF27)),IF(SIGN('Raw data'!AE27-'Raw data'!AF27)=SIGN('Real results'!C27-'Real results'!D27),2+IF(AND('Raw data'!AE27='Real results'!C27,'Raw data'!AF27='Real results'!D27),2,0),0),0),0)</f>
        <v>0</v>
      </c>
      <c r="AG28" s="34">
        <f>IFERROR(IF(AND(ISNUMBER('Real results'!C27),ISNUMBER('Real results'!D27),ISNUMBER('Raw data'!AG27),ISNUMBER('Raw data'!AH27)),IF(SIGN('Raw data'!AG27-'Raw data'!AH27)=SIGN('Real results'!C27-'Real results'!D27),2+IF(AND('Raw data'!AG27='Real results'!C27,'Raw data'!AH27='Real results'!D27),2,0),0),0),0)</f>
        <v>0</v>
      </c>
      <c r="AI28" s="34">
        <f>IFERROR(IF(AND(ISNUMBER('Real results'!C27),ISNUMBER('Real results'!D27),ISNUMBER('Raw data'!AI27),ISNUMBER('Raw data'!AJ27)),IF(SIGN('Raw data'!AI27-'Raw data'!AJ27)=SIGN('Real results'!C27-'Real results'!D27),2+IF(AND('Raw data'!AI27='Real results'!C27,'Raw data'!AJ27='Real results'!D27),2,0),0),0),0)</f>
        <v>0</v>
      </c>
      <c r="AK28" s="34">
        <f>IFERROR(IF(AND(ISNUMBER('Real results'!C27),ISNUMBER('Real results'!D27),ISNUMBER('Raw data'!AK27),ISNUMBER('Raw data'!AL27)),IF(SIGN('Raw data'!AK27-'Raw data'!AL27)=SIGN('Real results'!C27-'Real results'!D27),2+IF(AND('Raw data'!AK27='Real results'!C27,'Raw data'!AL27='Real results'!D27),2,0),0),0),0)</f>
        <v>0</v>
      </c>
      <c r="AM28" s="34">
        <f>IFERROR(IF(AND(ISNUMBER('Real results'!C27),ISNUMBER('Real results'!D27),ISNUMBER('Raw data'!AM27),ISNUMBER('Raw data'!AN27)),IF(SIGN('Raw data'!AM27-'Raw data'!AN27)=SIGN('Real results'!C27-'Real results'!D27),2+IF(AND('Raw data'!AM27='Real results'!C27,'Raw data'!AN27='Real results'!D27),2,0),0),0),0)</f>
        <v>0</v>
      </c>
      <c r="AO28" s="34">
        <f>IFERROR(IF(AND(ISNUMBER('Real results'!C27),ISNUMBER('Real results'!D27),ISNUMBER('Raw data'!AO27),ISNUMBER('Raw data'!AP27)),IF(SIGN('Raw data'!AO27-'Raw data'!AP27)=SIGN('Real results'!C27-'Real results'!D27),2+IF(AND('Raw data'!AO27='Real results'!C27,'Raw data'!AP27='Real results'!D27),2,0),0),0),0)</f>
        <v>0</v>
      </c>
      <c r="AQ28" s="34">
        <f>IFERROR(IF(AND(ISNUMBER('Real results'!C27),ISNUMBER('Real results'!D27),ISNUMBER('Raw data'!AQ27),ISNUMBER('Raw data'!AR27)),IF(SIGN('Raw data'!AQ27-'Raw data'!AR27)=SIGN('Real results'!C27-'Real results'!D27),2+IF(AND('Raw data'!AQ27='Real results'!C27,'Raw data'!AR27='Real results'!D27),2,0),0),0),0)</f>
        <v>0</v>
      </c>
      <c r="AS28" s="34">
        <f>IFERROR(IF(AND(ISNUMBER('Real results'!C27),ISNUMBER('Real results'!D27),ISNUMBER('Raw data'!AS27),ISNUMBER('Raw data'!AT27)),IF(SIGN('Raw data'!AS27-'Raw data'!AT27)=SIGN('Real results'!C27-'Real results'!D27),2+IF(AND('Raw data'!AS27='Real results'!C27,'Raw data'!AT27='Real results'!D27),2,0),0),0),0)</f>
        <v>0</v>
      </c>
      <c r="AU28" s="34">
        <f>IFERROR(IF(AND(ISNUMBER('Real results'!C27),ISNUMBER('Real results'!D27),ISNUMBER('Raw data'!AU27),ISNUMBER('Raw data'!AV27)),IF(SIGN('Raw data'!AU27-'Raw data'!AV27)=SIGN('Real results'!C27-'Real results'!D27),2+IF(AND('Raw data'!AU27='Real results'!C27,'Raw data'!AV27='Real results'!D27),2,0),0),0),0)</f>
        <v>0</v>
      </c>
      <c r="AW28" s="34">
        <f>IFERROR(IF(AND(ISNUMBER('Real results'!C27),ISNUMBER('Real results'!D27),ISNUMBER('Raw data'!AW27),ISNUMBER('Raw data'!AX27)),IF(SIGN('Raw data'!AW27-'Raw data'!AX27)=SIGN('Real results'!C27-'Real results'!D27),2+IF(AND('Raw data'!AW27='Real results'!C27,'Raw data'!AX27='Real results'!D27),2,0),0),0),0)</f>
        <v>0</v>
      </c>
      <c r="AY28" s="34">
        <f>IFERROR(IF(AND(ISNUMBER('Real results'!C27),ISNUMBER('Real results'!D27),ISNUMBER('Raw data'!AY27),ISNUMBER('Raw data'!AZ27)),IF(SIGN('Raw data'!AY27-'Raw data'!AZ27)=SIGN('Real results'!C27-'Real results'!D27),2+IF(AND('Raw data'!AY27='Real results'!C27,'Raw data'!AZ27='Real results'!D27),2,0),0),0),0)</f>
        <v>0</v>
      </c>
      <c r="BA28" s="34">
        <f>IFERROR(IF(AND(ISNUMBER('Real results'!C27),ISNUMBER('Real results'!D27),ISNUMBER('Raw data'!BA27),ISNUMBER('Raw data'!BB27)),IF(SIGN('Raw data'!BA27-'Raw data'!BB27)=SIGN('Real results'!C27-'Real results'!D27),2+IF(AND('Raw data'!BA27='Real results'!C27,'Raw data'!BB27='Real results'!D27),2,0),0),0),0)</f>
        <v>0</v>
      </c>
      <c r="BC28" s="34">
        <f>IFERROR(IF(AND(ISNUMBER('Real results'!C27),ISNUMBER('Real results'!D27),ISNUMBER('Raw data'!BC27),ISNUMBER('Raw data'!BD27)),IF(SIGN('Raw data'!BC27-'Raw data'!BD27)=SIGN('Real results'!C27-'Real results'!D27),2+IF(AND('Raw data'!BC27='Real results'!C27,'Raw data'!BD27='Real results'!D27),2,0),0),0),0)</f>
        <v>0</v>
      </c>
      <c r="BE28" s="34">
        <f>IFERROR(IF(AND(ISNUMBER('Real results'!C27),ISNUMBER('Real results'!D27),ISNUMBER('Raw data'!BE27),ISNUMBER('Raw data'!BF27)),IF(SIGN('Raw data'!BE27-'Raw data'!BF27)=SIGN('Real results'!C27-'Real results'!D27),2+IF(AND('Raw data'!BE27='Real results'!C27,'Raw data'!BF27='Real results'!D27),2,0),0),0),0)</f>
        <v>0</v>
      </c>
      <c r="BG28" s="34">
        <f>IFERROR(IF(AND(ISNUMBER('Real results'!C27),ISNUMBER('Real results'!D27),ISNUMBER('Raw data'!BG27),ISNUMBER('Raw data'!BH27)),IF(SIGN('Raw data'!BG27-'Raw data'!BH27)=SIGN('Real results'!C27-'Real results'!D27),2+IF(AND('Raw data'!BG27='Real results'!C27,'Raw data'!BH27='Real results'!D27),2,0),0),0),0)</f>
        <v>0</v>
      </c>
      <c r="BI28" s="34">
        <f>IFERROR(IF(AND(ISNUMBER('Real results'!C27),ISNUMBER('Real results'!D27),ISNUMBER('Raw data'!BI27),ISNUMBER('Raw data'!BJ27)),IF(SIGN('Raw data'!BI27-'Raw data'!BJ27)=SIGN('Real results'!C27-'Real results'!D27),2+IF(AND('Raw data'!BI27='Real results'!C27,'Raw data'!BJ27='Real results'!D27),2,0),0),0),0)</f>
        <v>0</v>
      </c>
    </row>
    <row r="29" ht="18.0" customHeight="1">
      <c r="B29" s="12" t="s">
        <v>49</v>
      </c>
      <c r="C29" s="34">
        <f>IFERROR(IF(AND(ISNUMBER('Real results'!C28),ISNUMBER('Real results'!D28),ISNUMBER('Raw data'!C26),ISNUMBER('Raw data'!D26)),IF(SIGN('Raw data'!C26-'Raw data'!D26)=SIGN('Real results'!C28-'Real results'!D28),2+IF(AND('Raw data'!C26='Real results'!C28,'Raw data'!D26='Real results'!D28),2,0),0),0),0)</f>
        <v>0</v>
      </c>
      <c r="E29" s="34">
        <f>IFERROR(IF(AND(ISNUMBER('Real results'!C28),ISNUMBER('Real results'!D28),ISNUMBER('Raw data'!E27),ISNUMBER('Raw data'!F27)),IF(SIGN('Raw data'!E27-'Raw data'!F27)=SIGN('Real results'!C28-'Real results'!D28),2+IF(AND('Raw data'!E27='Real results'!C28,'Raw data'!F27='Real results'!D28),2,0),0),0),0)</f>
        <v>2</v>
      </c>
      <c r="G29" s="34">
        <f>IFERROR(IF(AND(ISNUMBER('Real results'!C28),ISNUMBER('Real results'!D28),ISNUMBER('Raw data'!G28),ISNUMBER('Raw data'!H28)),IF(SIGN('Raw data'!G28-'Raw data'!H28)=SIGN('Real results'!C28-'Real results'!D28),2+IF(AND('Raw data'!G28='Real results'!C28,'Raw data'!H28='Real results'!D28),2,0),0),0),0)</f>
        <v>0</v>
      </c>
      <c r="I29" s="34">
        <f>IFERROR(IF(AND(ISNUMBER('Real results'!C28),ISNUMBER('Real results'!D28),ISNUMBER('Raw data'!I28),ISNUMBER('Raw data'!J28)),IF(SIGN('Raw data'!I28-'Raw data'!J28)=SIGN('Real results'!C28-'Real results'!D28),2+IF(AND('Raw data'!I28='Real results'!C28,'Raw data'!J28='Real results'!D28),2,0),0),0),0)</f>
        <v>2</v>
      </c>
      <c r="K29" s="34">
        <f>IFERROR(IF(AND(ISNUMBER('Real results'!C28),ISNUMBER('Real results'!D28),ISNUMBER('Raw data'!K28),ISNUMBER('Raw data'!L28)),IF(SIGN('Raw data'!K28-'Raw data'!L28)=SIGN('Real results'!C28-'Real results'!D28),2+IF(AND('Raw data'!K28='Real results'!C28,'Raw data'!L28='Real results'!D28),2,0),0),0),0)</f>
        <v>2</v>
      </c>
      <c r="M29" s="34">
        <f>IFERROR(IF(AND(ISNUMBER('Real results'!C28),ISNUMBER('Real results'!D28),ISNUMBER('Raw data'!M28),ISNUMBER('Raw data'!N28)),IF(SIGN('Raw data'!M28-'Raw data'!N28)=SIGN('Real results'!C28-'Real results'!D28),2+IF(AND('Raw data'!M28='Real results'!C28,'Raw data'!N28='Real results'!D28),2,0),0),0),0)</f>
        <v>0</v>
      </c>
      <c r="O29" s="34">
        <f>IFERROR(IF(AND(ISNUMBER('Real results'!C28),ISNUMBER('Real results'!D28),ISNUMBER('Raw data'!O28),ISNUMBER('Raw data'!P28)),IF(SIGN('Raw data'!O28-'Raw data'!P28)=SIGN('Real results'!C28-'Real results'!D28),2+IF(AND('Raw data'!O28='Real results'!C28,'Raw data'!P28='Real results'!D28),2,0),0),0),0)</f>
        <v>0</v>
      </c>
      <c r="Q29" s="34">
        <f>IFERROR(IF(AND(ISNUMBER('Real results'!C28),ISNUMBER('Real results'!D28),ISNUMBER('Raw data'!Q28),ISNUMBER('Raw data'!R28)),IF(SIGN('Raw data'!Q28-'Raw data'!R28)=SIGN('Real results'!C28-'Real results'!D28),2+IF(AND('Raw data'!Q28='Real results'!C28,'Raw data'!R28='Real results'!D28),2,0),0),0),0)</f>
        <v>0</v>
      </c>
      <c r="S29" s="34">
        <f>IFERROR(IF(AND(ISNUMBER('Real results'!C28),ISNUMBER('Real results'!D28),ISNUMBER('Raw data'!S28),ISNUMBER('Raw data'!T28)),IF(SIGN('Raw data'!S28-'Raw data'!T28)=SIGN('Real results'!C28-'Real results'!D28),2+IF(AND('Raw data'!S28='Real results'!C28,'Raw data'!T28='Real results'!D28),2,0),0),0),0)</f>
        <v>0</v>
      </c>
      <c r="U29" s="34">
        <f>IFERROR(IF(AND(ISNUMBER('Real results'!C28),ISNUMBER('Real results'!D28),ISNUMBER('Raw data'!U28),ISNUMBER('Raw data'!V28)),IF(SIGN('Raw data'!U28-'Raw data'!V28)=SIGN('Real results'!C28-'Real results'!D28),2+IF(AND('Raw data'!U28='Real results'!C28,'Raw data'!V28='Real results'!D28),2,0),0),0),0)</f>
        <v>0</v>
      </c>
      <c r="W29" s="34">
        <f>IFERROR(IF(AND(ISNUMBER('Real results'!C28),ISNUMBER('Real results'!D28),ISNUMBER('Raw data'!W28),ISNUMBER('Raw data'!X28)),IF(SIGN('Raw data'!W28-'Raw data'!X28)=SIGN('Real results'!C28-'Real results'!D28),2+IF(AND('Raw data'!W28='Real results'!C28,'Raw data'!X28='Real results'!D28),2,0),0),0),0)</f>
        <v>0</v>
      </c>
      <c r="Y29" s="34">
        <f>IFERROR(IF(AND(ISNUMBER('Real results'!C28),ISNUMBER('Real results'!D28),ISNUMBER('Raw data'!Y28),ISNUMBER('Raw data'!Z28)),IF(SIGN('Raw data'!Y28-'Raw data'!Z28)=SIGN('Real results'!C28-'Real results'!D28),2+IF(AND('Raw data'!Y28='Real results'!C28,'Raw data'!Z28='Real results'!D28),2,0),0),0),0)</f>
        <v>0</v>
      </c>
      <c r="AA29" s="34">
        <f>IFERROR(IF(AND(ISNUMBER('Real results'!C28),ISNUMBER('Real results'!D28),ISNUMBER('Raw data'!AA28),ISNUMBER('Raw data'!AB28)),IF(SIGN('Raw data'!AA28-'Raw data'!AB28)=SIGN('Real results'!C28-'Real results'!D28),2+IF(AND('Raw data'!AA28='Real results'!C28,'Raw data'!AB28='Real results'!D28),2,0),0),0),0)</f>
        <v>0</v>
      </c>
      <c r="AC29" s="34">
        <f>IFERROR(IF(AND(ISNUMBER('Real results'!C28),ISNUMBER('Real results'!D28),ISNUMBER('Raw data'!AC28),ISNUMBER('Raw data'!AD28)),IF(SIGN('Raw data'!AC28-'Raw data'!AD28)=SIGN('Real results'!C28-'Real results'!D28),2+IF(AND('Raw data'!AC28='Real results'!C28,'Raw data'!AD28='Real results'!D28),2,0),0),0),0)</f>
        <v>0</v>
      </c>
      <c r="AE29" s="34">
        <f>IFERROR(IF(AND(ISNUMBER('Real results'!C28),ISNUMBER('Real results'!D28),ISNUMBER('Raw data'!AE28),ISNUMBER('Raw data'!AF28)),IF(SIGN('Raw data'!AE28-'Raw data'!AF28)=SIGN('Real results'!C28-'Real results'!D28),2+IF(AND('Raw data'!AE28='Real results'!C28,'Raw data'!AF28='Real results'!D28),2,0),0),0),0)</f>
        <v>0</v>
      </c>
      <c r="AG29" s="34">
        <f>IFERROR(IF(AND(ISNUMBER('Real results'!C28),ISNUMBER('Real results'!D28),ISNUMBER('Raw data'!AG28),ISNUMBER('Raw data'!AH28)),IF(SIGN('Raw data'!AG28-'Raw data'!AH28)=SIGN('Real results'!C28-'Real results'!D28),2+IF(AND('Raw data'!AG28='Real results'!C28,'Raw data'!AH28='Real results'!D28),2,0),0),0),0)</f>
        <v>0</v>
      </c>
      <c r="AI29" s="34">
        <f>IFERROR(IF(AND(ISNUMBER('Real results'!C28),ISNUMBER('Real results'!D28),ISNUMBER('Raw data'!AI28),ISNUMBER('Raw data'!AJ28)),IF(SIGN('Raw data'!AI28-'Raw data'!AJ28)=SIGN('Real results'!C28-'Real results'!D28),2+IF(AND('Raw data'!AI28='Real results'!C28,'Raw data'!AJ28='Real results'!D28),2,0),0),0),0)</f>
        <v>0</v>
      </c>
      <c r="AK29" s="34">
        <f>IFERROR(IF(AND(ISNUMBER('Real results'!C28),ISNUMBER('Real results'!D28),ISNUMBER('Raw data'!AK28),ISNUMBER('Raw data'!AL28)),IF(SIGN('Raw data'!AK28-'Raw data'!AL28)=SIGN('Real results'!C28-'Real results'!D28),2+IF(AND('Raw data'!AK28='Real results'!C28,'Raw data'!AL28='Real results'!D28),2,0),0),0),0)</f>
        <v>0</v>
      </c>
      <c r="AM29" s="34">
        <f>IFERROR(IF(AND(ISNUMBER('Real results'!C28),ISNUMBER('Real results'!D28),ISNUMBER('Raw data'!AM28),ISNUMBER('Raw data'!AN28)),IF(SIGN('Raw data'!AM28-'Raw data'!AN28)=SIGN('Real results'!C28-'Real results'!D28),2+IF(AND('Raw data'!AM28='Real results'!C28,'Raw data'!AN28='Real results'!D28),2,0),0),0),0)</f>
        <v>0</v>
      </c>
      <c r="AO29" s="34">
        <f>IFERROR(IF(AND(ISNUMBER('Real results'!C28),ISNUMBER('Real results'!D28),ISNUMBER('Raw data'!AO28),ISNUMBER('Raw data'!AP28)),IF(SIGN('Raw data'!AO28-'Raw data'!AP28)=SIGN('Real results'!C28-'Real results'!D28),2+IF(AND('Raw data'!AO28='Real results'!C28,'Raw data'!AP28='Real results'!D28),2,0),0),0),0)</f>
        <v>0</v>
      </c>
      <c r="AQ29" s="34">
        <f>IFERROR(IF(AND(ISNUMBER('Real results'!C28),ISNUMBER('Real results'!D28),ISNUMBER('Raw data'!AQ28),ISNUMBER('Raw data'!AR28)),IF(SIGN('Raw data'!AQ28-'Raw data'!AR28)=SIGN('Real results'!C28-'Real results'!D28),2+IF(AND('Raw data'!AQ28='Real results'!C28,'Raw data'!AR28='Real results'!D28),2,0),0),0),0)</f>
        <v>0</v>
      </c>
      <c r="AS29" s="34">
        <f>IFERROR(IF(AND(ISNUMBER('Real results'!C28),ISNUMBER('Real results'!D28),ISNUMBER('Raw data'!AS28),ISNUMBER('Raw data'!AT28)),IF(SIGN('Raw data'!AS28-'Raw data'!AT28)=SIGN('Real results'!C28-'Real results'!D28),2+IF(AND('Raw data'!AS28='Real results'!C28,'Raw data'!AT28='Real results'!D28),2,0),0),0),0)</f>
        <v>0</v>
      </c>
      <c r="AU29" s="34">
        <f>IFERROR(IF(AND(ISNUMBER('Real results'!C28),ISNUMBER('Real results'!D28),ISNUMBER('Raw data'!AU28),ISNUMBER('Raw data'!AV28)),IF(SIGN('Raw data'!AU28-'Raw data'!AV28)=SIGN('Real results'!C28-'Real results'!D28),2+IF(AND('Raw data'!AU28='Real results'!C28,'Raw data'!AV28='Real results'!D28),2,0),0),0),0)</f>
        <v>0</v>
      </c>
      <c r="AW29" s="34">
        <f>IFERROR(IF(AND(ISNUMBER('Real results'!C28),ISNUMBER('Real results'!D28),ISNUMBER('Raw data'!AW28),ISNUMBER('Raw data'!AX28)),IF(SIGN('Raw data'!AW28-'Raw data'!AX28)=SIGN('Real results'!C28-'Real results'!D28),2+IF(AND('Raw data'!AW28='Real results'!C28,'Raw data'!AX28='Real results'!D28),2,0),0),0),0)</f>
        <v>0</v>
      </c>
      <c r="AY29" s="34">
        <f>IFERROR(IF(AND(ISNUMBER('Real results'!C28),ISNUMBER('Real results'!D28),ISNUMBER('Raw data'!AY28),ISNUMBER('Raw data'!AZ28)),IF(SIGN('Raw data'!AY28-'Raw data'!AZ28)=SIGN('Real results'!C28-'Real results'!D28),2+IF(AND('Raw data'!AY28='Real results'!C28,'Raw data'!AZ28='Real results'!D28),2,0),0),0),0)</f>
        <v>0</v>
      </c>
      <c r="BA29" s="34">
        <f>IFERROR(IF(AND(ISNUMBER('Real results'!C28),ISNUMBER('Real results'!D28),ISNUMBER('Raw data'!BA28),ISNUMBER('Raw data'!BB28)),IF(SIGN('Raw data'!BA28-'Raw data'!BB28)=SIGN('Real results'!C28-'Real results'!D28),2+IF(AND('Raw data'!BA28='Real results'!C28,'Raw data'!BB28='Real results'!D28),2,0),0),0),0)</f>
        <v>0</v>
      </c>
      <c r="BC29" s="34">
        <f>IFERROR(IF(AND(ISNUMBER('Real results'!C28),ISNUMBER('Real results'!D28),ISNUMBER('Raw data'!BC28),ISNUMBER('Raw data'!BD28)),IF(SIGN('Raw data'!BC28-'Raw data'!BD28)=SIGN('Real results'!C28-'Real results'!D28),2+IF(AND('Raw data'!BC28='Real results'!C28,'Raw data'!BD28='Real results'!D28),2,0),0),0),0)</f>
        <v>0</v>
      </c>
      <c r="BE29" s="34">
        <f>IFERROR(IF(AND(ISNUMBER('Real results'!C28),ISNUMBER('Real results'!D28),ISNUMBER('Raw data'!BE28),ISNUMBER('Raw data'!BF28)),IF(SIGN('Raw data'!BE28-'Raw data'!BF28)=SIGN('Real results'!C28-'Real results'!D28),2+IF(AND('Raw data'!BE28='Real results'!C28,'Raw data'!BF28='Real results'!D28),2,0),0),0),0)</f>
        <v>0</v>
      </c>
      <c r="BG29" s="34">
        <f>IFERROR(IF(AND(ISNUMBER('Real results'!C28),ISNUMBER('Real results'!D28),ISNUMBER('Raw data'!BG28),ISNUMBER('Raw data'!BH28)),IF(SIGN('Raw data'!BG28-'Raw data'!BH28)=SIGN('Real results'!C28-'Real results'!D28),2+IF(AND('Raw data'!BG28='Real results'!C28,'Raw data'!BH28='Real results'!D28),2,0),0),0),0)</f>
        <v>0</v>
      </c>
      <c r="BI29" s="34">
        <f>IFERROR(IF(AND(ISNUMBER('Real results'!C28),ISNUMBER('Real results'!D28),ISNUMBER('Raw data'!BI28),ISNUMBER('Raw data'!BJ28)),IF(SIGN('Raw data'!BI28-'Raw data'!BJ28)=SIGN('Real results'!C28-'Real results'!D28),2+IF(AND('Raw data'!BI28='Real results'!C28,'Raw data'!BJ28='Real results'!D28),2,0),0),0),0)</f>
        <v>0</v>
      </c>
    </row>
    <row r="30" ht="18.0" customHeight="1">
      <c r="B30" s="12" t="s">
        <v>50</v>
      </c>
      <c r="C30" s="34">
        <f>IFERROR(IF(AND(ISNUMBER('Real results'!C29),ISNUMBER('Real results'!D29),ISNUMBER('Raw data'!C27),ISNUMBER('Raw data'!D27)),IF(SIGN('Raw data'!C27-'Raw data'!D27)=SIGN('Real results'!C29-'Real results'!D29),2+IF(AND('Raw data'!C27='Real results'!C29,'Raw data'!D27='Real results'!D29),2,0),0),0),0)</f>
        <v>2</v>
      </c>
      <c r="E30" s="34">
        <f>IFERROR(IF(AND(ISNUMBER('Real results'!C29),ISNUMBER('Real results'!D29),ISNUMBER('Raw data'!E28),ISNUMBER('Raw data'!F28)),IF(SIGN('Raw data'!E28-'Raw data'!F28)=SIGN('Real results'!C29-'Real results'!D29),2+IF(AND('Raw data'!E28='Real results'!C29,'Raw data'!F28='Real results'!D29),2,0),0),0),0)</f>
        <v>2</v>
      </c>
      <c r="G30" s="34">
        <f>IFERROR(IF(AND(ISNUMBER('Real results'!C29),ISNUMBER('Real results'!D29),ISNUMBER('Raw data'!G29),ISNUMBER('Raw data'!H29)),IF(SIGN('Raw data'!G29-'Raw data'!H29)=SIGN('Real results'!C29-'Real results'!D29),2+IF(AND('Raw data'!G29='Real results'!C29,'Raw data'!H29='Real results'!D29),2,0),0),0),0)</f>
        <v>2</v>
      </c>
      <c r="I30" s="34">
        <f>IFERROR(IF(AND(ISNUMBER('Real results'!C29),ISNUMBER('Real results'!D29),ISNUMBER('Raw data'!I29),ISNUMBER('Raw data'!J29)),IF(SIGN('Raw data'!I29-'Raw data'!J29)=SIGN('Real results'!C29-'Real results'!D29),2+IF(AND('Raw data'!I29='Real results'!C29,'Raw data'!J29='Real results'!D29),2,0),0),0),0)</f>
        <v>2</v>
      </c>
      <c r="K30" s="34">
        <f>IFERROR(IF(AND(ISNUMBER('Real results'!C29),ISNUMBER('Real results'!D29),ISNUMBER('Raw data'!K29),ISNUMBER('Raw data'!L29)),IF(SIGN('Raw data'!K29-'Raw data'!L29)=SIGN('Real results'!C29-'Real results'!D29),2+IF(AND('Raw data'!K29='Real results'!C29,'Raw data'!L29='Real results'!D29),2,0),0),0),0)</f>
        <v>0</v>
      </c>
      <c r="M30" s="34">
        <f>IFERROR(IF(AND(ISNUMBER('Real results'!C29),ISNUMBER('Real results'!D29),ISNUMBER('Raw data'!M29),ISNUMBER('Raw data'!N29)),IF(SIGN('Raw data'!M29-'Raw data'!N29)=SIGN('Real results'!C29-'Real results'!D29),2+IF(AND('Raw data'!M29='Real results'!C29,'Raw data'!N29='Real results'!D29),2,0),0),0),0)</f>
        <v>0</v>
      </c>
      <c r="O30" s="34">
        <f>IFERROR(IF(AND(ISNUMBER('Real results'!C29),ISNUMBER('Real results'!D29),ISNUMBER('Raw data'!O29),ISNUMBER('Raw data'!P29)),IF(SIGN('Raw data'!O29-'Raw data'!P29)=SIGN('Real results'!C29-'Real results'!D29),2+IF(AND('Raw data'!O29='Real results'!C29,'Raw data'!P29='Real results'!D29),2,0),0),0),0)</f>
        <v>0</v>
      </c>
      <c r="Q30" s="34">
        <f>IFERROR(IF(AND(ISNUMBER('Real results'!C29),ISNUMBER('Real results'!D29),ISNUMBER('Raw data'!Q29),ISNUMBER('Raw data'!R29)),IF(SIGN('Raw data'!Q29-'Raw data'!R29)=SIGN('Real results'!C29-'Real results'!D29),2+IF(AND('Raw data'!Q29='Real results'!C29,'Raw data'!R29='Real results'!D29),2,0),0),0),0)</f>
        <v>0</v>
      </c>
      <c r="S30" s="34">
        <f>IFERROR(IF(AND(ISNUMBER('Real results'!C29),ISNUMBER('Real results'!D29),ISNUMBER('Raw data'!S29),ISNUMBER('Raw data'!T29)),IF(SIGN('Raw data'!S29-'Raw data'!T29)=SIGN('Real results'!C29-'Real results'!D29),2+IF(AND('Raw data'!S29='Real results'!C29,'Raw data'!T29='Real results'!D29),2,0),0),0),0)</f>
        <v>0</v>
      </c>
      <c r="U30" s="34">
        <f>IFERROR(IF(AND(ISNUMBER('Real results'!C29),ISNUMBER('Real results'!D29),ISNUMBER('Raw data'!U29),ISNUMBER('Raw data'!V29)),IF(SIGN('Raw data'!U29-'Raw data'!V29)=SIGN('Real results'!C29-'Real results'!D29),2+IF(AND('Raw data'!U29='Real results'!C29,'Raw data'!V29='Real results'!D29),2,0),0),0),0)</f>
        <v>0</v>
      </c>
      <c r="W30" s="34">
        <f>IFERROR(IF(AND(ISNUMBER('Real results'!C29),ISNUMBER('Real results'!D29),ISNUMBER('Raw data'!W29),ISNUMBER('Raw data'!X29)),IF(SIGN('Raw data'!W29-'Raw data'!X29)=SIGN('Real results'!C29-'Real results'!D29),2+IF(AND('Raw data'!W29='Real results'!C29,'Raw data'!X29='Real results'!D29),2,0),0),0),0)</f>
        <v>0</v>
      </c>
      <c r="Y30" s="34">
        <f>IFERROR(IF(AND(ISNUMBER('Real results'!C29),ISNUMBER('Real results'!D29),ISNUMBER('Raw data'!Y29),ISNUMBER('Raw data'!Z29)),IF(SIGN('Raw data'!Y29-'Raw data'!Z29)=SIGN('Real results'!C29-'Real results'!D29),2+IF(AND('Raw data'!Y29='Real results'!C29,'Raw data'!Z29='Real results'!D29),2,0),0),0),0)</f>
        <v>0</v>
      </c>
      <c r="AA30" s="34">
        <f>IFERROR(IF(AND(ISNUMBER('Real results'!C29),ISNUMBER('Real results'!D29),ISNUMBER('Raw data'!AA29),ISNUMBER('Raw data'!AB29)),IF(SIGN('Raw data'!AA29-'Raw data'!AB29)=SIGN('Real results'!C29-'Real results'!D29),2+IF(AND('Raw data'!AA29='Real results'!C29,'Raw data'!AB29='Real results'!D29),2,0),0),0),0)</f>
        <v>0</v>
      </c>
      <c r="AC30" s="34">
        <f>IFERROR(IF(AND(ISNUMBER('Real results'!C29),ISNUMBER('Real results'!D29),ISNUMBER('Raw data'!AC29),ISNUMBER('Raw data'!AD29)),IF(SIGN('Raw data'!AC29-'Raw data'!AD29)=SIGN('Real results'!C29-'Real results'!D29),2+IF(AND('Raw data'!AC29='Real results'!C29,'Raw data'!AD29='Real results'!D29),2,0),0),0),0)</f>
        <v>0</v>
      </c>
      <c r="AE30" s="34">
        <f>IFERROR(IF(AND(ISNUMBER('Real results'!C29),ISNUMBER('Real results'!D29),ISNUMBER('Raw data'!AE29),ISNUMBER('Raw data'!AF29)),IF(SIGN('Raw data'!AE29-'Raw data'!AF29)=SIGN('Real results'!C29-'Real results'!D29),2+IF(AND('Raw data'!AE29='Real results'!C29,'Raw data'!AF29='Real results'!D29),2,0),0),0),0)</f>
        <v>0</v>
      </c>
      <c r="AG30" s="34">
        <f>IFERROR(IF(AND(ISNUMBER('Real results'!C29),ISNUMBER('Real results'!D29),ISNUMBER('Raw data'!AG29),ISNUMBER('Raw data'!AH29)),IF(SIGN('Raw data'!AG29-'Raw data'!AH29)=SIGN('Real results'!C29-'Real results'!D29),2+IF(AND('Raw data'!AG29='Real results'!C29,'Raw data'!AH29='Real results'!D29),2,0),0),0),0)</f>
        <v>0</v>
      </c>
      <c r="AI30" s="34">
        <f>IFERROR(IF(AND(ISNUMBER('Real results'!C29),ISNUMBER('Real results'!D29),ISNUMBER('Raw data'!AI29),ISNUMBER('Raw data'!AJ29)),IF(SIGN('Raw data'!AI29-'Raw data'!AJ29)=SIGN('Real results'!C29-'Real results'!D29),2+IF(AND('Raw data'!AI29='Real results'!C29,'Raw data'!AJ29='Real results'!D29),2,0),0),0),0)</f>
        <v>0</v>
      </c>
      <c r="AK30" s="34">
        <f>IFERROR(IF(AND(ISNUMBER('Real results'!C29),ISNUMBER('Real results'!D29),ISNUMBER('Raw data'!AK29),ISNUMBER('Raw data'!AL29)),IF(SIGN('Raw data'!AK29-'Raw data'!AL29)=SIGN('Real results'!C29-'Real results'!D29),2+IF(AND('Raw data'!AK29='Real results'!C29,'Raw data'!AL29='Real results'!D29),2,0),0),0),0)</f>
        <v>0</v>
      </c>
      <c r="AM30" s="34">
        <f>IFERROR(IF(AND(ISNUMBER('Real results'!C29),ISNUMBER('Real results'!D29),ISNUMBER('Raw data'!AM29),ISNUMBER('Raw data'!AN29)),IF(SIGN('Raw data'!AM29-'Raw data'!AN29)=SIGN('Real results'!C29-'Real results'!D29),2+IF(AND('Raw data'!AM29='Real results'!C29,'Raw data'!AN29='Real results'!D29),2,0),0),0),0)</f>
        <v>0</v>
      </c>
      <c r="AO30" s="34">
        <f>IFERROR(IF(AND(ISNUMBER('Real results'!C29),ISNUMBER('Real results'!D29),ISNUMBER('Raw data'!AO29),ISNUMBER('Raw data'!AP29)),IF(SIGN('Raw data'!AO29-'Raw data'!AP29)=SIGN('Real results'!C29-'Real results'!D29),2+IF(AND('Raw data'!AO29='Real results'!C29,'Raw data'!AP29='Real results'!D29),2,0),0),0),0)</f>
        <v>0</v>
      </c>
      <c r="AQ30" s="34">
        <f>IFERROR(IF(AND(ISNUMBER('Real results'!C29),ISNUMBER('Real results'!D29),ISNUMBER('Raw data'!AQ29),ISNUMBER('Raw data'!AR29)),IF(SIGN('Raw data'!AQ29-'Raw data'!AR29)=SIGN('Real results'!C29-'Real results'!D29),2+IF(AND('Raw data'!AQ29='Real results'!C29,'Raw data'!AR29='Real results'!D29),2,0),0),0),0)</f>
        <v>0</v>
      </c>
      <c r="AS30" s="34">
        <f>IFERROR(IF(AND(ISNUMBER('Real results'!C29),ISNUMBER('Real results'!D29),ISNUMBER('Raw data'!AS29),ISNUMBER('Raw data'!AT29)),IF(SIGN('Raw data'!AS29-'Raw data'!AT29)=SIGN('Real results'!C29-'Real results'!D29),2+IF(AND('Raw data'!AS29='Real results'!C29,'Raw data'!AT29='Real results'!D29),2,0),0),0),0)</f>
        <v>0</v>
      </c>
      <c r="AU30" s="34">
        <f>IFERROR(IF(AND(ISNUMBER('Real results'!C29),ISNUMBER('Real results'!D29),ISNUMBER('Raw data'!AU29),ISNUMBER('Raw data'!AV29)),IF(SIGN('Raw data'!AU29-'Raw data'!AV29)=SIGN('Real results'!C29-'Real results'!D29),2+IF(AND('Raw data'!AU29='Real results'!C29,'Raw data'!AV29='Real results'!D29),2,0),0),0),0)</f>
        <v>0</v>
      </c>
      <c r="AW30" s="34">
        <f>IFERROR(IF(AND(ISNUMBER('Real results'!C29),ISNUMBER('Real results'!D29),ISNUMBER('Raw data'!AW29),ISNUMBER('Raw data'!AX29)),IF(SIGN('Raw data'!AW29-'Raw data'!AX29)=SIGN('Real results'!C29-'Real results'!D29),2+IF(AND('Raw data'!AW29='Real results'!C29,'Raw data'!AX29='Real results'!D29),2,0),0),0),0)</f>
        <v>0</v>
      </c>
      <c r="AY30" s="34">
        <f>IFERROR(IF(AND(ISNUMBER('Real results'!C29),ISNUMBER('Real results'!D29),ISNUMBER('Raw data'!AY29),ISNUMBER('Raw data'!AZ29)),IF(SIGN('Raw data'!AY29-'Raw data'!AZ29)=SIGN('Real results'!C29-'Real results'!D29),2+IF(AND('Raw data'!AY29='Real results'!C29,'Raw data'!AZ29='Real results'!D29),2,0),0),0),0)</f>
        <v>0</v>
      </c>
      <c r="BA30" s="34">
        <f>IFERROR(IF(AND(ISNUMBER('Real results'!C29),ISNUMBER('Real results'!D29),ISNUMBER('Raw data'!BA29),ISNUMBER('Raw data'!BB29)),IF(SIGN('Raw data'!BA29-'Raw data'!BB29)=SIGN('Real results'!C29-'Real results'!D29),2+IF(AND('Raw data'!BA29='Real results'!C29,'Raw data'!BB29='Real results'!D29),2,0),0),0),0)</f>
        <v>0</v>
      </c>
      <c r="BC30" s="34">
        <f>IFERROR(IF(AND(ISNUMBER('Real results'!C29),ISNUMBER('Real results'!D29),ISNUMBER('Raw data'!BC29),ISNUMBER('Raw data'!BD29)),IF(SIGN('Raw data'!BC29-'Raw data'!BD29)=SIGN('Real results'!C29-'Real results'!D29),2+IF(AND('Raw data'!BC29='Real results'!C29,'Raw data'!BD29='Real results'!D29),2,0),0),0),0)</f>
        <v>0</v>
      </c>
      <c r="BE30" s="34">
        <f>IFERROR(IF(AND(ISNUMBER('Real results'!C29),ISNUMBER('Real results'!D29),ISNUMBER('Raw data'!BE29),ISNUMBER('Raw data'!BF29)),IF(SIGN('Raw data'!BE29-'Raw data'!BF29)=SIGN('Real results'!C29-'Real results'!D29),2+IF(AND('Raw data'!BE29='Real results'!C29,'Raw data'!BF29='Real results'!D29),2,0),0),0),0)</f>
        <v>0</v>
      </c>
      <c r="BG30" s="34">
        <f>IFERROR(IF(AND(ISNUMBER('Real results'!C29),ISNUMBER('Real results'!D29),ISNUMBER('Raw data'!BG29),ISNUMBER('Raw data'!BH29)),IF(SIGN('Raw data'!BG29-'Raw data'!BH29)=SIGN('Real results'!C29-'Real results'!D29),2+IF(AND('Raw data'!BG29='Real results'!C29,'Raw data'!BH29='Real results'!D29),2,0),0),0),0)</f>
        <v>0</v>
      </c>
      <c r="BI30" s="34">
        <f>IFERROR(IF(AND(ISNUMBER('Real results'!C29),ISNUMBER('Real results'!D29),ISNUMBER('Raw data'!BI29),ISNUMBER('Raw data'!BJ29)),IF(SIGN('Raw data'!BI29-'Raw data'!BJ29)=SIGN('Real results'!C29-'Real results'!D29),2+IF(AND('Raw data'!BI29='Real results'!C29,'Raw data'!BJ29='Real results'!D29),2,0),0),0),0)</f>
        <v>0</v>
      </c>
    </row>
    <row r="31" ht="18.0" customHeight="1">
      <c r="B31" s="12" t="s">
        <v>51</v>
      </c>
      <c r="C31" s="34">
        <f>IFERROR(IF(AND(ISNUMBER('Real results'!C30),ISNUMBER('Real results'!D30),ISNUMBER('Raw data'!C28),ISNUMBER('Raw data'!D28)),IF(SIGN('Raw data'!C28-'Raw data'!D28)=SIGN('Real results'!C30-'Real results'!D30),2+IF(AND('Raw data'!C28='Real results'!C30,'Raw data'!D28='Real results'!D30),2,0),0),0),0)</f>
        <v>0</v>
      </c>
      <c r="E31" s="34">
        <f>IFERROR(IF(AND(ISNUMBER('Real results'!C30),ISNUMBER('Real results'!D30),ISNUMBER('Raw data'!E29),ISNUMBER('Raw data'!F29)),IF(SIGN('Raw data'!E29-'Raw data'!F29)=SIGN('Real results'!C30-'Real results'!D30),2+IF(AND('Raw data'!E29='Real results'!C30,'Raw data'!F29='Real results'!D30),2,0),0),0),0)</f>
        <v>0</v>
      </c>
      <c r="G31" s="34">
        <f>IFERROR(IF(AND(ISNUMBER('Real results'!C30),ISNUMBER('Real results'!D30),ISNUMBER('Raw data'!G30),ISNUMBER('Raw data'!H30)),IF(SIGN('Raw data'!G30-'Raw data'!H30)=SIGN('Real results'!C30-'Real results'!D30),2+IF(AND('Raw data'!G30='Real results'!C30,'Raw data'!H30='Real results'!D30),2,0),0),0),0)</f>
        <v>4</v>
      </c>
      <c r="I31" s="34">
        <f>IFERROR(IF(AND(ISNUMBER('Real results'!C30),ISNUMBER('Real results'!D30),ISNUMBER('Raw data'!I30),ISNUMBER('Raw data'!J30)),IF(SIGN('Raw data'!I30-'Raw data'!J30)=SIGN('Real results'!C30-'Real results'!D30),2+IF(AND('Raw data'!I30='Real results'!C30,'Raw data'!J30='Real results'!D30),2,0),0),0),0)</f>
        <v>0</v>
      </c>
      <c r="K31" s="34">
        <f>IFERROR(IF(AND(ISNUMBER('Real results'!C30),ISNUMBER('Real results'!D30),ISNUMBER('Raw data'!K30),ISNUMBER('Raw data'!L30)),IF(SIGN('Raw data'!K30-'Raw data'!L30)=SIGN('Real results'!C30-'Real results'!D30),2+IF(AND('Raw data'!K30='Real results'!C30,'Raw data'!L30='Real results'!D30),2,0),0),0),0)</f>
        <v>0</v>
      </c>
      <c r="M31" s="34">
        <f>IFERROR(IF(AND(ISNUMBER('Real results'!C30),ISNUMBER('Real results'!D30),ISNUMBER('Raw data'!M30),ISNUMBER('Raw data'!N30)),IF(SIGN('Raw data'!M30-'Raw data'!N30)=SIGN('Real results'!C30-'Real results'!D30),2+IF(AND('Raw data'!M30='Real results'!C30,'Raw data'!N30='Real results'!D30),2,0),0),0),0)</f>
        <v>0</v>
      </c>
      <c r="O31" s="34">
        <f>IFERROR(IF(AND(ISNUMBER('Real results'!C30),ISNUMBER('Real results'!D30),ISNUMBER('Raw data'!O30),ISNUMBER('Raw data'!P30)),IF(SIGN('Raw data'!O30-'Raw data'!P30)=SIGN('Real results'!C30-'Real results'!D30),2+IF(AND('Raw data'!O30='Real results'!C30,'Raw data'!P30='Real results'!D30),2,0),0),0),0)</f>
        <v>0</v>
      </c>
      <c r="Q31" s="34">
        <f>IFERROR(IF(AND(ISNUMBER('Real results'!C30),ISNUMBER('Real results'!D30),ISNUMBER('Raw data'!Q30),ISNUMBER('Raw data'!R30)),IF(SIGN('Raw data'!Q30-'Raw data'!R30)=SIGN('Real results'!C30-'Real results'!D30),2+IF(AND('Raw data'!Q30='Real results'!C30,'Raw data'!R30='Real results'!D30),2,0),0),0),0)</f>
        <v>0</v>
      </c>
      <c r="S31" s="34">
        <f>IFERROR(IF(AND(ISNUMBER('Real results'!C30),ISNUMBER('Real results'!D30),ISNUMBER('Raw data'!S30),ISNUMBER('Raw data'!T30)),IF(SIGN('Raw data'!S30-'Raw data'!T30)=SIGN('Real results'!C30-'Real results'!D30),2+IF(AND('Raw data'!S30='Real results'!C30,'Raw data'!T30='Real results'!D30),2,0),0),0),0)</f>
        <v>0</v>
      </c>
      <c r="U31" s="34">
        <f>IFERROR(IF(AND(ISNUMBER('Real results'!C30),ISNUMBER('Real results'!D30),ISNUMBER('Raw data'!U30),ISNUMBER('Raw data'!V30)),IF(SIGN('Raw data'!U30-'Raw data'!V30)=SIGN('Real results'!C30-'Real results'!D30),2+IF(AND('Raw data'!U30='Real results'!C30,'Raw data'!V30='Real results'!D30),2,0),0),0),0)</f>
        <v>0</v>
      </c>
      <c r="W31" s="34">
        <f>IFERROR(IF(AND(ISNUMBER('Real results'!C30),ISNUMBER('Real results'!D30),ISNUMBER('Raw data'!W30),ISNUMBER('Raw data'!X30)),IF(SIGN('Raw data'!W30-'Raw data'!X30)=SIGN('Real results'!C30-'Real results'!D30),2+IF(AND('Raw data'!W30='Real results'!C30,'Raw data'!X30='Real results'!D30),2,0),0),0),0)</f>
        <v>0</v>
      </c>
      <c r="Y31" s="34">
        <f>IFERROR(IF(AND(ISNUMBER('Real results'!C30),ISNUMBER('Real results'!D30),ISNUMBER('Raw data'!Y30),ISNUMBER('Raw data'!Z30)),IF(SIGN('Raw data'!Y30-'Raw data'!Z30)=SIGN('Real results'!C30-'Real results'!D30),2+IF(AND('Raw data'!Y30='Real results'!C30,'Raw data'!Z30='Real results'!D30),2,0),0),0),0)</f>
        <v>0</v>
      </c>
      <c r="AA31" s="34">
        <f>IFERROR(IF(AND(ISNUMBER('Real results'!C30),ISNUMBER('Real results'!D30),ISNUMBER('Raw data'!AA30),ISNUMBER('Raw data'!AB30)),IF(SIGN('Raw data'!AA30-'Raw data'!AB30)=SIGN('Real results'!C30-'Real results'!D30),2+IF(AND('Raw data'!AA30='Real results'!C30,'Raw data'!AB30='Real results'!D30),2,0),0),0),0)</f>
        <v>0</v>
      </c>
      <c r="AC31" s="34">
        <f>IFERROR(IF(AND(ISNUMBER('Real results'!C30),ISNUMBER('Real results'!D30),ISNUMBER('Raw data'!AC30),ISNUMBER('Raw data'!AD30)),IF(SIGN('Raw data'!AC30-'Raw data'!AD30)=SIGN('Real results'!C30-'Real results'!D30),2+IF(AND('Raw data'!AC30='Real results'!C30,'Raw data'!AD30='Real results'!D30),2,0),0),0),0)</f>
        <v>0</v>
      </c>
      <c r="AE31" s="34">
        <f>IFERROR(IF(AND(ISNUMBER('Real results'!C30),ISNUMBER('Real results'!D30),ISNUMBER('Raw data'!AE30),ISNUMBER('Raw data'!AF30)),IF(SIGN('Raw data'!AE30-'Raw data'!AF30)=SIGN('Real results'!C30-'Real results'!D30),2+IF(AND('Raw data'!AE30='Real results'!C30,'Raw data'!AF30='Real results'!D30),2,0),0),0),0)</f>
        <v>0</v>
      </c>
      <c r="AG31" s="34">
        <f>IFERROR(IF(AND(ISNUMBER('Real results'!C30),ISNUMBER('Real results'!D30),ISNUMBER('Raw data'!AG30),ISNUMBER('Raw data'!AH30)),IF(SIGN('Raw data'!AG30-'Raw data'!AH30)=SIGN('Real results'!C30-'Real results'!D30),2+IF(AND('Raw data'!AG30='Real results'!C30,'Raw data'!AH30='Real results'!D30),2,0),0),0),0)</f>
        <v>0</v>
      </c>
      <c r="AI31" s="34">
        <f>IFERROR(IF(AND(ISNUMBER('Real results'!C30),ISNUMBER('Real results'!D30),ISNUMBER('Raw data'!AI30),ISNUMBER('Raw data'!AJ30)),IF(SIGN('Raw data'!AI30-'Raw data'!AJ30)=SIGN('Real results'!C30-'Real results'!D30),2+IF(AND('Raw data'!AI30='Real results'!C30,'Raw data'!AJ30='Real results'!D30),2,0),0),0),0)</f>
        <v>0</v>
      </c>
      <c r="AK31" s="34">
        <f>IFERROR(IF(AND(ISNUMBER('Real results'!C30),ISNUMBER('Real results'!D30),ISNUMBER('Raw data'!AK30),ISNUMBER('Raw data'!AL30)),IF(SIGN('Raw data'!AK30-'Raw data'!AL30)=SIGN('Real results'!C30-'Real results'!D30),2+IF(AND('Raw data'!AK30='Real results'!C30,'Raw data'!AL30='Real results'!D30),2,0),0),0),0)</f>
        <v>0</v>
      </c>
      <c r="AM31" s="34">
        <f>IFERROR(IF(AND(ISNUMBER('Real results'!C30),ISNUMBER('Real results'!D30),ISNUMBER('Raw data'!AM30),ISNUMBER('Raw data'!AN30)),IF(SIGN('Raw data'!AM30-'Raw data'!AN30)=SIGN('Real results'!C30-'Real results'!D30),2+IF(AND('Raw data'!AM30='Real results'!C30,'Raw data'!AN30='Real results'!D30),2,0),0),0),0)</f>
        <v>0</v>
      </c>
      <c r="AO31" s="34">
        <f>IFERROR(IF(AND(ISNUMBER('Real results'!C30),ISNUMBER('Real results'!D30),ISNUMBER('Raw data'!AO30),ISNUMBER('Raw data'!AP30)),IF(SIGN('Raw data'!AO30-'Raw data'!AP30)=SIGN('Real results'!C30-'Real results'!D30),2+IF(AND('Raw data'!AO30='Real results'!C30,'Raw data'!AP30='Real results'!D30),2,0),0),0),0)</f>
        <v>0</v>
      </c>
      <c r="AQ31" s="34">
        <f>IFERROR(IF(AND(ISNUMBER('Real results'!C30),ISNUMBER('Real results'!D30),ISNUMBER('Raw data'!AQ30),ISNUMBER('Raw data'!AR30)),IF(SIGN('Raw data'!AQ30-'Raw data'!AR30)=SIGN('Real results'!C30-'Real results'!D30),2+IF(AND('Raw data'!AQ30='Real results'!C30,'Raw data'!AR30='Real results'!D30),2,0),0),0),0)</f>
        <v>0</v>
      </c>
      <c r="AS31" s="34">
        <f>IFERROR(IF(AND(ISNUMBER('Real results'!C30),ISNUMBER('Real results'!D30),ISNUMBER('Raw data'!AS30),ISNUMBER('Raw data'!AT30)),IF(SIGN('Raw data'!AS30-'Raw data'!AT30)=SIGN('Real results'!C30-'Real results'!D30),2+IF(AND('Raw data'!AS30='Real results'!C30,'Raw data'!AT30='Real results'!D30),2,0),0),0),0)</f>
        <v>0</v>
      </c>
      <c r="AU31" s="34">
        <f>IFERROR(IF(AND(ISNUMBER('Real results'!C30),ISNUMBER('Real results'!D30),ISNUMBER('Raw data'!AU30),ISNUMBER('Raw data'!AV30)),IF(SIGN('Raw data'!AU30-'Raw data'!AV30)=SIGN('Real results'!C30-'Real results'!D30),2+IF(AND('Raw data'!AU30='Real results'!C30,'Raw data'!AV30='Real results'!D30),2,0),0),0),0)</f>
        <v>0</v>
      </c>
      <c r="AW31" s="34">
        <f>IFERROR(IF(AND(ISNUMBER('Real results'!C30),ISNUMBER('Real results'!D30),ISNUMBER('Raw data'!AW30),ISNUMBER('Raw data'!AX30)),IF(SIGN('Raw data'!AW30-'Raw data'!AX30)=SIGN('Real results'!C30-'Real results'!D30),2+IF(AND('Raw data'!AW30='Real results'!C30,'Raw data'!AX30='Real results'!D30),2,0),0),0),0)</f>
        <v>0</v>
      </c>
      <c r="AY31" s="34">
        <f>IFERROR(IF(AND(ISNUMBER('Real results'!C30),ISNUMBER('Real results'!D30),ISNUMBER('Raw data'!AY30),ISNUMBER('Raw data'!AZ30)),IF(SIGN('Raw data'!AY30-'Raw data'!AZ30)=SIGN('Real results'!C30-'Real results'!D30),2+IF(AND('Raw data'!AY30='Real results'!C30,'Raw data'!AZ30='Real results'!D30),2,0),0),0),0)</f>
        <v>0</v>
      </c>
      <c r="BA31" s="34">
        <f>IFERROR(IF(AND(ISNUMBER('Real results'!C30),ISNUMBER('Real results'!D30),ISNUMBER('Raw data'!BA30),ISNUMBER('Raw data'!BB30)),IF(SIGN('Raw data'!BA30-'Raw data'!BB30)=SIGN('Real results'!C30-'Real results'!D30),2+IF(AND('Raw data'!BA30='Real results'!C30,'Raw data'!BB30='Real results'!D30),2,0),0),0),0)</f>
        <v>0</v>
      </c>
      <c r="BC31" s="34">
        <f>IFERROR(IF(AND(ISNUMBER('Real results'!C30),ISNUMBER('Real results'!D30),ISNUMBER('Raw data'!BC30),ISNUMBER('Raw data'!BD30)),IF(SIGN('Raw data'!BC30-'Raw data'!BD30)=SIGN('Real results'!C30-'Real results'!D30),2+IF(AND('Raw data'!BC30='Real results'!C30,'Raw data'!BD30='Real results'!D30),2,0),0),0),0)</f>
        <v>0</v>
      </c>
      <c r="BE31" s="34">
        <f>IFERROR(IF(AND(ISNUMBER('Real results'!C30),ISNUMBER('Real results'!D30),ISNUMBER('Raw data'!BE30),ISNUMBER('Raw data'!BF30)),IF(SIGN('Raw data'!BE30-'Raw data'!BF30)=SIGN('Real results'!C30-'Real results'!D30),2+IF(AND('Raw data'!BE30='Real results'!C30,'Raw data'!BF30='Real results'!D30),2,0),0),0),0)</f>
        <v>0</v>
      </c>
      <c r="BG31" s="34">
        <f>IFERROR(IF(AND(ISNUMBER('Real results'!C30),ISNUMBER('Real results'!D30),ISNUMBER('Raw data'!BG30),ISNUMBER('Raw data'!BH30)),IF(SIGN('Raw data'!BG30-'Raw data'!BH30)=SIGN('Real results'!C30-'Real results'!D30),2+IF(AND('Raw data'!BG30='Real results'!C30,'Raw data'!BH30='Real results'!D30),2,0),0),0),0)</f>
        <v>0</v>
      </c>
      <c r="BI31" s="34">
        <f>IFERROR(IF(AND(ISNUMBER('Real results'!C30),ISNUMBER('Real results'!D30),ISNUMBER('Raw data'!BI30),ISNUMBER('Raw data'!BJ30)),IF(SIGN('Raw data'!BI30-'Raw data'!BJ30)=SIGN('Real results'!C30-'Real results'!D30),2+IF(AND('Raw data'!BI30='Real results'!C30,'Raw data'!BJ30='Real results'!D30),2,0),0),0),0)</f>
        <v>0</v>
      </c>
    </row>
    <row r="32" ht="18.0" customHeight="1">
      <c r="B32" s="12" t="s">
        <v>52</v>
      </c>
      <c r="C32" s="34">
        <f>IFERROR(IF(AND(ISNUMBER('Real results'!C31),ISNUMBER('Real results'!D31),ISNUMBER('Raw data'!C29),ISNUMBER('Raw data'!D29)),IF(SIGN('Raw data'!C29-'Raw data'!D29)=SIGN('Real results'!C31-'Real results'!D31),2+IF(AND('Raw data'!C29='Real results'!C31,'Raw data'!D29='Real results'!D31),2,0),0),0),0)</f>
        <v>0</v>
      </c>
      <c r="E32" s="34">
        <f>IFERROR(IF(AND(ISNUMBER('Real results'!C31),ISNUMBER('Real results'!D31),ISNUMBER('Raw data'!E30),ISNUMBER('Raw data'!F30)),IF(SIGN('Raw data'!E30-'Raw data'!F30)=SIGN('Real results'!C31-'Real results'!D31),2+IF(AND('Raw data'!E30='Real results'!C31,'Raw data'!F30='Real results'!D31),2,0),0),0),0)</f>
        <v>0</v>
      </c>
      <c r="G32" s="34">
        <f>IFERROR(IF(AND(ISNUMBER('Real results'!C31),ISNUMBER('Real results'!D31),ISNUMBER('Raw data'!G31),ISNUMBER('Raw data'!H31)),IF(SIGN('Raw data'!G31-'Raw data'!H31)=SIGN('Real results'!C31-'Real results'!D31),2+IF(AND('Raw data'!G31='Real results'!C31,'Raw data'!H31='Real results'!D31),2,0),0),0),0)</f>
        <v>2</v>
      </c>
      <c r="I32" s="34">
        <f>IFERROR(IF(AND(ISNUMBER('Real results'!C31),ISNUMBER('Real results'!D31),ISNUMBER('Raw data'!I31),ISNUMBER('Raw data'!J31)),IF(SIGN('Raw data'!I31-'Raw data'!J31)=SIGN('Real results'!C31-'Real results'!D31),2+IF(AND('Raw data'!I31='Real results'!C31,'Raw data'!J31='Real results'!D31),2,0),0),0),0)</f>
        <v>2</v>
      </c>
      <c r="K32" s="34">
        <f>IFERROR(IF(AND(ISNUMBER('Real results'!C31),ISNUMBER('Real results'!D31),ISNUMBER('Raw data'!K31),ISNUMBER('Raw data'!L31)),IF(SIGN('Raw data'!K31-'Raw data'!L31)=SIGN('Real results'!C31-'Real results'!D31),2+IF(AND('Raw data'!K31='Real results'!C31,'Raw data'!L31='Real results'!D31),2,0),0),0),0)</f>
        <v>2</v>
      </c>
      <c r="M32" s="34">
        <f>IFERROR(IF(AND(ISNUMBER('Real results'!C31),ISNUMBER('Real results'!D31),ISNUMBER('Raw data'!M31),ISNUMBER('Raw data'!N31)),IF(SIGN('Raw data'!M31-'Raw data'!N31)=SIGN('Real results'!C31-'Real results'!D31),2+IF(AND('Raw data'!M31='Real results'!C31,'Raw data'!N31='Real results'!D31),2,0),0),0),0)</f>
        <v>0</v>
      </c>
      <c r="O32" s="34">
        <f>IFERROR(IF(AND(ISNUMBER('Real results'!C31),ISNUMBER('Real results'!D31),ISNUMBER('Raw data'!O31),ISNUMBER('Raw data'!P31)),IF(SIGN('Raw data'!O31-'Raw data'!P31)=SIGN('Real results'!C31-'Real results'!D31),2+IF(AND('Raw data'!O31='Real results'!C31,'Raw data'!P31='Real results'!D31),2,0),0),0),0)</f>
        <v>0</v>
      </c>
      <c r="Q32" s="34">
        <f>IFERROR(IF(AND(ISNUMBER('Real results'!C31),ISNUMBER('Real results'!D31),ISNUMBER('Raw data'!Q31),ISNUMBER('Raw data'!R31)),IF(SIGN('Raw data'!Q31-'Raw data'!R31)=SIGN('Real results'!C31-'Real results'!D31),2+IF(AND('Raw data'!Q31='Real results'!C31,'Raw data'!R31='Real results'!D31),2,0),0),0),0)</f>
        <v>0</v>
      </c>
      <c r="S32" s="34">
        <f>IFERROR(IF(AND(ISNUMBER('Real results'!C31),ISNUMBER('Real results'!D31),ISNUMBER('Raw data'!S31),ISNUMBER('Raw data'!T31)),IF(SIGN('Raw data'!S31-'Raw data'!T31)=SIGN('Real results'!C31-'Real results'!D31),2+IF(AND('Raw data'!S31='Real results'!C31,'Raw data'!T31='Real results'!D31),2,0),0),0),0)</f>
        <v>0</v>
      </c>
      <c r="U32" s="34">
        <f>IFERROR(IF(AND(ISNUMBER('Real results'!C31),ISNUMBER('Real results'!D31),ISNUMBER('Raw data'!U31),ISNUMBER('Raw data'!V31)),IF(SIGN('Raw data'!U31-'Raw data'!V31)=SIGN('Real results'!C31-'Real results'!D31),2+IF(AND('Raw data'!U31='Real results'!C31,'Raw data'!V31='Real results'!D31),2,0),0),0),0)</f>
        <v>0</v>
      </c>
      <c r="W32" s="34">
        <f>IFERROR(IF(AND(ISNUMBER('Real results'!C31),ISNUMBER('Real results'!D31),ISNUMBER('Raw data'!W31),ISNUMBER('Raw data'!X31)),IF(SIGN('Raw data'!W31-'Raw data'!X31)=SIGN('Real results'!C31-'Real results'!D31),2+IF(AND('Raw data'!W31='Real results'!C31,'Raw data'!X31='Real results'!D31),2,0),0),0),0)</f>
        <v>0</v>
      </c>
      <c r="Y32" s="34">
        <f>IFERROR(IF(AND(ISNUMBER('Real results'!C31),ISNUMBER('Real results'!D31),ISNUMBER('Raw data'!Y31),ISNUMBER('Raw data'!Z31)),IF(SIGN('Raw data'!Y31-'Raw data'!Z31)=SIGN('Real results'!C31-'Real results'!D31),2+IF(AND('Raw data'!Y31='Real results'!C31,'Raw data'!Z31='Real results'!D31),2,0),0),0),0)</f>
        <v>0</v>
      </c>
      <c r="AA32" s="34">
        <f>IFERROR(IF(AND(ISNUMBER('Real results'!C31),ISNUMBER('Real results'!D31),ISNUMBER('Raw data'!AA31),ISNUMBER('Raw data'!AB31)),IF(SIGN('Raw data'!AA31-'Raw data'!AB31)=SIGN('Real results'!C31-'Real results'!D31),2+IF(AND('Raw data'!AA31='Real results'!C31,'Raw data'!AB31='Real results'!D31),2,0),0),0),0)</f>
        <v>0</v>
      </c>
      <c r="AC32" s="34">
        <f>IFERROR(IF(AND(ISNUMBER('Real results'!C31),ISNUMBER('Real results'!D31),ISNUMBER('Raw data'!AC31),ISNUMBER('Raw data'!AD31)),IF(SIGN('Raw data'!AC31-'Raw data'!AD31)=SIGN('Real results'!C31-'Real results'!D31),2+IF(AND('Raw data'!AC31='Real results'!C31,'Raw data'!AD31='Real results'!D31),2,0),0),0),0)</f>
        <v>0</v>
      </c>
      <c r="AE32" s="34">
        <f>IFERROR(IF(AND(ISNUMBER('Real results'!C31),ISNUMBER('Real results'!D31),ISNUMBER('Raw data'!AE31),ISNUMBER('Raw data'!AF31)),IF(SIGN('Raw data'!AE31-'Raw data'!AF31)=SIGN('Real results'!C31-'Real results'!D31),2+IF(AND('Raw data'!AE31='Real results'!C31,'Raw data'!AF31='Real results'!D31),2,0),0),0),0)</f>
        <v>0</v>
      </c>
      <c r="AG32" s="34">
        <f>IFERROR(IF(AND(ISNUMBER('Real results'!C31),ISNUMBER('Real results'!D31),ISNUMBER('Raw data'!AG31),ISNUMBER('Raw data'!AH31)),IF(SIGN('Raw data'!AG31-'Raw data'!AH31)=SIGN('Real results'!C31-'Real results'!D31),2+IF(AND('Raw data'!AG31='Real results'!C31,'Raw data'!AH31='Real results'!D31),2,0),0),0),0)</f>
        <v>0</v>
      </c>
      <c r="AI32" s="34">
        <f>IFERROR(IF(AND(ISNUMBER('Real results'!C31),ISNUMBER('Real results'!D31),ISNUMBER('Raw data'!AI31),ISNUMBER('Raw data'!AJ31)),IF(SIGN('Raw data'!AI31-'Raw data'!AJ31)=SIGN('Real results'!C31-'Real results'!D31),2+IF(AND('Raw data'!AI31='Real results'!C31,'Raw data'!AJ31='Real results'!D31),2,0),0),0),0)</f>
        <v>0</v>
      </c>
      <c r="AK32" s="34">
        <f>IFERROR(IF(AND(ISNUMBER('Real results'!C31),ISNUMBER('Real results'!D31),ISNUMBER('Raw data'!AK31),ISNUMBER('Raw data'!AL31)),IF(SIGN('Raw data'!AK31-'Raw data'!AL31)=SIGN('Real results'!C31-'Real results'!D31),2+IF(AND('Raw data'!AK31='Real results'!C31,'Raw data'!AL31='Real results'!D31),2,0),0),0),0)</f>
        <v>0</v>
      </c>
      <c r="AM32" s="34">
        <f>IFERROR(IF(AND(ISNUMBER('Real results'!C31),ISNUMBER('Real results'!D31),ISNUMBER('Raw data'!AM31),ISNUMBER('Raw data'!AN31)),IF(SIGN('Raw data'!AM31-'Raw data'!AN31)=SIGN('Real results'!C31-'Real results'!D31),2+IF(AND('Raw data'!AM31='Real results'!C31,'Raw data'!AN31='Real results'!D31),2,0),0),0),0)</f>
        <v>0</v>
      </c>
      <c r="AO32" s="34">
        <f>IFERROR(IF(AND(ISNUMBER('Real results'!C31),ISNUMBER('Real results'!D31),ISNUMBER('Raw data'!AO31),ISNUMBER('Raw data'!AP31)),IF(SIGN('Raw data'!AO31-'Raw data'!AP31)=SIGN('Real results'!C31-'Real results'!D31),2+IF(AND('Raw data'!AO31='Real results'!C31,'Raw data'!AP31='Real results'!D31),2,0),0),0),0)</f>
        <v>0</v>
      </c>
      <c r="AQ32" s="34">
        <f>IFERROR(IF(AND(ISNUMBER('Real results'!C31),ISNUMBER('Real results'!D31),ISNUMBER('Raw data'!AQ31),ISNUMBER('Raw data'!AR31)),IF(SIGN('Raw data'!AQ31-'Raw data'!AR31)=SIGN('Real results'!C31-'Real results'!D31),2+IF(AND('Raw data'!AQ31='Real results'!C31,'Raw data'!AR31='Real results'!D31),2,0),0),0),0)</f>
        <v>0</v>
      </c>
      <c r="AS32" s="34">
        <f>IFERROR(IF(AND(ISNUMBER('Real results'!C31),ISNUMBER('Real results'!D31),ISNUMBER('Raw data'!AS31),ISNUMBER('Raw data'!AT31)),IF(SIGN('Raw data'!AS31-'Raw data'!AT31)=SIGN('Real results'!C31-'Real results'!D31),2+IF(AND('Raw data'!AS31='Real results'!C31,'Raw data'!AT31='Real results'!D31),2,0),0),0),0)</f>
        <v>0</v>
      </c>
      <c r="AU32" s="34">
        <f>IFERROR(IF(AND(ISNUMBER('Real results'!C31),ISNUMBER('Real results'!D31),ISNUMBER('Raw data'!AU31),ISNUMBER('Raw data'!AV31)),IF(SIGN('Raw data'!AU31-'Raw data'!AV31)=SIGN('Real results'!C31-'Real results'!D31),2+IF(AND('Raw data'!AU31='Real results'!C31,'Raw data'!AV31='Real results'!D31),2,0),0),0),0)</f>
        <v>0</v>
      </c>
      <c r="AW32" s="34">
        <f>IFERROR(IF(AND(ISNUMBER('Real results'!C31),ISNUMBER('Real results'!D31),ISNUMBER('Raw data'!AW31),ISNUMBER('Raw data'!AX31)),IF(SIGN('Raw data'!AW31-'Raw data'!AX31)=SIGN('Real results'!C31-'Real results'!D31),2+IF(AND('Raw data'!AW31='Real results'!C31,'Raw data'!AX31='Real results'!D31),2,0),0),0),0)</f>
        <v>0</v>
      </c>
      <c r="AY32" s="34">
        <f>IFERROR(IF(AND(ISNUMBER('Real results'!C31),ISNUMBER('Real results'!D31),ISNUMBER('Raw data'!AY31),ISNUMBER('Raw data'!AZ31)),IF(SIGN('Raw data'!AY31-'Raw data'!AZ31)=SIGN('Real results'!C31-'Real results'!D31),2+IF(AND('Raw data'!AY31='Real results'!C31,'Raw data'!AZ31='Real results'!D31),2,0),0),0),0)</f>
        <v>0</v>
      </c>
      <c r="BA32" s="34">
        <f>IFERROR(IF(AND(ISNUMBER('Real results'!C31),ISNUMBER('Real results'!D31),ISNUMBER('Raw data'!BA31),ISNUMBER('Raw data'!BB31)),IF(SIGN('Raw data'!BA31-'Raw data'!BB31)=SIGN('Real results'!C31-'Real results'!D31),2+IF(AND('Raw data'!BA31='Real results'!C31,'Raw data'!BB31='Real results'!D31),2,0),0),0),0)</f>
        <v>0</v>
      </c>
      <c r="BC32" s="34">
        <f>IFERROR(IF(AND(ISNUMBER('Real results'!C31),ISNUMBER('Real results'!D31),ISNUMBER('Raw data'!BC31),ISNUMBER('Raw data'!BD31)),IF(SIGN('Raw data'!BC31-'Raw data'!BD31)=SIGN('Real results'!C31-'Real results'!D31),2+IF(AND('Raw data'!BC31='Real results'!C31,'Raw data'!BD31='Real results'!D31),2,0),0),0),0)</f>
        <v>0</v>
      </c>
      <c r="BE32" s="34">
        <f>IFERROR(IF(AND(ISNUMBER('Real results'!C31),ISNUMBER('Real results'!D31),ISNUMBER('Raw data'!BE31),ISNUMBER('Raw data'!BF31)),IF(SIGN('Raw data'!BE31-'Raw data'!BF31)=SIGN('Real results'!C31-'Real results'!D31),2+IF(AND('Raw data'!BE31='Real results'!C31,'Raw data'!BF31='Real results'!D31),2,0),0),0),0)</f>
        <v>0</v>
      </c>
      <c r="BG32" s="34">
        <f>IFERROR(IF(AND(ISNUMBER('Real results'!C31),ISNUMBER('Real results'!D31),ISNUMBER('Raw data'!BG31),ISNUMBER('Raw data'!BH31)),IF(SIGN('Raw data'!BG31-'Raw data'!BH31)=SIGN('Real results'!C31-'Real results'!D31),2+IF(AND('Raw data'!BG31='Real results'!C31,'Raw data'!BH31='Real results'!D31),2,0),0),0),0)</f>
        <v>0</v>
      </c>
      <c r="BI32" s="34">
        <f>IFERROR(IF(AND(ISNUMBER('Real results'!C31),ISNUMBER('Real results'!D31),ISNUMBER('Raw data'!BI31),ISNUMBER('Raw data'!BJ31)),IF(SIGN('Raw data'!BI31-'Raw data'!BJ31)=SIGN('Real results'!C31-'Real results'!D31),2+IF(AND('Raw data'!BI31='Real results'!C31,'Raw data'!BJ31='Real results'!D31),2,0),0),0),0)</f>
        <v>0</v>
      </c>
    </row>
    <row r="33" ht="18.0" customHeight="1">
      <c r="B33" s="12" t="s">
        <v>53</v>
      </c>
      <c r="C33" s="34">
        <f>IFERROR(IF(AND(ISNUMBER('Real results'!C32),ISNUMBER('Real results'!D32),ISNUMBER('Raw data'!C30),ISNUMBER('Raw data'!D30)),IF(SIGN('Raw data'!C30-'Raw data'!D30)=SIGN('Real results'!C32-'Real results'!D32),2+IF(AND('Raw data'!C30='Real results'!C32,'Raw data'!D30='Real results'!D32),2,0),0),0),0)</f>
        <v>0</v>
      </c>
      <c r="E33" s="34">
        <f>IFERROR(IF(AND(ISNUMBER('Real results'!C32),ISNUMBER('Real results'!D32),ISNUMBER('Raw data'!E31),ISNUMBER('Raw data'!F31)),IF(SIGN('Raw data'!E31-'Raw data'!F31)=SIGN('Real results'!C32-'Real results'!D32),2+IF(AND('Raw data'!E31='Real results'!C32,'Raw data'!F31='Real results'!D32),2,0),0),0),0)</f>
        <v>2</v>
      </c>
      <c r="G33" s="34">
        <f>IFERROR(IF(AND(ISNUMBER('Real results'!C32),ISNUMBER('Real results'!D32),ISNUMBER('Raw data'!G32),ISNUMBER('Raw data'!H32)),IF(SIGN('Raw data'!G32-'Raw data'!H32)=SIGN('Real results'!C32-'Real results'!D32),2+IF(AND('Raw data'!G32='Real results'!C32,'Raw data'!H32='Real results'!D32),2,0),0),0),0)</f>
        <v>0</v>
      </c>
      <c r="I33" s="34">
        <f>IFERROR(IF(AND(ISNUMBER('Real results'!C32),ISNUMBER('Real results'!D32),ISNUMBER('Raw data'!I32),ISNUMBER('Raw data'!J32)),IF(SIGN('Raw data'!I32-'Raw data'!J32)=SIGN('Real results'!C32-'Real results'!D32),2+IF(AND('Raw data'!I32='Real results'!C32,'Raw data'!J32='Real results'!D32),2,0),0),0),0)</f>
        <v>0</v>
      </c>
      <c r="K33" s="34">
        <f>IFERROR(IF(AND(ISNUMBER('Real results'!C32),ISNUMBER('Real results'!D32),ISNUMBER('Raw data'!K32),ISNUMBER('Raw data'!L32)),IF(SIGN('Raw data'!K32-'Raw data'!L32)=SIGN('Real results'!C32-'Real results'!D32),2+IF(AND('Raw data'!K32='Real results'!C32,'Raw data'!L32='Real results'!D32),2,0),0),0),0)</f>
        <v>0</v>
      </c>
      <c r="M33" s="34">
        <f>IFERROR(IF(AND(ISNUMBER('Real results'!C32),ISNUMBER('Real results'!D32),ISNUMBER('Raw data'!M32),ISNUMBER('Raw data'!N32)),IF(SIGN('Raw data'!M32-'Raw data'!N32)=SIGN('Real results'!C32-'Real results'!D32),2+IF(AND('Raw data'!M32='Real results'!C32,'Raw data'!N32='Real results'!D32),2,0),0),0),0)</f>
        <v>0</v>
      </c>
      <c r="O33" s="34">
        <f>IFERROR(IF(AND(ISNUMBER('Real results'!C32),ISNUMBER('Real results'!D32),ISNUMBER('Raw data'!O32),ISNUMBER('Raw data'!P32)),IF(SIGN('Raw data'!O32-'Raw data'!P32)=SIGN('Real results'!C32-'Real results'!D32),2+IF(AND('Raw data'!O32='Real results'!C32,'Raw data'!P32='Real results'!D32),2,0),0),0),0)</f>
        <v>0</v>
      </c>
      <c r="Q33" s="34">
        <f>IFERROR(IF(AND(ISNUMBER('Real results'!C32),ISNUMBER('Real results'!D32),ISNUMBER('Raw data'!Q32),ISNUMBER('Raw data'!R32)),IF(SIGN('Raw data'!Q32-'Raw data'!R32)=SIGN('Real results'!C32-'Real results'!D32),2+IF(AND('Raw data'!Q32='Real results'!C32,'Raw data'!R32='Real results'!D32),2,0),0),0),0)</f>
        <v>0</v>
      </c>
      <c r="S33" s="34">
        <f>IFERROR(IF(AND(ISNUMBER('Real results'!C32),ISNUMBER('Real results'!D32),ISNUMBER('Raw data'!S32),ISNUMBER('Raw data'!T32)),IF(SIGN('Raw data'!S32-'Raw data'!T32)=SIGN('Real results'!C32-'Real results'!D32),2+IF(AND('Raw data'!S32='Real results'!C32,'Raw data'!T32='Real results'!D32),2,0),0),0),0)</f>
        <v>0</v>
      </c>
      <c r="U33" s="34">
        <f>IFERROR(IF(AND(ISNUMBER('Real results'!C32),ISNUMBER('Real results'!D32),ISNUMBER('Raw data'!U32),ISNUMBER('Raw data'!V32)),IF(SIGN('Raw data'!U32-'Raw data'!V32)=SIGN('Real results'!C32-'Real results'!D32),2+IF(AND('Raw data'!U32='Real results'!C32,'Raw data'!V32='Real results'!D32),2,0),0),0),0)</f>
        <v>0</v>
      </c>
      <c r="W33" s="34">
        <f>IFERROR(IF(AND(ISNUMBER('Real results'!C32),ISNUMBER('Real results'!D32),ISNUMBER('Raw data'!W32),ISNUMBER('Raw data'!X32)),IF(SIGN('Raw data'!W32-'Raw data'!X32)=SIGN('Real results'!C32-'Real results'!D32),2+IF(AND('Raw data'!W32='Real results'!C32,'Raw data'!X32='Real results'!D32),2,0),0),0),0)</f>
        <v>0</v>
      </c>
      <c r="Y33" s="34">
        <f>IFERROR(IF(AND(ISNUMBER('Real results'!C32),ISNUMBER('Real results'!D32),ISNUMBER('Raw data'!Y32),ISNUMBER('Raw data'!Z32)),IF(SIGN('Raw data'!Y32-'Raw data'!Z32)=SIGN('Real results'!C32-'Real results'!D32),2+IF(AND('Raw data'!Y32='Real results'!C32,'Raw data'!Z32='Real results'!D32),2,0),0),0),0)</f>
        <v>0</v>
      </c>
      <c r="AA33" s="34">
        <f>IFERROR(IF(AND(ISNUMBER('Real results'!C32),ISNUMBER('Real results'!D32),ISNUMBER('Raw data'!AA32),ISNUMBER('Raw data'!AB32)),IF(SIGN('Raw data'!AA32-'Raw data'!AB32)=SIGN('Real results'!C32-'Real results'!D32),2+IF(AND('Raw data'!AA32='Real results'!C32,'Raw data'!AB32='Real results'!D32),2,0),0),0),0)</f>
        <v>0</v>
      </c>
      <c r="AC33" s="34">
        <f>IFERROR(IF(AND(ISNUMBER('Real results'!C32),ISNUMBER('Real results'!D32),ISNUMBER('Raw data'!AC32),ISNUMBER('Raw data'!AD32)),IF(SIGN('Raw data'!AC32-'Raw data'!AD32)=SIGN('Real results'!C32-'Real results'!D32),2+IF(AND('Raw data'!AC32='Real results'!C32,'Raw data'!AD32='Real results'!D32),2,0),0),0),0)</f>
        <v>0</v>
      </c>
      <c r="AE33" s="34">
        <f>IFERROR(IF(AND(ISNUMBER('Real results'!C32),ISNUMBER('Real results'!D32),ISNUMBER('Raw data'!AE32),ISNUMBER('Raw data'!AF32)),IF(SIGN('Raw data'!AE32-'Raw data'!AF32)=SIGN('Real results'!C32-'Real results'!D32),2+IF(AND('Raw data'!AE32='Real results'!C32,'Raw data'!AF32='Real results'!D32),2,0),0),0),0)</f>
        <v>0</v>
      </c>
      <c r="AG33" s="34">
        <f>IFERROR(IF(AND(ISNUMBER('Real results'!C32),ISNUMBER('Real results'!D32),ISNUMBER('Raw data'!AG32),ISNUMBER('Raw data'!AH32)),IF(SIGN('Raw data'!AG32-'Raw data'!AH32)=SIGN('Real results'!C32-'Real results'!D32),2+IF(AND('Raw data'!AG32='Real results'!C32,'Raw data'!AH32='Real results'!D32),2,0),0),0),0)</f>
        <v>0</v>
      </c>
      <c r="AI33" s="34">
        <f>IFERROR(IF(AND(ISNUMBER('Real results'!C32),ISNUMBER('Real results'!D32),ISNUMBER('Raw data'!AI32),ISNUMBER('Raw data'!AJ32)),IF(SIGN('Raw data'!AI32-'Raw data'!AJ32)=SIGN('Real results'!C32-'Real results'!D32),2+IF(AND('Raw data'!AI32='Real results'!C32,'Raw data'!AJ32='Real results'!D32),2,0),0),0),0)</f>
        <v>0</v>
      </c>
      <c r="AK33" s="34">
        <f>IFERROR(IF(AND(ISNUMBER('Real results'!C32),ISNUMBER('Real results'!D32),ISNUMBER('Raw data'!AK32),ISNUMBER('Raw data'!AL32)),IF(SIGN('Raw data'!AK32-'Raw data'!AL32)=SIGN('Real results'!C32-'Real results'!D32),2+IF(AND('Raw data'!AK32='Real results'!C32,'Raw data'!AL32='Real results'!D32),2,0),0),0),0)</f>
        <v>0</v>
      </c>
      <c r="AM33" s="34">
        <f>IFERROR(IF(AND(ISNUMBER('Real results'!C32),ISNUMBER('Real results'!D32),ISNUMBER('Raw data'!AM32),ISNUMBER('Raw data'!AN32)),IF(SIGN('Raw data'!AM32-'Raw data'!AN32)=SIGN('Real results'!C32-'Real results'!D32),2+IF(AND('Raw data'!AM32='Real results'!C32,'Raw data'!AN32='Real results'!D32),2,0),0),0),0)</f>
        <v>0</v>
      </c>
      <c r="AO33" s="34">
        <f>IFERROR(IF(AND(ISNUMBER('Real results'!C32),ISNUMBER('Real results'!D32),ISNUMBER('Raw data'!AO32),ISNUMBER('Raw data'!AP32)),IF(SIGN('Raw data'!AO32-'Raw data'!AP32)=SIGN('Real results'!C32-'Real results'!D32),2+IF(AND('Raw data'!AO32='Real results'!C32,'Raw data'!AP32='Real results'!D32),2,0),0),0),0)</f>
        <v>0</v>
      </c>
      <c r="AQ33" s="34">
        <f>IFERROR(IF(AND(ISNUMBER('Real results'!C32),ISNUMBER('Real results'!D32),ISNUMBER('Raw data'!AQ32),ISNUMBER('Raw data'!AR32)),IF(SIGN('Raw data'!AQ32-'Raw data'!AR32)=SIGN('Real results'!C32-'Real results'!D32),2+IF(AND('Raw data'!AQ32='Real results'!C32,'Raw data'!AR32='Real results'!D32),2,0),0),0),0)</f>
        <v>0</v>
      </c>
      <c r="AS33" s="34">
        <f>IFERROR(IF(AND(ISNUMBER('Real results'!C32),ISNUMBER('Real results'!D32),ISNUMBER('Raw data'!AS32),ISNUMBER('Raw data'!AT32)),IF(SIGN('Raw data'!AS32-'Raw data'!AT32)=SIGN('Real results'!C32-'Real results'!D32),2+IF(AND('Raw data'!AS32='Real results'!C32,'Raw data'!AT32='Real results'!D32),2,0),0),0),0)</f>
        <v>0</v>
      </c>
      <c r="AU33" s="34">
        <f>IFERROR(IF(AND(ISNUMBER('Real results'!C32),ISNUMBER('Real results'!D32),ISNUMBER('Raw data'!AU32),ISNUMBER('Raw data'!AV32)),IF(SIGN('Raw data'!AU32-'Raw data'!AV32)=SIGN('Real results'!C32-'Real results'!D32),2+IF(AND('Raw data'!AU32='Real results'!C32,'Raw data'!AV32='Real results'!D32),2,0),0),0),0)</f>
        <v>0</v>
      </c>
      <c r="AW33" s="34">
        <f>IFERROR(IF(AND(ISNUMBER('Real results'!C32),ISNUMBER('Real results'!D32),ISNUMBER('Raw data'!AW32),ISNUMBER('Raw data'!AX32)),IF(SIGN('Raw data'!AW32-'Raw data'!AX32)=SIGN('Real results'!C32-'Real results'!D32),2+IF(AND('Raw data'!AW32='Real results'!C32,'Raw data'!AX32='Real results'!D32),2,0),0),0),0)</f>
        <v>0</v>
      </c>
      <c r="AY33" s="34">
        <f>IFERROR(IF(AND(ISNUMBER('Real results'!C32),ISNUMBER('Real results'!D32),ISNUMBER('Raw data'!AY32),ISNUMBER('Raw data'!AZ32)),IF(SIGN('Raw data'!AY32-'Raw data'!AZ32)=SIGN('Real results'!C32-'Real results'!D32),2+IF(AND('Raw data'!AY32='Real results'!C32,'Raw data'!AZ32='Real results'!D32),2,0),0),0),0)</f>
        <v>0</v>
      </c>
      <c r="BA33" s="34">
        <f>IFERROR(IF(AND(ISNUMBER('Real results'!C32),ISNUMBER('Real results'!D32),ISNUMBER('Raw data'!BA32),ISNUMBER('Raw data'!BB32)),IF(SIGN('Raw data'!BA32-'Raw data'!BB32)=SIGN('Real results'!C32-'Real results'!D32),2+IF(AND('Raw data'!BA32='Real results'!C32,'Raw data'!BB32='Real results'!D32),2,0),0),0),0)</f>
        <v>0</v>
      </c>
      <c r="BC33" s="34">
        <f>IFERROR(IF(AND(ISNUMBER('Real results'!C32),ISNUMBER('Real results'!D32),ISNUMBER('Raw data'!BC32),ISNUMBER('Raw data'!BD32)),IF(SIGN('Raw data'!BC32-'Raw data'!BD32)=SIGN('Real results'!C32-'Real results'!D32),2+IF(AND('Raw data'!BC32='Real results'!C32,'Raw data'!BD32='Real results'!D32),2,0),0),0),0)</f>
        <v>0</v>
      </c>
      <c r="BE33" s="34">
        <f>IFERROR(IF(AND(ISNUMBER('Real results'!C32),ISNUMBER('Real results'!D32),ISNUMBER('Raw data'!BE32),ISNUMBER('Raw data'!BF32)),IF(SIGN('Raw data'!BE32-'Raw data'!BF32)=SIGN('Real results'!C32-'Real results'!D32),2+IF(AND('Raw data'!BE32='Real results'!C32,'Raw data'!BF32='Real results'!D32),2,0),0),0),0)</f>
        <v>0</v>
      </c>
      <c r="BG33" s="34">
        <f>IFERROR(IF(AND(ISNUMBER('Real results'!C32),ISNUMBER('Real results'!D32),ISNUMBER('Raw data'!BG32),ISNUMBER('Raw data'!BH32)),IF(SIGN('Raw data'!BG32-'Raw data'!BH32)=SIGN('Real results'!C32-'Real results'!D32),2+IF(AND('Raw data'!BG32='Real results'!C32,'Raw data'!BH32='Real results'!D32),2,0),0),0),0)</f>
        <v>0</v>
      </c>
      <c r="BI33" s="34">
        <f>IFERROR(IF(AND(ISNUMBER('Real results'!C32),ISNUMBER('Real results'!D32),ISNUMBER('Raw data'!BI32),ISNUMBER('Raw data'!BJ32)),IF(SIGN('Raw data'!BI32-'Raw data'!BJ32)=SIGN('Real results'!C32-'Real results'!D32),2+IF(AND('Raw data'!BI32='Real results'!C32,'Raw data'!BJ32='Real results'!D32),2,0),0),0),0)</f>
        <v>0</v>
      </c>
    </row>
    <row r="34" ht="18.0" customHeight="1">
      <c r="B34" s="12" t="s">
        <v>54</v>
      </c>
      <c r="C34" s="34">
        <f>IFERROR(IF(AND(ISNUMBER('Real results'!C33),ISNUMBER('Real results'!D33),ISNUMBER('Raw data'!C31),ISNUMBER('Raw data'!D31)),IF(SIGN('Raw data'!C31-'Raw data'!D31)=SIGN('Real results'!C33-'Real results'!D33),2+IF(AND('Raw data'!C31='Real results'!C33,'Raw data'!D31='Real results'!D33),2,0),0),0),0)</f>
        <v>2</v>
      </c>
      <c r="E34" s="34">
        <f>IFERROR(IF(AND(ISNUMBER('Real results'!C33),ISNUMBER('Real results'!D33),ISNUMBER('Raw data'!E32),ISNUMBER('Raw data'!F32)),IF(SIGN('Raw data'!E32-'Raw data'!F32)=SIGN('Real results'!C33-'Real results'!D33),2+IF(AND('Raw data'!E32='Real results'!C33,'Raw data'!F32='Real results'!D33),2,0),0),0),0)</f>
        <v>0</v>
      </c>
      <c r="G34" s="34">
        <f>IFERROR(IF(AND(ISNUMBER('Real results'!C33),ISNUMBER('Real results'!D33),ISNUMBER('Raw data'!G33),ISNUMBER('Raw data'!H33)),IF(SIGN('Raw data'!G33-'Raw data'!H33)=SIGN('Real results'!C33-'Real results'!D33),2+IF(AND('Raw data'!G33='Real results'!C33,'Raw data'!H33='Real results'!D33),2,0),0),0),0)</f>
        <v>2</v>
      </c>
      <c r="I34" s="34">
        <f>IFERROR(IF(AND(ISNUMBER('Real results'!C33),ISNUMBER('Real results'!D33),ISNUMBER('Raw data'!I33),ISNUMBER('Raw data'!J33)),IF(SIGN('Raw data'!I33-'Raw data'!J33)=SIGN('Real results'!C33-'Real results'!D33),2+IF(AND('Raw data'!I33='Real results'!C33,'Raw data'!J33='Real results'!D33),2,0),0),0),0)</f>
        <v>2</v>
      </c>
      <c r="K34" s="34">
        <f>IFERROR(IF(AND(ISNUMBER('Real results'!C33),ISNUMBER('Real results'!D33),ISNUMBER('Raw data'!K33),ISNUMBER('Raw data'!L33)),IF(SIGN('Raw data'!K33-'Raw data'!L33)=SIGN('Real results'!C33-'Real results'!D33),2+IF(AND('Raw data'!K33='Real results'!C33,'Raw data'!L33='Real results'!D33),2,0),0),0),0)</f>
        <v>4</v>
      </c>
      <c r="M34" s="34">
        <f>IFERROR(IF(AND(ISNUMBER('Real results'!C33),ISNUMBER('Real results'!D33),ISNUMBER('Raw data'!M33),ISNUMBER('Raw data'!N33)),IF(SIGN('Raw data'!M33-'Raw data'!N33)=SIGN('Real results'!C33-'Real results'!D33),2+IF(AND('Raw data'!M33='Real results'!C33,'Raw data'!N33='Real results'!D33),2,0),0),0),0)</f>
        <v>0</v>
      </c>
      <c r="O34" s="34">
        <f>IFERROR(IF(AND(ISNUMBER('Real results'!C33),ISNUMBER('Real results'!D33),ISNUMBER('Raw data'!O33),ISNUMBER('Raw data'!P33)),IF(SIGN('Raw data'!O33-'Raw data'!P33)=SIGN('Real results'!C33-'Real results'!D33),2+IF(AND('Raw data'!O33='Real results'!C33,'Raw data'!P33='Real results'!D33),2,0),0),0),0)</f>
        <v>0</v>
      </c>
      <c r="Q34" s="34">
        <f>IFERROR(IF(AND(ISNUMBER('Real results'!C33),ISNUMBER('Real results'!D33),ISNUMBER('Raw data'!Q33),ISNUMBER('Raw data'!R33)),IF(SIGN('Raw data'!Q33-'Raw data'!R33)=SIGN('Real results'!C33-'Real results'!D33),2+IF(AND('Raw data'!Q33='Real results'!C33,'Raw data'!R33='Real results'!D33),2,0),0),0),0)</f>
        <v>0</v>
      </c>
      <c r="S34" s="34">
        <f>IFERROR(IF(AND(ISNUMBER('Real results'!C33),ISNUMBER('Real results'!D33),ISNUMBER('Raw data'!S33),ISNUMBER('Raw data'!T33)),IF(SIGN('Raw data'!S33-'Raw data'!T33)=SIGN('Real results'!C33-'Real results'!D33),2+IF(AND('Raw data'!S33='Real results'!C33,'Raw data'!T33='Real results'!D33),2,0),0),0),0)</f>
        <v>0</v>
      </c>
      <c r="U34" s="34">
        <f>IFERROR(IF(AND(ISNUMBER('Real results'!C33),ISNUMBER('Real results'!D33),ISNUMBER('Raw data'!U33),ISNUMBER('Raw data'!V33)),IF(SIGN('Raw data'!U33-'Raw data'!V33)=SIGN('Real results'!C33-'Real results'!D33),2+IF(AND('Raw data'!U33='Real results'!C33,'Raw data'!V33='Real results'!D33),2,0),0),0),0)</f>
        <v>0</v>
      </c>
      <c r="W34" s="34">
        <f>IFERROR(IF(AND(ISNUMBER('Real results'!C33),ISNUMBER('Real results'!D33),ISNUMBER('Raw data'!W33),ISNUMBER('Raw data'!X33)),IF(SIGN('Raw data'!W33-'Raw data'!X33)=SIGN('Real results'!C33-'Real results'!D33),2+IF(AND('Raw data'!W33='Real results'!C33,'Raw data'!X33='Real results'!D33),2,0),0),0),0)</f>
        <v>0</v>
      </c>
      <c r="Y34" s="34">
        <f>IFERROR(IF(AND(ISNUMBER('Real results'!C33),ISNUMBER('Real results'!D33),ISNUMBER('Raw data'!Y33),ISNUMBER('Raw data'!Z33)),IF(SIGN('Raw data'!Y33-'Raw data'!Z33)=SIGN('Real results'!C33-'Real results'!D33),2+IF(AND('Raw data'!Y33='Real results'!C33,'Raw data'!Z33='Real results'!D33),2,0),0),0),0)</f>
        <v>0</v>
      </c>
      <c r="AA34" s="34">
        <f>IFERROR(IF(AND(ISNUMBER('Real results'!C33),ISNUMBER('Real results'!D33),ISNUMBER('Raw data'!AA33),ISNUMBER('Raw data'!AB33)),IF(SIGN('Raw data'!AA33-'Raw data'!AB33)=SIGN('Real results'!C33-'Real results'!D33),2+IF(AND('Raw data'!AA33='Real results'!C33,'Raw data'!AB33='Real results'!D33),2,0),0),0),0)</f>
        <v>0</v>
      </c>
      <c r="AC34" s="34">
        <f>IFERROR(IF(AND(ISNUMBER('Real results'!C33),ISNUMBER('Real results'!D33),ISNUMBER('Raw data'!AC33),ISNUMBER('Raw data'!AD33)),IF(SIGN('Raw data'!AC33-'Raw data'!AD33)=SIGN('Real results'!C33-'Real results'!D33),2+IF(AND('Raw data'!AC33='Real results'!C33,'Raw data'!AD33='Real results'!D33),2,0),0),0),0)</f>
        <v>0</v>
      </c>
      <c r="AE34" s="34">
        <f>IFERROR(IF(AND(ISNUMBER('Real results'!C33),ISNUMBER('Real results'!D33),ISNUMBER('Raw data'!AE33),ISNUMBER('Raw data'!AF33)),IF(SIGN('Raw data'!AE33-'Raw data'!AF33)=SIGN('Real results'!C33-'Real results'!D33),2+IF(AND('Raw data'!AE33='Real results'!C33,'Raw data'!AF33='Real results'!D33),2,0),0),0),0)</f>
        <v>0</v>
      </c>
      <c r="AG34" s="34">
        <f>IFERROR(IF(AND(ISNUMBER('Real results'!C33),ISNUMBER('Real results'!D33),ISNUMBER('Raw data'!AG33),ISNUMBER('Raw data'!AH33)),IF(SIGN('Raw data'!AG33-'Raw data'!AH33)=SIGN('Real results'!C33-'Real results'!D33),2+IF(AND('Raw data'!AG33='Real results'!C33,'Raw data'!AH33='Real results'!D33),2,0),0),0),0)</f>
        <v>0</v>
      </c>
      <c r="AI34" s="34">
        <f>IFERROR(IF(AND(ISNUMBER('Real results'!C33),ISNUMBER('Real results'!D33),ISNUMBER('Raw data'!AI33),ISNUMBER('Raw data'!AJ33)),IF(SIGN('Raw data'!AI33-'Raw data'!AJ33)=SIGN('Real results'!C33-'Real results'!D33),2+IF(AND('Raw data'!AI33='Real results'!C33,'Raw data'!AJ33='Real results'!D33),2,0),0),0),0)</f>
        <v>0</v>
      </c>
      <c r="AK34" s="34">
        <f>IFERROR(IF(AND(ISNUMBER('Real results'!C33),ISNUMBER('Real results'!D33),ISNUMBER('Raw data'!AK33),ISNUMBER('Raw data'!AL33)),IF(SIGN('Raw data'!AK33-'Raw data'!AL33)=SIGN('Real results'!C33-'Real results'!D33),2+IF(AND('Raw data'!AK33='Real results'!C33,'Raw data'!AL33='Real results'!D33),2,0),0),0),0)</f>
        <v>0</v>
      </c>
      <c r="AM34" s="34">
        <f>IFERROR(IF(AND(ISNUMBER('Real results'!C33),ISNUMBER('Real results'!D33),ISNUMBER('Raw data'!AM33),ISNUMBER('Raw data'!AN33)),IF(SIGN('Raw data'!AM33-'Raw data'!AN33)=SIGN('Real results'!C33-'Real results'!D33),2+IF(AND('Raw data'!AM33='Real results'!C33,'Raw data'!AN33='Real results'!D33),2,0),0),0),0)</f>
        <v>0</v>
      </c>
      <c r="AO34" s="34">
        <f>IFERROR(IF(AND(ISNUMBER('Real results'!C33),ISNUMBER('Real results'!D33),ISNUMBER('Raw data'!AO33),ISNUMBER('Raw data'!AP33)),IF(SIGN('Raw data'!AO33-'Raw data'!AP33)=SIGN('Real results'!C33-'Real results'!D33),2+IF(AND('Raw data'!AO33='Real results'!C33,'Raw data'!AP33='Real results'!D33),2,0),0),0),0)</f>
        <v>0</v>
      </c>
      <c r="AQ34" s="34">
        <f>IFERROR(IF(AND(ISNUMBER('Real results'!C33),ISNUMBER('Real results'!D33),ISNUMBER('Raw data'!AQ33),ISNUMBER('Raw data'!AR33)),IF(SIGN('Raw data'!AQ33-'Raw data'!AR33)=SIGN('Real results'!C33-'Real results'!D33),2+IF(AND('Raw data'!AQ33='Real results'!C33,'Raw data'!AR33='Real results'!D33),2,0),0),0),0)</f>
        <v>0</v>
      </c>
      <c r="AS34" s="34">
        <f>IFERROR(IF(AND(ISNUMBER('Real results'!C33),ISNUMBER('Real results'!D33),ISNUMBER('Raw data'!AS33),ISNUMBER('Raw data'!AT33)),IF(SIGN('Raw data'!AS33-'Raw data'!AT33)=SIGN('Real results'!C33-'Real results'!D33),2+IF(AND('Raw data'!AS33='Real results'!C33,'Raw data'!AT33='Real results'!D33),2,0),0),0),0)</f>
        <v>0</v>
      </c>
      <c r="AU34" s="34">
        <f>IFERROR(IF(AND(ISNUMBER('Real results'!C33),ISNUMBER('Real results'!D33),ISNUMBER('Raw data'!AU33),ISNUMBER('Raw data'!AV33)),IF(SIGN('Raw data'!AU33-'Raw data'!AV33)=SIGN('Real results'!C33-'Real results'!D33),2+IF(AND('Raw data'!AU33='Real results'!C33,'Raw data'!AV33='Real results'!D33),2,0),0),0),0)</f>
        <v>0</v>
      </c>
      <c r="AW34" s="34">
        <f>IFERROR(IF(AND(ISNUMBER('Real results'!C33),ISNUMBER('Real results'!D33),ISNUMBER('Raw data'!AW33),ISNUMBER('Raw data'!AX33)),IF(SIGN('Raw data'!AW33-'Raw data'!AX33)=SIGN('Real results'!C33-'Real results'!D33),2+IF(AND('Raw data'!AW33='Real results'!C33,'Raw data'!AX33='Real results'!D33),2,0),0),0),0)</f>
        <v>0</v>
      </c>
      <c r="AY34" s="34">
        <f>IFERROR(IF(AND(ISNUMBER('Real results'!C33),ISNUMBER('Real results'!D33),ISNUMBER('Raw data'!AY33),ISNUMBER('Raw data'!AZ33)),IF(SIGN('Raw data'!AY33-'Raw data'!AZ33)=SIGN('Real results'!C33-'Real results'!D33),2+IF(AND('Raw data'!AY33='Real results'!C33,'Raw data'!AZ33='Real results'!D33),2,0),0),0),0)</f>
        <v>0</v>
      </c>
      <c r="BA34" s="34">
        <f>IFERROR(IF(AND(ISNUMBER('Real results'!C33),ISNUMBER('Real results'!D33),ISNUMBER('Raw data'!BA33),ISNUMBER('Raw data'!BB33)),IF(SIGN('Raw data'!BA33-'Raw data'!BB33)=SIGN('Real results'!C33-'Real results'!D33),2+IF(AND('Raw data'!BA33='Real results'!C33,'Raw data'!BB33='Real results'!D33),2,0),0),0),0)</f>
        <v>0</v>
      </c>
      <c r="BC34" s="34">
        <f>IFERROR(IF(AND(ISNUMBER('Real results'!C33),ISNUMBER('Real results'!D33),ISNUMBER('Raw data'!BC33),ISNUMBER('Raw data'!BD33)),IF(SIGN('Raw data'!BC33-'Raw data'!BD33)=SIGN('Real results'!C33-'Real results'!D33),2+IF(AND('Raw data'!BC33='Real results'!C33,'Raw data'!BD33='Real results'!D33),2,0),0),0),0)</f>
        <v>0</v>
      </c>
      <c r="BE34" s="34">
        <f>IFERROR(IF(AND(ISNUMBER('Real results'!C33),ISNUMBER('Real results'!D33),ISNUMBER('Raw data'!BE33),ISNUMBER('Raw data'!BF33)),IF(SIGN('Raw data'!BE33-'Raw data'!BF33)=SIGN('Real results'!C33-'Real results'!D33),2+IF(AND('Raw data'!BE33='Real results'!C33,'Raw data'!BF33='Real results'!D33),2,0),0),0),0)</f>
        <v>0</v>
      </c>
      <c r="BG34" s="34">
        <f>IFERROR(IF(AND(ISNUMBER('Real results'!C33),ISNUMBER('Real results'!D33),ISNUMBER('Raw data'!BG33),ISNUMBER('Raw data'!BH33)),IF(SIGN('Raw data'!BG33-'Raw data'!BH33)=SIGN('Real results'!C33-'Real results'!D33),2+IF(AND('Raw data'!BG33='Real results'!C33,'Raw data'!BH33='Real results'!D33),2,0),0),0),0)</f>
        <v>0</v>
      </c>
      <c r="BI34" s="34">
        <f>IFERROR(IF(AND(ISNUMBER('Real results'!C33),ISNUMBER('Real results'!D33),ISNUMBER('Raw data'!BI33),ISNUMBER('Raw data'!BJ33)),IF(SIGN('Raw data'!BI33-'Raw data'!BJ33)=SIGN('Real results'!C33-'Real results'!D33),2+IF(AND('Raw data'!BI33='Real results'!C33,'Raw data'!BJ33='Real results'!D33),2,0),0),0),0)</f>
        <v>0</v>
      </c>
    </row>
    <row r="35" ht="18.0" customHeight="1">
      <c r="B35" s="12" t="s">
        <v>55</v>
      </c>
      <c r="C35" s="34">
        <f>IFERROR(IF(AND(ISNUMBER('Real results'!C34),ISNUMBER('Real results'!D34),ISNUMBER('Raw data'!C32),ISNUMBER('Raw data'!D32)),IF(SIGN('Raw data'!C32-'Raw data'!D32)=SIGN('Real results'!C34-'Real results'!D34),2+IF(AND('Raw data'!C32='Real results'!C34,'Raw data'!D32='Real results'!D34),2,0),0),0),0)</f>
        <v>2</v>
      </c>
      <c r="E35" s="34">
        <f>IFERROR(IF(AND(ISNUMBER('Real results'!C34),ISNUMBER('Real results'!D34),ISNUMBER('Raw data'!E33),ISNUMBER('Raw data'!F33)),IF(SIGN('Raw data'!E33-'Raw data'!F33)=SIGN('Real results'!C34-'Real results'!D34),2+IF(AND('Raw data'!E33='Real results'!C34,'Raw data'!F33='Real results'!D34),2,0),0),0),0)</f>
        <v>0</v>
      </c>
      <c r="G35" s="34">
        <f>IFERROR(IF(AND(ISNUMBER('Real results'!C34),ISNUMBER('Real results'!D34),ISNUMBER('Raw data'!G34),ISNUMBER('Raw data'!H34)),IF(SIGN('Raw data'!G34-'Raw data'!H34)=SIGN('Real results'!C34-'Real results'!D34),2+IF(AND('Raw data'!G34='Real results'!C34,'Raw data'!H34='Real results'!D34),2,0),0),0),0)</f>
        <v>0</v>
      </c>
      <c r="I35" s="34">
        <f>IFERROR(IF(AND(ISNUMBER('Real results'!C34),ISNUMBER('Real results'!D34),ISNUMBER('Raw data'!I34),ISNUMBER('Raw data'!J34)),IF(SIGN('Raw data'!I34-'Raw data'!J34)=SIGN('Real results'!C34-'Real results'!D34),2+IF(AND('Raw data'!I34='Real results'!C34,'Raw data'!J34='Real results'!D34),2,0),0),0),0)</f>
        <v>0</v>
      </c>
      <c r="K35" s="34">
        <f>IFERROR(IF(AND(ISNUMBER('Real results'!C34),ISNUMBER('Real results'!D34),ISNUMBER('Raw data'!K34),ISNUMBER('Raw data'!L34)),IF(SIGN('Raw data'!K34-'Raw data'!L34)=SIGN('Real results'!C34-'Real results'!D34),2+IF(AND('Raw data'!K34='Real results'!C34,'Raw data'!L34='Real results'!D34),2,0),0),0),0)</f>
        <v>0</v>
      </c>
      <c r="M35" s="34">
        <f>IFERROR(IF(AND(ISNUMBER('Real results'!C34),ISNUMBER('Real results'!D34),ISNUMBER('Raw data'!M34),ISNUMBER('Raw data'!N34)),IF(SIGN('Raw data'!M34-'Raw data'!N34)=SIGN('Real results'!C34-'Real results'!D34),2+IF(AND('Raw data'!M34='Real results'!C34,'Raw data'!N34='Real results'!D34),2,0),0),0),0)</f>
        <v>0</v>
      </c>
      <c r="O35" s="34">
        <f>IFERROR(IF(AND(ISNUMBER('Real results'!C34),ISNUMBER('Real results'!D34),ISNUMBER('Raw data'!O34),ISNUMBER('Raw data'!P34)),IF(SIGN('Raw data'!O34-'Raw data'!P34)=SIGN('Real results'!C34-'Real results'!D34),2+IF(AND('Raw data'!O34='Real results'!C34,'Raw data'!P34='Real results'!D34),2,0),0),0),0)</f>
        <v>0</v>
      </c>
      <c r="Q35" s="34">
        <f>IFERROR(IF(AND(ISNUMBER('Real results'!C34),ISNUMBER('Real results'!D34),ISNUMBER('Raw data'!Q34),ISNUMBER('Raw data'!R34)),IF(SIGN('Raw data'!Q34-'Raw data'!R34)=SIGN('Real results'!C34-'Real results'!D34),2+IF(AND('Raw data'!Q34='Real results'!C34,'Raw data'!R34='Real results'!D34),2,0),0),0),0)</f>
        <v>0</v>
      </c>
      <c r="S35" s="34">
        <f>IFERROR(IF(AND(ISNUMBER('Real results'!C34),ISNUMBER('Real results'!D34),ISNUMBER('Raw data'!S34),ISNUMBER('Raw data'!T34)),IF(SIGN('Raw data'!S34-'Raw data'!T34)=SIGN('Real results'!C34-'Real results'!D34),2+IF(AND('Raw data'!S34='Real results'!C34,'Raw data'!T34='Real results'!D34),2,0),0),0),0)</f>
        <v>0</v>
      </c>
      <c r="U35" s="34">
        <f>IFERROR(IF(AND(ISNUMBER('Real results'!C34),ISNUMBER('Real results'!D34),ISNUMBER('Raw data'!U34),ISNUMBER('Raw data'!V34)),IF(SIGN('Raw data'!U34-'Raw data'!V34)=SIGN('Real results'!C34-'Real results'!D34),2+IF(AND('Raw data'!U34='Real results'!C34,'Raw data'!V34='Real results'!D34),2,0),0),0),0)</f>
        <v>0</v>
      </c>
      <c r="W35" s="34">
        <f>IFERROR(IF(AND(ISNUMBER('Real results'!C34),ISNUMBER('Real results'!D34),ISNUMBER('Raw data'!W34),ISNUMBER('Raw data'!X34)),IF(SIGN('Raw data'!W34-'Raw data'!X34)=SIGN('Real results'!C34-'Real results'!D34),2+IF(AND('Raw data'!W34='Real results'!C34,'Raw data'!X34='Real results'!D34),2,0),0),0),0)</f>
        <v>0</v>
      </c>
      <c r="Y35" s="34">
        <f>IFERROR(IF(AND(ISNUMBER('Real results'!C34),ISNUMBER('Real results'!D34),ISNUMBER('Raw data'!Y34),ISNUMBER('Raw data'!Z34)),IF(SIGN('Raw data'!Y34-'Raw data'!Z34)=SIGN('Real results'!C34-'Real results'!D34),2+IF(AND('Raw data'!Y34='Real results'!C34,'Raw data'!Z34='Real results'!D34),2,0),0),0),0)</f>
        <v>0</v>
      </c>
      <c r="AA35" s="34">
        <f>IFERROR(IF(AND(ISNUMBER('Real results'!C34),ISNUMBER('Real results'!D34),ISNUMBER('Raw data'!AA34),ISNUMBER('Raw data'!AB34)),IF(SIGN('Raw data'!AA34-'Raw data'!AB34)=SIGN('Real results'!C34-'Real results'!D34),2+IF(AND('Raw data'!AA34='Real results'!C34,'Raw data'!AB34='Real results'!D34),2,0),0),0),0)</f>
        <v>0</v>
      </c>
      <c r="AC35" s="34">
        <f>IFERROR(IF(AND(ISNUMBER('Real results'!C34),ISNUMBER('Real results'!D34),ISNUMBER('Raw data'!AC34),ISNUMBER('Raw data'!AD34)),IF(SIGN('Raw data'!AC34-'Raw data'!AD34)=SIGN('Real results'!C34-'Real results'!D34),2+IF(AND('Raw data'!AC34='Real results'!C34,'Raw data'!AD34='Real results'!D34),2,0),0),0),0)</f>
        <v>0</v>
      </c>
      <c r="AE35" s="34">
        <f>IFERROR(IF(AND(ISNUMBER('Real results'!C34),ISNUMBER('Real results'!D34),ISNUMBER('Raw data'!AE34),ISNUMBER('Raw data'!AF34)),IF(SIGN('Raw data'!AE34-'Raw data'!AF34)=SIGN('Real results'!C34-'Real results'!D34),2+IF(AND('Raw data'!AE34='Real results'!C34,'Raw data'!AF34='Real results'!D34),2,0),0),0),0)</f>
        <v>0</v>
      </c>
      <c r="AG35" s="34">
        <f>IFERROR(IF(AND(ISNUMBER('Real results'!C34),ISNUMBER('Real results'!D34),ISNUMBER('Raw data'!AG34),ISNUMBER('Raw data'!AH34)),IF(SIGN('Raw data'!AG34-'Raw data'!AH34)=SIGN('Real results'!C34-'Real results'!D34),2+IF(AND('Raw data'!AG34='Real results'!C34,'Raw data'!AH34='Real results'!D34),2,0),0),0),0)</f>
        <v>0</v>
      </c>
      <c r="AI35" s="34">
        <f>IFERROR(IF(AND(ISNUMBER('Real results'!C34),ISNUMBER('Real results'!D34),ISNUMBER('Raw data'!AI34),ISNUMBER('Raw data'!AJ34)),IF(SIGN('Raw data'!AI34-'Raw data'!AJ34)=SIGN('Real results'!C34-'Real results'!D34),2+IF(AND('Raw data'!AI34='Real results'!C34,'Raw data'!AJ34='Real results'!D34),2,0),0),0),0)</f>
        <v>0</v>
      </c>
      <c r="AK35" s="34">
        <f>IFERROR(IF(AND(ISNUMBER('Real results'!C34),ISNUMBER('Real results'!D34),ISNUMBER('Raw data'!AK34),ISNUMBER('Raw data'!AL34)),IF(SIGN('Raw data'!AK34-'Raw data'!AL34)=SIGN('Real results'!C34-'Real results'!D34),2+IF(AND('Raw data'!AK34='Real results'!C34,'Raw data'!AL34='Real results'!D34),2,0),0),0),0)</f>
        <v>0</v>
      </c>
      <c r="AM35" s="34">
        <f>IFERROR(IF(AND(ISNUMBER('Real results'!C34),ISNUMBER('Real results'!D34),ISNUMBER('Raw data'!AM34),ISNUMBER('Raw data'!AN34)),IF(SIGN('Raw data'!AM34-'Raw data'!AN34)=SIGN('Real results'!C34-'Real results'!D34),2+IF(AND('Raw data'!AM34='Real results'!C34,'Raw data'!AN34='Real results'!D34),2,0),0),0),0)</f>
        <v>0</v>
      </c>
      <c r="AO35" s="34">
        <f>IFERROR(IF(AND(ISNUMBER('Real results'!C34),ISNUMBER('Real results'!D34),ISNUMBER('Raw data'!AO34),ISNUMBER('Raw data'!AP34)),IF(SIGN('Raw data'!AO34-'Raw data'!AP34)=SIGN('Real results'!C34-'Real results'!D34),2+IF(AND('Raw data'!AO34='Real results'!C34,'Raw data'!AP34='Real results'!D34),2,0),0),0),0)</f>
        <v>0</v>
      </c>
      <c r="AQ35" s="34">
        <f>IFERROR(IF(AND(ISNUMBER('Real results'!C34),ISNUMBER('Real results'!D34),ISNUMBER('Raw data'!AQ34),ISNUMBER('Raw data'!AR34)),IF(SIGN('Raw data'!AQ34-'Raw data'!AR34)=SIGN('Real results'!C34-'Real results'!D34),2+IF(AND('Raw data'!AQ34='Real results'!C34,'Raw data'!AR34='Real results'!D34),2,0),0),0),0)</f>
        <v>0</v>
      </c>
      <c r="AS35" s="34">
        <f>IFERROR(IF(AND(ISNUMBER('Real results'!C34),ISNUMBER('Real results'!D34),ISNUMBER('Raw data'!AS34),ISNUMBER('Raw data'!AT34)),IF(SIGN('Raw data'!AS34-'Raw data'!AT34)=SIGN('Real results'!C34-'Real results'!D34),2+IF(AND('Raw data'!AS34='Real results'!C34,'Raw data'!AT34='Real results'!D34),2,0),0),0),0)</f>
        <v>0</v>
      </c>
      <c r="AU35" s="34">
        <f>IFERROR(IF(AND(ISNUMBER('Real results'!C34),ISNUMBER('Real results'!D34),ISNUMBER('Raw data'!AU34),ISNUMBER('Raw data'!AV34)),IF(SIGN('Raw data'!AU34-'Raw data'!AV34)=SIGN('Real results'!C34-'Real results'!D34),2+IF(AND('Raw data'!AU34='Real results'!C34,'Raw data'!AV34='Real results'!D34),2,0),0),0),0)</f>
        <v>0</v>
      </c>
      <c r="AW35" s="34">
        <f>IFERROR(IF(AND(ISNUMBER('Real results'!C34),ISNUMBER('Real results'!D34),ISNUMBER('Raw data'!AW34),ISNUMBER('Raw data'!AX34)),IF(SIGN('Raw data'!AW34-'Raw data'!AX34)=SIGN('Real results'!C34-'Real results'!D34),2+IF(AND('Raw data'!AW34='Real results'!C34,'Raw data'!AX34='Real results'!D34),2,0),0),0),0)</f>
        <v>0</v>
      </c>
      <c r="AY35" s="34">
        <f>IFERROR(IF(AND(ISNUMBER('Real results'!C34),ISNUMBER('Real results'!D34),ISNUMBER('Raw data'!AY34),ISNUMBER('Raw data'!AZ34)),IF(SIGN('Raw data'!AY34-'Raw data'!AZ34)=SIGN('Real results'!C34-'Real results'!D34),2+IF(AND('Raw data'!AY34='Real results'!C34,'Raw data'!AZ34='Real results'!D34),2,0),0),0),0)</f>
        <v>0</v>
      </c>
      <c r="BA35" s="34">
        <f>IFERROR(IF(AND(ISNUMBER('Real results'!C34),ISNUMBER('Real results'!D34),ISNUMBER('Raw data'!BA34),ISNUMBER('Raw data'!BB34)),IF(SIGN('Raw data'!BA34-'Raw data'!BB34)=SIGN('Real results'!C34-'Real results'!D34),2+IF(AND('Raw data'!BA34='Real results'!C34,'Raw data'!BB34='Real results'!D34),2,0),0),0),0)</f>
        <v>0</v>
      </c>
      <c r="BC35" s="34">
        <f>IFERROR(IF(AND(ISNUMBER('Real results'!C34),ISNUMBER('Real results'!D34),ISNUMBER('Raw data'!BC34),ISNUMBER('Raw data'!BD34)),IF(SIGN('Raw data'!BC34-'Raw data'!BD34)=SIGN('Real results'!C34-'Real results'!D34),2+IF(AND('Raw data'!BC34='Real results'!C34,'Raw data'!BD34='Real results'!D34),2,0),0),0),0)</f>
        <v>0</v>
      </c>
      <c r="BE35" s="34">
        <f>IFERROR(IF(AND(ISNUMBER('Real results'!C34),ISNUMBER('Real results'!D34),ISNUMBER('Raw data'!BE34),ISNUMBER('Raw data'!BF34)),IF(SIGN('Raw data'!BE34-'Raw data'!BF34)=SIGN('Real results'!C34-'Real results'!D34),2+IF(AND('Raw data'!BE34='Real results'!C34,'Raw data'!BF34='Real results'!D34),2,0),0),0),0)</f>
        <v>0</v>
      </c>
      <c r="BG35" s="34">
        <f>IFERROR(IF(AND(ISNUMBER('Real results'!C34),ISNUMBER('Real results'!D34),ISNUMBER('Raw data'!BG34),ISNUMBER('Raw data'!BH34)),IF(SIGN('Raw data'!BG34-'Raw data'!BH34)=SIGN('Real results'!C34-'Real results'!D34),2+IF(AND('Raw data'!BG34='Real results'!C34,'Raw data'!BH34='Real results'!D34),2,0),0),0),0)</f>
        <v>0</v>
      </c>
      <c r="BI35" s="34">
        <f>IFERROR(IF(AND(ISNUMBER('Real results'!C34),ISNUMBER('Real results'!D34),ISNUMBER('Raw data'!BI34),ISNUMBER('Raw data'!BJ34)),IF(SIGN('Raw data'!BI34-'Raw data'!BJ34)=SIGN('Real results'!C34-'Real results'!D34),2+IF(AND('Raw data'!BI34='Real results'!C34,'Raw data'!BJ34='Real results'!D34),2,0),0),0),0)</f>
        <v>0</v>
      </c>
    </row>
    <row r="36" ht="18.0" customHeight="1">
      <c r="B36" s="12" t="s">
        <v>56</v>
      </c>
      <c r="C36" s="34">
        <f>IFERROR(IF(AND(ISNUMBER('Real results'!C35),ISNUMBER('Real results'!D35),ISNUMBER('Raw data'!C33),ISNUMBER('Raw data'!D33)),IF(SIGN('Raw data'!C33-'Raw data'!D33)=SIGN('Real results'!C35-'Real results'!D35),2+IF(AND('Raw data'!C33='Real results'!C35,'Raw data'!D33='Real results'!D35),2,0),0),0),0)</f>
        <v>4</v>
      </c>
      <c r="E36" s="34">
        <f>IFERROR(IF(AND(ISNUMBER('Real results'!C35),ISNUMBER('Real results'!D35),ISNUMBER('Raw data'!E34),ISNUMBER('Raw data'!F34)),IF(SIGN('Raw data'!E34-'Raw data'!F34)=SIGN('Real results'!C35-'Real results'!D35),2+IF(AND('Raw data'!E34='Real results'!C35,'Raw data'!F34='Real results'!D35),2,0),0),0),0)</f>
        <v>2</v>
      </c>
      <c r="G36" s="34">
        <f>IFERROR(IF(AND(ISNUMBER('Real results'!C35),ISNUMBER('Real results'!D35),ISNUMBER('Raw data'!G35),ISNUMBER('Raw data'!H35)),IF(SIGN('Raw data'!G35-'Raw data'!H35)=SIGN('Real results'!C35-'Real results'!D35),2+IF(AND('Raw data'!G35='Real results'!C35,'Raw data'!H35='Real results'!D35),2,0),0),0),0)</f>
        <v>0</v>
      </c>
      <c r="I36" s="34">
        <f>IFERROR(IF(AND(ISNUMBER('Real results'!C35),ISNUMBER('Real results'!D35),ISNUMBER('Raw data'!I35),ISNUMBER('Raw data'!J35)),IF(SIGN('Raw data'!I35-'Raw data'!J35)=SIGN('Real results'!C35-'Real results'!D35),2+IF(AND('Raw data'!I35='Real results'!C35,'Raw data'!J35='Real results'!D35),2,0),0),0),0)</f>
        <v>0</v>
      </c>
      <c r="K36" s="34">
        <f>IFERROR(IF(AND(ISNUMBER('Real results'!C35),ISNUMBER('Real results'!D35),ISNUMBER('Raw data'!K35),ISNUMBER('Raw data'!L35)),IF(SIGN('Raw data'!K35-'Raw data'!L35)=SIGN('Real results'!C35-'Real results'!D35),2+IF(AND('Raw data'!K35='Real results'!C35,'Raw data'!L35='Real results'!D35),2,0),0),0),0)</f>
        <v>0</v>
      </c>
      <c r="M36" s="34">
        <f>IFERROR(IF(AND(ISNUMBER('Real results'!C35),ISNUMBER('Real results'!D35),ISNUMBER('Raw data'!M35),ISNUMBER('Raw data'!N35)),IF(SIGN('Raw data'!M35-'Raw data'!N35)=SIGN('Real results'!C35-'Real results'!D35),2+IF(AND('Raw data'!M35='Real results'!C35,'Raw data'!N35='Real results'!D35),2,0),0),0),0)</f>
        <v>0</v>
      </c>
      <c r="O36" s="34">
        <f>IFERROR(IF(AND(ISNUMBER('Real results'!C35),ISNUMBER('Real results'!D35),ISNUMBER('Raw data'!O35),ISNUMBER('Raw data'!P35)),IF(SIGN('Raw data'!O35-'Raw data'!P35)=SIGN('Real results'!C35-'Real results'!D35),2+IF(AND('Raw data'!O35='Real results'!C35,'Raw data'!P35='Real results'!D35),2,0),0),0),0)</f>
        <v>0</v>
      </c>
      <c r="Q36" s="34">
        <f>IFERROR(IF(AND(ISNUMBER('Real results'!C35),ISNUMBER('Real results'!D35),ISNUMBER('Raw data'!Q35),ISNUMBER('Raw data'!R35)),IF(SIGN('Raw data'!Q35-'Raw data'!R35)=SIGN('Real results'!C35-'Real results'!D35),2+IF(AND('Raw data'!Q35='Real results'!C35,'Raw data'!R35='Real results'!D35),2,0),0),0),0)</f>
        <v>0</v>
      </c>
      <c r="S36" s="34">
        <f>IFERROR(IF(AND(ISNUMBER('Real results'!C35),ISNUMBER('Real results'!D35),ISNUMBER('Raw data'!S35),ISNUMBER('Raw data'!T35)),IF(SIGN('Raw data'!S35-'Raw data'!T35)=SIGN('Real results'!C35-'Real results'!D35),2+IF(AND('Raw data'!S35='Real results'!C35,'Raw data'!T35='Real results'!D35),2,0),0),0),0)</f>
        <v>0</v>
      </c>
      <c r="U36" s="34">
        <f>IFERROR(IF(AND(ISNUMBER('Real results'!C35),ISNUMBER('Real results'!D35),ISNUMBER('Raw data'!U35),ISNUMBER('Raw data'!V35)),IF(SIGN('Raw data'!U35-'Raw data'!V35)=SIGN('Real results'!C35-'Real results'!D35),2+IF(AND('Raw data'!U35='Real results'!C35,'Raw data'!V35='Real results'!D35),2,0),0),0),0)</f>
        <v>0</v>
      </c>
      <c r="W36" s="34">
        <f>IFERROR(IF(AND(ISNUMBER('Real results'!C35),ISNUMBER('Real results'!D35),ISNUMBER('Raw data'!W35),ISNUMBER('Raw data'!X35)),IF(SIGN('Raw data'!W35-'Raw data'!X35)=SIGN('Real results'!C35-'Real results'!D35),2+IF(AND('Raw data'!W35='Real results'!C35,'Raw data'!X35='Real results'!D35),2,0),0),0),0)</f>
        <v>0</v>
      </c>
      <c r="Y36" s="34">
        <f>IFERROR(IF(AND(ISNUMBER('Real results'!C35),ISNUMBER('Real results'!D35),ISNUMBER('Raw data'!Y35),ISNUMBER('Raw data'!Z35)),IF(SIGN('Raw data'!Y35-'Raw data'!Z35)=SIGN('Real results'!C35-'Real results'!D35),2+IF(AND('Raw data'!Y35='Real results'!C35,'Raw data'!Z35='Real results'!D35),2,0),0),0),0)</f>
        <v>0</v>
      </c>
      <c r="AA36" s="34">
        <f>IFERROR(IF(AND(ISNUMBER('Real results'!C35),ISNUMBER('Real results'!D35),ISNUMBER('Raw data'!AA35),ISNUMBER('Raw data'!AB35)),IF(SIGN('Raw data'!AA35-'Raw data'!AB35)=SIGN('Real results'!C35-'Real results'!D35),2+IF(AND('Raw data'!AA35='Real results'!C35,'Raw data'!AB35='Real results'!D35),2,0),0),0),0)</f>
        <v>0</v>
      </c>
      <c r="AC36" s="34">
        <f>IFERROR(IF(AND(ISNUMBER('Real results'!C35),ISNUMBER('Real results'!D35),ISNUMBER('Raw data'!AC35),ISNUMBER('Raw data'!AD35)),IF(SIGN('Raw data'!AC35-'Raw data'!AD35)=SIGN('Real results'!C35-'Real results'!D35),2+IF(AND('Raw data'!AC35='Real results'!C35,'Raw data'!AD35='Real results'!D35),2,0),0),0),0)</f>
        <v>0</v>
      </c>
      <c r="AE36" s="34">
        <f>IFERROR(IF(AND(ISNUMBER('Real results'!C35),ISNUMBER('Real results'!D35),ISNUMBER('Raw data'!AE35),ISNUMBER('Raw data'!AF35)),IF(SIGN('Raw data'!AE35-'Raw data'!AF35)=SIGN('Real results'!C35-'Real results'!D35),2+IF(AND('Raw data'!AE35='Real results'!C35,'Raw data'!AF35='Real results'!D35),2,0),0),0),0)</f>
        <v>0</v>
      </c>
      <c r="AG36" s="34">
        <f>IFERROR(IF(AND(ISNUMBER('Real results'!C35),ISNUMBER('Real results'!D35),ISNUMBER('Raw data'!AG35),ISNUMBER('Raw data'!AH35)),IF(SIGN('Raw data'!AG35-'Raw data'!AH35)=SIGN('Real results'!C35-'Real results'!D35),2+IF(AND('Raw data'!AG35='Real results'!C35,'Raw data'!AH35='Real results'!D35),2,0),0),0),0)</f>
        <v>0</v>
      </c>
      <c r="AI36" s="34">
        <f>IFERROR(IF(AND(ISNUMBER('Real results'!C35),ISNUMBER('Real results'!D35),ISNUMBER('Raw data'!AI35),ISNUMBER('Raw data'!AJ35)),IF(SIGN('Raw data'!AI35-'Raw data'!AJ35)=SIGN('Real results'!C35-'Real results'!D35),2+IF(AND('Raw data'!AI35='Real results'!C35,'Raw data'!AJ35='Real results'!D35),2,0),0),0),0)</f>
        <v>0</v>
      </c>
      <c r="AK36" s="34">
        <f>IFERROR(IF(AND(ISNUMBER('Real results'!C35),ISNUMBER('Real results'!D35),ISNUMBER('Raw data'!AK35),ISNUMBER('Raw data'!AL35)),IF(SIGN('Raw data'!AK35-'Raw data'!AL35)=SIGN('Real results'!C35-'Real results'!D35),2+IF(AND('Raw data'!AK35='Real results'!C35,'Raw data'!AL35='Real results'!D35),2,0),0),0),0)</f>
        <v>0</v>
      </c>
      <c r="AM36" s="34">
        <f>IFERROR(IF(AND(ISNUMBER('Real results'!C35),ISNUMBER('Real results'!D35),ISNUMBER('Raw data'!AM35),ISNUMBER('Raw data'!AN35)),IF(SIGN('Raw data'!AM35-'Raw data'!AN35)=SIGN('Real results'!C35-'Real results'!D35),2+IF(AND('Raw data'!AM35='Real results'!C35,'Raw data'!AN35='Real results'!D35),2,0),0),0),0)</f>
        <v>0</v>
      </c>
      <c r="AO36" s="34">
        <f>IFERROR(IF(AND(ISNUMBER('Real results'!C35),ISNUMBER('Real results'!D35),ISNUMBER('Raw data'!AO35),ISNUMBER('Raw data'!AP35)),IF(SIGN('Raw data'!AO35-'Raw data'!AP35)=SIGN('Real results'!C35-'Real results'!D35),2+IF(AND('Raw data'!AO35='Real results'!C35,'Raw data'!AP35='Real results'!D35),2,0),0),0),0)</f>
        <v>0</v>
      </c>
      <c r="AQ36" s="34">
        <f>IFERROR(IF(AND(ISNUMBER('Real results'!C35),ISNUMBER('Real results'!D35),ISNUMBER('Raw data'!AQ35),ISNUMBER('Raw data'!AR35)),IF(SIGN('Raw data'!AQ35-'Raw data'!AR35)=SIGN('Real results'!C35-'Real results'!D35),2+IF(AND('Raw data'!AQ35='Real results'!C35,'Raw data'!AR35='Real results'!D35),2,0),0),0),0)</f>
        <v>0</v>
      </c>
      <c r="AS36" s="34">
        <f>IFERROR(IF(AND(ISNUMBER('Real results'!C35),ISNUMBER('Real results'!D35),ISNUMBER('Raw data'!AS35),ISNUMBER('Raw data'!AT35)),IF(SIGN('Raw data'!AS35-'Raw data'!AT35)=SIGN('Real results'!C35-'Real results'!D35),2+IF(AND('Raw data'!AS35='Real results'!C35,'Raw data'!AT35='Real results'!D35),2,0),0),0),0)</f>
        <v>0</v>
      </c>
      <c r="AU36" s="34">
        <f>IFERROR(IF(AND(ISNUMBER('Real results'!C35),ISNUMBER('Real results'!D35),ISNUMBER('Raw data'!AU35),ISNUMBER('Raw data'!AV35)),IF(SIGN('Raw data'!AU35-'Raw data'!AV35)=SIGN('Real results'!C35-'Real results'!D35),2+IF(AND('Raw data'!AU35='Real results'!C35,'Raw data'!AV35='Real results'!D35),2,0),0),0),0)</f>
        <v>0</v>
      </c>
      <c r="AW36" s="34">
        <f>IFERROR(IF(AND(ISNUMBER('Real results'!C35),ISNUMBER('Real results'!D35),ISNUMBER('Raw data'!AW35),ISNUMBER('Raw data'!AX35)),IF(SIGN('Raw data'!AW35-'Raw data'!AX35)=SIGN('Real results'!C35-'Real results'!D35),2+IF(AND('Raw data'!AW35='Real results'!C35,'Raw data'!AX35='Real results'!D35),2,0),0),0),0)</f>
        <v>0</v>
      </c>
      <c r="AY36" s="34">
        <f>IFERROR(IF(AND(ISNUMBER('Real results'!C35),ISNUMBER('Real results'!D35),ISNUMBER('Raw data'!AY35),ISNUMBER('Raw data'!AZ35)),IF(SIGN('Raw data'!AY35-'Raw data'!AZ35)=SIGN('Real results'!C35-'Real results'!D35),2+IF(AND('Raw data'!AY35='Real results'!C35,'Raw data'!AZ35='Real results'!D35),2,0),0),0),0)</f>
        <v>0</v>
      </c>
      <c r="BA36" s="34">
        <f>IFERROR(IF(AND(ISNUMBER('Real results'!C35),ISNUMBER('Real results'!D35),ISNUMBER('Raw data'!BA35),ISNUMBER('Raw data'!BB35)),IF(SIGN('Raw data'!BA35-'Raw data'!BB35)=SIGN('Real results'!C35-'Real results'!D35),2+IF(AND('Raw data'!BA35='Real results'!C35,'Raw data'!BB35='Real results'!D35),2,0),0),0),0)</f>
        <v>0</v>
      </c>
      <c r="BC36" s="34">
        <f>IFERROR(IF(AND(ISNUMBER('Real results'!C35),ISNUMBER('Real results'!D35),ISNUMBER('Raw data'!BC35),ISNUMBER('Raw data'!BD35)),IF(SIGN('Raw data'!BC35-'Raw data'!BD35)=SIGN('Real results'!C35-'Real results'!D35),2+IF(AND('Raw data'!BC35='Real results'!C35,'Raw data'!BD35='Real results'!D35),2,0),0),0),0)</f>
        <v>0</v>
      </c>
      <c r="BE36" s="34">
        <f>IFERROR(IF(AND(ISNUMBER('Real results'!C35),ISNUMBER('Real results'!D35),ISNUMBER('Raw data'!BE35),ISNUMBER('Raw data'!BF35)),IF(SIGN('Raw data'!BE35-'Raw data'!BF35)=SIGN('Real results'!C35-'Real results'!D35),2+IF(AND('Raw data'!BE35='Real results'!C35,'Raw data'!BF35='Real results'!D35),2,0),0),0),0)</f>
        <v>0</v>
      </c>
      <c r="BG36" s="34">
        <f>IFERROR(IF(AND(ISNUMBER('Real results'!C35),ISNUMBER('Real results'!D35),ISNUMBER('Raw data'!BG35),ISNUMBER('Raw data'!BH35)),IF(SIGN('Raw data'!BG35-'Raw data'!BH35)=SIGN('Real results'!C35-'Real results'!D35),2+IF(AND('Raw data'!BG35='Real results'!C35,'Raw data'!BH35='Real results'!D35),2,0),0),0),0)</f>
        <v>0</v>
      </c>
      <c r="BI36" s="34">
        <f>IFERROR(IF(AND(ISNUMBER('Real results'!C35),ISNUMBER('Real results'!D35),ISNUMBER('Raw data'!BI35),ISNUMBER('Raw data'!BJ35)),IF(SIGN('Raw data'!BI35-'Raw data'!BJ35)=SIGN('Real results'!C35-'Real results'!D35),2+IF(AND('Raw data'!BI35='Real results'!C35,'Raw data'!BJ35='Real results'!D35),2,0),0),0),0)</f>
        <v>0</v>
      </c>
    </row>
    <row r="37" ht="18.0" customHeight="1">
      <c r="B37" s="12" t="s">
        <v>57</v>
      </c>
      <c r="C37" s="34">
        <f>IFERROR(IF(AND(ISNUMBER('Real results'!C36),ISNUMBER('Real results'!D36),ISNUMBER('Raw data'!C34),ISNUMBER('Raw data'!D34)),IF(SIGN('Raw data'!C34-'Raw data'!D34)=SIGN('Real results'!C36-'Real results'!D36),2+IF(AND('Raw data'!C34='Real results'!C36,'Raw data'!D34='Real results'!D36),2,0),0),0),0)</f>
        <v>0</v>
      </c>
      <c r="E37" s="34">
        <f>IFERROR(IF(AND(ISNUMBER('Real results'!C36),ISNUMBER('Real results'!D36),ISNUMBER('Raw data'!E35),ISNUMBER('Raw data'!F35)),IF(SIGN('Raw data'!E35-'Raw data'!F35)=SIGN('Real results'!C36-'Real results'!D36),2+IF(AND('Raw data'!E35='Real results'!C36,'Raw data'!F35='Real results'!D36),2,0),0),0),0)</f>
        <v>4</v>
      </c>
      <c r="G37" s="34">
        <f>IFERROR(IF(AND(ISNUMBER('Real results'!C36),ISNUMBER('Real results'!D36),ISNUMBER('Raw data'!G36),ISNUMBER('Raw data'!H36)),IF(SIGN('Raw data'!G36-'Raw data'!H36)=SIGN('Real results'!C36-'Real results'!D36),2+IF(AND('Raw data'!G36='Real results'!C36,'Raw data'!H36='Real results'!D36),2,0),0),0),0)</f>
        <v>4</v>
      </c>
      <c r="I37" s="34">
        <f>IFERROR(IF(AND(ISNUMBER('Real results'!C36),ISNUMBER('Real results'!D36),ISNUMBER('Raw data'!I36),ISNUMBER('Raw data'!J36)),IF(SIGN('Raw data'!I36-'Raw data'!J36)=SIGN('Real results'!C36-'Real results'!D36),2+IF(AND('Raw data'!I36='Real results'!C36,'Raw data'!J36='Real results'!D36),2,0),0),0),0)</f>
        <v>2</v>
      </c>
      <c r="K37" s="34">
        <f>IFERROR(IF(AND(ISNUMBER('Real results'!C36),ISNUMBER('Real results'!D36),ISNUMBER('Raw data'!K36),ISNUMBER('Raw data'!L36)),IF(SIGN('Raw data'!K36-'Raw data'!L36)=SIGN('Real results'!C36-'Real results'!D36),2+IF(AND('Raw data'!K36='Real results'!C36,'Raw data'!L36='Real results'!D36),2,0),0),0),0)</f>
        <v>2</v>
      </c>
      <c r="M37" s="34">
        <f>IFERROR(IF(AND(ISNUMBER('Real results'!C36),ISNUMBER('Real results'!D36),ISNUMBER('Raw data'!M36),ISNUMBER('Raw data'!N36)),IF(SIGN('Raw data'!M36-'Raw data'!N36)=SIGN('Real results'!C36-'Real results'!D36),2+IF(AND('Raw data'!M36='Real results'!C36,'Raw data'!N36='Real results'!D36),2,0),0),0),0)</f>
        <v>0</v>
      </c>
      <c r="O37" s="34">
        <f>IFERROR(IF(AND(ISNUMBER('Real results'!C36),ISNUMBER('Real results'!D36),ISNUMBER('Raw data'!O36),ISNUMBER('Raw data'!P36)),IF(SIGN('Raw data'!O36-'Raw data'!P36)=SIGN('Real results'!C36-'Real results'!D36),2+IF(AND('Raw data'!O36='Real results'!C36,'Raw data'!P36='Real results'!D36),2,0),0),0),0)</f>
        <v>0</v>
      </c>
      <c r="Q37" s="34">
        <f>IFERROR(IF(AND(ISNUMBER('Real results'!C36),ISNUMBER('Real results'!D36),ISNUMBER('Raw data'!Q36),ISNUMBER('Raw data'!R36)),IF(SIGN('Raw data'!Q36-'Raw data'!R36)=SIGN('Real results'!C36-'Real results'!D36),2+IF(AND('Raw data'!Q36='Real results'!C36,'Raw data'!R36='Real results'!D36),2,0),0),0),0)</f>
        <v>0</v>
      </c>
      <c r="S37" s="34">
        <f>IFERROR(IF(AND(ISNUMBER('Real results'!C36),ISNUMBER('Real results'!D36),ISNUMBER('Raw data'!S36),ISNUMBER('Raw data'!T36)),IF(SIGN('Raw data'!S36-'Raw data'!T36)=SIGN('Real results'!C36-'Real results'!D36),2+IF(AND('Raw data'!S36='Real results'!C36,'Raw data'!T36='Real results'!D36),2,0),0),0),0)</f>
        <v>0</v>
      </c>
      <c r="U37" s="34">
        <f>IFERROR(IF(AND(ISNUMBER('Real results'!C36),ISNUMBER('Real results'!D36),ISNUMBER('Raw data'!U36),ISNUMBER('Raw data'!V36)),IF(SIGN('Raw data'!U36-'Raw data'!V36)=SIGN('Real results'!C36-'Real results'!D36),2+IF(AND('Raw data'!U36='Real results'!C36,'Raw data'!V36='Real results'!D36),2,0),0),0),0)</f>
        <v>0</v>
      </c>
      <c r="W37" s="34">
        <f>IFERROR(IF(AND(ISNUMBER('Real results'!C36),ISNUMBER('Real results'!D36),ISNUMBER('Raw data'!W36),ISNUMBER('Raw data'!X36)),IF(SIGN('Raw data'!W36-'Raw data'!X36)=SIGN('Real results'!C36-'Real results'!D36),2+IF(AND('Raw data'!W36='Real results'!C36,'Raw data'!X36='Real results'!D36),2,0),0),0),0)</f>
        <v>0</v>
      </c>
      <c r="Y37" s="34">
        <f>IFERROR(IF(AND(ISNUMBER('Real results'!C36),ISNUMBER('Real results'!D36),ISNUMBER('Raw data'!Y36),ISNUMBER('Raw data'!Z36)),IF(SIGN('Raw data'!Y36-'Raw data'!Z36)=SIGN('Real results'!C36-'Real results'!D36),2+IF(AND('Raw data'!Y36='Real results'!C36,'Raw data'!Z36='Real results'!D36),2,0),0),0),0)</f>
        <v>0</v>
      </c>
      <c r="AA37" s="34">
        <f>IFERROR(IF(AND(ISNUMBER('Real results'!C36),ISNUMBER('Real results'!D36),ISNUMBER('Raw data'!AA36),ISNUMBER('Raw data'!AB36)),IF(SIGN('Raw data'!AA36-'Raw data'!AB36)=SIGN('Real results'!C36-'Real results'!D36),2+IF(AND('Raw data'!AA36='Real results'!C36,'Raw data'!AB36='Real results'!D36),2,0),0),0),0)</f>
        <v>0</v>
      </c>
      <c r="AC37" s="34">
        <f>IFERROR(IF(AND(ISNUMBER('Real results'!C36),ISNUMBER('Real results'!D36),ISNUMBER('Raw data'!AC36),ISNUMBER('Raw data'!AD36)),IF(SIGN('Raw data'!AC36-'Raw data'!AD36)=SIGN('Real results'!C36-'Real results'!D36),2+IF(AND('Raw data'!AC36='Real results'!C36,'Raw data'!AD36='Real results'!D36),2,0),0),0),0)</f>
        <v>0</v>
      </c>
      <c r="AE37" s="34">
        <f>IFERROR(IF(AND(ISNUMBER('Real results'!C36),ISNUMBER('Real results'!D36),ISNUMBER('Raw data'!AE36),ISNUMBER('Raw data'!AF36)),IF(SIGN('Raw data'!AE36-'Raw data'!AF36)=SIGN('Real results'!C36-'Real results'!D36),2+IF(AND('Raw data'!AE36='Real results'!C36,'Raw data'!AF36='Real results'!D36),2,0),0),0),0)</f>
        <v>0</v>
      </c>
      <c r="AG37" s="34">
        <f>IFERROR(IF(AND(ISNUMBER('Real results'!C36),ISNUMBER('Real results'!D36),ISNUMBER('Raw data'!AG36),ISNUMBER('Raw data'!AH36)),IF(SIGN('Raw data'!AG36-'Raw data'!AH36)=SIGN('Real results'!C36-'Real results'!D36),2+IF(AND('Raw data'!AG36='Real results'!C36,'Raw data'!AH36='Real results'!D36),2,0),0),0),0)</f>
        <v>0</v>
      </c>
      <c r="AI37" s="34">
        <f>IFERROR(IF(AND(ISNUMBER('Real results'!C36),ISNUMBER('Real results'!D36),ISNUMBER('Raw data'!AI36),ISNUMBER('Raw data'!AJ36)),IF(SIGN('Raw data'!AI36-'Raw data'!AJ36)=SIGN('Real results'!C36-'Real results'!D36),2+IF(AND('Raw data'!AI36='Real results'!C36,'Raw data'!AJ36='Real results'!D36),2,0),0),0),0)</f>
        <v>0</v>
      </c>
      <c r="AK37" s="34">
        <f>IFERROR(IF(AND(ISNUMBER('Real results'!C36),ISNUMBER('Real results'!D36),ISNUMBER('Raw data'!AK36),ISNUMBER('Raw data'!AL36)),IF(SIGN('Raw data'!AK36-'Raw data'!AL36)=SIGN('Real results'!C36-'Real results'!D36),2+IF(AND('Raw data'!AK36='Real results'!C36,'Raw data'!AL36='Real results'!D36),2,0),0),0),0)</f>
        <v>0</v>
      </c>
      <c r="AM37" s="34">
        <f>IFERROR(IF(AND(ISNUMBER('Real results'!C36),ISNUMBER('Real results'!D36),ISNUMBER('Raw data'!AM36),ISNUMBER('Raw data'!AN36)),IF(SIGN('Raw data'!AM36-'Raw data'!AN36)=SIGN('Real results'!C36-'Real results'!D36),2+IF(AND('Raw data'!AM36='Real results'!C36,'Raw data'!AN36='Real results'!D36),2,0),0),0),0)</f>
        <v>0</v>
      </c>
      <c r="AO37" s="34">
        <f>IFERROR(IF(AND(ISNUMBER('Real results'!C36),ISNUMBER('Real results'!D36),ISNUMBER('Raw data'!AO36),ISNUMBER('Raw data'!AP36)),IF(SIGN('Raw data'!AO36-'Raw data'!AP36)=SIGN('Real results'!C36-'Real results'!D36),2+IF(AND('Raw data'!AO36='Real results'!C36,'Raw data'!AP36='Real results'!D36),2,0),0),0),0)</f>
        <v>0</v>
      </c>
      <c r="AQ37" s="34">
        <f>IFERROR(IF(AND(ISNUMBER('Real results'!C36),ISNUMBER('Real results'!D36),ISNUMBER('Raw data'!AQ36),ISNUMBER('Raw data'!AR36)),IF(SIGN('Raw data'!AQ36-'Raw data'!AR36)=SIGN('Real results'!C36-'Real results'!D36),2+IF(AND('Raw data'!AQ36='Real results'!C36,'Raw data'!AR36='Real results'!D36),2,0),0),0),0)</f>
        <v>0</v>
      </c>
      <c r="AS37" s="34">
        <f>IFERROR(IF(AND(ISNUMBER('Real results'!C36),ISNUMBER('Real results'!D36),ISNUMBER('Raw data'!AS36),ISNUMBER('Raw data'!AT36)),IF(SIGN('Raw data'!AS36-'Raw data'!AT36)=SIGN('Real results'!C36-'Real results'!D36),2+IF(AND('Raw data'!AS36='Real results'!C36,'Raw data'!AT36='Real results'!D36),2,0),0),0),0)</f>
        <v>0</v>
      </c>
      <c r="AU37" s="34">
        <f>IFERROR(IF(AND(ISNUMBER('Real results'!C36),ISNUMBER('Real results'!D36),ISNUMBER('Raw data'!AU36),ISNUMBER('Raw data'!AV36)),IF(SIGN('Raw data'!AU36-'Raw data'!AV36)=SIGN('Real results'!C36-'Real results'!D36),2+IF(AND('Raw data'!AU36='Real results'!C36,'Raw data'!AV36='Real results'!D36),2,0),0),0),0)</f>
        <v>0</v>
      </c>
      <c r="AW37" s="34">
        <f>IFERROR(IF(AND(ISNUMBER('Real results'!C36),ISNUMBER('Real results'!D36),ISNUMBER('Raw data'!AW36),ISNUMBER('Raw data'!AX36)),IF(SIGN('Raw data'!AW36-'Raw data'!AX36)=SIGN('Real results'!C36-'Real results'!D36),2+IF(AND('Raw data'!AW36='Real results'!C36,'Raw data'!AX36='Real results'!D36),2,0),0),0),0)</f>
        <v>0</v>
      </c>
      <c r="AY37" s="34">
        <f>IFERROR(IF(AND(ISNUMBER('Real results'!C36),ISNUMBER('Real results'!D36),ISNUMBER('Raw data'!AY36),ISNUMBER('Raw data'!AZ36)),IF(SIGN('Raw data'!AY36-'Raw data'!AZ36)=SIGN('Real results'!C36-'Real results'!D36),2+IF(AND('Raw data'!AY36='Real results'!C36,'Raw data'!AZ36='Real results'!D36),2,0),0),0),0)</f>
        <v>0</v>
      </c>
      <c r="BA37" s="34">
        <f>IFERROR(IF(AND(ISNUMBER('Real results'!C36),ISNUMBER('Real results'!D36),ISNUMBER('Raw data'!BA36),ISNUMBER('Raw data'!BB36)),IF(SIGN('Raw data'!BA36-'Raw data'!BB36)=SIGN('Real results'!C36-'Real results'!D36),2+IF(AND('Raw data'!BA36='Real results'!C36,'Raw data'!BB36='Real results'!D36),2,0),0),0),0)</f>
        <v>0</v>
      </c>
      <c r="BC37" s="34">
        <f>IFERROR(IF(AND(ISNUMBER('Real results'!C36),ISNUMBER('Real results'!D36),ISNUMBER('Raw data'!BC36),ISNUMBER('Raw data'!BD36)),IF(SIGN('Raw data'!BC36-'Raw data'!BD36)=SIGN('Real results'!C36-'Real results'!D36),2+IF(AND('Raw data'!BC36='Real results'!C36,'Raw data'!BD36='Real results'!D36),2,0),0),0),0)</f>
        <v>0</v>
      </c>
      <c r="BE37" s="34">
        <f>IFERROR(IF(AND(ISNUMBER('Real results'!C36),ISNUMBER('Real results'!D36),ISNUMBER('Raw data'!BE36),ISNUMBER('Raw data'!BF36)),IF(SIGN('Raw data'!BE36-'Raw data'!BF36)=SIGN('Real results'!C36-'Real results'!D36),2+IF(AND('Raw data'!BE36='Real results'!C36,'Raw data'!BF36='Real results'!D36),2,0),0),0),0)</f>
        <v>0</v>
      </c>
      <c r="BG37" s="34">
        <f>IFERROR(IF(AND(ISNUMBER('Real results'!C36),ISNUMBER('Real results'!D36),ISNUMBER('Raw data'!BG36),ISNUMBER('Raw data'!BH36)),IF(SIGN('Raw data'!BG36-'Raw data'!BH36)=SIGN('Real results'!C36-'Real results'!D36),2+IF(AND('Raw data'!BG36='Real results'!C36,'Raw data'!BH36='Real results'!D36),2,0),0),0),0)</f>
        <v>0</v>
      </c>
      <c r="BI37" s="34">
        <f>IFERROR(IF(AND(ISNUMBER('Real results'!C36),ISNUMBER('Real results'!D36),ISNUMBER('Raw data'!BI36),ISNUMBER('Raw data'!BJ36)),IF(SIGN('Raw data'!BI36-'Raw data'!BJ36)=SIGN('Real results'!C36-'Real results'!D36),2+IF(AND('Raw data'!BI36='Real results'!C36,'Raw data'!BJ36='Real results'!D36),2,0),0),0),0)</f>
        <v>0</v>
      </c>
    </row>
    <row r="38" ht="18.0" customHeight="1">
      <c r="B38" s="12" t="s">
        <v>58</v>
      </c>
      <c r="C38" s="34">
        <f>IFERROR(IF(AND(ISNUMBER('Real results'!C37),ISNUMBER('Real results'!D37),ISNUMBER('Raw data'!C35),ISNUMBER('Raw data'!D35)),IF(SIGN('Raw data'!C35-'Raw data'!D35)=SIGN('Real results'!C37-'Real results'!D37),2+IF(AND('Raw data'!C35='Real results'!C37,'Raw data'!D35='Real results'!D37),2,0),0),0),0)</f>
        <v>0</v>
      </c>
      <c r="E38" s="34">
        <f>IFERROR(IF(AND(ISNUMBER('Real results'!C37),ISNUMBER('Real results'!D37),ISNUMBER('Raw data'!E36),ISNUMBER('Raw data'!F36)),IF(SIGN('Raw data'!E36-'Raw data'!F36)=SIGN('Real results'!C37-'Real results'!D37),2+IF(AND('Raw data'!E36='Real results'!C37,'Raw data'!F36='Real results'!D37),2,0),0),0),0)</f>
        <v>0</v>
      </c>
      <c r="G38" s="34">
        <f>IFERROR(IF(AND(ISNUMBER('Real results'!C37),ISNUMBER('Real results'!D37),ISNUMBER('Raw data'!G37),ISNUMBER('Raw data'!H37)),IF(SIGN('Raw data'!G37-'Raw data'!H37)=SIGN('Real results'!C37-'Real results'!D37),2+IF(AND('Raw data'!G37='Real results'!C37,'Raw data'!H37='Real results'!D37),2,0),0),0),0)</f>
        <v>0</v>
      </c>
      <c r="I38" s="34">
        <f>IFERROR(IF(AND(ISNUMBER('Real results'!C37),ISNUMBER('Real results'!D37),ISNUMBER('Raw data'!I37),ISNUMBER('Raw data'!J37)),IF(SIGN('Raw data'!I37-'Raw data'!J37)=SIGN('Real results'!C37-'Real results'!D37),2+IF(AND('Raw data'!I37='Real results'!C37,'Raw data'!J37='Real results'!D37),2,0),0),0),0)</f>
        <v>0</v>
      </c>
      <c r="K38" s="34">
        <f>IFERROR(IF(AND(ISNUMBER('Real results'!C37),ISNUMBER('Real results'!D37),ISNUMBER('Raw data'!K37),ISNUMBER('Raw data'!L37)),IF(SIGN('Raw data'!K37-'Raw data'!L37)=SIGN('Real results'!C37-'Real results'!D37),2+IF(AND('Raw data'!K37='Real results'!C37,'Raw data'!L37='Real results'!D37),2,0),0),0),0)</f>
        <v>0</v>
      </c>
      <c r="M38" s="34">
        <f>IFERROR(IF(AND(ISNUMBER('Real results'!C37),ISNUMBER('Real results'!D37),ISNUMBER('Raw data'!M37),ISNUMBER('Raw data'!N37)),IF(SIGN('Raw data'!M37-'Raw data'!N37)=SIGN('Real results'!C37-'Real results'!D37),2+IF(AND('Raw data'!M37='Real results'!C37,'Raw data'!N37='Real results'!D37),2,0),0),0),0)</f>
        <v>0</v>
      </c>
      <c r="O38" s="34">
        <f>IFERROR(IF(AND(ISNUMBER('Real results'!C37),ISNUMBER('Real results'!D37),ISNUMBER('Raw data'!O37),ISNUMBER('Raw data'!P37)),IF(SIGN('Raw data'!O37-'Raw data'!P37)=SIGN('Real results'!C37-'Real results'!D37),2+IF(AND('Raw data'!O37='Real results'!C37,'Raw data'!P37='Real results'!D37),2,0),0),0),0)</f>
        <v>0</v>
      </c>
      <c r="Q38" s="34">
        <f>IFERROR(IF(AND(ISNUMBER('Real results'!C37),ISNUMBER('Real results'!D37),ISNUMBER('Raw data'!Q37),ISNUMBER('Raw data'!R37)),IF(SIGN('Raw data'!Q37-'Raw data'!R37)=SIGN('Real results'!C37-'Real results'!D37),2+IF(AND('Raw data'!Q37='Real results'!C37,'Raw data'!R37='Real results'!D37),2,0),0),0),0)</f>
        <v>0</v>
      </c>
      <c r="S38" s="34">
        <f>IFERROR(IF(AND(ISNUMBER('Real results'!C37),ISNUMBER('Real results'!D37),ISNUMBER('Raw data'!S37),ISNUMBER('Raw data'!T37)),IF(SIGN('Raw data'!S37-'Raw data'!T37)=SIGN('Real results'!C37-'Real results'!D37),2+IF(AND('Raw data'!S37='Real results'!C37,'Raw data'!T37='Real results'!D37),2,0),0),0),0)</f>
        <v>0</v>
      </c>
      <c r="U38" s="34">
        <f>IFERROR(IF(AND(ISNUMBER('Real results'!C37),ISNUMBER('Real results'!D37),ISNUMBER('Raw data'!U37),ISNUMBER('Raw data'!V37)),IF(SIGN('Raw data'!U37-'Raw data'!V37)=SIGN('Real results'!C37-'Real results'!D37),2+IF(AND('Raw data'!U37='Real results'!C37,'Raw data'!V37='Real results'!D37),2,0),0),0),0)</f>
        <v>0</v>
      </c>
      <c r="W38" s="34">
        <f>IFERROR(IF(AND(ISNUMBER('Real results'!C37),ISNUMBER('Real results'!D37),ISNUMBER('Raw data'!W37),ISNUMBER('Raw data'!X37)),IF(SIGN('Raw data'!W37-'Raw data'!X37)=SIGN('Real results'!C37-'Real results'!D37),2+IF(AND('Raw data'!W37='Real results'!C37,'Raw data'!X37='Real results'!D37),2,0),0),0),0)</f>
        <v>0</v>
      </c>
      <c r="Y38" s="34">
        <f>IFERROR(IF(AND(ISNUMBER('Real results'!C37),ISNUMBER('Real results'!D37),ISNUMBER('Raw data'!Y37),ISNUMBER('Raw data'!Z37)),IF(SIGN('Raw data'!Y37-'Raw data'!Z37)=SIGN('Real results'!C37-'Real results'!D37),2+IF(AND('Raw data'!Y37='Real results'!C37,'Raw data'!Z37='Real results'!D37),2,0),0),0),0)</f>
        <v>0</v>
      </c>
      <c r="AA38" s="34">
        <f>IFERROR(IF(AND(ISNUMBER('Real results'!C37),ISNUMBER('Real results'!D37),ISNUMBER('Raw data'!AA37),ISNUMBER('Raw data'!AB37)),IF(SIGN('Raw data'!AA37-'Raw data'!AB37)=SIGN('Real results'!C37-'Real results'!D37),2+IF(AND('Raw data'!AA37='Real results'!C37,'Raw data'!AB37='Real results'!D37),2,0),0),0),0)</f>
        <v>0</v>
      </c>
      <c r="AC38" s="34">
        <f>IFERROR(IF(AND(ISNUMBER('Real results'!C37),ISNUMBER('Real results'!D37),ISNUMBER('Raw data'!AC37),ISNUMBER('Raw data'!AD37)),IF(SIGN('Raw data'!AC37-'Raw data'!AD37)=SIGN('Real results'!C37-'Real results'!D37),2+IF(AND('Raw data'!AC37='Real results'!C37,'Raw data'!AD37='Real results'!D37),2,0),0),0),0)</f>
        <v>0</v>
      </c>
      <c r="AE38" s="34">
        <f>IFERROR(IF(AND(ISNUMBER('Real results'!C37),ISNUMBER('Real results'!D37),ISNUMBER('Raw data'!AE37),ISNUMBER('Raw data'!AF37)),IF(SIGN('Raw data'!AE37-'Raw data'!AF37)=SIGN('Real results'!C37-'Real results'!D37),2+IF(AND('Raw data'!AE37='Real results'!C37,'Raw data'!AF37='Real results'!D37),2,0),0),0),0)</f>
        <v>0</v>
      </c>
      <c r="AG38" s="34">
        <f>IFERROR(IF(AND(ISNUMBER('Real results'!C37),ISNUMBER('Real results'!D37),ISNUMBER('Raw data'!AG37),ISNUMBER('Raw data'!AH37)),IF(SIGN('Raw data'!AG37-'Raw data'!AH37)=SIGN('Real results'!C37-'Real results'!D37),2+IF(AND('Raw data'!AG37='Real results'!C37,'Raw data'!AH37='Real results'!D37),2,0),0),0),0)</f>
        <v>0</v>
      </c>
      <c r="AI38" s="34">
        <f>IFERROR(IF(AND(ISNUMBER('Real results'!C37),ISNUMBER('Real results'!D37),ISNUMBER('Raw data'!AI37),ISNUMBER('Raw data'!AJ37)),IF(SIGN('Raw data'!AI37-'Raw data'!AJ37)=SIGN('Real results'!C37-'Real results'!D37),2+IF(AND('Raw data'!AI37='Real results'!C37,'Raw data'!AJ37='Real results'!D37),2,0),0),0),0)</f>
        <v>0</v>
      </c>
      <c r="AK38" s="34">
        <f>IFERROR(IF(AND(ISNUMBER('Real results'!C37),ISNUMBER('Real results'!D37),ISNUMBER('Raw data'!AK37),ISNUMBER('Raw data'!AL37)),IF(SIGN('Raw data'!AK37-'Raw data'!AL37)=SIGN('Real results'!C37-'Real results'!D37),2+IF(AND('Raw data'!AK37='Real results'!C37,'Raw data'!AL37='Real results'!D37),2,0),0),0),0)</f>
        <v>0</v>
      </c>
      <c r="AM38" s="34">
        <f>IFERROR(IF(AND(ISNUMBER('Real results'!C37),ISNUMBER('Real results'!D37),ISNUMBER('Raw data'!AM37),ISNUMBER('Raw data'!AN37)),IF(SIGN('Raw data'!AM37-'Raw data'!AN37)=SIGN('Real results'!C37-'Real results'!D37),2+IF(AND('Raw data'!AM37='Real results'!C37,'Raw data'!AN37='Real results'!D37),2,0),0),0),0)</f>
        <v>0</v>
      </c>
      <c r="AO38" s="34">
        <f>IFERROR(IF(AND(ISNUMBER('Real results'!C37),ISNUMBER('Real results'!D37),ISNUMBER('Raw data'!AO37),ISNUMBER('Raw data'!AP37)),IF(SIGN('Raw data'!AO37-'Raw data'!AP37)=SIGN('Real results'!C37-'Real results'!D37),2+IF(AND('Raw data'!AO37='Real results'!C37,'Raw data'!AP37='Real results'!D37),2,0),0),0),0)</f>
        <v>0</v>
      </c>
      <c r="AQ38" s="34">
        <f>IFERROR(IF(AND(ISNUMBER('Real results'!C37),ISNUMBER('Real results'!D37),ISNUMBER('Raw data'!AQ37),ISNUMBER('Raw data'!AR37)),IF(SIGN('Raw data'!AQ37-'Raw data'!AR37)=SIGN('Real results'!C37-'Real results'!D37),2+IF(AND('Raw data'!AQ37='Real results'!C37,'Raw data'!AR37='Real results'!D37),2,0),0),0),0)</f>
        <v>0</v>
      </c>
      <c r="AS38" s="34">
        <f>IFERROR(IF(AND(ISNUMBER('Real results'!C37),ISNUMBER('Real results'!D37),ISNUMBER('Raw data'!AS37),ISNUMBER('Raw data'!AT37)),IF(SIGN('Raw data'!AS37-'Raw data'!AT37)=SIGN('Real results'!C37-'Real results'!D37),2+IF(AND('Raw data'!AS37='Real results'!C37,'Raw data'!AT37='Real results'!D37),2,0),0),0),0)</f>
        <v>0</v>
      </c>
      <c r="AU38" s="34">
        <f>IFERROR(IF(AND(ISNUMBER('Real results'!C37),ISNUMBER('Real results'!D37),ISNUMBER('Raw data'!AU37),ISNUMBER('Raw data'!AV37)),IF(SIGN('Raw data'!AU37-'Raw data'!AV37)=SIGN('Real results'!C37-'Real results'!D37),2+IF(AND('Raw data'!AU37='Real results'!C37,'Raw data'!AV37='Real results'!D37),2,0),0),0),0)</f>
        <v>0</v>
      </c>
      <c r="AW38" s="34">
        <f>IFERROR(IF(AND(ISNUMBER('Real results'!C37),ISNUMBER('Real results'!D37),ISNUMBER('Raw data'!AW37),ISNUMBER('Raw data'!AX37)),IF(SIGN('Raw data'!AW37-'Raw data'!AX37)=SIGN('Real results'!C37-'Real results'!D37),2+IF(AND('Raw data'!AW37='Real results'!C37,'Raw data'!AX37='Real results'!D37),2,0),0),0),0)</f>
        <v>0</v>
      </c>
      <c r="AY38" s="34">
        <f>IFERROR(IF(AND(ISNUMBER('Real results'!C37),ISNUMBER('Real results'!D37),ISNUMBER('Raw data'!AY37),ISNUMBER('Raw data'!AZ37)),IF(SIGN('Raw data'!AY37-'Raw data'!AZ37)=SIGN('Real results'!C37-'Real results'!D37),2+IF(AND('Raw data'!AY37='Real results'!C37,'Raw data'!AZ37='Real results'!D37),2,0),0),0),0)</f>
        <v>0</v>
      </c>
      <c r="BA38" s="34">
        <f>IFERROR(IF(AND(ISNUMBER('Real results'!C37),ISNUMBER('Real results'!D37),ISNUMBER('Raw data'!BA37),ISNUMBER('Raw data'!BB37)),IF(SIGN('Raw data'!BA37-'Raw data'!BB37)=SIGN('Real results'!C37-'Real results'!D37),2+IF(AND('Raw data'!BA37='Real results'!C37,'Raw data'!BB37='Real results'!D37),2,0),0),0),0)</f>
        <v>0</v>
      </c>
      <c r="BC38" s="34">
        <f>IFERROR(IF(AND(ISNUMBER('Real results'!C37),ISNUMBER('Real results'!D37),ISNUMBER('Raw data'!BC37),ISNUMBER('Raw data'!BD37)),IF(SIGN('Raw data'!BC37-'Raw data'!BD37)=SIGN('Real results'!C37-'Real results'!D37),2+IF(AND('Raw data'!BC37='Real results'!C37,'Raw data'!BD37='Real results'!D37),2,0),0),0),0)</f>
        <v>0</v>
      </c>
      <c r="BE38" s="34">
        <f>IFERROR(IF(AND(ISNUMBER('Real results'!C37),ISNUMBER('Real results'!D37),ISNUMBER('Raw data'!BE37),ISNUMBER('Raw data'!BF37)),IF(SIGN('Raw data'!BE37-'Raw data'!BF37)=SIGN('Real results'!C37-'Real results'!D37),2+IF(AND('Raw data'!BE37='Real results'!C37,'Raw data'!BF37='Real results'!D37),2,0),0),0),0)</f>
        <v>0</v>
      </c>
      <c r="BG38" s="34">
        <f>IFERROR(IF(AND(ISNUMBER('Real results'!C37),ISNUMBER('Real results'!D37),ISNUMBER('Raw data'!BG37),ISNUMBER('Raw data'!BH37)),IF(SIGN('Raw data'!BG37-'Raw data'!BH37)=SIGN('Real results'!C37-'Real results'!D37),2+IF(AND('Raw data'!BG37='Real results'!C37,'Raw data'!BH37='Real results'!D37),2,0),0),0),0)</f>
        <v>0</v>
      </c>
      <c r="BI38" s="34">
        <f>IFERROR(IF(AND(ISNUMBER('Real results'!C37),ISNUMBER('Real results'!D37),ISNUMBER('Raw data'!BI37),ISNUMBER('Raw data'!BJ37)),IF(SIGN('Raw data'!BI37-'Raw data'!BJ37)=SIGN('Real results'!C37-'Real results'!D37),2+IF(AND('Raw data'!BI37='Real results'!C37,'Raw data'!BJ37='Real results'!D37),2,0),0),0),0)</f>
        <v>0</v>
      </c>
    </row>
    <row r="39" ht="18.0" customHeight="1">
      <c r="B39" s="12" t="s">
        <v>59</v>
      </c>
      <c r="C39" s="34">
        <f>IFERROR(IF(AND(ISNUMBER('Real results'!C38),ISNUMBER('Real results'!D38),ISNUMBER('Raw data'!C36),ISNUMBER('Raw data'!D36)),IF(SIGN('Raw data'!C36-'Raw data'!D36)=SIGN('Real results'!C38-'Real results'!D38),2+IF(AND('Raw data'!C36='Real results'!C38,'Raw data'!D36='Real results'!D38),2,0),0),0),0)</f>
        <v>2</v>
      </c>
      <c r="E39" s="34">
        <f>IFERROR(IF(AND(ISNUMBER('Real results'!C38),ISNUMBER('Real results'!D38),ISNUMBER('Raw data'!E37),ISNUMBER('Raw data'!F37)),IF(SIGN('Raw data'!E37-'Raw data'!F37)=SIGN('Real results'!C38-'Real results'!D38),2+IF(AND('Raw data'!E37='Real results'!C38,'Raw data'!F37='Real results'!D38),2,0),0),0),0)</f>
        <v>0</v>
      </c>
      <c r="G39" s="34">
        <f>IFERROR(IF(AND(ISNUMBER('Real results'!C38),ISNUMBER('Real results'!D38),ISNUMBER('Raw data'!G38),ISNUMBER('Raw data'!H38)),IF(SIGN('Raw data'!G38-'Raw data'!H38)=SIGN('Real results'!C38-'Real results'!D38),2+IF(AND('Raw data'!G38='Real results'!C38,'Raw data'!H38='Real results'!D38),2,0),0),0),0)</f>
        <v>0</v>
      </c>
      <c r="I39" s="34">
        <f>IFERROR(IF(AND(ISNUMBER('Real results'!C38),ISNUMBER('Real results'!D38),ISNUMBER('Raw data'!I38),ISNUMBER('Raw data'!J38)),IF(SIGN('Raw data'!I38-'Raw data'!J38)=SIGN('Real results'!C38-'Real results'!D38),2+IF(AND('Raw data'!I38='Real results'!C38,'Raw data'!J38='Real results'!D38),2,0),0),0),0)</f>
        <v>0</v>
      </c>
      <c r="K39" s="34">
        <f>IFERROR(IF(AND(ISNUMBER('Real results'!C38),ISNUMBER('Real results'!D38),ISNUMBER('Raw data'!K38),ISNUMBER('Raw data'!L38)),IF(SIGN('Raw data'!K38-'Raw data'!L38)=SIGN('Real results'!C38-'Real results'!D38),2+IF(AND('Raw data'!K38='Real results'!C38,'Raw data'!L38='Real results'!D38),2,0),0),0),0)</f>
        <v>0</v>
      </c>
      <c r="M39" s="34">
        <f>IFERROR(IF(AND(ISNUMBER('Real results'!C38),ISNUMBER('Real results'!D38),ISNUMBER('Raw data'!M38),ISNUMBER('Raw data'!N38)),IF(SIGN('Raw data'!M38-'Raw data'!N38)=SIGN('Real results'!C38-'Real results'!D38),2+IF(AND('Raw data'!M38='Real results'!C38,'Raw data'!N38='Real results'!D38),2,0),0),0),0)</f>
        <v>0</v>
      </c>
      <c r="O39" s="34">
        <f>IFERROR(IF(AND(ISNUMBER('Real results'!C38),ISNUMBER('Real results'!D38),ISNUMBER('Raw data'!O38),ISNUMBER('Raw data'!P38)),IF(SIGN('Raw data'!O38-'Raw data'!P38)=SIGN('Real results'!C38-'Real results'!D38),2+IF(AND('Raw data'!O38='Real results'!C38,'Raw data'!P38='Real results'!D38),2,0),0),0),0)</f>
        <v>0</v>
      </c>
      <c r="Q39" s="34">
        <f>IFERROR(IF(AND(ISNUMBER('Real results'!C38),ISNUMBER('Real results'!D38),ISNUMBER('Raw data'!Q38),ISNUMBER('Raw data'!R38)),IF(SIGN('Raw data'!Q38-'Raw data'!R38)=SIGN('Real results'!C38-'Real results'!D38),2+IF(AND('Raw data'!Q38='Real results'!C38,'Raw data'!R38='Real results'!D38),2,0),0),0),0)</f>
        <v>0</v>
      </c>
      <c r="S39" s="34">
        <f>IFERROR(IF(AND(ISNUMBER('Real results'!C38),ISNUMBER('Real results'!D38),ISNUMBER('Raw data'!S38),ISNUMBER('Raw data'!T38)),IF(SIGN('Raw data'!S38-'Raw data'!T38)=SIGN('Real results'!C38-'Real results'!D38),2+IF(AND('Raw data'!S38='Real results'!C38,'Raw data'!T38='Real results'!D38),2,0),0),0),0)</f>
        <v>0</v>
      </c>
      <c r="U39" s="34">
        <f>IFERROR(IF(AND(ISNUMBER('Real results'!C38),ISNUMBER('Real results'!D38),ISNUMBER('Raw data'!U38),ISNUMBER('Raw data'!V38)),IF(SIGN('Raw data'!U38-'Raw data'!V38)=SIGN('Real results'!C38-'Real results'!D38),2+IF(AND('Raw data'!U38='Real results'!C38,'Raw data'!V38='Real results'!D38),2,0),0),0),0)</f>
        <v>0</v>
      </c>
      <c r="W39" s="34">
        <f>IFERROR(IF(AND(ISNUMBER('Real results'!C38),ISNUMBER('Real results'!D38),ISNUMBER('Raw data'!W38),ISNUMBER('Raw data'!X38)),IF(SIGN('Raw data'!W38-'Raw data'!X38)=SIGN('Real results'!C38-'Real results'!D38),2+IF(AND('Raw data'!W38='Real results'!C38,'Raw data'!X38='Real results'!D38),2,0),0),0),0)</f>
        <v>0</v>
      </c>
      <c r="Y39" s="34">
        <f>IFERROR(IF(AND(ISNUMBER('Real results'!C38),ISNUMBER('Real results'!D38),ISNUMBER('Raw data'!Y38),ISNUMBER('Raw data'!Z38)),IF(SIGN('Raw data'!Y38-'Raw data'!Z38)=SIGN('Real results'!C38-'Real results'!D38),2+IF(AND('Raw data'!Y38='Real results'!C38,'Raw data'!Z38='Real results'!D38),2,0),0),0),0)</f>
        <v>0</v>
      </c>
      <c r="AA39" s="34">
        <f>IFERROR(IF(AND(ISNUMBER('Real results'!C38),ISNUMBER('Real results'!D38),ISNUMBER('Raw data'!AA38),ISNUMBER('Raw data'!AB38)),IF(SIGN('Raw data'!AA38-'Raw data'!AB38)=SIGN('Real results'!C38-'Real results'!D38),2+IF(AND('Raw data'!AA38='Real results'!C38,'Raw data'!AB38='Real results'!D38),2,0),0),0),0)</f>
        <v>0</v>
      </c>
      <c r="AC39" s="34">
        <f>IFERROR(IF(AND(ISNUMBER('Real results'!C38),ISNUMBER('Real results'!D38),ISNUMBER('Raw data'!AC38),ISNUMBER('Raw data'!AD38)),IF(SIGN('Raw data'!AC38-'Raw data'!AD38)=SIGN('Real results'!C38-'Real results'!D38),2+IF(AND('Raw data'!AC38='Real results'!C38,'Raw data'!AD38='Real results'!D38),2,0),0),0),0)</f>
        <v>0</v>
      </c>
      <c r="AE39" s="34">
        <f>IFERROR(IF(AND(ISNUMBER('Real results'!C38),ISNUMBER('Real results'!D38),ISNUMBER('Raw data'!AE38),ISNUMBER('Raw data'!AF38)),IF(SIGN('Raw data'!AE38-'Raw data'!AF38)=SIGN('Real results'!C38-'Real results'!D38),2+IF(AND('Raw data'!AE38='Real results'!C38,'Raw data'!AF38='Real results'!D38),2,0),0),0),0)</f>
        <v>0</v>
      </c>
      <c r="AG39" s="34">
        <f>IFERROR(IF(AND(ISNUMBER('Real results'!C38),ISNUMBER('Real results'!D38),ISNUMBER('Raw data'!AG38),ISNUMBER('Raw data'!AH38)),IF(SIGN('Raw data'!AG38-'Raw data'!AH38)=SIGN('Real results'!C38-'Real results'!D38),2+IF(AND('Raw data'!AG38='Real results'!C38,'Raw data'!AH38='Real results'!D38),2,0),0),0),0)</f>
        <v>0</v>
      </c>
      <c r="AI39" s="34">
        <f>IFERROR(IF(AND(ISNUMBER('Real results'!C38),ISNUMBER('Real results'!D38),ISNUMBER('Raw data'!AI38),ISNUMBER('Raw data'!AJ38)),IF(SIGN('Raw data'!AI38-'Raw data'!AJ38)=SIGN('Real results'!C38-'Real results'!D38),2+IF(AND('Raw data'!AI38='Real results'!C38,'Raw data'!AJ38='Real results'!D38),2,0),0),0),0)</f>
        <v>0</v>
      </c>
      <c r="AK39" s="34">
        <f>IFERROR(IF(AND(ISNUMBER('Real results'!C38),ISNUMBER('Real results'!D38),ISNUMBER('Raw data'!AK38),ISNUMBER('Raw data'!AL38)),IF(SIGN('Raw data'!AK38-'Raw data'!AL38)=SIGN('Real results'!C38-'Real results'!D38),2+IF(AND('Raw data'!AK38='Real results'!C38,'Raw data'!AL38='Real results'!D38),2,0),0),0),0)</f>
        <v>0</v>
      </c>
      <c r="AM39" s="34">
        <f>IFERROR(IF(AND(ISNUMBER('Real results'!C38),ISNUMBER('Real results'!D38),ISNUMBER('Raw data'!AM38),ISNUMBER('Raw data'!AN38)),IF(SIGN('Raw data'!AM38-'Raw data'!AN38)=SIGN('Real results'!C38-'Real results'!D38),2+IF(AND('Raw data'!AM38='Real results'!C38,'Raw data'!AN38='Real results'!D38),2,0),0),0),0)</f>
        <v>0</v>
      </c>
      <c r="AO39" s="34">
        <f>IFERROR(IF(AND(ISNUMBER('Real results'!C38),ISNUMBER('Real results'!D38),ISNUMBER('Raw data'!AO38),ISNUMBER('Raw data'!AP38)),IF(SIGN('Raw data'!AO38-'Raw data'!AP38)=SIGN('Real results'!C38-'Real results'!D38),2+IF(AND('Raw data'!AO38='Real results'!C38,'Raw data'!AP38='Real results'!D38),2,0),0),0),0)</f>
        <v>0</v>
      </c>
      <c r="AQ39" s="34">
        <f>IFERROR(IF(AND(ISNUMBER('Real results'!C38),ISNUMBER('Real results'!D38),ISNUMBER('Raw data'!AQ38),ISNUMBER('Raw data'!AR38)),IF(SIGN('Raw data'!AQ38-'Raw data'!AR38)=SIGN('Real results'!C38-'Real results'!D38),2+IF(AND('Raw data'!AQ38='Real results'!C38,'Raw data'!AR38='Real results'!D38),2,0),0),0),0)</f>
        <v>0</v>
      </c>
      <c r="AS39" s="34">
        <f>IFERROR(IF(AND(ISNUMBER('Real results'!C38),ISNUMBER('Real results'!D38),ISNUMBER('Raw data'!AS38),ISNUMBER('Raw data'!AT38)),IF(SIGN('Raw data'!AS38-'Raw data'!AT38)=SIGN('Real results'!C38-'Real results'!D38),2+IF(AND('Raw data'!AS38='Real results'!C38,'Raw data'!AT38='Real results'!D38),2,0),0),0),0)</f>
        <v>0</v>
      </c>
      <c r="AU39" s="34">
        <f>IFERROR(IF(AND(ISNUMBER('Real results'!C38),ISNUMBER('Real results'!D38),ISNUMBER('Raw data'!AU38),ISNUMBER('Raw data'!AV38)),IF(SIGN('Raw data'!AU38-'Raw data'!AV38)=SIGN('Real results'!C38-'Real results'!D38),2+IF(AND('Raw data'!AU38='Real results'!C38,'Raw data'!AV38='Real results'!D38),2,0),0),0),0)</f>
        <v>0</v>
      </c>
      <c r="AW39" s="34">
        <f>IFERROR(IF(AND(ISNUMBER('Real results'!C38),ISNUMBER('Real results'!D38),ISNUMBER('Raw data'!AW38),ISNUMBER('Raw data'!AX38)),IF(SIGN('Raw data'!AW38-'Raw data'!AX38)=SIGN('Real results'!C38-'Real results'!D38),2+IF(AND('Raw data'!AW38='Real results'!C38,'Raw data'!AX38='Real results'!D38),2,0),0),0),0)</f>
        <v>0</v>
      </c>
      <c r="AY39" s="34">
        <f>IFERROR(IF(AND(ISNUMBER('Real results'!C38),ISNUMBER('Real results'!D38),ISNUMBER('Raw data'!AY38),ISNUMBER('Raw data'!AZ38)),IF(SIGN('Raw data'!AY38-'Raw data'!AZ38)=SIGN('Real results'!C38-'Real results'!D38),2+IF(AND('Raw data'!AY38='Real results'!C38,'Raw data'!AZ38='Real results'!D38),2,0),0),0),0)</f>
        <v>0</v>
      </c>
      <c r="BA39" s="34">
        <f>IFERROR(IF(AND(ISNUMBER('Real results'!C38),ISNUMBER('Real results'!D38),ISNUMBER('Raw data'!BA38),ISNUMBER('Raw data'!BB38)),IF(SIGN('Raw data'!BA38-'Raw data'!BB38)=SIGN('Real results'!C38-'Real results'!D38),2+IF(AND('Raw data'!BA38='Real results'!C38,'Raw data'!BB38='Real results'!D38),2,0),0),0),0)</f>
        <v>0</v>
      </c>
      <c r="BC39" s="34">
        <f>IFERROR(IF(AND(ISNUMBER('Real results'!C38),ISNUMBER('Real results'!D38),ISNUMBER('Raw data'!BC38),ISNUMBER('Raw data'!BD38)),IF(SIGN('Raw data'!BC38-'Raw data'!BD38)=SIGN('Real results'!C38-'Real results'!D38),2+IF(AND('Raw data'!BC38='Real results'!C38,'Raw data'!BD38='Real results'!D38),2,0),0),0),0)</f>
        <v>0</v>
      </c>
      <c r="BE39" s="34">
        <f>IFERROR(IF(AND(ISNUMBER('Real results'!C38),ISNUMBER('Real results'!D38),ISNUMBER('Raw data'!BE38),ISNUMBER('Raw data'!BF38)),IF(SIGN('Raw data'!BE38-'Raw data'!BF38)=SIGN('Real results'!C38-'Real results'!D38),2+IF(AND('Raw data'!BE38='Real results'!C38,'Raw data'!BF38='Real results'!D38),2,0),0),0),0)</f>
        <v>0</v>
      </c>
      <c r="BG39" s="34">
        <f>IFERROR(IF(AND(ISNUMBER('Real results'!C38),ISNUMBER('Real results'!D38),ISNUMBER('Raw data'!BG38),ISNUMBER('Raw data'!BH38)),IF(SIGN('Raw data'!BG38-'Raw data'!BH38)=SIGN('Real results'!C38-'Real results'!D38),2+IF(AND('Raw data'!BG38='Real results'!C38,'Raw data'!BH38='Real results'!D38),2,0),0),0),0)</f>
        <v>0</v>
      </c>
      <c r="BI39" s="34">
        <f>IFERROR(IF(AND(ISNUMBER('Real results'!C38),ISNUMBER('Real results'!D38),ISNUMBER('Raw data'!BI38),ISNUMBER('Raw data'!BJ38)),IF(SIGN('Raw data'!BI38-'Raw data'!BJ38)=SIGN('Real results'!C38-'Real results'!D38),2+IF(AND('Raw data'!BI38='Real results'!C38,'Raw data'!BJ38='Real results'!D38),2,0),0),0),0)</f>
        <v>0</v>
      </c>
    </row>
    <row r="40" ht="18.0" customHeight="1">
      <c r="B40" s="12" t="s">
        <v>61</v>
      </c>
      <c r="C40" s="34">
        <f>IFERROR(IF(AND(ISNUMBER('Real results'!C39),ISNUMBER('Real results'!D39),ISNUMBER('Raw data'!C37),ISNUMBER('Raw data'!D37)),IF(SIGN('Raw data'!C37-'Raw data'!D37)=SIGN('Real results'!C39-'Real results'!D39),2+IF(AND('Raw data'!C37='Real results'!C39,'Raw data'!D37='Real results'!D39),2,0),0),0),0)</f>
        <v>2</v>
      </c>
      <c r="E40" s="34">
        <f>IFERROR(IF(AND(ISNUMBER('Real results'!C39),ISNUMBER('Real results'!D39),ISNUMBER('Raw data'!E38),ISNUMBER('Raw data'!F38)),IF(SIGN('Raw data'!E38-'Raw data'!F38)=SIGN('Real results'!C39-'Real results'!D39),2+IF(AND('Raw data'!E38='Real results'!C39,'Raw data'!F38='Real results'!D39),2,0),0),0),0)</f>
        <v>2</v>
      </c>
      <c r="G40" s="34">
        <f>IFERROR(IF(AND(ISNUMBER('Real results'!C39),ISNUMBER('Real results'!D39),ISNUMBER('Raw data'!G39),ISNUMBER('Raw data'!H39)),IF(SIGN('Raw data'!G39-'Raw data'!H39)=SIGN('Real results'!C39-'Real results'!D39),2+IF(AND('Raw data'!G39='Real results'!C39,'Raw data'!H39='Real results'!D39),2,0),0),0),0)</f>
        <v>0</v>
      </c>
      <c r="I40" s="34">
        <f>IFERROR(IF(AND(ISNUMBER('Real results'!C39),ISNUMBER('Real results'!D39),ISNUMBER('Raw data'!I39),ISNUMBER('Raw data'!J39)),IF(SIGN('Raw data'!I39-'Raw data'!J39)=SIGN('Real results'!C39-'Real results'!D39),2+IF(AND('Raw data'!I39='Real results'!C39,'Raw data'!J39='Real results'!D39),2,0),0),0),0)</f>
        <v>0</v>
      </c>
      <c r="K40" s="34">
        <f>IFERROR(IF(AND(ISNUMBER('Real results'!C39),ISNUMBER('Real results'!D39),ISNUMBER('Raw data'!K39),ISNUMBER('Raw data'!L39)),IF(SIGN('Raw data'!K39-'Raw data'!L39)=SIGN('Real results'!C39-'Real results'!D39),2+IF(AND('Raw data'!K39='Real results'!C39,'Raw data'!L39='Real results'!D39),2,0),0),0),0)</f>
        <v>0</v>
      </c>
      <c r="M40" s="34">
        <f>IFERROR(IF(AND(ISNUMBER('Real results'!C39),ISNUMBER('Real results'!D39),ISNUMBER('Raw data'!M39),ISNUMBER('Raw data'!N39)),IF(SIGN('Raw data'!M39-'Raw data'!N39)=SIGN('Real results'!C39-'Real results'!D39),2+IF(AND('Raw data'!M39='Real results'!C39,'Raw data'!N39='Real results'!D39),2,0),0),0),0)</f>
        <v>0</v>
      </c>
      <c r="O40" s="34">
        <f>IFERROR(IF(AND(ISNUMBER('Real results'!C39),ISNUMBER('Real results'!D39),ISNUMBER('Raw data'!O39),ISNUMBER('Raw data'!P39)),IF(SIGN('Raw data'!O39-'Raw data'!P39)=SIGN('Real results'!C39-'Real results'!D39),2+IF(AND('Raw data'!O39='Real results'!C39,'Raw data'!P39='Real results'!D39),2,0),0),0),0)</f>
        <v>0</v>
      </c>
      <c r="Q40" s="34">
        <f>IFERROR(IF(AND(ISNUMBER('Real results'!C39),ISNUMBER('Real results'!D39),ISNUMBER('Raw data'!Q39),ISNUMBER('Raw data'!R39)),IF(SIGN('Raw data'!Q39-'Raw data'!R39)=SIGN('Real results'!C39-'Real results'!D39),2+IF(AND('Raw data'!Q39='Real results'!C39,'Raw data'!R39='Real results'!D39),2,0),0),0),0)</f>
        <v>0</v>
      </c>
      <c r="S40" s="34">
        <f>IFERROR(IF(AND(ISNUMBER('Real results'!C39),ISNUMBER('Real results'!D39),ISNUMBER('Raw data'!S39),ISNUMBER('Raw data'!T39)),IF(SIGN('Raw data'!S39-'Raw data'!T39)=SIGN('Real results'!C39-'Real results'!D39),2+IF(AND('Raw data'!S39='Real results'!C39,'Raw data'!T39='Real results'!D39),2,0),0),0),0)</f>
        <v>0</v>
      </c>
      <c r="U40" s="34">
        <f>IFERROR(IF(AND(ISNUMBER('Real results'!C39),ISNUMBER('Real results'!D39),ISNUMBER('Raw data'!U39),ISNUMBER('Raw data'!V39)),IF(SIGN('Raw data'!U39-'Raw data'!V39)=SIGN('Real results'!C39-'Real results'!D39),2+IF(AND('Raw data'!U39='Real results'!C39,'Raw data'!V39='Real results'!D39),2,0),0),0),0)</f>
        <v>0</v>
      </c>
      <c r="W40" s="34">
        <f>IFERROR(IF(AND(ISNUMBER('Real results'!C39),ISNUMBER('Real results'!D39),ISNUMBER('Raw data'!W39),ISNUMBER('Raw data'!X39)),IF(SIGN('Raw data'!W39-'Raw data'!X39)=SIGN('Real results'!C39-'Real results'!D39),2+IF(AND('Raw data'!W39='Real results'!C39,'Raw data'!X39='Real results'!D39),2,0),0),0),0)</f>
        <v>0</v>
      </c>
      <c r="Y40" s="34">
        <f>IFERROR(IF(AND(ISNUMBER('Real results'!C39),ISNUMBER('Real results'!D39),ISNUMBER('Raw data'!Y39),ISNUMBER('Raw data'!Z39)),IF(SIGN('Raw data'!Y39-'Raw data'!Z39)=SIGN('Real results'!C39-'Real results'!D39),2+IF(AND('Raw data'!Y39='Real results'!C39,'Raw data'!Z39='Real results'!D39),2,0),0),0),0)</f>
        <v>0</v>
      </c>
      <c r="AA40" s="34">
        <f>IFERROR(IF(AND(ISNUMBER('Real results'!C39),ISNUMBER('Real results'!D39),ISNUMBER('Raw data'!AA39),ISNUMBER('Raw data'!AB39)),IF(SIGN('Raw data'!AA39-'Raw data'!AB39)=SIGN('Real results'!C39-'Real results'!D39),2+IF(AND('Raw data'!AA39='Real results'!C39,'Raw data'!AB39='Real results'!D39),2,0),0),0),0)</f>
        <v>0</v>
      </c>
      <c r="AC40" s="34">
        <f>IFERROR(IF(AND(ISNUMBER('Real results'!C39),ISNUMBER('Real results'!D39),ISNUMBER('Raw data'!AC39),ISNUMBER('Raw data'!AD39)),IF(SIGN('Raw data'!AC39-'Raw data'!AD39)=SIGN('Real results'!C39-'Real results'!D39),2+IF(AND('Raw data'!AC39='Real results'!C39,'Raw data'!AD39='Real results'!D39),2,0),0),0),0)</f>
        <v>0</v>
      </c>
      <c r="AE40" s="34">
        <f>IFERROR(IF(AND(ISNUMBER('Real results'!C39),ISNUMBER('Real results'!D39),ISNUMBER('Raw data'!AE39),ISNUMBER('Raw data'!AF39)),IF(SIGN('Raw data'!AE39-'Raw data'!AF39)=SIGN('Real results'!C39-'Real results'!D39),2+IF(AND('Raw data'!AE39='Real results'!C39,'Raw data'!AF39='Real results'!D39),2,0),0),0),0)</f>
        <v>0</v>
      </c>
      <c r="AG40" s="34">
        <f>IFERROR(IF(AND(ISNUMBER('Real results'!C39),ISNUMBER('Real results'!D39),ISNUMBER('Raw data'!AG39),ISNUMBER('Raw data'!AH39)),IF(SIGN('Raw data'!AG39-'Raw data'!AH39)=SIGN('Real results'!C39-'Real results'!D39),2+IF(AND('Raw data'!AG39='Real results'!C39,'Raw data'!AH39='Real results'!D39),2,0),0),0),0)</f>
        <v>0</v>
      </c>
      <c r="AI40" s="34">
        <f>IFERROR(IF(AND(ISNUMBER('Real results'!C39),ISNUMBER('Real results'!D39),ISNUMBER('Raw data'!AI39),ISNUMBER('Raw data'!AJ39)),IF(SIGN('Raw data'!AI39-'Raw data'!AJ39)=SIGN('Real results'!C39-'Real results'!D39),2+IF(AND('Raw data'!AI39='Real results'!C39,'Raw data'!AJ39='Real results'!D39),2,0),0),0),0)</f>
        <v>0</v>
      </c>
      <c r="AK40" s="34">
        <f>IFERROR(IF(AND(ISNUMBER('Real results'!C39),ISNUMBER('Real results'!D39),ISNUMBER('Raw data'!AK39),ISNUMBER('Raw data'!AL39)),IF(SIGN('Raw data'!AK39-'Raw data'!AL39)=SIGN('Real results'!C39-'Real results'!D39),2+IF(AND('Raw data'!AK39='Real results'!C39,'Raw data'!AL39='Real results'!D39),2,0),0),0),0)</f>
        <v>0</v>
      </c>
      <c r="AM40" s="34">
        <f>IFERROR(IF(AND(ISNUMBER('Real results'!C39),ISNUMBER('Real results'!D39),ISNUMBER('Raw data'!AM39),ISNUMBER('Raw data'!AN39)),IF(SIGN('Raw data'!AM39-'Raw data'!AN39)=SIGN('Real results'!C39-'Real results'!D39),2+IF(AND('Raw data'!AM39='Real results'!C39,'Raw data'!AN39='Real results'!D39),2,0),0),0),0)</f>
        <v>0</v>
      </c>
      <c r="AO40" s="34">
        <f>IFERROR(IF(AND(ISNUMBER('Real results'!C39),ISNUMBER('Real results'!D39),ISNUMBER('Raw data'!AO39),ISNUMBER('Raw data'!AP39)),IF(SIGN('Raw data'!AO39-'Raw data'!AP39)=SIGN('Real results'!C39-'Real results'!D39),2+IF(AND('Raw data'!AO39='Real results'!C39,'Raw data'!AP39='Real results'!D39),2,0),0),0),0)</f>
        <v>0</v>
      </c>
      <c r="AQ40" s="34">
        <f>IFERROR(IF(AND(ISNUMBER('Real results'!C39),ISNUMBER('Real results'!D39),ISNUMBER('Raw data'!AQ39),ISNUMBER('Raw data'!AR39)),IF(SIGN('Raw data'!AQ39-'Raw data'!AR39)=SIGN('Real results'!C39-'Real results'!D39),2+IF(AND('Raw data'!AQ39='Real results'!C39,'Raw data'!AR39='Real results'!D39),2,0),0),0),0)</f>
        <v>0</v>
      </c>
      <c r="AS40" s="34">
        <f>IFERROR(IF(AND(ISNUMBER('Real results'!C39),ISNUMBER('Real results'!D39),ISNUMBER('Raw data'!AS39),ISNUMBER('Raw data'!AT39)),IF(SIGN('Raw data'!AS39-'Raw data'!AT39)=SIGN('Real results'!C39-'Real results'!D39),2+IF(AND('Raw data'!AS39='Real results'!C39,'Raw data'!AT39='Real results'!D39),2,0),0),0),0)</f>
        <v>0</v>
      </c>
      <c r="AU40" s="34">
        <f>IFERROR(IF(AND(ISNUMBER('Real results'!C39),ISNUMBER('Real results'!D39),ISNUMBER('Raw data'!AU39),ISNUMBER('Raw data'!AV39)),IF(SIGN('Raw data'!AU39-'Raw data'!AV39)=SIGN('Real results'!C39-'Real results'!D39),2+IF(AND('Raw data'!AU39='Real results'!C39,'Raw data'!AV39='Real results'!D39),2,0),0),0),0)</f>
        <v>0</v>
      </c>
      <c r="AW40" s="34">
        <f>IFERROR(IF(AND(ISNUMBER('Real results'!C39),ISNUMBER('Real results'!D39),ISNUMBER('Raw data'!AW39),ISNUMBER('Raw data'!AX39)),IF(SIGN('Raw data'!AW39-'Raw data'!AX39)=SIGN('Real results'!C39-'Real results'!D39),2+IF(AND('Raw data'!AW39='Real results'!C39,'Raw data'!AX39='Real results'!D39),2,0),0),0),0)</f>
        <v>0</v>
      </c>
      <c r="AY40" s="34">
        <f>IFERROR(IF(AND(ISNUMBER('Real results'!C39),ISNUMBER('Real results'!D39),ISNUMBER('Raw data'!AY39),ISNUMBER('Raw data'!AZ39)),IF(SIGN('Raw data'!AY39-'Raw data'!AZ39)=SIGN('Real results'!C39-'Real results'!D39),2+IF(AND('Raw data'!AY39='Real results'!C39,'Raw data'!AZ39='Real results'!D39),2,0),0),0),0)</f>
        <v>0</v>
      </c>
      <c r="BA40" s="34">
        <f>IFERROR(IF(AND(ISNUMBER('Real results'!C39),ISNUMBER('Real results'!D39),ISNUMBER('Raw data'!BA39),ISNUMBER('Raw data'!BB39)),IF(SIGN('Raw data'!BA39-'Raw data'!BB39)=SIGN('Real results'!C39-'Real results'!D39),2+IF(AND('Raw data'!BA39='Real results'!C39,'Raw data'!BB39='Real results'!D39),2,0),0),0),0)</f>
        <v>0</v>
      </c>
      <c r="BC40" s="34">
        <f>IFERROR(IF(AND(ISNUMBER('Real results'!C39),ISNUMBER('Real results'!D39),ISNUMBER('Raw data'!BC39),ISNUMBER('Raw data'!BD39)),IF(SIGN('Raw data'!BC39-'Raw data'!BD39)=SIGN('Real results'!C39-'Real results'!D39),2+IF(AND('Raw data'!BC39='Real results'!C39,'Raw data'!BD39='Real results'!D39),2,0),0),0),0)</f>
        <v>0</v>
      </c>
      <c r="BE40" s="34">
        <f>IFERROR(IF(AND(ISNUMBER('Real results'!C39),ISNUMBER('Real results'!D39),ISNUMBER('Raw data'!BE39),ISNUMBER('Raw data'!BF39)),IF(SIGN('Raw data'!BE39-'Raw data'!BF39)=SIGN('Real results'!C39-'Real results'!D39),2+IF(AND('Raw data'!BE39='Real results'!C39,'Raw data'!BF39='Real results'!D39),2,0),0),0),0)</f>
        <v>0</v>
      </c>
      <c r="BG40" s="34">
        <f>IFERROR(IF(AND(ISNUMBER('Real results'!C39),ISNUMBER('Real results'!D39),ISNUMBER('Raw data'!BG39),ISNUMBER('Raw data'!BH39)),IF(SIGN('Raw data'!BG39-'Raw data'!BH39)=SIGN('Real results'!C39-'Real results'!D39),2+IF(AND('Raw data'!BG39='Real results'!C39,'Raw data'!BH39='Real results'!D39),2,0),0),0),0)</f>
        <v>0</v>
      </c>
      <c r="BI40" s="34">
        <f>IFERROR(IF(AND(ISNUMBER('Real results'!C39),ISNUMBER('Real results'!D39),ISNUMBER('Raw data'!BI39),ISNUMBER('Raw data'!BJ39)),IF(SIGN('Raw data'!BI39-'Raw data'!BJ39)=SIGN('Real results'!C39-'Real results'!D39),2+IF(AND('Raw data'!BI39='Real results'!C39,'Raw data'!BJ39='Real results'!D39),2,0),0),0),0)</f>
        <v>0</v>
      </c>
    </row>
    <row r="41" ht="18.0" customHeight="1">
      <c r="B41" s="12" t="s">
        <v>63</v>
      </c>
      <c r="C41" s="34">
        <f>IFERROR(IF(AND(ISNUMBER('Real results'!C40),ISNUMBER('Real results'!D40),ISNUMBER('Raw data'!C38),ISNUMBER('Raw data'!D38)),IF(SIGN('Raw data'!C38-'Raw data'!D38)=SIGN('Real results'!C40-'Real results'!D40),2+IF(AND('Raw data'!C38='Real results'!C40,'Raw data'!D38='Real results'!D40),2,0),0),0),0)</f>
        <v>2</v>
      </c>
      <c r="E41" s="34">
        <f>IFERROR(IF(AND(ISNUMBER('Real results'!C40),ISNUMBER('Real results'!D40),ISNUMBER('Raw data'!E39),ISNUMBER('Raw data'!F39)),IF(SIGN('Raw data'!E39-'Raw data'!F39)=SIGN('Real results'!C40-'Real results'!D40),2+IF(AND('Raw data'!E39='Real results'!C40,'Raw data'!F39='Real results'!D40),2,0),0),0),0)</f>
        <v>0</v>
      </c>
      <c r="G41" s="34">
        <f>IFERROR(IF(AND(ISNUMBER('Real results'!C40),ISNUMBER('Real results'!D40),ISNUMBER('Raw data'!G40),ISNUMBER('Raw data'!H40)),IF(SIGN('Raw data'!G40-'Raw data'!H40)=SIGN('Real results'!C40-'Real results'!D40),2+IF(AND('Raw data'!G40='Real results'!C40,'Raw data'!H40='Real results'!D40),2,0),0),0),0)</f>
        <v>0</v>
      </c>
      <c r="I41" s="34">
        <f>IFERROR(IF(AND(ISNUMBER('Real results'!C40),ISNUMBER('Real results'!D40),ISNUMBER('Raw data'!I40),ISNUMBER('Raw data'!J40)),IF(SIGN('Raw data'!I40-'Raw data'!J40)=SIGN('Real results'!C40-'Real results'!D40),2+IF(AND('Raw data'!I40='Real results'!C40,'Raw data'!J40='Real results'!D40),2,0),0),0),0)</f>
        <v>2</v>
      </c>
      <c r="K41" s="34">
        <f>IFERROR(IF(AND(ISNUMBER('Real results'!C40),ISNUMBER('Real results'!D40),ISNUMBER('Raw data'!K40),ISNUMBER('Raw data'!L40)),IF(SIGN('Raw data'!K40-'Raw data'!L40)=SIGN('Real results'!C40-'Real results'!D40),2+IF(AND('Raw data'!K40='Real results'!C40,'Raw data'!L40='Real results'!D40),2,0),0),0),0)</f>
        <v>2</v>
      </c>
      <c r="M41" s="34">
        <f>IFERROR(IF(AND(ISNUMBER('Real results'!C40),ISNUMBER('Real results'!D40),ISNUMBER('Raw data'!M40),ISNUMBER('Raw data'!N40)),IF(SIGN('Raw data'!M40-'Raw data'!N40)=SIGN('Real results'!C40-'Real results'!D40),2+IF(AND('Raw data'!M40='Real results'!C40,'Raw data'!N40='Real results'!D40),2,0),0),0),0)</f>
        <v>0</v>
      </c>
      <c r="O41" s="34">
        <f>IFERROR(IF(AND(ISNUMBER('Real results'!C40),ISNUMBER('Real results'!D40),ISNUMBER('Raw data'!O40),ISNUMBER('Raw data'!P40)),IF(SIGN('Raw data'!O40-'Raw data'!P40)=SIGN('Real results'!C40-'Real results'!D40),2+IF(AND('Raw data'!O40='Real results'!C40,'Raw data'!P40='Real results'!D40),2,0),0),0),0)</f>
        <v>0</v>
      </c>
      <c r="Q41" s="34">
        <f>IFERROR(IF(AND(ISNUMBER('Real results'!C40),ISNUMBER('Real results'!D40),ISNUMBER('Raw data'!Q40),ISNUMBER('Raw data'!R40)),IF(SIGN('Raw data'!Q40-'Raw data'!R40)=SIGN('Real results'!C40-'Real results'!D40),2+IF(AND('Raw data'!Q40='Real results'!C40,'Raw data'!R40='Real results'!D40),2,0),0),0),0)</f>
        <v>0</v>
      </c>
      <c r="S41" s="34">
        <f>IFERROR(IF(AND(ISNUMBER('Real results'!C40),ISNUMBER('Real results'!D40),ISNUMBER('Raw data'!S40),ISNUMBER('Raw data'!T40)),IF(SIGN('Raw data'!S40-'Raw data'!T40)=SIGN('Real results'!C40-'Real results'!D40),2+IF(AND('Raw data'!S40='Real results'!C40,'Raw data'!T40='Real results'!D40),2,0),0),0),0)</f>
        <v>0</v>
      </c>
      <c r="U41" s="34">
        <f>IFERROR(IF(AND(ISNUMBER('Real results'!C40),ISNUMBER('Real results'!D40),ISNUMBER('Raw data'!U40),ISNUMBER('Raw data'!V40)),IF(SIGN('Raw data'!U40-'Raw data'!V40)=SIGN('Real results'!C40-'Real results'!D40),2+IF(AND('Raw data'!U40='Real results'!C40,'Raw data'!V40='Real results'!D40),2,0),0),0),0)</f>
        <v>0</v>
      </c>
      <c r="W41" s="34">
        <f>IFERROR(IF(AND(ISNUMBER('Real results'!C40),ISNUMBER('Real results'!D40),ISNUMBER('Raw data'!W40),ISNUMBER('Raw data'!X40)),IF(SIGN('Raw data'!W40-'Raw data'!X40)=SIGN('Real results'!C40-'Real results'!D40),2+IF(AND('Raw data'!W40='Real results'!C40,'Raw data'!X40='Real results'!D40),2,0),0),0),0)</f>
        <v>0</v>
      </c>
      <c r="Y41" s="34">
        <f>IFERROR(IF(AND(ISNUMBER('Real results'!C40),ISNUMBER('Real results'!D40),ISNUMBER('Raw data'!Y40),ISNUMBER('Raw data'!Z40)),IF(SIGN('Raw data'!Y40-'Raw data'!Z40)=SIGN('Real results'!C40-'Real results'!D40),2+IF(AND('Raw data'!Y40='Real results'!C40,'Raw data'!Z40='Real results'!D40),2,0),0),0),0)</f>
        <v>0</v>
      </c>
      <c r="AA41" s="34">
        <f>IFERROR(IF(AND(ISNUMBER('Real results'!C40),ISNUMBER('Real results'!D40),ISNUMBER('Raw data'!AA40),ISNUMBER('Raw data'!AB40)),IF(SIGN('Raw data'!AA40-'Raw data'!AB40)=SIGN('Real results'!C40-'Real results'!D40),2+IF(AND('Raw data'!AA40='Real results'!C40,'Raw data'!AB40='Real results'!D40),2,0),0),0),0)</f>
        <v>0</v>
      </c>
      <c r="AC41" s="34">
        <f>IFERROR(IF(AND(ISNUMBER('Real results'!C40),ISNUMBER('Real results'!D40),ISNUMBER('Raw data'!AC40),ISNUMBER('Raw data'!AD40)),IF(SIGN('Raw data'!AC40-'Raw data'!AD40)=SIGN('Real results'!C40-'Real results'!D40),2+IF(AND('Raw data'!AC40='Real results'!C40,'Raw data'!AD40='Real results'!D40),2,0),0),0),0)</f>
        <v>0</v>
      </c>
      <c r="AE41" s="34">
        <f>IFERROR(IF(AND(ISNUMBER('Real results'!C40),ISNUMBER('Real results'!D40),ISNUMBER('Raw data'!AE40),ISNUMBER('Raw data'!AF40)),IF(SIGN('Raw data'!AE40-'Raw data'!AF40)=SIGN('Real results'!C40-'Real results'!D40),2+IF(AND('Raw data'!AE40='Real results'!C40,'Raw data'!AF40='Real results'!D40),2,0),0),0),0)</f>
        <v>0</v>
      </c>
      <c r="AG41" s="34">
        <f>IFERROR(IF(AND(ISNUMBER('Real results'!C40),ISNUMBER('Real results'!D40),ISNUMBER('Raw data'!AG40),ISNUMBER('Raw data'!AH40)),IF(SIGN('Raw data'!AG40-'Raw data'!AH40)=SIGN('Real results'!C40-'Real results'!D40),2+IF(AND('Raw data'!AG40='Real results'!C40,'Raw data'!AH40='Real results'!D40),2,0),0),0),0)</f>
        <v>0</v>
      </c>
      <c r="AI41" s="34">
        <f>IFERROR(IF(AND(ISNUMBER('Real results'!C40),ISNUMBER('Real results'!D40),ISNUMBER('Raw data'!AI40),ISNUMBER('Raw data'!AJ40)),IF(SIGN('Raw data'!AI40-'Raw data'!AJ40)=SIGN('Real results'!C40-'Real results'!D40),2+IF(AND('Raw data'!AI40='Real results'!C40,'Raw data'!AJ40='Real results'!D40),2,0),0),0),0)</f>
        <v>0</v>
      </c>
      <c r="AK41" s="34">
        <f>IFERROR(IF(AND(ISNUMBER('Real results'!C40),ISNUMBER('Real results'!D40),ISNUMBER('Raw data'!AK40),ISNUMBER('Raw data'!AL40)),IF(SIGN('Raw data'!AK40-'Raw data'!AL40)=SIGN('Real results'!C40-'Real results'!D40),2+IF(AND('Raw data'!AK40='Real results'!C40,'Raw data'!AL40='Real results'!D40),2,0),0),0),0)</f>
        <v>0</v>
      </c>
      <c r="AM41" s="34">
        <f>IFERROR(IF(AND(ISNUMBER('Real results'!C40),ISNUMBER('Real results'!D40),ISNUMBER('Raw data'!AM40),ISNUMBER('Raw data'!AN40)),IF(SIGN('Raw data'!AM40-'Raw data'!AN40)=SIGN('Real results'!C40-'Real results'!D40),2+IF(AND('Raw data'!AM40='Real results'!C40,'Raw data'!AN40='Real results'!D40),2,0),0),0),0)</f>
        <v>0</v>
      </c>
      <c r="AO41" s="34">
        <f>IFERROR(IF(AND(ISNUMBER('Real results'!C40),ISNUMBER('Real results'!D40),ISNUMBER('Raw data'!AO40),ISNUMBER('Raw data'!AP40)),IF(SIGN('Raw data'!AO40-'Raw data'!AP40)=SIGN('Real results'!C40-'Real results'!D40),2+IF(AND('Raw data'!AO40='Real results'!C40,'Raw data'!AP40='Real results'!D40),2,0),0),0),0)</f>
        <v>0</v>
      </c>
      <c r="AQ41" s="34">
        <f>IFERROR(IF(AND(ISNUMBER('Real results'!C40),ISNUMBER('Real results'!D40),ISNUMBER('Raw data'!AQ40),ISNUMBER('Raw data'!AR40)),IF(SIGN('Raw data'!AQ40-'Raw data'!AR40)=SIGN('Real results'!C40-'Real results'!D40),2+IF(AND('Raw data'!AQ40='Real results'!C40,'Raw data'!AR40='Real results'!D40),2,0),0),0),0)</f>
        <v>0</v>
      </c>
      <c r="AS41" s="34">
        <f>IFERROR(IF(AND(ISNUMBER('Real results'!C40),ISNUMBER('Real results'!D40),ISNUMBER('Raw data'!AS40),ISNUMBER('Raw data'!AT40)),IF(SIGN('Raw data'!AS40-'Raw data'!AT40)=SIGN('Real results'!C40-'Real results'!D40),2+IF(AND('Raw data'!AS40='Real results'!C40,'Raw data'!AT40='Real results'!D40),2,0),0),0),0)</f>
        <v>0</v>
      </c>
      <c r="AU41" s="34">
        <f>IFERROR(IF(AND(ISNUMBER('Real results'!C40),ISNUMBER('Real results'!D40),ISNUMBER('Raw data'!AU40),ISNUMBER('Raw data'!AV40)),IF(SIGN('Raw data'!AU40-'Raw data'!AV40)=SIGN('Real results'!C40-'Real results'!D40),2+IF(AND('Raw data'!AU40='Real results'!C40,'Raw data'!AV40='Real results'!D40),2,0),0),0),0)</f>
        <v>0</v>
      </c>
      <c r="AW41" s="34">
        <f>IFERROR(IF(AND(ISNUMBER('Real results'!C40),ISNUMBER('Real results'!D40),ISNUMBER('Raw data'!AW40),ISNUMBER('Raw data'!AX40)),IF(SIGN('Raw data'!AW40-'Raw data'!AX40)=SIGN('Real results'!C40-'Real results'!D40),2+IF(AND('Raw data'!AW40='Real results'!C40,'Raw data'!AX40='Real results'!D40),2,0),0),0),0)</f>
        <v>0</v>
      </c>
      <c r="AY41" s="34">
        <f>IFERROR(IF(AND(ISNUMBER('Real results'!C40),ISNUMBER('Real results'!D40),ISNUMBER('Raw data'!AY40),ISNUMBER('Raw data'!AZ40)),IF(SIGN('Raw data'!AY40-'Raw data'!AZ40)=SIGN('Real results'!C40-'Real results'!D40),2+IF(AND('Raw data'!AY40='Real results'!C40,'Raw data'!AZ40='Real results'!D40),2,0),0),0),0)</f>
        <v>0</v>
      </c>
      <c r="BA41" s="34">
        <f>IFERROR(IF(AND(ISNUMBER('Real results'!C40),ISNUMBER('Real results'!D40),ISNUMBER('Raw data'!BA40),ISNUMBER('Raw data'!BB40)),IF(SIGN('Raw data'!BA40-'Raw data'!BB40)=SIGN('Real results'!C40-'Real results'!D40),2+IF(AND('Raw data'!BA40='Real results'!C40,'Raw data'!BB40='Real results'!D40),2,0),0),0),0)</f>
        <v>0</v>
      </c>
      <c r="BC41" s="34">
        <f>IFERROR(IF(AND(ISNUMBER('Real results'!C40),ISNUMBER('Real results'!D40),ISNUMBER('Raw data'!BC40),ISNUMBER('Raw data'!BD40)),IF(SIGN('Raw data'!BC40-'Raw data'!BD40)=SIGN('Real results'!C40-'Real results'!D40),2+IF(AND('Raw data'!BC40='Real results'!C40,'Raw data'!BD40='Real results'!D40),2,0),0),0),0)</f>
        <v>0</v>
      </c>
      <c r="BE41" s="34">
        <f>IFERROR(IF(AND(ISNUMBER('Real results'!C40),ISNUMBER('Real results'!D40),ISNUMBER('Raw data'!BE40),ISNUMBER('Raw data'!BF40)),IF(SIGN('Raw data'!BE40-'Raw data'!BF40)=SIGN('Real results'!C40-'Real results'!D40),2+IF(AND('Raw data'!BE40='Real results'!C40,'Raw data'!BF40='Real results'!D40),2,0),0),0),0)</f>
        <v>0</v>
      </c>
      <c r="BG41" s="34">
        <f>IFERROR(IF(AND(ISNUMBER('Real results'!C40),ISNUMBER('Real results'!D40),ISNUMBER('Raw data'!BG40),ISNUMBER('Raw data'!BH40)),IF(SIGN('Raw data'!BG40-'Raw data'!BH40)=SIGN('Real results'!C40-'Real results'!D40),2+IF(AND('Raw data'!BG40='Real results'!C40,'Raw data'!BH40='Real results'!D40),2,0),0),0),0)</f>
        <v>0</v>
      </c>
      <c r="BI41" s="34">
        <f>IFERROR(IF(AND(ISNUMBER('Real results'!C40),ISNUMBER('Real results'!D40),ISNUMBER('Raw data'!BI40),ISNUMBER('Raw data'!BJ40)),IF(SIGN('Raw data'!BI40-'Raw data'!BJ40)=SIGN('Real results'!C40-'Real results'!D40),2+IF(AND('Raw data'!BI40='Real results'!C40,'Raw data'!BJ40='Real results'!D40),2,0),0),0),0)</f>
        <v>0</v>
      </c>
    </row>
    <row r="42" ht="18.0" customHeight="1">
      <c r="B42" s="12" t="s">
        <v>65</v>
      </c>
      <c r="C42" s="34">
        <f>IFERROR(IF(AND(ISNUMBER('Real results'!C41),ISNUMBER('Real results'!D41),ISNUMBER('Raw data'!C39),ISNUMBER('Raw data'!D39)),IF(SIGN('Raw data'!C39-'Raw data'!D39)=SIGN('Real results'!C41-'Real results'!D41),2+IF(AND('Raw data'!C39='Real results'!C41,'Raw data'!D39='Real results'!D41),2,0),0),0),0)</f>
        <v>0</v>
      </c>
      <c r="E42" s="34">
        <f>IFERROR(IF(AND(ISNUMBER('Real results'!C41),ISNUMBER('Real results'!D41),ISNUMBER('Raw data'!E40),ISNUMBER('Raw data'!F40)),IF(SIGN('Raw data'!E40-'Raw data'!F40)=SIGN('Real results'!C41-'Real results'!D41),2+IF(AND('Raw data'!E40='Real results'!C41,'Raw data'!F40='Real results'!D41),2,0),0),0),0)</f>
        <v>0</v>
      </c>
      <c r="G42" s="34">
        <f>IFERROR(IF(AND(ISNUMBER('Real results'!C41),ISNUMBER('Real results'!D41),ISNUMBER('Raw data'!G41),ISNUMBER('Raw data'!H41)),IF(SIGN('Raw data'!G41-'Raw data'!H41)=SIGN('Real results'!C41-'Real results'!D41),2+IF(AND('Raw data'!G41='Real results'!C41,'Raw data'!H41='Real results'!D41),2,0),0),0),0)</f>
        <v>0</v>
      </c>
      <c r="I42" s="34">
        <f>IFERROR(IF(AND(ISNUMBER('Real results'!C41),ISNUMBER('Real results'!D41),ISNUMBER('Raw data'!I41),ISNUMBER('Raw data'!J41)),IF(SIGN('Raw data'!I41-'Raw data'!J41)=SIGN('Real results'!C41-'Real results'!D41),2+IF(AND('Raw data'!I41='Real results'!C41,'Raw data'!J41='Real results'!D41),2,0),0),0),0)</f>
        <v>0</v>
      </c>
      <c r="K42" s="34">
        <f>IFERROR(IF(AND(ISNUMBER('Real results'!C41),ISNUMBER('Real results'!D41),ISNUMBER('Raw data'!K41),ISNUMBER('Raw data'!L41)),IF(SIGN('Raw data'!K41-'Raw data'!L41)=SIGN('Real results'!C41-'Real results'!D41),2+IF(AND('Raw data'!K41='Real results'!C41,'Raw data'!L41='Real results'!D41),2,0),0),0),0)</f>
        <v>0</v>
      </c>
      <c r="M42" s="34">
        <f>IFERROR(IF(AND(ISNUMBER('Real results'!C41),ISNUMBER('Real results'!D41),ISNUMBER('Raw data'!M41),ISNUMBER('Raw data'!N41)),IF(SIGN('Raw data'!M41-'Raw data'!N41)=SIGN('Real results'!C41-'Real results'!D41),2+IF(AND('Raw data'!M41='Real results'!C41,'Raw data'!N41='Real results'!D41),2,0),0),0),0)</f>
        <v>0</v>
      </c>
      <c r="O42" s="34">
        <f>IFERROR(IF(AND(ISNUMBER('Real results'!C41),ISNUMBER('Real results'!D41),ISNUMBER('Raw data'!O41),ISNUMBER('Raw data'!P41)),IF(SIGN('Raw data'!O41-'Raw data'!P41)=SIGN('Real results'!C41-'Real results'!D41),2+IF(AND('Raw data'!O41='Real results'!C41,'Raw data'!P41='Real results'!D41),2,0),0),0),0)</f>
        <v>0</v>
      </c>
      <c r="Q42" s="34">
        <f>IFERROR(IF(AND(ISNUMBER('Real results'!C41),ISNUMBER('Real results'!D41),ISNUMBER('Raw data'!Q41),ISNUMBER('Raw data'!R41)),IF(SIGN('Raw data'!Q41-'Raw data'!R41)=SIGN('Real results'!C41-'Real results'!D41),2+IF(AND('Raw data'!Q41='Real results'!C41,'Raw data'!R41='Real results'!D41),2,0),0),0),0)</f>
        <v>0</v>
      </c>
      <c r="S42" s="34">
        <f>IFERROR(IF(AND(ISNUMBER('Real results'!C41),ISNUMBER('Real results'!D41),ISNUMBER('Raw data'!S41),ISNUMBER('Raw data'!T41)),IF(SIGN('Raw data'!S41-'Raw data'!T41)=SIGN('Real results'!C41-'Real results'!D41),2+IF(AND('Raw data'!S41='Real results'!C41,'Raw data'!T41='Real results'!D41),2,0),0),0),0)</f>
        <v>0</v>
      </c>
      <c r="U42" s="34">
        <f>IFERROR(IF(AND(ISNUMBER('Real results'!C41),ISNUMBER('Real results'!D41),ISNUMBER('Raw data'!U41),ISNUMBER('Raw data'!V41)),IF(SIGN('Raw data'!U41-'Raw data'!V41)=SIGN('Real results'!C41-'Real results'!D41),2+IF(AND('Raw data'!U41='Real results'!C41,'Raw data'!V41='Real results'!D41),2,0),0),0),0)</f>
        <v>0</v>
      </c>
      <c r="W42" s="34">
        <f>IFERROR(IF(AND(ISNUMBER('Real results'!C41),ISNUMBER('Real results'!D41),ISNUMBER('Raw data'!W41),ISNUMBER('Raw data'!X41)),IF(SIGN('Raw data'!W41-'Raw data'!X41)=SIGN('Real results'!C41-'Real results'!D41),2+IF(AND('Raw data'!W41='Real results'!C41,'Raw data'!X41='Real results'!D41),2,0),0),0),0)</f>
        <v>0</v>
      </c>
      <c r="Y42" s="34">
        <f>IFERROR(IF(AND(ISNUMBER('Real results'!C41),ISNUMBER('Real results'!D41),ISNUMBER('Raw data'!Y41),ISNUMBER('Raw data'!Z41)),IF(SIGN('Raw data'!Y41-'Raw data'!Z41)=SIGN('Real results'!C41-'Real results'!D41),2+IF(AND('Raw data'!Y41='Real results'!C41,'Raw data'!Z41='Real results'!D41),2,0),0),0),0)</f>
        <v>0</v>
      </c>
      <c r="AA42" s="34">
        <f>IFERROR(IF(AND(ISNUMBER('Real results'!C41),ISNUMBER('Real results'!D41),ISNUMBER('Raw data'!AA41),ISNUMBER('Raw data'!AB41)),IF(SIGN('Raw data'!AA41-'Raw data'!AB41)=SIGN('Real results'!C41-'Real results'!D41),2+IF(AND('Raw data'!AA41='Real results'!C41,'Raw data'!AB41='Real results'!D41),2,0),0),0),0)</f>
        <v>0</v>
      </c>
      <c r="AC42" s="34">
        <f>IFERROR(IF(AND(ISNUMBER('Real results'!C41),ISNUMBER('Real results'!D41),ISNUMBER('Raw data'!AC41),ISNUMBER('Raw data'!AD41)),IF(SIGN('Raw data'!AC41-'Raw data'!AD41)=SIGN('Real results'!C41-'Real results'!D41),2+IF(AND('Raw data'!AC41='Real results'!C41,'Raw data'!AD41='Real results'!D41),2,0),0),0),0)</f>
        <v>0</v>
      </c>
      <c r="AE42" s="34">
        <f>IFERROR(IF(AND(ISNUMBER('Real results'!C41),ISNUMBER('Real results'!D41),ISNUMBER('Raw data'!AE41),ISNUMBER('Raw data'!AF41)),IF(SIGN('Raw data'!AE41-'Raw data'!AF41)=SIGN('Real results'!C41-'Real results'!D41),2+IF(AND('Raw data'!AE41='Real results'!C41,'Raw data'!AF41='Real results'!D41),2,0),0),0),0)</f>
        <v>0</v>
      </c>
      <c r="AG42" s="34">
        <f>IFERROR(IF(AND(ISNUMBER('Real results'!C41),ISNUMBER('Real results'!D41),ISNUMBER('Raw data'!AG41),ISNUMBER('Raw data'!AH41)),IF(SIGN('Raw data'!AG41-'Raw data'!AH41)=SIGN('Real results'!C41-'Real results'!D41),2+IF(AND('Raw data'!AG41='Real results'!C41,'Raw data'!AH41='Real results'!D41),2,0),0),0),0)</f>
        <v>0</v>
      </c>
      <c r="AI42" s="34">
        <f>IFERROR(IF(AND(ISNUMBER('Real results'!C41),ISNUMBER('Real results'!D41),ISNUMBER('Raw data'!AI41),ISNUMBER('Raw data'!AJ41)),IF(SIGN('Raw data'!AI41-'Raw data'!AJ41)=SIGN('Real results'!C41-'Real results'!D41),2+IF(AND('Raw data'!AI41='Real results'!C41,'Raw data'!AJ41='Real results'!D41),2,0),0),0),0)</f>
        <v>0</v>
      </c>
      <c r="AK42" s="34">
        <f>IFERROR(IF(AND(ISNUMBER('Real results'!C41),ISNUMBER('Real results'!D41),ISNUMBER('Raw data'!AK41),ISNUMBER('Raw data'!AL41)),IF(SIGN('Raw data'!AK41-'Raw data'!AL41)=SIGN('Real results'!C41-'Real results'!D41),2+IF(AND('Raw data'!AK41='Real results'!C41,'Raw data'!AL41='Real results'!D41),2,0),0),0),0)</f>
        <v>0</v>
      </c>
      <c r="AM42" s="34">
        <f>IFERROR(IF(AND(ISNUMBER('Real results'!C41),ISNUMBER('Real results'!D41),ISNUMBER('Raw data'!AM41),ISNUMBER('Raw data'!AN41)),IF(SIGN('Raw data'!AM41-'Raw data'!AN41)=SIGN('Real results'!C41-'Real results'!D41),2+IF(AND('Raw data'!AM41='Real results'!C41,'Raw data'!AN41='Real results'!D41),2,0),0),0),0)</f>
        <v>0</v>
      </c>
      <c r="AO42" s="34">
        <f>IFERROR(IF(AND(ISNUMBER('Real results'!C41),ISNUMBER('Real results'!D41),ISNUMBER('Raw data'!AO41),ISNUMBER('Raw data'!AP41)),IF(SIGN('Raw data'!AO41-'Raw data'!AP41)=SIGN('Real results'!C41-'Real results'!D41),2+IF(AND('Raw data'!AO41='Real results'!C41,'Raw data'!AP41='Real results'!D41),2,0),0),0),0)</f>
        <v>0</v>
      </c>
      <c r="AQ42" s="34">
        <f>IFERROR(IF(AND(ISNUMBER('Real results'!C41),ISNUMBER('Real results'!D41),ISNUMBER('Raw data'!AQ41),ISNUMBER('Raw data'!AR41)),IF(SIGN('Raw data'!AQ41-'Raw data'!AR41)=SIGN('Real results'!C41-'Real results'!D41),2+IF(AND('Raw data'!AQ41='Real results'!C41,'Raw data'!AR41='Real results'!D41),2,0),0),0),0)</f>
        <v>0</v>
      </c>
      <c r="AS42" s="34">
        <f>IFERROR(IF(AND(ISNUMBER('Real results'!C41),ISNUMBER('Real results'!D41),ISNUMBER('Raw data'!AS41),ISNUMBER('Raw data'!AT41)),IF(SIGN('Raw data'!AS41-'Raw data'!AT41)=SIGN('Real results'!C41-'Real results'!D41),2+IF(AND('Raw data'!AS41='Real results'!C41,'Raw data'!AT41='Real results'!D41),2,0),0),0),0)</f>
        <v>0</v>
      </c>
      <c r="AU42" s="34">
        <f>IFERROR(IF(AND(ISNUMBER('Real results'!C41),ISNUMBER('Real results'!D41),ISNUMBER('Raw data'!AU41),ISNUMBER('Raw data'!AV41)),IF(SIGN('Raw data'!AU41-'Raw data'!AV41)=SIGN('Real results'!C41-'Real results'!D41),2+IF(AND('Raw data'!AU41='Real results'!C41,'Raw data'!AV41='Real results'!D41),2,0),0),0),0)</f>
        <v>0</v>
      </c>
      <c r="AW42" s="34">
        <f>IFERROR(IF(AND(ISNUMBER('Real results'!C41),ISNUMBER('Real results'!D41),ISNUMBER('Raw data'!AW41),ISNUMBER('Raw data'!AX41)),IF(SIGN('Raw data'!AW41-'Raw data'!AX41)=SIGN('Real results'!C41-'Real results'!D41),2+IF(AND('Raw data'!AW41='Real results'!C41,'Raw data'!AX41='Real results'!D41),2,0),0),0),0)</f>
        <v>0</v>
      </c>
      <c r="AY42" s="34">
        <f>IFERROR(IF(AND(ISNUMBER('Real results'!C41),ISNUMBER('Real results'!D41),ISNUMBER('Raw data'!AY41),ISNUMBER('Raw data'!AZ41)),IF(SIGN('Raw data'!AY41-'Raw data'!AZ41)=SIGN('Real results'!C41-'Real results'!D41),2+IF(AND('Raw data'!AY41='Real results'!C41,'Raw data'!AZ41='Real results'!D41),2,0),0),0),0)</f>
        <v>0</v>
      </c>
      <c r="BA42" s="34">
        <f>IFERROR(IF(AND(ISNUMBER('Real results'!C41),ISNUMBER('Real results'!D41),ISNUMBER('Raw data'!BA41),ISNUMBER('Raw data'!BB41)),IF(SIGN('Raw data'!BA41-'Raw data'!BB41)=SIGN('Real results'!C41-'Real results'!D41),2+IF(AND('Raw data'!BA41='Real results'!C41,'Raw data'!BB41='Real results'!D41),2,0),0),0),0)</f>
        <v>0</v>
      </c>
      <c r="BC42" s="34">
        <f>IFERROR(IF(AND(ISNUMBER('Real results'!C41),ISNUMBER('Real results'!D41),ISNUMBER('Raw data'!BC41),ISNUMBER('Raw data'!BD41)),IF(SIGN('Raw data'!BC41-'Raw data'!BD41)=SIGN('Real results'!C41-'Real results'!D41),2+IF(AND('Raw data'!BC41='Real results'!C41,'Raw data'!BD41='Real results'!D41),2,0),0),0),0)</f>
        <v>0</v>
      </c>
      <c r="BE42" s="34">
        <f>IFERROR(IF(AND(ISNUMBER('Real results'!C41),ISNUMBER('Real results'!D41),ISNUMBER('Raw data'!BE41),ISNUMBER('Raw data'!BF41)),IF(SIGN('Raw data'!BE41-'Raw data'!BF41)=SIGN('Real results'!C41-'Real results'!D41),2+IF(AND('Raw data'!BE41='Real results'!C41,'Raw data'!BF41='Real results'!D41),2,0),0),0),0)</f>
        <v>0</v>
      </c>
      <c r="BG42" s="34">
        <f>IFERROR(IF(AND(ISNUMBER('Real results'!C41),ISNUMBER('Real results'!D41),ISNUMBER('Raw data'!BG41),ISNUMBER('Raw data'!BH41)),IF(SIGN('Raw data'!BG41-'Raw data'!BH41)=SIGN('Real results'!C41-'Real results'!D41),2+IF(AND('Raw data'!BG41='Real results'!C41,'Raw data'!BH41='Real results'!D41),2,0),0),0),0)</f>
        <v>0</v>
      </c>
      <c r="BI42" s="34">
        <f>IFERROR(IF(AND(ISNUMBER('Real results'!C41),ISNUMBER('Real results'!D41),ISNUMBER('Raw data'!BI41),ISNUMBER('Raw data'!BJ41)),IF(SIGN('Raw data'!BI41-'Raw data'!BJ41)=SIGN('Real results'!C41-'Real results'!D41),2+IF(AND('Raw data'!BI41='Real results'!C41,'Raw data'!BJ41='Real results'!D41),2,0),0),0),0)</f>
        <v>0</v>
      </c>
    </row>
    <row r="43" ht="18.0" customHeight="1">
      <c r="B43" s="12" t="s">
        <v>67</v>
      </c>
      <c r="C43" s="34">
        <f>IFERROR(IF(AND(ISNUMBER('Real results'!C42),ISNUMBER('Real results'!D42),ISNUMBER('Raw data'!C40),ISNUMBER('Raw data'!D40)),IF(SIGN('Raw data'!C40-'Raw data'!D40)=SIGN('Real results'!C42-'Real results'!D42),2+IF(AND('Raw data'!C40='Real results'!C42,'Raw data'!D40='Real results'!D42),2,0),0),0),0)</f>
        <v>0</v>
      </c>
      <c r="E43" s="34">
        <f>IFERROR(IF(AND(ISNUMBER('Real results'!C42),ISNUMBER('Real results'!D42),ISNUMBER('Raw data'!E41),ISNUMBER('Raw data'!F41)),IF(SIGN('Raw data'!E41-'Raw data'!F41)=SIGN('Real results'!C42-'Real results'!D42),2+IF(AND('Raw data'!E41='Real results'!C42,'Raw data'!F41='Real results'!D42),2,0),0),0),0)</f>
        <v>0</v>
      </c>
      <c r="G43" s="34">
        <f>IFERROR(IF(AND(ISNUMBER('Real results'!C42),ISNUMBER('Real results'!D42),ISNUMBER('Raw data'!G42),ISNUMBER('Raw data'!H42)),IF(SIGN('Raw data'!G42-'Raw data'!H42)=SIGN('Real results'!C42-'Real results'!D42),2+IF(AND('Raw data'!G42='Real results'!C42,'Raw data'!H42='Real results'!D42),2,0),0),0),0)</f>
        <v>0</v>
      </c>
      <c r="I43" s="34">
        <f>IFERROR(IF(AND(ISNUMBER('Real results'!C42),ISNUMBER('Real results'!D42),ISNUMBER('Raw data'!I42),ISNUMBER('Raw data'!J42)),IF(SIGN('Raw data'!I42-'Raw data'!J42)=SIGN('Real results'!C42-'Real results'!D42),2+IF(AND('Raw data'!I42='Real results'!C42,'Raw data'!J42='Real results'!D42),2,0),0),0),0)</f>
        <v>0</v>
      </c>
      <c r="K43" s="34">
        <f>IFERROR(IF(AND(ISNUMBER('Real results'!C42),ISNUMBER('Real results'!D42),ISNUMBER('Raw data'!K42),ISNUMBER('Raw data'!L42)),IF(SIGN('Raw data'!K42-'Raw data'!L42)=SIGN('Real results'!C42-'Real results'!D42),2+IF(AND('Raw data'!K42='Real results'!C42,'Raw data'!L42='Real results'!D42),2,0),0),0),0)</f>
        <v>0</v>
      </c>
      <c r="M43" s="34">
        <f>IFERROR(IF(AND(ISNUMBER('Real results'!C42),ISNUMBER('Real results'!D42),ISNUMBER('Raw data'!M42),ISNUMBER('Raw data'!N42)),IF(SIGN('Raw data'!M42-'Raw data'!N42)=SIGN('Real results'!C42-'Real results'!D42),2+IF(AND('Raw data'!M42='Real results'!C42,'Raw data'!N42='Real results'!D42),2,0),0),0),0)</f>
        <v>0</v>
      </c>
      <c r="O43" s="34">
        <f>IFERROR(IF(AND(ISNUMBER('Real results'!C42),ISNUMBER('Real results'!D42),ISNUMBER('Raw data'!O42),ISNUMBER('Raw data'!P42)),IF(SIGN('Raw data'!O42-'Raw data'!P42)=SIGN('Real results'!C42-'Real results'!D42),2+IF(AND('Raw data'!O42='Real results'!C42,'Raw data'!P42='Real results'!D42),2,0),0),0),0)</f>
        <v>0</v>
      </c>
      <c r="Q43" s="34">
        <f>IFERROR(IF(AND(ISNUMBER('Real results'!C42),ISNUMBER('Real results'!D42),ISNUMBER('Raw data'!Q42),ISNUMBER('Raw data'!R42)),IF(SIGN('Raw data'!Q42-'Raw data'!R42)=SIGN('Real results'!C42-'Real results'!D42),2+IF(AND('Raw data'!Q42='Real results'!C42,'Raw data'!R42='Real results'!D42),2,0),0),0),0)</f>
        <v>0</v>
      </c>
      <c r="S43" s="34">
        <f>IFERROR(IF(AND(ISNUMBER('Real results'!C42),ISNUMBER('Real results'!D42),ISNUMBER('Raw data'!S42),ISNUMBER('Raw data'!T42)),IF(SIGN('Raw data'!S42-'Raw data'!T42)=SIGN('Real results'!C42-'Real results'!D42),2+IF(AND('Raw data'!S42='Real results'!C42,'Raw data'!T42='Real results'!D42),2,0),0),0),0)</f>
        <v>0</v>
      </c>
      <c r="U43" s="34">
        <f>IFERROR(IF(AND(ISNUMBER('Real results'!C42),ISNUMBER('Real results'!D42),ISNUMBER('Raw data'!U42),ISNUMBER('Raw data'!V42)),IF(SIGN('Raw data'!U42-'Raw data'!V42)=SIGN('Real results'!C42-'Real results'!D42),2+IF(AND('Raw data'!U42='Real results'!C42,'Raw data'!V42='Real results'!D42),2,0),0),0),0)</f>
        <v>0</v>
      </c>
      <c r="W43" s="34">
        <f>IFERROR(IF(AND(ISNUMBER('Real results'!C42),ISNUMBER('Real results'!D42),ISNUMBER('Raw data'!W42),ISNUMBER('Raw data'!X42)),IF(SIGN('Raw data'!W42-'Raw data'!X42)=SIGN('Real results'!C42-'Real results'!D42),2+IF(AND('Raw data'!W42='Real results'!C42,'Raw data'!X42='Real results'!D42),2,0),0),0),0)</f>
        <v>0</v>
      </c>
      <c r="Y43" s="34">
        <f>IFERROR(IF(AND(ISNUMBER('Real results'!C42),ISNUMBER('Real results'!D42),ISNUMBER('Raw data'!Y42),ISNUMBER('Raw data'!Z42)),IF(SIGN('Raw data'!Y42-'Raw data'!Z42)=SIGN('Real results'!C42-'Real results'!D42),2+IF(AND('Raw data'!Y42='Real results'!C42,'Raw data'!Z42='Real results'!D42),2,0),0),0),0)</f>
        <v>0</v>
      </c>
      <c r="AA43" s="34">
        <f>IFERROR(IF(AND(ISNUMBER('Real results'!C42),ISNUMBER('Real results'!D42),ISNUMBER('Raw data'!AA42),ISNUMBER('Raw data'!AB42)),IF(SIGN('Raw data'!AA42-'Raw data'!AB42)=SIGN('Real results'!C42-'Real results'!D42),2+IF(AND('Raw data'!AA42='Real results'!C42,'Raw data'!AB42='Real results'!D42),2,0),0),0),0)</f>
        <v>0</v>
      </c>
      <c r="AC43" s="34">
        <f>IFERROR(IF(AND(ISNUMBER('Real results'!C42),ISNUMBER('Real results'!D42),ISNUMBER('Raw data'!AC42),ISNUMBER('Raw data'!AD42)),IF(SIGN('Raw data'!AC42-'Raw data'!AD42)=SIGN('Real results'!C42-'Real results'!D42),2+IF(AND('Raw data'!AC42='Real results'!C42,'Raw data'!AD42='Real results'!D42),2,0),0),0),0)</f>
        <v>0</v>
      </c>
      <c r="AE43" s="34">
        <f>IFERROR(IF(AND(ISNUMBER('Real results'!C42),ISNUMBER('Real results'!D42),ISNUMBER('Raw data'!AE42),ISNUMBER('Raw data'!AF42)),IF(SIGN('Raw data'!AE42-'Raw data'!AF42)=SIGN('Real results'!C42-'Real results'!D42),2+IF(AND('Raw data'!AE42='Real results'!C42,'Raw data'!AF42='Real results'!D42),2,0),0),0),0)</f>
        <v>0</v>
      </c>
      <c r="AG43" s="34">
        <f>IFERROR(IF(AND(ISNUMBER('Real results'!C42),ISNUMBER('Real results'!D42),ISNUMBER('Raw data'!AG42),ISNUMBER('Raw data'!AH42)),IF(SIGN('Raw data'!AG42-'Raw data'!AH42)=SIGN('Real results'!C42-'Real results'!D42),2+IF(AND('Raw data'!AG42='Real results'!C42,'Raw data'!AH42='Real results'!D42),2,0),0),0),0)</f>
        <v>0</v>
      </c>
      <c r="AI43" s="34">
        <f>IFERROR(IF(AND(ISNUMBER('Real results'!C42),ISNUMBER('Real results'!D42),ISNUMBER('Raw data'!AI42),ISNUMBER('Raw data'!AJ42)),IF(SIGN('Raw data'!AI42-'Raw data'!AJ42)=SIGN('Real results'!C42-'Real results'!D42),2+IF(AND('Raw data'!AI42='Real results'!C42,'Raw data'!AJ42='Real results'!D42),2,0),0),0),0)</f>
        <v>0</v>
      </c>
      <c r="AK43" s="34">
        <f>IFERROR(IF(AND(ISNUMBER('Real results'!C42),ISNUMBER('Real results'!D42),ISNUMBER('Raw data'!AK42),ISNUMBER('Raw data'!AL42)),IF(SIGN('Raw data'!AK42-'Raw data'!AL42)=SIGN('Real results'!C42-'Real results'!D42),2+IF(AND('Raw data'!AK42='Real results'!C42,'Raw data'!AL42='Real results'!D42),2,0),0),0),0)</f>
        <v>0</v>
      </c>
      <c r="AM43" s="34">
        <f>IFERROR(IF(AND(ISNUMBER('Real results'!C42),ISNUMBER('Real results'!D42),ISNUMBER('Raw data'!AM42),ISNUMBER('Raw data'!AN42)),IF(SIGN('Raw data'!AM42-'Raw data'!AN42)=SIGN('Real results'!C42-'Real results'!D42),2+IF(AND('Raw data'!AM42='Real results'!C42,'Raw data'!AN42='Real results'!D42),2,0),0),0),0)</f>
        <v>0</v>
      </c>
      <c r="AO43" s="34">
        <f>IFERROR(IF(AND(ISNUMBER('Real results'!C42),ISNUMBER('Real results'!D42),ISNUMBER('Raw data'!AO42),ISNUMBER('Raw data'!AP42)),IF(SIGN('Raw data'!AO42-'Raw data'!AP42)=SIGN('Real results'!C42-'Real results'!D42),2+IF(AND('Raw data'!AO42='Real results'!C42,'Raw data'!AP42='Real results'!D42),2,0),0),0),0)</f>
        <v>0</v>
      </c>
      <c r="AQ43" s="34">
        <f>IFERROR(IF(AND(ISNUMBER('Real results'!C42),ISNUMBER('Real results'!D42),ISNUMBER('Raw data'!AQ42),ISNUMBER('Raw data'!AR42)),IF(SIGN('Raw data'!AQ42-'Raw data'!AR42)=SIGN('Real results'!C42-'Real results'!D42),2+IF(AND('Raw data'!AQ42='Real results'!C42,'Raw data'!AR42='Real results'!D42),2,0),0),0),0)</f>
        <v>0</v>
      </c>
      <c r="AS43" s="34">
        <f>IFERROR(IF(AND(ISNUMBER('Real results'!C42),ISNUMBER('Real results'!D42),ISNUMBER('Raw data'!AS42),ISNUMBER('Raw data'!AT42)),IF(SIGN('Raw data'!AS42-'Raw data'!AT42)=SIGN('Real results'!C42-'Real results'!D42),2+IF(AND('Raw data'!AS42='Real results'!C42,'Raw data'!AT42='Real results'!D42),2,0),0),0),0)</f>
        <v>0</v>
      </c>
      <c r="AU43" s="34">
        <f>IFERROR(IF(AND(ISNUMBER('Real results'!C42),ISNUMBER('Real results'!D42),ISNUMBER('Raw data'!AU42),ISNUMBER('Raw data'!AV42)),IF(SIGN('Raw data'!AU42-'Raw data'!AV42)=SIGN('Real results'!C42-'Real results'!D42),2+IF(AND('Raw data'!AU42='Real results'!C42,'Raw data'!AV42='Real results'!D42),2,0),0),0),0)</f>
        <v>0</v>
      </c>
      <c r="AW43" s="34">
        <f>IFERROR(IF(AND(ISNUMBER('Real results'!C42),ISNUMBER('Real results'!D42),ISNUMBER('Raw data'!AW42),ISNUMBER('Raw data'!AX42)),IF(SIGN('Raw data'!AW42-'Raw data'!AX42)=SIGN('Real results'!C42-'Real results'!D42),2+IF(AND('Raw data'!AW42='Real results'!C42,'Raw data'!AX42='Real results'!D42),2,0),0),0),0)</f>
        <v>0</v>
      </c>
      <c r="AY43" s="34">
        <f>IFERROR(IF(AND(ISNUMBER('Real results'!C42),ISNUMBER('Real results'!D42),ISNUMBER('Raw data'!AY42),ISNUMBER('Raw data'!AZ42)),IF(SIGN('Raw data'!AY42-'Raw data'!AZ42)=SIGN('Real results'!C42-'Real results'!D42),2+IF(AND('Raw data'!AY42='Real results'!C42,'Raw data'!AZ42='Real results'!D42),2,0),0),0),0)</f>
        <v>0</v>
      </c>
      <c r="BA43" s="34">
        <f>IFERROR(IF(AND(ISNUMBER('Real results'!C42),ISNUMBER('Real results'!D42),ISNUMBER('Raw data'!BA42),ISNUMBER('Raw data'!BB42)),IF(SIGN('Raw data'!BA42-'Raw data'!BB42)=SIGN('Real results'!C42-'Real results'!D42),2+IF(AND('Raw data'!BA42='Real results'!C42,'Raw data'!BB42='Real results'!D42),2,0),0),0),0)</f>
        <v>0</v>
      </c>
      <c r="BC43" s="34">
        <f>IFERROR(IF(AND(ISNUMBER('Real results'!C42),ISNUMBER('Real results'!D42),ISNUMBER('Raw data'!BC42),ISNUMBER('Raw data'!BD42)),IF(SIGN('Raw data'!BC42-'Raw data'!BD42)=SIGN('Real results'!C42-'Real results'!D42),2+IF(AND('Raw data'!BC42='Real results'!C42,'Raw data'!BD42='Real results'!D42),2,0),0),0),0)</f>
        <v>0</v>
      </c>
      <c r="BE43" s="34">
        <f>IFERROR(IF(AND(ISNUMBER('Real results'!C42),ISNUMBER('Real results'!D42),ISNUMBER('Raw data'!BE42),ISNUMBER('Raw data'!BF42)),IF(SIGN('Raw data'!BE42-'Raw data'!BF42)=SIGN('Real results'!C42-'Real results'!D42),2+IF(AND('Raw data'!BE42='Real results'!C42,'Raw data'!BF42='Real results'!D42),2,0),0),0),0)</f>
        <v>0</v>
      </c>
      <c r="BG43" s="34">
        <f>IFERROR(IF(AND(ISNUMBER('Real results'!C42),ISNUMBER('Real results'!D42),ISNUMBER('Raw data'!BG42),ISNUMBER('Raw data'!BH42)),IF(SIGN('Raw data'!BG42-'Raw data'!BH42)=SIGN('Real results'!C42-'Real results'!D42),2+IF(AND('Raw data'!BG42='Real results'!C42,'Raw data'!BH42='Real results'!D42),2,0),0),0),0)</f>
        <v>0</v>
      </c>
      <c r="BI43" s="34">
        <f>IFERROR(IF(AND(ISNUMBER('Real results'!C42),ISNUMBER('Real results'!D42),ISNUMBER('Raw data'!BI42),ISNUMBER('Raw data'!BJ42)),IF(SIGN('Raw data'!BI42-'Raw data'!BJ42)=SIGN('Real results'!C42-'Real results'!D42),2+IF(AND('Raw data'!BI42='Real results'!C42,'Raw data'!BJ42='Real results'!D42),2,0),0),0),0)</f>
        <v>0</v>
      </c>
    </row>
    <row r="44" ht="18.0" customHeight="1">
      <c r="B44" s="12" t="s">
        <v>69</v>
      </c>
      <c r="C44" s="34">
        <f>IFERROR(IF(AND(ISNUMBER('Real results'!C43),ISNUMBER('Real results'!D43),ISNUMBER('Raw data'!C41),ISNUMBER('Raw data'!D41)),IF(SIGN('Raw data'!C41-'Raw data'!D41)=SIGN('Real results'!C43-'Real results'!D43),2+IF(AND('Raw data'!C41='Real results'!C43,'Raw data'!D41='Real results'!D43),2,0),0),0),0)</f>
        <v>0</v>
      </c>
      <c r="E44" s="34">
        <f>IFERROR(IF(AND(ISNUMBER('Real results'!C43),ISNUMBER('Real results'!D43),ISNUMBER('Raw data'!E42),ISNUMBER('Raw data'!F42)),IF(SIGN('Raw data'!E42-'Raw data'!F42)=SIGN('Real results'!C43-'Real results'!D43),2+IF(AND('Raw data'!E42='Real results'!C43,'Raw data'!F42='Real results'!D43),2,0),0),0),0)</f>
        <v>0</v>
      </c>
      <c r="G44" s="34">
        <f>IFERROR(IF(AND(ISNUMBER('Real results'!C43),ISNUMBER('Real results'!D43),ISNUMBER('Raw data'!G43),ISNUMBER('Raw data'!H43)),IF(SIGN('Raw data'!G43-'Raw data'!H43)=SIGN('Real results'!C43-'Real results'!D43),2+IF(AND('Raw data'!G43='Real results'!C43,'Raw data'!H43='Real results'!D43),2,0),0),0),0)</f>
        <v>4</v>
      </c>
      <c r="I44" s="34">
        <f>IFERROR(IF(AND(ISNUMBER('Real results'!C43),ISNUMBER('Real results'!D43),ISNUMBER('Raw data'!I43),ISNUMBER('Raw data'!J43)),IF(SIGN('Raw data'!I43-'Raw data'!J43)=SIGN('Real results'!C43-'Real results'!D43),2+IF(AND('Raw data'!I43='Real results'!C43,'Raw data'!J43='Real results'!D43),2,0),0),0),0)</f>
        <v>0</v>
      </c>
      <c r="K44" s="34">
        <f>IFERROR(IF(AND(ISNUMBER('Real results'!C43),ISNUMBER('Real results'!D43),ISNUMBER('Raw data'!K43),ISNUMBER('Raw data'!L43)),IF(SIGN('Raw data'!K43-'Raw data'!L43)=SIGN('Real results'!C43-'Real results'!D43),2+IF(AND('Raw data'!K43='Real results'!C43,'Raw data'!L43='Real results'!D43),2,0),0),0),0)</f>
        <v>0</v>
      </c>
      <c r="M44" s="34">
        <f>IFERROR(IF(AND(ISNUMBER('Real results'!C43),ISNUMBER('Real results'!D43),ISNUMBER('Raw data'!M43),ISNUMBER('Raw data'!N43)),IF(SIGN('Raw data'!M43-'Raw data'!N43)=SIGN('Real results'!C43-'Real results'!D43),2+IF(AND('Raw data'!M43='Real results'!C43,'Raw data'!N43='Real results'!D43),2,0),0),0),0)</f>
        <v>0</v>
      </c>
      <c r="O44" s="34">
        <f>IFERROR(IF(AND(ISNUMBER('Real results'!C43),ISNUMBER('Real results'!D43),ISNUMBER('Raw data'!O43),ISNUMBER('Raw data'!P43)),IF(SIGN('Raw data'!O43-'Raw data'!P43)=SIGN('Real results'!C43-'Real results'!D43),2+IF(AND('Raw data'!O43='Real results'!C43,'Raw data'!P43='Real results'!D43),2,0),0),0),0)</f>
        <v>0</v>
      </c>
      <c r="Q44" s="34">
        <f>IFERROR(IF(AND(ISNUMBER('Real results'!C43),ISNUMBER('Real results'!D43),ISNUMBER('Raw data'!Q43),ISNUMBER('Raw data'!R43)),IF(SIGN('Raw data'!Q43-'Raw data'!R43)=SIGN('Real results'!C43-'Real results'!D43),2+IF(AND('Raw data'!Q43='Real results'!C43,'Raw data'!R43='Real results'!D43),2,0),0),0),0)</f>
        <v>0</v>
      </c>
      <c r="S44" s="34">
        <f>IFERROR(IF(AND(ISNUMBER('Real results'!C43),ISNUMBER('Real results'!D43),ISNUMBER('Raw data'!S43),ISNUMBER('Raw data'!T43)),IF(SIGN('Raw data'!S43-'Raw data'!T43)=SIGN('Real results'!C43-'Real results'!D43),2+IF(AND('Raw data'!S43='Real results'!C43,'Raw data'!T43='Real results'!D43),2,0),0),0),0)</f>
        <v>0</v>
      </c>
      <c r="U44" s="34">
        <f>IFERROR(IF(AND(ISNUMBER('Real results'!C43),ISNUMBER('Real results'!D43),ISNUMBER('Raw data'!U43),ISNUMBER('Raw data'!V43)),IF(SIGN('Raw data'!U43-'Raw data'!V43)=SIGN('Real results'!C43-'Real results'!D43),2+IF(AND('Raw data'!U43='Real results'!C43,'Raw data'!V43='Real results'!D43),2,0),0),0),0)</f>
        <v>0</v>
      </c>
      <c r="W44" s="34">
        <f>IFERROR(IF(AND(ISNUMBER('Real results'!C43),ISNUMBER('Real results'!D43),ISNUMBER('Raw data'!W43),ISNUMBER('Raw data'!X43)),IF(SIGN('Raw data'!W43-'Raw data'!X43)=SIGN('Real results'!C43-'Real results'!D43),2+IF(AND('Raw data'!W43='Real results'!C43,'Raw data'!X43='Real results'!D43),2,0),0),0),0)</f>
        <v>0</v>
      </c>
      <c r="Y44" s="34">
        <f>IFERROR(IF(AND(ISNUMBER('Real results'!C43),ISNUMBER('Real results'!D43),ISNUMBER('Raw data'!Y43),ISNUMBER('Raw data'!Z43)),IF(SIGN('Raw data'!Y43-'Raw data'!Z43)=SIGN('Real results'!C43-'Real results'!D43),2+IF(AND('Raw data'!Y43='Real results'!C43,'Raw data'!Z43='Real results'!D43),2,0),0),0),0)</f>
        <v>0</v>
      </c>
      <c r="AA44" s="34">
        <f>IFERROR(IF(AND(ISNUMBER('Real results'!C43),ISNUMBER('Real results'!D43),ISNUMBER('Raw data'!AA43),ISNUMBER('Raw data'!AB43)),IF(SIGN('Raw data'!AA43-'Raw data'!AB43)=SIGN('Real results'!C43-'Real results'!D43),2+IF(AND('Raw data'!AA43='Real results'!C43,'Raw data'!AB43='Real results'!D43),2,0),0),0),0)</f>
        <v>0</v>
      </c>
      <c r="AC44" s="34">
        <f>IFERROR(IF(AND(ISNUMBER('Real results'!C43),ISNUMBER('Real results'!D43),ISNUMBER('Raw data'!AC43),ISNUMBER('Raw data'!AD43)),IF(SIGN('Raw data'!AC43-'Raw data'!AD43)=SIGN('Real results'!C43-'Real results'!D43),2+IF(AND('Raw data'!AC43='Real results'!C43,'Raw data'!AD43='Real results'!D43),2,0),0),0),0)</f>
        <v>0</v>
      </c>
      <c r="AE44" s="34">
        <f>IFERROR(IF(AND(ISNUMBER('Real results'!C43),ISNUMBER('Real results'!D43),ISNUMBER('Raw data'!AE43),ISNUMBER('Raw data'!AF43)),IF(SIGN('Raw data'!AE43-'Raw data'!AF43)=SIGN('Real results'!C43-'Real results'!D43),2+IF(AND('Raw data'!AE43='Real results'!C43,'Raw data'!AF43='Real results'!D43),2,0),0),0),0)</f>
        <v>0</v>
      </c>
      <c r="AG44" s="34">
        <f>IFERROR(IF(AND(ISNUMBER('Real results'!C43),ISNUMBER('Real results'!D43),ISNUMBER('Raw data'!AG43),ISNUMBER('Raw data'!AH43)),IF(SIGN('Raw data'!AG43-'Raw data'!AH43)=SIGN('Real results'!C43-'Real results'!D43),2+IF(AND('Raw data'!AG43='Real results'!C43,'Raw data'!AH43='Real results'!D43),2,0),0),0),0)</f>
        <v>0</v>
      </c>
      <c r="AI44" s="34">
        <f>IFERROR(IF(AND(ISNUMBER('Real results'!C43),ISNUMBER('Real results'!D43),ISNUMBER('Raw data'!AI43),ISNUMBER('Raw data'!AJ43)),IF(SIGN('Raw data'!AI43-'Raw data'!AJ43)=SIGN('Real results'!C43-'Real results'!D43),2+IF(AND('Raw data'!AI43='Real results'!C43,'Raw data'!AJ43='Real results'!D43),2,0),0),0),0)</f>
        <v>0</v>
      </c>
      <c r="AK44" s="34">
        <f>IFERROR(IF(AND(ISNUMBER('Real results'!C43),ISNUMBER('Real results'!D43),ISNUMBER('Raw data'!AK43),ISNUMBER('Raw data'!AL43)),IF(SIGN('Raw data'!AK43-'Raw data'!AL43)=SIGN('Real results'!C43-'Real results'!D43),2+IF(AND('Raw data'!AK43='Real results'!C43,'Raw data'!AL43='Real results'!D43),2,0),0),0),0)</f>
        <v>0</v>
      </c>
      <c r="AM44" s="34">
        <f>IFERROR(IF(AND(ISNUMBER('Real results'!C43),ISNUMBER('Real results'!D43),ISNUMBER('Raw data'!AM43),ISNUMBER('Raw data'!AN43)),IF(SIGN('Raw data'!AM43-'Raw data'!AN43)=SIGN('Real results'!C43-'Real results'!D43),2+IF(AND('Raw data'!AM43='Real results'!C43,'Raw data'!AN43='Real results'!D43),2,0),0),0),0)</f>
        <v>0</v>
      </c>
      <c r="AO44" s="34">
        <f>IFERROR(IF(AND(ISNUMBER('Real results'!C43),ISNUMBER('Real results'!D43),ISNUMBER('Raw data'!AO43),ISNUMBER('Raw data'!AP43)),IF(SIGN('Raw data'!AO43-'Raw data'!AP43)=SIGN('Real results'!C43-'Real results'!D43),2+IF(AND('Raw data'!AO43='Real results'!C43,'Raw data'!AP43='Real results'!D43),2,0),0),0),0)</f>
        <v>0</v>
      </c>
      <c r="AQ44" s="34">
        <f>IFERROR(IF(AND(ISNUMBER('Real results'!C43),ISNUMBER('Real results'!D43),ISNUMBER('Raw data'!AQ43),ISNUMBER('Raw data'!AR43)),IF(SIGN('Raw data'!AQ43-'Raw data'!AR43)=SIGN('Real results'!C43-'Real results'!D43),2+IF(AND('Raw data'!AQ43='Real results'!C43,'Raw data'!AR43='Real results'!D43),2,0),0),0),0)</f>
        <v>0</v>
      </c>
      <c r="AS44" s="34">
        <f>IFERROR(IF(AND(ISNUMBER('Real results'!C43),ISNUMBER('Real results'!D43),ISNUMBER('Raw data'!AS43),ISNUMBER('Raw data'!AT43)),IF(SIGN('Raw data'!AS43-'Raw data'!AT43)=SIGN('Real results'!C43-'Real results'!D43),2+IF(AND('Raw data'!AS43='Real results'!C43,'Raw data'!AT43='Real results'!D43),2,0),0),0),0)</f>
        <v>0</v>
      </c>
      <c r="AU44" s="34">
        <f>IFERROR(IF(AND(ISNUMBER('Real results'!C43),ISNUMBER('Real results'!D43),ISNUMBER('Raw data'!AU43),ISNUMBER('Raw data'!AV43)),IF(SIGN('Raw data'!AU43-'Raw data'!AV43)=SIGN('Real results'!C43-'Real results'!D43),2+IF(AND('Raw data'!AU43='Real results'!C43,'Raw data'!AV43='Real results'!D43),2,0),0),0),0)</f>
        <v>0</v>
      </c>
      <c r="AW44" s="34">
        <f>IFERROR(IF(AND(ISNUMBER('Real results'!C43),ISNUMBER('Real results'!D43),ISNUMBER('Raw data'!AW43),ISNUMBER('Raw data'!AX43)),IF(SIGN('Raw data'!AW43-'Raw data'!AX43)=SIGN('Real results'!C43-'Real results'!D43),2+IF(AND('Raw data'!AW43='Real results'!C43,'Raw data'!AX43='Real results'!D43),2,0),0),0),0)</f>
        <v>0</v>
      </c>
      <c r="AY44" s="34">
        <f>IFERROR(IF(AND(ISNUMBER('Real results'!C43),ISNUMBER('Real results'!D43),ISNUMBER('Raw data'!AY43),ISNUMBER('Raw data'!AZ43)),IF(SIGN('Raw data'!AY43-'Raw data'!AZ43)=SIGN('Real results'!C43-'Real results'!D43),2+IF(AND('Raw data'!AY43='Real results'!C43,'Raw data'!AZ43='Real results'!D43),2,0),0),0),0)</f>
        <v>0</v>
      </c>
      <c r="BA44" s="34">
        <f>IFERROR(IF(AND(ISNUMBER('Real results'!C43),ISNUMBER('Real results'!D43),ISNUMBER('Raw data'!BA43),ISNUMBER('Raw data'!BB43)),IF(SIGN('Raw data'!BA43-'Raw data'!BB43)=SIGN('Real results'!C43-'Real results'!D43),2+IF(AND('Raw data'!BA43='Real results'!C43,'Raw data'!BB43='Real results'!D43),2,0),0),0),0)</f>
        <v>0</v>
      </c>
      <c r="BC44" s="34">
        <f>IFERROR(IF(AND(ISNUMBER('Real results'!C43),ISNUMBER('Real results'!D43),ISNUMBER('Raw data'!BC43),ISNUMBER('Raw data'!BD43)),IF(SIGN('Raw data'!BC43-'Raw data'!BD43)=SIGN('Real results'!C43-'Real results'!D43),2+IF(AND('Raw data'!BC43='Real results'!C43,'Raw data'!BD43='Real results'!D43),2,0),0),0),0)</f>
        <v>0</v>
      </c>
      <c r="BE44" s="34">
        <f>IFERROR(IF(AND(ISNUMBER('Real results'!C43),ISNUMBER('Real results'!D43),ISNUMBER('Raw data'!BE43),ISNUMBER('Raw data'!BF43)),IF(SIGN('Raw data'!BE43-'Raw data'!BF43)=SIGN('Real results'!C43-'Real results'!D43),2+IF(AND('Raw data'!BE43='Real results'!C43,'Raw data'!BF43='Real results'!D43),2,0),0),0),0)</f>
        <v>0</v>
      </c>
      <c r="BG44" s="34">
        <f>IFERROR(IF(AND(ISNUMBER('Real results'!C43),ISNUMBER('Real results'!D43),ISNUMBER('Raw data'!BG43),ISNUMBER('Raw data'!BH43)),IF(SIGN('Raw data'!BG43-'Raw data'!BH43)=SIGN('Real results'!C43-'Real results'!D43),2+IF(AND('Raw data'!BG43='Real results'!C43,'Raw data'!BH43='Real results'!D43),2,0),0),0),0)</f>
        <v>0</v>
      </c>
      <c r="BI44" s="34">
        <f>IFERROR(IF(AND(ISNUMBER('Real results'!C43),ISNUMBER('Real results'!D43),ISNUMBER('Raw data'!BI43),ISNUMBER('Raw data'!BJ43)),IF(SIGN('Raw data'!BI43-'Raw data'!BJ43)=SIGN('Real results'!C43-'Real results'!D43),2+IF(AND('Raw data'!BI43='Real results'!C43,'Raw data'!BJ43='Real results'!D43),2,0),0),0),0)</f>
        <v>0</v>
      </c>
    </row>
    <row r="45" ht="18.0" customHeight="1">
      <c r="B45" s="12" t="s">
        <v>70</v>
      </c>
      <c r="C45" s="34">
        <f>IFERROR(IF(AND(ISNUMBER('Real results'!C44),ISNUMBER('Real results'!D44),ISNUMBER('Raw data'!C42),ISNUMBER('Raw data'!D42)),IF(SIGN('Raw data'!C42-'Raw data'!D42)=SIGN('Real results'!C44-'Real results'!D44),2+IF(AND('Raw data'!C42='Real results'!C44,'Raw data'!D42='Real results'!D44),2,0),0),0),0)</f>
        <v>0</v>
      </c>
      <c r="E45" s="34">
        <f>IFERROR(IF(AND(ISNUMBER('Real results'!C44),ISNUMBER('Real results'!D44),ISNUMBER('Raw data'!E43),ISNUMBER('Raw data'!F43)),IF(SIGN('Raw data'!E43-'Raw data'!F43)=SIGN('Real results'!C44-'Real results'!D44),2+IF(AND('Raw data'!E43='Real results'!C44,'Raw data'!F43='Real results'!D44),2,0),0),0),0)</f>
        <v>0</v>
      </c>
      <c r="G45" s="34">
        <f>IFERROR(IF(AND(ISNUMBER('Real results'!C44),ISNUMBER('Real results'!D44),ISNUMBER('Raw data'!G44),ISNUMBER('Raw data'!H44)),IF(SIGN('Raw data'!G44-'Raw data'!H44)=SIGN('Real results'!C44-'Real results'!D44),2+IF(AND('Raw data'!G44='Real results'!C44,'Raw data'!H44='Real results'!D44),2,0),0),0),0)</f>
        <v>0</v>
      </c>
      <c r="I45" s="34">
        <f>IFERROR(IF(AND(ISNUMBER('Real results'!C44),ISNUMBER('Real results'!D44),ISNUMBER('Raw data'!I44),ISNUMBER('Raw data'!J44)),IF(SIGN('Raw data'!I44-'Raw data'!J44)=SIGN('Real results'!C44-'Real results'!D44),2+IF(AND('Raw data'!I44='Real results'!C44,'Raw data'!J44='Real results'!D44),2,0),0),0),0)</f>
        <v>2</v>
      </c>
      <c r="K45" s="34">
        <f>IFERROR(IF(AND(ISNUMBER('Real results'!C44),ISNUMBER('Real results'!D44),ISNUMBER('Raw data'!K44),ISNUMBER('Raw data'!L44)),IF(SIGN('Raw data'!K44-'Raw data'!L44)=SIGN('Real results'!C44-'Real results'!D44),2+IF(AND('Raw data'!K44='Real results'!C44,'Raw data'!L44='Real results'!D44),2,0),0),0),0)</f>
        <v>0</v>
      </c>
      <c r="M45" s="34">
        <f>IFERROR(IF(AND(ISNUMBER('Real results'!C44),ISNUMBER('Real results'!D44),ISNUMBER('Raw data'!M44),ISNUMBER('Raw data'!N44)),IF(SIGN('Raw data'!M44-'Raw data'!N44)=SIGN('Real results'!C44-'Real results'!D44),2+IF(AND('Raw data'!M44='Real results'!C44,'Raw data'!N44='Real results'!D44),2,0),0),0),0)</f>
        <v>0</v>
      </c>
      <c r="O45" s="34">
        <f>IFERROR(IF(AND(ISNUMBER('Real results'!C44),ISNUMBER('Real results'!D44),ISNUMBER('Raw data'!O44),ISNUMBER('Raw data'!P44)),IF(SIGN('Raw data'!O44-'Raw data'!P44)=SIGN('Real results'!C44-'Real results'!D44),2+IF(AND('Raw data'!O44='Real results'!C44,'Raw data'!P44='Real results'!D44),2,0),0),0),0)</f>
        <v>0</v>
      </c>
      <c r="Q45" s="34">
        <f>IFERROR(IF(AND(ISNUMBER('Real results'!C44),ISNUMBER('Real results'!D44),ISNUMBER('Raw data'!Q44),ISNUMBER('Raw data'!R44)),IF(SIGN('Raw data'!Q44-'Raw data'!R44)=SIGN('Real results'!C44-'Real results'!D44),2+IF(AND('Raw data'!Q44='Real results'!C44,'Raw data'!R44='Real results'!D44),2,0),0),0),0)</f>
        <v>0</v>
      </c>
      <c r="S45" s="34">
        <f>IFERROR(IF(AND(ISNUMBER('Real results'!C44),ISNUMBER('Real results'!D44),ISNUMBER('Raw data'!S44),ISNUMBER('Raw data'!T44)),IF(SIGN('Raw data'!S44-'Raw data'!T44)=SIGN('Real results'!C44-'Real results'!D44),2+IF(AND('Raw data'!S44='Real results'!C44,'Raw data'!T44='Real results'!D44),2,0),0),0),0)</f>
        <v>0</v>
      </c>
      <c r="U45" s="34">
        <f>IFERROR(IF(AND(ISNUMBER('Real results'!C44),ISNUMBER('Real results'!D44),ISNUMBER('Raw data'!U44),ISNUMBER('Raw data'!V44)),IF(SIGN('Raw data'!U44-'Raw data'!V44)=SIGN('Real results'!C44-'Real results'!D44),2+IF(AND('Raw data'!U44='Real results'!C44,'Raw data'!V44='Real results'!D44),2,0),0),0),0)</f>
        <v>0</v>
      </c>
      <c r="W45" s="34">
        <f>IFERROR(IF(AND(ISNUMBER('Real results'!C44),ISNUMBER('Real results'!D44),ISNUMBER('Raw data'!W44),ISNUMBER('Raw data'!X44)),IF(SIGN('Raw data'!W44-'Raw data'!X44)=SIGN('Real results'!C44-'Real results'!D44),2+IF(AND('Raw data'!W44='Real results'!C44,'Raw data'!X44='Real results'!D44),2,0),0),0),0)</f>
        <v>0</v>
      </c>
      <c r="Y45" s="34">
        <f>IFERROR(IF(AND(ISNUMBER('Real results'!C44),ISNUMBER('Real results'!D44),ISNUMBER('Raw data'!Y44),ISNUMBER('Raw data'!Z44)),IF(SIGN('Raw data'!Y44-'Raw data'!Z44)=SIGN('Real results'!C44-'Real results'!D44),2+IF(AND('Raw data'!Y44='Real results'!C44,'Raw data'!Z44='Real results'!D44),2,0),0),0),0)</f>
        <v>0</v>
      </c>
      <c r="AA45" s="34">
        <f>IFERROR(IF(AND(ISNUMBER('Real results'!C44),ISNUMBER('Real results'!D44),ISNUMBER('Raw data'!AA44),ISNUMBER('Raw data'!AB44)),IF(SIGN('Raw data'!AA44-'Raw data'!AB44)=SIGN('Real results'!C44-'Real results'!D44),2+IF(AND('Raw data'!AA44='Real results'!C44,'Raw data'!AB44='Real results'!D44),2,0),0),0),0)</f>
        <v>0</v>
      </c>
      <c r="AC45" s="34">
        <f>IFERROR(IF(AND(ISNUMBER('Real results'!C44),ISNUMBER('Real results'!D44),ISNUMBER('Raw data'!AC44),ISNUMBER('Raw data'!AD44)),IF(SIGN('Raw data'!AC44-'Raw data'!AD44)=SIGN('Real results'!C44-'Real results'!D44),2+IF(AND('Raw data'!AC44='Real results'!C44,'Raw data'!AD44='Real results'!D44),2,0),0),0),0)</f>
        <v>0</v>
      </c>
      <c r="AE45" s="34">
        <f>IFERROR(IF(AND(ISNUMBER('Real results'!C44),ISNUMBER('Real results'!D44),ISNUMBER('Raw data'!AE44),ISNUMBER('Raw data'!AF44)),IF(SIGN('Raw data'!AE44-'Raw data'!AF44)=SIGN('Real results'!C44-'Real results'!D44),2+IF(AND('Raw data'!AE44='Real results'!C44,'Raw data'!AF44='Real results'!D44),2,0),0),0),0)</f>
        <v>0</v>
      </c>
      <c r="AG45" s="34">
        <f>IFERROR(IF(AND(ISNUMBER('Real results'!C44),ISNUMBER('Real results'!D44),ISNUMBER('Raw data'!AG44),ISNUMBER('Raw data'!AH44)),IF(SIGN('Raw data'!AG44-'Raw data'!AH44)=SIGN('Real results'!C44-'Real results'!D44),2+IF(AND('Raw data'!AG44='Real results'!C44,'Raw data'!AH44='Real results'!D44),2,0),0),0),0)</f>
        <v>0</v>
      </c>
      <c r="AI45" s="34">
        <f>IFERROR(IF(AND(ISNUMBER('Real results'!C44),ISNUMBER('Real results'!D44),ISNUMBER('Raw data'!AI44),ISNUMBER('Raw data'!AJ44)),IF(SIGN('Raw data'!AI44-'Raw data'!AJ44)=SIGN('Real results'!C44-'Real results'!D44),2+IF(AND('Raw data'!AI44='Real results'!C44,'Raw data'!AJ44='Real results'!D44),2,0),0),0),0)</f>
        <v>0</v>
      </c>
      <c r="AK45" s="34">
        <f>IFERROR(IF(AND(ISNUMBER('Real results'!C44),ISNUMBER('Real results'!D44),ISNUMBER('Raw data'!AK44),ISNUMBER('Raw data'!AL44)),IF(SIGN('Raw data'!AK44-'Raw data'!AL44)=SIGN('Real results'!C44-'Real results'!D44),2+IF(AND('Raw data'!AK44='Real results'!C44,'Raw data'!AL44='Real results'!D44),2,0),0),0),0)</f>
        <v>0</v>
      </c>
      <c r="AM45" s="34">
        <f>IFERROR(IF(AND(ISNUMBER('Real results'!C44),ISNUMBER('Real results'!D44),ISNUMBER('Raw data'!AM44),ISNUMBER('Raw data'!AN44)),IF(SIGN('Raw data'!AM44-'Raw data'!AN44)=SIGN('Real results'!C44-'Real results'!D44),2+IF(AND('Raw data'!AM44='Real results'!C44,'Raw data'!AN44='Real results'!D44),2,0),0),0),0)</f>
        <v>0</v>
      </c>
      <c r="AO45" s="34">
        <f>IFERROR(IF(AND(ISNUMBER('Real results'!C44),ISNUMBER('Real results'!D44),ISNUMBER('Raw data'!AO44),ISNUMBER('Raw data'!AP44)),IF(SIGN('Raw data'!AO44-'Raw data'!AP44)=SIGN('Real results'!C44-'Real results'!D44),2+IF(AND('Raw data'!AO44='Real results'!C44,'Raw data'!AP44='Real results'!D44),2,0),0),0),0)</f>
        <v>0</v>
      </c>
      <c r="AQ45" s="34">
        <f>IFERROR(IF(AND(ISNUMBER('Real results'!C44),ISNUMBER('Real results'!D44),ISNUMBER('Raw data'!AQ44),ISNUMBER('Raw data'!AR44)),IF(SIGN('Raw data'!AQ44-'Raw data'!AR44)=SIGN('Real results'!C44-'Real results'!D44),2+IF(AND('Raw data'!AQ44='Real results'!C44,'Raw data'!AR44='Real results'!D44),2,0),0),0),0)</f>
        <v>0</v>
      </c>
      <c r="AS45" s="34">
        <f>IFERROR(IF(AND(ISNUMBER('Real results'!C44),ISNUMBER('Real results'!D44),ISNUMBER('Raw data'!AS44),ISNUMBER('Raw data'!AT44)),IF(SIGN('Raw data'!AS44-'Raw data'!AT44)=SIGN('Real results'!C44-'Real results'!D44),2+IF(AND('Raw data'!AS44='Real results'!C44,'Raw data'!AT44='Real results'!D44),2,0),0),0),0)</f>
        <v>0</v>
      </c>
      <c r="AU45" s="34">
        <f>IFERROR(IF(AND(ISNUMBER('Real results'!C44),ISNUMBER('Real results'!D44),ISNUMBER('Raw data'!AU44),ISNUMBER('Raw data'!AV44)),IF(SIGN('Raw data'!AU44-'Raw data'!AV44)=SIGN('Real results'!C44-'Real results'!D44),2+IF(AND('Raw data'!AU44='Real results'!C44,'Raw data'!AV44='Real results'!D44),2,0),0),0),0)</f>
        <v>0</v>
      </c>
      <c r="AW45" s="34">
        <f>IFERROR(IF(AND(ISNUMBER('Real results'!C44),ISNUMBER('Real results'!D44),ISNUMBER('Raw data'!AW44),ISNUMBER('Raw data'!AX44)),IF(SIGN('Raw data'!AW44-'Raw data'!AX44)=SIGN('Real results'!C44-'Real results'!D44),2+IF(AND('Raw data'!AW44='Real results'!C44,'Raw data'!AX44='Real results'!D44),2,0),0),0),0)</f>
        <v>0</v>
      </c>
      <c r="AY45" s="34">
        <f>IFERROR(IF(AND(ISNUMBER('Real results'!C44),ISNUMBER('Real results'!D44),ISNUMBER('Raw data'!AY44),ISNUMBER('Raw data'!AZ44)),IF(SIGN('Raw data'!AY44-'Raw data'!AZ44)=SIGN('Real results'!C44-'Real results'!D44),2+IF(AND('Raw data'!AY44='Real results'!C44,'Raw data'!AZ44='Real results'!D44),2,0),0),0),0)</f>
        <v>0</v>
      </c>
      <c r="BA45" s="34">
        <f>IFERROR(IF(AND(ISNUMBER('Real results'!C44),ISNUMBER('Real results'!D44),ISNUMBER('Raw data'!BA44),ISNUMBER('Raw data'!BB44)),IF(SIGN('Raw data'!BA44-'Raw data'!BB44)=SIGN('Real results'!C44-'Real results'!D44),2+IF(AND('Raw data'!BA44='Real results'!C44,'Raw data'!BB44='Real results'!D44),2,0),0),0),0)</f>
        <v>0</v>
      </c>
      <c r="BC45" s="34">
        <f>IFERROR(IF(AND(ISNUMBER('Real results'!C44),ISNUMBER('Real results'!D44),ISNUMBER('Raw data'!BC44),ISNUMBER('Raw data'!BD44)),IF(SIGN('Raw data'!BC44-'Raw data'!BD44)=SIGN('Real results'!C44-'Real results'!D44),2+IF(AND('Raw data'!BC44='Real results'!C44,'Raw data'!BD44='Real results'!D44),2,0),0),0),0)</f>
        <v>0</v>
      </c>
      <c r="BE45" s="34">
        <f>IFERROR(IF(AND(ISNUMBER('Real results'!C44),ISNUMBER('Real results'!D44),ISNUMBER('Raw data'!BE44),ISNUMBER('Raw data'!BF44)),IF(SIGN('Raw data'!BE44-'Raw data'!BF44)=SIGN('Real results'!C44-'Real results'!D44),2+IF(AND('Raw data'!BE44='Real results'!C44,'Raw data'!BF44='Real results'!D44),2,0),0),0),0)</f>
        <v>0</v>
      </c>
      <c r="BG45" s="34">
        <f>IFERROR(IF(AND(ISNUMBER('Real results'!C44),ISNUMBER('Real results'!D44),ISNUMBER('Raw data'!BG44),ISNUMBER('Raw data'!BH44)),IF(SIGN('Raw data'!BG44-'Raw data'!BH44)=SIGN('Real results'!C44-'Real results'!D44),2+IF(AND('Raw data'!BG44='Real results'!C44,'Raw data'!BH44='Real results'!D44),2,0),0),0),0)</f>
        <v>0</v>
      </c>
      <c r="BI45" s="34">
        <f>IFERROR(IF(AND(ISNUMBER('Real results'!C44),ISNUMBER('Real results'!D44),ISNUMBER('Raw data'!BI44),ISNUMBER('Raw data'!BJ44)),IF(SIGN('Raw data'!BI44-'Raw data'!BJ44)=SIGN('Real results'!C44-'Real results'!D44),2+IF(AND('Raw data'!BI44='Real results'!C44,'Raw data'!BJ44='Real results'!D44),2,0),0),0),0)</f>
        <v>0</v>
      </c>
    </row>
    <row r="46" ht="18.0" customHeight="1">
      <c r="B46" s="12" t="s">
        <v>71</v>
      </c>
      <c r="C46" s="34">
        <f>IFERROR(IF(AND(ISNUMBER('Real results'!C45),ISNUMBER('Real results'!D45),ISNUMBER('Raw data'!C43),ISNUMBER('Raw data'!D43)),IF(SIGN('Raw data'!C43-'Raw data'!D43)=SIGN('Real results'!C45-'Real results'!D45),2+IF(AND('Raw data'!C43='Real results'!C45,'Raw data'!D43='Real results'!D45),2,0),0),0),0)</f>
        <v>0</v>
      </c>
      <c r="E46" s="34">
        <f>IFERROR(IF(AND(ISNUMBER('Real results'!C45),ISNUMBER('Real results'!D45),ISNUMBER('Raw data'!E44),ISNUMBER('Raw data'!F44)),IF(SIGN('Raw data'!E44-'Raw data'!F44)=SIGN('Real results'!C45-'Real results'!D45),2+IF(AND('Raw data'!E44='Real results'!C45,'Raw data'!F44='Real results'!D45),2,0),0),0),0)</f>
        <v>0</v>
      </c>
      <c r="G46" s="34">
        <f>IFERROR(IF(AND(ISNUMBER('Real results'!C45),ISNUMBER('Real results'!D45),ISNUMBER('Raw data'!G45),ISNUMBER('Raw data'!H45)),IF(SIGN('Raw data'!G45-'Raw data'!H45)=SIGN('Real results'!C45-'Real results'!D45),2+IF(AND('Raw data'!G45='Real results'!C45,'Raw data'!H45='Real results'!D45),2,0),0),0),0)</f>
        <v>0</v>
      </c>
      <c r="I46" s="34">
        <f>IFERROR(IF(AND(ISNUMBER('Real results'!C45),ISNUMBER('Real results'!D45),ISNUMBER('Raw data'!I45),ISNUMBER('Raw data'!J45)),IF(SIGN('Raw data'!I45-'Raw data'!J45)=SIGN('Real results'!C45-'Real results'!D45),2+IF(AND('Raw data'!I45='Real results'!C45,'Raw data'!J45='Real results'!D45),2,0),0),0),0)</f>
        <v>0</v>
      </c>
      <c r="K46" s="34">
        <f>IFERROR(IF(AND(ISNUMBER('Real results'!C45),ISNUMBER('Real results'!D45),ISNUMBER('Raw data'!K45),ISNUMBER('Raw data'!L45)),IF(SIGN('Raw data'!K45-'Raw data'!L45)=SIGN('Real results'!C45-'Real results'!D45),2+IF(AND('Raw data'!K45='Real results'!C45,'Raw data'!L45='Real results'!D45),2,0),0),0),0)</f>
        <v>0</v>
      </c>
      <c r="M46" s="34">
        <f>IFERROR(IF(AND(ISNUMBER('Real results'!C45),ISNUMBER('Real results'!D45),ISNUMBER('Raw data'!M45),ISNUMBER('Raw data'!N45)),IF(SIGN('Raw data'!M45-'Raw data'!N45)=SIGN('Real results'!C45-'Real results'!D45),2+IF(AND('Raw data'!M45='Real results'!C45,'Raw data'!N45='Real results'!D45),2,0),0),0),0)</f>
        <v>0</v>
      </c>
      <c r="O46" s="34">
        <f>IFERROR(IF(AND(ISNUMBER('Real results'!C45),ISNUMBER('Real results'!D45),ISNUMBER('Raw data'!O45),ISNUMBER('Raw data'!P45)),IF(SIGN('Raw data'!O45-'Raw data'!P45)=SIGN('Real results'!C45-'Real results'!D45),2+IF(AND('Raw data'!O45='Real results'!C45,'Raw data'!P45='Real results'!D45),2,0),0),0),0)</f>
        <v>0</v>
      </c>
      <c r="Q46" s="34">
        <f>IFERROR(IF(AND(ISNUMBER('Real results'!C45),ISNUMBER('Real results'!D45),ISNUMBER('Raw data'!Q45),ISNUMBER('Raw data'!R45)),IF(SIGN('Raw data'!Q45-'Raw data'!R45)=SIGN('Real results'!C45-'Real results'!D45),2+IF(AND('Raw data'!Q45='Real results'!C45,'Raw data'!R45='Real results'!D45),2,0),0),0),0)</f>
        <v>0</v>
      </c>
      <c r="S46" s="34">
        <f>IFERROR(IF(AND(ISNUMBER('Real results'!C45),ISNUMBER('Real results'!D45),ISNUMBER('Raw data'!S45),ISNUMBER('Raw data'!T45)),IF(SIGN('Raw data'!S45-'Raw data'!T45)=SIGN('Real results'!C45-'Real results'!D45),2+IF(AND('Raw data'!S45='Real results'!C45,'Raw data'!T45='Real results'!D45),2,0),0),0),0)</f>
        <v>0</v>
      </c>
      <c r="U46" s="34">
        <f>IFERROR(IF(AND(ISNUMBER('Real results'!C45),ISNUMBER('Real results'!D45),ISNUMBER('Raw data'!U45),ISNUMBER('Raw data'!V45)),IF(SIGN('Raw data'!U45-'Raw data'!V45)=SIGN('Real results'!C45-'Real results'!D45),2+IF(AND('Raw data'!U45='Real results'!C45,'Raw data'!V45='Real results'!D45),2,0),0),0),0)</f>
        <v>0</v>
      </c>
      <c r="W46" s="34">
        <f>IFERROR(IF(AND(ISNUMBER('Real results'!C45),ISNUMBER('Real results'!D45),ISNUMBER('Raw data'!W45),ISNUMBER('Raw data'!X45)),IF(SIGN('Raw data'!W45-'Raw data'!X45)=SIGN('Real results'!C45-'Real results'!D45),2+IF(AND('Raw data'!W45='Real results'!C45,'Raw data'!X45='Real results'!D45),2,0),0),0),0)</f>
        <v>0</v>
      </c>
      <c r="Y46" s="34">
        <f>IFERROR(IF(AND(ISNUMBER('Real results'!C45),ISNUMBER('Real results'!D45),ISNUMBER('Raw data'!Y45),ISNUMBER('Raw data'!Z45)),IF(SIGN('Raw data'!Y45-'Raw data'!Z45)=SIGN('Real results'!C45-'Real results'!D45),2+IF(AND('Raw data'!Y45='Real results'!C45,'Raw data'!Z45='Real results'!D45),2,0),0),0),0)</f>
        <v>0</v>
      </c>
      <c r="AA46" s="34">
        <f>IFERROR(IF(AND(ISNUMBER('Real results'!C45),ISNUMBER('Real results'!D45),ISNUMBER('Raw data'!AA45),ISNUMBER('Raw data'!AB45)),IF(SIGN('Raw data'!AA45-'Raw data'!AB45)=SIGN('Real results'!C45-'Real results'!D45),2+IF(AND('Raw data'!AA45='Real results'!C45,'Raw data'!AB45='Real results'!D45),2,0),0),0),0)</f>
        <v>0</v>
      </c>
      <c r="AC46" s="34">
        <f>IFERROR(IF(AND(ISNUMBER('Real results'!C45),ISNUMBER('Real results'!D45),ISNUMBER('Raw data'!AC45),ISNUMBER('Raw data'!AD45)),IF(SIGN('Raw data'!AC45-'Raw data'!AD45)=SIGN('Real results'!C45-'Real results'!D45),2+IF(AND('Raw data'!AC45='Real results'!C45,'Raw data'!AD45='Real results'!D45),2,0),0),0),0)</f>
        <v>0</v>
      </c>
      <c r="AE46" s="34">
        <f>IFERROR(IF(AND(ISNUMBER('Real results'!C45),ISNUMBER('Real results'!D45),ISNUMBER('Raw data'!AE45),ISNUMBER('Raw data'!AF45)),IF(SIGN('Raw data'!AE45-'Raw data'!AF45)=SIGN('Real results'!C45-'Real results'!D45),2+IF(AND('Raw data'!AE45='Real results'!C45,'Raw data'!AF45='Real results'!D45),2,0),0),0),0)</f>
        <v>0</v>
      </c>
      <c r="AG46" s="34">
        <f>IFERROR(IF(AND(ISNUMBER('Real results'!C45),ISNUMBER('Real results'!D45),ISNUMBER('Raw data'!AG45),ISNUMBER('Raw data'!AH45)),IF(SIGN('Raw data'!AG45-'Raw data'!AH45)=SIGN('Real results'!C45-'Real results'!D45),2+IF(AND('Raw data'!AG45='Real results'!C45,'Raw data'!AH45='Real results'!D45),2,0),0),0),0)</f>
        <v>0</v>
      </c>
      <c r="AI46" s="34">
        <f>IFERROR(IF(AND(ISNUMBER('Real results'!C45),ISNUMBER('Real results'!D45),ISNUMBER('Raw data'!AI45),ISNUMBER('Raw data'!AJ45)),IF(SIGN('Raw data'!AI45-'Raw data'!AJ45)=SIGN('Real results'!C45-'Real results'!D45),2+IF(AND('Raw data'!AI45='Real results'!C45,'Raw data'!AJ45='Real results'!D45),2,0),0),0),0)</f>
        <v>0</v>
      </c>
      <c r="AK46" s="34">
        <f>IFERROR(IF(AND(ISNUMBER('Real results'!C45),ISNUMBER('Real results'!D45),ISNUMBER('Raw data'!AK45),ISNUMBER('Raw data'!AL45)),IF(SIGN('Raw data'!AK45-'Raw data'!AL45)=SIGN('Real results'!C45-'Real results'!D45),2+IF(AND('Raw data'!AK45='Real results'!C45,'Raw data'!AL45='Real results'!D45),2,0),0),0),0)</f>
        <v>0</v>
      </c>
      <c r="AM46" s="34">
        <f>IFERROR(IF(AND(ISNUMBER('Real results'!C45),ISNUMBER('Real results'!D45),ISNUMBER('Raw data'!AM45),ISNUMBER('Raw data'!AN45)),IF(SIGN('Raw data'!AM45-'Raw data'!AN45)=SIGN('Real results'!C45-'Real results'!D45),2+IF(AND('Raw data'!AM45='Real results'!C45,'Raw data'!AN45='Real results'!D45),2,0),0),0),0)</f>
        <v>0</v>
      </c>
      <c r="AO46" s="34">
        <f>IFERROR(IF(AND(ISNUMBER('Real results'!C45),ISNUMBER('Real results'!D45),ISNUMBER('Raw data'!AO45),ISNUMBER('Raw data'!AP45)),IF(SIGN('Raw data'!AO45-'Raw data'!AP45)=SIGN('Real results'!C45-'Real results'!D45),2+IF(AND('Raw data'!AO45='Real results'!C45,'Raw data'!AP45='Real results'!D45),2,0),0),0),0)</f>
        <v>0</v>
      </c>
      <c r="AQ46" s="34">
        <f>IFERROR(IF(AND(ISNUMBER('Real results'!C45),ISNUMBER('Real results'!D45),ISNUMBER('Raw data'!AQ45),ISNUMBER('Raw data'!AR45)),IF(SIGN('Raw data'!AQ45-'Raw data'!AR45)=SIGN('Real results'!C45-'Real results'!D45),2+IF(AND('Raw data'!AQ45='Real results'!C45,'Raw data'!AR45='Real results'!D45),2,0),0),0),0)</f>
        <v>0</v>
      </c>
      <c r="AS46" s="34">
        <f>IFERROR(IF(AND(ISNUMBER('Real results'!C45),ISNUMBER('Real results'!D45),ISNUMBER('Raw data'!AS45),ISNUMBER('Raw data'!AT45)),IF(SIGN('Raw data'!AS45-'Raw data'!AT45)=SIGN('Real results'!C45-'Real results'!D45),2+IF(AND('Raw data'!AS45='Real results'!C45,'Raw data'!AT45='Real results'!D45),2,0),0),0),0)</f>
        <v>0</v>
      </c>
      <c r="AU46" s="34">
        <f>IFERROR(IF(AND(ISNUMBER('Real results'!C45),ISNUMBER('Real results'!D45),ISNUMBER('Raw data'!AU45),ISNUMBER('Raw data'!AV45)),IF(SIGN('Raw data'!AU45-'Raw data'!AV45)=SIGN('Real results'!C45-'Real results'!D45),2+IF(AND('Raw data'!AU45='Real results'!C45,'Raw data'!AV45='Real results'!D45),2,0),0),0),0)</f>
        <v>0</v>
      </c>
      <c r="AW46" s="34">
        <f>IFERROR(IF(AND(ISNUMBER('Real results'!C45),ISNUMBER('Real results'!D45),ISNUMBER('Raw data'!AW45),ISNUMBER('Raw data'!AX45)),IF(SIGN('Raw data'!AW45-'Raw data'!AX45)=SIGN('Real results'!C45-'Real results'!D45),2+IF(AND('Raw data'!AW45='Real results'!C45,'Raw data'!AX45='Real results'!D45),2,0),0),0),0)</f>
        <v>0</v>
      </c>
      <c r="AY46" s="34">
        <f>IFERROR(IF(AND(ISNUMBER('Real results'!C45),ISNUMBER('Real results'!D45),ISNUMBER('Raw data'!AY45),ISNUMBER('Raw data'!AZ45)),IF(SIGN('Raw data'!AY45-'Raw data'!AZ45)=SIGN('Real results'!C45-'Real results'!D45),2+IF(AND('Raw data'!AY45='Real results'!C45,'Raw data'!AZ45='Real results'!D45),2,0),0),0),0)</f>
        <v>0</v>
      </c>
      <c r="BA46" s="34">
        <f>IFERROR(IF(AND(ISNUMBER('Real results'!C45),ISNUMBER('Real results'!D45),ISNUMBER('Raw data'!BA45),ISNUMBER('Raw data'!BB45)),IF(SIGN('Raw data'!BA45-'Raw data'!BB45)=SIGN('Real results'!C45-'Real results'!D45),2+IF(AND('Raw data'!BA45='Real results'!C45,'Raw data'!BB45='Real results'!D45),2,0),0),0),0)</f>
        <v>0</v>
      </c>
      <c r="BC46" s="34">
        <f>IFERROR(IF(AND(ISNUMBER('Real results'!C45),ISNUMBER('Real results'!D45),ISNUMBER('Raw data'!BC45),ISNUMBER('Raw data'!BD45)),IF(SIGN('Raw data'!BC45-'Raw data'!BD45)=SIGN('Real results'!C45-'Real results'!D45),2+IF(AND('Raw data'!BC45='Real results'!C45,'Raw data'!BD45='Real results'!D45),2,0),0),0),0)</f>
        <v>0</v>
      </c>
      <c r="BE46" s="34">
        <f>IFERROR(IF(AND(ISNUMBER('Real results'!C45),ISNUMBER('Real results'!D45),ISNUMBER('Raw data'!BE45),ISNUMBER('Raw data'!BF45)),IF(SIGN('Raw data'!BE45-'Raw data'!BF45)=SIGN('Real results'!C45-'Real results'!D45),2+IF(AND('Raw data'!BE45='Real results'!C45,'Raw data'!BF45='Real results'!D45),2,0),0),0),0)</f>
        <v>0</v>
      </c>
      <c r="BG46" s="34">
        <f>IFERROR(IF(AND(ISNUMBER('Real results'!C45),ISNUMBER('Real results'!D45),ISNUMBER('Raw data'!BG45),ISNUMBER('Raw data'!BH45)),IF(SIGN('Raw data'!BG45-'Raw data'!BH45)=SIGN('Real results'!C45-'Real results'!D45),2+IF(AND('Raw data'!BG45='Real results'!C45,'Raw data'!BH45='Real results'!D45),2,0),0),0),0)</f>
        <v>0</v>
      </c>
      <c r="BI46" s="34">
        <f>IFERROR(IF(AND(ISNUMBER('Real results'!C45),ISNUMBER('Real results'!D45),ISNUMBER('Raw data'!BI45),ISNUMBER('Raw data'!BJ45)),IF(SIGN('Raw data'!BI45-'Raw data'!BJ45)=SIGN('Real results'!C45-'Real results'!D45),2+IF(AND('Raw data'!BI45='Real results'!C45,'Raw data'!BJ45='Real results'!D45),2,0),0),0),0)</f>
        <v>0</v>
      </c>
    </row>
    <row r="47" ht="18.0" customHeight="1">
      <c r="B47" s="12" t="s">
        <v>72</v>
      </c>
      <c r="C47" s="34">
        <f>IFERROR(IF(AND(ISNUMBER('Real results'!C46),ISNUMBER('Real results'!D46),ISNUMBER('Raw data'!C44),ISNUMBER('Raw data'!D44)),IF(SIGN('Raw data'!C44-'Raw data'!D44)=SIGN('Real results'!C46-'Real results'!D46),2+IF(AND('Raw data'!C44='Real results'!C46,'Raw data'!D44='Real results'!D46),2,0),0),0),0)</f>
        <v>0</v>
      </c>
      <c r="E47" s="34">
        <f>IFERROR(IF(AND(ISNUMBER('Real results'!C46),ISNUMBER('Real results'!D46),ISNUMBER('Raw data'!E45),ISNUMBER('Raw data'!F45)),IF(SIGN('Raw data'!E45-'Raw data'!F45)=SIGN('Real results'!C46-'Real results'!D46),2+IF(AND('Raw data'!E45='Real results'!C46,'Raw data'!F45='Real results'!D46),2,0),0),0),0)</f>
        <v>0</v>
      </c>
      <c r="G47" s="34">
        <f>IFERROR(IF(AND(ISNUMBER('Real results'!C46),ISNUMBER('Real results'!D46),ISNUMBER('Raw data'!G46),ISNUMBER('Raw data'!H46)),IF(SIGN('Raw data'!G46-'Raw data'!H46)=SIGN('Real results'!C46-'Real results'!D46),2+IF(AND('Raw data'!G46='Real results'!C46,'Raw data'!H46='Real results'!D46),2,0),0),0),0)</f>
        <v>2</v>
      </c>
      <c r="I47" s="34">
        <f>IFERROR(IF(AND(ISNUMBER('Real results'!C46),ISNUMBER('Real results'!D46),ISNUMBER('Raw data'!I46),ISNUMBER('Raw data'!J46)),IF(SIGN('Raw data'!I46-'Raw data'!J46)=SIGN('Real results'!C46-'Real results'!D46),2+IF(AND('Raw data'!I46='Real results'!C46,'Raw data'!J46='Real results'!D46),2,0),0),0),0)</f>
        <v>2</v>
      </c>
      <c r="K47" s="34">
        <f>IFERROR(IF(AND(ISNUMBER('Real results'!C46),ISNUMBER('Real results'!D46),ISNUMBER('Raw data'!K46),ISNUMBER('Raw data'!L46)),IF(SIGN('Raw data'!K46-'Raw data'!L46)=SIGN('Real results'!C46-'Real results'!D46),2+IF(AND('Raw data'!K46='Real results'!C46,'Raw data'!L46='Real results'!D46),2,0),0),0),0)</f>
        <v>2</v>
      </c>
      <c r="M47" s="34">
        <f>IFERROR(IF(AND(ISNUMBER('Real results'!C46),ISNUMBER('Real results'!D46),ISNUMBER('Raw data'!M46),ISNUMBER('Raw data'!N46)),IF(SIGN('Raw data'!M46-'Raw data'!N46)=SIGN('Real results'!C46-'Real results'!D46),2+IF(AND('Raw data'!M46='Real results'!C46,'Raw data'!N46='Real results'!D46),2,0),0),0),0)</f>
        <v>0</v>
      </c>
      <c r="O47" s="34">
        <f>IFERROR(IF(AND(ISNUMBER('Real results'!C46),ISNUMBER('Real results'!D46),ISNUMBER('Raw data'!O46),ISNUMBER('Raw data'!P46)),IF(SIGN('Raw data'!O46-'Raw data'!P46)=SIGN('Real results'!C46-'Real results'!D46),2+IF(AND('Raw data'!O46='Real results'!C46,'Raw data'!P46='Real results'!D46),2,0),0),0),0)</f>
        <v>0</v>
      </c>
      <c r="Q47" s="34">
        <f>IFERROR(IF(AND(ISNUMBER('Real results'!C46),ISNUMBER('Real results'!D46),ISNUMBER('Raw data'!Q46),ISNUMBER('Raw data'!R46)),IF(SIGN('Raw data'!Q46-'Raw data'!R46)=SIGN('Real results'!C46-'Real results'!D46),2+IF(AND('Raw data'!Q46='Real results'!C46,'Raw data'!R46='Real results'!D46),2,0),0),0),0)</f>
        <v>0</v>
      </c>
      <c r="S47" s="34">
        <f>IFERROR(IF(AND(ISNUMBER('Real results'!C46),ISNUMBER('Real results'!D46),ISNUMBER('Raw data'!S46),ISNUMBER('Raw data'!T46)),IF(SIGN('Raw data'!S46-'Raw data'!T46)=SIGN('Real results'!C46-'Real results'!D46),2+IF(AND('Raw data'!S46='Real results'!C46,'Raw data'!T46='Real results'!D46),2,0),0),0),0)</f>
        <v>0</v>
      </c>
      <c r="U47" s="34">
        <f>IFERROR(IF(AND(ISNUMBER('Real results'!C46),ISNUMBER('Real results'!D46),ISNUMBER('Raw data'!U46),ISNUMBER('Raw data'!V46)),IF(SIGN('Raw data'!U46-'Raw data'!V46)=SIGN('Real results'!C46-'Real results'!D46),2+IF(AND('Raw data'!U46='Real results'!C46,'Raw data'!V46='Real results'!D46),2,0),0),0),0)</f>
        <v>0</v>
      </c>
      <c r="W47" s="34">
        <f>IFERROR(IF(AND(ISNUMBER('Real results'!C46),ISNUMBER('Real results'!D46),ISNUMBER('Raw data'!W46),ISNUMBER('Raw data'!X46)),IF(SIGN('Raw data'!W46-'Raw data'!X46)=SIGN('Real results'!C46-'Real results'!D46),2+IF(AND('Raw data'!W46='Real results'!C46,'Raw data'!X46='Real results'!D46),2,0),0),0),0)</f>
        <v>0</v>
      </c>
      <c r="Y47" s="34">
        <f>IFERROR(IF(AND(ISNUMBER('Real results'!C46),ISNUMBER('Real results'!D46),ISNUMBER('Raw data'!Y46),ISNUMBER('Raw data'!Z46)),IF(SIGN('Raw data'!Y46-'Raw data'!Z46)=SIGN('Real results'!C46-'Real results'!D46),2+IF(AND('Raw data'!Y46='Real results'!C46,'Raw data'!Z46='Real results'!D46),2,0),0),0),0)</f>
        <v>0</v>
      </c>
      <c r="AA47" s="34">
        <f>IFERROR(IF(AND(ISNUMBER('Real results'!C46),ISNUMBER('Real results'!D46),ISNUMBER('Raw data'!AA46),ISNUMBER('Raw data'!AB46)),IF(SIGN('Raw data'!AA46-'Raw data'!AB46)=SIGN('Real results'!C46-'Real results'!D46),2+IF(AND('Raw data'!AA46='Real results'!C46,'Raw data'!AB46='Real results'!D46),2,0),0),0),0)</f>
        <v>0</v>
      </c>
      <c r="AC47" s="34">
        <f>IFERROR(IF(AND(ISNUMBER('Real results'!C46),ISNUMBER('Real results'!D46),ISNUMBER('Raw data'!AC46),ISNUMBER('Raw data'!AD46)),IF(SIGN('Raw data'!AC46-'Raw data'!AD46)=SIGN('Real results'!C46-'Real results'!D46),2+IF(AND('Raw data'!AC46='Real results'!C46,'Raw data'!AD46='Real results'!D46),2,0),0),0),0)</f>
        <v>0</v>
      </c>
      <c r="AE47" s="34">
        <f>IFERROR(IF(AND(ISNUMBER('Real results'!C46),ISNUMBER('Real results'!D46),ISNUMBER('Raw data'!AE46),ISNUMBER('Raw data'!AF46)),IF(SIGN('Raw data'!AE46-'Raw data'!AF46)=SIGN('Real results'!C46-'Real results'!D46),2+IF(AND('Raw data'!AE46='Real results'!C46,'Raw data'!AF46='Real results'!D46),2,0),0),0),0)</f>
        <v>0</v>
      </c>
      <c r="AG47" s="34">
        <f>IFERROR(IF(AND(ISNUMBER('Real results'!C46),ISNUMBER('Real results'!D46),ISNUMBER('Raw data'!AG46),ISNUMBER('Raw data'!AH46)),IF(SIGN('Raw data'!AG46-'Raw data'!AH46)=SIGN('Real results'!C46-'Real results'!D46),2+IF(AND('Raw data'!AG46='Real results'!C46,'Raw data'!AH46='Real results'!D46),2,0),0),0),0)</f>
        <v>0</v>
      </c>
      <c r="AI47" s="34">
        <f>IFERROR(IF(AND(ISNUMBER('Real results'!C46),ISNUMBER('Real results'!D46),ISNUMBER('Raw data'!AI46),ISNUMBER('Raw data'!AJ46)),IF(SIGN('Raw data'!AI46-'Raw data'!AJ46)=SIGN('Real results'!C46-'Real results'!D46),2+IF(AND('Raw data'!AI46='Real results'!C46,'Raw data'!AJ46='Real results'!D46),2,0),0),0),0)</f>
        <v>0</v>
      </c>
      <c r="AK47" s="34">
        <f>IFERROR(IF(AND(ISNUMBER('Real results'!C46),ISNUMBER('Real results'!D46),ISNUMBER('Raw data'!AK46),ISNUMBER('Raw data'!AL46)),IF(SIGN('Raw data'!AK46-'Raw data'!AL46)=SIGN('Real results'!C46-'Real results'!D46),2+IF(AND('Raw data'!AK46='Real results'!C46,'Raw data'!AL46='Real results'!D46),2,0),0),0),0)</f>
        <v>0</v>
      </c>
      <c r="AM47" s="34">
        <f>IFERROR(IF(AND(ISNUMBER('Real results'!C46),ISNUMBER('Real results'!D46),ISNUMBER('Raw data'!AM46),ISNUMBER('Raw data'!AN46)),IF(SIGN('Raw data'!AM46-'Raw data'!AN46)=SIGN('Real results'!C46-'Real results'!D46),2+IF(AND('Raw data'!AM46='Real results'!C46,'Raw data'!AN46='Real results'!D46),2,0),0),0),0)</f>
        <v>0</v>
      </c>
      <c r="AO47" s="34">
        <f>IFERROR(IF(AND(ISNUMBER('Real results'!C46),ISNUMBER('Real results'!D46),ISNUMBER('Raw data'!AO46),ISNUMBER('Raw data'!AP46)),IF(SIGN('Raw data'!AO46-'Raw data'!AP46)=SIGN('Real results'!C46-'Real results'!D46),2+IF(AND('Raw data'!AO46='Real results'!C46,'Raw data'!AP46='Real results'!D46),2,0),0),0),0)</f>
        <v>0</v>
      </c>
      <c r="AQ47" s="34">
        <f>IFERROR(IF(AND(ISNUMBER('Real results'!C46),ISNUMBER('Real results'!D46),ISNUMBER('Raw data'!AQ46),ISNUMBER('Raw data'!AR46)),IF(SIGN('Raw data'!AQ46-'Raw data'!AR46)=SIGN('Real results'!C46-'Real results'!D46),2+IF(AND('Raw data'!AQ46='Real results'!C46,'Raw data'!AR46='Real results'!D46),2,0),0),0),0)</f>
        <v>0</v>
      </c>
      <c r="AS47" s="34">
        <f>IFERROR(IF(AND(ISNUMBER('Real results'!C46),ISNUMBER('Real results'!D46),ISNUMBER('Raw data'!AS46),ISNUMBER('Raw data'!AT46)),IF(SIGN('Raw data'!AS46-'Raw data'!AT46)=SIGN('Real results'!C46-'Real results'!D46),2+IF(AND('Raw data'!AS46='Real results'!C46,'Raw data'!AT46='Real results'!D46),2,0),0),0),0)</f>
        <v>0</v>
      </c>
      <c r="AU47" s="34">
        <f>IFERROR(IF(AND(ISNUMBER('Real results'!C46),ISNUMBER('Real results'!D46),ISNUMBER('Raw data'!AU46),ISNUMBER('Raw data'!AV46)),IF(SIGN('Raw data'!AU46-'Raw data'!AV46)=SIGN('Real results'!C46-'Real results'!D46),2+IF(AND('Raw data'!AU46='Real results'!C46,'Raw data'!AV46='Real results'!D46),2,0),0),0),0)</f>
        <v>0</v>
      </c>
      <c r="AW47" s="34">
        <f>IFERROR(IF(AND(ISNUMBER('Real results'!C46),ISNUMBER('Real results'!D46),ISNUMBER('Raw data'!AW46),ISNUMBER('Raw data'!AX46)),IF(SIGN('Raw data'!AW46-'Raw data'!AX46)=SIGN('Real results'!C46-'Real results'!D46),2+IF(AND('Raw data'!AW46='Real results'!C46,'Raw data'!AX46='Real results'!D46),2,0),0),0),0)</f>
        <v>0</v>
      </c>
      <c r="AY47" s="34">
        <f>IFERROR(IF(AND(ISNUMBER('Real results'!C46),ISNUMBER('Real results'!D46),ISNUMBER('Raw data'!AY46),ISNUMBER('Raw data'!AZ46)),IF(SIGN('Raw data'!AY46-'Raw data'!AZ46)=SIGN('Real results'!C46-'Real results'!D46),2+IF(AND('Raw data'!AY46='Real results'!C46,'Raw data'!AZ46='Real results'!D46),2,0),0),0),0)</f>
        <v>0</v>
      </c>
      <c r="BA47" s="34">
        <f>IFERROR(IF(AND(ISNUMBER('Real results'!C46),ISNUMBER('Real results'!D46),ISNUMBER('Raw data'!BA46),ISNUMBER('Raw data'!BB46)),IF(SIGN('Raw data'!BA46-'Raw data'!BB46)=SIGN('Real results'!C46-'Real results'!D46),2+IF(AND('Raw data'!BA46='Real results'!C46,'Raw data'!BB46='Real results'!D46),2,0),0),0),0)</f>
        <v>0</v>
      </c>
      <c r="BC47" s="34">
        <f>IFERROR(IF(AND(ISNUMBER('Real results'!C46),ISNUMBER('Real results'!D46),ISNUMBER('Raw data'!BC46),ISNUMBER('Raw data'!BD46)),IF(SIGN('Raw data'!BC46-'Raw data'!BD46)=SIGN('Real results'!C46-'Real results'!D46),2+IF(AND('Raw data'!BC46='Real results'!C46,'Raw data'!BD46='Real results'!D46),2,0),0),0),0)</f>
        <v>0</v>
      </c>
      <c r="BE47" s="34">
        <f>IFERROR(IF(AND(ISNUMBER('Real results'!C46),ISNUMBER('Real results'!D46),ISNUMBER('Raw data'!BE46),ISNUMBER('Raw data'!BF46)),IF(SIGN('Raw data'!BE46-'Raw data'!BF46)=SIGN('Real results'!C46-'Real results'!D46),2+IF(AND('Raw data'!BE46='Real results'!C46,'Raw data'!BF46='Real results'!D46),2,0),0),0),0)</f>
        <v>0</v>
      </c>
      <c r="BG47" s="34">
        <f>IFERROR(IF(AND(ISNUMBER('Real results'!C46),ISNUMBER('Real results'!D46),ISNUMBER('Raw data'!BG46),ISNUMBER('Raw data'!BH46)),IF(SIGN('Raw data'!BG46-'Raw data'!BH46)=SIGN('Real results'!C46-'Real results'!D46),2+IF(AND('Raw data'!BG46='Real results'!C46,'Raw data'!BH46='Real results'!D46),2,0),0),0),0)</f>
        <v>0</v>
      </c>
      <c r="BI47" s="34">
        <f>IFERROR(IF(AND(ISNUMBER('Real results'!C46),ISNUMBER('Real results'!D46),ISNUMBER('Raw data'!BI46),ISNUMBER('Raw data'!BJ46)),IF(SIGN('Raw data'!BI46-'Raw data'!BJ46)=SIGN('Real results'!C46-'Real results'!D46),2+IF(AND('Raw data'!BI46='Real results'!C46,'Raw data'!BJ46='Real results'!D46),2,0),0),0),0)</f>
        <v>0</v>
      </c>
    </row>
    <row r="48" ht="18.0" customHeight="1">
      <c r="B48" s="12" t="s">
        <v>73</v>
      </c>
      <c r="C48" s="34">
        <f>IFERROR(IF(AND(ISNUMBER('Real results'!C47),ISNUMBER('Real results'!D47),ISNUMBER('Raw data'!C45),ISNUMBER('Raw data'!D45)),IF(SIGN('Raw data'!C45-'Raw data'!D45)=SIGN('Real results'!C47-'Real results'!D47),2+IF(AND('Raw data'!C45='Real results'!C47,'Raw data'!D45='Real results'!D47),2,0),0),0),0)</f>
        <v>0</v>
      </c>
      <c r="E48" s="34">
        <f>IFERROR(IF(AND(ISNUMBER('Real results'!C47),ISNUMBER('Real results'!D47),ISNUMBER('Raw data'!E46),ISNUMBER('Raw data'!F46)),IF(SIGN('Raw data'!E46-'Raw data'!F46)=SIGN('Real results'!C47-'Real results'!D47),2+IF(AND('Raw data'!E46='Real results'!C47,'Raw data'!F46='Real results'!D47),2,0),0),0),0)</f>
        <v>2</v>
      </c>
      <c r="G48" s="34">
        <f>IFERROR(IF(AND(ISNUMBER('Real results'!C47),ISNUMBER('Real results'!D47),ISNUMBER('Raw data'!G47),ISNUMBER('Raw data'!H47)),IF(SIGN('Raw data'!G47-'Raw data'!H47)=SIGN('Real results'!C47-'Real results'!D47),2+IF(AND('Raw data'!G47='Real results'!C47,'Raw data'!H47='Real results'!D47),2,0),0),0),0)</f>
        <v>2</v>
      </c>
      <c r="I48" s="34">
        <f>IFERROR(IF(AND(ISNUMBER('Real results'!C47),ISNUMBER('Real results'!D47),ISNUMBER('Raw data'!I47),ISNUMBER('Raw data'!J47)),IF(SIGN('Raw data'!I47-'Raw data'!J47)=SIGN('Real results'!C47-'Real results'!D47),2+IF(AND('Raw data'!I47='Real results'!C47,'Raw data'!J47='Real results'!D47),2,0),0),0),0)</f>
        <v>2</v>
      </c>
      <c r="K48" s="34">
        <f>IFERROR(IF(AND(ISNUMBER('Real results'!C47),ISNUMBER('Real results'!D47),ISNUMBER('Raw data'!K47),ISNUMBER('Raw data'!L47)),IF(SIGN('Raw data'!K47-'Raw data'!L47)=SIGN('Real results'!C47-'Real results'!D47),2+IF(AND('Raw data'!K47='Real results'!C47,'Raw data'!L47='Real results'!D47),2,0),0),0),0)</f>
        <v>2</v>
      </c>
      <c r="M48" s="34">
        <f>IFERROR(IF(AND(ISNUMBER('Real results'!C47),ISNUMBER('Real results'!D47),ISNUMBER('Raw data'!M47),ISNUMBER('Raw data'!N47)),IF(SIGN('Raw data'!M47-'Raw data'!N47)=SIGN('Real results'!C47-'Real results'!D47),2+IF(AND('Raw data'!M47='Real results'!C47,'Raw data'!N47='Real results'!D47),2,0),0),0),0)</f>
        <v>0</v>
      </c>
      <c r="O48" s="34">
        <f>IFERROR(IF(AND(ISNUMBER('Real results'!C47),ISNUMBER('Real results'!D47),ISNUMBER('Raw data'!O47),ISNUMBER('Raw data'!P47)),IF(SIGN('Raw data'!O47-'Raw data'!P47)=SIGN('Real results'!C47-'Real results'!D47),2+IF(AND('Raw data'!O47='Real results'!C47,'Raw data'!P47='Real results'!D47),2,0),0),0),0)</f>
        <v>0</v>
      </c>
      <c r="Q48" s="34">
        <f>IFERROR(IF(AND(ISNUMBER('Real results'!C47),ISNUMBER('Real results'!D47),ISNUMBER('Raw data'!Q47),ISNUMBER('Raw data'!R47)),IF(SIGN('Raw data'!Q47-'Raw data'!R47)=SIGN('Real results'!C47-'Real results'!D47),2+IF(AND('Raw data'!Q47='Real results'!C47,'Raw data'!R47='Real results'!D47),2,0),0),0),0)</f>
        <v>0</v>
      </c>
      <c r="S48" s="34">
        <f>IFERROR(IF(AND(ISNUMBER('Real results'!C47),ISNUMBER('Real results'!D47),ISNUMBER('Raw data'!S47),ISNUMBER('Raw data'!T47)),IF(SIGN('Raw data'!S47-'Raw data'!T47)=SIGN('Real results'!C47-'Real results'!D47),2+IF(AND('Raw data'!S47='Real results'!C47,'Raw data'!T47='Real results'!D47),2,0),0),0),0)</f>
        <v>0</v>
      </c>
      <c r="U48" s="34">
        <f>IFERROR(IF(AND(ISNUMBER('Real results'!C47),ISNUMBER('Real results'!D47),ISNUMBER('Raw data'!U47),ISNUMBER('Raw data'!V47)),IF(SIGN('Raw data'!U47-'Raw data'!V47)=SIGN('Real results'!C47-'Real results'!D47),2+IF(AND('Raw data'!U47='Real results'!C47,'Raw data'!V47='Real results'!D47),2,0),0),0),0)</f>
        <v>0</v>
      </c>
      <c r="W48" s="34">
        <f>IFERROR(IF(AND(ISNUMBER('Real results'!C47),ISNUMBER('Real results'!D47),ISNUMBER('Raw data'!W47),ISNUMBER('Raw data'!X47)),IF(SIGN('Raw data'!W47-'Raw data'!X47)=SIGN('Real results'!C47-'Real results'!D47),2+IF(AND('Raw data'!W47='Real results'!C47,'Raw data'!X47='Real results'!D47),2,0),0),0),0)</f>
        <v>0</v>
      </c>
      <c r="Y48" s="34">
        <f>IFERROR(IF(AND(ISNUMBER('Real results'!C47),ISNUMBER('Real results'!D47),ISNUMBER('Raw data'!Y47),ISNUMBER('Raw data'!Z47)),IF(SIGN('Raw data'!Y47-'Raw data'!Z47)=SIGN('Real results'!C47-'Real results'!D47),2+IF(AND('Raw data'!Y47='Real results'!C47,'Raw data'!Z47='Real results'!D47),2,0),0),0),0)</f>
        <v>0</v>
      </c>
      <c r="AA48" s="34">
        <f>IFERROR(IF(AND(ISNUMBER('Real results'!C47),ISNUMBER('Real results'!D47),ISNUMBER('Raw data'!AA47),ISNUMBER('Raw data'!AB47)),IF(SIGN('Raw data'!AA47-'Raw data'!AB47)=SIGN('Real results'!C47-'Real results'!D47),2+IF(AND('Raw data'!AA47='Real results'!C47,'Raw data'!AB47='Real results'!D47),2,0),0),0),0)</f>
        <v>0</v>
      </c>
      <c r="AC48" s="34">
        <f>IFERROR(IF(AND(ISNUMBER('Real results'!C47),ISNUMBER('Real results'!D47),ISNUMBER('Raw data'!AC47),ISNUMBER('Raw data'!AD47)),IF(SIGN('Raw data'!AC47-'Raw data'!AD47)=SIGN('Real results'!C47-'Real results'!D47),2+IF(AND('Raw data'!AC47='Real results'!C47,'Raw data'!AD47='Real results'!D47),2,0),0),0),0)</f>
        <v>0</v>
      </c>
      <c r="AE48" s="34">
        <f>IFERROR(IF(AND(ISNUMBER('Real results'!C47),ISNUMBER('Real results'!D47),ISNUMBER('Raw data'!AE47),ISNUMBER('Raw data'!AF47)),IF(SIGN('Raw data'!AE47-'Raw data'!AF47)=SIGN('Real results'!C47-'Real results'!D47),2+IF(AND('Raw data'!AE47='Real results'!C47,'Raw data'!AF47='Real results'!D47),2,0),0),0),0)</f>
        <v>0</v>
      </c>
      <c r="AG48" s="34">
        <f>IFERROR(IF(AND(ISNUMBER('Real results'!C47),ISNUMBER('Real results'!D47),ISNUMBER('Raw data'!AG47),ISNUMBER('Raw data'!AH47)),IF(SIGN('Raw data'!AG47-'Raw data'!AH47)=SIGN('Real results'!C47-'Real results'!D47),2+IF(AND('Raw data'!AG47='Real results'!C47,'Raw data'!AH47='Real results'!D47),2,0),0),0),0)</f>
        <v>0</v>
      </c>
      <c r="AI48" s="34">
        <f>IFERROR(IF(AND(ISNUMBER('Real results'!C47),ISNUMBER('Real results'!D47),ISNUMBER('Raw data'!AI47),ISNUMBER('Raw data'!AJ47)),IF(SIGN('Raw data'!AI47-'Raw data'!AJ47)=SIGN('Real results'!C47-'Real results'!D47),2+IF(AND('Raw data'!AI47='Real results'!C47,'Raw data'!AJ47='Real results'!D47),2,0),0),0),0)</f>
        <v>0</v>
      </c>
      <c r="AK48" s="34">
        <f>IFERROR(IF(AND(ISNUMBER('Real results'!C47),ISNUMBER('Real results'!D47),ISNUMBER('Raw data'!AK47),ISNUMBER('Raw data'!AL47)),IF(SIGN('Raw data'!AK47-'Raw data'!AL47)=SIGN('Real results'!C47-'Real results'!D47),2+IF(AND('Raw data'!AK47='Real results'!C47,'Raw data'!AL47='Real results'!D47),2,0),0),0),0)</f>
        <v>0</v>
      </c>
      <c r="AM48" s="34">
        <f>IFERROR(IF(AND(ISNUMBER('Real results'!C47),ISNUMBER('Real results'!D47),ISNUMBER('Raw data'!AM47),ISNUMBER('Raw data'!AN47)),IF(SIGN('Raw data'!AM47-'Raw data'!AN47)=SIGN('Real results'!C47-'Real results'!D47),2+IF(AND('Raw data'!AM47='Real results'!C47,'Raw data'!AN47='Real results'!D47),2,0),0),0),0)</f>
        <v>0</v>
      </c>
      <c r="AO48" s="34">
        <f>IFERROR(IF(AND(ISNUMBER('Real results'!C47),ISNUMBER('Real results'!D47),ISNUMBER('Raw data'!AO47),ISNUMBER('Raw data'!AP47)),IF(SIGN('Raw data'!AO47-'Raw data'!AP47)=SIGN('Real results'!C47-'Real results'!D47),2+IF(AND('Raw data'!AO47='Real results'!C47,'Raw data'!AP47='Real results'!D47),2,0),0),0),0)</f>
        <v>0</v>
      </c>
      <c r="AQ48" s="34">
        <f>IFERROR(IF(AND(ISNUMBER('Real results'!C47),ISNUMBER('Real results'!D47),ISNUMBER('Raw data'!AQ47),ISNUMBER('Raw data'!AR47)),IF(SIGN('Raw data'!AQ47-'Raw data'!AR47)=SIGN('Real results'!C47-'Real results'!D47),2+IF(AND('Raw data'!AQ47='Real results'!C47,'Raw data'!AR47='Real results'!D47),2,0),0),0),0)</f>
        <v>0</v>
      </c>
      <c r="AS48" s="34">
        <f>IFERROR(IF(AND(ISNUMBER('Real results'!C47),ISNUMBER('Real results'!D47),ISNUMBER('Raw data'!AS47),ISNUMBER('Raw data'!AT47)),IF(SIGN('Raw data'!AS47-'Raw data'!AT47)=SIGN('Real results'!C47-'Real results'!D47),2+IF(AND('Raw data'!AS47='Real results'!C47,'Raw data'!AT47='Real results'!D47),2,0),0),0),0)</f>
        <v>0</v>
      </c>
      <c r="AU48" s="34">
        <f>IFERROR(IF(AND(ISNUMBER('Real results'!C47),ISNUMBER('Real results'!D47),ISNUMBER('Raw data'!AU47),ISNUMBER('Raw data'!AV47)),IF(SIGN('Raw data'!AU47-'Raw data'!AV47)=SIGN('Real results'!C47-'Real results'!D47),2+IF(AND('Raw data'!AU47='Real results'!C47,'Raw data'!AV47='Real results'!D47),2,0),0),0),0)</f>
        <v>0</v>
      </c>
      <c r="AW48" s="34">
        <f>IFERROR(IF(AND(ISNUMBER('Real results'!C47),ISNUMBER('Real results'!D47),ISNUMBER('Raw data'!AW47),ISNUMBER('Raw data'!AX47)),IF(SIGN('Raw data'!AW47-'Raw data'!AX47)=SIGN('Real results'!C47-'Real results'!D47),2+IF(AND('Raw data'!AW47='Real results'!C47,'Raw data'!AX47='Real results'!D47),2,0),0),0),0)</f>
        <v>0</v>
      </c>
      <c r="AY48" s="34">
        <f>IFERROR(IF(AND(ISNUMBER('Real results'!C47),ISNUMBER('Real results'!D47),ISNUMBER('Raw data'!AY47),ISNUMBER('Raw data'!AZ47)),IF(SIGN('Raw data'!AY47-'Raw data'!AZ47)=SIGN('Real results'!C47-'Real results'!D47),2+IF(AND('Raw data'!AY47='Real results'!C47,'Raw data'!AZ47='Real results'!D47),2,0),0),0),0)</f>
        <v>0</v>
      </c>
      <c r="BA48" s="34">
        <f>IFERROR(IF(AND(ISNUMBER('Real results'!C47),ISNUMBER('Real results'!D47),ISNUMBER('Raw data'!BA47),ISNUMBER('Raw data'!BB47)),IF(SIGN('Raw data'!BA47-'Raw data'!BB47)=SIGN('Real results'!C47-'Real results'!D47),2+IF(AND('Raw data'!BA47='Real results'!C47,'Raw data'!BB47='Real results'!D47),2,0),0),0),0)</f>
        <v>0</v>
      </c>
      <c r="BC48" s="34">
        <f>IFERROR(IF(AND(ISNUMBER('Real results'!C47),ISNUMBER('Real results'!D47),ISNUMBER('Raw data'!BC47),ISNUMBER('Raw data'!BD47)),IF(SIGN('Raw data'!BC47-'Raw data'!BD47)=SIGN('Real results'!C47-'Real results'!D47),2+IF(AND('Raw data'!BC47='Real results'!C47,'Raw data'!BD47='Real results'!D47),2,0),0),0),0)</f>
        <v>0</v>
      </c>
      <c r="BE48" s="34">
        <f>IFERROR(IF(AND(ISNUMBER('Real results'!C47),ISNUMBER('Real results'!D47),ISNUMBER('Raw data'!BE47),ISNUMBER('Raw data'!BF47)),IF(SIGN('Raw data'!BE47-'Raw data'!BF47)=SIGN('Real results'!C47-'Real results'!D47),2+IF(AND('Raw data'!BE47='Real results'!C47,'Raw data'!BF47='Real results'!D47),2,0),0),0),0)</f>
        <v>0</v>
      </c>
      <c r="BG48" s="34">
        <f>IFERROR(IF(AND(ISNUMBER('Real results'!C47),ISNUMBER('Real results'!D47),ISNUMBER('Raw data'!BG47),ISNUMBER('Raw data'!BH47)),IF(SIGN('Raw data'!BG47-'Raw data'!BH47)=SIGN('Real results'!C47-'Real results'!D47),2+IF(AND('Raw data'!BG47='Real results'!C47,'Raw data'!BH47='Real results'!D47),2,0),0),0),0)</f>
        <v>0</v>
      </c>
      <c r="BI48" s="34">
        <f>IFERROR(IF(AND(ISNUMBER('Real results'!C47),ISNUMBER('Real results'!D47),ISNUMBER('Raw data'!BI47),ISNUMBER('Raw data'!BJ47)),IF(SIGN('Raw data'!BI47-'Raw data'!BJ47)=SIGN('Real results'!C47-'Real results'!D47),2+IF(AND('Raw data'!BI47='Real results'!C47,'Raw data'!BJ47='Real results'!D47),2,0),0),0),0)</f>
        <v>0</v>
      </c>
    </row>
    <row r="49" ht="18.0" customHeight="1">
      <c r="B49" s="12" t="s">
        <v>74</v>
      </c>
      <c r="C49" s="34">
        <f>IFERROR(IF(AND(ISNUMBER('Real results'!C48),ISNUMBER('Real results'!D48),ISNUMBER('Raw data'!C46),ISNUMBER('Raw data'!D46)),IF(SIGN('Raw data'!C46-'Raw data'!D46)=SIGN('Real results'!C48-'Real results'!D48),2+IF(AND('Raw data'!C46='Real results'!C48,'Raw data'!D46='Real results'!D48),2,0),0),0),0)</f>
        <v>0</v>
      </c>
      <c r="E49" s="34">
        <f>IFERROR(IF(AND(ISNUMBER('Real results'!C48),ISNUMBER('Real results'!D48),ISNUMBER('Raw data'!E47),ISNUMBER('Raw data'!F47)),IF(SIGN('Raw data'!E47-'Raw data'!F47)=SIGN('Real results'!C48-'Real results'!D48),2+IF(AND('Raw data'!E47='Real results'!C48,'Raw data'!F47='Real results'!D48),2,0),0),0),0)</f>
        <v>0</v>
      </c>
      <c r="G49" s="34">
        <f>IFERROR(IF(AND(ISNUMBER('Real results'!C48),ISNUMBER('Real results'!D48),ISNUMBER('Raw data'!G48),ISNUMBER('Raw data'!H48)),IF(SIGN('Raw data'!G48-'Raw data'!H48)=SIGN('Real results'!C48-'Real results'!D48),2+IF(AND('Raw data'!G48='Real results'!C48,'Raw data'!H48='Real results'!D48),2,0),0),0),0)</f>
        <v>4</v>
      </c>
      <c r="I49" s="34">
        <f>IFERROR(IF(AND(ISNUMBER('Real results'!C48),ISNUMBER('Real results'!D48),ISNUMBER('Raw data'!I48),ISNUMBER('Raw data'!J48)),IF(SIGN('Raw data'!I48-'Raw data'!J48)=SIGN('Real results'!C48-'Real results'!D48),2+IF(AND('Raw data'!I48='Real results'!C48,'Raw data'!J48='Real results'!D48),2,0),0),0),0)</f>
        <v>0</v>
      </c>
      <c r="K49" s="34">
        <f>IFERROR(IF(AND(ISNUMBER('Real results'!C48),ISNUMBER('Real results'!D48),ISNUMBER('Raw data'!K48),ISNUMBER('Raw data'!L48)),IF(SIGN('Raw data'!K48-'Raw data'!L48)=SIGN('Real results'!C48-'Real results'!D48),2+IF(AND('Raw data'!K48='Real results'!C48,'Raw data'!L48='Real results'!D48),2,0),0),0),0)</f>
        <v>0</v>
      </c>
      <c r="M49" s="34">
        <f>IFERROR(IF(AND(ISNUMBER('Real results'!C48),ISNUMBER('Real results'!D48),ISNUMBER('Raw data'!M48),ISNUMBER('Raw data'!N48)),IF(SIGN('Raw data'!M48-'Raw data'!N48)=SIGN('Real results'!C48-'Real results'!D48),2+IF(AND('Raw data'!M48='Real results'!C48,'Raw data'!N48='Real results'!D48),2,0),0),0),0)</f>
        <v>0</v>
      </c>
      <c r="O49" s="34">
        <f>IFERROR(IF(AND(ISNUMBER('Real results'!C48),ISNUMBER('Real results'!D48),ISNUMBER('Raw data'!O48),ISNUMBER('Raw data'!P48)),IF(SIGN('Raw data'!O48-'Raw data'!P48)=SIGN('Real results'!C48-'Real results'!D48),2+IF(AND('Raw data'!O48='Real results'!C48,'Raw data'!P48='Real results'!D48),2,0),0),0),0)</f>
        <v>0</v>
      </c>
      <c r="Q49" s="34">
        <f>IFERROR(IF(AND(ISNUMBER('Real results'!C48),ISNUMBER('Real results'!D48),ISNUMBER('Raw data'!Q48),ISNUMBER('Raw data'!R48)),IF(SIGN('Raw data'!Q48-'Raw data'!R48)=SIGN('Real results'!C48-'Real results'!D48),2+IF(AND('Raw data'!Q48='Real results'!C48,'Raw data'!R48='Real results'!D48),2,0),0),0),0)</f>
        <v>0</v>
      </c>
      <c r="S49" s="34">
        <f>IFERROR(IF(AND(ISNUMBER('Real results'!C48),ISNUMBER('Real results'!D48),ISNUMBER('Raw data'!S48),ISNUMBER('Raw data'!T48)),IF(SIGN('Raw data'!S48-'Raw data'!T48)=SIGN('Real results'!C48-'Real results'!D48),2+IF(AND('Raw data'!S48='Real results'!C48,'Raw data'!T48='Real results'!D48),2,0),0),0),0)</f>
        <v>0</v>
      </c>
      <c r="U49" s="34">
        <f>IFERROR(IF(AND(ISNUMBER('Real results'!C48),ISNUMBER('Real results'!D48),ISNUMBER('Raw data'!U48),ISNUMBER('Raw data'!V48)),IF(SIGN('Raw data'!U48-'Raw data'!V48)=SIGN('Real results'!C48-'Real results'!D48),2+IF(AND('Raw data'!U48='Real results'!C48,'Raw data'!V48='Real results'!D48),2,0),0),0),0)</f>
        <v>0</v>
      </c>
      <c r="W49" s="34">
        <f>IFERROR(IF(AND(ISNUMBER('Real results'!C48),ISNUMBER('Real results'!D48),ISNUMBER('Raw data'!W48),ISNUMBER('Raw data'!X48)),IF(SIGN('Raw data'!W48-'Raw data'!X48)=SIGN('Real results'!C48-'Real results'!D48),2+IF(AND('Raw data'!W48='Real results'!C48,'Raw data'!X48='Real results'!D48),2,0),0),0),0)</f>
        <v>0</v>
      </c>
      <c r="Y49" s="34">
        <f>IFERROR(IF(AND(ISNUMBER('Real results'!C48),ISNUMBER('Real results'!D48),ISNUMBER('Raw data'!Y48),ISNUMBER('Raw data'!Z48)),IF(SIGN('Raw data'!Y48-'Raw data'!Z48)=SIGN('Real results'!C48-'Real results'!D48),2+IF(AND('Raw data'!Y48='Real results'!C48,'Raw data'!Z48='Real results'!D48),2,0),0),0),0)</f>
        <v>0</v>
      </c>
      <c r="AA49" s="34">
        <f>IFERROR(IF(AND(ISNUMBER('Real results'!C48),ISNUMBER('Real results'!D48),ISNUMBER('Raw data'!AA48),ISNUMBER('Raw data'!AB48)),IF(SIGN('Raw data'!AA48-'Raw data'!AB48)=SIGN('Real results'!C48-'Real results'!D48),2+IF(AND('Raw data'!AA48='Real results'!C48,'Raw data'!AB48='Real results'!D48),2,0),0),0),0)</f>
        <v>0</v>
      </c>
      <c r="AC49" s="34">
        <f>IFERROR(IF(AND(ISNUMBER('Real results'!C48),ISNUMBER('Real results'!D48),ISNUMBER('Raw data'!AC48),ISNUMBER('Raw data'!AD48)),IF(SIGN('Raw data'!AC48-'Raw data'!AD48)=SIGN('Real results'!C48-'Real results'!D48),2+IF(AND('Raw data'!AC48='Real results'!C48,'Raw data'!AD48='Real results'!D48),2,0),0),0),0)</f>
        <v>0</v>
      </c>
      <c r="AE49" s="34">
        <f>IFERROR(IF(AND(ISNUMBER('Real results'!C48),ISNUMBER('Real results'!D48),ISNUMBER('Raw data'!AE48),ISNUMBER('Raw data'!AF48)),IF(SIGN('Raw data'!AE48-'Raw data'!AF48)=SIGN('Real results'!C48-'Real results'!D48),2+IF(AND('Raw data'!AE48='Real results'!C48,'Raw data'!AF48='Real results'!D48),2,0),0),0),0)</f>
        <v>0</v>
      </c>
      <c r="AG49" s="34">
        <f>IFERROR(IF(AND(ISNUMBER('Real results'!C48),ISNUMBER('Real results'!D48),ISNUMBER('Raw data'!AG48),ISNUMBER('Raw data'!AH48)),IF(SIGN('Raw data'!AG48-'Raw data'!AH48)=SIGN('Real results'!C48-'Real results'!D48),2+IF(AND('Raw data'!AG48='Real results'!C48,'Raw data'!AH48='Real results'!D48),2,0),0),0),0)</f>
        <v>0</v>
      </c>
      <c r="AI49" s="34">
        <f>IFERROR(IF(AND(ISNUMBER('Real results'!C48),ISNUMBER('Real results'!D48),ISNUMBER('Raw data'!AI48),ISNUMBER('Raw data'!AJ48)),IF(SIGN('Raw data'!AI48-'Raw data'!AJ48)=SIGN('Real results'!C48-'Real results'!D48),2+IF(AND('Raw data'!AI48='Real results'!C48,'Raw data'!AJ48='Real results'!D48),2,0),0),0),0)</f>
        <v>0</v>
      </c>
      <c r="AK49" s="34">
        <f>IFERROR(IF(AND(ISNUMBER('Real results'!C48),ISNUMBER('Real results'!D48),ISNUMBER('Raw data'!AK48),ISNUMBER('Raw data'!AL48)),IF(SIGN('Raw data'!AK48-'Raw data'!AL48)=SIGN('Real results'!C48-'Real results'!D48),2+IF(AND('Raw data'!AK48='Real results'!C48,'Raw data'!AL48='Real results'!D48),2,0),0),0),0)</f>
        <v>0</v>
      </c>
      <c r="AM49" s="34">
        <f>IFERROR(IF(AND(ISNUMBER('Real results'!C48),ISNUMBER('Real results'!D48),ISNUMBER('Raw data'!AM48),ISNUMBER('Raw data'!AN48)),IF(SIGN('Raw data'!AM48-'Raw data'!AN48)=SIGN('Real results'!C48-'Real results'!D48),2+IF(AND('Raw data'!AM48='Real results'!C48,'Raw data'!AN48='Real results'!D48),2,0),0),0),0)</f>
        <v>0</v>
      </c>
      <c r="AO49" s="34">
        <f>IFERROR(IF(AND(ISNUMBER('Real results'!C48),ISNUMBER('Real results'!D48),ISNUMBER('Raw data'!AO48),ISNUMBER('Raw data'!AP48)),IF(SIGN('Raw data'!AO48-'Raw data'!AP48)=SIGN('Real results'!C48-'Real results'!D48),2+IF(AND('Raw data'!AO48='Real results'!C48,'Raw data'!AP48='Real results'!D48),2,0),0),0),0)</f>
        <v>0</v>
      </c>
      <c r="AQ49" s="34">
        <f>IFERROR(IF(AND(ISNUMBER('Real results'!C48),ISNUMBER('Real results'!D48),ISNUMBER('Raw data'!AQ48),ISNUMBER('Raw data'!AR48)),IF(SIGN('Raw data'!AQ48-'Raw data'!AR48)=SIGN('Real results'!C48-'Real results'!D48),2+IF(AND('Raw data'!AQ48='Real results'!C48,'Raw data'!AR48='Real results'!D48),2,0),0),0),0)</f>
        <v>0</v>
      </c>
      <c r="AS49" s="34">
        <f>IFERROR(IF(AND(ISNUMBER('Real results'!C48),ISNUMBER('Real results'!D48),ISNUMBER('Raw data'!AS48),ISNUMBER('Raw data'!AT48)),IF(SIGN('Raw data'!AS48-'Raw data'!AT48)=SIGN('Real results'!C48-'Real results'!D48),2+IF(AND('Raw data'!AS48='Real results'!C48,'Raw data'!AT48='Real results'!D48),2,0),0),0),0)</f>
        <v>0</v>
      </c>
      <c r="AU49" s="34">
        <f>IFERROR(IF(AND(ISNUMBER('Real results'!C48),ISNUMBER('Real results'!D48),ISNUMBER('Raw data'!AU48),ISNUMBER('Raw data'!AV48)),IF(SIGN('Raw data'!AU48-'Raw data'!AV48)=SIGN('Real results'!C48-'Real results'!D48),2+IF(AND('Raw data'!AU48='Real results'!C48,'Raw data'!AV48='Real results'!D48),2,0),0),0),0)</f>
        <v>0</v>
      </c>
      <c r="AW49" s="34">
        <f>IFERROR(IF(AND(ISNUMBER('Real results'!C48),ISNUMBER('Real results'!D48),ISNUMBER('Raw data'!AW48),ISNUMBER('Raw data'!AX48)),IF(SIGN('Raw data'!AW48-'Raw data'!AX48)=SIGN('Real results'!C48-'Real results'!D48),2+IF(AND('Raw data'!AW48='Real results'!C48,'Raw data'!AX48='Real results'!D48),2,0),0),0),0)</f>
        <v>0</v>
      </c>
      <c r="AY49" s="34">
        <f>IFERROR(IF(AND(ISNUMBER('Real results'!C48),ISNUMBER('Real results'!D48),ISNUMBER('Raw data'!AY48),ISNUMBER('Raw data'!AZ48)),IF(SIGN('Raw data'!AY48-'Raw data'!AZ48)=SIGN('Real results'!C48-'Real results'!D48),2+IF(AND('Raw data'!AY48='Real results'!C48,'Raw data'!AZ48='Real results'!D48),2,0),0),0),0)</f>
        <v>0</v>
      </c>
      <c r="BA49" s="34">
        <f>IFERROR(IF(AND(ISNUMBER('Real results'!C48),ISNUMBER('Real results'!D48),ISNUMBER('Raw data'!BA48),ISNUMBER('Raw data'!BB48)),IF(SIGN('Raw data'!BA48-'Raw data'!BB48)=SIGN('Real results'!C48-'Real results'!D48),2+IF(AND('Raw data'!BA48='Real results'!C48,'Raw data'!BB48='Real results'!D48),2,0),0),0),0)</f>
        <v>0</v>
      </c>
      <c r="BC49" s="34">
        <f>IFERROR(IF(AND(ISNUMBER('Real results'!C48),ISNUMBER('Real results'!D48),ISNUMBER('Raw data'!BC48),ISNUMBER('Raw data'!BD48)),IF(SIGN('Raw data'!BC48-'Raw data'!BD48)=SIGN('Real results'!C48-'Real results'!D48),2+IF(AND('Raw data'!BC48='Real results'!C48,'Raw data'!BD48='Real results'!D48),2,0),0),0),0)</f>
        <v>0</v>
      </c>
      <c r="BE49" s="34">
        <f>IFERROR(IF(AND(ISNUMBER('Real results'!C48),ISNUMBER('Real results'!D48),ISNUMBER('Raw data'!BE48),ISNUMBER('Raw data'!BF48)),IF(SIGN('Raw data'!BE48-'Raw data'!BF48)=SIGN('Real results'!C48-'Real results'!D48),2+IF(AND('Raw data'!BE48='Real results'!C48,'Raw data'!BF48='Real results'!D48),2,0),0),0),0)</f>
        <v>0</v>
      </c>
      <c r="BG49" s="34">
        <f>IFERROR(IF(AND(ISNUMBER('Real results'!C48),ISNUMBER('Real results'!D48),ISNUMBER('Raw data'!BG48),ISNUMBER('Raw data'!BH48)),IF(SIGN('Raw data'!BG48-'Raw data'!BH48)=SIGN('Real results'!C48-'Real results'!D48),2+IF(AND('Raw data'!BG48='Real results'!C48,'Raw data'!BH48='Real results'!D48),2,0),0),0),0)</f>
        <v>0</v>
      </c>
      <c r="BI49" s="34">
        <f>IFERROR(IF(AND(ISNUMBER('Real results'!C48),ISNUMBER('Real results'!D48),ISNUMBER('Raw data'!BI48),ISNUMBER('Raw data'!BJ48)),IF(SIGN('Raw data'!BI48-'Raw data'!BJ48)=SIGN('Real results'!C48-'Real results'!D48),2+IF(AND('Raw data'!BI48='Real results'!C48,'Raw data'!BJ48='Real results'!D48),2,0),0),0),0)</f>
        <v>0</v>
      </c>
    </row>
    <row r="50" ht="18.0" customHeight="1">
      <c r="B50" s="12" t="s">
        <v>75</v>
      </c>
      <c r="C50" s="34">
        <f>IFERROR(IF(AND(ISNUMBER('Real results'!C49),ISNUMBER('Real results'!D49),ISNUMBER('Raw data'!C47),ISNUMBER('Raw data'!D47)),IF(SIGN('Raw data'!C47-'Raw data'!D47)=SIGN('Real results'!C49-'Real results'!D49),2+IF(AND('Raw data'!C47='Real results'!C49,'Raw data'!D47='Real results'!D49),2,0),0),0),0)</f>
        <v>0</v>
      </c>
      <c r="E50" s="34">
        <f>IFERROR(IF(AND(ISNUMBER('Real results'!C49),ISNUMBER('Real results'!D49),ISNUMBER('Raw data'!E48),ISNUMBER('Raw data'!F48)),IF(SIGN('Raw data'!E48-'Raw data'!F48)=SIGN('Real results'!C49-'Real results'!D49),2+IF(AND('Raw data'!E48='Real results'!C49,'Raw data'!F48='Real results'!D49),2,0),0),0),0)</f>
        <v>2</v>
      </c>
      <c r="G50" s="34">
        <f>IFERROR(IF(AND(ISNUMBER('Real results'!C49),ISNUMBER('Real results'!D49),ISNUMBER('Raw data'!G49),ISNUMBER('Raw data'!H49)),IF(SIGN('Raw data'!G49-'Raw data'!H49)=SIGN('Real results'!C49-'Real results'!D49),2+IF(AND('Raw data'!G49='Real results'!C49,'Raw data'!H49='Real results'!D49),2,0),0),0),0)</f>
        <v>0</v>
      </c>
      <c r="I50" s="34">
        <f>IFERROR(IF(AND(ISNUMBER('Real results'!C49),ISNUMBER('Real results'!D49),ISNUMBER('Raw data'!I49),ISNUMBER('Raw data'!J49)),IF(SIGN('Raw data'!I49-'Raw data'!J49)=SIGN('Real results'!C49-'Real results'!D49),2+IF(AND('Raw data'!I49='Real results'!C49,'Raw data'!J49='Real results'!D49),2,0),0),0),0)</f>
        <v>0</v>
      </c>
      <c r="K50" s="34">
        <f>IFERROR(IF(AND(ISNUMBER('Real results'!C49),ISNUMBER('Real results'!D49),ISNUMBER('Raw data'!K49),ISNUMBER('Raw data'!L49)),IF(SIGN('Raw data'!K49-'Raw data'!L49)=SIGN('Real results'!C49-'Real results'!D49),2+IF(AND('Raw data'!K49='Real results'!C49,'Raw data'!L49='Real results'!D49),2,0),0),0),0)</f>
        <v>0</v>
      </c>
      <c r="M50" s="34">
        <f>IFERROR(IF(AND(ISNUMBER('Real results'!C49),ISNUMBER('Real results'!D49),ISNUMBER('Raw data'!M49),ISNUMBER('Raw data'!N49)),IF(SIGN('Raw data'!M49-'Raw data'!N49)=SIGN('Real results'!C49-'Real results'!D49),2+IF(AND('Raw data'!M49='Real results'!C49,'Raw data'!N49='Real results'!D49),2,0),0),0),0)</f>
        <v>0</v>
      </c>
      <c r="O50" s="34">
        <f>IFERROR(IF(AND(ISNUMBER('Real results'!C49),ISNUMBER('Real results'!D49),ISNUMBER('Raw data'!O49),ISNUMBER('Raw data'!P49)),IF(SIGN('Raw data'!O49-'Raw data'!P49)=SIGN('Real results'!C49-'Real results'!D49),2+IF(AND('Raw data'!O49='Real results'!C49,'Raw data'!P49='Real results'!D49),2,0),0),0),0)</f>
        <v>0</v>
      </c>
      <c r="Q50" s="34">
        <f>IFERROR(IF(AND(ISNUMBER('Real results'!C49),ISNUMBER('Real results'!D49),ISNUMBER('Raw data'!Q49),ISNUMBER('Raw data'!R49)),IF(SIGN('Raw data'!Q49-'Raw data'!R49)=SIGN('Real results'!C49-'Real results'!D49),2+IF(AND('Raw data'!Q49='Real results'!C49,'Raw data'!R49='Real results'!D49),2,0),0),0),0)</f>
        <v>0</v>
      </c>
      <c r="S50" s="34">
        <f>IFERROR(IF(AND(ISNUMBER('Real results'!C49),ISNUMBER('Real results'!D49),ISNUMBER('Raw data'!S49),ISNUMBER('Raw data'!T49)),IF(SIGN('Raw data'!S49-'Raw data'!T49)=SIGN('Real results'!C49-'Real results'!D49),2+IF(AND('Raw data'!S49='Real results'!C49,'Raw data'!T49='Real results'!D49),2,0),0),0),0)</f>
        <v>0</v>
      </c>
      <c r="U50" s="34">
        <f>IFERROR(IF(AND(ISNUMBER('Real results'!C49),ISNUMBER('Real results'!D49),ISNUMBER('Raw data'!U49),ISNUMBER('Raw data'!V49)),IF(SIGN('Raw data'!U49-'Raw data'!V49)=SIGN('Real results'!C49-'Real results'!D49),2+IF(AND('Raw data'!U49='Real results'!C49,'Raw data'!V49='Real results'!D49),2,0),0),0),0)</f>
        <v>0</v>
      </c>
      <c r="W50" s="34">
        <f>IFERROR(IF(AND(ISNUMBER('Real results'!C49),ISNUMBER('Real results'!D49),ISNUMBER('Raw data'!W49),ISNUMBER('Raw data'!X49)),IF(SIGN('Raw data'!W49-'Raw data'!X49)=SIGN('Real results'!C49-'Real results'!D49),2+IF(AND('Raw data'!W49='Real results'!C49,'Raw data'!X49='Real results'!D49),2,0),0),0),0)</f>
        <v>0</v>
      </c>
      <c r="Y50" s="34">
        <f>IFERROR(IF(AND(ISNUMBER('Real results'!C49),ISNUMBER('Real results'!D49),ISNUMBER('Raw data'!Y49),ISNUMBER('Raw data'!Z49)),IF(SIGN('Raw data'!Y49-'Raw data'!Z49)=SIGN('Real results'!C49-'Real results'!D49),2+IF(AND('Raw data'!Y49='Real results'!C49,'Raw data'!Z49='Real results'!D49),2,0),0),0),0)</f>
        <v>0</v>
      </c>
      <c r="AA50" s="34">
        <f>IFERROR(IF(AND(ISNUMBER('Real results'!C49),ISNUMBER('Real results'!D49),ISNUMBER('Raw data'!AA49),ISNUMBER('Raw data'!AB49)),IF(SIGN('Raw data'!AA49-'Raw data'!AB49)=SIGN('Real results'!C49-'Real results'!D49),2+IF(AND('Raw data'!AA49='Real results'!C49,'Raw data'!AB49='Real results'!D49),2,0),0),0),0)</f>
        <v>0</v>
      </c>
      <c r="AC50" s="34">
        <f>IFERROR(IF(AND(ISNUMBER('Real results'!C49),ISNUMBER('Real results'!D49),ISNUMBER('Raw data'!AC49),ISNUMBER('Raw data'!AD49)),IF(SIGN('Raw data'!AC49-'Raw data'!AD49)=SIGN('Real results'!C49-'Real results'!D49),2+IF(AND('Raw data'!AC49='Real results'!C49,'Raw data'!AD49='Real results'!D49),2,0),0),0),0)</f>
        <v>0</v>
      </c>
      <c r="AE50" s="34">
        <f>IFERROR(IF(AND(ISNUMBER('Real results'!C49),ISNUMBER('Real results'!D49),ISNUMBER('Raw data'!AE49),ISNUMBER('Raw data'!AF49)),IF(SIGN('Raw data'!AE49-'Raw data'!AF49)=SIGN('Real results'!C49-'Real results'!D49),2+IF(AND('Raw data'!AE49='Real results'!C49,'Raw data'!AF49='Real results'!D49),2,0),0),0),0)</f>
        <v>0</v>
      </c>
      <c r="AG50" s="34">
        <f>IFERROR(IF(AND(ISNUMBER('Real results'!C49),ISNUMBER('Real results'!D49),ISNUMBER('Raw data'!AG49),ISNUMBER('Raw data'!AH49)),IF(SIGN('Raw data'!AG49-'Raw data'!AH49)=SIGN('Real results'!C49-'Real results'!D49),2+IF(AND('Raw data'!AG49='Real results'!C49,'Raw data'!AH49='Real results'!D49),2,0),0),0),0)</f>
        <v>0</v>
      </c>
      <c r="AI50" s="34">
        <f>IFERROR(IF(AND(ISNUMBER('Real results'!C49),ISNUMBER('Real results'!D49),ISNUMBER('Raw data'!AI49),ISNUMBER('Raw data'!AJ49)),IF(SIGN('Raw data'!AI49-'Raw data'!AJ49)=SIGN('Real results'!C49-'Real results'!D49),2+IF(AND('Raw data'!AI49='Real results'!C49,'Raw data'!AJ49='Real results'!D49),2,0),0),0),0)</f>
        <v>0</v>
      </c>
      <c r="AK50" s="34">
        <f>IFERROR(IF(AND(ISNUMBER('Real results'!C49),ISNUMBER('Real results'!D49),ISNUMBER('Raw data'!AK49),ISNUMBER('Raw data'!AL49)),IF(SIGN('Raw data'!AK49-'Raw data'!AL49)=SIGN('Real results'!C49-'Real results'!D49),2+IF(AND('Raw data'!AK49='Real results'!C49,'Raw data'!AL49='Real results'!D49),2,0),0),0),0)</f>
        <v>0</v>
      </c>
      <c r="AM50" s="34">
        <f>IFERROR(IF(AND(ISNUMBER('Real results'!C49),ISNUMBER('Real results'!D49),ISNUMBER('Raw data'!AM49),ISNUMBER('Raw data'!AN49)),IF(SIGN('Raw data'!AM49-'Raw data'!AN49)=SIGN('Real results'!C49-'Real results'!D49),2+IF(AND('Raw data'!AM49='Real results'!C49,'Raw data'!AN49='Real results'!D49),2,0),0),0),0)</f>
        <v>0</v>
      </c>
      <c r="AO50" s="34">
        <f>IFERROR(IF(AND(ISNUMBER('Real results'!C49),ISNUMBER('Real results'!D49),ISNUMBER('Raw data'!AO49),ISNUMBER('Raw data'!AP49)),IF(SIGN('Raw data'!AO49-'Raw data'!AP49)=SIGN('Real results'!C49-'Real results'!D49),2+IF(AND('Raw data'!AO49='Real results'!C49,'Raw data'!AP49='Real results'!D49),2,0),0),0),0)</f>
        <v>0</v>
      </c>
      <c r="AQ50" s="34">
        <f>IFERROR(IF(AND(ISNUMBER('Real results'!C49),ISNUMBER('Real results'!D49),ISNUMBER('Raw data'!AQ49),ISNUMBER('Raw data'!AR49)),IF(SIGN('Raw data'!AQ49-'Raw data'!AR49)=SIGN('Real results'!C49-'Real results'!D49),2+IF(AND('Raw data'!AQ49='Real results'!C49,'Raw data'!AR49='Real results'!D49),2,0),0),0),0)</f>
        <v>0</v>
      </c>
      <c r="AS50" s="34">
        <f>IFERROR(IF(AND(ISNUMBER('Real results'!C49),ISNUMBER('Real results'!D49),ISNUMBER('Raw data'!AS49),ISNUMBER('Raw data'!AT49)),IF(SIGN('Raw data'!AS49-'Raw data'!AT49)=SIGN('Real results'!C49-'Real results'!D49),2+IF(AND('Raw data'!AS49='Real results'!C49,'Raw data'!AT49='Real results'!D49),2,0),0),0),0)</f>
        <v>0</v>
      </c>
      <c r="AU50" s="34">
        <f>IFERROR(IF(AND(ISNUMBER('Real results'!C49),ISNUMBER('Real results'!D49),ISNUMBER('Raw data'!AU49),ISNUMBER('Raw data'!AV49)),IF(SIGN('Raw data'!AU49-'Raw data'!AV49)=SIGN('Real results'!C49-'Real results'!D49),2+IF(AND('Raw data'!AU49='Real results'!C49,'Raw data'!AV49='Real results'!D49),2,0),0),0),0)</f>
        <v>0</v>
      </c>
      <c r="AW50" s="34">
        <f>IFERROR(IF(AND(ISNUMBER('Real results'!C49),ISNUMBER('Real results'!D49),ISNUMBER('Raw data'!AW49),ISNUMBER('Raw data'!AX49)),IF(SIGN('Raw data'!AW49-'Raw data'!AX49)=SIGN('Real results'!C49-'Real results'!D49),2+IF(AND('Raw data'!AW49='Real results'!C49,'Raw data'!AX49='Real results'!D49),2,0),0),0),0)</f>
        <v>0</v>
      </c>
      <c r="AY50" s="34">
        <f>IFERROR(IF(AND(ISNUMBER('Real results'!C49),ISNUMBER('Real results'!D49),ISNUMBER('Raw data'!AY49),ISNUMBER('Raw data'!AZ49)),IF(SIGN('Raw data'!AY49-'Raw data'!AZ49)=SIGN('Real results'!C49-'Real results'!D49),2+IF(AND('Raw data'!AY49='Real results'!C49,'Raw data'!AZ49='Real results'!D49),2,0),0),0),0)</f>
        <v>0</v>
      </c>
      <c r="BA50" s="34">
        <f>IFERROR(IF(AND(ISNUMBER('Real results'!C49),ISNUMBER('Real results'!D49),ISNUMBER('Raw data'!BA49),ISNUMBER('Raw data'!BB49)),IF(SIGN('Raw data'!BA49-'Raw data'!BB49)=SIGN('Real results'!C49-'Real results'!D49),2+IF(AND('Raw data'!BA49='Real results'!C49,'Raw data'!BB49='Real results'!D49),2,0),0),0),0)</f>
        <v>0</v>
      </c>
      <c r="BC50" s="34">
        <f>IFERROR(IF(AND(ISNUMBER('Real results'!C49),ISNUMBER('Real results'!D49),ISNUMBER('Raw data'!BC49),ISNUMBER('Raw data'!BD49)),IF(SIGN('Raw data'!BC49-'Raw data'!BD49)=SIGN('Real results'!C49-'Real results'!D49),2+IF(AND('Raw data'!BC49='Real results'!C49,'Raw data'!BD49='Real results'!D49),2,0),0),0),0)</f>
        <v>0</v>
      </c>
      <c r="BE50" s="34">
        <f>IFERROR(IF(AND(ISNUMBER('Real results'!C49),ISNUMBER('Real results'!D49),ISNUMBER('Raw data'!BE49),ISNUMBER('Raw data'!BF49)),IF(SIGN('Raw data'!BE49-'Raw data'!BF49)=SIGN('Real results'!C49-'Real results'!D49),2+IF(AND('Raw data'!BE49='Real results'!C49,'Raw data'!BF49='Real results'!D49),2,0),0),0),0)</f>
        <v>0</v>
      </c>
      <c r="BG50" s="34">
        <f>IFERROR(IF(AND(ISNUMBER('Real results'!C49),ISNUMBER('Real results'!D49),ISNUMBER('Raw data'!BG49),ISNUMBER('Raw data'!BH49)),IF(SIGN('Raw data'!BG49-'Raw data'!BH49)=SIGN('Real results'!C49-'Real results'!D49),2+IF(AND('Raw data'!BG49='Real results'!C49,'Raw data'!BH49='Real results'!D49),2,0),0),0),0)</f>
        <v>0</v>
      </c>
      <c r="BI50" s="34">
        <f>IFERROR(IF(AND(ISNUMBER('Real results'!C49),ISNUMBER('Real results'!D49),ISNUMBER('Raw data'!BI49),ISNUMBER('Raw data'!BJ49)),IF(SIGN('Raw data'!BI49-'Raw data'!BJ49)=SIGN('Real results'!C49-'Real results'!D49),2+IF(AND('Raw data'!BI49='Real results'!C49,'Raw data'!BJ49='Real results'!D49),2,0),0),0),0)</f>
        <v>0</v>
      </c>
    </row>
    <row r="51" ht="18.0" customHeight="1">
      <c r="B51" s="12" t="s">
        <v>76</v>
      </c>
      <c r="C51" s="34">
        <f>IFERROR(IF(AND(ISNUMBER('Real results'!C50),ISNUMBER('Real results'!D50),ISNUMBER('Raw data'!C48),ISNUMBER('Raw data'!D48)),IF(SIGN('Raw data'!C48-'Raw data'!D48)=SIGN('Real results'!C50-'Real results'!D50),2+IF(AND('Raw data'!C48='Real results'!C50,'Raw data'!D48='Real results'!D50),2,0),0),0),0)</f>
        <v>4</v>
      </c>
      <c r="E51" s="34">
        <f>IFERROR(IF(AND(ISNUMBER('Real results'!C50),ISNUMBER('Real results'!D50),ISNUMBER('Raw data'!E49),ISNUMBER('Raw data'!F49)),IF(SIGN('Raw data'!E49-'Raw data'!F49)=SIGN('Real results'!C50-'Real results'!D50),2+IF(AND('Raw data'!E49='Real results'!C50,'Raw data'!F49='Real results'!D50),2,0),0),0),0)</f>
        <v>0</v>
      </c>
      <c r="G51" s="34">
        <f>IFERROR(IF(AND(ISNUMBER('Real results'!C50),ISNUMBER('Real results'!D50),ISNUMBER('Raw data'!G50),ISNUMBER('Raw data'!H50)),IF(SIGN('Raw data'!G50-'Raw data'!H50)=SIGN('Real results'!C50-'Real results'!D50),2+IF(AND('Raw data'!G50='Real results'!C50,'Raw data'!H50='Real results'!D50),2,0),0),0),0)</f>
        <v>2</v>
      </c>
      <c r="I51" s="34">
        <f>IFERROR(IF(AND(ISNUMBER('Real results'!C50),ISNUMBER('Real results'!D50),ISNUMBER('Raw data'!I50),ISNUMBER('Raw data'!J50)),IF(SIGN('Raw data'!I50-'Raw data'!J50)=SIGN('Real results'!C50-'Real results'!D50),2+IF(AND('Raw data'!I50='Real results'!C50,'Raw data'!J50='Real results'!D50),2,0),0),0),0)</f>
        <v>0</v>
      </c>
      <c r="K51" s="34">
        <f>IFERROR(IF(AND(ISNUMBER('Real results'!C50),ISNUMBER('Real results'!D50),ISNUMBER('Raw data'!K50),ISNUMBER('Raw data'!L50)),IF(SIGN('Raw data'!K50-'Raw data'!L50)=SIGN('Real results'!C50-'Real results'!D50),2+IF(AND('Raw data'!K50='Real results'!C50,'Raw data'!L50='Real results'!D50),2,0),0),0),0)</f>
        <v>0</v>
      </c>
      <c r="M51" s="34">
        <f>IFERROR(IF(AND(ISNUMBER('Real results'!C50),ISNUMBER('Real results'!D50),ISNUMBER('Raw data'!M50),ISNUMBER('Raw data'!N50)),IF(SIGN('Raw data'!M50-'Raw data'!N50)=SIGN('Real results'!C50-'Real results'!D50),2+IF(AND('Raw data'!M50='Real results'!C50,'Raw data'!N50='Real results'!D50),2,0),0),0),0)</f>
        <v>0</v>
      </c>
      <c r="O51" s="34">
        <f>IFERROR(IF(AND(ISNUMBER('Real results'!C50),ISNUMBER('Real results'!D50),ISNUMBER('Raw data'!O50),ISNUMBER('Raw data'!P50)),IF(SIGN('Raw data'!O50-'Raw data'!P50)=SIGN('Real results'!C50-'Real results'!D50),2+IF(AND('Raw data'!O50='Real results'!C50,'Raw data'!P50='Real results'!D50),2,0),0),0),0)</f>
        <v>0</v>
      </c>
      <c r="Q51" s="34">
        <f>IFERROR(IF(AND(ISNUMBER('Real results'!C50),ISNUMBER('Real results'!D50),ISNUMBER('Raw data'!Q50),ISNUMBER('Raw data'!R50)),IF(SIGN('Raw data'!Q50-'Raw data'!R50)=SIGN('Real results'!C50-'Real results'!D50),2+IF(AND('Raw data'!Q50='Real results'!C50,'Raw data'!R50='Real results'!D50),2,0),0),0),0)</f>
        <v>0</v>
      </c>
      <c r="S51" s="34">
        <f>IFERROR(IF(AND(ISNUMBER('Real results'!C50),ISNUMBER('Real results'!D50),ISNUMBER('Raw data'!S50),ISNUMBER('Raw data'!T50)),IF(SIGN('Raw data'!S50-'Raw data'!T50)=SIGN('Real results'!C50-'Real results'!D50),2+IF(AND('Raw data'!S50='Real results'!C50,'Raw data'!T50='Real results'!D50),2,0),0),0),0)</f>
        <v>0</v>
      </c>
      <c r="U51" s="34">
        <f>IFERROR(IF(AND(ISNUMBER('Real results'!C50),ISNUMBER('Real results'!D50),ISNUMBER('Raw data'!U50),ISNUMBER('Raw data'!V50)),IF(SIGN('Raw data'!U50-'Raw data'!V50)=SIGN('Real results'!C50-'Real results'!D50),2+IF(AND('Raw data'!U50='Real results'!C50,'Raw data'!V50='Real results'!D50),2,0),0),0),0)</f>
        <v>0</v>
      </c>
      <c r="W51" s="34">
        <f>IFERROR(IF(AND(ISNUMBER('Real results'!C50),ISNUMBER('Real results'!D50),ISNUMBER('Raw data'!W50),ISNUMBER('Raw data'!X50)),IF(SIGN('Raw data'!W50-'Raw data'!X50)=SIGN('Real results'!C50-'Real results'!D50),2+IF(AND('Raw data'!W50='Real results'!C50,'Raw data'!X50='Real results'!D50),2,0),0),0),0)</f>
        <v>0</v>
      </c>
      <c r="Y51" s="34">
        <f>IFERROR(IF(AND(ISNUMBER('Real results'!C50),ISNUMBER('Real results'!D50),ISNUMBER('Raw data'!Y50),ISNUMBER('Raw data'!Z50)),IF(SIGN('Raw data'!Y50-'Raw data'!Z50)=SIGN('Real results'!C50-'Real results'!D50),2+IF(AND('Raw data'!Y50='Real results'!C50,'Raw data'!Z50='Real results'!D50),2,0),0),0),0)</f>
        <v>0</v>
      </c>
      <c r="AA51" s="34">
        <f>IFERROR(IF(AND(ISNUMBER('Real results'!C50),ISNUMBER('Real results'!D50),ISNUMBER('Raw data'!AA50),ISNUMBER('Raw data'!AB50)),IF(SIGN('Raw data'!AA50-'Raw data'!AB50)=SIGN('Real results'!C50-'Real results'!D50),2+IF(AND('Raw data'!AA50='Real results'!C50,'Raw data'!AB50='Real results'!D50),2,0),0),0),0)</f>
        <v>0</v>
      </c>
      <c r="AC51" s="34">
        <f>IFERROR(IF(AND(ISNUMBER('Real results'!C50),ISNUMBER('Real results'!D50),ISNUMBER('Raw data'!AC50),ISNUMBER('Raw data'!AD50)),IF(SIGN('Raw data'!AC50-'Raw data'!AD50)=SIGN('Real results'!C50-'Real results'!D50),2+IF(AND('Raw data'!AC50='Real results'!C50,'Raw data'!AD50='Real results'!D50),2,0),0),0),0)</f>
        <v>0</v>
      </c>
      <c r="AE51" s="34">
        <f>IFERROR(IF(AND(ISNUMBER('Real results'!C50),ISNUMBER('Real results'!D50),ISNUMBER('Raw data'!AE50),ISNUMBER('Raw data'!AF50)),IF(SIGN('Raw data'!AE50-'Raw data'!AF50)=SIGN('Real results'!C50-'Real results'!D50),2+IF(AND('Raw data'!AE50='Real results'!C50,'Raw data'!AF50='Real results'!D50),2,0),0),0),0)</f>
        <v>0</v>
      </c>
      <c r="AG51" s="34">
        <f>IFERROR(IF(AND(ISNUMBER('Real results'!C50),ISNUMBER('Real results'!D50),ISNUMBER('Raw data'!AG50),ISNUMBER('Raw data'!AH50)),IF(SIGN('Raw data'!AG50-'Raw data'!AH50)=SIGN('Real results'!C50-'Real results'!D50),2+IF(AND('Raw data'!AG50='Real results'!C50,'Raw data'!AH50='Real results'!D50),2,0),0),0),0)</f>
        <v>0</v>
      </c>
      <c r="AI51" s="34">
        <f>IFERROR(IF(AND(ISNUMBER('Real results'!C50),ISNUMBER('Real results'!D50),ISNUMBER('Raw data'!AI50),ISNUMBER('Raw data'!AJ50)),IF(SIGN('Raw data'!AI50-'Raw data'!AJ50)=SIGN('Real results'!C50-'Real results'!D50),2+IF(AND('Raw data'!AI50='Real results'!C50,'Raw data'!AJ50='Real results'!D50),2,0),0),0),0)</f>
        <v>0</v>
      </c>
      <c r="AK51" s="34">
        <f>IFERROR(IF(AND(ISNUMBER('Real results'!C50),ISNUMBER('Real results'!D50),ISNUMBER('Raw data'!AK50),ISNUMBER('Raw data'!AL50)),IF(SIGN('Raw data'!AK50-'Raw data'!AL50)=SIGN('Real results'!C50-'Real results'!D50),2+IF(AND('Raw data'!AK50='Real results'!C50,'Raw data'!AL50='Real results'!D50),2,0),0),0),0)</f>
        <v>0</v>
      </c>
      <c r="AM51" s="34">
        <f>IFERROR(IF(AND(ISNUMBER('Real results'!C50),ISNUMBER('Real results'!D50),ISNUMBER('Raw data'!AM50),ISNUMBER('Raw data'!AN50)),IF(SIGN('Raw data'!AM50-'Raw data'!AN50)=SIGN('Real results'!C50-'Real results'!D50),2+IF(AND('Raw data'!AM50='Real results'!C50,'Raw data'!AN50='Real results'!D50),2,0),0),0),0)</f>
        <v>0</v>
      </c>
      <c r="AO51" s="34">
        <f>IFERROR(IF(AND(ISNUMBER('Real results'!C50),ISNUMBER('Real results'!D50),ISNUMBER('Raw data'!AO50),ISNUMBER('Raw data'!AP50)),IF(SIGN('Raw data'!AO50-'Raw data'!AP50)=SIGN('Real results'!C50-'Real results'!D50),2+IF(AND('Raw data'!AO50='Real results'!C50,'Raw data'!AP50='Real results'!D50),2,0),0),0),0)</f>
        <v>0</v>
      </c>
      <c r="AQ51" s="34">
        <f>IFERROR(IF(AND(ISNUMBER('Real results'!C50),ISNUMBER('Real results'!D50),ISNUMBER('Raw data'!AQ50),ISNUMBER('Raw data'!AR50)),IF(SIGN('Raw data'!AQ50-'Raw data'!AR50)=SIGN('Real results'!C50-'Real results'!D50),2+IF(AND('Raw data'!AQ50='Real results'!C50,'Raw data'!AR50='Real results'!D50),2,0),0),0),0)</f>
        <v>0</v>
      </c>
      <c r="AS51" s="34">
        <f>IFERROR(IF(AND(ISNUMBER('Real results'!C50),ISNUMBER('Real results'!D50),ISNUMBER('Raw data'!AS50),ISNUMBER('Raw data'!AT50)),IF(SIGN('Raw data'!AS50-'Raw data'!AT50)=SIGN('Real results'!C50-'Real results'!D50),2+IF(AND('Raw data'!AS50='Real results'!C50,'Raw data'!AT50='Real results'!D50),2,0),0),0),0)</f>
        <v>0</v>
      </c>
      <c r="AU51" s="34">
        <f>IFERROR(IF(AND(ISNUMBER('Real results'!C50),ISNUMBER('Real results'!D50),ISNUMBER('Raw data'!AU50),ISNUMBER('Raw data'!AV50)),IF(SIGN('Raw data'!AU50-'Raw data'!AV50)=SIGN('Real results'!C50-'Real results'!D50),2+IF(AND('Raw data'!AU50='Real results'!C50,'Raw data'!AV50='Real results'!D50),2,0),0),0),0)</f>
        <v>0</v>
      </c>
      <c r="AW51" s="34">
        <f>IFERROR(IF(AND(ISNUMBER('Real results'!C50),ISNUMBER('Real results'!D50),ISNUMBER('Raw data'!AW50),ISNUMBER('Raw data'!AX50)),IF(SIGN('Raw data'!AW50-'Raw data'!AX50)=SIGN('Real results'!C50-'Real results'!D50),2+IF(AND('Raw data'!AW50='Real results'!C50,'Raw data'!AX50='Real results'!D50),2,0),0),0),0)</f>
        <v>0</v>
      </c>
      <c r="AY51" s="34">
        <f>IFERROR(IF(AND(ISNUMBER('Real results'!C50),ISNUMBER('Real results'!D50),ISNUMBER('Raw data'!AY50),ISNUMBER('Raw data'!AZ50)),IF(SIGN('Raw data'!AY50-'Raw data'!AZ50)=SIGN('Real results'!C50-'Real results'!D50),2+IF(AND('Raw data'!AY50='Real results'!C50,'Raw data'!AZ50='Real results'!D50),2,0),0),0),0)</f>
        <v>0</v>
      </c>
      <c r="BA51" s="34">
        <f>IFERROR(IF(AND(ISNUMBER('Real results'!C50),ISNUMBER('Real results'!D50),ISNUMBER('Raw data'!BA50),ISNUMBER('Raw data'!BB50)),IF(SIGN('Raw data'!BA50-'Raw data'!BB50)=SIGN('Real results'!C50-'Real results'!D50),2+IF(AND('Raw data'!BA50='Real results'!C50,'Raw data'!BB50='Real results'!D50),2,0),0),0),0)</f>
        <v>0</v>
      </c>
      <c r="BC51" s="34">
        <f>IFERROR(IF(AND(ISNUMBER('Real results'!C50),ISNUMBER('Real results'!D50),ISNUMBER('Raw data'!BC50),ISNUMBER('Raw data'!BD50)),IF(SIGN('Raw data'!BC50-'Raw data'!BD50)=SIGN('Real results'!C50-'Real results'!D50),2+IF(AND('Raw data'!BC50='Real results'!C50,'Raw data'!BD50='Real results'!D50),2,0),0),0),0)</f>
        <v>0</v>
      </c>
      <c r="BE51" s="34">
        <f>IFERROR(IF(AND(ISNUMBER('Real results'!C50),ISNUMBER('Real results'!D50),ISNUMBER('Raw data'!BE50),ISNUMBER('Raw data'!BF50)),IF(SIGN('Raw data'!BE50-'Raw data'!BF50)=SIGN('Real results'!C50-'Real results'!D50),2+IF(AND('Raw data'!BE50='Real results'!C50,'Raw data'!BF50='Real results'!D50),2,0),0),0),0)</f>
        <v>0</v>
      </c>
      <c r="BG51" s="34">
        <f>IFERROR(IF(AND(ISNUMBER('Real results'!C50),ISNUMBER('Real results'!D50),ISNUMBER('Raw data'!BG50),ISNUMBER('Raw data'!BH50)),IF(SIGN('Raw data'!BG50-'Raw data'!BH50)=SIGN('Real results'!C50-'Real results'!D50),2+IF(AND('Raw data'!BG50='Real results'!C50,'Raw data'!BH50='Real results'!D50),2,0),0),0),0)</f>
        <v>0</v>
      </c>
      <c r="BI51" s="34">
        <f>IFERROR(IF(AND(ISNUMBER('Real results'!C50),ISNUMBER('Real results'!D50),ISNUMBER('Raw data'!BI50),ISNUMBER('Raw data'!BJ50)),IF(SIGN('Raw data'!BI50-'Raw data'!BJ50)=SIGN('Real results'!C50-'Real results'!D50),2+IF(AND('Raw data'!BI50='Real results'!C50,'Raw data'!BJ50='Real results'!D50),2,0),0),0),0)</f>
        <v>0</v>
      </c>
    </row>
    <row r="52" ht="18.0" customHeight="1">
      <c r="B52" s="12" t="s">
        <v>77</v>
      </c>
      <c r="C52" s="34">
        <f>IFERROR(IF(AND(ISNUMBER('Real results'!C51),ISNUMBER('Real results'!D51),ISNUMBER('Raw data'!C49),ISNUMBER('Raw data'!D49)),IF(SIGN('Raw data'!C49-'Raw data'!D49)=SIGN('Real results'!C51-'Real results'!D51),2+IF(AND('Raw data'!C49='Real results'!C51,'Raw data'!D49='Real results'!D51),2,0),0),0),0)</f>
        <v>2</v>
      </c>
      <c r="E52" s="34">
        <f>IFERROR(IF(AND(ISNUMBER('Real results'!C51),ISNUMBER('Real results'!D51),ISNUMBER('Raw data'!E50),ISNUMBER('Raw data'!F50)),IF(SIGN('Raw data'!E50-'Raw data'!F50)=SIGN('Real results'!C51-'Real results'!D51),2+IF(AND('Raw data'!E50='Real results'!C51,'Raw data'!F50='Real results'!D51),2,0),0),0),0)</f>
        <v>2</v>
      </c>
      <c r="G52" s="34">
        <f>IFERROR(IF(AND(ISNUMBER('Real results'!C51),ISNUMBER('Real results'!D51),ISNUMBER('Raw data'!G51),ISNUMBER('Raw data'!H51)),IF(SIGN('Raw data'!G51-'Raw data'!H51)=SIGN('Real results'!C51-'Real results'!D51),2+IF(AND('Raw data'!G51='Real results'!C51,'Raw data'!H51='Real results'!D51),2,0),0),0),0)</f>
        <v>2</v>
      </c>
      <c r="I52" s="34">
        <f>IFERROR(IF(AND(ISNUMBER('Real results'!C51),ISNUMBER('Real results'!D51),ISNUMBER('Raw data'!I51),ISNUMBER('Raw data'!J51)),IF(SIGN('Raw data'!I51-'Raw data'!J51)=SIGN('Real results'!C51-'Real results'!D51),2+IF(AND('Raw data'!I51='Real results'!C51,'Raw data'!J51='Real results'!D51),2,0),0),0),0)</f>
        <v>2</v>
      </c>
      <c r="K52" s="34">
        <f>IFERROR(IF(AND(ISNUMBER('Real results'!C51),ISNUMBER('Real results'!D51),ISNUMBER('Raw data'!K51),ISNUMBER('Raw data'!L51)),IF(SIGN('Raw data'!K51-'Raw data'!L51)=SIGN('Real results'!C51-'Real results'!D51),2+IF(AND('Raw data'!K51='Real results'!C51,'Raw data'!L51='Real results'!D51),2,0),0),0),0)</f>
        <v>2</v>
      </c>
      <c r="M52" s="34">
        <f>IFERROR(IF(AND(ISNUMBER('Real results'!C51),ISNUMBER('Real results'!D51),ISNUMBER('Raw data'!M51),ISNUMBER('Raw data'!N51)),IF(SIGN('Raw data'!M51-'Raw data'!N51)=SIGN('Real results'!C51-'Real results'!D51),2+IF(AND('Raw data'!M51='Real results'!C51,'Raw data'!N51='Real results'!D51),2,0),0),0),0)</f>
        <v>0</v>
      </c>
      <c r="O52" s="34">
        <f>IFERROR(IF(AND(ISNUMBER('Real results'!C51),ISNUMBER('Real results'!D51),ISNUMBER('Raw data'!O51),ISNUMBER('Raw data'!P51)),IF(SIGN('Raw data'!O51-'Raw data'!P51)=SIGN('Real results'!C51-'Real results'!D51),2+IF(AND('Raw data'!O51='Real results'!C51,'Raw data'!P51='Real results'!D51),2,0),0),0),0)</f>
        <v>0</v>
      </c>
      <c r="Q52" s="34">
        <f>IFERROR(IF(AND(ISNUMBER('Real results'!C51),ISNUMBER('Real results'!D51),ISNUMBER('Raw data'!Q51),ISNUMBER('Raw data'!R51)),IF(SIGN('Raw data'!Q51-'Raw data'!R51)=SIGN('Real results'!C51-'Real results'!D51),2+IF(AND('Raw data'!Q51='Real results'!C51,'Raw data'!R51='Real results'!D51),2,0),0),0),0)</f>
        <v>0</v>
      </c>
      <c r="S52" s="34">
        <f>IFERROR(IF(AND(ISNUMBER('Real results'!C51),ISNUMBER('Real results'!D51),ISNUMBER('Raw data'!S51),ISNUMBER('Raw data'!T51)),IF(SIGN('Raw data'!S51-'Raw data'!T51)=SIGN('Real results'!C51-'Real results'!D51),2+IF(AND('Raw data'!S51='Real results'!C51,'Raw data'!T51='Real results'!D51),2,0),0),0),0)</f>
        <v>0</v>
      </c>
      <c r="U52" s="34">
        <f>IFERROR(IF(AND(ISNUMBER('Real results'!C51),ISNUMBER('Real results'!D51),ISNUMBER('Raw data'!U51),ISNUMBER('Raw data'!V51)),IF(SIGN('Raw data'!U51-'Raw data'!V51)=SIGN('Real results'!C51-'Real results'!D51),2+IF(AND('Raw data'!U51='Real results'!C51,'Raw data'!V51='Real results'!D51),2,0),0),0),0)</f>
        <v>0</v>
      </c>
      <c r="W52" s="34">
        <f>IFERROR(IF(AND(ISNUMBER('Real results'!C51),ISNUMBER('Real results'!D51),ISNUMBER('Raw data'!W51),ISNUMBER('Raw data'!X51)),IF(SIGN('Raw data'!W51-'Raw data'!X51)=SIGN('Real results'!C51-'Real results'!D51),2+IF(AND('Raw data'!W51='Real results'!C51,'Raw data'!X51='Real results'!D51),2,0),0),0),0)</f>
        <v>0</v>
      </c>
      <c r="Y52" s="34">
        <f>IFERROR(IF(AND(ISNUMBER('Real results'!C51),ISNUMBER('Real results'!D51),ISNUMBER('Raw data'!Y51),ISNUMBER('Raw data'!Z51)),IF(SIGN('Raw data'!Y51-'Raw data'!Z51)=SIGN('Real results'!C51-'Real results'!D51),2+IF(AND('Raw data'!Y51='Real results'!C51,'Raw data'!Z51='Real results'!D51),2,0),0),0),0)</f>
        <v>0</v>
      </c>
      <c r="AA52" s="34">
        <f>IFERROR(IF(AND(ISNUMBER('Real results'!C51),ISNUMBER('Real results'!D51),ISNUMBER('Raw data'!AA51),ISNUMBER('Raw data'!AB51)),IF(SIGN('Raw data'!AA51-'Raw data'!AB51)=SIGN('Real results'!C51-'Real results'!D51),2+IF(AND('Raw data'!AA51='Real results'!C51,'Raw data'!AB51='Real results'!D51),2,0),0),0),0)</f>
        <v>0</v>
      </c>
      <c r="AC52" s="34">
        <f>IFERROR(IF(AND(ISNUMBER('Real results'!C51),ISNUMBER('Real results'!D51),ISNUMBER('Raw data'!AC51),ISNUMBER('Raw data'!AD51)),IF(SIGN('Raw data'!AC51-'Raw data'!AD51)=SIGN('Real results'!C51-'Real results'!D51),2+IF(AND('Raw data'!AC51='Real results'!C51,'Raw data'!AD51='Real results'!D51),2,0),0),0),0)</f>
        <v>0</v>
      </c>
      <c r="AE52" s="34">
        <f>IFERROR(IF(AND(ISNUMBER('Real results'!C51),ISNUMBER('Real results'!D51),ISNUMBER('Raw data'!AE51),ISNUMBER('Raw data'!AF51)),IF(SIGN('Raw data'!AE51-'Raw data'!AF51)=SIGN('Real results'!C51-'Real results'!D51),2+IF(AND('Raw data'!AE51='Real results'!C51,'Raw data'!AF51='Real results'!D51),2,0),0),0),0)</f>
        <v>0</v>
      </c>
      <c r="AG52" s="34">
        <f>IFERROR(IF(AND(ISNUMBER('Real results'!C51),ISNUMBER('Real results'!D51),ISNUMBER('Raw data'!AG51),ISNUMBER('Raw data'!AH51)),IF(SIGN('Raw data'!AG51-'Raw data'!AH51)=SIGN('Real results'!C51-'Real results'!D51),2+IF(AND('Raw data'!AG51='Real results'!C51,'Raw data'!AH51='Real results'!D51),2,0),0),0),0)</f>
        <v>0</v>
      </c>
      <c r="AI52" s="34">
        <f>IFERROR(IF(AND(ISNUMBER('Real results'!C51),ISNUMBER('Real results'!D51),ISNUMBER('Raw data'!AI51),ISNUMBER('Raw data'!AJ51)),IF(SIGN('Raw data'!AI51-'Raw data'!AJ51)=SIGN('Real results'!C51-'Real results'!D51),2+IF(AND('Raw data'!AI51='Real results'!C51,'Raw data'!AJ51='Real results'!D51),2,0),0),0),0)</f>
        <v>0</v>
      </c>
      <c r="AK52" s="34">
        <f>IFERROR(IF(AND(ISNUMBER('Real results'!C51),ISNUMBER('Real results'!D51),ISNUMBER('Raw data'!AK51),ISNUMBER('Raw data'!AL51)),IF(SIGN('Raw data'!AK51-'Raw data'!AL51)=SIGN('Real results'!C51-'Real results'!D51),2+IF(AND('Raw data'!AK51='Real results'!C51,'Raw data'!AL51='Real results'!D51),2,0),0),0),0)</f>
        <v>0</v>
      </c>
      <c r="AM52" s="34">
        <f>IFERROR(IF(AND(ISNUMBER('Real results'!C51),ISNUMBER('Real results'!D51),ISNUMBER('Raw data'!AM51),ISNUMBER('Raw data'!AN51)),IF(SIGN('Raw data'!AM51-'Raw data'!AN51)=SIGN('Real results'!C51-'Real results'!D51),2+IF(AND('Raw data'!AM51='Real results'!C51,'Raw data'!AN51='Real results'!D51),2,0),0),0),0)</f>
        <v>0</v>
      </c>
      <c r="AO52" s="34">
        <f>IFERROR(IF(AND(ISNUMBER('Real results'!C51),ISNUMBER('Real results'!D51),ISNUMBER('Raw data'!AO51),ISNUMBER('Raw data'!AP51)),IF(SIGN('Raw data'!AO51-'Raw data'!AP51)=SIGN('Real results'!C51-'Real results'!D51),2+IF(AND('Raw data'!AO51='Real results'!C51,'Raw data'!AP51='Real results'!D51),2,0),0),0),0)</f>
        <v>0</v>
      </c>
      <c r="AQ52" s="34">
        <f>IFERROR(IF(AND(ISNUMBER('Real results'!C51),ISNUMBER('Real results'!D51),ISNUMBER('Raw data'!AQ51),ISNUMBER('Raw data'!AR51)),IF(SIGN('Raw data'!AQ51-'Raw data'!AR51)=SIGN('Real results'!C51-'Real results'!D51),2+IF(AND('Raw data'!AQ51='Real results'!C51,'Raw data'!AR51='Real results'!D51),2,0),0),0),0)</f>
        <v>0</v>
      </c>
      <c r="AS52" s="34">
        <f>IFERROR(IF(AND(ISNUMBER('Real results'!C51),ISNUMBER('Real results'!D51),ISNUMBER('Raw data'!AS51),ISNUMBER('Raw data'!AT51)),IF(SIGN('Raw data'!AS51-'Raw data'!AT51)=SIGN('Real results'!C51-'Real results'!D51),2+IF(AND('Raw data'!AS51='Real results'!C51,'Raw data'!AT51='Real results'!D51),2,0),0),0),0)</f>
        <v>0</v>
      </c>
      <c r="AU52" s="34">
        <f>IFERROR(IF(AND(ISNUMBER('Real results'!C51),ISNUMBER('Real results'!D51),ISNUMBER('Raw data'!AU51),ISNUMBER('Raw data'!AV51)),IF(SIGN('Raw data'!AU51-'Raw data'!AV51)=SIGN('Real results'!C51-'Real results'!D51),2+IF(AND('Raw data'!AU51='Real results'!C51,'Raw data'!AV51='Real results'!D51),2,0),0),0),0)</f>
        <v>0</v>
      </c>
      <c r="AW52" s="34">
        <f>IFERROR(IF(AND(ISNUMBER('Real results'!C51),ISNUMBER('Real results'!D51),ISNUMBER('Raw data'!AW51),ISNUMBER('Raw data'!AX51)),IF(SIGN('Raw data'!AW51-'Raw data'!AX51)=SIGN('Real results'!C51-'Real results'!D51),2+IF(AND('Raw data'!AW51='Real results'!C51,'Raw data'!AX51='Real results'!D51),2,0),0),0),0)</f>
        <v>0</v>
      </c>
      <c r="AY52" s="34">
        <f>IFERROR(IF(AND(ISNUMBER('Real results'!C51),ISNUMBER('Real results'!D51),ISNUMBER('Raw data'!AY51),ISNUMBER('Raw data'!AZ51)),IF(SIGN('Raw data'!AY51-'Raw data'!AZ51)=SIGN('Real results'!C51-'Real results'!D51),2+IF(AND('Raw data'!AY51='Real results'!C51,'Raw data'!AZ51='Real results'!D51),2,0),0),0),0)</f>
        <v>0</v>
      </c>
      <c r="BA52" s="34">
        <f>IFERROR(IF(AND(ISNUMBER('Real results'!C51),ISNUMBER('Real results'!D51),ISNUMBER('Raw data'!BA51),ISNUMBER('Raw data'!BB51)),IF(SIGN('Raw data'!BA51-'Raw data'!BB51)=SIGN('Real results'!C51-'Real results'!D51),2+IF(AND('Raw data'!BA51='Real results'!C51,'Raw data'!BB51='Real results'!D51),2,0),0),0),0)</f>
        <v>0</v>
      </c>
      <c r="BC52" s="34">
        <f>IFERROR(IF(AND(ISNUMBER('Real results'!C51),ISNUMBER('Real results'!D51),ISNUMBER('Raw data'!BC51),ISNUMBER('Raw data'!BD51)),IF(SIGN('Raw data'!BC51-'Raw data'!BD51)=SIGN('Real results'!C51-'Real results'!D51),2+IF(AND('Raw data'!BC51='Real results'!C51,'Raw data'!BD51='Real results'!D51),2,0),0),0),0)</f>
        <v>0</v>
      </c>
      <c r="BE52" s="34">
        <f>IFERROR(IF(AND(ISNUMBER('Real results'!C51),ISNUMBER('Real results'!D51),ISNUMBER('Raw data'!BE51),ISNUMBER('Raw data'!BF51)),IF(SIGN('Raw data'!BE51-'Raw data'!BF51)=SIGN('Real results'!C51-'Real results'!D51),2+IF(AND('Raw data'!BE51='Real results'!C51,'Raw data'!BF51='Real results'!D51),2,0),0),0),0)</f>
        <v>0</v>
      </c>
      <c r="BG52" s="34">
        <f>IFERROR(IF(AND(ISNUMBER('Real results'!C51),ISNUMBER('Real results'!D51),ISNUMBER('Raw data'!BG51),ISNUMBER('Raw data'!BH51)),IF(SIGN('Raw data'!BG51-'Raw data'!BH51)=SIGN('Real results'!C51-'Real results'!D51),2+IF(AND('Raw data'!BG51='Real results'!C51,'Raw data'!BH51='Real results'!D51),2,0),0),0),0)</f>
        <v>0</v>
      </c>
      <c r="BI52" s="34">
        <f>IFERROR(IF(AND(ISNUMBER('Real results'!C51),ISNUMBER('Real results'!D51),ISNUMBER('Raw data'!BI51),ISNUMBER('Raw data'!BJ51)),IF(SIGN('Raw data'!BI51-'Raw data'!BJ51)=SIGN('Real results'!C51-'Real results'!D51),2+IF(AND('Raw data'!BI51='Real results'!C51,'Raw data'!BJ51='Real results'!D51),2,0),0),0),0)</f>
        <v>0</v>
      </c>
    </row>
    <row r="53" ht="18.0" customHeight="1">
      <c r="B53" s="12" t="s">
        <v>78</v>
      </c>
      <c r="C53" s="34">
        <f>IFERROR(IF(AND(ISNUMBER('Real results'!C52),ISNUMBER('Real results'!D52),ISNUMBER('Raw data'!C50),ISNUMBER('Raw data'!D50)),IF(SIGN('Raw data'!C50-'Raw data'!D50)=SIGN('Real results'!C52-'Real results'!D52),2+IF(AND('Raw data'!C50='Real results'!C52,'Raw data'!D50='Real results'!D52),2,0),0),0),0)</f>
        <v>0</v>
      </c>
      <c r="E53" s="34">
        <f>IFERROR(IF(AND(ISNUMBER('Real results'!C52),ISNUMBER('Real results'!D52),ISNUMBER('Raw data'!E51),ISNUMBER('Raw data'!F51)),IF(SIGN('Raw data'!E51-'Raw data'!F51)=SIGN('Real results'!C52-'Real results'!D52),2+IF(AND('Raw data'!E51='Real results'!C52,'Raw data'!F51='Real results'!D52),2,0),0),0),0)</f>
        <v>0</v>
      </c>
      <c r="G53" s="34">
        <f>IFERROR(IF(AND(ISNUMBER('Real results'!C52),ISNUMBER('Real results'!D52),ISNUMBER('Raw data'!G52),ISNUMBER('Raw data'!H52)),IF(SIGN('Raw data'!G52-'Raw data'!H52)=SIGN('Real results'!C52-'Real results'!D52),2+IF(AND('Raw data'!G52='Real results'!C52,'Raw data'!H52='Real results'!D52),2,0),0),0),0)</f>
        <v>0</v>
      </c>
      <c r="I53" s="34">
        <f>IFERROR(IF(AND(ISNUMBER('Real results'!C52),ISNUMBER('Real results'!D52),ISNUMBER('Raw data'!I52),ISNUMBER('Raw data'!J52)),IF(SIGN('Raw data'!I52-'Raw data'!J52)=SIGN('Real results'!C52-'Real results'!D52),2+IF(AND('Raw data'!I52='Real results'!C52,'Raw data'!J52='Real results'!D52),2,0),0),0),0)</f>
        <v>0</v>
      </c>
      <c r="K53" s="34">
        <f>IFERROR(IF(AND(ISNUMBER('Real results'!C52),ISNUMBER('Real results'!D52),ISNUMBER('Raw data'!K52),ISNUMBER('Raw data'!L52)),IF(SIGN('Raw data'!K52-'Raw data'!L52)=SIGN('Real results'!C52-'Real results'!D52),2+IF(AND('Raw data'!K52='Real results'!C52,'Raw data'!L52='Real results'!D52),2,0),0),0),0)</f>
        <v>0</v>
      </c>
      <c r="M53" s="34">
        <f>IFERROR(IF(AND(ISNUMBER('Real results'!C52),ISNUMBER('Real results'!D52),ISNUMBER('Raw data'!M52),ISNUMBER('Raw data'!N52)),IF(SIGN('Raw data'!M52-'Raw data'!N52)=SIGN('Real results'!C52-'Real results'!D52),2+IF(AND('Raw data'!M52='Real results'!C52,'Raw data'!N52='Real results'!D52),2,0),0),0),0)</f>
        <v>0</v>
      </c>
      <c r="O53" s="34">
        <f>IFERROR(IF(AND(ISNUMBER('Real results'!C52),ISNUMBER('Real results'!D52),ISNUMBER('Raw data'!O52),ISNUMBER('Raw data'!P52)),IF(SIGN('Raw data'!O52-'Raw data'!P52)=SIGN('Real results'!C52-'Real results'!D52),2+IF(AND('Raw data'!O52='Real results'!C52,'Raw data'!P52='Real results'!D52),2,0),0),0),0)</f>
        <v>0</v>
      </c>
      <c r="Q53" s="34">
        <f>IFERROR(IF(AND(ISNUMBER('Real results'!C52),ISNUMBER('Real results'!D52),ISNUMBER('Raw data'!Q52),ISNUMBER('Raw data'!R52)),IF(SIGN('Raw data'!Q52-'Raw data'!R52)=SIGN('Real results'!C52-'Real results'!D52),2+IF(AND('Raw data'!Q52='Real results'!C52,'Raw data'!R52='Real results'!D52),2,0),0),0),0)</f>
        <v>0</v>
      </c>
      <c r="S53" s="34">
        <f>IFERROR(IF(AND(ISNUMBER('Real results'!C52),ISNUMBER('Real results'!D52),ISNUMBER('Raw data'!S52),ISNUMBER('Raw data'!T52)),IF(SIGN('Raw data'!S52-'Raw data'!T52)=SIGN('Real results'!C52-'Real results'!D52),2+IF(AND('Raw data'!S52='Real results'!C52,'Raw data'!T52='Real results'!D52),2,0),0),0),0)</f>
        <v>0</v>
      </c>
      <c r="U53" s="34">
        <f>IFERROR(IF(AND(ISNUMBER('Real results'!C52),ISNUMBER('Real results'!D52),ISNUMBER('Raw data'!U52),ISNUMBER('Raw data'!V52)),IF(SIGN('Raw data'!U52-'Raw data'!V52)=SIGN('Real results'!C52-'Real results'!D52),2+IF(AND('Raw data'!U52='Real results'!C52,'Raw data'!V52='Real results'!D52),2,0),0),0),0)</f>
        <v>0</v>
      </c>
      <c r="W53" s="34">
        <f>IFERROR(IF(AND(ISNUMBER('Real results'!C52),ISNUMBER('Real results'!D52),ISNUMBER('Raw data'!W52),ISNUMBER('Raw data'!X52)),IF(SIGN('Raw data'!W52-'Raw data'!X52)=SIGN('Real results'!C52-'Real results'!D52),2+IF(AND('Raw data'!W52='Real results'!C52,'Raw data'!X52='Real results'!D52),2,0),0),0),0)</f>
        <v>0</v>
      </c>
      <c r="Y53" s="34">
        <f>IFERROR(IF(AND(ISNUMBER('Real results'!C52),ISNUMBER('Real results'!D52),ISNUMBER('Raw data'!Y52),ISNUMBER('Raw data'!Z52)),IF(SIGN('Raw data'!Y52-'Raw data'!Z52)=SIGN('Real results'!C52-'Real results'!D52),2+IF(AND('Raw data'!Y52='Real results'!C52,'Raw data'!Z52='Real results'!D52),2,0),0),0),0)</f>
        <v>0</v>
      </c>
      <c r="AA53" s="34">
        <f>IFERROR(IF(AND(ISNUMBER('Real results'!C52),ISNUMBER('Real results'!D52),ISNUMBER('Raw data'!AA52),ISNUMBER('Raw data'!AB52)),IF(SIGN('Raw data'!AA52-'Raw data'!AB52)=SIGN('Real results'!C52-'Real results'!D52),2+IF(AND('Raw data'!AA52='Real results'!C52,'Raw data'!AB52='Real results'!D52),2,0),0),0),0)</f>
        <v>0</v>
      </c>
      <c r="AC53" s="34">
        <f>IFERROR(IF(AND(ISNUMBER('Real results'!C52),ISNUMBER('Real results'!D52),ISNUMBER('Raw data'!AC52),ISNUMBER('Raw data'!AD52)),IF(SIGN('Raw data'!AC52-'Raw data'!AD52)=SIGN('Real results'!C52-'Real results'!D52),2+IF(AND('Raw data'!AC52='Real results'!C52,'Raw data'!AD52='Real results'!D52),2,0),0),0),0)</f>
        <v>0</v>
      </c>
      <c r="AE53" s="34">
        <f>IFERROR(IF(AND(ISNUMBER('Real results'!C52),ISNUMBER('Real results'!D52),ISNUMBER('Raw data'!AE52),ISNUMBER('Raw data'!AF52)),IF(SIGN('Raw data'!AE52-'Raw data'!AF52)=SIGN('Real results'!C52-'Real results'!D52),2+IF(AND('Raw data'!AE52='Real results'!C52,'Raw data'!AF52='Real results'!D52),2,0),0),0),0)</f>
        <v>0</v>
      </c>
      <c r="AG53" s="34">
        <f>IFERROR(IF(AND(ISNUMBER('Real results'!C52),ISNUMBER('Real results'!D52),ISNUMBER('Raw data'!AG52),ISNUMBER('Raw data'!AH52)),IF(SIGN('Raw data'!AG52-'Raw data'!AH52)=SIGN('Real results'!C52-'Real results'!D52),2+IF(AND('Raw data'!AG52='Real results'!C52,'Raw data'!AH52='Real results'!D52),2,0),0),0),0)</f>
        <v>0</v>
      </c>
      <c r="AI53" s="34">
        <f>IFERROR(IF(AND(ISNUMBER('Real results'!C52),ISNUMBER('Real results'!D52),ISNUMBER('Raw data'!AI52),ISNUMBER('Raw data'!AJ52)),IF(SIGN('Raw data'!AI52-'Raw data'!AJ52)=SIGN('Real results'!C52-'Real results'!D52),2+IF(AND('Raw data'!AI52='Real results'!C52,'Raw data'!AJ52='Real results'!D52),2,0),0),0),0)</f>
        <v>0</v>
      </c>
      <c r="AK53" s="34">
        <f>IFERROR(IF(AND(ISNUMBER('Real results'!C52),ISNUMBER('Real results'!D52),ISNUMBER('Raw data'!AK52),ISNUMBER('Raw data'!AL52)),IF(SIGN('Raw data'!AK52-'Raw data'!AL52)=SIGN('Real results'!C52-'Real results'!D52),2+IF(AND('Raw data'!AK52='Real results'!C52,'Raw data'!AL52='Real results'!D52),2,0),0),0),0)</f>
        <v>0</v>
      </c>
      <c r="AM53" s="34">
        <f>IFERROR(IF(AND(ISNUMBER('Real results'!C52),ISNUMBER('Real results'!D52),ISNUMBER('Raw data'!AM52),ISNUMBER('Raw data'!AN52)),IF(SIGN('Raw data'!AM52-'Raw data'!AN52)=SIGN('Real results'!C52-'Real results'!D52),2+IF(AND('Raw data'!AM52='Real results'!C52,'Raw data'!AN52='Real results'!D52),2,0),0),0),0)</f>
        <v>0</v>
      </c>
      <c r="AO53" s="34">
        <f>IFERROR(IF(AND(ISNUMBER('Real results'!C52),ISNUMBER('Real results'!D52),ISNUMBER('Raw data'!AO52),ISNUMBER('Raw data'!AP52)),IF(SIGN('Raw data'!AO52-'Raw data'!AP52)=SIGN('Real results'!C52-'Real results'!D52),2+IF(AND('Raw data'!AO52='Real results'!C52,'Raw data'!AP52='Real results'!D52),2,0),0),0),0)</f>
        <v>0</v>
      </c>
      <c r="AQ53" s="34">
        <f>IFERROR(IF(AND(ISNUMBER('Real results'!C52),ISNUMBER('Real results'!D52),ISNUMBER('Raw data'!AQ52),ISNUMBER('Raw data'!AR52)),IF(SIGN('Raw data'!AQ52-'Raw data'!AR52)=SIGN('Real results'!C52-'Real results'!D52),2+IF(AND('Raw data'!AQ52='Real results'!C52,'Raw data'!AR52='Real results'!D52),2,0),0),0),0)</f>
        <v>0</v>
      </c>
      <c r="AS53" s="34">
        <f>IFERROR(IF(AND(ISNUMBER('Real results'!C52),ISNUMBER('Real results'!D52),ISNUMBER('Raw data'!AS52),ISNUMBER('Raw data'!AT52)),IF(SIGN('Raw data'!AS52-'Raw data'!AT52)=SIGN('Real results'!C52-'Real results'!D52),2+IF(AND('Raw data'!AS52='Real results'!C52,'Raw data'!AT52='Real results'!D52),2,0),0),0),0)</f>
        <v>0</v>
      </c>
      <c r="AU53" s="34">
        <f>IFERROR(IF(AND(ISNUMBER('Real results'!C52),ISNUMBER('Real results'!D52),ISNUMBER('Raw data'!AU52),ISNUMBER('Raw data'!AV52)),IF(SIGN('Raw data'!AU52-'Raw data'!AV52)=SIGN('Real results'!C52-'Real results'!D52),2+IF(AND('Raw data'!AU52='Real results'!C52,'Raw data'!AV52='Real results'!D52),2,0),0),0),0)</f>
        <v>0</v>
      </c>
      <c r="AW53" s="34">
        <f>IFERROR(IF(AND(ISNUMBER('Real results'!C52),ISNUMBER('Real results'!D52),ISNUMBER('Raw data'!AW52),ISNUMBER('Raw data'!AX52)),IF(SIGN('Raw data'!AW52-'Raw data'!AX52)=SIGN('Real results'!C52-'Real results'!D52),2+IF(AND('Raw data'!AW52='Real results'!C52,'Raw data'!AX52='Real results'!D52),2,0),0),0),0)</f>
        <v>0</v>
      </c>
      <c r="AY53" s="34">
        <f>IFERROR(IF(AND(ISNUMBER('Real results'!C52),ISNUMBER('Real results'!D52),ISNUMBER('Raw data'!AY52),ISNUMBER('Raw data'!AZ52)),IF(SIGN('Raw data'!AY52-'Raw data'!AZ52)=SIGN('Real results'!C52-'Real results'!D52),2+IF(AND('Raw data'!AY52='Real results'!C52,'Raw data'!AZ52='Real results'!D52),2,0),0),0),0)</f>
        <v>0</v>
      </c>
      <c r="BA53" s="34">
        <f>IFERROR(IF(AND(ISNUMBER('Real results'!C52),ISNUMBER('Real results'!D52),ISNUMBER('Raw data'!BA52),ISNUMBER('Raw data'!BB52)),IF(SIGN('Raw data'!BA52-'Raw data'!BB52)=SIGN('Real results'!C52-'Real results'!D52),2+IF(AND('Raw data'!BA52='Real results'!C52,'Raw data'!BB52='Real results'!D52),2,0),0),0),0)</f>
        <v>0</v>
      </c>
      <c r="BC53" s="34">
        <f>IFERROR(IF(AND(ISNUMBER('Real results'!C52),ISNUMBER('Real results'!D52),ISNUMBER('Raw data'!BC52),ISNUMBER('Raw data'!BD52)),IF(SIGN('Raw data'!BC52-'Raw data'!BD52)=SIGN('Real results'!C52-'Real results'!D52),2+IF(AND('Raw data'!BC52='Real results'!C52,'Raw data'!BD52='Real results'!D52),2,0),0),0),0)</f>
        <v>0</v>
      </c>
      <c r="BE53" s="34">
        <f>IFERROR(IF(AND(ISNUMBER('Real results'!C52),ISNUMBER('Real results'!D52),ISNUMBER('Raw data'!BE52),ISNUMBER('Raw data'!BF52)),IF(SIGN('Raw data'!BE52-'Raw data'!BF52)=SIGN('Real results'!C52-'Real results'!D52),2+IF(AND('Raw data'!BE52='Real results'!C52,'Raw data'!BF52='Real results'!D52),2,0),0),0),0)</f>
        <v>0</v>
      </c>
      <c r="BG53" s="34">
        <f>IFERROR(IF(AND(ISNUMBER('Real results'!C52),ISNUMBER('Real results'!D52),ISNUMBER('Raw data'!BG52),ISNUMBER('Raw data'!BH52)),IF(SIGN('Raw data'!BG52-'Raw data'!BH52)=SIGN('Real results'!C52-'Real results'!D52),2+IF(AND('Raw data'!BG52='Real results'!C52,'Raw data'!BH52='Real results'!D52),2,0),0),0),0)</f>
        <v>0</v>
      </c>
      <c r="BI53" s="34">
        <f>IFERROR(IF(AND(ISNUMBER('Real results'!C52),ISNUMBER('Real results'!D52),ISNUMBER('Raw data'!BI52),ISNUMBER('Raw data'!BJ52)),IF(SIGN('Raw data'!BI52-'Raw data'!BJ52)=SIGN('Real results'!C52-'Real results'!D52),2+IF(AND('Raw data'!BI52='Real results'!C52,'Raw data'!BJ52='Real results'!D52),2,0),0),0),0)</f>
        <v>0</v>
      </c>
    </row>
    <row r="54" ht="18.0" customHeight="1">
      <c r="B54" s="12" t="s">
        <v>79</v>
      </c>
      <c r="C54" s="34">
        <f>IFERROR(IF(AND(ISNUMBER('Real results'!C53),ISNUMBER('Real results'!D53),ISNUMBER('Raw data'!C51),ISNUMBER('Raw data'!D51)),IF(SIGN('Raw data'!C51-'Raw data'!D51)=SIGN('Real results'!C53-'Real results'!D53),2+IF(AND('Raw data'!C51='Real results'!C53,'Raw data'!D51='Real results'!D53),2,0),0),0),0)</f>
        <v>0</v>
      </c>
      <c r="E54" s="34">
        <f>IFERROR(IF(AND(ISNUMBER('Real results'!C53),ISNUMBER('Real results'!D53),ISNUMBER('Raw data'!E52),ISNUMBER('Raw data'!F52)),IF(SIGN('Raw data'!E52-'Raw data'!F52)=SIGN('Real results'!C53-'Real results'!D53),2+IF(AND('Raw data'!E52='Real results'!C53,'Raw data'!F52='Real results'!D53),2,0),0),0),0)</f>
        <v>0</v>
      </c>
      <c r="G54" s="34">
        <f>IFERROR(IF(AND(ISNUMBER('Real results'!C53),ISNUMBER('Real results'!D53),ISNUMBER('Raw data'!G53),ISNUMBER('Raw data'!H53)),IF(SIGN('Raw data'!G53-'Raw data'!H53)=SIGN('Real results'!C53-'Real results'!D53),2+IF(AND('Raw data'!G53='Real results'!C53,'Raw data'!H53='Real results'!D53),2,0),0),0),0)</f>
        <v>0</v>
      </c>
      <c r="I54" s="34">
        <f>IFERROR(IF(AND(ISNUMBER('Real results'!C53),ISNUMBER('Real results'!D53),ISNUMBER('Raw data'!I53),ISNUMBER('Raw data'!J53)),IF(SIGN('Raw data'!I53-'Raw data'!J53)=SIGN('Real results'!C53-'Real results'!D53),2+IF(AND('Raw data'!I53='Real results'!C53,'Raw data'!J53='Real results'!D53),2,0),0),0),0)</f>
        <v>2</v>
      </c>
      <c r="K54" s="34">
        <f>IFERROR(IF(AND(ISNUMBER('Real results'!C53),ISNUMBER('Real results'!D53),ISNUMBER('Raw data'!K53),ISNUMBER('Raw data'!L53)),IF(SIGN('Raw data'!K53-'Raw data'!L53)=SIGN('Real results'!C53-'Real results'!D53),2+IF(AND('Raw data'!K53='Real results'!C53,'Raw data'!L53='Real results'!D53),2,0),0),0),0)</f>
        <v>0</v>
      </c>
      <c r="M54" s="34">
        <f>IFERROR(IF(AND(ISNUMBER('Real results'!C53),ISNUMBER('Real results'!D53),ISNUMBER('Raw data'!M53),ISNUMBER('Raw data'!N53)),IF(SIGN('Raw data'!M53-'Raw data'!N53)=SIGN('Real results'!C53-'Real results'!D53),2+IF(AND('Raw data'!M53='Real results'!C53,'Raw data'!N53='Real results'!D53),2,0),0),0),0)</f>
        <v>0</v>
      </c>
      <c r="O54" s="34">
        <f>IFERROR(IF(AND(ISNUMBER('Real results'!C53),ISNUMBER('Real results'!D53),ISNUMBER('Raw data'!O53),ISNUMBER('Raw data'!P53)),IF(SIGN('Raw data'!O53-'Raw data'!P53)=SIGN('Real results'!C53-'Real results'!D53),2+IF(AND('Raw data'!O53='Real results'!C53,'Raw data'!P53='Real results'!D53),2,0),0),0),0)</f>
        <v>0</v>
      </c>
      <c r="Q54" s="34">
        <f>IFERROR(IF(AND(ISNUMBER('Real results'!C53),ISNUMBER('Real results'!D53),ISNUMBER('Raw data'!Q53),ISNUMBER('Raw data'!R53)),IF(SIGN('Raw data'!Q53-'Raw data'!R53)=SIGN('Real results'!C53-'Real results'!D53),2+IF(AND('Raw data'!Q53='Real results'!C53,'Raw data'!R53='Real results'!D53),2,0),0),0),0)</f>
        <v>0</v>
      </c>
      <c r="S54" s="34">
        <f>IFERROR(IF(AND(ISNUMBER('Real results'!C53),ISNUMBER('Real results'!D53),ISNUMBER('Raw data'!S53),ISNUMBER('Raw data'!T53)),IF(SIGN('Raw data'!S53-'Raw data'!T53)=SIGN('Real results'!C53-'Real results'!D53),2+IF(AND('Raw data'!S53='Real results'!C53,'Raw data'!T53='Real results'!D53),2,0),0),0),0)</f>
        <v>0</v>
      </c>
      <c r="U54" s="34">
        <f>IFERROR(IF(AND(ISNUMBER('Real results'!C53),ISNUMBER('Real results'!D53),ISNUMBER('Raw data'!U53),ISNUMBER('Raw data'!V53)),IF(SIGN('Raw data'!U53-'Raw data'!V53)=SIGN('Real results'!C53-'Real results'!D53),2+IF(AND('Raw data'!U53='Real results'!C53,'Raw data'!V53='Real results'!D53),2,0),0),0),0)</f>
        <v>0</v>
      </c>
      <c r="W54" s="34">
        <f>IFERROR(IF(AND(ISNUMBER('Real results'!C53),ISNUMBER('Real results'!D53),ISNUMBER('Raw data'!W53),ISNUMBER('Raw data'!X53)),IF(SIGN('Raw data'!W53-'Raw data'!X53)=SIGN('Real results'!C53-'Real results'!D53),2+IF(AND('Raw data'!W53='Real results'!C53,'Raw data'!X53='Real results'!D53),2,0),0),0),0)</f>
        <v>0</v>
      </c>
      <c r="Y54" s="34">
        <f>IFERROR(IF(AND(ISNUMBER('Real results'!C53),ISNUMBER('Real results'!D53),ISNUMBER('Raw data'!Y53),ISNUMBER('Raw data'!Z53)),IF(SIGN('Raw data'!Y53-'Raw data'!Z53)=SIGN('Real results'!C53-'Real results'!D53),2+IF(AND('Raw data'!Y53='Real results'!C53,'Raw data'!Z53='Real results'!D53),2,0),0),0),0)</f>
        <v>0</v>
      </c>
      <c r="AA54" s="34">
        <f>IFERROR(IF(AND(ISNUMBER('Real results'!C53),ISNUMBER('Real results'!D53),ISNUMBER('Raw data'!AA53),ISNUMBER('Raw data'!AB53)),IF(SIGN('Raw data'!AA53-'Raw data'!AB53)=SIGN('Real results'!C53-'Real results'!D53),2+IF(AND('Raw data'!AA53='Real results'!C53,'Raw data'!AB53='Real results'!D53),2,0),0),0),0)</f>
        <v>0</v>
      </c>
      <c r="AC54" s="34">
        <f>IFERROR(IF(AND(ISNUMBER('Real results'!C53),ISNUMBER('Real results'!D53),ISNUMBER('Raw data'!AC53),ISNUMBER('Raw data'!AD53)),IF(SIGN('Raw data'!AC53-'Raw data'!AD53)=SIGN('Real results'!C53-'Real results'!D53),2+IF(AND('Raw data'!AC53='Real results'!C53,'Raw data'!AD53='Real results'!D53),2,0),0),0),0)</f>
        <v>0</v>
      </c>
      <c r="AE54" s="34">
        <f>IFERROR(IF(AND(ISNUMBER('Real results'!C53),ISNUMBER('Real results'!D53),ISNUMBER('Raw data'!AE53),ISNUMBER('Raw data'!AF53)),IF(SIGN('Raw data'!AE53-'Raw data'!AF53)=SIGN('Real results'!C53-'Real results'!D53),2+IF(AND('Raw data'!AE53='Real results'!C53,'Raw data'!AF53='Real results'!D53),2,0),0),0),0)</f>
        <v>0</v>
      </c>
      <c r="AG54" s="34">
        <f>IFERROR(IF(AND(ISNUMBER('Real results'!C53),ISNUMBER('Real results'!D53),ISNUMBER('Raw data'!AG53),ISNUMBER('Raw data'!AH53)),IF(SIGN('Raw data'!AG53-'Raw data'!AH53)=SIGN('Real results'!C53-'Real results'!D53),2+IF(AND('Raw data'!AG53='Real results'!C53,'Raw data'!AH53='Real results'!D53),2,0),0),0),0)</f>
        <v>0</v>
      </c>
      <c r="AI54" s="34">
        <f>IFERROR(IF(AND(ISNUMBER('Real results'!C53),ISNUMBER('Real results'!D53),ISNUMBER('Raw data'!AI53),ISNUMBER('Raw data'!AJ53)),IF(SIGN('Raw data'!AI53-'Raw data'!AJ53)=SIGN('Real results'!C53-'Real results'!D53),2+IF(AND('Raw data'!AI53='Real results'!C53,'Raw data'!AJ53='Real results'!D53),2,0),0),0),0)</f>
        <v>0</v>
      </c>
      <c r="AK54" s="34">
        <f>IFERROR(IF(AND(ISNUMBER('Real results'!C53),ISNUMBER('Real results'!D53),ISNUMBER('Raw data'!AK53),ISNUMBER('Raw data'!AL53)),IF(SIGN('Raw data'!AK53-'Raw data'!AL53)=SIGN('Real results'!C53-'Real results'!D53),2+IF(AND('Raw data'!AK53='Real results'!C53,'Raw data'!AL53='Real results'!D53),2,0),0),0),0)</f>
        <v>0</v>
      </c>
      <c r="AM54" s="34">
        <f>IFERROR(IF(AND(ISNUMBER('Real results'!C53),ISNUMBER('Real results'!D53),ISNUMBER('Raw data'!AM53),ISNUMBER('Raw data'!AN53)),IF(SIGN('Raw data'!AM53-'Raw data'!AN53)=SIGN('Real results'!C53-'Real results'!D53),2+IF(AND('Raw data'!AM53='Real results'!C53,'Raw data'!AN53='Real results'!D53),2,0),0),0),0)</f>
        <v>0</v>
      </c>
      <c r="AO54" s="34">
        <f>IFERROR(IF(AND(ISNUMBER('Real results'!C53),ISNUMBER('Real results'!D53),ISNUMBER('Raw data'!AO53),ISNUMBER('Raw data'!AP53)),IF(SIGN('Raw data'!AO53-'Raw data'!AP53)=SIGN('Real results'!C53-'Real results'!D53),2+IF(AND('Raw data'!AO53='Real results'!C53,'Raw data'!AP53='Real results'!D53),2,0),0),0),0)</f>
        <v>0</v>
      </c>
      <c r="AQ54" s="34">
        <f>IFERROR(IF(AND(ISNUMBER('Real results'!C53),ISNUMBER('Real results'!D53),ISNUMBER('Raw data'!AQ53),ISNUMBER('Raw data'!AR53)),IF(SIGN('Raw data'!AQ53-'Raw data'!AR53)=SIGN('Real results'!C53-'Real results'!D53),2+IF(AND('Raw data'!AQ53='Real results'!C53,'Raw data'!AR53='Real results'!D53),2,0),0),0),0)</f>
        <v>0</v>
      </c>
      <c r="AS54" s="34">
        <f>IFERROR(IF(AND(ISNUMBER('Real results'!C53),ISNUMBER('Real results'!D53),ISNUMBER('Raw data'!AS53),ISNUMBER('Raw data'!AT53)),IF(SIGN('Raw data'!AS53-'Raw data'!AT53)=SIGN('Real results'!C53-'Real results'!D53),2+IF(AND('Raw data'!AS53='Real results'!C53,'Raw data'!AT53='Real results'!D53),2,0),0),0),0)</f>
        <v>0</v>
      </c>
      <c r="AU54" s="34">
        <f>IFERROR(IF(AND(ISNUMBER('Real results'!C53),ISNUMBER('Real results'!D53),ISNUMBER('Raw data'!AU53),ISNUMBER('Raw data'!AV53)),IF(SIGN('Raw data'!AU53-'Raw data'!AV53)=SIGN('Real results'!C53-'Real results'!D53),2+IF(AND('Raw data'!AU53='Real results'!C53,'Raw data'!AV53='Real results'!D53),2,0),0),0),0)</f>
        <v>0</v>
      </c>
      <c r="AW54" s="34">
        <f>IFERROR(IF(AND(ISNUMBER('Real results'!C53),ISNUMBER('Real results'!D53),ISNUMBER('Raw data'!AW53),ISNUMBER('Raw data'!AX53)),IF(SIGN('Raw data'!AW53-'Raw data'!AX53)=SIGN('Real results'!C53-'Real results'!D53),2+IF(AND('Raw data'!AW53='Real results'!C53,'Raw data'!AX53='Real results'!D53),2,0),0),0),0)</f>
        <v>0</v>
      </c>
      <c r="AY54" s="34">
        <f>IFERROR(IF(AND(ISNUMBER('Real results'!C53),ISNUMBER('Real results'!D53),ISNUMBER('Raw data'!AY53),ISNUMBER('Raw data'!AZ53)),IF(SIGN('Raw data'!AY53-'Raw data'!AZ53)=SIGN('Real results'!C53-'Real results'!D53),2+IF(AND('Raw data'!AY53='Real results'!C53,'Raw data'!AZ53='Real results'!D53),2,0),0),0),0)</f>
        <v>0</v>
      </c>
      <c r="BA54" s="34">
        <f>IFERROR(IF(AND(ISNUMBER('Real results'!C53),ISNUMBER('Real results'!D53),ISNUMBER('Raw data'!BA53),ISNUMBER('Raw data'!BB53)),IF(SIGN('Raw data'!BA53-'Raw data'!BB53)=SIGN('Real results'!C53-'Real results'!D53),2+IF(AND('Raw data'!BA53='Real results'!C53,'Raw data'!BB53='Real results'!D53),2,0),0),0),0)</f>
        <v>0</v>
      </c>
      <c r="BC54" s="34">
        <f>IFERROR(IF(AND(ISNUMBER('Real results'!C53),ISNUMBER('Real results'!D53),ISNUMBER('Raw data'!BC53),ISNUMBER('Raw data'!BD53)),IF(SIGN('Raw data'!BC53-'Raw data'!BD53)=SIGN('Real results'!C53-'Real results'!D53),2+IF(AND('Raw data'!BC53='Real results'!C53,'Raw data'!BD53='Real results'!D53),2,0),0),0),0)</f>
        <v>0</v>
      </c>
      <c r="BE54" s="34">
        <f>IFERROR(IF(AND(ISNUMBER('Real results'!C53),ISNUMBER('Real results'!D53),ISNUMBER('Raw data'!BE53),ISNUMBER('Raw data'!BF53)),IF(SIGN('Raw data'!BE53-'Raw data'!BF53)=SIGN('Real results'!C53-'Real results'!D53),2+IF(AND('Raw data'!BE53='Real results'!C53,'Raw data'!BF53='Real results'!D53),2,0),0),0),0)</f>
        <v>0</v>
      </c>
      <c r="BG54" s="34">
        <f>IFERROR(IF(AND(ISNUMBER('Real results'!C53),ISNUMBER('Real results'!D53),ISNUMBER('Raw data'!BG53),ISNUMBER('Raw data'!BH53)),IF(SIGN('Raw data'!BG53-'Raw data'!BH53)=SIGN('Real results'!C53-'Real results'!D53),2+IF(AND('Raw data'!BG53='Real results'!C53,'Raw data'!BH53='Real results'!D53),2,0),0),0),0)</f>
        <v>0</v>
      </c>
      <c r="BI54" s="34">
        <f>IFERROR(IF(AND(ISNUMBER('Real results'!C53),ISNUMBER('Real results'!D53),ISNUMBER('Raw data'!BI53),ISNUMBER('Raw data'!BJ53)),IF(SIGN('Raw data'!BI53-'Raw data'!BJ53)=SIGN('Real results'!C53-'Real results'!D53),2+IF(AND('Raw data'!BI53='Real results'!C53,'Raw data'!BJ53='Real results'!D53),2,0),0),0),0)</f>
        <v>0</v>
      </c>
    </row>
    <row r="55" ht="18.0" customHeight="1">
      <c r="B55" s="12" t="s">
        <v>80</v>
      </c>
      <c r="C55" s="34">
        <f>IFERROR(IF(AND(ISNUMBER('Real results'!C54),ISNUMBER('Real results'!D54),ISNUMBER('Raw data'!C52),ISNUMBER('Raw data'!D52)),IF(SIGN('Raw data'!C52-'Raw data'!D52)=SIGN('Real results'!C54-'Real results'!D54),2+IF(AND('Raw data'!C52='Real results'!C54,'Raw data'!D52='Real results'!D54),2,0),0),0),0)</f>
        <v>2</v>
      </c>
      <c r="E55" s="34">
        <f>IFERROR(IF(AND(ISNUMBER('Real results'!C54),ISNUMBER('Real results'!D54),ISNUMBER('Raw data'!E53),ISNUMBER('Raw data'!F53)),IF(SIGN('Raw data'!E53-'Raw data'!F53)=SIGN('Real results'!C54-'Real results'!D54),2+IF(AND('Raw data'!E53='Real results'!C54,'Raw data'!F53='Real results'!D54),2,0),0),0),0)</f>
        <v>0</v>
      </c>
      <c r="G55" s="34">
        <f>IFERROR(IF(AND(ISNUMBER('Real results'!C54),ISNUMBER('Real results'!D54),ISNUMBER('Raw data'!G54),ISNUMBER('Raw data'!H54)),IF(SIGN('Raw data'!G54-'Raw data'!H54)=SIGN('Real results'!C54-'Real results'!D54),2+IF(AND('Raw data'!G54='Real results'!C54,'Raw data'!H54='Real results'!D54),2,0),0),0),0)</f>
        <v>2</v>
      </c>
      <c r="I55" s="34">
        <f>IFERROR(IF(AND(ISNUMBER('Real results'!C54),ISNUMBER('Real results'!D54),ISNUMBER('Raw data'!I54),ISNUMBER('Raw data'!J54)),IF(SIGN('Raw data'!I54-'Raw data'!J54)=SIGN('Real results'!C54-'Real results'!D54),2+IF(AND('Raw data'!I54='Real results'!C54,'Raw data'!J54='Real results'!D54),2,0),0),0),0)</f>
        <v>2</v>
      </c>
      <c r="K55" s="34">
        <f>IFERROR(IF(AND(ISNUMBER('Real results'!C54),ISNUMBER('Real results'!D54),ISNUMBER('Raw data'!K54),ISNUMBER('Raw data'!L54)),IF(SIGN('Raw data'!K54-'Raw data'!L54)=SIGN('Real results'!C54-'Real results'!D54),2+IF(AND('Raw data'!K54='Real results'!C54,'Raw data'!L54='Real results'!D54),2,0),0),0),0)</f>
        <v>2</v>
      </c>
      <c r="M55" s="34">
        <f>IFERROR(IF(AND(ISNUMBER('Real results'!C54),ISNUMBER('Real results'!D54),ISNUMBER('Raw data'!M54),ISNUMBER('Raw data'!N54)),IF(SIGN('Raw data'!M54-'Raw data'!N54)=SIGN('Real results'!C54-'Real results'!D54),2+IF(AND('Raw data'!M54='Real results'!C54,'Raw data'!N54='Real results'!D54),2,0),0),0),0)</f>
        <v>0</v>
      </c>
      <c r="O55" s="34">
        <f>IFERROR(IF(AND(ISNUMBER('Real results'!C54),ISNUMBER('Real results'!D54),ISNUMBER('Raw data'!O54),ISNUMBER('Raw data'!P54)),IF(SIGN('Raw data'!O54-'Raw data'!P54)=SIGN('Real results'!C54-'Real results'!D54),2+IF(AND('Raw data'!O54='Real results'!C54,'Raw data'!P54='Real results'!D54),2,0),0),0),0)</f>
        <v>0</v>
      </c>
      <c r="Q55" s="34">
        <f>IFERROR(IF(AND(ISNUMBER('Real results'!C54),ISNUMBER('Real results'!D54),ISNUMBER('Raw data'!Q54),ISNUMBER('Raw data'!R54)),IF(SIGN('Raw data'!Q54-'Raw data'!R54)=SIGN('Real results'!C54-'Real results'!D54),2+IF(AND('Raw data'!Q54='Real results'!C54,'Raw data'!R54='Real results'!D54),2,0),0),0),0)</f>
        <v>0</v>
      </c>
      <c r="S55" s="34">
        <f>IFERROR(IF(AND(ISNUMBER('Real results'!C54),ISNUMBER('Real results'!D54),ISNUMBER('Raw data'!S54),ISNUMBER('Raw data'!T54)),IF(SIGN('Raw data'!S54-'Raw data'!T54)=SIGN('Real results'!C54-'Real results'!D54),2+IF(AND('Raw data'!S54='Real results'!C54,'Raw data'!T54='Real results'!D54),2,0),0),0),0)</f>
        <v>0</v>
      </c>
      <c r="U55" s="34">
        <f>IFERROR(IF(AND(ISNUMBER('Real results'!C54),ISNUMBER('Real results'!D54),ISNUMBER('Raw data'!U54),ISNUMBER('Raw data'!V54)),IF(SIGN('Raw data'!U54-'Raw data'!V54)=SIGN('Real results'!C54-'Real results'!D54),2+IF(AND('Raw data'!U54='Real results'!C54,'Raw data'!V54='Real results'!D54),2,0),0),0),0)</f>
        <v>0</v>
      </c>
      <c r="W55" s="34">
        <f>IFERROR(IF(AND(ISNUMBER('Real results'!C54),ISNUMBER('Real results'!D54),ISNUMBER('Raw data'!W54),ISNUMBER('Raw data'!X54)),IF(SIGN('Raw data'!W54-'Raw data'!X54)=SIGN('Real results'!C54-'Real results'!D54),2+IF(AND('Raw data'!W54='Real results'!C54,'Raw data'!X54='Real results'!D54),2,0),0),0),0)</f>
        <v>0</v>
      </c>
      <c r="Y55" s="34">
        <f>IFERROR(IF(AND(ISNUMBER('Real results'!C54),ISNUMBER('Real results'!D54),ISNUMBER('Raw data'!Y54),ISNUMBER('Raw data'!Z54)),IF(SIGN('Raw data'!Y54-'Raw data'!Z54)=SIGN('Real results'!C54-'Real results'!D54),2+IF(AND('Raw data'!Y54='Real results'!C54,'Raw data'!Z54='Real results'!D54),2,0),0),0),0)</f>
        <v>0</v>
      </c>
      <c r="AA55" s="34">
        <f>IFERROR(IF(AND(ISNUMBER('Real results'!C54),ISNUMBER('Real results'!D54),ISNUMBER('Raw data'!AA54),ISNUMBER('Raw data'!AB54)),IF(SIGN('Raw data'!AA54-'Raw data'!AB54)=SIGN('Real results'!C54-'Real results'!D54),2+IF(AND('Raw data'!AA54='Real results'!C54,'Raw data'!AB54='Real results'!D54),2,0),0),0),0)</f>
        <v>0</v>
      </c>
      <c r="AC55" s="34">
        <f>IFERROR(IF(AND(ISNUMBER('Real results'!C54),ISNUMBER('Real results'!D54),ISNUMBER('Raw data'!AC54),ISNUMBER('Raw data'!AD54)),IF(SIGN('Raw data'!AC54-'Raw data'!AD54)=SIGN('Real results'!C54-'Real results'!D54),2+IF(AND('Raw data'!AC54='Real results'!C54,'Raw data'!AD54='Real results'!D54),2,0),0),0),0)</f>
        <v>0</v>
      </c>
      <c r="AE55" s="34">
        <f>IFERROR(IF(AND(ISNUMBER('Real results'!C54),ISNUMBER('Real results'!D54),ISNUMBER('Raw data'!AE54),ISNUMBER('Raw data'!AF54)),IF(SIGN('Raw data'!AE54-'Raw data'!AF54)=SIGN('Real results'!C54-'Real results'!D54),2+IF(AND('Raw data'!AE54='Real results'!C54,'Raw data'!AF54='Real results'!D54),2,0),0),0),0)</f>
        <v>0</v>
      </c>
      <c r="AG55" s="34">
        <f>IFERROR(IF(AND(ISNUMBER('Real results'!C54),ISNUMBER('Real results'!D54),ISNUMBER('Raw data'!AG54),ISNUMBER('Raw data'!AH54)),IF(SIGN('Raw data'!AG54-'Raw data'!AH54)=SIGN('Real results'!C54-'Real results'!D54),2+IF(AND('Raw data'!AG54='Real results'!C54,'Raw data'!AH54='Real results'!D54),2,0),0),0),0)</f>
        <v>0</v>
      </c>
      <c r="AI55" s="34">
        <f>IFERROR(IF(AND(ISNUMBER('Real results'!C54),ISNUMBER('Real results'!D54),ISNUMBER('Raw data'!AI54),ISNUMBER('Raw data'!AJ54)),IF(SIGN('Raw data'!AI54-'Raw data'!AJ54)=SIGN('Real results'!C54-'Real results'!D54),2+IF(AND('Raw data'!AI54='Real results'!C54,'Raw data'!AJ54='Real results'!D54),2,0),0),0),0)</f>
        <v>0</v>
      </c>
      <c r="AK55" s="34">
        <f>IFERROR(IF(AND(ISNUMBER('Real results'!C54),ISNUMBER('Real results'!D54),ISNUMBER('Raw data'!AK54),ISNUMBER('Raw data'!AL54)),IF(SIGN('Raw data'!AK54-'Raw data'!AL54)=SIGN('Real results'!C54-'Real results'!D54),2+IF(AND('Raw data'!AK54='Real results'!C54,'Raw data'!AL54='Real results'!D54),2,0),0),0),0)</f>
        <v>0</v>
      </c>
      <c r="AM55" s="34">
        <f>IFERROR(IF(AND(ISNUMBER('Real results'!C54),ISNUMBER('Real results'!D54),ISNUMBER('Raw data'!AM54),ISNUMBER('Raw data'!AN54)),IF(SIGN('Raw data'!AM54-'Raw data'!AN54)=SIGN('Real results'!C54-'Real results'!D54),2+IF(AND('Raw data'!AM54='Real results'!C54,'Raw data'!AN54='Real results'!D54),2,0),0),0),0)</f>
        <v>0</v>
      </c>
      <c r="AO55" s="34">
        <f>IFERROR(IF(AND(ISNUMBER('Real results'!C54),ISNUMBER('Real results'!D54),ISNUMBER('Raw data'!AO54),ISNUMBER('Raw data'!AP54)),IF(SIGN('Raw data'!AO54-'Raw data'!AP54)=SIGN('Real results'!C54-'Real results'!D54),2+IF(AND('Raw data'!AO54='Real results'!C54,'Raw data'!AP54='Real results'!D54),2,0),0),0),0)</f>
        <v>0</v>
      </c>
      <c r="AQ55" s="34">
        <f>IFERROR(IF(AND(ISNUMBER('Real results'!C54),ISNUMBER('Real results'!D54),ISNUMBER('Raw data'!AQ54),ISNUMBER('Raw data'!AR54)),IF(SIGN('Raw data'!AQ54-'Raw data'!AR54)=SIGN('Real results'!C54-'Real results'!D54),2+IF(AND('Raw data'!AQ54='Real results'!C54,'Raw data'!AR54='Real results'!D54),2,0),0),0),0)</f>
        <v>0</v>
      </c>
      <c r="AS55" s="34">
        <f>IFERROR(IF(AND(ISNUMBER('Real results'!C54),ISNUMBER('Real results'!D54),ISNUMBER('Raw data'!AS54),ISNUMBER('Raw data'!AT54)),IF(SIGN('Raw data'!AS54-'Raw data'!AT54)=SIGN('Real results'!C54-'Real results'!D54),2+IF(AND('Raw data'!AS54='Real results'!C54,'Raw data'!AT54='Real results'!D54),2,0),0),0),0)</f>
        <v>0</v>
      </c>
      <c r="AU55" s="34">
        <f>IFERROR(IF(AND(ISNUMBER('Real results'!C54),ISNUMBER('Real results'!D54),ISNUMBER('Raw data'!AU54),ISNUMBER('Raw data'!AV54)),IF(SIGN('Raw data'!AU54-'Raw data'!AV54)=SIGN('Real results'!C54-'Real results'!D54),2+IF(AND('Raw data'!AU54='Real results'!C54,'Raw data'!AV54='Real results'!D54),2,0),0),0),0)</f>
        <v>0</v>
      </c>
      <c r="AW55" s="34">
        <f>IFERROR(IF(AND(ISNUMBER('Real results'!C54),ISNUMBER('Real results'!D54),ISNUMBER('Raw data'!AW54),ISNUMBER('Raw data'!AX54)),IF(SIGN('Raw data'!AW54-'Raw data'!AX54)=SIGN('Real results'!C54-'Real results'!D54),2+IF(AND('Raw data'!AW54='Real results'!C54,'Raw data'!AX54='Real results'!D54),2,0),0),0),0)</f>
        <v>0</v>
      </c>
      <c r="AY55" s="34">
        <f>IFERROR(IF(AND(ISNUMBER('Real results'!C54),ISNUMBER('Real results'!D54),ISNUMBER('Raw data'!AY54),ISNUMBER('Raw data'!AZ54)),IF(SIGN('Raw data'!AY54-'Raw data'!AZ54)=SIGN('Real results'!C54-'Real results'!D54),2+IF(AND('Raw data'!AY54='Real results'!C54,'Raw data'!AZ54='Real results'!D54),2,0),0),0),0)</f>
        <v>0</v>
      </c>
      <c r="BA55" s="34">
        <f>IFERROR(IF(AND(ISNUMBER('Real results'!C54),ISNUMBER('Real results'!D54),ISNUMBER('Raw data'!BA54),ISNUMBER('Raw data'!BB54)),IF(SIGN('Raw data'!BA54-'Raw data'!BB54)=SIGN('Real results'!C54-'Real results'!D54),2+IF(AND('Raw data'!BA54='Real results'!C54,'Raw data'!BB54='Real results'!D54),2,0),0),0),0)</f>
        <v>0</v>
      </c>
      <c r="BC55" s="34">
        <f>IFERROR(IF(AND(ISNUMBER('Real results'!C54),ISNUMBER('Real results'!D54),ISNUMBER('Raw data'!BC54),ISNUMBER('Raw data'!BD54)),IF(SIGN('Raw data'!BC54-'Raw data'!BD54)=SIGN('Real results'!C54-'Real results'!D54),2+IF(AND('Raw data'!BC54='Real results'!C54,'Raw data'!BD54='Real results'!D54),2,0),0),0),0)</f>
        <v>0</v>
      </c>
      <c r="BE55" s="34">
        <f>IFERROR(IF(AND(ISNUMBER('Real results'!C54),ISNUMBER('Real results'!D54),ISNUMBER('Raw data'!BE54),ISNUMBER('Raw data'!BF54)),IF(SIGN('Raw data'!BE54-'Raw data'!BF54)=SIGN('Real results'!C54-'Real results'!D54),2+IF(AND('Raw data'!BE54='Real results'!C54,'Raw data'!BF54='Real results'!D54),2,0),0),0),0)</f>
        <v>0</v>
      </c>
      <c r="BG55" s="34">
        <f>IFERROR(IF(AND(ISNUMBER('Real results'!C54),ISNUMBER('Real results'!D54),ISNUMBER('Raw data'!BG54),ISNUMBER('Raw data'!BH54)),IF(SIGN('Raw data'!BG54-'Raw data'!BH54)=SIGN('Real results'!C54-'Real results'!D54),2+IF(AND('Raw data'!BG54='Real results'!C54,'Raw data'!BH54='Real results'!D54),2,0),0),0),0)</f>
        <v>0</v>
      </c>
      <c r="BI55" s="34">
        <f>IFERROR(IF(AND(ISNUMBER('Real results'!C54),ISNUMBER('Real results'!D54),ISNUMBER('Raw data'!BI54),ISNUMBER('Raw data'!BJ54)),IF(SIGN('Raw data'!BI54-'Raw data'!BJ54)=SIGN('Real results'!C54-'Real results'!D54),2+IF(AND('Raw data'!BI54='Real results'!C54,'Raw data'!BJ54='Real results'!D54),2,0),0),0),0)</f>
        <v>0</v>
      </c>
    </row>
    <row r="56" ht="18.0" customHeight="1">
      <c r="B56" s="12" t="s">
        <v>81</v>
      </c>
      <c r="C56" s="34">
        <f>IFERROR(IF(AND(ISNUMBER('Real results'!C55),ISNUMBER('Real results'!D55),ISNUMBER('Raw data'!C53),ISNUMBER('Raw data'!D53)),IF(SIGN('Raw data'!C53-'Raw data'!D53)=SIGN('Real results'!C55-'Real results'!D55),2+IF(AND('Raw data'!C53='Real results'!C55,'Raw data'!D53='Real results'!D55),2,0),0),0),0)</f>
        <v>0</v>
      </c>
      <c r="E56" s="34">
        <f>IFERROR(IF(AND(ISNUMBER('Real results'!C55),ISNUMBER('Real results'!D55),ISNUMBER('Raw data'!E54),ISNUMBER('Raw data'!F54)),IF(SIGN('Raw data'!E54-'Raw data'!F54)=SIGN('Real results'!C55-'Real results'!D55),2+IF(AND('Raw data'!E54='Real results'!C55,'Raw data'!F54='Real results'!D55),2,0),0),0),0)</f>
        <v>0</v>
      </c>
      <c r="G56" s="34">
        <f>IFERROR(IF(AND(ISNUMBER('Real results'!C55),ISNUMBER('Real results'!D55),ISNUMBER('Raw data'!G55),ISNUMBER('Raw data'!H55)),IF(SIGN('Raw data'!G55-'Raw data'!H55)=SIGN('Real results'!C55-'Real results'!D55),2+IF(AND('Raw data'!G55='Real results'!C55,'Raw data'!H55='Real results'!D55),2,0),0),0),0)</f>
        <v>2</v>
      </c>
      <c r="I56" s="34">
        <f>IFERROR(IF(AND(ISNUMBER('Real results'!C55),ISNUMBER('Real results'!D55),ISNUMBER('Raw data'!I55),ISNUMBER('Raw data'!J55)),IF(SIGN('Raw data'!I55-'Raw data'!J55)=SIGN('Real results'!C55-'Real results'!D55),2+IF(AND('Raw data'!I55='Real results'!C55,'Raw data'!J55='Real results'!D55),2,0),0),0),0)</f>
        <v>2</v>
      </c>
      <c r="K56" s="34">
        <f>IFERROR(IF(AND(ISNUMBER('Real results'!C55),ISNUMBER('Real results'!D55),ISNUMBER('Raw data'!K55),ISNUMBER('Raw data'!L55)),IF(SIGN('Raw data'!K55-'Raw data'!L55)=SIGN('Real results'!C55-'Real results'!D55),2+IF(AND('Raw data'!K55='Real results'!C55,'Raw data'!L55='Real results'!D55),2,0),0),0),0)</f>
        <v>2</v>
      </c>
      <c r="M56" s="34">
        <f>IFERROR(IF(AND(ISNUMBER('Real results'!C55),ISNUMBER('Real results'!D55),ISNUMBER('Raw data'!M55),ISNUMBER('Raw data'!N55)),IF(SIGN('Raw data'!M55-'Raw data'!N55)=SIGN('Real results'!C55-'Real results'!D55),2+IF(AND('Raw data'!M55='Real results'!C55,'Raw data'!N55='Real results'!D55),2,0),0),0),0)</f>
        <v>0</v>
      </c>
      <c r="O56" s="34">
        <f>IFERROR(IF(AND(ISNUMBER('Real results'!C55),ISNUMBER('Real results'!D55),ISNUMBER('Raw data'!O55),ISNUMBER('Raw data'!P55)),IF(SIGN('Raw data'!O55-'Raw data'!P55)=SIGN('Real results'!C55-'Real results'!D55),2+IF(AND('Raw data'!O55='Real results'!C55,'Raw data'!P55='Real results'!D55),2,0),0),0),0)</f>
        <v>0</v>
      </c>
      <c r="Q56" s="34">
        <f>IFERROR(IF(AND(ISNUMBER('Real results'!C55),ISNUMBER('Real results'!D55),ISNUMBER('Raw data'!Q55),ISNUMBER('Raw data'!R55)),IF(SIGN('Raw data'!Q55-'Raw data'!R55)=SIGN('Real results'!C55-'Real results'!D55),2+IF(AND('Raw data'!Q55='Real results'!C55,'Raw data'!R55='Real results'!D55),2,0),0),0),0)</f>
        <v>0</v>
      </c>
      <c r="S56" s="34">
        <f>IFERROR(IF(AND(ISNUMBER('Real results'!C55),ISNUMBER('Real results'!D55),ISNUMBER('Raw data'!S55),ISNUMBER('Raw data'!T55)),IF(SIGN('Raw data'!S55-'Raw data'!T55)=SIGN('Real results'!C55-'Real results'!D55),2+IF(AND('Raw data'!S55='Real results'!C55,'Raw data'!T55='Real results'!D55),2,0),0),0),0)</f>
        <v>0</v>
      </c>
      <c r="U56" s="34">
        <f>IFERROR(IF(AND(ISNUMBER('Real results'!C55),ISNUMBER('Real results'!D55),ISNUMBER('Raw data'!U55),ISNUMBER('Raw data'!V55)),IF(SIGN('Raw data'!U55-'Raw data'!V55)=SIGN('Real results'!C55-'Real results'!D55),2+IF(AND('Raw data'!U55='Real results'!C55,'Raw data'!V55='Real results'!D55),2,0),0),0),0)</f>
        <v>0</v>
      </c>
      <c r="W56" s="34">
        <f>IFERROR(IF(AND(ISNUMBER('Real results'!C55),ISNUMBER('Real results'!D55),ISNUMBER('Raw data'!W55),ISNUMBER('Raw data'!X55)),IF(SIGN('Raw data'!W55-'Raw data'!X55)=SIGN('Real results'!C55-'Real results'!D55),2+IF(AND('Raw data'!W55='Real results'!C55,'Raw data'!X55='Real results'!D55),2,0),0),0),0)</f>
        <v>0</v>
      </c>
      <c r="Y56" s="34">
        <f>IFERROR(IF(AND(ISNUMBER('Real results'!C55),ISNUMBER('Real results'!D55),ISNUMBER('Raw data'!Y55),ISNUMBER('Raw data'!Z55)),IF(SIGN('Raw data'!Y55-'Raw data'!Z55)=SIGN('Real results'!C55-'Real results'!D55),2+IF(AND('Raw data'!Y55='Real results'!C55,'Raw data'!Z55='Real results'!D55),2,0),0),0),0)</f>
        <v>0</v>
      </c>
      <c r="AA56" s="34">
        <f>IFERROR(IF(AND(ISNUMBER('Real results'!C55),ISNUMBER('Real results'!D55),ISNUMBER('Raw data'!AA55),ISNUMBER('Raw data'!AB55)),IF(SIGN('Raw data'!AA55-'Raw data'!AB55)=SIGN('Real results'!C55-'Real results'!D55),2+IF(AND('Raw data'!AA55='Real results'!C55,'Raw data'!AB55='Real results'!D55),2,0),0),0),0)</f>
        <v>0</v>
      </c>
      <c r="AC56" s="34">
        <f>IFERROR(IF(AND(ISNUMBER('Real results'!C55),ISNUMBER('Real results'!D55),ISNUMBER('Raw data'!AC55),ISNUMBER('Raw data'!AD55)),IF(SIGN('Raw data'!AC55-'Raw data'!AD55)=SIGN('Real results'!C55-'Real results'!D55),2+IF(AND('Raw data'!AC55='Real results'!C55,'Raw data'!AD55='Real results'!D55),2,0),0),0),0)</f>
        <v>0</v>
      </c>
      <c r="AE56" s="34">
        <f>IFERROR(IF(AND(ISNUMBER('Real results'!C55),ISNUMBER('Real results'!D55),ISNUMBER('Raw data'!AE55),ISNUMBER('Raw data'!AF55)),IF(SIGN('Raw data'!AE55-'Raw data'!AF55)=SIGN('Real results'!C55-'Real results'!D55),2+IF(AND('Raw data'!AE55='Real results'!C55,'Raw data'!AF55='Real results'!D55),2,0),0),0),0)</f>
        <v>0</v>
      </c>
      <c r="AG56" s="34">
        <f>IFERROR(IF(AND(ISNUMBER('Real results'!C55),ISNUMBER('Real results'!D55),ISNUMBER('Raw data'!AG55),ISNUMBER('Raw data'!AH55)),IF(SIGN('Raw data'!AG55-'Raw data'!AH55)=SIGN('Real results'!C55-'Real results'!D55),2+IF(AND('Raw data'!AG55='Real results'!C55,'Raw data'!AH55='Real results'!D55),2,0),0),0),0)</f>
        <v>0</v>
      </c>
      <c r="AI56" s="34">
        <f>IFERROR(IF(AND(ISNUMBER('Real results'!C55),ISNUMBER('Real results'!D55),ISNUMBER('Raw data'!AI55),ISNUMBER('Raw data'!AJ55)),IF(SIGN('Raw data'!AI55-'Raw data'!AJ55)=SIGN('Real results'!C55-'Real results'!D55),2+IF(AND('Raw data'!AI55='Real results'!C55,'Raw data'!AJ55='Real results'!D55),2,0),0),0),0)</f>
        <v>0</v>
      </c>
      <c r="AK56" s="34">
        <f>IFERROR(IF(AND(ISNUMBER('Real results'!C55),ISNUMBER('Real results'!D55),ISNUMBER('Raw data'!AK55),ISNUMBER('Raw data'!AL55)),IF(SIGN('Raw data'!AK55-'Raw data'!AL55)=SIGN('Real results'!C55-'Real results'!D55),2+IF(AND('Raw data'!AK55='Real results'!C55,'Raw data'!AL55='Real results'!D55),2,0),0),0),0)</f>
        <v>0</v>
      </c>
      <c r="AM56" s="34">
        <f>IFERROR(IF(AND(ISNUMBER('Real results'!C55),ISNUMBER('Real results'!D55),ISNUMBER('Raw data'!AM55),ISNUMBER('Raw data'!AN55)),IF(SIGN('Raw data'!AM55-'Raw data'!AN55)=SIGN('Real results'!C55-'Real results'!D55),2+IF(AND('Raw data'!AM55='Real results'!C55,'Raw data'!AN55='Real results'!D55),2,0),0),0),0)</f>
        <v>0</v>
      </c>
      <c r="AO56" s="34">
        <f>IFERROR(IF(AND(ISNUMBER('Real results'!C55),ISNUMBER('Real results'!D55),ISNUMBER('Raw data'!AO55),ISNUMBER('Raw data'!AP55)),IF(SIGN('Raw data'!AO55-'Raw data'!AP55)=SIGN('Real results'!C55-'Real results'!D55),2+IF(AND('Raw data'!AO55='Real results'!C55,'Raw data'!AP55='Real results'!D55),2,0),0),0),0)</f>
        <v>0</v>
      </c>
      <c r="AQ56" s="34">
        <f>IFERROR(IF(AND(ISNUMBER('Real results'!C55),ISNUMBER('Real results'!D55),ISNUMBER('Raw data'!AQ55),ISNUMBER('Raw data'!AR55)),IF(SIGN('Raw data'!AQ55-'Raw data'!AR55)=SIGN('Real results'!C55-'Real results'!D55),2+IF(AND('Raw data'!AQ55='Real results'!C55,'Raw data'!AR55='Real results'!D55),2,0),0),0),0)</f>
        <v>0</v>
      </c>
      <c r="AS56" s="34">
        <f>IFERROR(IF(AND(ISNUMBER('Real results'!C55),ISNUMBER('Real results'!D55),ISNUMBER('Raw data'!AS55),ISNUMBER('Raw data'!AT55)),IF(SIGN('Raw data'!AS55-'Raw data'!AT55)=SIGN('Real results'!C55-'Real results'!D55),2+IF(AND('Raw data'!AS55='Real results'!C55,'Raw data'!AT55='Real results'!D55),2,0),0),0),0)</f>
        <v>0</v>
      </c>
      <c r="AU56" s="34">
        <f>IFERROR(IF(AND(ISNUMBER('Real results'!C55),ISNUMBER('Real results'!D55),ISNUMBER('Raw data'!AU55),ISNUMBER('Raw data'!AV55)),IF(SIGN('Raw data'!AU55-'Raw data'!AV55)=SIGN('Real results'!C55-'Real results'!D55),2+IF(AND('Raw data'!AU55='Real results'!C55,'Raw data'!AV55='Real results'!D55),2,0),0),0),0)</f>
        <v>0</v>
      </c>
      <c r="AW56" s="34">
        <f>IFERROR(IF(AND(ISNUMBER('Real results'!C55),ISNUMBER('Real results'!D55),ISNUMBER('Raw data'!AW55),ISNUMBER('Raw data'!AX55)),IF(SIGN('Raw data'!AW55-'Raw data'!AX55)=SIGN('Real results'!C55-'Real results'!D55),2+IF(AND('Raw data'!AW55='Real results'!C55,'Raw data'!AX55='Real results'!D55),2,0),0),0),0)</f>
        <v>0</v>
      </c>
      <c r="AY56" s="34">
        <f>IFERROR(IF(AND(ISNUMBER('Real results'!C55),ISNUMBER('Real results'!D55),ISNUMBER('Raw data'!AY55),ISNUMBER('Raw data'!AZ55)),IF(SIGN('Raw data'!AY55-'Raw data'!AZ55)=SIGN('Real results'!C55-'Real results'!D55),2+IF(AND('Raw data'!AY55='Real results'!C55,'Raw data'!AZ55='Real results'!D55),2,0),0),0),0)</f>
        <v>0</v>
      </c>
      <c r="BA56" s="34">
        <f>IFERROR(IF(AND(ISNUMBER('Real results'!C55),ISNUMBER('Real results'!D55),ISNUMBER('Raw data'!BA55),ISNUMBER('Raw data'!BB55)),IF(SIGN('Raw data'!BA55-'Raw data'!BB55)=SIGN('Real results'!C55-'Real results'!D55),2+IF(AND('Raw data'!BA55='Real results'!C55,'Raw data'!BB55='Real results'!D55),2,0),0),0),0)</f>
        <v>0</v>
      </c>
      <c r="BC56" s="34">
        <f>IFERROR(IF(AND(ISNUMBER('Real results'!C55),ISNUMBER('Real results'!D55),ISNUMBER('Raw data'!BC55),ISNUMBER('Raw data'!BD55)),IF(SIGN('Raw data'!BC55-'Raw data'!BD55)=SIGN('Real results'!C55-'Real results'!D55),2+IF(AND('Raw data'!BC55='Real results'!C55,'Raw data'!BD55='Real results'!D55),2,0),0),0),0)</f>
        <v>0</v>
      </c>
      <c r="BE56" s="34">
        <f>IFERROR(IF(AND(ISNUMBER('Real results'!C55),ISNUMBER('Real results'!D55),ISNUMBER('Raw data'!BE55),ISNUMBER('Raw data'!BF55)),IF(SIGN('Raw data'!BE55-'Raw data'!BF55)=SIGN('Real results'!C55-'Real results'!D55),2+IF(AND('Raw data'!BE55='Real results'!C55,'Raw data'!BF55='Real results'!D55),2,0),0),0),0)</f>
        <v>0</v>
      </c>
      <c r="BG56" s="34">
        <f>IFERROR(IF(AND(ISNUMBER('Real results'!C55),ISNUMBER('Real results'!D55),ISNUMBER('Raw data'!BG55),ISNUMBER('Raw data'!BH55)),IF(SIGN('Raw data'!BG55-'Raw data'!BH55)=SIGN('Real results'!C55-'Real results'!D55),2+IF(AND('Raw data'!BG55='Real results'!C55,'Raw data'!BH55='Real results'!D55),2,0),0),0),0)</f>
        <v>0</v>
      </c>
      <c r="BI56" s="34">
        <f>IFERROR(IF(AND(ISNUMBER('Real results'!C55),ISNUMBER('Real results'!D55),ISNUMBER('Raw data'!BI55),ISNUMBER('Raw data'!BJ55)),IF(SIGN('Raw data'!BI55-'Raw data'!BJ55)=SIGN('Real results'!C55-'Real results'!D55),2+IF(AND('Raw data'!BI55='Real results'!C55,'Raw data'!BJ55='Real results'!D55),2,0),0),0),0)</f>
        <v>0</v>
      </c>
    </row>
    <row r="57" ht="18.0" customHeight="1">
      <c r="B57" s="12" t="s">
        <v>82</v>
      </c>
      <c r="C57" s="34">
        <f>IFERROR(IF(AND(ISNUMBER('Real results'!C56),ISNUMBER('Real results'!D56),ISNUMBER('Raw data'!C54),ISNUMBER('Raw data'!D54)),IF(SIGN('Raw data'!C54-'Raw data'!D54)=SIGN('Real results'!C56-'Real results'!D56),2+IF(AND('Raw data'!C54='Real results'!C56,'Raw data'!D54='Real results'!D56),2,0),0),0),0)</f>
        <v>0</v>
      </c>
      <c r="E57" s="34">
        <f>IFERROR(IF(AND(ISNUMBER('Real results'!C56),ISNUMBER('Real results'!D56),ISNUMBER('Raw data'!E55),ISNUMBER('Raw data'!F55)),IF(SIGN('Raw data'!E55-'Raw data'!F55)=SIGN('Real results'!C56-'Real results'!D56),2+IF(AND('Raw data'!E55='Real results'!C56,'Raw data'!F55='Real results'!D56),2,0),0),0),0)</f>
        <v>0</v>
      </c>
      <c r="G57" s="34">
        <f>IFERROR(IF(AND(ISNUMBER('Real results'!C56),ISNUMBER('Real results'!D56),ISNUMBER('Raw data'!G56),ISNUMBER('Raw data'!H56)),IF(SIGN('Raw data'!G56-'Raw data'!H56)=SIGN('Real results'!C56-'Real results'!D56),2+IF(AND('Raw data'!G56='Real results'!C56,'Raw data'!H56='Real results'!D56),2,0),0),0),0)</f>
        <v>2</v>
      </c>
      <c r="I57" s="34">
        <f>IFERROR(IF(AND(ISNUMBER('Real results'!C56),ISNUMBER('Real results'!D56),ISNUMBER('Raw data'!I56),ISNUMBER('Raw data'!J56)),IF(SIGN('Raw data'!I56-'Raw data'!J56)=SIGN('Real results'!C56-'Real results'!D56),2+IF(AND('Raw data'!I56='Real results'!C56,'Raw data'!J56='Real results'!D56),2,0),0),0),0)</f>
        <v>2</v>
      </c>
      <c r="K57" s="34">
        <f>IFERROR(IF(AND(ISNUMBER('Real results'!C56),ISNUMBER('Real results'!D56),ISNUMBER('Raw data'!K56),ISNUMBER('Raw data'!L56)),IF(SIGN('Raw data'!K56-'Raw data'!L56)=SIGN('Real results'!C56-'Real results'!D56),2+IF(AND('Raw data'!K56='Real results'!C56,'Raw data'!L56='Real results'!D56),2,0),0),0),0)</f>
        <v>2</v>
      </c>
      <c r="M57" s="34">
        <f>IFERROR(IF(AND(ISNUMBER('Real results'!C56),ISNUMBER('Real results'!D56),ISNUMBER('Raw data'!M56),ISNUMBER('Raw data'!N56)),IF(SIGN('Raw data'!M56-'Raw data'!N56)=SIGN('Real results'!C56-'Real results'!D56),2+IF(AND('Raw data'!M56='Real results'!C56,'Raw data'!N56='Real results'!D56),2,0),0),0),0)</f>
        <v>0</v>
      </c>
      <c r="O57" s="34">
        <f>IFERROR(IF(AND(ISNUMBER('Real results'!C56),ISNUMBER('Real results'!D56),ISNUMBER('Raw data'!O56),ISNUMBER('Raw data'!P56)),IF(SIGN('Raw data'!O56-'Raw data'!P56)=SIGN('Real results'!C56-'Real results'!D56),2+IF(AND('Raw data'!O56='Real results'!C56,'Raw data'!P56='Real results'!D56),2,0),0),0),0)</f>
        <v>0</v>
      </c>
      <c r="Q57" s="34">
        <f>IFERROR(IF(AND(ISNUMBER('Real results'!C56),ISNUMBER('Real results'!D56),ISNUMBER('Raw data'!Q56),ISNUMBER('Raw data'!R56)),IF(SIGN('Raw data'!Q56-'Raw data'!R56)=SIGN('Real results'!C56-'Real results'!D56),2+IF(AND('Raw data'!Q56='Real results'!C56,'Raw data'!R56='Real results'!D56),2,0),0),0),0)</f>
        <v>0</v>
      </c>
      <c r="S57" s="34">
        <f>IFERROR(IF(AND(ISNUMBER('Real results'!C56),ISNUMBER('Real results'!D56),ISNUMBER('Raw data'!S56),ISNUMBER('Raw data'!T56)),IF(SIGN('Raw data'!S56-'Raw data'!T56)=SIGN('Real results'!C56-'Real results'!D56),2+IF(AND('Raw data'!S56='Real results'!C56,'Raw data'!T56='Real results'!D56),2,0),0),0),0)</f>
        <v>0</v>
      </c>
      <c r="U57" s="34">
        <f>IFERROR(IF(AND(ISNUMBER('Real results'!C56),ISNUMBER('Real results'!D56),ISNUMBER('Raw data'!U56),ISNUMBER('Raw data'!V56)),IF(SIGN('Raw data'!U56-'Raw data'!V56)=SIGN('Real results'!C56-'Real results'!D56),2+IF(AND('Raw data'!U56='Real results'!C56,'Raw data'!V56='Real results'!D56),2,0),0),0),0)</f>
        <v>0</v>
      </c>
      <c r="W57" s="34">
        <f>IFERROR(IF(AND(ISNUMBER('Real results'!C56),ISNUMBER('Real results'!D56),ISNUMBER('Raw data'!W56),ISNUMBER('Raw data'!X56)),IF(SIGN('Raw data'!W56-'Raw data'!X56)=SIGN('Real results'!C56-'Real results'!D56),2+IF(AND('Raw data'!W56='Real results'!C56,'Raw data'!X56='Real results'!D56),2,0),0),0),0)</f>
        <v>0</v>
      </c>
      <c r="Y57" s="34">
        <f>IFERROR(IF(AND(ISNUMBER('Real results'!C56),ISNUMBER('Real results'!D56),ISNUMBER('Raw data'!Y56),ISNUMBER('Raw data'!Z56)),IF(SIGN('Raw data'!Y56-'Raw data'!Z56)=SIGN('Real results'!C56-'Real results'!D56),2+IF(AND('Raw data'!Y56='Real results'!C56,'Raw data'!Z56='Real results'!D56),2,0),0),0),0)</f>
        <v>0</v>
      </c>
      <c r="AA57" s="34">
        <f>IFERROR(IF(AND(ISNUMBER('Real results'!C56),ISNUMBER('Real results'!D56),ISNUMBER('Raw data'!AA56),ISNUMBER('Raw data'!AB56)),IF(SIGN('Raw data'!AA56-'Raw data'!AB56)=SIGN('Real results'!C56-'Real results'!D56),2+IF(AND('Raw data'!AA56='Real results'!C56,'Raw data'!AB56='Real results'!D56),2,0),0),0),0)</f>
        <v>0</v>
      </c>
      <c r="AC57" s="34">
        <f>IFERROR(IF(AND(ISNUMBER('Real results'!C56),ISNUMBER('Real results'!D56),ISNUMBER('Raw data'!AC56),ISNUMBER('Raw data'!AD56)),IF(SIGN('Raw data'!AC56-'Raw data'!AD56)=SIGN('Real results'!C56-'Real results'!D56),2+IF(AND('Raw data'!AC56='Real results'!C56,'Raw data'!AD56='Real results'!D56),2,0),0),0),0)</f>
        <v>0</v>
      </c>
      <c r="AE57" s="34">
        <f>IFERROR(IF(AND(ISNUMBER('Real results'!C56),ISNUMBER('Real results'!D56),ISNUMBER('Raw data'!AE56),ISNUMBER('Raw data'!AF56)),IF(SIGN('Raw data'!AE56-'Raw data'!AF56)=SIGN('Real results'!C56-'Real results'!D56),2+IF(AND('Raw data'!AE56='Real results'!C56,'Raw data'!AF56='Real results'!D56),2,0),0),0),0)</f>
        <v>0</v>
      </c>
      <c r="AG57" s="34">
        <f>IFERROR(IF(AND(ISNUMBER('Real results'!C56),ISNUMBER('Real results'!D56),ISNUMBER('Raw data'!AG56),ISNUMBER('Raw data'!AH56)),IF(SIGN('Raw data'!AG56-'Raw data'!AH56)=SIGN('Real results'!C56-'Real results'!D56),2+IF(AND('Raw data'!AG56='Real results'!C56,'Raw data'!AH56='Real results'!D56),2,0),0),0),0)</f>
        <v>0</v>
      </c>
      <c r="AI57" s="34">
        <f>IFERROR(IF(AND(ISNUMBER('Real results'!C56),ISNUMBER('Real results'!D56),ISNUMBER('Raw data'!AI56),ISNUMBER('Raw data'!AJ56)),IF(SIGN('Raw data'!AI56-'Raw data'!AJ56)=SIGN('Real results'!C56-'Real results'!D56),2+IF(AND('Raw data'!AI56='Real results'!C56,'Raw data'!AJ56='Real results'!D56),2,0),0),0),0)</f>
        <v>0</v>
      </c>
      <c r="AK57" s="34">
        <f>IFERROR(IF(AND(ISNUMBER('Real results'!C56),ISNUMBER('Real results'!D56),ISNUMBER('Raw data'!AK56),ISNUMBER('Raw data'!AL56)),IF(SIGN('Raw data'!AK56-'Raw data'!AL56)=SIGN('Real results'!C56-'Real results'!D56),2+IF(AND('Raw data'!AK56='Real results'!C56,'Raw data'!AL56='Real results'!D56),2,0),0),0),0)</f>
        <v>0</v>
      </c>
      <c r="AM57" s="34">
        <f>IFERROR(IF(AND(ISNUMBER('Real results'!C56),ISNUMBER('Real results'!D56),ISNUMBER('Raw data'!AM56),ISNUMBER('Raw data'!AN56)),IF(SIGN('Raw data'!AM56-'Raw data'!AN56)=SIGN('Real results'!C56-'Real results'!D56),2+IF(AND('Raw data'!AM56='Real results'!C56,'Raw data'!AN56='Real results'!D56),2,0),0),0),0)</f>
        <v>0</v>
      </c>
      <c r="AO57" s="34">
        <f>IFERROR(IF(AND(ISNUMBER('Real results'!C56),ISNUMBER('Real results'!D56),ISNUMBER('Raw data'!AO56),ISNUMBER('Raw data'!AP56)),IF(SIGN('Raw data'!AO56-'Raw data'!AP56)=SIGN('Real results'!C56-'Real results'!D56),2+IF(AND('Raw data'!AO56='Real results'!C56,'Raw data'!AP56='Real results'!D56),2,0),0),0),0)</f>
        <v>0</v>
      </c>
      <c r="AQ57" s="34">
        <f>IFERROR(IF(AND(ISNUMBER('Real results'!C56),ISNUMBER('Real results'!D56),ISNUMBER('Raw data'!AQ56),ISNUMBER('Raw data'!AR56)),IF(SIGN('Raw data'!AQ56-'Raw data'!AR56)=SIGN('Real results'!C56-'Real results'!D56),2+IF(AND('Raw data'!AQ56='Real results'!C56,'Raw data'!AR56='Real results'!D56),2,0),0),0),0)</f>
        <v>0</v>
      </c>
      <c r="AS57" s="34">
        <f>IFERROR(IF(AND(ISNUMBER('Real results'!C56),ISNUMBER('Real results'!D56),ISNUMBER('Raw data'!AS56),ISNUMBER('Raw data'!AT56)),IF(SIGN('Raw data'!AS56-'Raw data'!AT56)=SIGN('Real results'!C56-'Real results'!D56),2+IF(AND('Raw data'!AS56='Real results'!C56,'Raw data'!AT56='Real results'!D56),2,0),0),0),0)</f>
        <v>0</v>
      </c>
      <c r="AU57" s="34">
        <f>IFERROR(IF(AND(ISNUMBER('Real results'!C56),ISNUMBER('Real results'!D56),ISNUMBER('Raw data'!AU56),ISNUMBER('Raw data'!AV56)),IF(SIGN('Raw data'!AU56-'Raw data'!AV56)=SIGN('Real results'!C56-'Real results'!D56),2+IF(AND('Raw data'!AU56='Real results'!C56,'Raw data'!AV56='Real results'!D56),2,0),0),0),0)</f>
        <v>0</v>
      </c>
      <c r="AW57" s="34">
        <f>IFERROR(IF(AND(ISNUMBER('Real results'!C56),ISNUMBER('Real results'!D56),ISNUMBER('Raw data'!AW56),ISNUMBER('Raw data'!AX56)),IF(SIGN('Raw data'!AW56-'Raw data'!AX56)=SIGN('Real results'!C56-'Real results'!D56),2+IF(AND('Raw data'!AW56='Real results'!C56,'Raw data'!AX56='Real results'!D56),2,0),0),0),0)</f>
        <v>0</v>
      </c>
      <c r="AY57" s="34">
        <f>IFERROR(IF(AND(ISNUMBER('Real results'!C56),ISNUMBER('Real results'!D56),ISNUMBER('Raw data'!AY56),ISNUMBER('Raw data'!AZ56)),IF(SIGN('Raw data'!AY56-'Raw data'!AZ56)=SIGN('Real results'!C56-'Real results'!D56),2+IF(AND('Raw data'!AY56='Real results'!C56,'Raw data'!AZ56='Real results'!D56),2,0),0),0),0)</f>
        <v>0</v>
      </c>
      <c r="BA57" s="34">
        <f>IFERROR(IF(AND(ISNUMBER('Real results'!C56),ISNUMBER('Real results'!D56),ISNUMBER('Raw data'!BA56),ISNUMBER('Raw data'!BB56)),IF(SIGN('Raw data'!BA56-'Raw data'!BB56)=SIGN('Real results'!C56-'Real results'!D56),2+IF(AND('Raw data'!BA56='Real results'!C56,'Raw data'!BB56='Real results'!D56),2,0),0),0),0)</f>
        <v>0</v>
      </c>
      <c r="BC57" s="34">
        <f>IFERROR(IF(AND(ISNUMBER('Real results'!C56),ISNUMBER('Real results'!D56),ISNUMBER('Raw data'!BC56),ISNUMBER('Raw data'!BD56)),IF(SIGN('Raw data'!BC56-'Raw data'!BD56)=SIGN('Real results'!C56-'Real results'!D56),2+IF(AND('Raw data'!BC56='Real results'!C56,'Raw data'!BD56='Real results'!D56),2,0),0),0),0)</f>
        <v>0</v>
      </c>
      <c r="BE57" s="34">
        <f>IFERROR(IF(AND(ISNUMBER('Real results'!C56),ISNUMBER('Real results'!D56),ISNUMBER('Raw data'!BE56),ISNUMBER('Raw data'!BF56)),IF(SIGN('Raw data'!BE56-'Raw data'!BF56)=SIGN('Real results'!C56-'Real results'!D56),2+IF(AND('Raw data'!BE56='Real results'!C56,'Raw data'!BF56='Real results'!D56),2,0),0),0),0)</f>
        <v>0</v>
      </c>
      <c r="BG57" s="34">
        <f>IFERROR(IF(AND(ISNUMBER('Real results'!C56),ISNUMBER('Real results'!D56),ISNUMBER('Raw data'!BG56),ISNUMBER('Raw data'!BH56)),IF(SIGN('Raw data'!BG56-'Raw data'!BH56)=SIGN('Real results'!C56-'Real results'!D56),2+IF(AND('Raw data'!BG56='Real results'!C56,'Raw data'!BH56='Real results'!D56),2,0),0),0),0)</f>
        <v>0</v>
      </c>
      <c r="BI57" s="34">
        <f>IFERROR(IF(AND(ISNUMBER('Real results'!C56),ISNUMBER('Real results'!D56),ISNUMBER('Raw data'!BI56),ISNUMBER('Raw data'!BJ56)),IF(SIGN('Raw data'!BI56-'Raw data'!BJ56)=SIGN('Real results'!C56-'Real results'!D56),2+IF(AND('Raw data'!BI56='Real results'!C56,'Raw data'!BJ56='Real results'!D56),2,0),0),0),0)</f>
        <v>0</v>
      </c>
    </row>
    <row r="58" ht="18.0" customHeight="1">
      <c r="B58" s="12" t="s">
        <v>83</v>
      </c>
      <c r="C58" s="34">
        <f>IFERROR(IF(AND(ISNUMBER('Real results'!C57),ISNUMBER('Real results'!D57),ISNUMBER('Raw data'!C55),ISNUMBER('Raw data'!D55)),IF(SIGN('Raw data'!C55-'Raw data'!D55)=SIGN('Real results'!C57-'Real results'!D57),2+IF(AND('Raw data'!C55='Real results'!C57,'Raw data'!D55='Real results'!D57),2,0),0),0),0)</f>
        <v>2</v>
      </c>
      <c r="E58" s="34">
        <f>IFERROR(IF(AND(ISNUMBER('Real results'!C57),ISNUMBER('Real results'!D57),ISNUMBER('Raw data'!E56),ISNUMBER('Raw data'!F56)),IF(SIGN('Raw data'!E56-'Raw data'!F56)=SIGN('Real results'!C57-'Real results'!D57),2+IF(AND('Raw data'!E56='Real results'!C57,'Raw data'!F56='Real results'!D57),2,0),0),0),0)</f>
        <v>0</v>
      </c>
      <c r="G58" s="34">
        <f>IFERROR(IF(AND(ISNUMBER('Real results'!C57),ISNUMBER('Real results'!D57),ISNUMBER('Raw data'!G57),ISNUMBER('Raw data'!H57)),IF(SIGN('Raw data'!G57-'Raw data'!H57)=SIGN('Real results'!C57-'Real results'!D57),2+IF(AND('Raw data'!G57='Real results'!C57,'Raw data'!H57='Real results'!D57),2,0),0),0),0)</f>
        <v>2</v>
      </c>
      <c r="I58" s="34">
        <f>IFERROR(IF(AND(ISNUMBER('Real results'!C57),ISNUMBER('Real results'!D57),ISNUMBER('Raw data'!I57),ISNUMBER('Raw data'!J57)),IF(SIGN('Raw data'!I57-'Raw data'!J57)=SIGN('Real results'!C57-'Real results'!D57),2+IF(AND('Raw data'!I57='Real results'!C57,'Raw data'!J57='Real results'!D57),2,0),0),0),0)</f>
        <v>2</v>
      </c>
      <c r="K58" s="34">
        <f>IFERROR(IF(AND(ISNUMBER('Real results'!C57),ISNUMBER('Real results'!D57),ISNUMBER('Raw data'!K57),ISNUMBER('Raw data'!L57)),IF(SIGN('Raw data'!K57-'Raw data'!L57)=SIGN('Real results'!C57-'Real results'!D57),2+IF(AND('Raw data'!K57='Real results'!C57,'Raw data'!L57='Real results'!D57),2,0),0),0),0)</f>
        <v>2</v>
      </c>
      <c r="M58" s="34">
        <f>IFERROR(IF(AND(ISNUMBER('Real results'!C57),ISNUMBER('Real results'!D57),ISNUMBER('Raw data'!M57),ISNUMBER('Raw data'!N57)),IF(SIGN('Raw data'!M57-'Raw data'!N57)=SIGN('Real results'!C57-'Real results'!D57),2+IF(AND('Raw data'!M57='Real results'!C57,'Raw data'!N57='Real results'!D57),2,0),0),0),0)</f>
        <v>0</v>
      </c>
      <c r="O58" s="34">
        <f>IFERROR(IF(AND(ISNUMBER('Real results'!C57),ISNUMBER('Real results'!D57),ISNUMBER('Raw data'!O57),ISNUMBER('Raw data'!P57)),IF(SIGN('Raw data'!O57-'Raw data'!P57)=SIGN('Real results'!C57-'Real results'!D57),2+IF(AND('Raw data'!O57='Real results'!C57,'Raw data'!P57='Real results'!D57),2,0),0),0),0)</f>
        <v>0</v>
      </c>
      <c r="Q58" s="34">
        <f>IFERROR(IF(AND(ISNUMBER('Real results'!C57),ISNUMBER('Real results'!D57),ISNUMBER('Raw data'!Q57),ISNUMBER('Raw data'!R57)),IF(SIGN('Raw data'!Q57-'Raw data'!R57)=SIGN('Real results'!C57-'Real results'!D57),2+IF(AND('Raw data'!Q57='Real results'!C57,'Raw data'!R57='Real results'!D57),2,0),0),0),0)</f>
        <v>0</v>
      </c>
      <c r="S58" s="34">
        <f>IFERROR(IF(AND(ISNUMBER('Real results'!C57),ISNUMBER('Real results'!D57),ISNUMBER('Raw data'!S57),ISNUMBER('Raw data'!T57)),IF(SIGN('Raw data'!S57-'Raw data'!T57)=SIGN('Real results'!C57-'Real results'!D57),2+IF(AND('Raw data'!S57='Real results'!C57,'Raw data'!T57='Real results'!D57),2,0),0),0),0)</f>
        <v>0</v>
      </c>
      <c r="U58" s="34">
        <f>IFERROR(IF(AND(ISNUMBER('Real results'!C57),ISNUMBER('Real results'!D57),ISNUMBER('Raw data'!U57),ISNUMBER('Raw data'!V57)),IF(SIGN('Raw data'!U57-'Raw data'!V57)=SIGN('Real results'!C57-'Real results'!D57),2+IF(AND('Raw data'!U57='Real results'!C57,'Raw data'!V57='Real results'!D57),2,0),0),0),0)</f>
        <v>0</v>
      </c>
      <c r="W58" s="34">
        <f>IFERROR(IF(AND(ISNUMBER('Real results'!C57),ISNUMBER('Real results'!D57),ISNUMBER('Raw data'!W57),ISNUMBER('Raw data'!X57)),IF(SIGN('Raw data'!W57-'Raw data'!X57)=SIGN('Real results'!C57-'Real results'!D57),2+IF(AND('Raw data'!W57='Real results'!C57,'Raw data'!X57='Real results'!D57),2,0),0),0),0)</f>
        <v>0</v>
      </c>
      <c r="Y58" s="34">
        <f>IFERROR(IF(AND(ISNUMBER('Real results'!C57),ISNUMBER('Real results'!D57),ISNUMBER('Raw data'!Y57),ISNUMBER('Raw data'!Z57)),IF(SIGN('Raw data'!Y57-'Raw data'!Z57)=SIGN('Real results'!C57-'Real results'!D57),2+IF(AND('Raw data'!Y57='Real results'!C57,'Raw data'!Z57='Real results'!D57),2,0),0),0),0)</f>
        <v>0</v>
      </c>
      <c r="AA58" s="34">
        <f>IFERROR(IF(AND(ISNUMBER('Real results'!C57),ISNUMBER('Real results'!D57),ISNUMBER('Raw data'!AA57),ISNUMBER('Raw data'!AB57)),IF(SIGN('Raw data'!AA57-'Raw data'!AB57)=SIGN('Real results'!C57-'Real results'!D57),2+IF(AND('Raw data'!AA57='Real results'!C57,'Raw data'!AB57='Real results'!D57),2,0),0),0),0)</f>
        <v>0</v>
      </c>
      <c r="AC58" s="34">
        <f>IFERROR(IF(AND(ISNUMBER('Real results'!C57),ISNUMBER('Real results'!D57),ISNUMBER('Raw data'!AC57),ISNUMBER('Raw data'!AD57)),IF(SIGN('Raw data'!AC57-'Raw data'!AD57)=SIGN('Real results'!C57-'Real results'!D57),2+IF(AND('Raw data'!AC57='Real results'!C57,'Raw data'!AD57='Real results'!D57),2,0),0),0),0)</f>
        <v>0</v>
      </c>
      <c r="AE58" s="34">
        <f>IFERROR(IF(AND(ISNUMBER('Real results'!C57),ISNUMBER('Real results'!D57),ISNUMBER('Raw data'!AE57),ISNUMBER('Raw data'!AF57)),IF(SIGN('Raw data'!AE57-'Raw data'!AF57)=SIGN('Real results'!C57-'Real results'!D57),2+IF(AND('Raw data'!AE57='Real results'!C57,'Raw data'!AF57='Real results'!D57),2,0),0),0),0)</f>
        <v>0</v>
      </c>
      <c r="AG58" s="34">
        <f>IFERROR(IF(AND(ISNUMBER('Real results'!C57),ISNUMBER('Real results'!D57),ISNUMBER('Raw data'!AG57),ISNUMBER('Raw data'!AH57)),IF(SIGN('Raw data'!AG57-'Raw data'!AH57)=SIGN('Real results'!C57-'Real results'!D57),2+IF(AND('Raw data'!AG57='Real results'!C57,'Raw data'!AH57='Real results'!D57),2,0),0),0),0)</f>
        <v>0</v>
      </c>
      <c r="AI58" s="34">
        <f>IFERROR(IF(AND(ISNUMBER('Real results'!C57),ISNUMBER('Real results'!D57),ISNUMBER('Raw data'!AI57),ISNUMBER('Raw data'!AJ57)),IF(SIGN('Raw data'!AI57-'Raw data'!AJ57)=SIGN('Real results'!C57-'Real results'!D57),2+IF(AND('Raw data'!AI57='Real results'!C57,'Raw data'!AJ57='Real results'!D57),2,0),0),0),0)</f>
        <v>0</v>
      </c>
      <c r="AK58" s="34">
        <f>IFERROR(IF(AND(ISNUMBER('Real results'!C57),ISNUMBER('Real results'!D57),ISNUMBER('Raw data'!AK57),ISNUMBER('Raw data'!AL57)),IF(SIGN('Raw data'!AK57-'Raw data'!AL57)=SIGN('Real results'!C57-'Real results'!D57),2+IF(AND('Raw data'!AK57='Real results'!C57,'Raw data'!AL57='Real results'!D57),2,0),0),0),0)</f>
        <v>0</v>
      </c>
      <c r="AM58" s="34">
        <f>IFERROR(IF(AND(ISNUMBER('Real results'!C57),ISNUMBER('Real results'!D57),ISNUMBER('Raw data'!AM57),ISNUMBER('Raw data'!AN57)),IF(SIGN('Raw data'!AM57-'Raw data'!AN57)=SIGN('Real results'!C57-'Real results'!D57),2+IF(AND('Raw data'!AM57='Real results'!C57,'Raw data'!AN57='Real results'!D57),2,0),0),0),0)</f>
        <v>0</v>
      </c>
      <c r="AO58" s="34">
        <f>IFERROR(IF(AND(ISNUMBER('Real results'!C57),ISNUMBER('Real results'!D57),ISNUMBER('Raw data'!AO57),ISNUMBER('Raw data'!AP57)),IF(SIGN('Raw data'!AO57-'Raw data'!AP57)=SIGN('Real results'!C57-'Real results'!D57),2+IF(AND('Raw data'!AO57='Real results'!C57,'Raw data'!AP57='Real results'!D57),2,0),0),0),0)</f>
        <v>0</v>
      </c>
      <c r="AQ58" s="34">
        <f>IFERROR(IF(AND(ISNUMBER('Real results'!C57),ISNUMBER('Real results'!D57),ISNUMBER('Raw data'!AQ57),ISNUMBER('Raw data'!AR57)),IF(SIGN('Raw data'!AQ57-'Raw data'!AR57)=SIGN('Real results'!C57-'Real results'!D57),2+IF(AND('Raw data'!AQ57='Real results'!C57,'Raw data'!AR57='Real results'!D57),2,0),0),0),0)</f>
        <v>0</v>
      </c>
      <c r="AS58" s="34">
        <f>IFERROR(IF(AND(ISNUMBER('Real results'!C57),ISNUMBER('Real results'!D57),ISNUMBER('Raw data'!AS57),ISNUMBER('Raw data'!AT57)),IF(SIGN('Raw data'!AS57-'Raw data'!AT57)=SIGN('Real results'!C57-'Real results'!D57),2+IF(AND('Raw data'!AS57='Real results'!C57,'Raw data'!AT57='Real results'!D57),2,0),0),0),0)</f>
        <v>0</v>
      </c>
      <c r="AU58" s="34">
        <f>IFERROR(IF(AND(ISNUMBER('Real results'!C57),ISNUMBER('Real results'!D57),ISNUMBER('Raw data'!AU57),ISNUMBER('Raw data'!AV57)),IF(SIGN('Raw data'!AU57-'Raw data'!AV57)=SIGN('Real results'!C57-'Real results'!D57),2+IF(AND('Raw data'!AU57='Real results'!C57,'Raw data'!AV57='Real results'!D57),2,0),0),0),0)</f>
        <v>0</v>
      </c>
      <c r="AW58" s="34">
        <f>IFERROR(IF(AND(ISNUMBER('Real results'!C57),ISNUMBER('Real results'!D57),ISNUMBER('Raw data'!AW57),ISNUMBER('Raw data'!AX57)),IF(SIGN('Raw data'!AW57-'Raw data'!AX57)=SIGN('Real results'!C57-'Real results'!D57),2+IF(AND('Raw data'!AW57='Real results'!C57,'Raw data'!AX57='Real results'!D57),2,0),0),0),0)</f>
        <v>0</v>
      </c>
      <c r="AY58" s="34">
        <f>IFERROR(IF(AND(ISNUMBER('Real results'!C57),ISNUMBER('Real results'!D57),ISNUMBER('Raw data'!AY57),ISNUMBER('Raw data'!AZ57)),IF(SIGN('Raw data'!AY57-'Raw data'!AZ57)=SIGN('Real results'!C57-'Real results'!D57),2+IF(AND('Raw data'!AY57='Real results'!C57,'Raw data'!AZ57='Real results'!D57),2,0),0),0),0)</f>
        <v>0</v>
      </c>
      <c r="BA58" s="34">
        <f>IFERROR(IF(AND(ISNUMBER('Real results'!C57),ISNUMBER('Real results'!D57),ISNUMBER('Raw data'!BA57),ISNUMBER('Raw data'!BB57)),IF(SIGN('Raw data'!BA57-'Raw data'!BB57)=SIGN('Real results'!C57-'Real results'!D57),2+IF(AND('Raw data'!BA57='Real results'!C57,'Raw data'!BB57='Real results'!D57),2,0),0),0),0)</f>
        <v>0</v>
      </c>
      <c r="BC58" s="34">
        <f>IFERROR(IF(AND(ISNUMBER('Real results'!C57),ISNUMBER('Real results'!D57),ISNUMBER('Raw data'!BC57),ISNUMBER('Raw data'!BD57)),IF(SIGN('Raw data'!BC57-'Raw data'!BD57)=SIGN('Real results'!C57-'Real results'!D57),2+IF(AND('Raw data'!BC57='Real results'!C57,'Raw data'!BD57='Real results'!D57),2,0),0),0),0)</f>
        <v>0</v>
      </c>
      <c r="BE58" s="34">
        <f>IFERROR(IF(AND(ISNUMBER('Real results'!C57),ISNUMBER('Real results'!D57),ISNUMBER('Raw data'!BE57),ISNUMBER('Raw data'!BF57)),IF(SIGN('Raw data'!BE57-'Raw data'!BF57)=SIGN('Real results'!C57-'Real results'!D57),2+IF(AND('Raw data'!BE57='Real results'!C57,'Raw data'!BF57='Real results'!D57),2,0),0),0),0)</f>
        <v>0</v>
      </c>
      <c r="BG58" s="34">
        <f>IFERROR(IF(AND(ISNUMBER('Real results'!C57),ISNUMBER('Real results'!D57),ISNUMBER('Raw data'!BG57),ISNUMBER('Raw data'!BH57)),IF(SIGN('Raw data'!BG57-'Raw data'!BH57)=SIGN('Real results'!C57-'Real results'!D57),2+IF(AND('Raw data'!BG57='Real results'!C57,'Raw data'!BH57='Real results'!D57),2,0),0),0),0)</f>
        <v>0</v>
      </c>
      <c r="BI58" s="34">
        <f>IFERROR(IF(AND(ISNUMBER('Real results'!C57),ISNUMBER('Real results'!D57),ISNUMBER('Raw data'!BI57),ISNUMBER('Raw data'!BJ57)),IF(SIGN('Raw data'!BI57-'Raw data'!BJ57)=SIGN('Real results'!C57-'Real results'!D57),2+IF(AND('Raw data'!BI57='Real results'!C57,'Raw data'!BJ57='Real results'!D57),2,0),0),0),0)</f>
        <v>0</v>
      </c>
    </row>
    <row r="59" ht="18.0" customHeight="1">
      <c r="B59" s="12" t="s">
        <v>84</v>
      </c>
      <c r="C59" s="34">
        <f>IFERROR(IF(AND(ISNUMBER('Real results'!C58),ISNUMBER('Real results'!D58),ISNUMBER('Raw data'!C56),ISNUMBER('Raw data'!D56)),IF(SIGN('Raw data'!C56-'Raw data'!D56)=SIGN('Real results'!C58-'Real results'!D58),2+IF(AND('Raw data'!C56='Real results'!C58,'Raw data'!D56='Real results'!D58),2,0),0),0),0)</f>
        <v>0</v>
      </c>
      <c r="E59" s="34">
        <f>IFERROR(IF(AND(ISNUMBER('Real results'!C58),ISNUMBER('Real results'!D58),ISNUMBER('Raw data'!E57),ISNUMBER('Raw data'!F57)),IF(SIGN('Raw data'!E57-'Raw data'!F57)=SIGN('Real results'!C58-'Real results'!D58),2+IF(AND('Raw data'!E57='Real results'!C58,'Raw data'!F57='Real results'!D58),2,0),0),0),0)</f>
        <v>2</v>
      </c>
      <c r="G59" s="34">
        <f>IFERROR(IF(AND(ISNUMBER('Real results'!C58),ISNUMBER('Real results'!D58),ISNUMBER('Raw data'!G58),ISNUMBER('Raw data'!H58)),IF(SIGN('Raw data'!G58-'Raw data'!H58)=SIGN('Real results'!C58-'Real results'!D58),2+IF(AND('Raw data'!G58='Real results'!C58,'Raw data'!H58='Real results'!D58),2,0),0),0),0)</f>
        <v>2</v>
      </c>
      <c r="I59" s="34">
        <f>IFERROR(IF(AND(ISNUMBER('Real results'!C58),ISNUMBER('Real results'!D58),ISNUMBER('Raw data'!I58),ISNUMBER('Raw data'!J58)),IF(SIGN('Raw data'!I58-'Raw data'!J58)=SIGN('Real results'!C58-'Real results'!D58),2+IF(AND('Raw data'!I58='Real results'!C58,'Raw data'!J58='Real results'!D58),2,0),0),0),0)</f>
        <v>0</v>
      </c>
      <c r="K59" s="34">
        <f>IFERROR(IF(AND(ISNUMBER('Real results'!C58),ISNUMBER('Real results'!D58),ISNUMBER('Raw data'!K58),ISNUMBER('Raw data'!L58)),IF(SIGN('Raw data'!K58-'Raw data'!L58)=SIGN('Real results'!C58-'Real results'!D58),2+IF(AND('Raw data'!K58='Real results'!C58,'Raw data'!L58='Real results'!D58),2,0),0),0),0)</f>
        <v>0</v>
      </c>
      <c r="M59" s="34">
        <f>IFERROR(IF(AND(ISNUMBER('Real results'!C58),ISNUMBER('Real results'!D58),ISNUMBER('Raw data'!M58),ISNUMBER('Raw data'!N58)),IF(SIGN('Raw data'!M58-'Raw data'!N58)=SIGN('Real results'!C58-'Real results'!D58),2+IF(AND('Raw data'!M58='Real results'!C58,'Raw data'!N58='Real results'!D58),2,0),0),0),0)</f>
        <v>0</v>
      </c>
      <c r="O59" s="34">
        <f>IFERROR(IF(AND(ISNUMBER('Real results'!C58),ISNUMBER('Real results'!D58),ISNUMBER('Raw data'!O58),ISNUMBER('Raw data'!P58)),IF(SIGN('Raw data'!O58-'Raw data'!P58)=SIGN('Real results'!C58-'Real results'!D58),2+IF(AND('Raw data'!O58='Real results'!C58,'Raw data'!P58='Real results'!D58),2,0),0),0),0)</f>
        <v>0</v>
      </c>
      <c r="Q59" s="34">
        <f>IFERROR(IF(AND(ISNUMBER('Real results'!C58),ISNUMBER('Real results'!D58),ISNUMBER('Raw data'!Q58),ISNUMBER('Raw data'!R58)),IF(SIGN('Raw data'!Q58-'Raw data'!R58)=SIGN('Real results'!C58-'Real results'!D58),2+IF(AND('Raw data'!Q58='Real results'!C58,'Raw data'!R58='Real results'!D58),2,0),0),0),0)</f>
        <v>0</v>
      </c>
      <c r="S59" s="34">
        <f>IFERROR(IF(AND(ISNUMBER('Real results'!C58),ISNUMBER('Real results'!D58),ISNUMBER('Raw data'!S58),ISNUMBER('Raw data'!T58)),IF(SIGN('Raw data'!S58-'Raw data'!T58)=SIGN('Real results'!C58-'Real results'!D58),2+IF(AND('Raw data'!S58='Real results'!C58,'Raw data'!T58='Real results'!D58),2,0),0),0),0)</f>
        <v>0</v>
      </c>
      <c r="U59" s="34">
        <f>IFERROR(IF(AND(ISNUMBER('Real results'!C58),ISNUMBER('Real results'!D58),ISNUMBER('Raw data'!U58),ISNUMBER('Raw data'!V58)),IF(SIGN('Raw data'!U58-'Raw data'!V58)=SIGN('Real results'!C58-'Real results'!D58),2+IF(AND('Raw data'!U58='Real results'!C58,'Raw data'!V58='Real results'!D58),2,0),0),0),0)</f>
        <v>0</v>
      </c>
      <c r="W59" s="34">
        <f>IFERROR(IF(AND(ISNUMBER('Real results'!C58),ISNUMBER('Real results'!D58),ISNUMBER('Raw data'!W58),ISNUMBER('Raw data'!X58)),IF(SIGN('Raw data'!W58-'Raw data'!X58)=SIGN('Real results'!C58-'Real results'!D58),2+IF(AND('Raw data'!W58='Real results'!C58,'Raw data'!X58='Real results'!D58),2,0),0),0),0)</f>
        <v>0</v>
      </c>
      <c r="Y59" s="34">
        <f>IFERROR(IF(AND(ISNUMBER('Real results'!C58),ISNUMBER('Real results'!D58),ISNUMBER('Raw data'!Y58),ISNUMBER('Raw data'!Z58)),IF(SIGN('Raw data'!Y58-'Raw data'!Z58)=SIGN('Real results'!C58-'Real results'!D58),2+IF(AND('Raw data'!Y58='Real results'!C58,'Raw data'!Z58='Real results'!D58),2,0),0),0),0)</f>
        <v>0</v>
      </c>
      <c r="AA59" s="34">
        <f>IFERROR(IF(AND(ISNUMBER('Real results'!C58),ISNUMBER('Real results'!D58),ISNUMBER('Raw data'!AA58),ISNUMBER('Raw data'!AB58)),IF(SIGN('Raw data'!AA58-'Raw data'!AB58)=SIGN('Real results'!C58-'Real results'!D58),2+IF(AND('Raw data'!AA58='Real results'!C58,'Raw data'!AB58='Real results'!D58),2,0),0),0),0)</f>
        <v>0</v>
      </c>
      <c r="AC59" s="34">
        <f>IFERROR(IF(AND(ISNUMBER('Real results'!C58),ISNUMBER('Real results'!D58),ISNUMBER('Raw data'!AC58),ISNUMBER('Raw data'!AD58)),IF(SIGN('Raw data'!AC58-'Raw data'!AD58)=SIGN('Real results'!C58-'Real results'!D58),2+IF(AND('Raw data'!AC58='Real results'!C58,'Raw data'!AD58='Real results'!D58),2,0),0),0),0)</f>
        <v>0</v>
      </c>
      <c r="AE59" s="34">
        <f>IFERROR(IF(AND(ISNUMBER('Real results'!C58),ISNUMBER('Real results'!D58),ISNUMBER('Raw data'!AE58),ISNUMBER('Raw data'!AF58)),IF(SIGN('Raw data'!AE58-'Raw data'!AF58)=SIGN('Real results'!C58-'Real results'!D58),2+IF(AND('Raw data'!AE58='Real results'!C58,'Raw data'!AF58='Real results'!D58),2,0),0),0),0)</f>
        <v>0</v>
      </c>
      <c r="AG59" s="34">
        <f>IFERROR(IF(AND(ISNUMBER('Real results'!C58),ISNUMBER('Real results'!D58),ISNUMBER('Raw data'!AG58),ISNUMBER('Raw data'!AH58)),IF(SIGN('Raw data'!AG58-'Raw data'!AH58)=SIGN('Real results'!C58-'Real results'!D58),2+IF(AND('Raw data'!AG58='Real results'!C58,'Raw data'!AH58='Real results'!D58),2,0),0),0),0)</f>
        <v>0</v>
      </c>
      <c r="AI59" s="34">
        <f>IFERROR(IF(AND(ISNUMBER('Real results'!C58),ISNUMBER('Real results'!D58),ISNUMBER('Raw data'!AI58),ISNUMBER('Raw data'!AJ58)),IF(SIGN('Raw data'!AI58-'Raw data'!AJ58)=SIGN('Real results'!C58-'Real results'!D58),2+IF(AND('Raw data'!AI58='Real results'!C58,'Raw data'!AJ58='Real results'!D58),2,0),0),0),0)</f>
        <v>0</v>
      </c>
      <c r="AK59" s="34">
        <f>IFERROR(IF(AND(ISNUMBER('Real results'!C58),ISNUMBER('Real results'!D58),ISNUMBER('Raw data'!AK58),ISNUMBER('Raw data'!AL58)),IF(SIGN('Raw data'!AK58-'Raw data'!AL58)=SIGN('Real results'!C58-'Real results'!D58),2+IF(AND('Raw data'!AK58='Real results'!C58,'Raw data'!AL58='Real results'!D58),2,0),0),0),0)</f>
        <v>0</v>
      </c>
      <c r="AM59" s="34">
        <f>IFERROR(IF(AND(ISNUMBER('Real results'!C58),ISNUMBER('Real results'!D58),ISNUMBER('Raw data'!AM58),ISNUMBER('Raw data'!AN58)),IF(SIGN('Raw data'!AM58-'Raw data'!AN58)=SIGN('Real results'!C58-'Real results'!D58),2+IF(AND('Raw data'!AM58='Real results'!C58,'Raw data'!AN58='Real results'!D58),2,0),0),0),0)</f>
        <v>0</v>
      </c>
      <c r="AO59" s="34">
        <f>IFERROR(IF(AND(ISNUMBER('Real results'!C58),ISNUMBER('Real results'!D58),ISNUMBER('Raw data'!AO58),ISNUMBER('Raw data'!AP58)),IF(SIGN('Raw data'!AO58-'Raw data'!AP58)=SIGN('Real results'!C58-'Real results'!D58),2+IF(AND('Raw data'!AO58='Real results'!C58,'Raw data'!AP58='Real results'!D58),2,0),0),0),0)</f>
        <v>0</v>
      </c>
      <c r="AQ59" s="34">
        <f>IFERROR(IF(AND(ISNUMBER('Real results'!C58),ISNUMBER('Real results'!D58),ISNUMBER('Raw data'!AQ58),ISNUMBER('Raw data'!AR58)),IF(SIGN('Raw data'!AQ58-'Raw data'!AR58)=SIGN('Real results'!C58-'Real results'!D58),2+IF(AND('Raw data'!AQ58='Real results'!C58,'Raw data'!AR58='Real results'!D58),2,0),0),0),0)</f>
        <v>0</v>
      </c>
      <c r="AS59" s="34">
        <f>IFERROR(IF(AND(ISNUMBER('Real results'!C58),ISNUMBER('Real results'!D58),ISNUMBER('Raw data'!AS58),ISNUMBER('Raw data'!AT58)),IF(SIGN('Raw data'!AS58-'Raw data'!AT58)=SIGN('Real results'!C58-'Real results'!D58),2+IF(AND('Raw data'!AS58='Real results'!C58,'Raw data'!AT58='Real results'!D58),2,0),0),0),0)</f>
        <v>0</v>
      </c>
      <c r="AU59" s="34">
        <f>IFERROR(IF(AND(ISNUMBER('Real results'!C58),ISNUMBER('Real results'!D58),ISNUMBER('Raw data'!AU58),ISNUMBER('Raw data'!AV58)),IF(SIGN('Raw data'!AU58-'Raw data'!AV58)=SIGN('Real results'!C58-'Real results'!D58),2+IF(AND('Raw data'!AU58='Real results'!C58,'Raw data'!AV58='Real results'!D58),2,0),0),0),0)</f>
        <v>0</v>
      </c>
      <c r="AW59" s="34">
        <f>IFERROR(IF(AND(ISNUMBER('Real results'!C58),ISNUMBER('Real results'!D58),ISNUMBER('Raw data'!AW58),ISNUMBER('Raw data'!AX58)),IF(SIGN('Raw data'!AW58-'Raw data'!AX58)=SIGN('Real results'!C58-'Real results'!D58),2+IF(AND('Raw data'!AW58='Real results'!C58,'Raw data'!AX58='Real results'!D58),2,0),0),0),0)</f>
        <v>0</v>
      </c>
      <c r="AY59" s="34">
        <f>IFERROR(IF(AND(ISNUMBER('Real results'!C58),ISNUMBER('Real results'!D58),ISNUMBER('Raw data'!AY58),ISNUMBER('Raw data'!AZ58)),IF(SIGN('Raw data'!AY58-'Raw data'!AZ58)=SIGN('Real results'!C58-'Real results'!D58),2+IF(AND('Raw data'!AY58='Real results'!C58,'Raw data'!AZ58='Real results'!D58),2,0),0),0),0)</f>
        <v>0</v>
      </c>
      <c r="BA59" s="34">
        <f>IFERROR(IF(AND(ISNUMBER('Real results'!C58),ISNUMBER('Real results'!D58),ISNUMBER('Raw data'!BA58),ISNUMBER('Raw data'!BB58)),IF(SIGN('Raw data'!BA58-'Raw data'!BB58)=SIGN('Real results'!C58-'Real results'!D58),2+IF(AND('Raw data'!BA58='Real results'!C58,'Raw data'!BB58='Real results'!D58),2,0),0),0),0)</f>
        <v>0</v>
      </c>
      <c r="BC59" s="34">
        <f>IFERROR(IF(AND(ISNUMBER('Real results'!C58),ISNUMBER('Real results'!D58),ISNUMBER('Raw data'!BC58),ISNUMBER('Raw data'!BD58)),IF(SIGN('Raw data'!BC58-'Raw data'!BD58)=SIGN('Real results'!C58-'Real results'!D58),2+IF(AND('Raw data'!BC58='Real results'!C58,'Raw data'!BD58='Real results'!D58),2,0),0),0),0)</f>
        <v>0</v>
      </c>
      <c r="BE59" s="34">
        <f>IFERROR(IF(AND(ISNUMBER('Real results'!C58),ISNUMBER('Real results'!D58),ISNUMBER('Raw data'!BE58),ISNUMBER('Raw data'!BF58)),IF(SIGN('Raw data'!BE58-'Raw data'!BF58)=SIGN('Real results'!C58-'Real results'!D58),2+IF(AND('Raw data'!BE58='Real results'!C58,'Raw data'!BF58='Real results'!D58),2,0),0),0),0)</f>
        <v>0</v>
      </c>
      <c r="BG59" s="34">
        <f>IFERROR(IF(AND(ISNUMBER('Real results'!C58),ISNUMBER('Real results'!D58),ISNUMBER('Raw data'!BG58),ISNUMBER('Raw data'!BH58)),IF(SIGN('Raw data'!BG58-'Raw data'!BH58)=SIGN('Real results'!C58-'Real results'!D58),2+IF(AND('Raw data'!BG58='Real results'!C58,'Raw data'!BH58='Real results'!D58),2,0),0),0),0)</f>
        <v>0</v>
      </c>
      <c r="BI59" s="34">
        <f>IFERROR(IF(AND(ISNUMBER('Real results'!C58),ISNUMBER('Real results'!D58),ISNUMBER('Raw data'!BI58),ISNUMBER('Raw data'!BJ58)),IF(SIGN('Raw data'!BI58-'Raw data'!BJ58)=SIGN('Real results'!C58-'Real results'!D58),2+IF(AND('Raw data'!BI58='Real results'!C58,'Raw data'!BJ58='Real results'!D58),2,0),0),0),0)</f>
        <v>0</v>
      </c>
    </row>
    <row r="60" ht="18.0" customHeight="1">
      <c r="B60" s="12" t="s">
        <v>85</v>
      </c>
      <c r="C60" s="34">
        <f>IFERROR(IF(AND(ISNUMBER('Real results'!C59),ISNUMBER('Real results'!D59),ISNUMBER('Raw data'!C57),ISNUMBER('Raw data'!D57)),IF(SIGN('Raw data'!C57-'Raw data'!D57)=SIGN('Real results'!C59-'Real results'!D59),2+IF(AND('Raw data'!C57='Real results'!C59,'Raw data'!D57='Real results'!D59),2,0),0),0),0)</f>
        <v>0</v>
      </c>
      <c r="E60" s="34">
        <f>IFERROR(IF(AND(ISNUMBER('Real results'!C59),ISNUMBER('Real results'!D59),ISNUMBER('Raw data'!E58),ISNUMBER('Raw data'!F58)),IF(SIGN('Raw data'!E58-'Raw data'!F58)=SIGN('Real results'!C59-'Real results'!D59),2+IF(AND('Raw data'!E58='Real results'!C59,'Raw data'!F58='Real results'!D59),2,0),0),0),0)</f>
        <v>0</v>
      </c>
      <c r="G60" s="34">
        <f>IFERROR(IF(AND(ISNUMBER('Real results'!C59),ISNUMBER('Real results'!D59),ISNUMBER('Raw data'!G59),ISNUMBER('Raw data'!H59)),IF(SIGN('Raw data'!G59-'Raw data'!H59)=SIGN('Real results'!C59-'Real results'!D59),2+IF(AND('Raw data'!G59='Real results'!C59,'Raw data'!H59='Real results'!D59),2,0),0),0),0)</f>
        <v>2</v>
      </c>
      <c r="I60" s="34">
        <f>IFERROR(IF(AND(ISNUMBER('Real results'!C59),ISNUMBER('Real results'!D59),ISNUMBER('Raw data'!I59),ISNUMBER('Raw data'!J59)),IF(SIGN('Raw data'!I59-'Raw data'!J59)=SIGN('Real results'!C59-'Real results'!D59),2+IF(AND('Raw data'!I59='Real results'!C59,'Raw data'!J59='Real results'!D59),2,0),0),0),0)</f>
        <v>2</v>
      </c>
      <c r="K60" s="34">
        <f>IFERROR(IF(AND(ISNUMBER('Real results'!C59),ISNUMBER('Real results'!D59),ISNUMBER('Raw data'!K59),ISNUMBER('Raw data'!L59)),IF(SIGN('Raw data'!K59-'Raw data'!L59)=SIGN('Real results'!C59-'Real results'!D59),2+IF(AND('Raw data'!K59='Real results'!C59,'Raw data'!L59='Real results'!D59),2,0),0),0),0)</f>
        <v>2</v>
      </c>
      <c r="M60" s="34">
        <f>IFERROR(IF(AND(ISNUMBER('Real results'!C59),ISNUMBER('Real results'!D59),ISNUMBER('Raw data'!M59),ISNUMBER('Raw data'!N59)),IF(SIGN('Raw data'!M59-'Raw data'!N59)=SIGN('Real results'!C59-'Real results'!D59),2+IF(AND('Raw data'!M59='Real results'!C59,'Raw data'!N59='Real results'!D59),2,0),0),0),0)</f>
        <v>0</v>
      </c>
      <c r="O60" s="34">
        <f>IFERROR(IF(AND(ISNUMBER('Real results'!C59),ISNUMBER('Real results'!D59),ISNUMBER('Raw data'!O59),ISNUMBER('Raw data'!P59)),IF(SIGN('Raw data'!O59-'Raw data'!P59)=SIGN('Real results'!C59-'Real results'!D59),2+IF(AND('Raw data'!O59='Real results'!C59,'Raw data'!P59='Real results'!D59),2,0),0),0),0)</f>
        <v>0</v>
      </c>
      <c r="Q60" s="34">
        <f>IFERROR(IF(AND(ISNUMBER('Real results'!C59),ISNUMBER('Real results'!D59),ISNUMBER('Raw data'!Q59),ISNUMBER('Raw data'!R59)),IF(SIGN('Raw data'!Q59-'Raw data'!R59)=SIGN('Real results'!C59-'Real results'!D59),2+IF(AND('Raw data'!Q59='Real results'!C59,'Raw data'!R59='Real results'!D59),2,0),0),0),0)</f>
        <v>0</v>
      </c>
      <c r="S60" s="34">
        <f>IFERROR(IF(AND(ISNUMBER('Real results'!C59),ISNUMBER('Real results'!D59),ISNUMBER('Raw data'!S59),ISNUMBER('Raw data'!T59)),IF(SIGN('Raw data'!S59-'Raw data'!T59)=SIGN('Real results'!C59-'Real results'!D59),2+IF(AND('Raw data'!S59='Real results'!C59,'Raw data'!T59='Real results'!D59),2,0),0),0),0)</f>
        <v>0</v>
      </c>
      <c r="U60" s="34">
        <f>IFERROR(IF(AND(ISNUMBER('Real results'!C59),ISNUMBER('Real results'!D59),ISNUMBER('Raw data'!U59),ISNUMBER('Raw data'!V59)),IF(SIGN('Raw data'!U59-'Raw data'!V59)=SIGN('Real results'!C59-'Real results'!D59),2+IF(AND('Raw data'!U59='Real results'!C59,'Raw data'!V59='Real results'!D59),2,0),0),0),0)</f>
        <v>0</v>
      </c>
      <c r="W60" s="34">
        <f>IFERROR(IF(AND(ISNUMBER('Real results'!C59),ISNUMBER('Real results'!D59),ISNUMBER('Raw data'!W59),ISNUMBER('Raw data'!X59)),IF(SIGN('Raw data'!W59-'Raw data'!X59)=SIGN('Real results'!C59-'Real results'!D59),2+IF(AND('Raw data'!W59='Real results'!C59,'Raw data'!X59='Real results'!D59),2,0),0),0),0)</f>
        <v>0</v>
      </c>
      <c r="Y60" s="34">
        <f>IFERROR(IF(AND(ISNUMBER('Real results'!C59),ISNUMBER('Real results'!D59),ISNUMBER('Raw data'!Y59),ISNUMBER('Raw data'!Z59)),IF(SIGN('Raw data'!Y59-'Raw data'!Z59)=SIGN('Real results'!C59-'Real results'!D59),2+IF(AND('Raw data'!Y59='Real results'!C59,'Raw data'!Z59='Real results'!D59),2,0),0),0),0)</f>
        <v>0</v>
      </c>
      <c r="AA60" s="34">
        <f>IFERROR(IF(AND(ISNUMBER('Real results'!C59),ISNUMBER('Real results'!D59),ISNUMBER('Raw data'!AA59),ISNUMBER('Raw data'!AB59)),IF(SIGN('Raw data'!AA59-'Raw data'!AB59)=SIGN('Real results'!C59-'Real results'!D59),2+IF(AND('Raw data'!AA59='Real results'!C59,'Raw data'!AB59='Real results'!D59),2,0),0),0),0)</f>
        <v>0</v>
      </c>
      <c r="AC60" s="34">
        <f>IFERROR(IF(AND(ISNUMBER('Real results'!C59),ISNUMBER('Real results'!D59),ISNUMBER('Raw data'!AC59),ISNUMBER('Raw data'!AD59)),IF(SIGN('Raw data'!AC59-'Raw data'!AD59)=SIGN('Real results'!C59-'Real results'!D59),2+IF(AND('Raw data'!AC59='Real results'!C59,'Raw data'!AD59='Real results'!D59),2,0),0),0),0)</f>
        <v>0</v>
      </c>
      <c r="AE60" s="34">
        <f>IFERROR(IF(AND(ISNUMBER('Real results'!C59),ISNUMBER('Real results'!D59),ISNUMBER('Raw data'!AE59),ISNUMBER('Raw data'!AF59)),IF(SIGN('Raw data'!AE59-'Raw data'!AF59)=SIGN('Real results'!C59-'Real results'!D59),2+IF(AND('Raw data'!AE59='Real results'!C59,'Raw data'!AF59='Real results'!D59),2,0),0),0),0)</f>
        <v>0</v>
      </c>
      <c r="AG60" s="34">
        <f>IFERROR(IF(AND(ISNUMBER('Real results'!C59),ISNUMBER('Real results'!D59),ISNUMBER('Raw data'!AG59),ISNUMBER('Raw data'!AH59)),IF(SIGN('Raw data'!AG59-'Raw data'!AH59)=SIGN('Real results'!C59-'Real results'!D59),2+IF(AND('Raw data'!AG59='Real results'!C59,'Raw data'!AH59='Real results'!D59),2,0),0),0),0)</f>
        <v>0</v>
      </c>
      <c r="AI60" s="34">
        <f>IFERROR(IF(AND(ISNUMBER('Real results'!C59),ISNUMBER('Real results'!D59),ISNUMBER('Raw data'!AI59),ISNUMBER('Raw data'!AJ59)),IF(SIGN('Raw data'!AI59-'Raw data'!AJ59)=SIGN('Real results'!C59-'Real results'!D59),2+IF(AND('Raw data'!AI59='Real results'!C59,'Raw data'!AJ59='Real results'!D59),2,0),0),0),0)</f>
        <v>0</v>
      </c>
      <c r="AK60" s="34">
        <f>IFERROR(IF(AND(ISNUMBER('Real results'!C59),ISNUMBER('Real results'!D59),ISNUMBER('Raw data'!AK59),ISNUMBER('Raw data'!AL59)),IF(SIGN('Raw data'!AK59-'Raw data'!AL59)=SIGN('Real results'!C59-'Real results'!D59),2+IF(AND('Raw data'!AK59='Real results'!C59,'Raw data'!AL59='Real results'!D59),2,0),0),0),0)</f>
        <v>0</v>
      </c>
      <c r="AM60" s="34">
        <f>IFERROR(IF(AND(ISNUMBER('Real results'!C59),ISNUMBER('Real results'!D59),ISNUMBER('Raw data'!AM59),ISNUMBER('Raw data'!AN59)),IF(SIGN('Raw data'!AM59-'Raw data'!AN59)=SIGN('Real results'!C59-'Real results'!D59),2+IF(AND('Raw data'!AM59='Real results'!C59,'Raw data'!AN59='Real results'!D59),2,0),0),0),0)</f>
        <v>0</v>
      </c>
      <c r="AO60" s="34">
        <f>IFERROR(IF(AND(ISNUMBER('Real results'!C59),ISNUMBER('Real results'!D59),ISNUMBER('Raw data'!AO59),ISNUMBER('Raw data'!AP59)),IF(SIGN('Raw data'!AO59-'Raw data'!AP59)=SIGN('Real results'!C59-'Real results'!D59),2+IF(AND('Raw data'!AO59='Real results'!C59,'Raw data'!AP59='Real results'!D59),2,0),0),0),0)</f>
        <v>0</v>
      </c>
      <c r="AQ60" s="34">
        <f>IFERROR(IF(AND(ISNUMBER('Real results'!C59),ISNUMBER('Real results'!D59),ISNUMBER('Raw data'!AQ59),ISNUMBER('Raw data'!AR59)),IF(SIGN('Raw data'!AQ59-'Raw data'!AR59)=SIGN('Real results'!C59-'Real results'!D59),2+IF(AND('Raw data'!AQ59='Real results'!C59,'Raw data'!AR59='Real results'!D59),2,0),0),0),0)</f>
        <v>0</v>
      </c>
      <c r="AS60" s="34">
        <f>IFERROR(IF(AND(ISNUMBER('Real results'!C59),ISNUMBER('Real results'!D59),ISNUMBER('Raw data'!AS59),ISNUMBER('Raw data'!AT59)),IF(SIGN('Raw data'!AS59-'Raw data'!AT59)=SIGN('Real results'!C59-'Real results'!D59),2+IF(AND('Raw data'!AS59='Real results'!C59,'Raw data'!AT59='Real results'!D59),2,0),0),0),0)</f>
        <v>0</v>
      </c>
      <c r="AU60" s="34">
        <f>IFERROR(IF(AND(ISNUMBER('Real results'!C59),ISNUMBER('Real results'!D59),ISNUMBER('Raw data'!AU59),ISNUMBER('Raw data'!AV59)),IF(SIGN('Raw data'!AU59-'Raw data'!AV59)=SIGN('Real results'!C59-'Real results'!D59),2+IF(AND('Raw data'!AU59='Real results'!C59,'Raw data'!AV59='Real results'!D59),2,0),0),0),0)</f>
        <v>0</v>
      </c>
      <c r="AW60" s="34">
        <f>IFERROR(IF(AND(ISNUMBER('Real results'!C59),ISNUMBER('Real results'!D59),ISNUMBER('Raw data'!AW59),ISNUMBER('Raw data'!AX59)),IF(SIGN('Raw data'!AW59-'Raw data'!AX59)=SIGN('Real results'!C59-'Real results'!D59),2+IF(AND('Raw data'!AW59='Real results'!C59,'Raw data'!AX59='Real results'!D59),2,0),0),0),0)</f>
        <v>0</v>
      </c>
      <c r="AY60" s="34">
        <f>IFERROR(IF(AND(ISNUMBER('Real results'!C59),ISNUMBER('Real results'!D59),ISNUMBER('Raw data'!AY59),ISNUMBER('Raw data'!AZ59)),IF(SIGN('Raw data'!AY59-'Raw data'!AZ59)=SIGN('Real results'!C59-'Real results'!D59),2+IF(AND('Raw data'!AY59='Real results'!C59,'Raw data'!AZ59='Real results'!D59),2,0),0),0),0)</f>
        <v>0</v>
      </c>
      <c r="BA60" s="34">
        <f>IFERROR(IF(AND(ISNUMBER('Real results'!C59),ISNUMBER('Real results'!D59),ISNUMBER('Raw data'!BA59),ISNUMBER('Raw data'!BB59)),IF(SIGN('Raw data'!BA59-'Raw data'!BB59)=SIGN('Real results'!C59-'Real results'!D59),2+IF(AND('Raw data'!BA59='Real results'!C59,'Raw data'!BB59='Real results'!D59),2,0),0),0),0)</f>
        <v>0</v>
      </c>
      <c r="BC60" s="34">
        <f>IFERROR(IF(AND(ISNUMBER('Real results'!C59),ISNUMBER('Real results'!D59),ISNUMBER('Raw data'!BC59),ISNUMBER('Raw data'!BD59)),IF(SIGN('Raw data'!BC59-'Raw data'!BD59)=SIGN('Real results'!C59-'Real results'!D59),2+IF(AND('Raw data'!BC59='Real results'!C59,'Raw data'!BD59='Real results'!D59),2,0),0),0),0)</f>
        <v>0</v>
      </c>
      <c r="BE60" s="34">
        <f>IFERROR(IF(AND(ISNUMBER('Real results'!C59),ISNUMBER('Real results'!D59),ISNUMBER('Raw data'!BE59),ISNUMBER('Raw data'!BF59)),IF(SIGN('Raw data'!BE59-'Raw data'!BF59)=SIGN('Real results'!C59-'Real results'!D59),2+IF(AND('Raw data'!BE59='Real results'!C59,'Raw data'!BF59='Real results'!D59),2,0),0),0),0)</f>
        <v>0</v>
      </c>
      <c r="BG60" s="34">
        <f>IFERROR(IF(AND(ISNUMBER('Real results'!C59),ISNUMBER('Real results'!D59),ISNUMBER('Raw data'!BG59),ISNUMBER('Raw data'!BH59)),IF(SIGN('Raw data'!BG59-'Raw data'!BH59)=SIGN('Real results'!C59-'Real results'!D59),2+IF(AND('Raw data'!BG59='Real results'!C59,'Raw data'!BH59='Real results'!D59),2,0),0),0),0)</f>
        <v>0</v>
      </c>
      <c r="BI60" s="34">
        <f>IFERROR(IF(AND(ISNUMBER('Real results'!C59),ISNUMBER('Real results'!D59),ISNUMBER('Raw data'!BI59),ISNUMBER('Raw data'!BJ59)),IF(SIGN('Raw data'!BI59-'Raw data'!BJ59)=SIGN('Real results'!C59-'Real results'!D59),2+IF(AND('Raw data'!BI59='Real results'!C59,'Raw data'!BJ59='Real results'!D59),2,0),0),0),0)</f>
        <v>0</v>
      </c>
    </row>
    <row r="61" ht="18.0" customHeight="1">
      <c r="B61" s="12" t="s">
        <v>86</v>
      </c>
      <c r="C61" s="34">
        <f>IFERROR(IF(AND(ISNUMBER('Real results'!C60),ISNUMBER('Real results'!D60),ISNUMBER('Raw data'!C58),ISNUMBER('Raw data'!D58)),IF(SIGN('Raw data'!C58-'Raw data'!D58)=SIGN('Real results'!C60-'Real results'!D60),2+IF(AND('Raw data'!C58='Real results'!C60,'Raw data'!D58='Real results'!D60),2,0),0),0),0)</f>
        <v>0</v>
      </c>
      <c r="E61" s="34">
        <f>IFERROR(IF(AND(ISNUMBER('Real results'!C60),ISNUMBER('Real results'!D60),ISNUMBER('Raw data'!E59),ISNUMBER('Raw data'!F59)),IF(SIGN('Raw data'!E59-'Raw data'!F59)=SIGN('Real results'!C60-'Real results'!D60),2+IF(AND('Raw data'!E59='Real results'!C60,'Raw data'!F59='Real results'!D60),2,0),0),0),0)</f>
        <v>0</v>
      </c>
      <c r="G61" s="34">
        <f>IFERROR(IF(AND(ISNUMBER('Real results'!C60),ISNUMBER('Real results'!D60),ISNUMBER('Raw data'!G60),ISNUMBER('Raw data'!H60)),IF(SIGN('Raw data'!G60-'Raw data'!H60)=SIGN('Real results'!C60-'Real results'!D60),2+IF(AND('Raw data'!G60='Real results'!C60,'Raw data'!H60='Real results'!D60),2,0),0),0),0)</f>
        <v>2</v>
      </c>
      <c r="I61" s="34">
        <f>IFERROR(IF(AND(ISNUMBER('Real results'!C60),ISNUMBER('Real results'!D60),ISNUMBER('Raw data'!I60),ISNUMBER('Raw data'!J60)),IF(SIGN('Raw data'!I60-'Raw data'!J60)=SIGN('Real results'!C60-'Real results'!D60),2+IF(AND('Raw data'!I60='Real results'!C60,'Raw data'!J60='Real results'!D60),2,0),0),0),0)</f>
        <v>2</v>
      </c>
      <c r="K61" s="34">
        <f>IFERROR(IF(AND(ISNUMBER('Real results'!C60),ISNUMBER('Real results'!D60),ISNUMBER('Raw data'!K60),ISNUMBER('Raw data'!L60)),IF(SIGN('Raw data'!K60-'Raw data'!L60)=SIGN('Real results'!C60-'Real results'!D60),2+IF(AND('Raw data'!K60='Real results'!C60,'Raw data'!L60='Real results'!D60),2,0),0),0),0)</f>
        <v>2</v>
      </c>
      <c r="M61" s="34">
        <f>IFERROR(IF(AND(ISNUMBER('Real results'!C60),ISNUMBER('Real results'!D60),ISNUMBER('Raw data'!M60),ISNUMBER('Raw data'!N60)),IF(SIGN('Raw data'!M60-'Raw data'!N60)=SIGN('Real results'!C60-'Real results'!D60),2+IF(AND('Raw data'!M60='Real results'!C60,'Raw data'!N60='Real results'!D60),2,0),0),0),0)</f>
        <v>0</v>
      </c>
      <c r="O61" s="34">
        <f>IFERROR(IF(AND(ISNUMBER('Real results'!C60),ISNUMBER('Real results'!D60),ISNUMBER('Raw data'!O60),ISNUMBER('Raw data'!P60)),IF(SIGN('Raw data'!O60-'Raw data'!P60)=SIGN('Real results'!C60-'Real results'!D60),2+IF(AND('Raw data'!O60='Real results'!C60,'Raw data'!P60='Real results'!D60),2,0),0),0),0)</f>
        <v>0</v>
      </c>
      <c r="Q61" s="34">
        <f>IFERROR(IF(AND(ISNUMBER('Real results'!C60),ISNUMBER('Real results'!D60),ISNUMBER('Raw data'!Q60),ISNUMBER('Raw data'!R60)),IF(SIGN('Raw data'!Q60-'Raw data'!R60)=SIGN('Real results'!C60-'Real results'!D60),2+IF(AND('Raw data'!Q60='Real results'!C60,'Raw data'!R60='Real results'!D60),2,0),0),0),0)</f>
        <v>0</v>
      </c>
      <c r="S61" s="34">
        <f>IFERROR(IF(AND(ISNUMBER('Real results'!C60),ISNUMBER('Real results'!D60),ISNUMBER('Raw data'!S60),ISNUMBER('Raw data'!T60)),IF(SIGN('Raw data'!S60-'Raw data'!T60)=SIGN('Real results'!C60-'Real results'!D60),2+IF(AND('Raw data'!S60='Real results'!C60,'Raw data'!T60='Real results'!D60),2,0),0),0),0)</f>
        <v>0</v>
      </c>
      <c r="U61" s="34">
        <f>IFERROR(IF(AND(ISNUMBER('Real results'!C60),ISNUMBER('Real results'!D60),ISNUMBER('Raw data'!U60),ISNUMBER('Raw data'!V60)),IF(SIGN('Raw data'!U60-'Raw data'!V60)=SIGN('Real results'!C60-'Real results'!D60),2+IF(AND('Raw data'!U60='Real results'!C60,'Raw data'!V60='Real results'!D60),2,0),0),0),0)</f>
        <v>0</v>
      </c>
      <c r="W61" s="34">
        <f>IFERROR(IF(AND(ISNUMBER('Real results'!C60),ISNUMBER('Real results'!D60),ISNUMBER('Raw data'!W60),ISNUMBER('Raw data'!X60)),IF(SIGN('Raw data'!W60-'Raw data'!X60)=SIGN('Real results'!C60-'Real results'!D60),2+IF(AND('Raw data'!W60='Real results'!C60,'Raw data'!X60='Real results'!D60),2,0),0),0),0)</f>
        <v>0</v>
      </c>
      <c r="Y61" s="34">
        <f>IFERROR(IF(AND(ISNUMBER('Real results'!C60),ISNUMBER('Real results'!D60),ISNUMBER('Raw data'!Y60),ISNUMBER('Raw data'!Z60)),IF(SIGN('Raw data'!Y60-'Raw data'!Z60)=SIGN('Real results'!C60-'Real results'!D60),2+IF(AND('Raw data'!Y60='Real results'!C60,'Raw data'!Z60='Real results'!D60),2,0),0),0),0)</f>
        <v>0</v>
      </c>
      <c r="AA61" s="34">
        <f>IFERROR(IF(AND(ISNUMBER('Real results'!C60),ISNUMBER('Real results'!D60),ISNUMBER('Raw data'!AA60),ISNUMBER('Raw data'!AB60)),IF(SIGN('Raw data'!AA60-'Raw data'!AB60)=SIGN('Real results'!C60-'Real results'!D60),2+IF(AND('Raw data'!AA60='Real results'!C60,'Raw data'!AB60='Real results'!D60),2,0),0),0),0)</f>
        <v>0</v>
      </c>
      <c r="AC61" s="34">
        <f>IFERROR(IF(AND(ISNUMBER('Real results'!C60),ISNUMBER('Real results'!D60),ISNUMBER('Raw data'!AC60),ISNUMBER('Raw data'!AD60)),IF(SIGN('Raw data'!AC60-'Raw data'!AD60)=SIGN('Real results'!C60-'Real results'!D60),2+IF(AND('Raw data'!AC60='Real results'!C60,'Raw data'!AD60='Real results'!D60),2,0),0),0),0)</f>
        <v>0</v>
      </c>
      <c r="AE61" s="34">
        <f>IFERROR(IF(AND(ISNUMBER('Real results'!C60),ISNUMBER('Real results'!D60),ISNUMBER('Raw data'!AE60),ISNUMBER('Raw data'!AF60)),IF(SIGN('Raw data'!AE60-'Raw data'!AF60)=SIGN('Real results'!C60-'Real results'!D60),2+IF(AND('Raw data'!AE60='Real results'!C60,'Raw data'!AF60='Real results'!D60),2,0),0),0),0)</f>
        <v>0</v>
      </c>
      <c r="AG61" s="34">
        <f>IFERROR(IF(AND(ISNUMBER('Real results'!C60),ISNUMBER('Real results'!D60),ISNUMBER('Raw data'!AG60),ISNUMBER('Raw data'!AH60)),IF(SIGN('Raw data'!AG60-'Raw data'!AH60)=SIGN('Real results'!C60-'Real results'!D60),2+IF(AND('Raw data'!AG60='Real results'!C60,'Raw data'!AH60='Real results'!D60),2,0),0),0),0)</f>
        <v>0</v>
      </c>
      <c r="AI61" s="34">
        <f>IFERROR(IF(AND(ISNUMBER('Real results'!C60),ISNUMBER('Real results'!D60),ISNUMBER('Raw data'!AI60),ISNUMBER('Raw data'!AJ60)),IF(SIGN('Raw data'!AI60-'Raw data'!AJ60)=SIGN('Real results'!C60-'Real results'!D60),2+IF(AND('Raw data'!AI60='Real results'!C60,'Raw data'!AJ60='Real results'!D60),2,0),0),0),0)</f>
        <v>0</v>
      </c>
      <c r="AK61" s="34">
        <f>IFERROR(IF(AND(ISNUMBER('Real results'!C60),ISNUMBER('Real results'!D60),ISNUMBER('Raw data'!AK60),ISNUMBER('Raw data'!AL60)),IF(SIGN('Raw data'!AK60-'Raw data'!AL60)=SIGN('Real results'!C60-'Real results'!D60),2+IF(AND('Raw data'!AK60='Real results'!C60,'Raw data'!AL60='Real results'!D60),2,0),0),0),0)</f>
        <v>0</v>
      </c>
      <c r="AM61" s="34">
        <f>IFERROR(IF(AND(ISNUMBER('Real results'!C60),ISNUMBER('Real results'!D60),ISNUMBER('Raw data'!AM60),ISNUMBER('Raw data'!AN60)),IF(SIGN('Raw data'!AM60-'Raw data'!AN60)=SIGN('Real results'!C60-'Real results'!D60),2+IF(AND('Raw data'!AM60='Real results'!C60,'Raw data'!AN60='Real results'!D60),2,0),0),0),0)</f>
        <v>0</v>
      </c>
      <c r="AO61" s="34">
        <f>IFERROR(IF(AND(ISNUMBER('Real results'!C60),ISNUMBER('Real results'!D60),ISNUMBER('Raw data'!AO60),ISNUMBER('Raw data'!AP60)),IF(SIGN('Raw data'!AO60-'Raw data'!AP60)=SIGN('Real results'!C60-'Real results'!D60),2+IF(AND('Raw data'!AO60='Real results'!C60,'Raw data'!AP60='Real results'!D60),2,0),0),0),0)</f>
        <v>0</v>
      </c>
      <c r="AQ61" s="34">
        <f>IFERROR(IF(AND(ISNUMBER('Real results'!C60),ISNUMBER('Real results'!D60),ISNUMBER('Raw data'!AQ60),ISNUMBER('Raw data'!AR60)),IF(SIGN('Raw data'!AQ60-'Raw data'!AR60)=SIGN('Real results'!C60-'Real results'!D60),2+IF(AND('Raw data'!AQ60='Real results'!C60,'Raw data'!AR60='Real results'!D60),2,0),0),0),0)</f>
        <v>0</v>
      </c>
      <c r="AS61" s="34">
        <f>IFERROR(IF(AND(ISNUMBER('Real results'!C60),ISNUMBER('Real results'!D60),ISNUMBER('Raw data'!AS60),ISNUMBER('Raw data'!AT60)),IF(SIGN('Raw data'!AS60-'Raw data'!AT60)=SIGN('Real results'!C60-'Real results'!D60),2+IF(AND('Raw data'!AS60='Real results'!C60,'Raw data'!AT60='Real results'!D60),2,0),0),0),0)</f>
        <v>0</v>
      </c>
      <c r="AU61" s="34">
        <f>IFERROR(IF(AND(ISNUMBER('Real results'!C60),ISNUMBER('Real results'!D60),ISNUMBER('Raw data'!AU60),ISNUMBER('Raw data'!AV60)),IF(SIGN('Raw data'!AU60-'Raw data'!AV60)=SIGN('Real results'!C60-'Real results'!D60),2+IF(AND('Raw data'!AU60='Real results'!C60,'Raw data'!AV60='Real results'!D60),2,0),0),0),0)</f>
        <v>0</v>
      </c>
      <c r="AW61" s="34">
        <f>IFERROR(IF(AND(ISNUMBER('Real results'!C60),ISNUMBER('Real results'!D60),ISNUMBER('Raw data'!AW60),ISNUMBER('Raw data'!AX60)),IF(SIGN('Raw data'!AW60-'Raw data'!AX60)=SIGN('Real results'!C60-'Real results'!D60),2+IF(AND('Raw data'!AW60='Real results'!C60,'Raw data'!AX60='Real results'!D60),2,0),0),0),0)</f>
        <v>0</v>
      </c>
      <c r="AY61" s="34">
        <f>IFERROR(IF(AND(ISNUMBER('Real results'!C60),ISNUMBER('Real results'!D60),ISNUMBER('Raw data'!AY60),ISNUMBER('Raw data'!AZ60)),IF(SIGN('Raw data'!AY60-'Raw data'!AZ60)=SIGN('Real results'!C60-'Real results'!D60),2+IF(AND('Raw data'!AY60='Real results'!C60,'Raw data'!AZ60='Real results'!D60),2,0),0),0),0)</f>
        <v>0</v>
      </c>
      <c r="BA61" s="34">
        <f>IFERROR(IF(AND(ISNUMBER('Real results'!C60),ISNUMBER('Real results'!D60),ISNUMBER('Raw data'!BA60),ISNUMBER('Raw data'!BB60)),IF(SIGN('Raw data'!BA60-'Raw data'!BB60)=SIGN('Real results'!C60-'Real results'!D60),2+IF(AND('Raw data'!BA60='Real results'!C60,'Raw data'!BB60='Real results'!D60),2,0),0),0),0)</f>
        <v>0</v>
      </c>
      <c r="BC61" s="34">
        <f>IFERROR(IF(AND(ISNUMBER('Real results'!C60),ISNUMBER('Real results'!D60),ISNUMBER('Raw data'!BC60),ISNUMBER('Raw data'!BD60)),IF(SIGN('Raw data'!BC60-'Raw data'!BD60)=SIGN('Real results'!C60-'Real results'!D60),2+IF(AND('Raw data'!BC60='Real results'!C60,'Raw data'!BD60='Real results'!D60),2,0),0),0),0)</f>
        <v>0</v>
      </c>
      <c r="BE61" s="34">
        <f>IFERROR(IF(AND(ISNUMBER('Real results'!C60),ISNUMBER('Real results'!D60),ISNUMBER('Raw data'!BE60),ISNUMBER('Raw data'!BF60)),IF(SIGN('Raw data'!BE60-'Raw data'!BF60)=SIGN('Real results'!C60-'Real results'!D60),2+IF(AND('Raw data'!BE60='Real results'!C60,'Raw data'!BF60='Real results'!D60),2,0),0),0),0)</f>
        <v>0</v>
      </c>
      <c r="BG61" s="34">
        <f>IFERROR(IF(AND(ISNUMBER('Real results'!C60),ISNUMBER('Real results'!D60),ISNUMBER('Raw data'!BG60),ISNUMBER('Raw data'!BH60)),IF(SIGN('Raw data'!BG60-'Raw data'!BH60)=SIGN('Real results'!C60-'Real results'!D60),2+IF(AND('Raw data'!BG60='Real results'!C60,'Raw data'!BH60='Real results'!D60),2,0),0),0),0)</f>
        <v>0</v>
      </c>
      <c r="BI61" s="34">
        <f>IFERROR(IF(AND(ISNUMBER('Real results'!C60),ISNUMBER('Real results'!D60),ISNUMBER('Raw data'!BI60),ISNUMBER('Raw data'!BJ60)),IF(SIGN('Raw data'!BI60-'Raw data'!BJ60)=SIGN('Real results'!C60-'Real results'!D60),2+IF(AND('Raw data'!BI60='Real results'!C60,'Raw data'!BJ60='Real results'!D60),2,0),0),0),0)</f>
        <v>0</v>
      </c>
    </row>
    <row r="62" ht="18.0" customHeight="1">
      <c r="B62" s="12" t="s">
        <v>87</v>
      </c>
      <c r="C62" s="34">
        <f>IFERROR(IF(AND(ISNUMBER('Real results'!C61),ISNUMBER('Real results'!D61),ISNUMBER('Raw data'!C59),ISNUMBER('Raw data'!D59)),IF(SIGN('Raw data'!C59-'Raw data'!D59)=SIGN('Real results'!C61-'Real results'!D61),2+IF(AND('Raw data'!C59='Real results'!C61,'Raw data'!D59='Real results'!D61),2,0),0),0),0)</f>
        <v>0</v>
      </c>
      <c r="E62" s="34">
        <f>IFERROR(IF(AND(ISNUMBER('Real results'!C61),ISNUMBER('Real results'!D61),ISNUMBER('Raw data'!E60),ISNUMBER('Raw data'!F60)),IF(SIGN('Raw data'!E60-'Raw data'!F60)=SIGN('Real results'!C61-'Real results'!D61),2+IF(AND('Raw data'!E60='Real results'!C61,'Raw data'!F60='Real results'!D61),2,0),0),0),0)</f>
        <v>2</v>
      </c>
      <c r="G62" s="34">
        <f>IFERROR(IF(AND(ISNUMBER('Real results'!C61),ISNUMBER('Real results'!D61),ISNUMBER('Raw data'!G61),ISNUMBER('Raw data'!H61)),IF(SIGN('Raw data'!G61-'Raw data'!H61)=SIGN('Real results'!C61-'Real results'!D61),2+IF(AND('Raw data'!G61='Real results'!C61,'Raw data'!H61='Real results'!D61),2,0),0),0),0)</f>
        <v>0</v>
      </c>
      <c r="I62" s="34">
        <f>IFERROR(IF(AND(ISNUMBER('Real results'!C61),ISNUMBER('Real results'!D61),ISNUMBER('Raw data'!I61),ISNUMBER('Raw data'!J61)),IF(SIGN('Raw data'!I61-'Raw data'!J61)=SIGN('Real results'!C61-'Real results'!D61),2+IF(AND('Raw data'!I61='Real results'!C61,'Raw data'!J61='Real results'!D61),2,0),0),0),0)</f>
        <v>2</v>
      </c>
      <c r="K62" s="34">
        <f>IFERROR(IF(AND(ISNUMBER('Real results'!C61),ISNUMBER('Real results'!D61),ISNUMBER('Raw data'!K61),ISNUMBER('Raw data'!L61)),IF(SIGN('Raw data'!K61-'Raw data'!L61)=SIGN('Real results'!C61-'Real results'!D61),2+IF(AND('Raw data'!K61='Real results'!C61,'Raw data'!L61='Real results'!D61),2,0),0),0),0)</f>
        <v>2</v>
      </c>
      <c r="M62" s="34">
        <f>IFERROR(IF(AND(ISNUMBER('Real results'!C61),ISNUMBER('Real results'!D61),ISNUMBER('Raw data'!M61),ISNUMBER('Raw data'!N61)),IF(SIGN('Raw data'!M61-'Raw data'!N61)=SIGN('Real results'!C61-'Real results'!D61),2+IF(AND('Raw data'!M61='Real results'!C61,'Raw data'!N61='Real results'!D61),2,0),0),0),0)</f>
        <v>0</v>
      </c>
      <c r="O62" s="34">
        <f>IFERROR(IF(AND(ISNUMBER('Real results'!C61),ISNUMBER('Real results'!D61),ISNUMBER('Raw data'!O61),ISNUMBER('Raw data'!P61)),IF(SIGN('Raw data'!O61-'Raw data'!P61)=SIGN('Real results'!C61-'Real results'!D61),2+IF(AND('Raw data'!O61='Real results'!C61,'Raw data'!P61='Real results'!D61),2,0),0),0),0)</f>
        <v>0</v>
      </c>
      <c r="Q62" s="34">
        <f>IFERROR(IF(AND(ISNUMBER('Real results'!C61),ISNUMBER('Real results'!D61),ISNUMBER('Raw data'!Q61),ISNUMBER('Raw data'!R61)),IF(SIGN('Raw data'!Q61-'Raw data'!R61)=SIGN('Real results'!C61-'Real results'!D61),2+IF(AND('Raw data'!Q61='Real results'!C61,'Raw data'!R61='Real results'!D61),2,0),0),0),0)</f>
        <v>0</v>
      </c>
      <c r="S62" s="34">
        <f>IFERROR(IF(AND(ISNUMBER('Real results'!C61),ISNUMBER('Real results'!D61),ISNUMBER('Raw data'!S61),ISNUMBER('Raw data'!T61)),IF(SIGN('Raw data'!S61-'Raw data'!T61)=SIGN('Real results'!C61-'Real results'!D61),2+IF(AND('Raw data'!S61='Real results'!C61,'Raw data'!T61='Real results'!D61),2,0),0),0),0)</f>
        <v>0</v>
      </c>
      <c r="U62" s="34">
        <f>IFERROR(IF(AND(ISNUMBER('Real results'!C61),ISNUMBER('Real results'!D61),ISNUMBER('Raw data'!U61),ISNUMBER('Raw data'!V61)),IF(SIGN('Raw data'!U61-'Raw data'!V61)=SIGN('Real results'!C61-'Real results'!D61),2+IF(AND('Raw data'!U61='Real results'!C61,'Raw data'!V61='Real results'!D61),2,0),0),0),0)</f>
        <v>0</v>
      </c>
      <c r="W62" s="34">
        <f>IFERROR(IF(AND(ISNUMBER('Real results'!C61),ISNUMBER('Real results'!D61),ISNUMBER('Raw data'!W61),ISNUMBER('Raw data'!X61)),IF(SIGN('Raw data'!W61-'Raw data'!X61)=SIGN('Real results'!C61-'Real results'!D61),2+IF(AND('Raw data'!W61='Real results'!C61,'Raw data'!X61='Real results'!D61),2,0),0),0),0)</f>
        <v>0</v>
      </c>
      <c r="Y62" s="34">
        <f>IFERROR(IF(AND(ISNUMBER('Real results'!C61),ISNUMBER('Real results'!D61),ISNUMBER('Raw data'!Y61),ISNUMBER('Raw data'!Z61)),IF(SIGN('Raw data'!Y61-'Raw data'!Z61)=SIGN('Real results'!C61-'Real results'!D61),2+IF(AND('Raw data'!Y61='Real results'!C61,'Raw data'!Z61='Real results'!D61),2,0),0),0),0)</f>
        <v>0</v>
      </c>
      <c r="AA62" s="34">
        <f>IFERROR(IF(AND(ISNUMBER('Real results'!C61),ISNUMBER('Real results'!D61),ISNUMBER('Raw data'!AA61),ISNUMBER('Raw data'!AB61)),IF(SIGN('Raw data'!AA61-'Raw data'!AB61)=SIGN('Real results'!C61-'Real results'!D61),2+IF(AND('Raw data'!AA61='Real results'!C61,'Raw data'!AB61='Real results'!D61),2,0),0),0),0)</f>
        <v>0</v>
      </c>
      <c r="AC62" s="34">
        <f>IFERROR(IF(AND(ISNUMBER('Real results'!C61),ISNUMBER('Real results'!D61),ISNUMBER('Raw data'!AC61),ISNUMBER('Raw data'!AD61)),IF(SIGN('Raw data'!AC61-'Raw data'!AD61)=SIGN('Real results'!C61-'Real results'!D61),2+IF(AND('Raw data'!AC61='Real results'!C61,'Raw data'!AD61='Real results'!D61),2,0),0),0),0)</f>
        <v>0</v>
      </c>
      <c r="AE62" s="34">
        <f>IFERROR(IF(AND(ISNUMBER('Real results'!C61),ISNUMBER('Real results'!D61),ISNUMBER('Raw data'!AE61),ISNUMBER('Raw data'!AF61)),IF(SIGN('Raw data'!AE61-'Raw data'!AF61)=SIGN('Real results'!C61-'Real results'!D61),2+IF(AND('Raw data'!AE61='Real results'!C61,'Raw data'!AF61='Real results'!D61),2,0),0),0),0)</f>
        <v>0</v>
      </c>
      <c r="AG62" s="34">
        <f>IFERROR(IF(AND(ISNUMBER('Real results'!C61),ISNUMBER('Real results'!D61),ISNUMBER('Raw data'!AG61),ISNUMBER('Raw data'!AH61)),IF(SIGN('Raw data'!AG61-'Raw data'!AH61)=SIGN('Real results'!C61-'Real results'!D61),2+IF(AND('Raw data'!AG61='Real results'!C61,'Raw data'!AH61='Real results'!D61),2,0),0),0),0)</f>
        <v>0</v>
      </c>
      <c r="AI62" s="34">
        <f>IFERROR(IF(AND(ISNUMBER('Real results'!C61),ISNUMBER('Real results'!D61),ISNUMBER('Raw data'!AI61),ISNUMBER('Raw data'!AJ61)),IF(SIGN('Raw data'!AI61-'Raw data'!AJ61)=SIGN('Real results'!C61-'Real results'!D61),2+IF(AND('Raw data'!AI61='Real results'!C61,'Raw data'!AJ61='Real results'!D61),2,0),0),0),0)</f>
        <v>0</v>
      </c>
      <c r="AK62" s="34">
        <f>IFERROR(IF(AND(ISNUMBER('Real results'!C61),ISNUMBER('Real results'!D61),ISNUMBER('Raw data'!AK61),ISNUMBER('Raw data'!AL61)),IF(SIGN('Raw data'!AK61-'Raw data'!AL61)=SIGN('Real results'!C61-'Real results'!D61),2+IF(AND('Raw data'!AK61='Real results'!C61,'Raw data'!AL61='Real results'!D61),2,0),0),0),0)</f>
        <v>0</v>
      </c>
      <c r="AM62" s="34">
        <f>IFERROR(IF(AND(ISNUMBER('Real results'!C61),ISNUMBER('Real results'!D61),ISNUMBER('Raw data'!AM61),ISNUMBER('Raw data'!AN61)),IF(SIGN('Raw data'!AM61-'Raw data'!AN61)=SIGN('Real results'!C61-'Real results'!D61),2+IF(AND('Raw data'!AM61='Real results'!C61,'Raw data'!AN61='Real results'!D61),2,0),0),0),0)</f>
        <v>0</v>
      </c>
      <c r="AO62" s="34">
        <f>IFERROR(IF(AND(ISNUMBER('Real results'!C61),ISNUMBER('Real results'!D61),ISNUMBER('Raw data'!AO61),ISNUMBER('Raw data'!AP61)),IF(SIGN('Raw data'!AO61-'Raw data'!AP61)=SIGN('Real results'!C61-'Real results'!D61),2+IF(AND('Raw data'!AO61='Real results'!C61,'Raw data'!AP61='Real results'!D61),2,0),0),0),0)</f>
        <v>0</v>
      </c>
      <c r="AQ62" s="34">
        <f>IFERROR(IF(AND(ISNUMBER('Real results'!C61),ISNUMBER('Real results'!D61),ISNUMBER('Raw data'!AQ61),ISNUMBER('Raw data'!AR61)),IF(SIGN('Raw data'!AQ61-'Raw data'!AR61)=SIGN('Real results'!C61-'Real results'!D61),2+IF(AND('Raw data'!AQ61='Real results'!C61,'Raw data'!AR61='Real results'!D61),2,0),0),0),0)</f>
        <v>0</v>
      </c>
      <c r="AS62" s="34">
        <f>IFERROR(IF(AND(ISNUMBER('Real results'!C61),ISNUMBER('Real results'!D61),ISNUMBER('Raw data'!AS61),ISNUMBER('Raw data'!AT61)),IF(SIGN('Raw data'!AS61-'Raw data'!AT61)=SIGN('Real results'!C61-'Real results'!D61),2+IF(AND('Raw data'!AS61='Real results'!C61,'Raw data'!AT61='Real results'!D61),2,0),0),0),0)</f>
        <v>0</v>
      </c>
      <c r="AU62" s="34">
        <f>IFERROR(IF(AND(ISNUMBER('Real results'!C61),ISNUMBER('Real results'!D61),ISNUMBER('Raw data'!AU61),ISNUMBER('Raw data'!AV61)),IF(SIGN('Raw data'!AU61-'Raw data'!AV61)=SIGN('Real results'!C61-'Real results'!D61),2+IF(AND('Raw data'!AU61='Real results'!C61,'Raw data'!AV61='Real results'!D61),2,0),0),0),0)</f>
        <v>0</v>
      </c>
      <c r="AW62" s="34">
        <f>IFERROR(IF(AND(ISNUMBER('Real results'!C61),ISNUMBER('Real results'!D61),ISNUMBER('Raw data'!AW61),ISNUMBER('Raw data'!AX61)),IF(SIGN('Raw data'!AW61-'Raw data'!AX61)=SIGN('Real results'!C61-'Real results'!D61),2+IF(AND('Raw data'!AW61='Real results'!C61,'Raw data'!AX61='Real results'!D61),2,0),0),0),0)</f>
        <v>0</v>
      </c>
      <c r="AY62" s="34">
        <f>IFERROR(IF(AND(ISNUMBER('Real results'!C61),ISNUMBER('Real results'!D61),ISNUMBER('Raw data'!AY61),ISNUMBER('Raw data'!AZ61)),IF(SIGN('Raw data'!AY61-'Raw data'!AZ61)=SIGN('Real results'!C61-'Real results'!D61),2+IF(AND('Raw data'!AY61='Real results'!C61,'Raw data'!AZ61='Real results'!D61),2,0),0),0),0)</f>
        <v>0</v>
      </c>
      <c r="BA62" s="34">
        <f>IFERROR(IF(AND(ISNUMBER('Real results'!C61),ISNUMBER('Real results'!D61),ISNUMBER('Raw data'!BA61),ISNUMBER('Raw data'!BB61)),IF(SIGN('Raw data'!BA61-'Raw data'!BB61)=SIGN('Real results'!C61-'Real results'!D61),2+IF(AND('Raw data'!BA61='Real results'!C61,'Raw data'!BB61='Real results'!D61),2,0),0),0),0)</f>
        <v>0</v>
      </c>
      <c r="BC62" s="34">
        <f>IFERROR(IF(AND(ISNUMBER('Real results'!C61),ISNUMBER('Real results'!D61),ISNUMBER('Raw data'!BC61),ISNUMBER('Raw data'!BD61)),IF(SIGN('Raw data'!BC61-'Raw data'!BD61)=SIGN('Real results'!C61-'Real results'!D61),2+IF(AND('Raw data'!BC61='Real results'!C61,'Raw data'!BD61='Real results'!D61),2,0),0),0),0)</f>
        <v>0</v>
      </c>
      <c r="BE62" s="34">
        <f>IFERROR(IF(AND(ISNUMBER('Real results'!C61),ISNUMBER('Real results'!D61),ISNUMBER('Raw data'!BE61),ISNUMBER('Raw data'!BF61)),IF(SIGN('Raw data'!BE61-'Raw data'!BF61)=SIGN('Real results'!C61-'Real results'!D61),2+IF(AND('Raw data'!BE61='Real results'!C61,'Raw data'!BF61='Real results'!D61),2,0),0),0),0)</f>
        <v>0</v>
      </c>
      <c r="BG62" s="34">
        <f>IFERROR(IF(AND(ISNUMBER('Real results'!C61),ISNUMBER('Real results'!D61),ISNUMBER('Raw data'!BG61),ISNUMBER('Raw data'!BH61)),IF(SIGN('Raw data'!BG61-'Raw data'!BH61)=SIGN('Real results'!C61-'Real results'!D61),2+IF(AND('Raw data'!BG61='Real results'!C61,'Raw data'!BH61='Real results'!D61),2,0),0),0),0)</f>
        <v>0</v>
      </c>
      <c r="BI62" s="34">
        <f>IFERROR(IF(AND(ISNUMBER('Real results'!C61),ISNUMBER('Real results'!D61),ISNUMBER('Raw data'!BI61),ISNUMBER('Raw data'!BJ61)),IF(SIGN('Raw data'!BI61-'Raw data'!BJ61)=SIGN('Real results'!C61-'Real results'!D61),2+IF(AND('Raw data'!BI61='Real results'!C61,'Raw data'!BJ61='Real results'!D61),2,0),0),0),0)</f>
        <v>0</v>
      </c>
    </row>
    <row r="63" ht="18.0" customHeight="1">
      <c r="B63" s="12" t="s">
        <v>88</v>
      </c>
      <c r="C63" s="34">
        <f>IFERROR(IF(AND(ISNUMBER('Real results'!C62),ISNUMBER('Real results'!D62),ISNUMBER('Raw data'!C60),ISNUMBER('Raw data'!D60)),IF(SIGN('Raw data'!C60-'Raw data'!D60)=SIGN('Real results'!C62-'Real results'!D62),2+IF(AND('Raw data'!C60='Real results'!C62,'Raw data'!D60='Real results'!D62),2,0),0),0),0)</f>
        <v>2</v>
      </c>
      <c r="E63" s="34">
        <f>IFERROR(IF(AND(ISNUMBER('Real results'!C62),ISNUMBER('Real results'!D62),ISNUMBER('Raw data'!E61),ISNUMBER('Raw data'!F61)),IF(SIGN('Raw data'!E61-'Raw data'!F61)=SIGN('Real results'!C62-'Real results'!D62),2+IF(AND('Raw data'!E61='Real results'!C62,'Raw data'!F61='Real results'!D62),2,0),0),0),0)</f>
        <v>2</v>
      </c>
      <c r="G63" s="34">
        <f>IFERROR(IF(AND(ISNUMBER('Real results'!C62),ISNUMBER('Real results'!D62),ISNUMBER('Raw data'!G62),ISNUMBER('Raw data'!H62)),IF(SIGN('Raw data'!G62-'Raw data'!H62)=SIGN('Real results'!C62-'Real results'!D62),2+IF(AND('Raw data'!G62='Real results'!C62,'Raw data'!H62='Real results'!D62),2,0),0),0),0)</f>
        <v>2</v>
      </c>
      <c r="I63" s="34">
        <f>IFERROR(IF(AND(ISNUMBER('Real results'!C62),ISNUMBER('Real results'!D62),ISNUMBER('Raw data'!I62),ISNUMBER('Raw data'!J62)),IF(SIGN('Raw data'!I62-'Raw data'!J62)=SIGN('Real results'!C62-'Real results'!D62),2+IF(AND('Raw data'!I62='Real results'!C62,'Raw data'!J62='Real results'!D62),2,0),0),0),0)</f>
        <v>2</v>
      </c>
      <c r="K63" s="34">
        <f>IFERROR(IF(AND(ISNUMBER('Real results'!C62),ISNUMBER('Real results'!D62),ISNUMBER('Raw data'!K62),ISNUMBER('Raw data'!L62)),IF(SIGN('Raw data'!K62-'Raw data'!L62)=SIGN('Real results'!C62-'Real results'!D62),2+IF(AND('Raw data'!K62='Real results'!C62,'Raw data'!L62='Real results'!D62),2,0),0),0),0)</f>
        <v>2</v>
      </c>
      <c r="M63" s="34">
        <f>IFERROR(IF(AND(ISNUMBER('Real results'!C62),ISNUMBER('Real results'!D62),ISNUMBER('Raw data'!M62),ISNUMBER('Raw data'!N62)),IF(SIGN('Raw data'!M62-'Raw data'!N62)=SIGN('Real results'!C62-'Real results'!D62),2+IF(AND('Raw data'!M62='Real results'!C62,'Raw data'!N62='Real results'!D62),2,0),0),0),0)</f>
        <v>0</v>
      </c>
      <c r="O63" s="34">
        <f>IFERROR(IF(AND(ISNUMBER('Real results'!C62),ISNUMBER('Real results'!D62),ISNUMBER('Raw data'!O62),ISNUMBER('Raw data'!P62)),IF(SIGN('Raw data'!O62-'Raw data'!P62)=SIGN('Real results'!C62-'Real results'!D62),2+IF(AND('Raw data'!O62='Real results'!C62,'Raw data'!P62='Real results'!D62),2,0),0),0),0)</f>
        <v>0</v>
      </c>
      <c r="Q63" s="34">
        <f>IFERROR(IF(AND(ISNUMBER('Real results'!C62),ISNUMBER('Real results'!D62),ISNUMBER('Raw data'!Q62),ISNUMBER('Raw data'!R62)),IF(SIGN('Raw data'!Q62-'Raw data'!R62)=SIGN('Real results'!C62-'Real results'!D62),2+IF(AND('Raw data'!Q62='Real results'!C62,'Raw data'!R62='Real results'!D62),2,0),0),0),0)</f>
        <v>0</v>
      </c>
      <c r="S63" s="34">
        <f>IFERROR(IF(AND(ISNUMBER('Real results'!C62),ISNUMBER('Real results'!D62),ISNUMBER('Raw data'!S62),ISNUMBER('Raw data'!T62)),IF(SIGN('Raw data'!S62-'Raw data'!T62)=SIGN('Real results'!C62-'Real results'!D62),2+IF(AND('Raw data'!S62='Real results'!C62,'Raw data'!T62='Real results'!D62),2,0),0),0),0)</f>
        <v>0</v>
      </c>
      <c r="U63" s="34">
        <f>IFERROR(IF(AND(ISNUMBER('Real results'!C62),ISNUMBER('Real results'!D62),ISNUMBER('Raw data'!U62),ISNUMBER('Raw data'!V62)),IF(SIGN('Raw data'!U62-'Raw data'!V62)=SIGN('Real results'!C62-'Real results'!D62),2+IF(AND('Raw data'!U62='Real results'!C62,'Raw data'!V62='Real results'!D62),2,0),0),0),0)</f>
        <v>0</v>
      </c>
      <c r="W63" s="34">
        <f>IFERROR(IF(AND(ISNUMBER('Real results'!C62),ISNUMBER('Real results'!D62),ISNUMBER('Raw data'!W62),ISNUMBER('Raw data'!X62)),IF(SIGN('Raw data'!W62-'Raw data'!X62)=SIGN('Real results'!C62-'Real results'!D62),2+IF(AND('Raw data'!W62='Real results'!C62,'Raw data'!X62='Real results'!D62),2,0),0),0),0)</f>
        <v>0</v>
      </c>
      <c r="Y63" s="34">
        <f>IFERROR(IF(AND(ISNUMBER('Real results'!C62),ISNUMBER('Real results'!D62),ISNUMBER('Raw data'!Y62),ISNUMBER('Raw data'!Z62)),IF(SIGN('Raw data'!Y62-'Raw data'!Z62)=SIGN('Real results'!C62-'Real results'!D62),2+IF(AND('Raw data'!Y62='Real results'!C62,'Raw data'!Z62='Real results'!D62),2,0),0),0),0)</f>
        <v>0</v>
      </c>
      <c r="AA63" s="34">
        <f>IFERROR(IF(AND(ISNUMBER('Real results'!C62),ISNUMBER('Real results'!D62),ISNUMBER('Raw data'!AA62),ISNUMBER('Raw data'!AB62)),IF(SIGN('Raw data'!AA62-'Raw data'!AB62)=SIGN('Real results'!C62-'Real results'!D62),2+IF(AND('Raw data'!AA62='Real results'!C62,'Raw data'!AB62='Real results'!D62),2,0),0),0),0)</f>
        <v>0</v>
      </c>
      <c r="AC63" s="34">
        <f>IFERROR(IF(AND(ISNUMBER('Real results'!C62),ISNUMBER('Real results'!D62),ISNUMBER('Raw data'!AC62),ISNUMBER('Raw data'!AD62)),IF(SIGN('Raw data'!AC62-'Raw data'!AD62)=SIGN('Real results'!C62-'Real results'!D62),2+IF(AND('Raw data'!AC62='Real results'!C62,'Raw data'!AD62='Real results'!D62),2,0),0),0),0)</f>
        <v>0</v>
      </c>
      <c r="AE63" s="34">
        <f>IFERROR(IF(AND(ISNUMBER('Real results'!C62),ISNUMBER('Real results'!D62),ISNUMBER('Raw data'!AE62),ISNUMBER('Raw data'!AF62)),IF(SIGN('Raw data'!AE62-'Raw data'!AF62)=SIGN('Real results'!C62-'Real results'!D62),2+IF(AND('Raw data'!AE62='Real results'!C62,'Raw data'!AF62='Real results'!D62),2,0),0),0),0)</f>
        <v>0</v>
      </c>
      <c r="AG63" s="34">
        <f>IFERROR(IF(AND(ISNUMBER('Real results'!C62),ISNUMBER('Real results'!D62),ISNUMBER('Raw data'!AG62),ISNUMBER('Raw data'!AH62)),IF(SIGN('Raw data'!AG62-'Raw data'!AH62)=SIGN('Real results'!C62-'Real results'!D62),2+IF(AND('Raw data'!AG62='Real results'!C62,'Raw data'!AH62='Real results'!D62),2,0),0),0),0)</f>
        <v>0</v>
      </c>
      <c r="AI63" s="34">
        <f>IFERROR(IF(AND(ISNUMBER('Real results'!C62),ISNUMBER('Real results'!D62),ISNUMBER('Raw data'!AI62),ISNUMBER('Raw data'!AJ62)),IF(SIGN('Raw data'!AI62-'Raw data'!AJ62)=SIGN('Real results'!C62-'Real results'!D62),2+IF(AND('Raw data'!AI62='Real results'!C62,'Raw data'!AJ62='Real results'!D62),2,0),0),0),0)</f>
        <v>0</v>
      </c>
      <c r="AK63" s="34">
        <f>IFERROR(IF(AND(ISNUMBER('Real results'!C62),ISNUMBER('Real results'!D62),ISNUMBER('Raw data'!AK62),ISNUMBER('Raw data'!AL62)),IF(SIGN('Raw data'!AK62-'Raw data'!AL62)=SIGN('Real results'!C62-'Real results'!D62),2+IF(AND('Raw data'!AK62='Real results'!C62,'Raw data'!AL62='Real results'!D62),2,0),0),0),0)</f>
        <v>0</v>
      </c>
      <c r="AM63" s="34">
        <f>IFERROR(IF(AND(ISNUMBER('Real results'!C62),ISNUMBER('Real results'!D62),ISNUMBER('Raw data'!AM62),ISNUMBER('Raw data'!AN62)),IF(SIGN('Raw data'!AM62-'Raw data'!AN62)=SIGN('Real results'!C62-'Real results'!D62),2+IF(AND('Raw data'!AM62='Real results'!C62,'Raw data'!AN62='Real results'!D62),2,0),0),0),0)</f>
        <v>0</v>
      </c>
      <c r="AO63" s="34">
        <f>IFERROR(IF(AND(ISNUMBER('Real results'!C62),ISNUMBER('Real results'!D62),ISNUMBER('Raw data'!AO62),ISNUMBER('Raw data'!AP62)),IF(SIGN('Raw data'!AO62-'Raw data'!AP62)=SIGN('Real results'!C62-'Real results'!D62),2+IF(AND('Raw data'!AO62='Real results'!C62,'Raw data'!AP62='Real results'!D62),2,0),0),0),0)</f>
        <v>0</v>
      </c>
      <c r="AQ63" s="34">
        <f>IFERROR(IF(AND(ISNUMBER('Real results'!C62),ISNUMBER('Real results'!D62),ISNUMBER('Raw data'!AQ62),ISNUMBER('Raw data'!AR62)),IF(SIGN('Raw data'!AQ62-'Raw data'!AR62)=SIGN('Real results'!C62-'Real results'!D62),2+IF(AND('Raw data'!AQ62='Real results'!C62,'Raw data'!AR62='Real results'!D62),2,0),0),0),0)</f>
        <v>0</v>
      </c>
      <c r="AS63" s="34">
        <f>IFERROR(IF(AND(ISNUMBER('Real results'!C62),ISNUMBER('Real results'!D62),ISNUMBER('Raw data'!AS62),ISNUMBER('Raw data'!AT62)),IF(SIGN('Raw data'!AS62-'Raw data'!AT62)=SIGN('Real results'!C62-'Real results'!D62),2+IF(AND('Raw data'!AS62='Real results'!C62,'Raw data'!AT62='Real results'!D62),2,0),0),0),0)</f>
        <v>0</v>
      </c>
      <c r="AU63" s="34">
        <f>IFERROR(IF(AND(ISNUMBER('Real results'!C62),ISNUMBER('Real results'!D62),ISNUMBER('Raw data'!AU62),ISNUMBER('Raw data'!AV62)),IF(SIGN('Raw data'!AU62-'Raw data'!AV62)=SIGN('Real results'!C62-'Real results'!D62),2+IF(AND('Raw data'!AU62='Real results'!C62,'Raw data'!AV62='Real results'!D62),2,0),0),0),0)</f>
        <v>0</v>
      </c>
      <c r="AW63" s="34">
        <f>IFERROR(IF(AND(ISNUMBER('Real results'!C62),ISNUMBER('Real results'!D62),ISNUMBER('Raw data'!AW62),ISNUMBER('Raw data'!AX62)),IF(SIGN('Raw data'!AW62-'Raw data'!AX62)=SIGN('Real results'!C62-'Real results'!D62),2+IF(AND('Raw data'!AW62='Real results'!C62,'Raw data'!AX62='Real results'!D62),2,0),0),0),0)</f>
        <v>0</v>
      </c>
      <c r="AY63" s="34">
        <f>IFERROR(IF(AND(ISNUMBER('Real results'!C62),ISNUMBER('Real results'!D62),ISNUMBER('Raw data'!AY62),ISNUMBER('Raw data'!AZ62)),IF(SIGN('Raw data'!AY62-'Raw data'!AZ62)=SIGN('Real results'!C62-'Real results'!D62),2+IF(AND('Raw data'!AY62='Real results'!C62,'Raw data'!AZ62='Real results'!D62),2,0),0),0),0)</f>
        <v>0</v>
      </c>
      <c r="BA63" s="34">
        <f>IFERROR(IF(AND(ISNUMBER('Real results'!C62),ISNUMBER('Real results'!D62),ISNUMBER('Raw data'!BA62),ISNUMBER('Raw data'!BB62)),IF(SIGN('Raw data'!BA62-'Raw data'!BB62)=SIGN('Real results'!C62-'Real results'!D62),2+IF(AND('Raw data'!BA62='Real results'!C62,'Raw data'!BB62='Real results'!D62),2,0),0),0),0)</f>
        <v>0</v>
      </c>
      <c r="BC63" s="34">
        <f>IFERROR(IF(AND(ISNUMBER('Real results'!C62),ISNUMBER('Real results'!D62),ISNUMBER('Raw data'!BC62),ISNUMBER('Raw data'!BD62)),IF(SIGN('Raw data'!BC62-'Raw data'!BD62)=SIGN('Real results'!C62-'Real results'!D62),2+IF(AND('Raw data'!BC62='Real results'!C62,'Raw data'!BD62='Real results'!D62),2,0),0),0),0)</f>
        <v>0</v>
      </c>
      <c r="BE63" s="34">
        <f>IFERROR(IF(AND(ISNUMBER('Real results'!C62),ISNUMBER('Real results'!D62),ISNUMBER('Raw data'!BE62),ISNUMBER('Raw data'!BF62)),IF(SIGN('Raw data'!BE62-'Raw data'!BF62)=SIGN('Real results'!C62-'Real results'!D62),2+IF(AND('Raw data'!BE62='Real results'!C62,'Raw data'!BF62='Real results'!D62),2,0),0),0),0)</f>
        <v>0</v>
      </c>
      <c r="BG63" s="34">
        <f>IFERROR(IF(AND(ISNUMBER('Real results'!C62),ISNUMBER('Real results'!D62),ISNUMBER('Raw data'!BG62),ISNUMBER('Raw data'!BH62)),IF(SIGN('Raw data'!BG62-'Raw data'!BH62)=SIGN('Real results'!C62-'Real results'!D62),2+IF(AND('Raw data'!BG62='Real results'!C62,'Raw data'!BH62='Real results'!D62),2,0),0),0),0)</f>
        <v>0</v>
      </c>
      <c r="BI63" s="34">
        <f>IFERROR(IF(AND(ISNUMBER('Real results'!C62),ISNUMBER('Real results'!D62),ISNUMBER('Raw data'!BI62),ISNUMBER('Raw data'!BJ62)),IF(SIGN('Raw data'!BI62-'Raw data'!BJ62)=SIGN('Real results'!C62-'Real results'!D62),2+IF(AND('Raw data'!BI62='Real results'!C62,'Raw data'!BJ62='Real results'!D62),2,0),0),0),0)</f>
        <v>0</v>
      </c>
    </row>
    <row r="64" ht="18.0" customHeight="1">
      <c r="B64" s="12" t="s">
        <v>89</v>
      </c>
      <c r="C64" s="34">
        <f>IFERROR(IF(AND(ISNUMBER('Real results'!C63),ISNUMBER('Real results'!D63),ISNUMBER('Raw data'!C61),ISNUMBER('Raw data'!D61)),IF(SIGN('Raw data'!C61-'Raw data'!D61)=SIGN('Real results'!C63-'Real results'!D63),2+IF(AND('Raw data'!C61='Real results'!C63,'Raw data'!D61='Real results'!D63),2,0),0),0),0)</f>
        <v>2</v>
      </c>
      <c r="E64" s="34">
        <f>IFERROR(IF(AND(ISNUMBER('Real results'!C63),ISNUMBER('Real results'!D63),ISNUMBER('Raw data'!E62),ISNUMBER('Raw data'!F62)),IF(SIGN('Raw data'!E62-'Raw data'!F62)=SIGN('Real results'!C63-'Real results'!D63),2+IF(AND('Raw data'!E62='Real results'!C63,'Raw data'!F62='Real results'!D63),2,0),0),0),0)</f>
        <v>4</v>
      </c>
      <c r="G64" s="34">
        <f>IFERROR(IF(AND(ISNUMBER('Real results'!C63),ISNUMBER('Real results'!D63),ISNUMBER('Raw data'!G63),ISNUMBER('Raw data'!H63)),IF(SIGN('Raw data'!G63-'Raw data'!H63)=SIGN('Real results'!C63-'Real results'!D63),2+IF(AND('Raw data'!G63='Real results'!C63,'Raw data'!H63='Real results'!D63),2,0),0),0),0)</f>
        <v>0</v>
      </c>
      <c r="I64" s="34">
        <f>IFERROR(IF(AND(ISNUMBER('Real results'!C63),ISNUMBER('Real results'!D63),ISNUMBER('Raw data'!I63),ISNUMBER('Raw data'!J63)),IF(SIGN('Raw data'!I63-'Raw data'!J63)=SIGN('Real results'!C63-'Real results'!D63),2+IF(AND('Raw data'!I63='Real results'!C63,'Raw data'!J63='Real results'!D63),2,0),0),0),0)</f>
        <v>2</v>
      </c>
      <c r="K64" s="34">
        <f>IFERROR(IF(AND(ISNUMBER('Real results'!C63),ISNUMBER('Real results'!D63),ISNUMBER('Raw data'!K63),ISNUMBER('Raw data'!L63)),IF(SIGN('Raw data'!K63-'Raw data'!L63)=SIGN('Real results'!C63-'Real results'!D63),2+IF(AND('Raw data'!K63='Real results'!C63,'Raw data'!L63='Real results'!D63),2,0),0),0),0)</f>
        <v>2</v>
      </c>
      <c r="M64" s="34">
        <f>IFERROR(IF(AND(ISNUMBER('Real results'!C63),ISNUMBER('Real results'!D63),ISNUMBER('Raw data'!M63),ISNUMBER('Raw data'!N63)),IF(SIGN('Raw data'!M63-'Raw data'!N63)=SIGN('Real results'!C63-'Real results'!D63),2+IF(AND('Raw data'!M63='Real results'!C63,'Raw data'!N63='Real results'!D63),2,0),0),0),0)</f>
        <v>0</v>
      </c>
      <c r="O64" s="34">
        <f>IFERROR(IF(AND(ISNUMBER('Real results'!C63),ISNUMBER('Real results'!D63),ISNUMBER('Raw data'!O63),ISNUMBER('Raw data'!P63)),IF(SIGN('Raw data'!O63-'Raw data'!P63)=SIGN('Real results'!C63-'Real results'!D63),2+IF(AND('Raw data'!O63='Real results'!C63,'Raw data'!P63='Real results'!D63),2,0),0),0),0)</f>
        <v>0</v>
      </c>
      <c r="Q64" s="34">
        <f>IFERROR(IF(AND(ISNUMBER('Real results'!C63),ISNUMBER('Real results'!D63),ISNUMBER('Raw data'!Q63),ISNUMBER('Raw data'!R63)),IF(SIGN('Raw data'!Q63-'Raw data'!R63)=SIGN('Real results'!C63-'Real results'!D63),2+IF(AND('Raw data'!Q63='Real results'!C63,'Raw data'!R63='Real results'!D63),2,0),0),0),0)</f>
        <v>0</v>
      </c>
      <c r="S64" s="34">
        <f>IFERROR(IF(AND(ISNUMBER('Real results'!C63),ISNUMBER('Real results'!D63),ISNUMBER('Raw data'!S63),ISNUMBER('Raw data'!T63)),IF(SIGN('Raw data'!S63-'Raw data'!T63)=SIGN('Real results'!C63-'Real results'!D63),2+IF(AND('Raw data'!S63='Real results'!C63,'Raw data'!T63='Real results'!D63),2,0),0),0),0)</f>
        <v>0</v>
      </c>
      <c r="U64" s="34">
        <f>IFERROR(IF(AND(ISNUMBER('Real results'!C63),ISNUMBER('Real results'!D63),ISNUMBER('Raw data'!U63),ISNUMBER('Raw data'!V63)),IF(SIGN('Raw data'!U63-'Raw data'!V63)=SIGN('Real results'!C63-'Real results'!D63),2+IF(AND('Raw data'!U63='Real results'!C63,'Raw data'!V63='Real results'!D63),2,0),0),0),0)</f>
        <v>0</v>
      </c>
      <c r="W64" s="34">
        <f>IFERROR(IF(AND(ISNUMBER('Real results'!C63),ISNUMBER('Real results'!D63),ISNUMBER('Raw data'!W63),ISNUMBER('Raw data'!X63)),IF(SIGN('Raw data'!W63-'Raw data'!X63)=SIGN('Real results'!C63-'Real results'!D63),2+IF(AND('Raw data'!W63='Real results'!C63,'Raw data'!X63='Real results'!D63),2,0),0),0),0)</f>
        <v>0</v>
      </c>
      <c r="Y64" s="34">
        <f>IFERROR(IF(AND(ISNUMBER('Real results'!C63),ISNUMBER('Real results'!D63),ISNUMBER('Raw data'!Y63),ISNUMBER('Raw data'!Z63)),IF(SIGN('Raw data'!Y63-'Raw data'!Z63)=SIGN('Real results'!C63-'Real results'!D63),2+IF(AND('Raw data'!Y63='Real results'!C63,'Raw data'!Z63='Real results'!D63),2,0),0),0),0)</f>
        <v>0</v>
      </c>
      <c r="AA64" s="34">
        <f>IFERROR(IF(AND(ISNUMBER('Real results'!C63),ISNUMBER('Real results'!D63),ISNUMBER('Raw data'!AA63),ISNUMBER('Raw data'!AB63)),IF(SIGN('Raw data'!AA63-'Raw data'!AB63)=SIGN('Real results'!C63-'Real results'!D63),2+IF(AND('Raw data'!AA63='Real results'!C63,'Raw data'!AB63='Real results'!D63),2,0),0),0),0)</f>
        <v>0</v>
      </c>
      <c r="AC64" s="34">
        <f>IFERROR(IF(AND(ISNUMBER('Real results'!C63),ISNUMBER('Real results'!D63),ISNUMBER('Raw data'!AC63),ISNUMBER('Raw data'!AD63)),IF(SIGN('Raw data'!AC63-'Raw data'!AD63)=SIGN('Real results'!C63-'Real results'!D63),2+IF(AND('Raw data'!AC63='Real results'!C63,'Raw data'!AD63='Real results'!D63),2,0),0),0),0)</f>
        <v>0</v>
      </c>
      <c r="AE64" s="34">
        <f>IFERROR(IF(AND(ISNUMBER('Real results'!C63),ISNUMBER('Real results'!D63),ISNUMBER('Raw data'!AE63),ISNUMBER('Raw data'!AF63)),IF(SIGN('Raw data'!AE63-'Raw data'!AF63)=SIGN('Real results'!C63-'Real results'!D63),2+IF(AND('Raw data'!AE63='Real results'!C63,'Raw data'!AF63='Real results'!D63),2,0),0),0),0)</f>
        <v>0</v>
      </c>
      <c r="AG64" s="34">
        <f>IFERROR(IF(AND(ISNUMBER('Real results'!C63),ISNUMBER('Real results'!D63),ISNUMBER('Raw data'!AG63),ISNUMBER('Raw data'!AH63)),IF(SIGN('Raw data'!AG63-'Raw data'!AH63)=SIGN('Real results'!C63-'Real results'!D63),2+IF(AND('Raw data'!AG63='Real results'!C63,'Raw data'!AH63='Real results'!D63),2,0),0),0),0)</f>
        <v>0</v>
      </c>
      <c r="AI64" s="34">
        <f>IFERROR(IF(AND(ISNUMBER('Real results'!C63),ISNUMBER('Real results'!D63),ISNUMBER('Raw data'!AI63),ISNUMBER('Raw data'!AJ63)),IF(SIGN('Raw data'!AI63-'Raw data'!AJ63)=SIGN('Real results'!C63-'Real results'!D63),2+IF(AND('Raw data'!AI63='Real results'!C63,'Raw data'!AJ63='Real results'!D63),2,0),0),0),0)</f>
        <v>0</v>
      </c>
      <c r="AK64" s="34">
        <f>IFERROR(IF(AND(ISNUMBER('Real results'!C63),ISNUMBER('Real results'!D63),ISNUMBER('Raw data'!AK63),ISNUMBER('Raw data'!AL63)),IF(SIGN('Raw data'!AK63-'Raw data'!AL63)=SIGN('Real results'!C63-'Real results'!D63),2+IF(AND('Raw data'!AK63='Real results'!C63,'Raw data'!AL63='Real results'!D63),2,0),0),0),0)</f>
        <v>0</v>
      </c>
      <c r="AM64" s="34">
        <f>IFERROR(IF(AND(ISNUMBER('Real results'!C63),ISNUMBER('Real results'!D63),ISNUMBER('Raw data'!AM63),ISNUMBER('Raw data'!AN63)),IF(SIGN('Raw data'!AM63-'Raw data'!AN63)=SIGN('Real results'!C63-'Real results'!D63),2+IF(AND('Raw data'!AM63='Real results'!C63,'Raw data'!AN63='Real results'!D63),2,0),0),0),0)</f>
        <v>0</v>
      </c>
      <c r="AO64" s="34">
        <f>IFERROR(IF(AND(ISNUMBER('Real results'!C63),ISNUMBER('Real results'!D63),ISNUMBER('Raw data'!AO63),ISNUMBER('Raw data'!AP63)),IF(SIGN('Raw data'!AO63-'Raw data'!AP63)=SIGN('Real results'!C63-'Real results'!D63),2+IF(AND('Raw data'!AO63='Real results'!C63,'Raw data'!AP63='Real results'!D63),2,0),0),0),0)</f>
        <v>0</v>
      </c>
      <c r="AQ64" s="34">
        <f>IFERROR(IF(AND(ISNUMBER('Real results'!C63),ISNUMBER('Real results'!D63),ISNUMBER('Raw data'!AQ63),ISNUMBER('Raw data'!AR63)),IF(SIGN('Raw data'!AQ63-'Raw data'!AR63)=SIGN('Real results'!C63-'Real results'!D63),2+IF(AND('Raw data'!AQ63='Real results'!C63,'Raw data'!AR63='Real results'!D63),2,0),0),0),0)</f>
        <v>0</v>
      </c>
      <c r="AS64" s="34">
        <f>IFERROR(IF(AND(ISNUMBER('Real results'!C63),ISNUMBER('Real results'!D63),ISNUMBER('Raw data'!AS63),ISNUMBER('Raw data'!AT63)),IF(SIGN('Raw data'!AS63-'Raw data'!AT63)=SIGN('Real results'!C63-'Real results'!D63),2+IF(AND('Raw data'!AS63='Real results'!C63,'Raw data'!AT63='Real results'!D63),2,0),0),0),0)</f>
        <v>0</v>
      </c>
      <c r="AU64" s="34">
        <f>IFERROR(IF(AND(ISNUMBER('Real results'!C63),ISNUMBER('Real results'!D63),ISNUMBER('Raw data'!AU63),ISNUMBER('Raw data'!AV63)),IF(SIGN('Raw data'!AU63-'Raw data'!AV63)=SIGN('Real results'!C63-'Real results'!D63),2+IF(AND('Raw data'!AU63='Real results'!C63,'Raw data'!AV63='Real results'!D63),2,0),0),0),0)</f>
        <v>0</v>
      </c>
      <c r="AW64" s="34">
        <f>IFERROR(IF(AND(ISNUMBER('Real results'!C63),ISNUMBER('Real results'!D63),ISNUMBER('Raw data'!AW63),ISNUMBER('Raw data'!AX63)),IF(SIGN('Raw data'!AW63-'Raw data'!AX63)=SIGN('Real results'!C63-'Real results'!D63),2+IF(AND('Raw data'!AW63='Real results'!C63,'Raw data'!AX63='Real results'!D63),2,0),0),0),0)</f>
        <v>0</v>
      </c>
      <c r="AY64" s="34">
        <f>IFERROR(IF(AND(ISNUMBER('Real results'!C63),ISNUMBER('Real results'!D63),ISNUMBER('Raw data'!AY63),ISNUMBER('Raw data'!AZ63)),IF(SIGN('Raw data'!AY63-'Raw data'!AZ63)=SIGN('Real results'!C63-'Real results'!D63),2+IF(AND('Raw data'!AY63='Real results'!C63,'Raw data'!AZ63='Real results'!D63),2,0),0),0),0)</f>
        <v>0</v>
      </c>
      <c r="BA64" s="34">
        <f>IFERROR(IF(AND(ISNUMBER('Real results'!C63),ISNUMBER('Real results'!D63),ISNUMBER('Raw data'!BA63),ISNUMBER('Raw data'!BB63)),IF(SIGN('Raw data'!BA63-'Raw data'!BB63)=SIGN('Real results'!C63-'Real results'!D63),2+IF(AND('Raw data'!BA63='Real results'!C63,'Raw data'!BB63='Real results'!D63),2,0),0),0),0)</f>
        <v>0</v>
      </c>
      <c r="BC64" s="34">
        <f>IFERROR(IF(AND(ISNUMBER('Real results'!C63),ISNUMBER('Real results'!D63),ISNUMBER('Raw data'!BC63),ISNUMBER('Raw data'!BD63)),IF(SIGN('Raw data'!BC63-'Raw data'!BD63)=SIGN('Real results'!C63-'Real results'!D63),2+IF(AND('Raw data'!BC63='Real results'!C63,'Raw data'!BD63='Real results'!D63),2,0),0),0),0)</f>
        <v>0</v>
      </c>
      <c r="BE64" s="34">
        <f>IFERROR(IF(AND(ISNUMBER('Real results'!C63),ISNUMBER('Real results'!D63),ISNUMBER('Raw data'!BE63),ISNUMBER('Raw data'!BF63)),IF(SIGN('Raw data'!BE63-'Raw data'!BF63)=SIGN('Real results'!C63-'Real results'!D63),2+IF(AND('Raw data'!BE63='Real results'!C63,'Raw data'!BF63='Real results'!D63),2,0),0),0),0)</f>
        <v>0</v>
      </c>
      <c r="BG64" s="34">
        <f>IFERROR(IF(AND(ISNUMBER('Real results'!C63),ISNUMBER('Real results'!D63),ISNUMBER('Raw data'!BG63),ISNUMBER('Raw data'!BH63)),IF(SIGN('Raw data'!BG63-'Raw data'!BH63)=SIGN('Real results'!C63-'Real results'!D63),2+IF(AND('Raw data'!BG63='Real results'!C63,'Raw data'!BH63='Real results'!D63),2,0),0),0),0)</f>
        <v>0</v>
      </c>
      <c r="BI64" s="34">
        <f>IFERROR(IF(AND(ISNUMBER('Real results'!C63),ISNUMBER('Real results'!D63),ISNUMBER('Raw data'!BI63),ISNUMBER('Raw data'!BJ63)),IF(SIGN('Raw data'!BI63-'Raw data'!BJ63)=SIGN('Real results'!C63-'Real results'!D63),2+IF(AND('Raw data'!BI63='Real results'!C63,'Raw data'!BJ63='Real results'!D63),2,0),0),0),0)</f>
        <v>0</v>
      </c>
    </row>
    <row r="65" ht="18.0" customHeight="1">
      <c r="B65" s="12" t="s">
        <v>90</v>
      </c>
      <c r="C65" s="34">
        <f>IFERROR(IF(AND(ISNUMBER('Real results'!C64),ISNUMBER('Real results'!D64),ISNUMBER('Raw data'!C62),ISNUMBER('Raw data'!D62)),IF(SIGN('Raw data'!C62-'Raw data'!D62)=SIGN('Real results'!C64-'Real results'!D64),2+IF(AND('Raw data'!C62='Real results'!C64,'Raw data'!D62='Real results'!D64),2,0),0),0),0)</f>
        <v>0</v>
      </c>
      <c r="E65" s="34">
        <f>IFERROR(IF(AND(ISNUMBER('Real results'!C64),ISNUMBER('Real results'!D64),ISNUMBER('Raw data'!E63),ISNUMBER('Raw data'!F63)),IF(SIGN('Raw data'!E63-'Raw data'!F63)=SIGN('Real results'!C64-'Real results'!D64),2+IF(AND('Raw data'!E63='Real results'!C64,'Raw data'!F63='Real results'!D64),2,0),0),0),0)</f>
        <v>0</v>
      </c>
      <c r="G65" s="34">
        <f>IFERROR(IF(AND(ISNUMBER('Real results'!C64),ISNUMBER('Real results'!D64),ISNUMBER('Raw data'!G64),ISNUMBER('Raw data'!H64)),IF(SIGN('Raw data'!G64-'Raw data'!H64)=SIGN('Real results'!C64-'Real results'!D64),2+IF(AND('Raw data'!G64='Real results'!C64,'Raw data'!H64='Real results'!D64),2,0),0),0),0)</f>
        <v>2</v>
      </c>
      <c r="I65" s="34">
        <f>IFERROR(IF(AND(ISNUMBER('Real results'!C64),ISNUMBER('Real results'!D64),ISNUMBER('Raw data'!I64),ISNUMBER('Raw data'!J64)),IF(SIGN('Raw data'!I64-'Raw data'!J64)=SIGN('Real results'!C64-'Real results'!D64),2+IF(AND('Raw data'!I64='Real results'!C64,'Raw data'!J64='Real results'!D64),2,0),0),0),0)</f>
        <v>2</v>
      </c>
      <c r="K65" s="34">
        <f>IFERROR(IF(AND(ISNUMBER('Real results'!C64),ISNUMBER('Real results'!D64),ISNUMBER('Raw data'!K64),ISNUMBER('Raw data'!L64)),IF(SIGN('Raw data'!K64-'Raw data'!L64)=SIGN('Real results'!C64-'Real results'!D64),2+IF(AND('Raw data'!K64='Real results'!C64,'Raw data'!L64='Real results'!D64),2,0),0),0),0)</f>
        <v>4</v>
      </c>
      <c r="M65" s="34">
        <f>IFERROR(IF(AND(ISNUMBER('Real results'!C64),ISNUMBER('Real results'!D64),ISNUMBER('Raw data'!M64),ISNUMBER('Raw data'!N64)),IF(SIGN('Raw data'!M64-'Raw data'!N64)=SIGN('Real results'!C64-'Real results'!D64),2+IF(AND('Raw data'!M64='Real results'!C64,'Raw data'!N64='Real results'!D64),2,0),0),0),0)</f>
        <v>0</v>
      </c>
      <c r="O65" s="34">
        <f>IFERROR(IF(AND(ISNUMBER('Real results'!C64),ISNUMBER('Real results'!D64),ISNUMBER('Raw data'!O64),ISNUMBER('Raw data'!P64)),IF(SIGN('Raw data'!O64-'Raw data'!P64)=SIGN('Real results'!C64-'Real results'!D64),2+IF(AND('Raw data'!O64='Real results'!C64,'Raw data'!P64='Real results'!D64),2,0),0),0),0)</f>
        <v>0</v>
      </c>
      <c r="Q65" s="34">
        <f>IFERROR(IF(AND(ISNUMBER('Real results'!C64),ISNUMBER('Real results'!D64),ISNUMBER('Raw data'!Q64),ISNUMBER('Raw data'!R64)),IF(SIGN('Raw data'!Q64-'Raw data'!R64)=SIGN('Real results'!C64-'Real results'!D64),2+IF(AND('Raw data'!Q64='Real results'!C64,'Raw data'!R64='Real results'!D64),2,0),0),0),0)</f>
        <v>0</v>
      </c>
      <c r="S65" s="34">
        <f>IFERROR(IF(AND(ISNUMBER('Real results'!C64),ISNUMBER('Real results'!D64),ISNUMBER('Raw data'!S64),ISNUMBER('Raw data'!T64)),IF(SIGN('Raw data'!S64-'Raw data'!T64)=SIGN('Real results'!C64-'Real results'!D64),2+IF(AND('Raw data'!S64='Real results'!C64,'Raw data'!T64='Real results'!D64),2,0),0),0),0)</f>
        <v>0</v>
      </c>
      <c r="U65" s="34">
        <f>IFERROR(IF(AND(ISNUMBER('Real results'!C64),ISNUMBER('Real results'!D64),ISNUMBER('Raw data'!U64),ISNUMBER('Raw data'!V64)),IF(SIGN('Raw data'!U64-'Raw data'!V64)=SIGN('Real results'!C64-'Real results'!D64),2+IF(AND('Raw data'!U64='Real results'!C64,'Raw data'!V64='Real results'!D64),2,0),0),0),0)</f>
        <v>0</v>
      </c>
      <c r="W65" s="34">
        <f>IFERROR(IF(AND(ISNUMBER('Real results'!C64),ISNUMBER('Real results'!D64),ISNUMBER('Raw data'!W64),ISNUMBER('Raw data'!X64)),IF(SIGN('Raw data'!W64-'Raw data'!X64)=SIGN('Real results'!C64-'Real results'!D64),2+IF(AND('Raw data'!W64='Real results'!C64,'Raw data'!X64='Real results'!D64),2,0),0),0),0)</f>
        <v>0</v>
      </c>
      <c r="Y65" s="34">
        <f>IFERROR(IF(AND(ISNUMBER('Real results'!C64),ISNUMBER('Real results'!D64),ISNUMBER('Raw data'!Y64),ISNUMBER('Raw data'!Z64)),IF(SIGN('Raw data'!Y64-'Raw data'!Z64)=SIGN('Real results'!C64-'Real results'!D64),2+IF(AND('Raw data'!Y64='Real results'!C64,'Raw data'!Z64='Real results'!D64),2,0),0),0),0)</f>
        <v>0</v>
      </c>
      <c r="AA65" s="34">
        <f>IFERROR(IF(AND(ISNUMBER('Real results'!C64),ISNUMBER('Real results'!D64),ISNUMBER('Raw data'!AA64),ISNUMBER('Raw data'!AB64)),IF(SIGN('Raw data'!AA64-'Raw data'!AB64)=SIGN('Real results'!C64-'Real results'!D64),2+IF(AND('Raw data'!AA64='Real results'!C64,'Raw data'!AB64='Real results'!D64),2,0),0),0),0)</f>
        <v>0</v>
      </c>
      <c r="AC65" s="34">
        <f>IFERROR(IF(AND(ISNUMBER('Real results'!C64),ISNUMBER('Real results'!D64),ISNUMBER('Raw data'!AC64),ISNUMBER('Raw data'!AD64)),IF(SIGN('Raw data'!AC64-'Raw data'!AD64)=SIGN('Real results'!C64-'Real results'!D64),2+IF(AND('Raw data'!AC64='Real results'!C64,'Raw data'!AD64='Real results'!D64),2,0),0),0),0)</f>
        <v>0</v>
      </c>
      <c r="AE65" s="34">
        <f>IFERROR(IF(AND(ISNUMBER('Real results'!C64),ISNUMBER('Real results'!D64),ISNUMBER('Raw data'!AE64),ISNUMBER('Raw data'!AF64)),IF(SIGN('Raw data'!AE64-'Raw data'!AF64)=SIGN('Real results'!C64-'Real results'!D64),2+IF(AND('Raw data'!AE64='Real results'!C64,'Raw data'!AF64='Real results'!D64),2,0),0),0),0)</f>
        <v>0</v>
      </c>
      <c r="AG65" s="34">
        <f>IFERROR(IF(AND(ISNUMBER('Real results'!C64),ISNUMBER('Real results'!D64),ISNUMBER('Raw data'!AG64),ISNUMBER('Raw data'!AH64)),IF(SIGN('Raw data'!AG64-'Raw data'!AH64)=SIGN('Real results'!C64-'Real results'!D64),2+IF(AND('Raw data'!AG64='Real results'!C64,'Raw data'!AH64='Real results'!D64),2,0),0),0),0)</f>
        <v>0</v>
      </c>
      <c r="AI65" s="34">
        <f>IFERROR(IF(AND(ISNUMBER('Real results'!C64),ISNUMBER('Real results'!D64),ISNUMBER('Raw data'!AI64),ISNUMBER('Raw data'!AJ64)),IF(SIGN('Raw data'!AI64-'Raw data'!AJ64)=SIGN('Real results'!C64-'Real results'!D64),2+IF(AND('Raw data'!AI64='Real results'!C64,'Raw data'!AJ64='Real results'!D64),2,0),0),0),0)</f>
        <v>0</v>
      </c>
      <c r="AK65" s="34">
        <f>IFERROR(IF(AND(ISNUMBER('Real results'!C64),ISNUMBER('Real results'!D64),ISNUMBER('Raw data'!AK64),ISNUMBER('Raw data'!AL64)),IF(SIGN('Raw data'!AK64-'Raw data'!AL64)=SIGN('Real results'!C64-'Real results'!D64),2+IF(AND('Raw data'!AK64='Real results'!C64,'Raw data'!AL64='Real results'!D64),2,0),0),0),0)</f>
        <v>0</v>
      </c>
      <c r="AM65" s="34">
        <f>IFERROR(IF(AND(ISNUMBER('Real results'!C64),ISNUMBER('Real results'!D64),ISNUMBER('Raw data'!AM64),ISNUMBER('Raw data'!AN64)),IF(SIGN('Raw data'!AM64-'Raw data'!AN64)=SIGN('Real results'!C64-'Real results'!D64),2+IF(AND('Raw data'!AM64='Real results'!C64,'Raw data'!AN64='Real results'!D64),2,0),0),0),0)</f>
        <v>0</v>
      </c>
      <c r="AO65" s="34">
        <f>IFERROR(IF(AND(ISNUMBER('Real results'!C64),ISNUMBER('Real results'!D64),ISNUMBER('Raw data'!AO64),ISNUMBER('Raw data'!AP64)),IF(SIGN('Raw data'!AO64-'Raw data'!AP64)=SIGN('Real results'!C64-'Real results'!D64),2+IF(AND('Raw data'!AO64='Real results'!C64,'Raw data'!AP64='Real results'!D64),2,0),0),0),0)</f>
        <v>0</v>
      </c>
      <c r="AQ65" s="34">
        <f>IFERROR(IF(AND(ISNUMBER('Real results'!C64),ISNUMBER('Real results'!D64),ISNUMBER('Raw data'!AQ64),ISNUMBER('Raw data'!AR64)),IF(SIGN('Raw data'!AQ64-'Raw data'!AR64)=SIGN('Real results'!C64-'Real results'!D64),2+IF(AND('Raw data'!AQ64='Real results'!C64,'Raw data'!AR64='Real results'!D64),2,0),0),0),0)</f>
        <v>0</v>
      </c>
      <c r="AS65" s="34">
        <f>IFERROR(IF(AND(ISNUMBER('Real results'!C64),ISNUMBER('Real results'!D64),ISNUMBER('Raw data'!AS64),ISNUMBER('Raw data'!AT64)),IF(SIGN('Raw data'!AS64-'Raw data'!AT64)=SIGN('Real results'!C64-'Real results'!D64),2+IF(AND('Raw data'!AS64='Real results'!C64,'Raw data'!AT64='Real results'!D64),2,0),0),0),0)</f>
        <v>0</v>
      </c>
      <c r="AU65" s="34">
        <f>IFERROR(IF(AND(ISNUMBER('Real results'!C64),ISNUMBER('Real results'!D64),ISNUMBER('Raw data'!AU64),ISNUMBER('Raw data'!AV64)),IF(SIGN('Raw data'!AU64-'Raw data'!AV64)=SIGN('Real results'!C64-'Real results'!D64),2+IF(AND('Raw data'!AU64='Real results'!C64,'Raw data'!AV64='Real results'!D64),2,0),0),0),0)</f>
        <v>0</v>
      </c>
      <c r="AW65" s="34">
        <f>IFERROR(IF(AND(ISNUMBER('Real results'!C64),ISNUMBER('Real results'!D64),ISNUMBER('Raw data'!AW64),ISNUMBER('Raw data'!AX64)),IF(SIGN('Raw data'!AW64-'Raw data'!AX64)=SIGN('Real results'!C64-'Real results'!D64),2+IF(AND('Raw data'!AW64='Real results'!C64,'Raw data'!AX64='Real results'!D64),2,0),0),0),0)</f>
        <v>0</v>
      </c>
      <c r="AY65" s="34">
        <f>IFERROR(IF(AND(ISNUMBER('Real results'!C64),ISNUMBER('Real results'!D64),ISNUMBER('Raw data'!AY64),ISNUMBER('Raw data'!AZ64)),IF(SIGN('Raw data'!AY64-'Raw data'!AZ64)=SIGN('Real results'!C64-'Real results'!D64),2+IF(AND('Raw data'!AY64='Real results'!C64,'Raw data'!AZ64='Real results'!D64),2,0),0),0),0)</f>
        <v>0</v>
      </c>
      <c r="BA65" s="34">
        <f>IFERROR(IF(AND(ISNUMBER('Real results'!C64),ISNUMBER('Real results'!D64),ISNUMBER('Raw data'!BA64),ISNUMBER('Raw data'!BB64)),IF(SIGN('Raw data'!BA64-'Raw data'!BB64)=SIGN('Real results'!C64-'Real results'!D64),2+IF(AND('Raw data'!BA64='Real results'!C64,'Raw data'!BB64='Real results'!D64),2,0),0),0),0)</f>
        <v>0</v>
      </c>
      <c r="BC65" s="34">
        <f>IFERROR(IF(AND(ISNUMBER('Real results'!C64),ISNUMBER('Real results'!D64),ISNUMBER('Raw data'!BC64),ISNUMBER('Raw data'!BD64)),IF(SIGN('Raw data'!BC64-'Raw data'!BD64)=SIGN('Real results'!C64-'Real results'!D64),2+IF(AND('Raw data'!BC64='Real results'!C64,'Raw data'!BD64='Real results'!D64),2,0),0),0),0)</f>
        <v>0</v>
      </c>
      <c r="BE65" s="34">
        <f>IFERROR(IF(AND(ISNUMBER('Real results'!C64),ISNUMBER('Real results'!D64),ISNUMBER('Raw data'!BE64),ISNUMBER('Raw data'!BF64)),IF(SIGN('Raw data'!BE64-'Raw data'!BF64)=SIGN('Real results'!C64-'Real results'!D64),2+IF(AND('Raw data'!BE64='Real results'!C64,'Raw data'!BF64='Real results'!D64),2,0),0),0),0)</f>
        <v>0</v>
      </c>
      <c r="BG65" s="34">
        <f>IFERROR(IF(AND(ISNUMBER('Real results'!C64),ISNUMBER('Real results'!D64),ISNUMBER('Raw data'!BG64),ISNUMBER('Raw data'!BH64)),IF(SIGN('Raw data'!BG64-'Raw data'!BH64)=SIGN('Real results'!C64-'Real results'!D64),2+IF(AND('Raw data'!BG64='Real results'!C64,'Raw data'!BH64='Real results'!D64),2,0),0),0),0)</f>
        <v>0</v>
      </c>
      <c r="BI65" s="34">
        <f>IFERROR(IF(AND(ISNUMBER('Real results'!C64),ISNUMBER('Real results'!D64),ISNUMBER('Raw data'!BI64),ISNUMBER('Raw data'!BJ64)),IF(SIGN('Raw data'!BI64-'Raw data'!BJ64)=SIGN('Real results'!C64-'Real results'!D64),2+IF(AND('Raw data'!BI64='Real results'!C64,'Raw data'!BJ64='Real results'!D64),2,0),0),0),0)</f>
        <v>0</v>
      </c>
    </row>
    <row r="66" ht="18.0" customHeight="1">
      <c r="B66" s="12" t="s">
        <v>91</v>
      </c>
      <c r="C66" s="34">
        <f>IFERROR(IF(AND(ISNUMBER('Real results'!C65),ISNUMBER('Real results'!D65),ISNUMBER('Raw data'!C63),ISNUMBER('Raw data'!D63)),IF(SIGN('Raw data'!C63-'Raw data'!D63)=SIGN('Real results'!C65-'Real results'!D65),2+IF(AND('Raw data'!C63='Real results'!C65,'Raw data'!D63='Real results'!D65),2,0),0),0),0)</f>
        <v>0</v>
      </c>
      <c r="E66" s="34">
        <f>IFERROR(IF(AND(ISNUMBER('Real results'!C65),ISNUMBER('Real results'!D65),ISNUMBER('Raw data'!E64),ISNUMBER('Raw data'!F64)),IF(SIGN('Raw data'!E64-'Raw data'!F64)=SIGN('Real results'!C65-'Real results'!D65),2+IF(AND('Raw data'!E64='Real results'!C65,'Raw data'!F64='Real results'!D65),2,0),0),0),0)</f>
        <v>0</v>
      </c>
      <c r="G66" s="34">
        <f>IFERROR(IF(AND(ISNUMBER('Real results'!C65),ISNUMBER('Real results'!D65),ISNUMBER('Raw data'!G65),ISNUMBER('Raw data'!H65)),IF(SIGN('Raw data'!G65-'Raw data'!H65)=SIGN('Real results'!C65-'Real results'!D65),2+IF(AND('Raw data'!G65='Real results'!C65,'Raw data'!H65='Real results'!D65),2,0),0),0),0)</f>
        <v>2</v>
      </c>
      <c r="I66" s="34">
        <f>IFERROR(IF(AND(ISNUMBER('Real results'!C65),ISNUMBER('Real results'!D65),ISNUMBER('Raw data'!I65),ISNUMBER('Raw data'!J65)),IF(SIGN('Raw data'!I65-'Raw data'!J65)=SIGN('Real results'!C65-'Real results'!D65),2+IF(AND('Raw data'!I65='Real results'!C65,'Raw data'!J65='Real results'!D65),2,0),0),0),0)</f>
        <v>0</v>
      </c>
      <c r="K66" s="34">
        <f>IFERROR(IF(AND(ISNUMBER('Real results'!C65),ISNUMBER('Real results'!D65),ISNUMBER('Raw data'!K65),ISNUMBER('Raw data'!L65)),IF(SIGN('Raw data'!K65-'Raw data'!L65)=SIGN('Real results'!C65-'Real results'!D65),2+IF(AND('Raw data'!K65='Real results'!C65,'Raw data'!L65='Real results'!D65),2,0),0),0),0)</f>
        <v>0</v>
      </c>
      <c r="M66" s="34">
        <f>IFERROR(IF(AND(ISNUMBER('Real results'!C65),ISNUMBER('Real results'!D65),ISNUMBER('Raw data'!M65),ISNUMBER('Raw data'!N65)),IF(SIGN('Raw data'!M65-'Raw data'!N65)=SIGN('Real results'!C65-'Real results'!D65),2+IF(AND('Raw data'!M65='Real results'!C65,'Raw data'!N65='Real results'!D65),2,0),0),0),0)</f>
        <v>0</v>
      </c>
      <c r="O66" s="34">
        <f>IFERROR(IF(AND(ISNUMBER('Real results'!C65),ISNUMBER('Real results'!D65),ISNUMBER('Raw data'!O65),ISNUMBER('Raw data'!P65)),IF(SIGN('Raw data'!O65-'Raw data'!P65)=SIGN('Real results'!C65-'Real results'!D65),2+IF(AND('Raw data'!O65='Real results'!C65,'Raw data'!P65='Real results'!D65),2,0),0),0),0)</f>
        <v>0</v>
      </c>
      <c r="Q66" s="34">
        <f>IFERROR(IF(AND(ISNUMBER('Real results'!C65),ISNUMBER('Real results'!D65),ISNUMBER('Raw data'!Q65),ISNUMBER('Raw data'!R65)),IF(SIGN('Raw data'!Q65-'Raw data'!R65)=SIGN('Real results'!C65-'Real results'!D65),2+IF(AND('Raw data'!Q65='Real results'!C65,'Raw data'!R65='Real results'!D65),2,0),0),0),0)</f>
        <v>0</v>
      </c>
      <c r="S66" s="34">
        <f>IFERROR(IF(AND(ISNUMBER('Real results'!C65),ISNUMBER('Real results'!D65),ISNUMBER('Raw data'!S65),ISNUMBER('Raw data'!T65)),IF(SIGN('Raw data'!S65-'Raw data'!T65)=SIGN('Real results'!C65-'Real results'!D65),2+IF(AND('Raw data'!S65='Real results'!C65,'Raw data'!T65='Real results'!D65),2,0),0),0),0)</f>
        <v>0</v>
      </c>
      <c r="U66" s="34">
        <f>IFERROR(IF(AND(ISNUMBER('Real results'!C65),ISNUMBER('Real results'!D65),ISNUMBER('Raw data'!U65),ISNUMBER('Raw data'!V65)),IF(SIGN('Raw data'!U65-'Raw data'!V65)=SIGN('Real results'!C65-'Real results'!D65),2+IF(AND('Raw data'!U65='Real results'!C65,'Raw data'!V65='Real results'!D65),2,0),0),0),0)</f>
        <v>0</v>
      </c>
      <c r="W66" s="34">
        <f>IFERROR(IF(AND(ISNUMBER('Real results'!C65),ISNUMBER('Real results'!D65),ISNUMBER('Raw data'!W65),ISNUMBER('Raw data'!X65)),IF(SIGN('Raw data'!W65-'Raw data'!X65)=SIGN('Real results'!C65-'Real results'!D65),2+IF(AND('Raw data'!W65='Real results'!C65,'Raw data'!X65='Real results'!D65),2,0),0),0),0)</f>
        <v>0</v>
      </c>
      <c r="Y66" s="34">
        <f>IFERROR(IF(AND(ISNUMBER('Real results'!C65),ISNUMBER('Real results'!D65),ISNUMBER('Raw data'!Y65),ISNUMBER('Raw data'!Z65)),IF(SIGN('Raw data'!Y65-'Raw data'!Z65)=SIGN('Real results'!C65-'Real results'!D65),2+IF(AND('Raw data'!Y65='Real results'!C65,'Raw data'!Z65='Real results'!D65),2,0),0),0),0)</f>
        <v>0</v>
      </c>
      <c r="AA66" s="34">
        <f>IFERROR(IF(AND(ISNUMBER('Real results'!C65),ISNUMBER('Real results'!D65),ISNUMBER('Raw data'!AA65),ISNUMBER('Raw data'!AB65)),IF(SIGN('Raw data'!AA65-'Raw data'!AB65)=SIGN('Real results'!C65-'Real results'!D65),2+IF(AND('Raw data'!AA65='Real results'!C65,'Raw data'!AB65='Real results'!D65),2,0),0),0),0)</f>
        <v>0</v>
      </c>
      <c r="AC66" s="34">
        <f>IFERROR(IF(AND(ISNUMBER('Real results'!C65),ISNUMBER('Real results'!D65),ISNUMBER('Raw data'!AC65),ISNUMBER('Raw data'!AD65)),IF(SIGN('Raw data'!AC65-'Raw data'!AD65)=SIGN('Real results'!C65-'Real results'!D65),2+IF(AND('Raw data'!AC65='Real results'!C65,'Raw data'!AD65='Real results'!D65),2,0),0),0),0)</f>
        <v>0</v>
      </c>
      <c r="AE66" s="34">
        <f>IFERROR(IF(AND(ISNUMBER('Real results'!C65),ISNUMBER('Real results'!D65),ISNUMBER('Raw data'!AE65),ISNUMBER('Raw data'!AF65)),IF(SIGN('Raw data'!AE65-'Raw data'!AF65)=SIGN('Real results'!C65-'Real results'!D65),2+IF(AND('Raw data'!AE65='Real results'!C65,'Raw data'!AF65='Real results'!D65),2,0),0),0),0)</f>
        <v>0</v>
      </c>
      <c r="AG66" s="34">
        <f>IFERROR(IF(AND(ISNUMBER('Real results'!C65),ISNUMBER('Real results'!D65),ISNUMBER('Raw data'!AG65),ISNUMBER('Raw data'!AH65)),IF(SIGN('Raw data'!AG65-'Raw data'!AH65)=SIGN('Real results'!C65-'Real results'!D65),2+IF(AND('Raw data'!AG65='Real results'!C65,'Raw data'!AH65='Real results'!D65),2,0),0),0),0)</f>
        <v>0</v>
      </c>
      <c r="AI66" s="34">
        <f>IFERROR(IF(AND(ISNUMBER('Real results'!C65),ISNUMBER('Real results'!D65),ISNUMBER('Raw data'!AI65),ISNUMBER('Raw data'!AJ65)),IF(SIGN('Raw data'!AI65-'Raw data'!AJ65)=SIGN('Real results'!C65-'Real results'!D65),2+IF(AND('Raw data'!AI65='Real results'!C65,'Raw data'!AJ65='Real results'!D65),2,0),0),0),0)</f>
        <v>0</v>
      </c>
      <c r="AK66" s="34">
        <f>IFERROR(IF(AND(ISNUMBER('Real results'!C65),ISNUMBER('Real results'!D65),ISNUMBER('Raw data'!AK65),ISNUMBER('Raw data'!AL65)),IF(SIGN('Raw data'!AK65-'Raw data'!AL65)=SIGN('Real results'!C65-'Real results'!D65),2+IF(AND('Raw data'!AK65='Real results'!C65,'Raw data'!AL65='Real results'!D65),2,0),0),0),0)</f>
        <v>0</v>
      </c>
      <c r="AM66" s="34">
        <f>IFERROR(IF(AND(ISNUMBER('Real results'!C65),ISNUMBER('Real results'!D65),ISNUMBER('Raw data'!AM65),ISNUMBER('Raw data'!AN65)),IF(SIGN('Raw data'!AM65-'Raw data'!AN65)=SIGN('Real results'!C65-'Real results'!D65),2+IF(AND('Raw data'!AM65='Real results'!C65,'Raw data'!AN65='Real results'!D65),2,0),0),0),0)</f>
        <v>0</v>
      </c>
      <c r="AO66" s="34">
        <f>IFERROR(IF(AND(ISNUMBER('Real results'!C65),ISNUMBER('Real results'!D65),ISNUMBER('Raw data'!AO65),ISNUMBER('Raw data'!AP65)),IF(SIGN('Raw data'!AO65-'Raw data'!AP65)=SIGN('Real results'!C65-'Real results'!D65),2+IF(AND('Raw data'!AO65='Real results'!C65,'Raw data'!AP65='Real results'!D65),2,0),0),0),0)</f>
        <v>0</v>
      </c>
      <c r="AQ66" s="34">
        <f>IFERROR(IF(AND(ISNUMBER('Real results'!C65),ISNUMBER('Real results'!D65),ISNUMBER('Raw data'!AQ65),ISNUMBER('Raw data'!AR65)),IF(SIGN('Raw data'!AQ65-'Raw data'!AR65)=SIGN('Real results'!C65-'Real results'!D65),2+IF(AND('Raw data'!AQ65='Real results'!C65,'Raw data'!AR65='Real results'!D65),2,0),0),0),0)</f>
        <v>0</v>
      </c>
      <c r="AS66" s="34">
        <f>IFERROR(IF(AND(ISNUMBER('Real results'!C65),ISNUMBER('Real results'!D65),ISNUMBER('Raw data'!AS65),ISNUMBER('Raw data'!AT65)),IF(SIGN('Raw data'!AS65-'Raw data'!AT65)=SIGN('Real results'!C65-'Real results'!D65),2+IF(AND('Raw data'!AS65='Real results'!C65,'Raw data'!AT65='Real results'!D65),2,0),0),0),0)</f>
        <v>0</v>
      </c>
      <c r="AU66" s="34">
        <f>IFERROR(IF(AND(ISNUMBER('Real results'!C65),ISNUMBER('Real results'!D65),ISNUMBER('Raw data'!AU65),ISNUMBER('Raw data'!AV65)),IF(SIGN('Raw data'!AU65-'Raw data'!AV65)=SIGN('Real results'!C65-'Real results'!D65),2+IF(AND('Raw data'!AU65='Real results'!C65,'Raw data'!AV65='Real results'!D65),2,0),0),0),0)</f>
        <v>0</v>
      </c>
      <c r="AW66" s="34">
        <f>IFERROR(IF(AND(ISNUMBER('Real results'!C65),ISNUMBER('Real results'!D65),ISNUMBER('Raw data'!AW65),ISNUMBER('Raw data'!AX65)),IF(SIGN('Raw data'!AW65-'Raw data'!AX65)=SIGN('Real results'!C65-'Real results'!D65),2+IF(AND('Raw data'!AW65='Real results'!C65,'Raw data'!AX65='Real results'!D65),2,0),0),0),0)</f>
        <v>0</v>
      </c>
      <c r="AY66" s="34">
        <f>IFERROR(IF(AND(ISNUMBER('Real results'!C65),ISNUMBER('Real results'!D65),ISNUMBER('Raw data'!AY65),ISNUMBER('Raw data'!AZ65)),IF(SIGN('Raw data'!AY65-'Raw data'!AZ65)=SIGN('Real results'!C65-'Real results'!D65),2+IF(AND('Raw data'!AY65='Real results'!C65,'Raw data'!AZ65='Real results'!D65),2,0),0),0),0)</f>
        <v>0</v>
      </c>
      <c r="BA66" s="34">
        <f>IFERROR(IF(AND(ISNUMBER('Real results'!C65),ISNUMBER('Real results'!D65),ISNUMBER('Raw data'!BA65),ISNUMBER('Raw data'!BB65)),IF(SIGN('Raw data'!BA65-'Raw data'!BB65)=SIGN('Real results'!C65-'Real results'!D65),2+IF(AND('Raw data'!BA65='Real results'!C65,'Raw data'!BB65='Real results'!D65),2,0),0),0),0)</f>
        <v>0</v>
      </c>
      <c r="BC66" s="34">
        <f>IFERROR(IF(AND(ISNUMBER('Real results'!C65),ISNUMBER('Real results'!D65),ISNUMBER('Raw data'!BC65),ISNUMBER('Raw data'!BD65)),IF(SIGN('Raw data'!BC65-'Raw data'!BD65)=SIGN('Real results'!C65-'Real results'!D65),2+IF(AND('Raw data'!BC65='Real results'!C65,'Raw data'!BD65='Real results'!D65),2,0),0),0),0)</f>
        <v>0</v>
      </c>
      <c r="BE66" s="34">
        <f>IFERROR(IF(AND(ISNUMBER('Real results'!C65),ISNUMBER('Real results'!D65),ISNUMBER('Raw data'!BE65),ISNUMBER('Raw data'!BF65)),IF(SIGN('Raw data'!BE65-'Raw data'!BF65)=SIGN('Real results'!C65-'Real results'!D65),2+IF(AND('Raw data'!BE65='Real results'!C65,'Raw data'!BF65='Real results'!D65),2,0),0),0),0)</f>
        <v>0</v>
      </c>
      <c r="BG66" s="34">
        <f>IFERROR(IF(AND(ISNUMBER('Real results'!C65),ISNUMBER('Real results'!D65),ISNUMBER('Raw data'!BG65),ISNUMBER('Raw data'!BH65)),IF(SIGN('Raw data'!BG65-'Raw data'!BH65)=SIGN('Real results'!C65-'Real results'!D65),2+IF(AND('Raw data'!BG65='Real results'!C65,'Raw data'!BH65='Real results'!D65),2,0),0),0),0)</f>
        <v>0</v>
      </c>
      <c r="BI66" s="34">
        <f>IFERROR(IF(AND(ISNUMBER('Real results'!C65),ISNUMBER('Real results'!D65),ISNUMBER('Raw data'!BI65),ISNUMBER('Raw data'!BJ65)),IF(SIGN('Raw data'!BI65-'Raw data'!BJ65)=SIGN('Real results'!C65-'Real results'!D65),2+IF(AND('Raw data'!BI65='Real results'!C65,'Raw data'!BJ65='Real results'!D65),2,0),0),0),0)</f>
        <v>0</v>
      </c>
    </row>
    <row r="67" ht="18.0" customHeight="1">
      <c r="B67" s="12" t="s">
        <v>92</v>
      </c>
      <c r="C67" s="34">
        <f>IFERROR(IF(AND(ISNUMBER('Real results'!C66),ISNUMBER('Real results'!D66),ISNUMBER('Raw data'!C64),ISNUMBER('Raw data'!D64)),IF(SIGN('Raw data'!C64-'Raw data'!D64)=SIGN('Real results'!C66-'Real results'!D66),2+IF(AND('Raw data'!C64='Real results'!C66,'Raw data'!D64='Real results'!D66),2,0),0),0),0)</f>
        <v>2</v>
      </c>
      <c r="E67" s="34">
        <f>IFERROR(IF(AND(ISNUMBER('Real results'!C66),ISNUMBER('Real results'!D66),ISNUMBER('Raw data'!E65),ISNUMBER('Raw data'!F65)),IF(SIGN('Raw data'!E65-'Raw data'!F65)=SIGN('Real results'!C66-'Real results'!D66),2+IF(AND('Raw data'!E65='Real results'!C66,'Raw data'!F65='Real results'!D66),2,0),0),0),0)</f>
        <v>0</v>
      </c>
      <c r="G67" s="34">
        <f>IFERROR(IF(AND(ISNUMBER('Real results'!C66),ISNUMBER('Real results'!D66),ISNUMBER('Raw data'!G66),ISNUMBER('Raw data'!H66)),IF(SIGN('Raw data'!G66-'Raw data'!H66)=SIGN('Real results'!C66-'Real results'!D66),2+IF(AND('Raw data'!G66='Real results'!C66,'Raw data'!H66='Real results'!D66),2,0),0),0),0)</f>
        <v>2</v>
      </c>
      <c r="I67" s="34">
        <f>IFERROR(IF(AND(ISNUMBER('Real results'!C66),ISNUMBER('Real results'!D66),ISNUMBER('Raw data'!I66),ISNUMBER('Raw data'!J66)),IF(SIGN('Raw data'!I66-'Raw data'!J66)=SIGN('Real results'!C66-'Real results'!D66),2+IF(AND('Raw data'!I66='Real results'!C66,'Raw data'!J66='Real results'!D66),2,0),0),0),0)</f>
        <v>2</v>
      </c>
      <c r="K67" s="34">
        <f>IFERROR(IF(AND(ISNUMBER('Real results'!C66),ISNUMBER('Real results'!D66),ISNUMBER('Raw data'!K66),ISNUMBER('Raw data'!L66)),IF(SIGN('Raw data'!K66-'Raw data'!L66)=SIGN('Real results'!C66-'Real results'!D66),2+IF(AND('Raw data'!K66='Real results'!C66,'Raw data'!L66='Real results'!D66),2,0),0),0),0)</f>
        <v>2</v>
      </c>
      <c r="M67" s="34">
        <f>IFERROR(IF(AND(ISNUMBER('Real results'!C66),ISNUMBER('Real results'!D66),ISNUMBER('Raw data'!M66),ISNUMBER('Raw data'!N66)),IF(SIGN('Raw data'!M66-'Raw data'!N66)=SIGN('Real results'!C66-'Real results'!D66),2+IF(AND('Raw data'!M66='Real results'!C66,'Raw data'!N66='Real results'!D66),2,0),0),0),0)</f>
        <v>0</v>
      </c>
      <c r="O67" s="34">
        <f>IFERROR(IF(AND(ISNUMBER('Real results'!C66),ISNUMBER('Real results'!D66),ISNUMBER('Raw data'!O66),ISNUMBER('Raw data'!P66)),IF(SIGN('Raw data'!O66-'Raw data'!P66)=SIGN('Real results'!C66-'Real results'!D66),2+IF(AND('Raw data'!O66='Real results'!C66,'Raw data'!P66='Real results'!D66),2,0),0),0),0)</f>
        <v>0</v>
      </c>
      <c r="Q67" s="34">
        <f>IFERROR(IF(AND(ISNUMBER('Real results'!C66),ISNUMBER('Real results'!D66),ISNUMBER('Raw data'!Q66),ISNUMBER('Raw data'!R66)),IF(SIGN('Raw data'!Q66-'Raw data'!R66)=SIGN('Real results'!C66-'Real results'!D66),2+IF(AND('Raw data'!Q66='Real results'!C66,'Raw data'!R66='Real results'!D66),2,0),0),0),0)</f>
        <v>0</v>
      </c>
      <c r="S67" s="34">
        <f>IFERROR(IF(AND(ISNUMBER('Real results'!C66),ISNUMBER('Real results'!D66),ISNUMBER('Raw data'!S66),ISNUMBER('Raw data'!T66)),IF(SIGN('Raw data'!S66-'Raw data'!T66)=SIGN('Real results'!C66-'Real results'!D66),2+IF(AND('Raw data'!S66='Real results'!C66,'Raw data'!T66='Real results'!D66),2,0),0),0),0)</f>
        <v>0</v>
      </c>
      <c r="U67" s="34">
        <f>IFERROR(IF(AND(ISNUMBER('Real results'!C66),ISNUMBER('Real results'!D66),ISNUMBER('Raw data'!U66),ISNUMBER('Raw data'!V66)),IF(SIGN('Raw data'!U66-'Raw data'!V66)=SIGN('Real results'!C66-'Real results'!D66),2+IF(AND('Raw data'!U66='Real results'!C66,'Raw data'!V66='Real results'!D66),2,0),0),0),0)</f>
        <v>0</v>
      </c>
      <c r="W67" s="34">
        <f>IFERROR(IF(AND(ISNUMBER('Real results'!C66),ISNUMBER('Real results'!D66),ISNUMBER('Raw data'!W66),ISNUMBER('Raw data'!X66)),IF(SIGN('Raw data'!W66-'Raw data'!X66)=SIGN('Real results'!C66-'Real results'!D66),2+IF(AND('Raw data'!W66='Real results'!C66,'Raw data'!X66='Real results'!D66),2,0),0),0),0)</f>
        <v>0</v>
      </c>
      <c r="Y67" s="34">
        <f>IFERROR(IF(AND(ISNUMBER('Real results'!C66),ISNUMBER('Real results'!D66),ISNUMBER('Raw data'!Y66),ISNUMBER('Raw data'!Z66)),IF(SIGN('Raw data'!Y66-'Raw data'!Z66)=SIGN('Real results'!C66-'Real results'!D66),2+IF(AND('Raw data'!Y66='Real results'!C66,'Raw data'!Z66='Real results'!D66),2,0),0),0),0)</f>
        <v>0</v>
      </c>
      <c r="AA67" s="34">
        <f>IFERROR(IF(AND(ISNUMBER('Real results'!C66),ISNUMBER('Real results'!D66),ISNUMBER('Raw data'!AA66),ISNUMBER('Raw data'!AB66)),IF(SIGN('Raw data'!AA66-'Raw data'!AB66)=SIGN('Real results'!C66-'Real results'!D66),2+IF(AND('Raw data'!AA66='Real results'!C66,'Raw data'!AB66='Real results'!D66),2,0),0),0),0)</f>
        <v>0</v>
      </c>
      <c r="AC67" s="34">
        <f>IFERROR(IF(AND(ISNUMBER('Real results'!C66),ISNUMBER('Real results'!D66),ISNUMBER('Raw data'!AC66),ISNUMBER('Raw data'!AD66)),IF(SIGN('Raw data'!AC66-'Raw data'!AD66)=SIGN('Real results'!C66-'Real results'!D66),2+IF(AND('Raw data'!AC66='Real results'!C66,'Raw data'!AD66='Real results'!D66),2,0),0),0),0)</f>
        <v>0</v>
      </c>
      <c r="AE67" s="34">
        <f>IFERROR(IF(AND(ISNUMBER('Real results'!C66),ISNUMBER('Real results'!D66),ISNUMBER('Raw data'!AE66),ISNUMBER('Raw data'!AF66)),IF(SIGN('Raw data'!AE66-'Raw data'!AF66)=SIGN('Real results'!C66-'Real results'!D66),2+IF(AND('Raw data'!AE66='Real results'!C66,'Raw data'!AF66='Real results'!D66),2,0),0),0),0)</f>
        <v>0</v>
      </c>
      <c r="AG67" s="34">
        <f>IFERROR(IF(AND(ISNUMBER('Real results'!C66),ISNUMBER('Real results'!D66),ISNUMBER('Raw data'!AG66),ISNUMBER('Raw data'!AH66)),IF(SIGN('Raw data'!AG66-'Raw data'!AH66)=SIGN('Real results'!C66-'Real results'!D66),2+IF(AND('Raw data'!AG66='Real results'!C66,'Raw data'!AH66='Real results'!D66),2,0),0),0),0)</f>
        <v>0</v>
      </c>
      <c r="AI67" s="34">
        <f>IFERROR(IF(AND(ISNUMBER('Real results'!C66),ISNUMBER('Real results'!D66),ISNUMBER('Raw data'!AI66),ISNUMBER('Raw data'!AJ66)),IF(SIGN('Raw data'!AI66-'Raw data'!AJ66)=SIGN('Real results'!C66-'Real results'!D66),2+IF(AND('Raw data'!AI66='Real results'!C66,'Raw data'!AJ66='Real results'!D66),2,0),0),0),0)</f>
        <v>0</v>
      </c>
      <c r="AK67" s="34">
        <f>IFERROR(IF(AND(ISNUMBER('Real results'!C66),ISNUMBER('Real results'!D66),ISNUMBER('Raw data'!AK66),ISNUMBER('Raw data'!AL66)),IF(SIGN('Raw data'!AK66-'Raw data'!AL66)=SIGN('Real results'!C66-'Real results'!D66),2+IF(AND('Raw data'!AK66='Real results'!C66,'Raw data'!AL66='Real results'!D66),2,0),0),0),0)</f>
        <v>0</v>
      </c>
      <c r="AM67" s="34">
        <f>IFERROR(IF(AND(ISNUMBER('Real results'!C66),ISNUMBER('Real results'!D66),ISNUMBER('Raw data'!AM66),ISNUMBER('Raw data'!AN66)),IF(SIGN('Raw data'!AM66-'Raw data'!AN66)=SIGN('Real results'!C66-'Real results'!D66),2+IF(AND('Raw data'!AM66='Real results'!C66,'Raw data'!AN66='Real results'!D66),2,0),0),0),0)</f>
        <v>0</v>
      </c>
      <c r="AO67" s="34">
        <f>IFERROR(IF(AND(ISNUMBER('Real results'!C66),ISNUMBER('Real results'!D66),ISNUMBER('Raw data'!AO66),ISNUMBER('Raw data'!AP66)),IF(SIGN('Raw data'!AO66-'Raw data'!AP66)=SIGN('Real results'!C66-'Real results'!D66),2+IF(AND('Raw data'!AO66='Real results'!C66,'Raw data'!AP66='Real results'!D66),2,0),0),0),0)</f>
        <v>0</v>
      </c>
      <c r="AQ67" s="34">
        <f>IFERROR(IF(AND(ISNUMBER('Real results'!C66),ISNUMBER('Real results'!D66),ISNUMBER('Raw data'!AQ66),ISNUMBER('Raw data'!AR66)),IF(SIGN('Raw data'!AQ66-'Raw data'!AR66)=SIGN('Real results'!C66-'Real results'!D66),2+IF(AND('Raw data'!AQ66='Real results'!C66,'Raw data'!AR66='Real results'!D66),2,0),0),0),0)</f>
        <v>0</v>
      </c>
      <c r="AS67" s="34">
        <f>IFERROR(IF(AND(ISNUMBER('Real results'!C66),ISNUMBER('Real results'!D66),ISNUMBER('Raw data'!AS66),ISNUMBER('Raw data'!AT66)),IF(SIGN('Raw data'!AS66-'Raw data'!AT66)=SIGN('Real results'!C66-'Real results'!D66),2+IF(AND('Raw data'!AS66='Real results'!C66,'Raw data'!AT66='Real results'!D66),2,0),0),0),0)</f>
        <v>0</v>
      </c>
      <c r="AU67" s="34">
        <f>IFERROR(IF(AND(ISNUMBER('Real results'!C66),ISNUMBER('Real results'!D66),ISNUMBER('Raw data'!AU66),ISNUMBER('Raw data'!AV66)),IF(SIGN('Raw data'!AU66-'Raw data'!AV66)=SIGN('Real results'!C66-'Real results'!D66),2+IF(AND('Raw data'!AU66='Real results'!C66,'Raw data'!AV66='Real results'!D66),2,0),0),0),0)</f>
        <v>0</v>
      </c>
      <c r="AW67" s="34">
        <f>IFERROR(IF(AND(ISNUMBER('Real results'!C66),ISNUMBER('Real results'!D66),ISNUMBER('Raw data'!AW66),ISNUMBER('Raw data'!AX66)),IF(SIGN('Raw data'!AW66-'Raw data'!AX66)=SIGN('Real results'!C66-'Real results'!D66),2+IF(AND('Raw data'!AW66='Real results'!C66,'Raw data'!AX66='Real results'!D66),2,0),0),0),0)</f>
        <v>0</v>
      </c>
      <c r="AY67" s="34">
        <f>IFERROR(IF(AND(ISNUMBER('Real results'!C66),ISNUMBER('Real results'!D66),ISNUMBER('Raw data'!AY66),ISNUMBER('Raw data'!AZ66)),IF(SIGN('Raw data'!AY66-'Raw data'!AZ66)=SIGN('Real results'!C66-'Real results'!D66),2+IF(AND('Raw data'!AY66='Real results'!C66,'Raw data'!AZ66='Real results'!D66),2,0),0),0),0)</f>
        <v>0</v>
      </c>
      <c r="BA67" s="34">
        <f>IFERROR(IF(AND(ISNUMBER('Real results'!C66),ISNUMBER('Real results'!D66),ISNUMBER('Raw data'!BA66),ISNUMBER('Raw data'!BB66)),IF(SIGN('Raw data'!BA66-'Raw data'!BB66)=SIGN('Real results'!C66-'Real results'!D66),2+IF(AND('Raw data'!BA66='Real results'!C66,'Raw data'!BB66='Real results'!D66),2,0),0),0),0)</f>
        <v>0</v>
      </c>
      <c r="BC67" s="34">
        <f>IFERROR(IF(AND(ISNUMBER('Real results'!C66),ISNUMBER('Real results'!D66),ISNUMBER('Raw data'!BC66),ISNUMBER('Raw data'!BD66)),IF(SIGN('Raw data'!BC66-'Raw data'!BD66)=SIGN('Real results'!C66-'Real results'!D66),2+IF(AND('Raw data'!BC66='Real results'!C66,'Raw data'!BD66='Real results'!D66),2,0),0),0),0)</f>
        <v>0</v>
      </c>
      <c r="BE67" s="34">
        <f>IFERROR(IF(AND(ISNUMBER('Real results'!C66),ISNUMBER('Real results'!D66),ISNUMBER('Raw data'!BE66),ISNUMBER('Raw data'!BF66)),IF(SIGN('Raw data'!BE66-'Raw data'!BF66)=SIGN('Real results'!C66-'Real results'!D66),2+IF(AND('Raw data'!BE66='Real results'!C66,'Raw data'!BF66='Real results'!D66),2,0),0),0),0)</f>
        <v>0</v>
      </c>
      <c r="BG67" s="34">
        <f>IFERROR(IF(AND(ISNUMBER('Real results'!C66),ISNUMBER('Real results'!D66),ISNUMBER('Raw data'!BG66),ISNUMBER('Raw data'!BH66)),IF(SIGN('Raw data'!BG66-'Raw data'!BH66)=SIGN('Real results'!C66-'Real results'!D66),2+IF(AND('Raw data'!BG66='Real results'!C66,'Raw data'!BH66='Real results'!D66),2,0),0),0),0)</f>
        <v>0</v>
      </c>
      <c r="BI67" s="34">
        <f>IFERROR(IF(AND(ISNUMBER('Real results'!C66),ISNUMBER('Real results'!D66),ISNUMBER('Raw data'!BI66),ISNUMBER('Raw data'!BJ66)),IF(SIGN('Raw data'!BI66-'Raw data'!BJ66)=SIGN('Real results'!C66-'Real results'!D66),2+IF(AND('Raw data'!BI66='Real results'!C66,'Raw data'!BJ66='Real results'!D66),2,0),0),0),0)</f>
        <v>0</v>
      </c>
    </row>
    <row r="68" ht="18.0" customHeight="1">
      <c r="B68" s="12" t="s">
        <v>93</v>
      </c>
      <c r="C68" s="34">
        <f>IFERROR(IF(AND(ISNUMBER('Real results'!C67),ISNUMBER('Real results'!D67),ISNUMBER('Raw data'!C65),ISNUMBER('Raw data'!D65)),IF(SIGN('Raw data'!C65-'Raw data'!D65)=SIGN('Real results'!C67-'Real results'!D67),2+IF(AND('Raw data'!C65='Real results'!C67,'Raw data'!D65='Real results'!D67),2,0),0),0),0)</f>
        <v>0</v>
      </c>
      <c r="E68" s="34">
        <f>IFERROR(IF(AND(ISNUMBER('Real results'!C67),ISNUMBER('Real results'!D67),ISNUMBER('Raw data'!E66),ISNUMBER('Raw data'!F66)),IF(SIGN('Raw data'!E66-'Raw data'!F66)=SIGN('Real results'!C67-'Real results'!D67),2+IF(AND('Raw data'!E66='Real results'!C67,'Raw data'!F66='Real results'!D67),2,0),0),0),0)</f>
        <v>0</v>
      </c>
      <c r="G68" s="34">
        <f>IFERROR(IF(AND(ISNUMBER('Real results'!C67),ISNUMBER('Real results'!D67),ISNUMBER('Raw data'!G67),ISNUMBER('Raw data'!H67)),IF(SIGN('Raw data'!G67-'Raw data'!H67)=SIGN('Real results'!C67-'Real results'!D67),2+IF(AND('Raw data'!G67='Real results'!C67,'Raw data'!H67='Real results'!D67),2,0),0),0),0)</f>
        <v>0</v>
      </c>
      <c r="I68" s="34">
        <f>IFERROR(IF(AND(ISNUMBER('Real results'!C67),ISNUMBER('Real results'!D67),ISNUMBER('Raw data'!I67),ISNUMBER('Raw data'!J67)),IF(SIGN('Raw data'!I67-'Raw data'!J67)=SIGN('Real results'!C67-'Real results'!D67),2+IF(AND('Raw data'!I67='Real results'!C67,'Raw data'!J67='Real results'!D67),2,0),0),0),0)</f>
        <v>0</v>
      </c>
      <c r="K68" s="34">
        <f>IFERROR(IF(AND(ISNUMBER('Real results'!C67),ISNUMBER('Real results'!D67),ISNUMBER('Raw data'!K67),ISNUMBER('Raw data'!L67)),IF(SIGN('Raw data'!K67-'Raw data'!L67)=SIGN('Real results'!C67-'Real results'!D67),2+IF(AND('Raw data'!K67='Real results'!C67,'Raw data'!L67='Real results'!D67),2,0),0),0),0)</f>
        <v>0</v>
      </c>
      <c r="M68" s="34">
        <f>IFERROR(IF(AND(ISNUMBER('Real results'!C67),ISNUMBER('Real results'!D67),ISNUMBER('Raw data'!M67),ISNUMBER('Raw data'!N67)),IF(SIGN('Raw data'!M67-'Raw data'!N67)=SIGN('Real results'!C67-'Real results'!D67),2+IF(AND('Raw data'!M67='Real results'!C67,'Raw data'!N67='Real results'!D67),2,0),0),0),0)</f>
        <v>0</v>
      </c>
      <c r="O68" s="34">
        <f>IFERROR(IF(AND(ISNUMBER('Real results'!C67),ISNUMBER('Real results'!D67),ISNUMBER('Raw data'!O67),ISNUMBER('Raw data'!P67)),IF(SIGN('Raw data'!O67-'Raw data'!P67)=SIGN('Real results'!C67-'Real results'!D67),2+IF(AND('Raw data'!O67='Real results'!C67,'Raw data'!P67='Real results'!D67),2,0),0),0),0)</f>
        <v>0</v>
      </c>
      <c r="Q68" s="34">
        <f>IFERROR(IF(AND(ISNUMBER('Real results'!C67),ISNUMBER('Real results'!D67),ISNUMBER('Raw data'!Q67),ISNUMBER('Raw data'!R67)),IF(SIGN('Raw data'!Q67-'Raw data'!R67)=SIGN('Real results'!C67-'Real results'!D67),2+IF(AND('Raw data'!Q67='Real results'!C67,'Raw data'!R67='Real results'!D67),2,0),0),0),0)</f>
        <v>0</v>
      </c>
      <c r="S68" s="34">
        <f>IFERROR(IF(AND(ISNUMBER('Real results'!C67),ISNUMBER('Real results'!D67),ISNUMBER('Raw data'!S67),ISNUMBER('Raw data'!T67)),IF(SIGN('Raw data'!S67-'Raw data'!T67)=SIGN('Real results'!C67-'Real results'!D67),2+IF(AND('Raw data'!S67='Real results'!C67,'Raw data'!T67='Real results'!D67),2,0),0),0),0)</f>
        <v>0</v>
      </c>
      <c r="U68" s="34">
        <f>IFERROR(IF(AND(ISNUMBER('Real results'!C67),ISNUMBER('Real results'!D67),ISNUMBER('Raw data'!U67),ISNUMBER('Raw data'!V67)),IF(SIGN('Raw data'!U67-'Raw data'!V67)=SIGN('Real results'!C67-'Real results'!D67),2+IF(AND('Raw data'!U67='Real results'!C67,'Raw data'!V67='Real results'!D67),2,0),0),0),0)</f>
        <v>0</v>
      </c>
      <c r="W68" s="34">
        <f>IFERROR(IF(AND(ISNUMBER('Real results'!C67),ISNUMBER('Real results'!D67),ISNUMBER('Raw data'!W67),ISNUMBER('Raw data'!X67)),IF(SIGN('Raw data'!W67-'Raw data'!X67)=SIGN('Real results'!C67-'Real results'!D67),2+IF(AND('Raw data'!W67='Real results'!C67,'Raw data'!X67='Real results'!D67),2,0),0),0),0)</f>
        <v>0</v>
      </c>
      <c r="Y68" s="34">
        <f>IFERROR(IF(AND(ISNUMBER('Real results'!C67),ISNUMBER('Real results'!D67),ISNUMBER('Raw data'!Y67),ISNUMBER('Raw data'!Z67)),IF(SIGN('Raw data'!Y67-'Raw data'!Z67)=SIGN('Real results'!C67-'Real results'!D67),2+IF(AND('Raw data'!Y67='Real results'!C67,'Raw data'!Z67='Real results'!D67),2,0),0),0),0)</f>
        <v>0</v>
      </c>
      <c r="AA68" s="34">
        <f>IFERROR(IF(AND(ISNUMBER('Real results'!C67),ISNUMBER('Real results'!D67),ISNUMBER('Raw data'!AA67),ISNUMBER('Raw data'!AB67)),IF(SIGN('Raw data'!AA67-'Raw data'!AB67)=SIGN('Real results'!C67-'Real results'!D67),2+IF(AND('Raw data'!AA67='Real results'!C67,'Raw data'!AB67='Real results'!D67),2,0),0),0),0)</f>
        <v>0</v>
      </c>
      <c r="AC68" s="34">
        <f>IFERROR(IF(AND(ISNUMBER('Real results'!C67),ISNUMBER('Real results'!D67),ISNUMBER('Raw data'!AC67),ISNUMBER('Raw data'!AD67)),IF(SIGN('Raw data'!AC67-'Raw data'!AD67)=SIGN('Real results'!C67-'Real results'!D67),2+IF(AND('Raw data'!AC67='Real results'!C67,'Raw data'!AD67='Real results'!D67),2,0),0),0),0)</f>
        <v>0</v>
      </c>
      <c r="AE68" s="34">
        <f>IFERROR(IF(AND(ISNUMBER('Real results'!C67),ISNUMBER('Real results'!D67),ISNUMBER('Raw data'!AE67),ISNUMBER('Raw data'!AF67)),IF(SIGN('Raw data'!AE67-'Raw data'!AF67)=SIGN('Real results'!C67-'Real results'!D67),2+IF(AND('Raw data'!AE67='Real results'!C67,'Raw data'!AF67='Real results'!D67),2,0),0),0),0)</f>
        <v>0</v>
      </c>
      <c r="AG68" s="34">
        <f>IFERROR(IF(AND(ISNUMBER('Real results'!C67),ISNUMBER('Real results'!D67),ISNUMBER('Raw data'!AG67),ISNUMBER('Raw data'!AH67)),IF(SIGN('Raw data'!AG67-'Raw data'!AH67)=SIGN('Real results'!C67-'Real results'!D67),2+IF(AND('Raw data'!AG67='Real results'!C67,'Raw data'!AH67='Real results'!D67),2,0),0),0),0)</f>
        <v>0</v>
      </c>
      <c r="AI68" s="34">
        <f>IFERROR(IF(AND(ISNUMBER('Real results'!C67),ISNUMBER('Real results'!D67),ISNUMBER('Raw data'!AI67),ISNUMBER('Raw data'!AJ67)),IF(SIGN('Raw data'!AI67-'Raw data'!AJ67)=SIGN('Real results'!C67-'Real results'!D67),2+IF(AND('Raw data'!AI67='Real results'!C67,'Raw data'!AJ67='Real results'!D67),2,0),0),0),0)</f>
        <v>0</v>
      </c>
      <c r="AK68" s="34">
        <f>IFERROR(IF(AND(ISNUMBER('Real results'!C67),ISNUMBER('Real results'!D67),ISNUMBER('Raw data'!AK67),ISNUMBER('Raw data'!AL67)),IF(SIGN('Raw data'!AK67-'Raw data'!AL67)=SIGN('Real results'!C67-'Real results'!D67),2+IF(AND('Raw data'!AK67='Real results'!C67,'Raw data'!AL67='Real results'!D67),2,0),0),0),0)</f>
        <v>0</v>
      </c>
      <c r="AM68" s="34">
        <f>IFERROR(IF(AND(ISNUMBER('Real results'!C67),ISNUMBER('Real results'!D67),ISNUMBER('Raw data'!AM67),ISNUMBER('Raw data'!AN67)),IF(SIGN('Raw data'!AM67-'Raw data'!AN67)=SIGN('Real results'!C67-'Real results'!D67),2+IF(AND('Raw data'!AM67='Real results'!C67,'Raw data'!AN67='Real results'!D67),2,0),0),0),0)</f>
        <v>0</v>
      </c>
      <c r="AO68" s="34">
        <f>IFERROR(IF(AND(ISNUMBER('Real results'!C67),ISNUMBER('Real results'!D67),ISNUMBER('Raw data'!AO67),ISNUMBER('Raw data'!AP67)),IF(SIGN('Raw data'!AO67-'Raw data'!AP67)=SIGN('Real results'!C67-'Real results'!D67),2+IF(AND('Raw data'!AO67='Real results'!C67,'Raw data'!AP67='Real results'!D67),2,0),0),0),0)</f>
        <v>0</v>
      </c>
      <c r="AQ68" s="34">
        <f>IFERROR(IF(AND(ISNUMBER('Real results'!C67),ISNUMBER('Real results'!D67),ISNUMBER('Raw data'!AQ67),ISNUMBER('Raw data'!AR67)),IF(SIGN('Raw data'!AQ67-'Raw data'!AR67)=SIGN('Real results'!C67-'Real results'!D67),2+IF(AND('Raw data'!AQ67='Real results'!C67,'Raw data'!AR67='Real results'!D67),2,0),0),0),0)</f>
        <v>0</v>
      </c>
      <c r="AS68" s="34">
        <f>IFERROR(IF(AND(ISNUMBER('Real results'!C67),ISNUMBER('Real results'!D67),ISNUMBER('Raw data'!AS67),ISNUMBER('Raw data'!AT67)),IF(SIGN('Raw data'!AS67-'Raw data'!AT67)=SIGN('Real results'!C67-'Real results'!D67),2+IF(AND('Raw data'!AS67='Real results'!C67,'Raw data'!AT67='Real results'!D67),2,0),0),0),0)</f>
        <v>0</v>
      </c>
      <c r="AU68" s="34">
        <f>IFERROR(IF(AND(ISNUMBER('Real results'!C67),ISNUMBER('Real results'!D67),ISNUMBER('Raw data'!AU67),ISNUMBER('Raw data'!AV67)),IF(SIGN('Raw data'!AU67-'Raw data'!AV67)=SIGN('Real results'!C67-'Real results'!D67),2+IF(AND('Raw data'!AU67='Real results'!C67,'Raw data'!AV67='Real results'!D67),2,0),0),0),0)</f>
        <v>0</v>
      </c>
      <c r="AW68" s="34">
        <f>IFERROR(IF(AND(ISNUMBER('Real results'!C67),ISNUMBER('Real results'!D67),ISNUMBER('Raw data'!AW67),ISNUMBER('Raw data'!AX67)),IF(SIGN('Raw data'!AW67-'Raw data'!AX67)=SIGN('Real results'!C67-'Real results'!D67),2+IF(AND('Raw data'!AW67='Real results'!C67,'Raw data'!AX67='Real results'!D67),2,0),0),0),0)</f>
        <v>0</v>
      </c>
      <c r="AY68" s="34">
        <f>IFERROR(IF(AND(ISNUMBER('Real results'!C67),ISNUMBER('Real results'!D67),ISNUMBER('Raw data'!AY67),ISNUMBER('Raw data'!AZ67)),IF(SIGN('Raw data'!AY67-'Raw data'!AZ67)=SIGN('Real results'!C67-'Real results'!D67),2+IF(AND('Raw data'!AY67='Real results'!C67,'Raw data'!AZ67='Real results'!D67),2,0),0),0),0)</f>
        <v>0</v>
      </c>
      <c r="BA68" s="34">
        <f>IFERROR(IF(AND(ISNUMBER('Real results'!C67),ISNUMBER('Real results'!D67),ISNUMBER('Raw data'!BA67),ISNUMBER('Raw data'!BB67)),IF(SIGN('Raw data'!BA67-'Raw data'!BB67)=SIGN('Real results'!C67-'Real results'!D67),2+IF(AND('Raw data'!BA67='Real results'!C67,'Raw data'!BB67='Real results'!D67),2,0),0),0),0)</f>
        <v>0</v>
      </c>
      <c r="BC68" s="34">
        <f>IFERROR(IF(AND(ISNUMBER('Real results'!C67),ISNUMBER('Real results'!D67),ISNUMBER('Raw data'!BC67),ISNUMBER('Raw data'!BD67)),IF(SIGN('Raw data'!BC67-'Raw data'!BD67)=SIGN('Real results'!C67-'Real results'!D67),2+IF(AND('Raw data'!BC67='Real results'!C67,'Raw data'!BD67='Real results'!D67),2,0),0),0),0)</f>
        <v>0</v>
      </c>
      <c r="BE68" s="34">
        <f>IFERROR(IF(AND(ISNUMBER('Real results'!C67),ISNUMBER('Real results'!D67),ISNUMBER('Raw data'!BE67),ISNUMBER('Raw data'!BF67)),IF(SIGN('Raw data'!BE67-'Raw data'!BF67)=SIGN('Real results'!C67-'Real results'!D67),2+IF(AND('Raw data'!BE67='Real results'!C67,'Raw data'!BF67='Real results'!D67),2,0),0),0),0)</f>
        <v>0</v>
      </c>
      <c r="BG68" s="34">
        <f>IFERROR(IF(AND(ISNUMBER('Real results'!C67),ISNUMBER('Real results'!D67),ISNUMBER('Raw data'!BG67),ISNUMBER('Raw data'!BH67)),IF(SIGN('Raw data'!BG67-'Raw data'!BH67)=SIGN('Real results'!C67-'Real results'!D67),2+IF(AND('Raw data'!BG67='Real results'!C67,'Raw data'!BH67='Real results'!D67),2,0),0),0),0)</f>
        <v>0</v>
      </c>
      <c r="BI68" s="34">
        <f>IFERROR(IF(AND(ISNUMBER('Real results'!C67),ISNUMBER('Real results'!D67),ISNUMBER('Raw data'!BI67),ISNUMBER('Raw data'!BJ67)),IF(SIGN('Raw data'!BI67-'Raw data'!BJ67)=SIGN('Real results'!C67-'Real results'!D67),2+IF(AND('Raw data'!BI67='Real results'!C67,'Raw data'!BJ67='Real results'!D67),2,0),0),0),0)</f>
        <v>0</v>
      </c>
    </row>
    <row r="69" ht="18.0" customHeight="1">
      <c r="B69" s="12" t="s">
        <v>94</v>
      </c>
      <c r="C69" s="34">
        <f>IFERROR(IF(AND(ISNUMBER('Real results'!C68),ISNUMBER('Real results'!D68),ISNUMBER('Raw data'!C66),ISNUMBER('Raw data'!D66)),IF(SIGN('Raw data'!C66-'Raw data'!D66)=SIGN('Real results'!C68-'Real results'!D68),2+IF(AND('Raw data'!C66='Real results'!C68,'Raw data'!D66='Real results'!D68),2,0),0),0),0)</f>
        <v>2</v>
      </c>
      <c r="E69" s="34">
        <f>IFERROR(IF(AND(ISNUMBER('Real results'!C68),ISNUMBER('Real results'!D68),ISNUMBER('Raw data'!E67),ISNUMBER('Raw data'!F67)),IF(SIGN('Raw data'!E67-'Raw data'!F67)=SIGN('Real results'!C68-'Real results'!D68),2+IF(AND('Raw data'!E67='Real results'!C68,'Raw data'!F67='Real results'!D68),2,0),0),0),0)</f>
        <v>0</v>
      </c>
      <c r="G69" s="34">
        <f>IFERROR(IF(AND(ISNUMBER('Real results'!C68),ISNUMBER('Real results'!D68),ISNUMBER('Raw data'!G68),ISNUMBER('Raw data'!H68)),IF(SIGN('Raw data'!G68-'Raw data'!H68)=SIGN('Real results'!C68-'Real results'!D68),2+IF(AND('Raw data'!G68='Real results'!C68,'Raw data'!H68='Real results'!D68),2,0),0),0),0)</f>
        <v>0</v>
      </c>
      <c r="I69" s="34">
        <f>IFERROR(IF(AND(ISNUMBER('Real results'!C68),ISNUMBER('Real results'!D68),ISNUMBER('Raw data'!I68),ISNUMBER('Raw data'!J68)),IF(SIGN('Raw data'!I68-'Raw data'!J68)=SIGN('Real results'!C68-'Real results'!D68),2+IF(AND('Raw data'!I68='Real results'!C68,'Raw data'!J68='Real results'!D68),2,0),0),0),0)</f>
        <v>4</v>
      </c>
      <c r="K69" s="34">
        <f>IFERROR(IF(AND(ISNUMBER('Real results'!C68),ISNUMBER('Real results'!D68),ISNUMBER('Raw data'!K68),ISNUMBER('Raw data'!L68)),IF(SIGN('Raw data'!K68-'Raw data'!L68)=SIGN('Real results'!C68-'Real results'!D68),2+IF(AND('Raw data'!K68='Real results'!C68,'Raw data'!L68='Real results'!D68),2,0),0),0),0)</f>
        <v>2</v>
      </c>
      <c r="M69" s="34">
        <f>IFERROR(IF(AND(ISNUMBER('Real results'!C68),ISNUMBER('Real results'!D68),ISNUMBER('Raw data'!M68),ISNUMBER('Raw data'!N68)),IF(SIGN('Raw data'!M68-'Raw data'!N68)=SIGN('Real results'!C68-'Real results'!D68),2+IF(AND('Raw data'!M68='Real results'!C68,'Raw data'!N68='Real results'!D68),2,0),0),0),0)</f>
        <v>0</v>
      </c>
      <c r="O69" s="34">
        <f>IFERROR(IF(AND(ISNUMBER('Real results'!C68),ISNUMBER('Real results'!D68),ISNUMBER('Raw data'!O68),ISNUMBER('Raw data'!P68)),IF(SIGN('Raw data'!O68-'Raw data'!P68)=SIGN('Real results'!C68-'Real results'!D68),2+IF(AND('Raw data'!O68='Real results'!C68,'Raw data'!P68='Real results'!D68),2,0),0),0),0)</f>
        <v>0</v>
      </c>
      <c r="Q69" s="34">
        <f>IFERROR(IF(AND(ISNUMBER('Real results'!C68),ISNUMBER('Real results'!D68),ISNUMBER('Raw data'!Q68),ISNUMBER('Raw data'!R68)),IF(SIGN('Raw data'!Q68-'Raw data'!R68)=SIGN('Real results'!C68-'Real results'!D68),2+IF(AND('Raw data'!Q68='Real results'!C68,'Raw data'!R68='Real results'!D68),2,0),0),0),0)</f>
        <v>0</v>
      </c>
      <c r="S69" s="34">
        <f>IFERROR(IF(AND(ISNUMBER('Real results'!C68),ISNUMBER('Real results'!D68),ISNUMBER('Raw data'!S68),ISNUMBER('Raw data'!T68)),IF(SIGN('Raw data'!S68-'Raw data'!T68)=SIGN('Real results'!C68-'Real results'!D68),2+IF(AND('Raw data'!S68='Real results'!C68,'Raw data'!T68='Real results'!D68),2,0),0),0),0)</f>
        <v>0</v>
      </c>
      <c r="U69" s="34">
        <f>IFERROR(IF(AND(ISNUMBER('Real results'!C68),ISNUMBER('Real results'!D68),ISNUMBER('Raw data'!U68),ISNUMBER('Raw data'!V68)),IF(SIGN('Raw data'!U68-'Raw data'!V68)=SIGN('Real results'!C68-'Real results'!D68),2+IF(AND('Raw data'!U68='Real results'!C68,'Raw data'!V68='Real results'!D68),2,0),0),0),0)</f>
        <v>0</v>
      </c>
      <c r="W69" s="34">
        <f>IFERROR(IF(AND(ISNUMBER('Real results'!C68),ISNUMBER('Real results'!D68),ISNUMBER('Raw data'!W68),ISNUMBER('Raw data'!X68)),IF(SIGN('Raw data'!W68-'Raw data'!X68)=SIGN('Real results'!C68-'Real results'!D68),2+IF(AND('Raw data'!W68='Real results'!C68,'Raw data'!X68='Real results'!D68),2,0),0),0),0)</f>
        <v>0</v>
      </c>
      <c r="Y69" s="34">
        <f>IFERROR(IF(AND(ISNUMBER('Real results'!C68),ISNUMBER('Real results'!D68),ISNUMBER('Raw data'!Y68),ISNUMBER('Raw data'!Z68)),IF(SIGN('Raw data'!Y68-'Raw data'!Z68)=SIGN('Real results'!C68-'Real results'!D68),2+IF(AND('Raw data'!Y68='Real results'!C68,'Raw data'!Z68='Real results'!D68),2,0),0),0),0)</f>
        <v>0</v>
      </c>
      <c r="AA69" s="34">
        <f>IFERROR(IF(AND(ISNUMBER('Real results'!C68),ISNUMBER('Real results'!D68),ISNUMBER('Raw data'!AA68),ISNUMBER('Raw data'!AB68)),IF(SIGN('Raw data'!AA68-'Raw data'!AB68)=SIGN('Real results'!C68-'Real results'!D68),2+IF(AND('Raw data'!AA68='Real results'!C68,'Raw data'!AB68='Real results'!D68),2,0),0),0),0)</f>
        <v>0</v>
      </c>
      <c r="AC69" s="34">
        <f>IFERROR(IF(AND(ISNUMBER('Real results'!C68),ISNUMBER('Real results'!D68),ISNUMBER('Raw data'!AC68),ISNUMBER('Raw data'!AD68)),IF(SIGN('Raw data'!AC68-'Raw data'!AD68)=SIGN('Real results'!C68-'Real results'!D68),2+IF(AND('Raw data'!AC68='Real results'!C68,'Raw data'!AD68='Real results'!D68),2,0),0),0),0)</f>
        <v>0</v>
      </c>
      <c r="AE69" s="34">
        <f>IFERROR(IF(AND(ISNUMBER('Real results'!C68),ISNUMBER('Real results'!D68),ISNUMBER('Raw data'!AE68),ISNUMBER('Raw data'!AF68)),IF(SIGN('Raw data'!AE68-'Raw data'!AF68)=SIGN('Real results'!C68-'Real results'!D68),2+IF(AND('Raw data'!AE68='Real results'!C68,'Raw data'!AF68='Real results'!D68),2,0),0),0),0)</f>
        <v>0</v>
      </c>
      <c r="AG69" s="34">
        <f>IFERROR(IF(AND(ISNUMBER('Real results'!C68),ISNUMBER('Real results'!D68),ISNUMBER('Raw data'!AG68),ISNUMBER('Raw data'!AH68)),IF(SIGN('Raw data'!AG68-'Raw data'!AH68)=SIGN('Real results'!C68-'Real results'!D68),2+IF(AND('Raw data'!AG68='Real results'!C68,'Raw data'!AH68='Real results'!D68),2,0),0),0),0)</f>
        <v>0</v>
      </c>
      <c r="AI69" s="34">
        <f>IFERROR(IF(AND(ISNUMBER('Real results'!C68),ISNUMBER('Real results'!D68),ISNUMBER('Raw data'!AI68),ISNUMBER('Raw data'!AJ68)),IF(SIGN('Raw data'!AI68-'Raw data'!AJ68)=SIGN('Real results'!C68-'Real results'!D68),2+IF(AND('Raw data'!AI68='Real results'!C68,'Raw data'!AJ68='Real results'!D68),2,0),0),0),0)</f>
        <v>0</v>
      </c>
      <c r="AK69" s="34">
        <f>IFERROR(IF(AND(ISNUMBER('Real results'!C68),ISNUMBER('Real results'!D68),ISNUMBER('Raw data'!AK68),ISNUMBER('Raw data'!AL68)),IF(SIGN('Raw data'!AK68-'Raw data'!AL68)=SIGN('Real results'!C68-'Real results'!D68),2+IF(AND('Raw data'!AK68='Real results'!C68,'Raw data'!AL68='Real results'!D68),2,0),0),0),0)</f>
        <v>0</v>
      </c>
      <c r="AM69" s="34">
        <f>IFERROR(IF(AND(ISNUMBER('Real results'!C68),ISNUMBER('Real results'!D68),ISNUMBER('Raw data'!AM68),ISNUMBER('Raw data'!AN68)),IF(SIGN('Raw data'!AM68-'Raw data'!AN68)=SIGN('Real results'!C68-'Real results'!D68),2+IF(AND('Raw data'!AM68='Real results'!C68,'Raw data'!AN68='Real results'!D68),2,0),0),0),0)</f>
        <v>0</v>
      </c>
      <c r="AO69" s="34">
        <f>IFERROR(IF(AND(ISNUMBER('Real results'!C68),ISNUMBER('Real results'!D68),ISNUMBER('Raw data'!AO68),ISNUMBER('Raw data'!AP68)),IF(SIGN('Raw data'!AO68-'Raw data'!AP68)=SIGN('Real results'!C68-'Real results'!D68),2+IF(AND('Raw data'!AO68='Real results'!C68,'Raw data'!AP68='Real results'!D68),2,0),0),0),0)</f>
        <v>0</v>
      </c>
      <c r="AQ69" s="34">
        <f>IFERROR(IF(AND(ISNUMBER('Real results'!C68),ISNUMBER('Real results'!D68),ISNUMBER('Raw data'!AQ68),ISNUMBER('Raw data'!AR68)),IF(SIGN('Raw data'!AQ68-'Raw data'!AR68)=SIGN('Real results'!C68-'Real results'!D68),2+IF(AND('Raw data'!AQ68='Real results'!C68,'Raw data'!AR68='Real results'!D68),2,0),0),0),0)</f>
        <v>0</v>
      </c>
      <c r="AS69" s="34">
        <f>IFERROR(IF(AND(ISNUMBER('Real results'!C68),ISNUMBER('Real results'!D68),ISNUMBER('Raw data'!AS68),ISNUMBER('Raw data'!AT68)),IF(SIGN('Raw data'!AS68-'Raw data'!AT68)=SIGN('Real results'!C68-'Real results'!D68),2+IF(AND('Raw data'!AS68='Real results'!C68,'Raw data'!AT68='Real results'!D68),2,0),0),0),0)</f>
        <v>0</v>
      </c>
      <c r="AU69" s="34">
        <f>IFERROR(IF(AND(ISNUMBER('Real results'!C68),ISNUMBER('Real results'!D68),ISNUMBER('Raw data'!AU68),ISNUMBER('Raw data'!AV68)),IF(SIGN('Raw data'!AU68-'Raw data'!AV68)=SIGN('Real results'!C68-'Real results'!D68),2+IF(AND('Raw data'!AU68='Real results'!C68,'Raw data'!AV68='Real results'!D68),2,0),0),0),0)</f>
        <v>0</v>
      </c>
      <c r="AW69" s="34">
        <f>IFERROR(IF(AND(ISNUMBER('Real results'!C68),ISNUMBER('Real results'!D68),ISNUMBER('Raw data'!AW68),ISNUMBER('Raw data'!AX68)),IF(SIGN('Raw data'!AW68-'Raw data'!AX68)=SIGN('Real results'!C68-'Real results'!D68),2+IF(AND('Raw data'!AW68='Real results'!C68,'Raw data'!AX68='Real results'!D68),2,0),0),0),0)</f>
        <v>0</v>
      </c>
      <c r="AY69" s="34">
        <f>IFERROR(IF(AND(ISNUMBER('Real results'!C68),ISNUMBER('Real results'!D68),ISNUMBER('Raw data'!AY68),ISNUMBER('Raw data'!AZ68)),IF(SIGN('Raw data'!AY68-'Raw data'!AZ68)=SIGN('Real results'!C68-'Real results'!D68),2+IF(AND('Raw data'!AY68='Real results'!C68,'Raw data'!AZ68='Real results'!D68),2,0),0),0),0)</f>
        <v>0</v>
      </c>
      <c r="BA69" s="34">
        <f>IFERROR(IF(AND(ISNUMBER('Real results'!C68),ISNUMBER('Real results'!D68),ISNUMBER('Raw data'!BA68),ISNUMBER('Raw data'!BB68)),IF(SIGN('Raw data'!BA68-'Raw data'!BB68)=SIGN('Real results'!C68-'Real results'!D68),2+IF(AND('Raw data'!BA68='Real results'!C68,'Raw data'!BB68='Real results'!D68),2,0),0),0),0)</f>
        <v>0</v>
      </c>
      <c r="BC69" s="34">
        <f>IFERROR(IF(AND(ISNUMBER('Real results'!C68),ISNUMBER('Real results'!D68),ISNUMBER('Raw data'!BC68),ISNUMBER('Raw data'!BD68)),IF(SIGN('Raw data'!BC68-'Raw data'!BD68)=SIGN('Real results'!C68-'Real results'!D68),2+IF(AND('Raw data'!BC68='Real results'!C68,'Raw data'!BD68='Real results'!D68),2,0),0),0),0)</f>
        <v>0</v>
      </c>
      <c r="BE69" s="34">
        <f>IFERROR(IF(AND(ISNUMBER('Real results'!C68),ISNUMBER('Real results'!D68),ISNUMBER('Raw data'!BE68),ISNUMBER('Raw data'!BF68)),IF(SIGN('Raw data'!BE68-'Raw data'!BF68)=SIGN('Real results'!C68-'Real results'!D68),2+IF(AND('Raw data'!BE68='Real results'!C68,'Raw data'!BF68='Real results'!D68),2,0),0),0),0)</f>
        <v>0</v>
      </c>
      <c r="BG69" s="34">
        <f>IFERROR(IF(AND(ISNUMBER('Real results'!C68),ISNUMBER('Real results'!D68),ISNUMBER('Raw data'!BG68),ISNUMBER('Raw data'!BH68)),IF(SIGN('Raw data'!BG68-'Raw data'!BH68)=SIGN('Real results'!C68-'Real results'!D68),2+IF(AND('Raw data'!BG68='Real results'!C68,'Raw data'!BH68='Real results'!D68),2,0),0),0),0)</f>
        <v>0</v>
      </c>
      <c r="BI69" s="34">
        <f>IFERROR(IF(AND(ISNUMBER('Real results'!C68),ISNUMBER('Real results'!D68),ISNUMBER('Raw data'!BI68),ISNUMBER('Raw data'!BJ68)),IF(SIGN('Raw data'!BI68-'Raw data'!BJ68)=SIGN('Real results'!C68-'Real results'!D68),2+IF(AND('Raw data'!BI68='Real results'!C68,'Raw data'!BJ68='Real results'!D68),2,0),0),0),0)</f>
        <v>0</v>
      </c>
    </row>
    <row r="70" ht="18.0" customHeight="1">
      <c r="B70" s="12" t="s">
        <v>95</v>
      </c>
      <c r="C70" s="34">
        <f>IFERROR(IF(AND(ISNUMBER('Real results'!C69),ISNUMBER('Real results'!D69),ISNUMBER('Raw data'!C67),ISNUMBER('Raw data'!D67)),IF(SIGN('Raw data'!C67-'Raw data'!D67)=SIGN('Real results'!C69-'Real results'!D69),2+IF(AND('Raw data'!C67='Real results'!C69,'Raw data'!D67='Real results'!D69),2,0),0),0),0)</f>
        <v>2</v>
      </c>
      <c r="E70" s="34">
        <f>IFERROR(IF(AND(ISNUMBER('Real results'!C69),ISNUMBER('Real results'!D69),ISNUMBER('Raw data'!E68),ISNUMBER('Raw data'!F68)),IF(SIGN('Raw data'!E68-'Raw data'!F68)=SIGN('Real results'!C69-'Real results'!D69),2+IF(AND('Raw data'!E68='Real results'!C69,'Raw data'!F68='Real results'!D69),2,0),0),0),0)</f>
        <v>0</v>
      </c>
      <c r="G70" s="34">
        <f>IFERROR(IF(AND(ISNUMBER('Real results'!C69),ISNUMBER('Real results'!D69),ISNUMBER('Raw data'!G69),ISNUMBER('Raw data'!H69)),IF(SIGN('Raw data'!G69-'Raw data'!H69)=SIGN('Real results'!C69-'Real results'!D69),2+IF(AND('Raw data'!G69='Real results'!C69,'Raw data'!H69='Real results'!D69),2,0),0),0),0)</f>
        <v>2</v>
      </c>
      <c r="I70" s="34">
        <f>IFERROR(IF(AND(ISNUMBER('Real results'!C69),ISNUMBER('Real results'!D69),ISNUMBER('Raw data'!I69),ISNUMBER('Raw data'!J69)),IF(SIGN('Raw data'!I69-'Raw data'!J69)=SIGN('Real results'!C69-'Real results'!D69),2+IF(AND('Raw data'!I69='Real results'!C69,'Raw data'!J69='Real results'!D69),2,0),0),0),0)</f>
        <v>2</v>
      </c>
      <c r="K70" s="34">
        <f>IFERROR(IF(AND(ISNUMBER('Real results'!C69),ISNUMBER('Real results'!D69),ISNUMBER('Raw data'!K69),ISNUMBER('Raw data'!L69)),IF(SIGN('Raw data'!K69-'Raw data'!L69)=SIGN('Real results'!C69-'Real results'!D69),2+IF(AND('Raw data'!K69='Real results'!C69,'Raw data'!L69='Real results'!D69),2,0),0),0),0)</f>
        <v>2</v>
      </c>
      <c r="M70" s="34">
        <f>IFERROR(IF(AND(ISNUMBER('Real results'!C69),ISNUMBER('Real results'!D69),ISNUMBER('Raw data'!M69),ISNUMBER('Raw data'!N69)),IF(SIGN('Raw data'!M69-'Raw data'!N69)=SIGN('Real results'!C69-'Real results'!D69),2+IF(AND('Raw data'!M69='Real results'!C69,'Raw data'!N69='Real results'!D69),2,0),0),0),0)</f>
        <v>0</v>
      </c>
      <c r="O70" s="34">
        <f>IFERROR(IF(AND(ISNUMBER('Real results'!C69),ISNUMBER('Real results'!D69),ISNUMBER('Raw data'!O69),ISNUMBER('Raw data'!P69)),IF(SIGN('Raw data'!O69-'Raw data'!P69)=SIGN('Real results'!C69-'Real results'!D69),2+IF(AND('Raw data'!O69='Real results'!C69,'Raw data'!P69='Real results'!D69),2,0),0),0),0)</f>
        <v>0</v>
      </c>
      <c r="Q70" s="34">
        <f>IFERROR(IF(AND(ISNUMBER('Real results'!C69),ISNUMBER('Real results'!D69),ISNUMBER('Raw data'!Q69),ISNUMBER('Raw data'!R69)),IF(SIGN('Raw data'!Q69-'Raw data'!R69)=SIGN('Real results'!C69-'Real results'!D69),2+IF(AND('Raw data'!Q69='Real results'!C69,'Raw data'!R69='Real results'!D69),2,0),0),0),0)</f>
        <v>0</v>
      </c>
      <c r="S70" s="34">
        <f>IFERROR(IF(AND(ISNUMBER('Real results'!C69),ISNUMBER('Real results'!D69),ISNUMBER('Raw data'!S69),ISNUMBER('Raw data'!T69)),IF(SIGN('Raw data'!S69-'Raw data'!T69)=SIGN('Real results'!C69-'Real results'!D69),2+IF(AND('Raw data'!S69='Real results'!C69,'Raw data'!T69='Real results'!D69),2,0),0),0),0)</f>
        <v>0</v>
      </c>
      <c r="U70" s="34">
        <f>IFERROR(IF(AND(ISNUMBER('Real results'!C69),ISNUMBER('Real results'!D69),ISNUMBER('Raw data'!U69),ISNUMBER('Raw data'!V69)),IF(SIGN('Raw data'!U69-'Raw data'!V69)=SIGN('Real results'!C69-'Real results'!D69),2+IF(AND('Raw data'!U69='Real results'!C69,'Raw data'!V69='Real results'!D69),2,0),0),0),0)</f>
        <v>0</v>
      </c>
      <c r="W70" s="34">
        <f>IFERROR(IF(AND(ISNUMBER('Real results'!C69),ISNUMBER('Real results'!D69),ISNUMBER('Raw data'!W69),ISNUMBER('Raw data'!X69)),IF(SIGN('Raw data'!W69-'Raw data'!X69)=SIGN('Real results'!C69-'Real results'!D69),2+IF(AND('Raw data'!W69='Real results'!C69,'Raw data'!X69='Real results'!D69),2,0),0),0),0)</f>
        <v>0</v>
      </c>
      <c r="Y70" s="34">
        <f>IFERROR(IF(AND(ISNUMBER('Real results'!C69),ISNUMBER('Real results'!D69),ISNUMBER('Raw data'!Y69),ISNUMBER('Raw data'!Z69)),IF(SIGN('Raw data'!Y69-'Raw data'!Z69)=SIGN('Real results'!C69-'Real results'!D69),2+IF(AND('Raw data'!Y69='Real results'!C69,'Raw data'!Z69='Real results'!D69),2,0),0),0),0)</f>
        <v>0</v>
      </c>
      <c r="AA70" s="34">
        <f>IFERROR(IF(AND(ISNUMBER('Real results'!C69),ISNUMBER('Real results'!D69),ISNUMBER('Raw data'!AA69),ISNUMBER('Raw data'!AB69)),IF(SIGN('Raw data'!AA69-'Raw data'!AB69)=SIGN('Real results'!C69-'Real results'!D69),2+IF(AND('Raw data'!AA69='Real results'!C69,'Raw data'!AB69='Real results'!D69),2,0),0),0),0)</f>
        <v>0</v>
      </c>
      <c r="AC70" s="34">
        <f>IFERROR(IF(AND(ISNUMBER('Real results'!C69),ISNUMBER('Real results'!D69),ISNUMBER('Raw data'!AC69),ISNUMBER('Raw data'!AD69)),IF(SIGN('Raw data'!AC69-'Raw data'!AD69)=SIGN('Real results'!C69-'Real results'!D69),2+IF(AND('Raw data'!AC69='Real results'!C69,'Raw data'!AD69='Real results'!D69),2,0),0),0),0)</f>
        <v>0</v>
      </c>
      <c r="AE70" s="34">
        <f>IFERROR(IF(AND(ISNUMBER('Real results'!C69),ISNUMBER('Real results'!D69),ISNUMBER('Raw data'!AE69),ISNUMBER('Raw data'!AF69)),IF(SIGN('Raw data'!AE69-'Raw data'!AF69)=SIGN('Real results'!C69-'Real results'!D69),2+IF(AND('Raw data'!AE69='Real results'!C69,'Raw data'!AF69='Real results'!D69),2,0),0),0),0)</f>
        <v>0</v>
      </c>
      <c r="AG70" s="34">
        <f>IFERROR(IF(AND(ISNUMBER('Real results'!C69),ISNUMBER('Real results'!D69),ISNUMBER('Raw data'!AG69),ISNUMBER('Raw data'!AH69)),IF(SIGN('Raw data'!AG69-'Raw data'!AH69)=SIGN('Real results'!C69-'Real results'!D69),2+IF(AND('Raw data'!AG69='Real results'!C69,'Raw data'!AH69='Real results'!D69),2,0),0),0),0)</f>
        <v>0</v>
      </c>
      <c r="AI70" s="34">
        <f>IFERROR(IF(AND(ISNUMBER('Real results'!C69),ISNUMBER('Real results'!D69),ISNUMBER('Raw data'!AI69),ISNUMBER('Raw data'!AJ69)),IF(SIGN('Raw data'!AI69-'Raw data'!AJ69)=SIGN('Real results'!C69-'Real results'!D69),2+IF(AND('Raw data'!AI69='Real results'!C69,'Raw data'!AJ69='Real results'!D69),2,0),0),0),0)</f>
        <v>0</v>
      </c>
      <c r="AK70" s="34">
        <f>IFERROR(IF(AND(ISNUMBER('Real results'!C69),ISNUMBER('Real results'!D69),ISNUMBER('Raw data'!AK69),ISNUMBER('Raw data'!AL69)),IF(SIGN('Raw data'!AK69-'Raw data'!AL69)=SIGN('Real results'!C69-'Real results'!D69),2+IF(AND('Raw data'!AK69='Real results'!C69,'Raw data'!AL69='Real results'!D69),2,0),0),0),0)</f>
        <v>0</v>
      </c>
      <c r="AM70" s="34">
        <f>IFERROR(IF(AND(ISNUMBER('Real results'!C69),ISNUMBER('Real results'!D69),ISNUMBER('Raw data'!AM69),ISNUMBER('Raw data'!AN69)),IF(SIGN('Raw data'!AM69-'Raw data'!AN69)=SIGN('Real results'!C69-'Real results'!D69),2+IF(AND('Raw data'!AM69='Real results'!C69,'Raw data'!AN69='Real results'!D69),2,0),0),0),0)</f>
        <v>0</v>
      </c>
      <c r="AO70" s="34">
        <f>IFERROR(IF(AND(ISNUMBER('Real results'!C69),ISNUMBER('Real results'!D69),ISNUMBER('Raw data'!AO69),ISNUMBER('Raw data'!AP69)),IF(SIGN('Raw data'!AO69-'Raw data'!AP69)=SIGN('Real results'!C69-'Real results'!D69),2+IF(AND('Raw data'!AO69='Real results'!C69,'Raw data'!AP69='Real results'!D69),2,0),0),0),0)</f>
        <v>0</v>
      </c>
      <c r="AQ70" s="34">
        <f>IFERROR(IF(AND(ISNUMBER('Real results'!C69),ISNUMBER('Real results'!D69),ISNUMBER('Raw data'!AQ69),ISNUMBER('Raw data'!AR69)),IF(SIGN('Raw data'!AQ69-'Raw data'!AR69)=SIGN('Real results'!C69-'Real results'!D69),2+IF(AND('Raw data'!AQ69='Real results'!C69,'Raw data'!AR69='Real results'!D69),2,0),0),0),0)</f>
        <v>0</v>
      </c>
      <c r="AS70" s="34">
        <f>IFERROR(IF(AND(ISNUMBER('Real results'!C69),ISNUMBER('Real results'!D69),ISNUMBER('Raw data'!AS69),ISNUMBER('Raw data'!AT69)),IF(SIGN('Raw data'!AS69-'Raw data'!AT69)=SIGN('Real results'!C69-'Real results'!D69),2+IF(AND('Raw data'!AS69='Real results'!C69,'Raw data'!AT69='Real results'!D69),2,0),0),0),0)</f>
        <v>0</v>
      </c>
      <c r="AU70" s="34">
        <f>IFERROR(IF(AND(ISNUMBER('Real results'!C69),ISNUMBER('Real results'!D69),ISNUMBER('Raw data'!AU69),ISNUMBER('Raw data'!AV69)),IF(SIGN('Raw data'!AU69-'Raw data'!AV69)=SIGN('Real results'!C69-'Real results'!D69),2+IF(AND('Raw data'!AU69='Real results'!C69,'Raw data'!AV69='Real results'!D69),2,0),0),0),0)</f>
        <v>0</v>
      </c>
      <c r="AW70" s="34">
        <f>IFERROR(IF(AND(ISNUMBER('Real results'!C69),ISNUMBER('Real results'!D69),ISNUMBER('Raw data'!AW69),ISNUMBER('Raw data'!AX69)),IF(SIGN('Raw data'!AW69-'Raw data'!AX69)=SIGN('Real results'!C69-'Real results'!D69),2+IF(AND('Raw data'!AW69='Real results'!C69,'Raw data'!AX69='Real results'!D69),2,0),0),0),0)</f>
        <v>0</v>
      </c>
      <c r="AY70" s="34">
        <f>IFERROR(IF(AND(ISNUMBER('Real results'!C69),ISNUMBER('Real results'!D69),ISNUMBER('Raw data'!AY69),ISNUMBER('Raw data'!AZ69)),IF(SIGN('Raw data'!AY69-'Raw data'!AZ69)=SIGN('Real results'!C69-'Real results'!D69),2+IF(AND('Raw data'!AY69='Real results'!C69,'Raw data'!AZ69='Real results'!D69),2,0),0),0),0)</f>
        <v>0</v>
      </c>
      <c r="BA70" s="34">
        <f>IFERROR(IF(AND(ISNUMBER('Real results'!C69),ISNUMBER('Real results'!D69),ISNUMBER('Raw data'!BA69),ISNUMBER('Raw data'!BB69)),IF(SIGN('Raw data'!BA69-'Raw data'!BB69)=SIGN('Real results'!C69-'Real results'!D69),2+IF(AND('Raw data'!BA69='Real results'!C69,'Raw data'!BB69='Real results'!D69),2,0),0),0),0)</f>
        <v>0</v>
      </c>
      <c r="BC70" s="34">
        <f>IFERROR(IF(AND(ISNUMBER('Real results'!C69),ISNUMBER('Real results'!D69),ISNUMBER('Raw data'!BC69),ISNUMBER('Raw data'!BD69)),IF(SIGN('Raw data'!BC69-'Raw data'!BD69)=SIGN('Real results'!C69-'Real results'!D69),2+IF(AND('Raw data'!BC69='Real results'!C69,'Raw data'!BD69='Real results'!D69),2,0),0),0),0)</f>
        <v>0</v>
      </c>
      <c r="BE70" s="34">
        <f>IFERROR(IF(AND(ISNUMBER('Real results'!C69),ISNUMBER('Real results'!D69),ISNUMBER('Raw data'!BE69),ISNUMBER('Raw data'!BF69)),IF(SIGN('Raw data'!BE69-'Raw data'!BF69)=SIGN('Real results'!C69-'Real results'!D69),2+IF(AND('Raw data'!BE69='Real results'!C69,'Raw data'!BF69='Real results'!D69),2,0),0),0),0)</f>
        <v>0</v>
      </c>
      <c r="BG70" s="34">
        <f>IFERROR(IF(AND(ISNUMBER('Real results'!C69),ISNUMBER('Real results'!D69),ISNUMBER('Raw data'!BG69),ISNUMBER('Raw data'!BH69)),IF(SIGN('Raw data'!BG69-'Raw data'!BH69)=SIGN('Real results'!C69-'Real results'!D69),2+IF(AND('Raw data'!BG69='Real results'!C69,'Raw data'!BH69='Real results'!D69),2,0),0),0),0)</f>
        <v>0</v>
      </c>
      <c r="BI70" s="34">
        <f>IFERROR(IF(AND(ISNUMBER('Real results'!C69),ISNUMBER('Real results'!D69),ISNUMBER('Raw data'!BI69),ISNUMBER('Raw data'!BJ69)),IF(SIGN('Raw data'!BI69-'Raw data'!BJ69)=SIGN('Real results'!C69-'Real results'!D69),2+IF(AND('Raw data'!BI69='Real results'!C69,'Raw data'!BJ69='Real results'!D69),2,0),0),0),0)</f>
        <v>0</v>
      </c>
    </row>
    <row r="71" ht="18.0" customHeight="1">
      <c r="B71" s="12" t="s">
        <v>96</v>
      </c>
      <c r="C71" s="34">
        <f>IFERROR(IF(AND(ISNUMBER('Real results'!C70),ISNUMBER('Real results'!D70),ISNUMBER('Raw data'!C68),ISNUMBER('Raw data'!D68)),IF(SIGN('Raw data'!C68-'Raw data'!D68)=SIGN('Real results'!C70-'Real results'!D70),2+IF(AND('Raw data'!C68='Real results'!C70,'Raw data'!D68='Real results'!D70),2,0),0),0),0)</f>
        <v>0</v>
      </c>
      <c r="E71" s="34">
        <f>IFERROR(IF(AND(ISNUMBER('Real results'!C70),ISNUMBER('Real results'!D70),ISNUMBER('Raw data'!E69),ISNUMBER('Raw data'!F69)),IF(SIGN('Raw data'!E69-'Raw data'!F69)=SIGN('Real results'!C70-'Real results'!D70),2+IF(AND('Raw data'!E69='Real results'!C70,'Raw data'!F69='Real results'!D70),2,0),0),0),0)</f>
        <v>2</v>
      </c>
      <c r="G71" s="34">
        <f>IFERROR(IF(AND(ISNUMBER('Real results'!C70),ISNUMBER('Real results'!D70),ISNUMBER('Raw data'!G70),ISNUMBER('Raw data'!H70)),IF(SIGN('Raw data'!G70-'Raw data'!H70)=SIGN('Real results'!C70-'Real results'!D70),2+IF(AND('Raw data'!G70='Real results'!C70,'Raw data'!H70='Real results'!D70),2,0),0),0),0)</f>
        <v>2</v>
      </c>
      <c r="I71" s="34">
        <f>IFERROR(IF(AND(ISNUMBER('Real results'!C70),ISNUMBER('Real results'!D70),ISNUMBER('Raw data'!I70),ISNUMBER('Raw data'!J70)),IF(SIGN('Raw data'!I70-'Raw data'!J70)=SIGN('Real results'!C70-'Real results'!D70),2+IF(AND('Raw data'!I70='Real results'!C70,'Raw data'!J70='Real results'!D70),2,0),0),0),0)</f>
        <v>2</v>
      </c>
      <c r="K71" s="34">
        <f>IFERROR(IF(AND(ISNUMBER('Real results'!C70),ISNUMBER('Real results'!D70),ISNUMBER('Raw data'!K70),ISNUMBER('Raw data'!L70)),IF(SIGN('Raw data'!K70-'Raw data'!L70)=SIGN('Real results'!C70-'Real results'!D70),2+IF(AND('Raw data'!K70='Real results'!C70,'Raw data'!L70='Real results'!D70),2,0),0),0),0)</f>
        <v>2</v>
      </c>
      <c r="M71" s="34">
        <f>IFERROR(IF(AND(ISNUMBER('Real results'!C70),ISNUMBER('Real results'!D70),ISNUMBER('Raw data'!M70),ISNUMBER('Raw data'!N70)),IF(SIGN('Raw data'!M70-'Raw data'!N70)=SIGN('Real results'!C70-'Real results'!D70),2+IF(AND('Raw data'!M70='Real results'!C70,'Raw data'!N70='Real results'!D70),2,0),0),0),0)</f>
        <v>0</v>
      </c>
      <c r="O71" s="34">
        <f>IFERROR(IF(AND(ISNUMBER('Real results'!C70),ISNUMBER('Real results'!D70),ISNUMBER('Raw data'!O70),ISNUMBER('Raw data'!P70)),IF(SIGN('Raw data'!O70-'Raw data'!P70)=SIGN('Real results'!C70-'Real results'!D70),2+IF(AND('Raw data'!O70='Real results'!C70,'Raw data'!P70='Real results'!D70),2,0),0),0),0)</f>
        <v>0</v>
      </c>
      <c r="Q71" s="34">
        <f>IFERROR(IF(AND(ISNUMBER('Real results'!C70),ISNUMBER('Real results'!D70),ISNUMBER('Raw data'!Q70),ISNUMBER('Raw data'!R70)),IF(SIGN('Raw data'!Q70-'Raw data'!R70)=SIGN('Real results'!C70-'Real results'!D70),2+IF(AND('Raw data'!Q70='Real results'!C70,'Raw data'!R70='Real results'!D70),2,0),0),0),0)</f>
        <v>0</v>
      </c>
      <c r="S71" s="34">
        <f>IFERROR(IF(AND(ISNUMBER('Real results'!C70),ISNUMBER('Real results'!D70),ISNUMBER('Raw data'!S70),ISNUMBER('Raw data'!T70)),IF(SIGN('Raw data'!S70-'Raw data'!T70)=SIGN('Real results'!C70-'Real results'!D70),2+IF(AND('Raw data'!S70='Real results'!C70,'Raw data'!T70='Real results'!D70),2,0),0),0),0)</f>
        <v>0</v>
      </c>
      <c r="U71" s="34">
        <f>IFERROR(IF(AND(ISNUMBER('Real results'!C70),ISNUMBER('Real results'!D70),ISNUMBER('Raw data'!U70),ISNUMBER('Raw data'!V70)),IF(SIGN('Raw data'!U70-'Raw data'!V70)=SIGN('Real results'!C70-'Real results'!D70),2+IF(AND('Raw data'!U70='Real results'!C70,'Raw data'!V70='Real results'!D70),2,0),0),0),0)</f>
        <v>0</v>
      </c>
      <c r="W71" s="34">
        <f>IFERROR(IF(AND(ISNUMBER('Real results'!C70),ISNUMBER('Real results'!D70),ISNUMBER('Raw data'!W70),ISNUMBER('Raw data'!X70)),IF(SIGN('Raw data'!W70-'Raw data'!X70)=SIGN('Real results'!C70-'Real results'!D70),2+IF(AND('Raw data'!W70='Real results'!C70,'Raw data'!X70='Real results'!D70),2,0),0),0),0)</f>
        <v>0</v>
      </c>
      <c r="Y71" s="34">
        <f>IFERROR(IF(AND(ISNUMBER('Real results'!C70),ISNUMBER('Real results'!D70),ISNUMBER('Raw data'!Y70),ISNUMBER('Raw data'!Z70)),IF(SIGN('Raw data'!Y70-'Raw data'!Z70)=SIGN('Real results'!C70-'Real results'!D70),2+IF(AND('Raw data'!Y70='Real results'!C70,'Raw data'!Z70='Real results'!D70),2,0),0),0),0)</f>
        <v>0</v>
      </c>
      <c r="AA71" s="34">
        <f>IFERROR(IF(AND(ISNUMBER('Real results'!C70),ISNUMBER('Real results'!D70),ISNUMBER('Raw data'!AA70),ISNUMBER('Raw data'!AB70)),IF(SIGN('Raw data'!AA70-'Raw data'!AB70)=SIGN('Real results'!C70-'Real results'!D70),2+IF(AND('Raw data'!AA70='Real results'!C70,'Raw data'!AB70='Real results'!D70),2,0),0),0),0)</f>
        <v>0</v>
      </c>
      <c r="AC71" s="34">
        <f>IFERROR(IF(AND(ISNUMBER('Real results'!C70),ISNUMBER('Real results'!D70),ISNUMBER('Raw data'!AC70),ISNUMBER('Raw data'!AD70)),IF(SIGN('Raw data'!AC70-'Raw data'!AD70)=SIGN('Real results'!C70-'Real results'!D70),2+IF(AND('Raw data'!AC70='Real results'!C70,'Raw data'!AD70='Real results'!D70),2,0),0),0),0)</f>
        <v>0</v>
      </c>
      <c r="AE71" s="34">
        <f>IFERROR(IF(AND(ISNUMBER('Real results'!C70),ISNUMBER('Real results'!D70),ISNUMBER('Raw data'!AE70),ISNUMBER('Raw data'!AF70)),IF(SIGN('Raw data'!AE70-'Raw data'!AF70)=SIGN('Real results'!C70-'Real results'!D70),2+IF(AND('Raw data'!AE70='Real results'!C70,'Raw data'!AF70='Real results'!D70),2,0),0),0),0)</f>
        <v>0</v>
      </c>
      <c r="AG71" s="34">
        <f>IFERROR(IF(AND(ISNUMBER('Real results'!C70),ISNUMBER('Real results'!D70),ISNUMBER('Raw data'!AG70),ISNUMBER('Raw data'!AH70)),IF(SIGN('Raw data'!AG70-'Raw data'!AH70)=SIGN('Real results'!C70-'Real results'!D70),2+IF(AND('Raw data'!AG70='Real results'!C70,'Raw data'!AH70='Real results'!D70),2,0),0),0),0)</f>
        <v>0</v>
      </c>
      <c r="AI71" s="34">
        <f>IFERROR(IF(AND(ISNUMBER('Real results'!C70),ISNUMBER('Real results'!D70),ISNUMBER('Raw data'!AI70),ISNUMBER('Raw data'!AJ70)),IF(SIGN('Raw data'!AI70-'Raw data'!AJ70)=SIGN('Real results'!C70-'Real results'!D70),2+IF(AND('Raw data'!AI70='Real results'!C70,'Raw data'!AJ70='Real results'!D70),2,0),0),0),0)</f>
        <v>0</v>
      </c>
      <c r="AK71" s="34">
        <f>IFERROR(IF(AND(ISNUMBER('Real results'!C70),ISNUMBER('Real results'!D70),ISNUMBER('Raw data'!AK70),ISNUMBER('Raw data'!AL70)),IF(SIGN('Raw data'!AK70-'Raw data'!AL70)=SIGN('Real results'!C70-'Real results'!D70),2+IF(AND('Raw data'!AK70='Real results'!C70,'Raw data'!AL70='Real results'!D70),2,0),0),0),0)</f>
        <v>0</v>
      </c>
      <c r="AM71" s="34">
        <f>IFERROR(IF(AND(ISNUMBER('Real results'!C70),ISNUMBER('Real results'!D70),ISNUMBER('Raw data'!AM70),ISNUMBER('Raw data'!AN70)),IF(SIGN('Raw data'!AM70-'Raw data'!AN70)=SIGN('Real results'!C70-'Real results'!D70),2+IF(AND('Raw data'!AM70='Real results'!C70,'Raw data'!AN70='Real results'!D70),2,0),0),0),0)</f>
        <v>0</v>
      </c>
      <c r="AO71" s="34">
        <f>IFERROR(IF(AND(ISNUMBER('Real results'!C70),ISNUMBER('Real results'!D70),ISNUMBER('Raw data'!AO70),ISNUMBER('Raw data'!AP70)),IF(SIGN('Raw data'!AO70-'Raw data'!AP70)=SIGN('Real results'!C70-'Real results'!D70),2+IF(AND('Raw data'!AO70='Real results'!C70,'Raw data'!AP70='Real results'!D70),2,0),0),0),0)</f>
        <v>0</v>
      </c>
      <c r="AQ71" s="34">
        <f>IFERROR(IF(AND(ISNUMBER('Real results'!C70),ISNUMBER('Real results'!D70),ISNUMBER('Raw data'!AQ70),ISNUMBER('Raw data'!AR70)),IF(SIGN('Raw data'!AQ70-'Raw data'!AR70)=SIGN('Real results'!C70-'Real results'!D70),2+IF(AND('Raw data'!AQ70='Real results'!C70,'Raw data'!AR70='Real results'!D70),2,0),0),0),0)</f>
        <v>0</v>
      </c>
      <c r="AS71" s="34">
        <f>IFERROR(IF(AND(ISNUMBER('Real results'!C70),ISNUMBER('Real results'!D70),ISNUMBER('Raw data'!AS70),ISNUMBER('Raw data'!AT70)),IF(SIGN('Raw data'!AS70-'Raw data'!AT70)=SIGN('Real results'!C70-'Real results'!D70),2+IF(AND('Raw data'!AS70='Real results'!C70,'Raw data'!AT70='Real results'!D70),2,0),0),0),0)</f>
        <v>0</v>
      </c>
      <c r="AU71" s="34">
        <f>IFERROR(IF(AND(ISNUMBER('Real results'!C70),ISNUMBER('Real results'!D70),ISNUMBER('Raw data'!AU70),ISNUMBER('Raw data'!AV70)),IF(SIGN('Raw data'!AU70-'Raw data'!AV70)=SIGN('Real results'!C70-'Real results'!D70),2+IF(AND('Raw data'!AU70='Real results'!C70,'Raw data'!AV70='Real results'!D70),2,0),0),0),0)</f>
        <v>0</v>
      </c>
      <c r="AW71" s="34">
        <f>IFERROR(IF(AND(ISNUMBER('Real results'!C70),ISNUMBER('Real results'!D70),ISNUMBER('Raw data'!AW70),ISNUMBER('Raw data'!AX70)),IF(SIGN('Raw data'!AW70-'Raw data'!AX70)=SIGN('Real results'!C70-'Real results'!D70),2+IF(AND('Raw data'!AW70='Real results'!C70,'Raw data'!AX70='Real results'!D70),2,0),0),0),0)</f>
        <v>0</v>
      </c>
      <c r="AY71" s="34">
        <f>IFERROR(IF(AND(ISNUMBER('Real results'!C70),ISNUMBER('Real results'!D70),ISNUMBER('Raw data'!AY70),ISNUMBER('Raw data'!AZ70)),IF(SIGN('Raw data'!AY70-'Raw data'!AZ70)=SIGN('Real results'!C70-'Real results'!D70),2+IF(AND('Raw data'!AY70='Real results'!C70,'Raw data'!AZ70='Real results'!D70),2,0),0),0),0)</f>
        <v>0</v>
      </c>
      <c r="BA71" s="34">
        <f>IFERROR(IF(AND(ISNUMBER('Real results'!C70),ISNUMBER('Real results'!D70),ISNUMBER('Raw data'!BA70),ISNUMBER('Raw data'!BB70)),IF(SIGN('Raw data'!BA70-'Raw data'!BB70)=SIGN('Real results'!C70-'Real results'!D70),2+IF(AND('Raw data'!BA70='Real results'!C70,'Raw data'!BB70='Real results'!D70),2,0),0),0),0)</f>
        <v>0</v>
      </c>
      <c r="BC71" s="34">
        <f>IFERROR(IF(AND(ISNUMBER('Real results'!C70),ISNUMBER('Real results'!D70),ISNUMBER('Raw data'!BC70),ISNUMBER('Raw data'!BD70)),IF(SIGN('Raw data'!BC70-'Raw data'!BD70)=SIGN('Real results'!C70-'Real results'!D70),2+IF(AND('Raw data'!BC70='Real results'!C70,'Raw data'!BD70='Real results'!D70),2,0),0),0),0)</f>
        <v>0</v>
      </c>
      <c r="BE71" s="34">
        <f>IFERROR(IF(AND(ISNUMBER('Real results'!C70),ISNUMBER('Real results'!D70),ISNUMBER('Raw data'!BE70),ISNUMBER('Raw data'!BF70)),IF(SIGN('Raw data'!BE70-'Raw data'!BF70)=SIGN('Real results'!C70-'Real results'!D70),2+IF(AND('Raw data'!BE70='Real results'!C70,'Raw data'!BF70='Real results'!D70),2,0),0),0),0)</f>
        <v>0</v>
      </c>
      <c r="BG71" s="34">
        <f>IFERROR(IF(AND(ISNUMBER('Real results'!C70),ISNUMBER('Real results'!D70),ISNUMBER('Raw data'!BG70),ISNUMBER('Raw data'!BH70)),IF(SIGN('Raw data'!BG70-'Raw data'!BH70)=SIGN('Real results'!C70-'Real results'!D70),2+IF(AND('Raw data'!BG70='Real results'!C70,'Raw data'!BH70='Real results'!D70),2,0),0),0),0)</f>
        <v>0</v>
      </c>
      <c r="BI71" s="34">
        <f>IFERROR(IF(AND(ISNUMBER('Real results'!C70),ISNUMBER('Real results'!D70),ISNUMBER('Raw data'!BI70),ISNUMBER('Raw data'!BJ70)),IF(SIGN('Raw data'!BI70-'Raw data'!BJ70)=SIGN('Real results'!C70-'Real results'!D70),2+IF(AND('Raw data'!BI70='Real results'!C70,'Raw data'!BJ70='Real results'!D70),2,0),0),0),0)</f>
        <v>0</v>
      </c>
    </row>
    <row r="72" ht="18.0" customHeight="1">
      <c r="B72" s="12" t="s">
        <v>97</v>
      </c>
      <c r="C72" s="34">
        <f>IFERROR(IF(AND(ISNUMBER('Real results'!C71),ISNUMBER('Real results'!D71),ISNUMBER('Raw data'!C69),ISNUMBER('Raw data'!D69)),IF(SIGN('Raw data'!C69-'Raw data'!D69)=SIGN('Real results'!C71-'Real results'!D71),2+IF(AND('Raw data'!C69='Real results'!C71,'Raw data'!D69='Real results'!D71),2,0),0),0),0)</f>
        <v>0</v>
      </c>
      <c r="E72" s="34">
        <f>IFERROR(IF(AND(ISNUMBER('Real results'!C71),ISNUMBER('Real results'!D71),ISNUMBER('Raw data'!E70),ISNUMBER('Raw data'!F70)),IF(SIGN('Raw data'!E70-'Raw data'!F70)=SIGN('Real results'!C71-'Real results'!D71),2+IF(AND('Raw data'!E70='Real results'!C71,'Raw data'!F70='Real results'!D71),2,0),0),0),0)</f>
        <v>0</v>
      </c>
      <c r="G72" s="34">
        <f>IFERROR(IF(AND(ISNUMBER('Real results'!C71),ISNUMBER('Real results'!D71),ISNUMBER('Raw data'!G71),ISNUMBER('Raw data'!H71)),IF(SIGN('Raw data'!G71-'Raw data'!H71)=SIGN('Real results'!C71-'Real results'!D71),2+IF(AND('Raw data'!G71='Real results'!C71,'Raw data'!H71='Real results'!D71),2,0),0),0),0)</f>
        <v>2</v>
      </c>
      <c r="I72" s="34">
        <f>IFERROR(IF(AND(ISNUMBER('Real results'!C71),ISNUMBER('Real results'!D71),ISNUMBER('Raw data'!I71),ISNUMBER('Raw data'!J71)),IF(SIGN('Raw data'!I71-'Raw data'!J71)=SIGN('Real results'!C71-'Real results'!D71),2+IF(AND('Raw data'!I71='Real results'!C71,'Raw data'!J71='Real results'!D71),2,0),0),0),0)</f>
        <v>0</v>
      </c>
      <c r="K72" s="34">
        <f>IFERROR(IF(AND(ISNUMBER('Real results'!C71),ISNUMBER('Real results'!D71),ISNUMBER('Raw data'!K71),ISNUMBER('Raw data'!L71)),IF(SIGN('Raw data'!K71-'Raw data'!L71)=SIGN('Real results'!C71-'Real results'!D71),2+IF(AND('Raw data'!K71='Real results'!C71,'Raw data'!L71='Real results'!D71),2,0),0),0),0)</f>
        <v>0</v>
      </c>
      <c r="M72" s="34">
        <f>IFERROR(IF(AND(ISNUMBER('Real results'!C71),ISNUMBER('Real results'!D71),ISNUMBER('Raw data'!M71),ISNUMBER('Raw data'!N71)),IF(SIGN('Raw data'!M71-'Raw data'!N71)=SIGN('Real results'!C71-'Real results'!D71),2+IF(AND('Raw data'!M71='Real results'!C71,'Raw data'!N71='Real results'!D71),2,0),0),0),0)</f>
        <v>0</v>
      </c>
      <c r="O72" s="34">
        <f>IFERROR(IF(AND(ISNUMBER('Real results'!C71),ISNUMBER('Real results'!D71),ISNUMBER('Raw data'!O71),ISNUMBER('Raw data'!P71)),IF(SIGN('Raw data'!O71-'Raw data'!P71)=SIGN('Real results'!C71-'Real results'!D71),2+IF(AND('Raw data'!O71='Real results'!C71,'Raw data'!P71='Real results'!D71),2,0),0),0),0)</f>
        <v>0</v>
      </c>
      <c r="Q72" s="34">
        <f>IFERROR(IF(AND(ISNUMBER('Real results'!C71),ISNUMBER('Real results'!D71),ISNUMBER('Raw data'!Q71),ISNUMBER('Raw data'!R71)),IF(SIGN('Raw data'!Q71-'Raw data'!R71)=SIGN('Real results'!C71-'Real results'!D71),2+IF(AND('Raw data'!Q71='Real results'!C71,'Raw data'!R71='Real results'!D71),2,0),0),0),0)</f>
        <v>0</v>
      </c>
      <c r="S72" s="34">
        <f>IFERROR(IF(AND(ISNUMBER('Real results'!C71),ISNUMBER('Real results'!D71),ISNUMBER('Raw data'!S71),ISNUMBER('Raw data'!T71)),IF(SIGN('Raw data'!S71-'Raw data'!T71)=SIGN('Real results'!C71-'Real results'!D71),2+IF(AND('Raw data'!S71='Real results'!C71,'Raw data'!T71='Real results'!D71),2,0),0),0),0)</f>
        <v>0</v>
      </c>
      <c r="U72" s="34">
        <f>IFERROR(IF(AND(ISNUMBER('Real results'!C71),ISNUMBER('Real results'!D71),ISNUMBER('Raw data'!U71),ISNUMBER('Raw data'!V71)),IF(SIGN('Raw data'!U71-'Raw data'!V71)=SIGN('Real results'!C71-'Real results'!D71),2+IF(AND('Raw data'!U71='Real results'!C71,'Raw data'!V71='Real results'!D71),2,0),0),0),0)</f>
        <v>0</v>
      </c>
      <c r="W72" s="34">
        <f>IFERROR(IF(AND(ISNUMBER('Real results'!C71),ISNUMBER('Real results'!D71),ISNUMBER('Raw data'!W71),ISNUMBER('Raw data'!X71)),IF(SIGN('Raw data'!W71-'Raw data'!X71)=SIGN('Real results'!C71-'Real results'!D71),2+IF(AND('Raw data'!W71='Real results'!C71,'Raw data'!X71='Real results'!D71),2,0),0),0),0)</f>
        <v>0</v>
      </c>
      <c r="Y72" s="34">
        <f>IFERROR(IF(AND(ISNUMBER('Real results'!C71),ISNUMBER('Real results'!D71),ISNUMBER('Raw data'!Y71),ISNUMBER('Raw data'!Z71)),IF(SIGN('Raw data'!Y71-'Raw data'!Z71)=SIGN('Real results'!C71-'Real results'!D71),2+IF(AND('Raw data'!Y71='Real results'!C71,'Raw data'!Z71='Real results'!D71),2,0),0),0),0)</f>
        <v>0</v>
      </c>
      <c r="AA72" s="34">
        <f>IFERROR(IF(AND(ISNUMBER('Real results'!C71),ISNUMBER('Real results'!D71),ISNUMBER('Raw data'!AA71),ISNUMBER('Raw data'!AB71)),IF(SIGN('Raw data'!AA71-'Raw data'!AB71)=SIGN('Real results'!C71-'Real results'!D71),2+IF(AND('Raw data'!AA71='Real results'!C71,'Raw data'!AB71='Real results'!D71),2,0),0),0),0)</f>
        <v>0</v>
      </c>
      <c r="AC72" s="34">
        <f>IFERROR(IF(AND(ISNUMBER('Real results'!C71),ISNUMBER('Real results'!D71),ISNUMBER('Raw data'!AC71),ISNUMBER('Raw data'!AD71)),IF(SIGN('Raw data'!AC71-'Raw data'!AD71)=SIGN('Real results'!C71-'Real results'!D71),2+IF(AND('Raw data'!AC71='Real results'!C71,'Raw data'!AD71='Real results'!D71),2,0),0),0),0)</f>
        <v>0</v>
      </c>
      <c r="AE72" s="34">
        <f>IFERROR(IF(AND(ISNUMBER('Real results'!C71),ISNUMBER('Real results'!D71),ISNUMBER('Raw data'!AE71),ISNUMBER('Raw data'!AF71)),IF(SIGN('Raw data'!AE71-'Raw data'!AF71)=SIGN('Real results'!C71-'Real results'!D71),2+IF(AND('Raw data'!AE71='Real results'!C71,'Raw data'!AF71='Real results'!D71),2,0),0),0),0)</f>
        <v>0</v>
      </c>
      <c r="AG72" s="34">
        <f>IFERROR(IF(AND(ISNUMBER('Real results'!C71),ISNUMBER('Real results'!D71),ISNUMBER('Raw data'!AG71),ISNUMBER('Raw data'!AH71)),IF(SIGN('Raw data'!AG71-'Raw data'!AH71)=SIGN('Real results'!C71-'Real results'!D71),2+IF(AND('Raw data'!AG71='Real results'!C71,'Raw data'!AH71='Real results'!D71),2,0),0),0),0)</f>
        <v>0</v>
      </c>
      <c r="AI72" s="34">
        <f>IFERROR(IF(AND(ISNUMBER('Real results'!C71),ISNUMBER('Real results'!D71),ISNUMBER('Raw data'!AI71),ISNUMBER('Raw data'!AJ71)),IF(SIGN('Raw data'!AI71-'Raw data'!AJ71)=SIGN('Real results'!C71-'Real results'!D71),2+IF(AND('Raw data'!AI71='Real results'!C71,'Raw data'!AJ71='Real results'!D71),2,0),0),0),0)</f>
        <v>0</v>
      </c>
      <c r="AK72" s="34">
        <f>IFERROR(IF(AND(ISNUMBER('Real results'!C71),ISNUMBER('Real results'!D71),ISNUMBER('Raw data'!AK71),ISNUMBER('Raw data'!AL71)),IF(SIGN('Raw data'!AK71-'Raw data'!AL71)=SIGN('Real results'!C71-'Real results'!D71),2+IF(AND('Raw data'!AK71='Real results'!C71,'Raw data'!AL71='Real results'!D71),2,0),0),0),0)</f>
        <v>0</v>
      </c>
      <c r="AM72" s="34">
        <f>IFERROR(IF(AND(ISNUMBER('Real results'!C71),ISNUMBER('Real results'!D71),ISNUMBER('Raw data'!AM71),ISNUMBER('Raw data'!AN71)),IF(SIGN('Raw data'!AM71-'Raw data'!AN71)=SIGN('Real results'!C71-'Real results'!D71),2+IF(AND('Raw data'!AM71='Real results'!C71,'Raw data'!AN71='Real results'!D71),2,0),0),0),0)</f>
        <v>0</v>
      </c>
      <c r="AO72" s="34">
        <f>IFERROR(IF(AND(ISNUMBER('Real results'!C71),ISNUMBER('Real results'!D71),ISNUMBER('Raw data'!AO71),ISNUMBER('Raw data'!AP71)),IF(SIGN('Raw data'!AO71-'Raw data'!AP71)=SIGN('Real results'!C71-'Real results'!D71),2+IF(AND('Raw data'!AO71='Real results'!C71,'Raw data'!AP71='Real results'!D71),2,0),0),0),0)</f>
        <v>0</v>
      </c>
      <c r="AQ72" s="34">
        <f>IFERROR(IF(AND(ISNUMBER('Real results'!C71),ISNUMBER('Real results'!D71),ISNUMBER('Raw data'!AQ71),ISNUMBER('Raw data'!AR71)),IF(SIGN('Raw data'!AQ71-'Raw data'!AR71)=SIGN('Real results'!C71-'Real results'!D71),2+IF(AND('Raw data'!AQ71='Real results'!C71,'Raw data'!AR71='Real results'!D71),2,0),0),0),0)</f>
        <v>0</v>
      </c>
      <c r="AS72" s="34">
        <f>IFERROR(IF(AND(ISNUMBER('Real results'!C71),ISNUMBER('Real results'!D71),ISNUMBER('Raw data'!AS71),ISNUMBER('Raw data'!AT71)),IF(SIGN('Raw data'!AS71-'Raw data'!AT71)=SIGN('Real results'!C71-'Real results'!D71),2+IF(AND('Raw data'!AS71='Real results'!C71,'Raw data'!AT71='Real results'!D71),2,0),0),0),0)</f>
        <v>0</v>
      </c>
      <c r="AU72" s="34">
        <f>IFERROR(IF(AND(ISNUMBER('Real results'!C71),ISNUMBER('Real results'!D71),ISNUMBER('Raw data'!AU71),ISNUMBER('Raw data'!AV71)),IF(SIGN('Raw data'!AU71-'Raw data'!AV71)=SIGN('Real results'!C71-'Real results'!D71),2+IF(AND('Raw data'!AU71='Real results'!C71,'Raw data'!AV71='Real results'!D71),2,0),0),0),0)</f>
        <v>0</v>
      </c>
      <c r="AW72" s="34">
        <f>IFERROR(IF(AND(ISNUMBER('Real results'!C71),ISNUMBER('Real results'!D71),ISNUMBER('Raw data'!AW71),ISNUMBER('Raw data'!AX71)),IF(SIGN('Raw data'!AW71-'Raw data'!AX71)=SIGN('Real results'!C71-'Real results'!D71),2+IF(AND('Raw data'!AW71='Real results'!C71,'Raw data'!AX71='Real results'!D71),2,0),0),0),0)</f>
        <v>0</v>
      </c>
      <c r="AY72" s="34">
        <f>IFERROR(IF(AND(ISNUMBER('Real results'!C71),ISNUMBER('Real results'!D71),ISNUMBER('Raw data'!AY71),ISNUMBER('Raw data'!AZ71)),IF(SIGN('Raw data'!AY71-'Raw data'!AZ71)=SIGN('Real results'!C71-'Real results'!D71),2+IF(AND('Raw data'!AY71='Real results'!C71,'Raw data'!AZ71='Real results'!D71),2,0),0),0),0)</f>
        <v>0</v>
      </c>
      <c r="BA72" s="34">
        <f>IFERROR(IF(AND(ISNUMBER('Real results'!C71),ISNUMBER('Real results'!D71),ISNUMBER('Raw data'!BA71),ISNUMBER('Raw data'!BB71)),IF(SIGN('Raw data'!BA71-'Raw data'!BB71)=SIGN('Real results'!C71-'Real results'!D71),2+IF(AND('Raw data'!BA71='Real results'!C71,'Raw data'!BB71='Real results'!D71),2,0),0),0),0)</f>
        <v>0</v>
      </c>
      <c r="BC72" s="34">
        <f>IFERROR(IF(AND(ISNUMBER('Real results'!C71),ISNUMBER('Real results'!D71),ISNUMBER('Raw data'!BC71),ISNUMBER('Raw data'!BD71)),IF(SIGN('Raw data'!BC71-'Raw data'!BD71)=SIGN('Real results'!C71-'Real results'!D71),2+IF(AND('Raw data'!BC71='Real results'!C71,'Raw data'!BD71='Real results'!D71),2,0),0),0),0)</f>
        <v>0</v>
      </c>
      <c r="BE72" s="34">
        <f>IFERROR(IF(AND(ISNUMBER('Real results'!C71),ISNUMBER('Real results'!D71),ISNUMBER('Raw data'!BE71),ISNUMBER('Raw data'!BF71)),IF(SIGN('Raw data'!BE71-'Raw data'!BF71)=SIGN('Real results'!C71-'Real results'!D71),2+IF(AND('Raw data'!BE71='Real results'!C71,'Raw data'!BF71='Real results'!D71),2,0),0),0),0)</f>
        <v>0</v>
      </c>
      <c r="BG72" s="34">
        <f>IFERROR(IF(AND(ISNUMBER('Real results'!C71),ISNUMBER('Real results'!D71),ISNUMBER('Raw data'!BG71),ISNUMBER('Raw data'!BH71)),IF(SIGN('Raw data'!BG71-'Raw data'!BH71)=SIGN('Real results'!C71-'Real results'!D71),2+IF(AND('Raw data'!BG71='Real results'!C71,'Raw data'!BH71='Real results'!D71),2,0),0),0),0)</f>
        <v>0</v>
      </c>
      <c r="BI72" s="34">
        <f>IFERROR(IF(AND(ISNUMBER('Real results'!C71),ISNUMBER('Real results'!D71),ISNUMBER('Raw data'!BI71),ISNUMBER('Raw data'!BJ71)),IF(SIGN('Raw data'!BI71-'Raw data'!BJ71)=SIGN('Real results'!C71-'Real results'!D71),2+IF(AND('Raw data'!BI71='Real results'!C71,'Raw data'!BJ71='Real results'!D71),2,0),0),0),0)</f>
        <v>0</v>
      </c>
    </row>
    <row r="73" ht="18.0" customHeight="1">
      <c r="B73" s="12" t="s">
        <v>98</v>
      </c>
      <c r="C73" s="34">
        <f>IFERROR(IF(AND(ISNUMBER('Real results'!C72),ISNUMBER('Real results'!D72),ISNUMBER('Raw data'!C70),ISNUMBER('Raw data'!D70)),IF(SIGN('Raw data'!C70-'Raw data'!D70)=SIGN('Real results'!C72-'Real results'!D72),2+IF(AND('Raw data'!C70='Real results'!C72,'Raw data'!D70='Real results'!D72),2,0),0),0),0)</f>
        <v>2</v>
      </c>
      <c r="E73" s="34">
        <f>IFERROR(IF(AND(ISNUMBER('Real results'!C72),ISNUMBER('Real results'!D72),ISNUMBER('Raw data'!E71),ISNUMBER('Raw data'!F71)),IF(SIGN('Raw data'!E71-'Raw data'!F71)=SIGN('Real results'!C72-'Real results'!D72),2+IF(AND('Raw data'!E71='Real results'!C72,'Raw data'!F71='Real results'!D72),2,0),0),0),0)</f>
        <v>0</v>
      </c>
      <c r="G73" s="34">
        <f>IFERROR(IF(AND(ISNUMBER('Real results'!C72),ISNUMBER('Real results'!D72),ISNUMBER('Raw data'!G72),ISNUMBER('Raw data'!H72)),IF(SIGN('Raw data'!G72-'Raw data'!H72)=SIGN('Real results'!C72-'Real results'!D72),2+IF(AND('Raw data'!G72='Real results'!C72,'Raw data'!H72='Real results'!D72),2,0),0),0),0)</f>
        <v>0</v>
      </c>
      <c r="I73" s="34">
        <f>IFERROR(IF(AND(ISNUMBER('Real results'!C72),ISNUMBER('Real results'!D72),ISNUMBER('Raw data'!I72),ISNUMBER('Raw data'!J72)),IF(SIGN('Raw data'!I72-'Raw data'!J72)=SIGN('Real results'!C72-'Real results'!D72),2+IF(AND('Raw data'!I72='Real results'!C72,'Raw data'!J72='Real results'!D72),2,0),0),0),0)</f>
        <v>0</v>
      </c>
      <c r="K73" s="34">
        <f>IFERROR(IF(AND(ISNUMBER('Real results'!C72),ISNUMBER('Real results'!D72),ISNUMBER('Raw data'!K72),ISNUMBER('Raw data'!L72)),IF(SIGN('Raw data'!K72-'Raw data'!L72)=SIGN('Real results'!C72-'Real results'!D72),2+IF(AND('Raw data'!K72='Real results'!C72,'Raw data'!L72='Real results'!D72),2,0),0),0),0)</f>
        <v>2</v>
      </c>
      <c r="M73" s="34">
        <f>IFERROR(IF(AND(ISNUMBER('Real results'!C72),ISNUMBER('Real results'!D72),ISNUMBER('Raw data'!M72),ISNUMBER('Raw data'!N72)),IF(SIGN('Raw data'!M72-'Raw data'!N72)=SIGN('Real results'!C72-'Real results'!D72),2+IF(AND('Raw data'!M72='Real results'!C72,'Raw data'!N72='Real results'!D72),2,0),0),0),0)</f>
        <v>0</v>
      </c>
      <c r="O73" s="34">
        <f>IFERROR(IF(AND(ISNUMBER('Real results'!C72),ISNUMBER('Real results'!D72),ISNUMBER('Raw data'!O72),ISNUMBER('Raw data'!P72)),IF(SIGN('Raw data'!O72-'Raw data'!P72)=SIGN('Real results'!C72-'Real results'!D72),2+IF(AND('Raw data'!O72='Real results'!C72,'Raw data'!P72='Real results'!D72),2,0),0),0),0)</f>
        <v>0</v>
      </c>
      <c r="Q73" s="34">
        <f>IFERROR(IF(AND(ISNUMBER('Real results'!C72),ISNUMBER('Real results'!D72),ISNUMBER('Raw data'!Q72),ISNUMBER('Raw data'!R72)),IF(SIGN('Raw data'!Q72-'Raw data'!R72)=SIGN('Real results'!C72-'Real results'!D72),2+IF(AND('Raw data'!Q72='Real results'!C72,'Raw data'!R72='Real results'!D72),2,0),0),0),0)</f>
        <v>0</v>
      </c>
      <c r="S73" s="34">
        <f>IFERROR(IF(AND(ISNUMBER('Real results'!C72),ISNUMBER('Real results'!D72),ISNUMBER('Raw data'!S72),ISNUMBER('Raw data'!T72)),IF(SIGN('Raw data'!S72-'Raw data'!T72)=SIGN('Real results'!C72-'Real results'!D72),2+IF(AND('Raw data'!S72='Real results'!C72,'Raw data'!T72='Real results'!D72),2,0),0),0),0)</f>
        <v>0</v>
      </c>
      <c r="U73" s="34">
        <f>IFERROR(IF(AND(ISNUMBER('Real results'!C72),ISNUMBER('Real results'!D72),ISNUMBER('Raw data'!U72),ISNUMBER('Raw data'!V72)),IF(SIGN('Raw data'!U72-'Raw data'!V72)=SIGN('Real results'!C72-'Real results'!D72),2+IF(AND('Raw data'!U72='Real results'!C72,'Raw data'!V72='Real results'!D72),2,0),0),0),0)</f>
        <v>0</v>
      </c>
      <c r="W73" s="34">
        <f>IFERROR(IF(AND(ISNUMBER('Real results'!C72),ISNUMBER('Real results'!D72),ISNUMBER('Raw data'!W72),ISNUMBER('Raw data'!X72)),IF(SIGN('Raw data'!W72-'Raw data'!X72)=SIGN('Real results'!C72-'Real results'!D72),2+IF(AND('Raw data'!W72='Real results'!C72,'Raw data'!X72='Real results'!D72),2,0),0),0),0)</f>
        <v>0</v>
      </c>
      <c r="Y73" s="34">
        <f>IFERROR(IF(AND(ISNUMBER('Real results'!C72),ISNUMBER('Real results'!D72),ISNUMBER('Raw data'!Y72),ISNUMBER('Raw data'!Z72)),IF(SIGN('Raw data'!Y72-'Raw data'!Z72)=SIGN('Real results'!C72-'Real results'!D72),2+IF(AND('Raw data'!Y72='Real results'!C72,'Raw data'!Z72='Real results'!D72),2,0),0),0),0)</f>
        <v>0</v>
      </c>
      <c r="AA73" s="34">
        <f>IFERROR(IF(AND(ISNUMBER('Real results'!C72),ISNUMBER('Real results'!D72),ISNUMBER('Raw data'!AA72),ISNUMBER('Raw data'!AB72)),IF(SIGN('Raw data'!AA72-'Raw data'!AB72)=SIGN('Real results'!C72-'Real results'!D72),2+IF(AND('Raw data'!AA72='Real results'!C72,'Raw data'!AB72='Real results'!D72),2,0),0),0),0)</f>
        <v>0</v>
      </c>
      <c r="AC73" s="34">
        <f>IFERROR(IF(AND(ISNUMBER('Real results'!C72),ISNUMBER('Real results'!D72),ISNUMBER('Raw data'!AC72),ISNUMBER('Raw data'!AD72)),IF(SIGN('Raw data'!AC72-'Raw data'!AD72)=SIGN('Real results'!C72-'Real results'!D72),2+IF(AND('Raw data'!AC72='Real results'!C72,'Raw data'!AD72='Real results'!D72),2,0),0),0),0)</f>
        <v>0</v>
      </c>
      <c r="AE73" s="34">
        <f>IFERROR(IF(AND(ISNUMBER('Real results'!C72),ISNUMBER('Real results'!D72),ISNUMBER('Raw data'!AE72),ISNUMBER('Raw data'!AF72)),IF(SIGN('Raw data'!AE72-'Raw data'!AF72)=SIGN('Real results'!C72-'Real results'!D72),2+IF(AND('Raw data'!AE72='Real results'!C72,'Raw data'!AF72='Real results'!D72),2,0),0),0),0)</f>
        <v>0</v>
      </c>
      <c r="AG73" s="34">
        <f>IFERROR(IF(AND(ISNUMBER('Real results'!C72),ISNUMBER('Real results'!D72),ISNUMBER('Raw data'!AG72),ISNUMBER('Raw data'!AH72)),IF(SIGN('Raw data'!AG72-'Raw data'!AH72)=SIGN('Real results'!C72-'Real results'!D72),2+IF(AND('Raw data'!AG72='Real results'!C72,'Raw data'!AH72='Real results'!D72),2,0),0),0),0)</f>
        <v>0</v>
      </c>
      <c r="AI73" s="34">
        <f>IFERROR(IF(AND(ISNUMBER('Real results'!C72),ISNUMBER('Real results'!D72),ISNUMBER('Raw data'!AI72),ISNUMBER('Raw data'!AJ72)),IF(SIGN('Raw data'!AI72-'Raw data'!AJ72)=SIGN('Real results'!C72-'Real results'!D72),2+IF(AND('Raw data'!AI72='Real results'!C72,'Raw data'!AJ72='Real results'!D72),2,0),0),0),0)</f>
        <v>0</v>
      </c>
      <c r="AK73" s="34">
        <f>IFERROR(IF(AND(ISNUMBER('Real results'!C72),ISNUMBER('Real results'!D72),ISNUMBER('Raw data'!AK72),ISNUMBER('Raw data'!AL72)),IF(SIGN('Raw data'!AK72-'Raw data'!AL72)=SIGN('Real results'!C72-'Real results'!D72),2+IF(AND('Raw data'!AK72='Real results'!C72,'Raw data'!AL72='Real results'!D72),2,0),0),0),0)</f>
        <v>0</v>
      </c>
      <c r="AM73" s="34">
        <f>IFERROR(IF(AND(ISNUMBER('Real results'!C72),ISNUMBER('Real results'!D72),ISNUMBER('Raw data'!AM72),ISNUMBER('Raw data'!AN72)),IF(SIGN('Raw data'!AM72-'Raw data'!AN72)=SIGN('Real results'!C72-'Real results'!D72),2+IF(AND('Raw data'!AM72='Real results'!C72,'Raw data'!AN72='Real results'!D72),2,0),0),0),0)</f>
        <v>0</v>
      </c>
      <c r="AO73" s="34">
        <f>IFERROR(IF(AND(ISNUMBER('Real results'!C72),ISNUMBER('Real results'!D72),ISNUMBER('Raw data'!AO72),ISNUMBER('Raw data'!AP72)),IF(SIGN('Raw data'!AO72-'Raw data'!AP72)=SIGN('Real results'!C72-'Real results'!D72),2+IF(AND('Raw data'!AO72='Real results'!C72,'Raw data'!AP72='Real results'!D72),2,0),0),0),0)</f>
        <v>0</v>
      </c>
      <c r="AQ73" s="34">
        <f>IFERROR(IF(AND(ISNUMBER('Real results'!C72),ISNUMBER('Real results'!D72),ISNUMBER('Raw data'!AQ72),ISNUMBER('Raw data'!AR72)),IF(SIGN('Raw data'!AQ72-'Raw data'!AR72)=SIGN('Real results'!C72-'Real results'!D72),2+IF(AND('Raw data'!AQ72='Real results'!C72,'Raw data'!AR72='Real results'!D72),2,0),0),0),0)</f>
        <v>0</v>
      </c>
      <c r="AS73" s="34">
        <f>IFERROR(IF(AND(ISNUMBER('Real results'!C72),ISNUMBER('Real results'!D72),ISNUMBER('Raw data'!AS72),ISNUMBER('Raw data'!AT72)),IF(SIGN('Raw data'!AS72-'Raw data'!AT72)=SIGN('Real results'!C72-'Real results'!D72),2+IF(AND('Raw data'!AS72='Real results'!C72,'Raw data'!AT72='Real results'!D72),2,0),0),0),0)</f>
        <v>0</v>
      </c>
      <c r="AU73" s="34">
        <f>IFERROR(IF(AND(ISNUMBER('Real results'!C72),ISNUMBER('Real results'!D72),ISNUMBER('Raw data'!AU72),ISNUMBER('Raw data'!AV72)),IF(SIGN('Raw data'!AU72-'Raw data'!AV72)=SIGN('Real results'!C72-'Real results'!D72),2+IF(AND('Raw data'!AU72='Real results'!C72,'Raw data'!AV72='Real results'!D72),2,0),0),0),0)</f>
        <v>0</v>
      </c>
      <c r="AW73" s="34">
        <f>IFERROR(IF(AND(ISNUMBER('Real results'!C72),ISNUMBER('Real results'!D72),ISNUMBER('Raw data'!AW72),ISNUMBER('Raw data'!AX72)),IF(SIGN('Raw data'!AW72-'Raw data'!AX72)=SIGN('Real results'!C72-'Real results'!D72),2+IF(AND('Raw data'!AW72='Real results'!C72,'Raw data'!AX72='Real results'!D72),2,0),0),0),0)</f>
        <v>0</v>
      </c>
      <c r="AY73" s="34">
        <f>IFERROR(IF(AND(ISNUMBER('Real results'!C72),ISNUMBER('Real results'!D72),ISNUMBER('Raw data'!AY72),ISNUMBER('Raw data'!AZ72)),IF(SIGN('Raw data'!AY72-'Raw data'!AZ72)=SIGN('Real results'!C72-'Real results'!D72),2+IF(AND('Raw data'!AY72='Real results'!C72,'Raw data'!AZ72='Real results'!D72),2,0),0),0),0)</f>
        <v>0</v>
      </c>
      <c r="BA73" s="34">
        <f>IFERROR(IF(AND(ISNUMBER('Real results'!C72),ISNUMBER('Real results'!D72),ISNUMBER('Raw data'!BA72),ISNUMBER('Raw data'!BB72)),IF(SIGN('Raw data'!BA72-'Raw data'!BB72)=SIGN('Real results'!C72-'Real results'!D72),2+IF(AND('Raw data'!BA72='Real results'!C72,'Raw data'!BB72='Real results'!D72),2,0),0),0),0)</f>
        <v>0</v>
      </c>
      <c r="BC73" s="34">
        <f>IFERROR(IF(AND(ISNUMBER('Real results'!C72),ISNUMBER('Real results'!D72),ISNUMBER('Raw data'!BC72),ISNUMBER('Raw data'!BD72)),IF(SIGN('Raw data'!BC72-'Raw data'!BD72)=SIGN('Real results'!C72-'Real results'!D72),2+IF(AND('Raw data'!BC72='Real results'!C72,'Raw data'!BD72='Real results'!D72),2,0),0),0),0)</f>
        <v>0</v>
      </c>
      <c r="BE73" s="34">
        <f>IFERROR(IF(AND(ISNUMBER('Real results'!C72),ISNUMBER('Real results'!D72),ISNUMBER('Raw data'!BE72),ISNUMBER('Raw data'!BF72)),IF(SIGN('Raw data'!BE72-'Raw data'!BF72)=SIGN('Real results'!C72-'Real results'!D72),2+IF(AND('Raw data'!BE72='Real results'!C72,'Raw data'!BF72='Real results'!D72),2,0),0),0),0)</f>
        <v>0</v>
      </c>
      <c r="BG73" s="34">
        <f>IFERROR(IF(AND(ISNUMBER('Real results'!C72),ISNUMBER('Real results'!D72),ISNUMBER('Raw data'!BG72),ISNUMBER('Raw data'!BH72)),IF(SIGN('Raw data'!BG72-'Raw data'!BH72)=SIGN('Real results'!C72-'Real results'!D72),2+IF(AND('Raw data'!BG72='Real results'!C72,'Raw data'!BH72='Real results'!D72),2,0),0),0),0)</f>
        <v>0</v>
      </c>
      <c r="BI73" s="34">
        <f>IFERROR(IF(AND(ISNUMBER('Real results'!C72),ISNUMBER('Real results'!D72),ISNUMBER('Raw data'!BI72),ISNUMBER('Raw data'!BJ72)),IF(SIGN('Raw data'!BI72-'Raw data'!BJ72)=SIGN('Real results'!C72-'Real results'!D72),2+IF(AND('Raw data'!BI72='Real results'!C72,'Raw data'!BJ72='Real results'!D72),2,0),0),0),0)</f>
        <v>0</v>
      </c>
    </row>
    <row r="74" ht="18.0" customHeight="1">
      <c r="B74" s="12" t="s">
        <v>99</v>
      </c>
      <c r="C74" s="34">
        <f>IFERROR(IF(AND(ISNUMBER('Real results'!C73),ISNUMBER('Real results'!D73),ISNUMBER('Raw data'!C71),ISNUMBER('Raw data'!D71)),IF(SIGN('Raw data'!C71-'Raw data'!D71)=SIGN('Real results'!C73-'Real results'!D73),2+IF(AND('Raw data'!C71='Real results'!C73,'Raw data'!D71='Real results'!D73),2,0),0),0),0)</f>
        <v>0</v>
      </c>
      <c r="E74" s="34">
        <f>IFERROR(IF(AND(ISNUMBER('Real results'!C73),ISNUMBER('Real results'!D73),ISNUMBER('Raw data'!E72),ISNUMBER('Raw data'!F72)),IF(SIGN('Raw data'!E72-'Raw data'!F72)=SIGN('Real results'!C73-'Real results'!D73),2+IF(AND('Raw data'!E72='Real results'!C73,'Raw data'!F72='Real results'!D73),2,0),0),0),0)</f>
        <v>2</v>
      </c>
      <c r="G74" s="34">
        <f>IFERROR(IF(AND(ISNUMBER('Real results'!C73),ISNUMBER('Real results'!D73),ISNUMBER('Raw data'!G73),ISNUMBER('Raw data'!H73)),IF(SIGN('Raw data'!G73-'Raw data'!H73)=SIGN('Real results'!C73-'Real results'!D73),2+IF(AND('Raw data'!G73='Real results'!C73,'Raw data'!H73='Real results'!D73),2,0),0),0),0)</f>
        <v>0</v>
      </c>
      <c r="I74" s="34">
        <f>IFERROR(IF(AND(ISNUMBER('Real results'!C73),ISNUMBER('Real results'!D73),ISNUMBER('Raw data'!I73),ISNUMBER('Raw data'!J73)),IF(SIGN('Raw data'!I73-'Raw data'!J73)=SIGN('Real results'!C73-'Real results'!D73),2+IF(AND('Raw data'!I73='Real results'!C73,'Raw data'!J73='Real results'!D73),2,0),0),0),0)</f>
        <v>0</v>
      </c>
      <c r="K74" s="34">
        <f>IFERROR(IF(AND(ISNUMBER('Real results'!C73),ISNUMBER('Real results'!D73),ISNUMBER('Raw data'!K73),ISNUMBER('Raw data'!L73)),IF(SIGN('Raw data'!K73-'Raw data'!L73)=SIGN('Real results'!C73-'Real results'!D73),2+IF(AND('Raw data'!K73='Real results'!C73,'Raw data'!L73='Real results'!D73),2,0),0),0),0)</f>
        <v>2</v>
      </c>
      <c r="M74" s="34">
        <f>IFERROR(IF(AND(ISNUMBER('Real results'!C73),ISNUMBER('Real results'!D73),ISNUMBER('Raw data'!M73),ISNUMBER('Raw data'!N73)),IF(SIGN('Raw data'!M73-'Raw data'!N73)=SIGN('Real results'!C73-'Real results'!D73),2+IF(AND('Raw data'!M73='Real results'!C73,'Raw data'!N73='Real results'!D73),2,0),0),0),0)</f>
        <v>0</v>
      </c>
      <c r="O74" s="34">
        <f>IFERROR(IF(AND(ISNUMBER('Real results'!C73),ISNUMBER('Real results'!D73),ISNUMBER('Raw data'!O73),ISNUMBER('Raw data'!P73)),IF(SIGN('Raw data'!O73-'Raw data'!P73)=SIGN('Real results'!C73-'Real results'!D73),2+IF(AND('Raw data'!O73='Real results'!C73,'Raw data'!P73='Real results'!D73),2,0),0),0),0)</f>
        <v>0</v>
      </c>
      <c r="Q74" s="34">
        <f>IFERROR(IF(AND(ISNUMBER('Real results'!C73),ISNUMBER('Real results'!D73),ISNUMBER('Raw data'!Q73),ISNUMBER('Raw data'!R73)),IF(SIGN('Raw data'!Q73-'Raw data'!R73)=SIGN('Real results'!C73-'Real results'!D73),2+IF(AND('Raw data'!Q73='Real results'!C73,'Raw data'!R73='Real results'!D73),2,0),0),0),0)</f>
        <v>0</v>
      </c>
      <c r="S74" s="34">
        <f>IFERROR(IF(AND(ISNUMBER('Real results'!C73),ISNUMBER('Real results'!D73),ISNUMBER('Raw data'!S73),ISNUMBER('Raw data'!T73)),IF(SIGN('Raw data'!S73-'Raw data'!T73)=SIGN('Real results'!C73-'Real results'!D73),2+IF(AND('Raw data'!S73='Real results'!C73,'Raw data'!T73='Real results'!D73),2,0),0),0),0)</f>
        <v>0</v>
      </c>
      <c r="U74" s="34">
        <f>IFERROR(IF(AND(ISNUMBER('Real results'!C73),ISNUMBER('Real results'!D73),ISNUMBER('Raw data'!U73),ISNUMBER('Raw data'!V73)),IF(SIGN('Raw data'!U73-'Raw data'!V73)=SIGN('Real results'!C73-'Real results'!D73),2+IF(AND('Raw data'!U73='Real results'!C73,'Raw data'!V73='Real results'!D73),2,0),0),0),0)</f>
        <v>0</v>
      </c>
      <c r="W74" s="34">
        <f>IFERROR(IF(AND(ISNUMBER('Real results'!C73),ISNUMBER('Real results'!D73),ISNUMBER('Raw data'!W73),ISNUMBER('Raw data'!X73)),IF(SIGN('Raw data'!W73-'Raw data'!X73)=SIGN('Real results'!C73-'Real results'!D73),2+IF(AND('Raw data'!W73='Real results'!C73,'Raw data'!X73='Real results'!D73),2,0),0),0),0)</f>
        <v>0</v>
      </c>
      <c r="Y74" s="34">
        <f>IFERROR(IF(AND(ISNUMBER('Real results'!C73),ISNUMBER('Real results'!D73),ISNUMBER('Raw data'!Y73),ISNUMBER('Raw data'!Z73)),IF(SIGN('Raw data'!Y73-'Raw data'!Z73)=SIGN('Real results'!C73-'Real results'!D73),2+IF(AND('Raw data'!Y73='Real results'!C73,'Raw data'!Z73='Real results'!D73),2,0),0),0),0)</f>
        <v>0</v>
      </c>
      <c r="AA74" s="34">
        <f>IFERROR(IF(AND(ISNUMBER('Real results'!C73),ISNUMBER('Real results'!D73),ISNUMBER('Raw data'!AA73),ISNUMBER('Raw data'!AB73)),IF(SIGN('Raw data'!AA73-'Raw data'!AB73)=SIGN('Real results'!C73-'Real results'!D73),2+IF(AND('Raw data'!AA73='Real results'!C73,'Raw data'!AB73='Real results'!D73),2,0),0),0),0)</f>
        <v>0</v>
      </c>
      <c r="AC74" s="34">
        <f>IFERROR(IF(AND(ISNUMBER('Real results'!C73),ISNUMBER('Real results'!D73),ISNUMBER('Raw data'!AC73),ISNUMBER('Raw data'!AD73)),IF(SIGN('Raw data'!AC73-'Raw data'!AD73)=SIGN('Real results'!C73-'Real results'!D73),2+IF(AND('Raw data'!AC73='Real results'!C73,'Raw data'!AD73='Real results'!D73),2,0),0),0),0)</f>
        <v>0</v>
      </c>
      <c r="AE74" s="34">
        <f>IFERROR(IF(AND(ISNUMBER('Real results'!C73),ISNUMBER('Real results'!D73),ISNUMBER('Raw data'!AE73),ISNUMBER('Raw data'!AF73)),IF(SIGN('Raw data'!AE73-'Raw data'!AF73)=SIGN('Real results'!C73-'Real results'!D73),2+IF(AND('Raw data'!AE73='Real results'!C73,'Raw data'!AF73='Real results'!D73),2,0),0),0),0)</f>
        <v>0</v>
      </c>
      <c r="AG74" s="34">
        <f>IFERROR(IF(AND(ISNUMBER('Real results'!C73),ISNUMBER('Real results'!D73),ISNUMBER('Raw data'!AG73),ISNUMBER('Raw data'!AH73)),IF(SIGN('Raw data'!AG73-'Raw data'!AH73)=SIGN('Real results'!C73-'Real results'!D73),2+IF(AND('Raw data'!AG73='Real results'!C73,'Raw data'!AH73='Real results'!D73),2,0),0),0),0)</f>
        <v>0</v>
      </c>
      <c r="AI74" s="34">
        <f>IFERROR(IF(AND(ISNUMBER('Real results'!C73),ISNUMBER('Real results'!D73),ISNUMBER('Raw data'!AI73),ISNUMBER('Raw data'!AJ73)),IF(SIGN('Raw data'!AI73-'Raw data'!AJ73)=SIGN('Real results'!C73-'Real results'!D73),2+IF(AND('Raw data'!AI73='Real results'!C73,'Raw data'!AJ73='Real results'!D73),2,0),0),0),0)</f>
        <v>0</v>
      </c>
      <c r="AK74" s="34">
        <f>IFERROR(IF(AND(ISNUMBER('Real results'!C73),ISNUMBER('Real results'!D73),ISNUMBER('Raw data'!AK73),ISNUMBER('Raw data'!AL73)),IF(SIGN('Raw data'!AK73-'Raw data'!AL73)=SIGN('Real results'!C73-'Real results'!D73),2+IF(AND('Raw data'!AK73='Real results'!C73,'Raw data'!AL73='Real results'!D73),2,0),0),0),0)</f>
        <v>0</v>
      </c>
      <c r="AM74" s="34">
        <f>IFERROR(IF(AND(ISNUMBER('Real results'!C73),ISNUMBER('Real results'!D73),ISNUMBER('Raw data'!AM73),ISNUMBER('Raw data'!AN73)),IF(SIGN('Raw data'!AM73-'Raw data'!AN73)=SIGN('Real results'!C73-'Real results'!D73),2+IF(AND('Raw data'!AM73='Real results'!C73,'Raw data'!AN73='Real results'!D73),2,0),0),0),0)</f>
        <v>0</v>
      </c>
      <c r="AO74" s="34">
        <f>IFERROR(IF(AND(ISNUMBER('Real results'!C73),ISNUMBER('Real results'!D73),ISNUMBER('Raw data'!AO73),ISNUMBER('Raw data'!AP73)),IF(SIGN('Raw data'!AO73-'Raw data'!AP73)=SIGN('Real results'!C73-'Real results'!D73),2+IF(AND('Raw data'!AO73='Real results'!C73,'Raw data'!AP73='Real results'!D73),2,0),0),0),0)</f>
        <v>0</v>
      </c>
      <c r="AQ74" s="34">
        <f>IFERROR(IF(AND(ISNUMBER('Real results'!C73),ISNUMBER('Real results'!D73),ISNUMBER('Raw data'!AQ73),ISNUMBER('Raw data'!AR73)),IF(SIGN('Raw data'!AQ73-'Raw data'!AR73)=SIGN('Real results'!C73-'Real results'!D73),2+IF(AND('Raw data'!AQ73='Real results'!C73,'Raw data'!AR73='Real results'!D73),2,0),0),0),0)</f>
        <v>0</v>
      </c>
      <c r="AS74" s="34">
        <f>IFERROR(IF(AND(ISNUMBER('Real results'!C73),ISNUMBER('Real results'!D73),ISNUMBER('Raw data'!AS73),ISNUMBER('Raw data'!AT73)),IF(SIGN('Raw data'!AS73-'Raw data'!AT73)=SIGN('Real results'!C73-'Real results'!D73),2+IF(AND('Raw data'!AS73='Real results'!C73,'Raw data'!AT73='Real results'!D73),2,0),0),0),0)</f>
        <v>0</v>
      </c>
      <c r="AU74" s="34">
        <f>IFERROR(IF(AND(ISNUMBER('Real results'!C73),ISNUMBER('Real results'!D73),ISNUMBER('Raw data'!AU73),ISNUMBER('Raw data'!AV73)),IF(SIGN('Raw data'!AU73-'Raw data'!AV73)=SIGN('Real results'!C73-'Real results'!D73),2+IF(AND('Raw data'!AU73='Real results'!C73,'Raw data'!AV73='Real results'!D73),2,0),0),0),0)</f>
        <v>0</v>
      </c>
      <c r="AW74" s="34">
        <f>IFERROR(IF(AND(ISNUMBER('Real results'!C73),ISNUMBER('Real results'!D73),ISNUMBER('Raw data'!AW73),ISNUMBER('Raw data'!AX73)),IF(SIGN('Raw data'!AW73-'Raw data'!AX73)=SIGN('Real results'!C73-'Real results'!D73),2+IF(AND('Raw data'!AW73='Real results'!C73,'Raw data'!AX73='Real results'!D73),2,0),0),0),0)</f>
        <v>0</v>
      </c>
      <c r="AY74" s="34">
        <f>IFERROR(IF(AND(ISNUMBER('Real results'!C73),ISNUMBER('Real results'!D73),ISNUMBER('Raw data'!AY73),ISNUMBER('Raw data'!AZ73)),IF(SIGN('Raw data'!AY73-'Raw data'!AZ73)=SIGN('Real results'!C73-'Real results'!D73),2+IF(AND('Raw data'!AY73='Real results'!C73,'Raw data'!AZ73='Real results'!D73),2,0),0),0),0)</f>
        <v>0</v>
      </c>
      <c r="BA74" s="34">
        <f>IFERROR(IF(AND(ISNUMBER('Real results'!C73),ISNUMBER('Real results'!D73),ISNUMBER('Raw data'!BA73),ISNUMBER('Raw data'!BB73)),IF(SIGN('Raw data'!BA73-'Raw data'!BB73)=SIGN('Real results'!C73-'Real results'!D73),2+IF(AND('Raw data'!BA73='Real results'!C73,'Raw data'!BB73='Real results'!D73),2,0),0),0),0)</f>
        <v>0</v>
      </c>
      <c r="BC74" s="34">
        <f>IFERROR(IF(AND(ISNUMBER('Real results'!C73),ISNUMBER('Real results'!D73),ISNUMBER('Raw data'!BC73),ISNUMBER('Raw data'!BD73)),IF(SIGN('Raw data'!BC73-'Raw data'!BD73)=SIGN('Real results'!C73-'Real results'!D73),2+IF(AND('Raw data'!BC73='Real results'!C73,'Raw data'!BD73='Real results'!D73),2,0),0),0),0)</f>
        <v>0</v>
      </c>
      <c r="BE74" s="34">
        <f>IFERROR(IF(AND(ISNUMBER('Real results'!C73),ISNUMBER('Real results'!D73),ISNUMBER('Raw data'!BE73),ISNUMBER('Raw data'!BF73)),IF(SIGN('Raw data'!BE73-'Raw data'!BF73)=SIGN('Real results'!C73-'Real results'!D73),2+IF(AND('Raw data'!BE73='Real results'!C73,'Raw data'!BF73='Real results'!D73),2,0),0),0),0)</f>
        <v>0</v>
      </c>
      <c r="BG74" s="34">
        <f>IFERROR(IF(AND(ISNUMBER('Real results'!C73),ISNUMBER('Real results'!D73),ISNUMBER('Raw data'!BG73),ISNUMBER('Raw data'!BH73)),IF(SIGN('Raw data'!BG73-'Raw data'!BH73)=SIGN('Real results'!C73-'Real results'!D73),2+IF(AND('Raw data'!BG73='Real results'!C73,'Raw data'!BH73='Real results'!D73),2,0),0),0),0)</f>
        <v>0</v>
      </c>
      <c r="BI74" s="34">
        <f>IFERROR(IF(AND(ISNUMBER('Real results'!C73),ISNUMBER('Real results'!D73),ISNUMBER('Raw data'!BI73),ISNUMBER('Raw data'!BJ73)),IF(SIGN('Raw data'!BI73-'Raw data'!BJ73)=SIGN('Real results'!C73-'Real results'!D73),2+IF(AND('Raw data'!BI73='Real results'!C73,'Raw data'!BJ73='Real results'!D73),2,0),0),0),0)</f>
        <v>0</v>
      </c>
    </row>
    <row r="75" ht="18.0" customHeight="1">
      <c r="B75" s="12" t="s">
        <v>100</v>
      </c>
      <c r="C75" s="34">
        <f>IFERROR(IF(AND(ISNUMBER('Real results'!C74),ISNUMBER('Real results'!D74),ISNUMBER('Raw data'!C72),ISNUMBER('Raw data'!D72)),IF(SIGN('Raw data'!C72-'Raw data'!D72)=SIGN('Real results'!C74-'Real results'!D74),2+IF(AND('Raw data'!C72='Real results'!C74,'Raw data'!D72='Real results'!D74),2,0),0),0),0)</f>
        <v>0</v>
      </c>
      <c r="E75" s="34">
        <f>IFERROR(IF(AND(ISNUMBER('Real results'!C74),ISNUMBER('Real results'!D74),ISNUMBER('Raw data'!E73),ISNUMBER('Raw data'!F73)),IF(SIGN('Raw data'!E73-'Raw data'!F73)=SIGN('Real results'!C74-'Real results'!D74),2+IF(AND('Raw data'!E73='Real results'!C74,'Raw data'!F73='Real results'!D74),2,0),0),0),0)</f>
        <v>2</v>
      </c>
      <c r="G75" s="34">
        <f>IFERROR(IF(AND(ISNUMBER('Real results'!C74),ISNUMBER('Real results'!D74),ISNUMBER('Raw data'!G74),ISNUMBER('Raw data'!H74)),IF(SIGN('Raw data'!G74-'Raw data'!H74)=SIGN('Real results'!C74-'Real results'!D74),2+IF(AND('Raw data'!G74='Real results'!C74,'Raw data'!H74='Real results'!D74),2,0),0),0),0)</f>
        <v>2</v>
      </c>
      <c r="I75" s="34">
        <f>IFERROR(IF(AND(ISNUMBER('Real results'!C74),ISNUMBER('Real results'!D74),ISNUMBER('Raw data'!I74),ISNUMBER('Raw data'!J74)),IF(SIGN('Raw data'!I74-'Raw data'!J74)=SIGN('Real results'!C74-'Real results'!D74),2+IF(AND('Raw data'!I74='Real results'!C74,'Raw data'!J74='Real results'!D74),2,0),0),0),0)</f>
        <v>4</v>
      </c>
      <c r="K75" s="34">
        <f>IFERROR(IF(AND(ISNUMBER('Real results'!C74),ISNUMBER('Real results'!D74),ISNUMBER('Raw data'!K74),ISNUMBER('Raw data'!L74)),IF(SIGN('Raw data'!K74-'Raw data'!L74)=SIGN('Real results'!C74-'Real results'!D74),2+IF(AND('Raw data'!K74='Real results'!C74,'Raw data'!L74='Real results'!D74),2,0),0),0),0)</f>
        <v>2</v>
      </c>
      <c r="M75" s="34">
        <f>IFERROR(IF(AND(ISNUMBER('Real results'!C74),ISNUMBER('Real results'!D74),ISNUMBER('Raw data'!M74),ISNUMBER('Raw data'!N74)),IF(SIGN('Raw data'!M74-'Raw data'!N74)=SIGN('Real results'!C74-'Real results'!D74),2+IF(AND('Raw data'!M74='Real results'!C74,'Raw data'!N74='Real results'!D74),2,0),0),0),0)</f>
        <v>0</v>
      </c>
      <c r="O75" s="34">
        <f>IFERROR(IF(AND(ISNUMBER('Real results'!C74),ISNUMBER('Real results'!D74),ISNUMBER('Raw data'!O74),ISNUMBER('Raw data'!P74)),IF(SIGN('Raw data'!O74-'Raw data'!P74)=SIGN('Real results'!C74-'Real results'!D74),2+IF(AND('Raw data'!O74='Real results'!C74,'Raw data'!P74='Real results'!D74),2,0),0),0),0)</f>
        <v>0</v>
      </c>
      <c r="Q75" s="34">
        <f>IFERROR(IF(AND(ISNUMBER('Real results'!C74),ISNUMBER('Real results'!D74),ISNUMBER('Raw data'!Q74),ISNUMBER('Raw data'!R74)),IF(SIGN('Raw data'!Q74-'Raw data'!R74)=SIGN('Real results'!C74-'Real results'!D74),2+IF(AND('Raw data'!Q74='Real results'!C74,'Raw data'!R74='Real results'!D74),2,0),0),0),0)</f>
        <v>0</v>
      </c>
      <c r="S75" s="34">
        <f>IFERROR(IF(AND(ISNUMBER('Real results'!C74),ISNUMBER('Real results'!D74),ISNUMBER('Raw data'!S74),ISNUMBER('Raw data'!T74)),IF(SIGN('Raw data'!S74-'Raw data'!T74)=SIGN('Real results'!C74-'Real results'!D74),2+IF(AND('Raw data'!S74='Real results'!C74,'Raw data'!T74='Real results'!D74),2,0),0),0),0)</f>
        <v>0</v>
      </c>
      <c r="U75" s="34">
        <f>IFERROR(IF(AND(ISNUMBER('Real results'!C74),ISNUMBER('Real results'!D74),ISNUMBER('Raw data'!U74),ISNUMBER('Raw data'!V74)),IF(SIGN('Raw data'!U74-'Raw data'!V74)=SIGN('Real results'!C74-'Real results'!D74),2+IF(AND('Raw data'!U74='Real results'!C74,'Raw data'!V74='Real results'!D74),2,0),0),0),0)</f>
        <v>0</v>
      </c>
      <c r="W75" s="34">
        <f>IFERROR(IF(AND(ISNUMBER('Real results'!C74),ISNUMBER('Real results'!D74),ISNUMBER('Raw data'!W74),ISNUMBER('Raw data'!X74)),IF(SIGN('Raw data'!W74-'Raw data'!X74)=SIGN('Real results'!C74-'Real results'!D74),2+IF(AND('Raw data'!W74='Real results'!C74,'Raw data'!X74='Real results'!D74),2,0),0),0),0)</f>
        <v>0</v>
      </c>
      <c r="Y75" s="34">
        <f>IFERROR(IF(AND(ISNUMBER('Real results'!C74),ISNUMBER('Real results'!D74),ISNUMBER('Raw data'!Y74),ISNUMBER('Raw data'!Z74)),IF(SIGN('Raw data'!Y74-'Raw data'!Z74)=SIGN('Real results'!C74-'Real results'!D74),2+IF(AND('Raw data'!Y74='Real results'!C74,'Raw data'!Z74='Real results'!D74),2,0),0),0),0)</f>
        <v>0</v>
      </c>
      <c r="AA75" s="34">
        <f>IFERROR(IF(AND(ISNUMBER('Real results'!C74),ISNUMBER('Real results'!D74),ISNUMBER('Raw data'!AA74),ISNUMBER('Raw data'!AB74)),IF(SIGN('Raw data'!AA74-'Raw data'!AB74)=SIGN('Real results'!C74-'Real results'!D74),2+IF(AND('Raw data'!AA74='Real results'!C74,'Raw data'!AB74='Real results'!D74),2,0),0),0),0)</f>
        <v>0</v>
      </c>
      <c r="AC75" s="34">
        <f>IFERROR(IF(AND(ISNUMBER('Real results'!C74),ISNUMBER('Real results'!D74),ISNUMBER('Raw data'!AC74),ISNUMBER('Raw data'!AD74)),IF(SIGN('Raw data'!AC74-'Raw data'!AD74)=SIGN('Real results'!C74-'Real results'!D74),2+IF(AND('Raw data'!AC74='Real results'!C74,'Raw data'!AD74='Real results'!D74),2,0),0),0),0)</f>
        <v>0</v>
      </c>
      <c r="AE75" s="34">
        <f>IFERROR(IF(AND(ISNUMBER('Real results'!C74),ISNUMBER('Real results'!D74),ISNUMBER('Raw data'!AE74),ISNUMBER('Raw data'!AF74)),IF(SIGN('Raw data'!AE74-'Raw data'!AF74)=SIGN('Real results'!C74-'Real results'!D74),2+IF(AND('Raw data'!AE74='Real results'!C74,'Raw data'!AF74='Real results'!D74),2,0),0),0),0)</f>
        <v>0</v>
      </c>
      <c r="AG75" s="34">
        <f>IFERROR(IF(AND(ISNUMBER('Real results'!C74),ISNUMBER('Real results'!D74),ISNUMBER('Raw data'!AG74),ISNUMBER('Raw data'!AH74)),IF(SIGN('Raw data'!AG74-'Raw data'!AH74)=SIGN('Real results'!C74-'Real results'!D74),2+IF(AND('Raw data'!AG74='Real results'!C74,'Raw data'!AH74='Real results'!D74),2,0),0),0),0)</f>
        <v>0</v>
      </c>
      <c r="AI75" s="34">
        <f>IFERROR(IF(AND(ISNUMBER('Real results'!C74),ISNUMBER('Real results'!D74),ISNUMBER('Raw data'!AI74),ISNUMBER('Raw data'!AJ74)),IF(SIGN('Raw data'!AI74-'Raw data'!AJ74)=SIGN('Real results'!C74-'Real results'!D74),2+IF(AND('Raw data'!AI74='Real results'!C74,'Raw data'!AJ74='Real results'!D74),2,0),0),0),0)</f>
        <v>0</v>
      </c>
      <c r="AK75" s="34">
        <f>IFERROR(IF(AND(ISNUMBER('Real results'!C74),ISNUMBER('Real results'!D74),ISNUMBER('Raw data'!AK74),ISNUMBER('Raw data'!AL74)),IF(SIGN('Raw data'!AK74-'Raw data'!AL74)=SIGN('Real results'!C74-'Real results'!D74),2+IF(AND('Raw data'!AK74='Real results'!C74,'Raw data'!AL74='Real results'!D74),2,0),0),0),0)</f>
        <v>0</v>
      </c>
      <c r="AM75" s="34">
        <f>IFERROR(IF(AND(ISNUMBER('Real results'!C74),ISNUMBER('Real results'!D74),ISNUMBER('Raw data'!AM74),ISNUMBER('Raw data'!AN74)),IF(SIGN('Raw data'!AM74-'Raw data'!AN74)=SIGN('Real results'!C74-'Real results'!D74),2+IF(AND('Raw data'!AM74='Real results'!C74,'Raw data'!AN74='Real results'!D74),2,0),0),0),0)</f>
        <v>0</v>
      </c>
      <c r="AO75" s="34">
        <f>IFERROR(IF(AND(ISNUMBER('Real results'!C74),ISNUMBER('Real results'!D74),ISNUMBER('Raw data'!AO74),ISNUMBER('Raw data'!AP74)),IF(SIGN('Raw data'!AO74-'Raw data'!AP74)=SIGN('Real results'!C74-'Real results'!D74),2+IF(AND('Raw data'!AO74='Real results'!C74,'Raw data'!AP74='Real results'!D74),2,0),0),0),0)</f>
        <v>0</v>
      </c>
      <c r="AQ75" s="34">
        <f>IFERROR(IF(AND(ISNUMBER('Real results'!C74),ISNUMBER('Real results'!D74),ISNUMBER('Raw data'!AQ74),ISNUMBER('Raw data'!AR74)),IF(SIGN('Raw data'!AQ74-'Raw data'!AR74)=SIGN('Real results'!C74-'Real results'!D74),2+IF(AND('Raw data'!AQ74='Real results'!C74,'Raw data'!AR74='Real results'!D74),2,0),0),0),0)</f>
        <v>0</v>
      </c>
      <c r="AS75" s="34">
        <f>IFERROR(IF(AND(ISNUMBER('Real results'!C74),ISNUMBER('Real results'!D74),ISNUMBER('Raw data'!AS74),ISNUMBER('Raw data'!AT74)),IF(SIGN('Raw data'!AS74-'Raw data'!AT74)=SIGN('Real results'!C74-'Real results'!D74),2+IF(AND('Raw data'!AS74='Real results'!C74,'Raw data'!AT74='Real results'!D74),2,0),0),0),0)</f>
        <v>0</v>
      </c>
      <c r="AU75" s="34">
        <f>IFERROR(IF(AND(ISNUMBER('Real results'!C74),ISNUMBER('Real results'!D74),ISNUMBER('Raw data'!AU74),ISNUMBER('Raw data'!AV74)),IF(SIGN('Raw data'!AU74-'Raw data'!AV74)=SIGN('Real results'!C74-'Real results'!D74),2+IF(AND('Raw data'!AU74='Real results'!C74,'Raw data'!AV74='Real results'!D74),2,0),0),0),0)</f>
        <v>0</v>
      </c>
      <c r="AW75" s="34">
        <f>IFERROR(IF(AND(ISNUMBER('Real results'!C74),ISNUMBER('Real results'!D74),ISNUMBER('Raw data'!AW74),ISNUMBER('Raw data'!AX74)),IF(SIGN('Raw data'!AW74-'Raw data'!AX74)=SIGN('Real results'!C74-'Real results'!D74),2+IF(AND('Raw data'!AW74='Real results'!C74,'Raw data'!AX74='Real results'!D74),2,0),0),0),0)</f>
        <v>0</v>
      </c>
      <c r="AY75" s="34">
        <f>IFERROR(IF(AND(ISNUMBER('Real results'!C74),ISNUMBER('Real results'!D74),ISNUMBER('Raw data'!AY74),ISNUMBER('Raw data'!AZ74)),IF(SIGN('Raw data'!AY74-'Raw data'!AZ74)=SIGN('Real results'!C74-'Real results'!D74),2+IF(AND('Raw data'!AY74='Real results'!C74,'Raw data'!AZ74='Real results'!D74),2,0),0),0),0)</f>
        <v>0</v>
      </c>
      <c r="BA75" s="34">
        <f>IFERROR(IF(AND(ISNUMBER('Real results'!C74),ISNUMBER('Real results'!D74),ISNUMBER('Raw data'!BA74),ISNUMBER('Raw data'!BB74)),IF(SIGN('Raw data'!BA74-'Raw data'!BB74)=SIGN('Real results'!C74-'Real results'!D74),2+IF(AND('Raw data'!BA74='Real results'!C74,'Raw data'!BB74='Real results'!D74),2,0),0),0),0)</f>
        <v>0</v>
      </c>
      <c r="BC75" s="34">
        <f>IFERROR(IF(AND(ISNUMBER('Real results'!C74),ISNUMBER('Real results'!D74),ISNUMBER('Raw data'!BC74),ISNUMBER('Raw data'!BD74)),IF(SIGN('Raw data'!BC74-'Raw data'!BD74)=SIGN('Real results'!C74-'Real results'!D74),2+IF(AND('Raw data'!BC74='Real results'!C74,'Raw data'!BD74='Real results'!D74),2,0),0),0),0)</f>
        <v>0</v>
      </c>
      <c r="BE75" s="34">
        <f>IFERROR(IF(AND(ISNUMBER('Real results'!C74),ISNUMBER('Real results'!D74),ISNUMBER('Raw data'!BE74),ISNUMBER('Raw data'!BF74)),IF(SIGN('Raw data'!BE74-'Raw data'!BF74)=SIGN('Real results'!C74-'Real results'!D74),2+IF(AND('Raw data'!BE74='Real results'!C74,'Raw data'!BF74='Real results'!D74),2,0),0),0),0)</f>
        <v>0</v>
      </c>
      <c r="BG75" s="34">
        <f>IFERROR(IF(AND(ISNUMBER('Real results'!C74),ISNUMBER('Real results'!D74),ISNUMBER('Raw data'!BG74),ISNUMBER('Raw data'!BH74)),IF(SIGN('Raw data'!BG74-'Raw data'!BH74)=SIGN('Real results'!C74-'Real results'!D74),2+IF(AND('Raw data'!BG74='Real results'!C74,'Raw data'!BH74='Real results'!D74),2,0),0),0),0)</f>
        <v>0</v>
      </c>
      <c r="BI75" s="34">
        <f>IFERROR(IF(AND(ISNUMBER('Real results'!C74),ISNUMBER('Real results'!D74),ISNUMBER('Raw data'!BI74),ISNUMBER('Raw data'!BJ74)),IF(SIGN('Raw data'!BI74-'Raw data'!BJ74)=SIGN('Real results'!C74-'Real results'!D74),2+IF(AND('Raw data'!BI74='Real results'!C74,'Raw data'!BJ74='Real results'!D74),2,0),0),0),0)</f>
        <v>0</v>
      </c>
    </row>
    <row r="76" ht="18.0" customHeight="1">
      <c r="B76" s="12" t="s">
        <v>101</v>
      </c>
      <c r="C76" s="34">
        <f>IFERROR(IF(AND(ISNUMBER('Real results'!C75),ISNUMBER('Real results'!D75),ISNUMBER('Raw data'!C73),ISNUMBER('Raw data'!D73)),IF(SIGN('Raw data'!C73-'Raw data'!D73)=SIGN('Real results'!C75-'Real results'!D75),2+IF(AND('Raw data'!C73='Real results'!C75,'Raw data'!D73='Real results'!D75),2,0),0),0),0)</f>
        <v>2</v>
      </c>
      <c r="E76" s="34">
        <f>IFERROR(IF(AND(ISNUMBER('Real results'!C75),ISNUMBER('Real results'!D75),ISNUMBER('Raw data'!E74),ISNUMBER('Raw data'!F74)),IF(SIGN('Raw data'!E74-'Raw data'!F74)=SIGN('Real results'!C75-'Real results'!D75),2+IF(AND('Raw data'!E74='Real results'!C75,'Raw data'!F74='Real results'!D75),2,0),0),0),0)</f>
        <v>0</v>
      </c>
      <c r="G76" s="34">
        <f>IFERROR(IF(AND(ISNUMBER('Real results'!C75),ISNUMBER('Real results'!D75),ISNUMBER('Raw data'!G75),ISNUMBER('Raw data'!H75)),IF(SIGN('Raw data'!G75-'Raw data'!H75)=SIGN('Real results'!C75-'Real results'!D75),2+IF(AND('Raw data'!G75='Real results'!C75,'Raw data'!H75='Real results'!D75),2,0),0),0),0)</f>
        <v>0</v>
      </c>
      <c r="I76" s="34">
        <f>IFERROR(IF(AND(ISNUMBER('Real results'!C75),ISNUMBER('Real results'!D75),ISNUMBER('Raw data'!I75),ISNUMBER('Raw data'!J75)),IF(SIGN('Raw data'!I75-'Raw data'!J75)=SIGN('Real results'!C75-'Real results'!D75),2+IF(AND('Raw data'!I75='Real results'!C75,'Raw data'!J75='Real results'!D75),2,0),0),0),0)</f>
        <v>0</v>
      </c>
      <c r="K76" s="34">
        <f>IFERROR(IF(AND(ISNUMBER('Real results'!C75),ISNUMBER('Real results'!D75),ISNUMBER('Raw data'!K75),ISNUMBER('Raw data'!L75)),IF(SIGN('Raw data'!K75-'Raw data'!L75)=SIGN('Real results'!C75-'Real results'!D75),2+IF(AND('Raw data'!K75='Real results'!C75,'Raw data'!L75='Real results'!D75),2,0),0),0),0)</f>
        <v>0</v>
      </c>
      <c r="M76" s="34">
        <f>IFERROR(IF(AND(ISNUMBER('Real results'!C75),ISNUMBER('Real results'!D75),ISNUMBER('Raw data'!M75),ISNUMBER('Raw data'!N75)),IF(SIGN('Raw data'!M75-'Raw data'!N75)=SIGN('Real results'!C75-'Real results'!D75),2+IF(AND('Raw data'!M75='Real results'!C75,'Raw data'!N75='Real results'!D75),2,0),0),0),0)</f>
        <v>0</v>
      </c>
      <c r="O76" s="34">
        <f>IFERROR(IF(AND(ISNUMBER('Real results'!C75),ISNUMBER('Real results'!D75),ISNUMBER('Raw data'!O75),ISNUMBER('Raw data'!P75)),IF(SIGN('Raw data'!O75-'Raw data'!P75)=SIGN('Real results'!C75-'Real results'!D75),2+IF(AND('Raw data'!O75='Real results'!C75,'Raw data'!P75='Real results'!D75),2,0),0),0),0)</f>
        <v>0</v>
      </c>
      <c r="Q76" s="34">
        <f>IFERROR(IF(AND(ISNUMBER('Real results'!C75),ISNUMBER('Real results'!D75),ISNUMBER('Raw data'!Q75),ISNUMBER('Raw data'!R75)),IF(SIGN('Raw data'!Q75-'Raw data'!R75)=SIGN('Real results'!C75-'Real results'!D75),2+IF(AND('Raw data'!Q75='Real results'!C75,'Raw data'!R75='Real results'!D75),2,0),0),0),0)</f>
        <v>0</v>
      </c>
      <c r="S76" s="34">
        <f>IFERROR(IF(AND(ISNUMBER('Real results'!C75),ISNUMBER('Real results'!D75),ISNUMBER('Raw data'!S75),ISNUMBER('Raw data'!T75)),IF(SIGN('Raw data'!S75-'Raw data'!T75)=SIGN('Real results'!C75-'Real results'!D75),2+IF(AND('Raw data'!S75='Real results'!C75,'Raw data'!T75='Real results'!D75),2,0),0),0),0)</f>
        <v>0</v>
      </c>
      <c r="U76" s="34">
        <f>IFERROR(IF(AND(ISNUMBER('Real results'!C75),ISNUMBER('Real results'!D75),ISNUMBER('Raw data'!U75),ISNUMBER('Raw data'!V75)),IF(SIGN('Raw data'!U75-'Raw data'!V75)=SIGN('Real results'!C75-'Real results'!D75),2+IF(AND('Raw data'!U75='Real results'!C75,'Raw data'!V75='Real results'!D75),2,0),0),0),0)</f>
        <v>0</v>
      </c>
      <c r="W76" s="34">
        <f>IFERROR(IF(AND(ISNUMBER('Real results'!C75),ISNUMBER('Real results'!D75),ISNUMBER('Raw data'!W75),ISNUMBER('Raw data'!X75)),IF(SIGN('Raw data'!W75-'Raw data'!X75)=SIGN('Real results'!C75-'Real results'!D75),2+IF(AND('Raw data'!W75='Real results'!C75,'Raw data'!X75='Real results'!D75),2,0),0),0),0)</f>
        <v>0</v>
      </c>
      <c r="Y76" s="34">
        <f>IFERROR(IF(AND(ISNUMBER('Real results'!C75),ISNUMBER('Real results'!D75),ISNUMBER('Raw data'!Y75),ISNUMBER('Raw data'!Z75)),IF(SIGN('Raw data'!Y75-'Raw data'!Z75)=SIGN('Real results'!C75-'Real results'!D75),2+IF(AND('Raw data'!Y75='Real results'!C75,'Raw data'!Z75='Real results'!D75),2,0),0),0),0)</f>
        <v>0</v>
      </c>
      <c r="AA76" s="34">
        <f>IFERROR(IF(AND(ISNUMBER('Real results'!C75),ISNUMBER('Real results'!D75),ISNUMBER('Raw data'!AA75),ISNUMBER('Raw data'!AB75)),IF(SIGN('Raw data'!AA75-'Raw data'!AB75)=SIGN('Real results'!C75-'Real results'!D75),2+IF(AND('Raw data'!AA75='Real results'!C75,'Raw data'!AB75='Real results'!D75),2,0),0),0),0)</f>
        <v>0</v>
      </c>
      <c r="AC76" s="34">
        <f>IFERROR(IF(AND(ISNUMBER('Real results'!C75),ISNUMBER('Real results'!D75),ISNUMBER('Raw data'!AC75),ISNUMBER('Raw data'!AD75)),IF(SIGN('Raw data'!AC75-'Raw data'!AD75)=SIGN('Real results'!C75-'Real results'!D75),2+IF(AND('Raw data'!AC75='Real results'!C75,'Raw data'!AD75='Real results'!D75),2,0),0),0),0)</f>
        <v>0</v>
      </c>
      <c r="AE76" s="34">
        <f>IFERROR(IF(AND(ISNUMBER('Real results'!C75),ISNUMBER('Real results'!D75),ISNUMBER('Raw data'!AE75),ISNUMBER('Raw data'!AF75)),IF(SIGN('Raw data'!AE75-'Raw data'!AF75)=SIGN('Real results'!C75-'Real results'!D75),2+IF(AND('Raw data'!AE75='Real results'!C75,'Raw data'!AF75='Real results'!D75),2,0),0),0),0)</f>
        <v>0</v>
      </c>
      <c r="AG76" s="34">
        <f>IFERROR(IF(AND(ISNUMBER('Real results'!C75),ISNUMBER('Real results'!D75),ISNUMBER('Raw data'!AG75),ISNUMBER('Raw data'!AH75)),IF(SIGN('Raw data'!AG75-'Raw data'!AH75)=SIGN('Real results'!C75-'Real results'!D75),2+IF(AND('Raw data'!AG75='Real results'!C75,'Raw data'!AH75='Real results'!D75),2,0),0),0),0)</f>
        <v>0</v>
      </c>
      <c r="AI76" s="34">
        <f>IFERROR(IF(AND(ISNUMBER('Real results'!C75),ISNUMBER('Real results'!D75),ISNUMBER('Raw data'!AI75),ISNUMBER('Raw data'!AJ75)),IF(SIGN('Raw data'!AI75-'Raw data'!AJ75)=SIGN('Real results'!C75-'Real results'!D75),2+IF(AND('Raw data'!AI75='Real results'!C75,'Raw data'!AJ75='Real results'!D75),2,0),0),0),0)</f>
        <v>0</v>
      </c>
      <c r="AK76" s="34">
        <f>IFERROR(IF(AND(ISNUMBER('Real results'!C75),ISNUMBER('Real results'!D75),ISNUMBER('Raw data'!AK75),ISNUMBER('Raw data'!AL75)),IF(SIGN('Raw data'!AK75-'Raw data'!AL75)=SIGN('Real results'!C75-'Real results'!D75),2+IF(AND('Raw data'!AK75='Real results'!C75,'Raw data'!AL75='Real results'!D75),2,0),0),0),0)</f>
        <v>0</v>
      </c>
      <c r="AM76" s="34">
        <f>IFERROR(IF(AND(ISNUMBER('Real results'!C75),ISNUMBER('Real results'!D75),ISNUMBER('Raw data'!AM75),ISNUMBER('Raw data'!AN75)),IF(SIGN('Raw data'!AM75-'Raw data'!AN75)=SIGN('Real results'!C75-'Real results'!D75),2+IF(AND('Raw data'!AM75='Real results'!C75,'Raw data'!AN75='Real results'!D75),2,0),0),0),0)</f>
        <v>0</v>
      </c>
      <c r="AO76" s="34">
        <f>IFERROR(IF(AND(ISNUMBER('Real results'!C75),ISNUMBER('Real results'!D75),ISNUMBER('Raw data'!AO75),ISNUMBER('Raw data'!AP75)),IF(SIGN('Raw data'!AO75-'Raw data'!AP75)=SIGN('Real results'!C75-'Real results'!D75),2+IF(AND('Raw data'!AO75='Real results'!C75,'Raw data'!AP75='Real results'!D75),2,0),0),0),0)</f>
        <v>0</v>
      </c>
      <c r="AQ76" s="34">
        <f>IFERROR(IF(AND(ISNUMBER('Real results'!C75),ISNUMBER('Real results'!D75),ISNUMBER('Raw data'!AQ75),ISNUMBER('Raw data'!AR75)),IF(SIGN('Raw data'!AQ75-'Raw data'!AR75)=SIGN('Real results'!C75-'Real results'!D75),2+IF(AND('Raw data'!AQ75='Real results'!C75,'Raw data'!AR75='Real results'!D75),2,0),0),0),0)</f>
        <v>0</v>
      </c>
      <c r="AS76" s="34">
        <f>IFERROR(IF(AND(ISNUMBER('Real results'!C75),ISNUMBER('Real results'!D75),ISNUMBER('Raw data'!AS75),ISNUMBER('Raw data'!AT75)),IF(SIGN('Raw data'!AS75-'Raw data'!AT75)=SIGN('Real results'!C75-'Real results'!D75),2+IF(AND('Raw data'!AS75='Real results'!C75,'Raw data'!AT75='Real results'!D75),2,0),0),0),0)</f>
        <v>0</v>
      </c>
      <c r="AU76" s="34">
        <f>IFERROR(IF(AND(ISNUMBER('Real results'!C75),ISNUMBER('Real results'!D75),ISNUMBER('Raw data'!AU75),ISNUMBER('Raw data'!AV75)),IF(SIGN('Raw data'!AU75-'Raw data'!AV75)=SIGN('Real results'!C75-'Real results'!D75),2+IF(AND('Raw data'!AU75='Real results'!C75,'Raw data'!AV75='Real results'!D75),2,0),0),0),0)</f>
        <v>0</v>
      </c>
      <c r="AW76" s="34">
        <f>IFERROR(IF(AND(ISNUMBER('Real results'!C75),ISNUMBER('Real results'!D75),ISNUMBER('Raw data'!AW75),ISNUMBER('Raw data'!AX75)),IF(SIGN('Raw data'!AW75-'Raw data'!AX75)=SIGN('Real results'!C75-'Real results'!D75),2+IF(AND('Raw data'!AW75='Real results'!C75,'Raw data'!AX75='Real results'!D75),2,0),0),0),0)</f>
        <v>0</v>
      </c>
      <c r="AY76" s="34">
        <f>IFERROR(IF(AND(ISNUMBER('Real results'!C75),ISNUMBER('Real results'!D75),ISNUMBER('Raw data'!AY75),ISNUMBER('Raw data'!AZ75)),IF(SIGN('Raw data'!AY75-'Raw data'!AZ75)=SIGN('Real results'!C75-'Real results'!D75),2+IF(AND('Raw data'!AY75='Real results'!C75,'Raw data'!AZ75='Real results'!D75),2,0),0),0),0)</f>
        <v>0</v>
      </c>
      <c r="BA76" s="34">
        <f>IFERROR(IF(AND(ISNUMBER('Real results'!C75),ISNUMBER('Real results'!D75),ISNUMBER('Raw data'!BA75),ISNUMBER('Raw data'!BB75)),IF(SIGN('Raw data'!BA75-'Raw data'!BB75)=SIGN('Real results'!C75-'Real results'!D75),2+IF(AND('Raw data'!BA75='Real results'!C75,'Raw data'!BB75='Real results'!D75),2,0),0),0),0)</f>
        <v>0</v>
      </c>
      <c r="BC76" s="34">
        <f>IFERROR(IF(AND(ISNUMBER('Real results'!C75),ISNUMBER('Real results'!D75),ISNUMBER('Raw data'!BC75),ISNUMBER('Raw data'!BD75)),IF(SIGN('Raw data'!BC75-'Raw data'!BD75)=SIGN('Real results'!C75-'Real results'!D75),2+IF(AND('Raw data'!BC75='Real results'!C75,'Raw data'!BD75='Real results'!D75),2,0),0),0),0)</f>
        <v>0</v>
      </c>
      <c r="BE76" s="34">
        <f>IFERROR(IF(AND(ISNUMBER('Real results'!C75),ISNUMBER('Real results'!D75),ISNUMBER('Raw data'!BE75),ISNUMBER('Raw data'!BF75)),IF(SIGN('Raw data'!BE75-'Raw data'!BF75)=SIGN('Real results'!C75-'Real results'!D75),2+IF(AND('Raw data'!BE75='Real results'!C75,'Raw data'!BF75='Real results'!D75),2,0),0),0),0)</f>
        <v>0</v>
      </c>
      <c r="BG76" s="34">
        <f>IFERROR(IF(AND(ISNUMBER('Real results'!C75),ISNUMBER('Real results'!D75),ISNUMBER('Raw data'!BG75),ISNUMBER('Raw data'!BH75)),IF(SIGN('Raw data'!BG75-'Raw data'!BH75)=SIGN('Real results'!C75-'Real results'!D75),2+IF(AND('Raw data'!BG75='Real results'!C75,'Raw data'!BH75='Real results'!D75),2,0),0),0),0)</f>
        <v>0</v>
      </c>
      <c r="BI76" s="34">
        <f>IFERROR(IF(AND(ISNUMBER('Real results'!C75),ISNUMBER('Real results'!D75),ISNUMBER('Raw data'!BI75),ISNUMBER('Raw data'!BJ75)),IF(SIGN('Raw data'!BI75-'Raw data'!BJ75)=SIGN('Real results'!C75-'Real results'!D75),2+IF(AND('Raw data'!BI75='Real results'!C75,'Raw data'!BJ75='Real results'!D75),2,0),0),0),0)</f>
        <v>0</v>
      </c>
    </row>
    <row r="77" ht="18.0" customHeight="1">
      <c r="B77" s="12" t="s">
        <v>102</v>
      </c>
      <c r="C77" s="34">
        <f>IFERROR(IF(AND(ISNUMBER('Real results'!C76),ISNUMBER('Real results'!D76),ISNUMBER('Raw data'!C74),ISNUMBER('Raw data'!D74)),IF(SIGN('Raw data'!C74-'Raw data'!D74)=SIGN('Real results'!C76-'Real results'!D76),2+IF(AND('Raw data'!C74='Real results'!C76,'Raw data'!D74='Real results'!D76),2,0),0),0),0)</f>
        <v>0</v>
      </c>
      <c r="E77" s="34">
        <f>IFERROR(IF(AND(ISNUMBER('Real results'!C76),ISNUMBER('Real results'!D76),ISNUMBER('Raw data'!E75),ISNUMBER('Raw data'!F75)),IF(SIGN('Raw data'!E75-'Raw data'!F75)=SIGN('Real results'!C76-'Real results'!D76),2+IF(AND('Raw data'!E75='Real results'!C76,'Raw data'!F75='Real results'!D76),2,0),0),0),0)</f>
        <v>0</v>
      </c>
      <c r="G77" s="34">
        <f>IFERROR(IF(AND(ISNUMBER('Real results'!C76),ISNUMBER('Real results'!D76),ISNUMBER('Raw data'!G76),ISNUMBER('Raw data'!H76)),IF(SIGN('Raw data'!G76-'Raw data'!H76)=SIGN('Real results'!C76-'Real results'!D76),2+IF(AND('Raw data'!G76='Real results'!C76,'Raw data'!H76='Real results'!D76),2,0),0),0),0)</f>
        <v>2</v>
      </c>
      <c r="I77" s="34">
        <f>IFERROR(IF(AND(ISNUMBER('Real results'!C76),ISNUMBER('Real results'!D76),ISNUMBER('Raw data'!I76),ISNUMBER('Raw data'!J76)),IF(SIGN('Raw data'!I76-'Raw data'!J76)=SIGN('Real results'!C76-'Real results'!D76),2+IF(AND('Raw data'!I76='Real results'!C76,'Raw data'!J76='Real results'!D76),2,0),0),0),0)</f>
        <v>2</v>
      </c>
      <c r="K77" s="34">
        <f>IFERROR(IF(AND(ISNUMBER('Real results'!C76),ISNUMBER('Real results'!D76),ISNUMBER('Raw data'!K76),ISNUMBER('Raw data'!L76)),IF(SIGN('Raw data'!K76-'Raw data'!L76)=SIGN('Real results'!C76-'Real results'!D76),2+IF(AND('Raw data'!K76='Real results'!C76,'Raw data'!L76='Real results'!D76),2,0),0),0),0)</f>
        <v>2</v>
      </c>
      <c r="M77" s="34">
        <f>IFERROR(IF(AND(ISNUMBER('Real results'!C76),ISNUMBER('Real results'!D76),ISNUMBER('Raw data'!M76),ISNUMBER('Raw data'!N76)),IF(SIGN('Raw data'!M76-'Raw data'!N76)=SIGN('Real results'!C76-'Real results'!D76),2+IF(AND('Raw data'!M76='Real results'!C76,'Raw data'!N76='Real results'!D76),2,0),0),0),0)</f>
        <v>0</v>
      </c>
      <c r="O77" s="34">
        <f>IFERROR(IF(AND(ISNUMBER('Real results'!C76),ISNUMBER('Real results'!D76),ISNUMBER('Raw data'!O76),ISNUMBER('Raw data'!P76)),IF(SIGN('Raw data'!O76-'Raw data'!P76)=SIGN('Real results'!C76-'Real results'!D76),2+IF(AND('Raw data'!O76='Real results'!C76,'Raw data'!P76='Real results'!D76),2,0),0),0),0)</f>
        <v>0</v>
      </c>
      <c r="Q77" s="34">
        <f>IFERROR(IF(AND(ISNUMBER('Real results'!C76),ISNUMBER('Real results'!D76),ISNUMBER('Raw data'!Q76),ISNUMBER('Raw data'!R76)),IF(SIGN('Raw data'!Q76-'Raw data'!R76)=SIGN('Real results'!C76-'Real results'!D76),2+IF(AND('Raw data'!Q76='Real results'!C76,'Raw data'!R76='Real results'!D76),2,0),0),0),0)</f>
        <v>0</v>
      </c>
      <c r="S77" s="34">
        <f>IFERROR(IF(AND(ISNUMBER('Real results'!C76),ISNUMBER('Real results'!D76),ISNUMBER('Raw data'!S76),ISNUMBER('Raw data'!T76)),IF(SIGN('Raw data'!S76-'Raw data'!T76)=SIGN('Real results'!C76-'Real results'!D76),2+IF(AND('Raw data'!S76='Real results'!C76,'Raw data'!T76='Real results'!D76),2,0),0),0),0)</f>
        <v>0</v>
      </c>
      <c r="U77" s="34">
        <f>IFERROR(IF(AND(ISNUMBER('Real results'!C76),ISNUMBER('Real results'!D76),ISNUMBER('Raw data'!U76),ISNUMBER('Raw data'!V76)),IF(SIGN('Raw data'!U76-'Raw data'!V76)=SIGN('Real results'!C76-'Real results'!D76),2+IF(AND('Raw data'!U76='Real results'!C76,'Raw data'!V76='Real results'!D76),2,0),0),0),0)</f>
        <v>0</v>
      </c>
      <c r="W77" s="34">
        <f>IFERROR(IF(AND(ISNUMBER('Real results'!C76),ISNUMBER('Real results'!D76),ISNUMBER('Raw data'!W76),ISNUMBER('Raw data'!X76)),IF(SIGN('Raw data'!W76-'Raw data'!X76)=SIGN('Real results'!C76-'Real results'!D76),2+IF(AND('Raw data'!W76='Real results'!C76,'Raw data'!X76='Real results'!D76),2,0),0),0),0)</f>
        <v>0</v>
      </c>
      <c r="Y77" s="34">
        <f>IFERROR(IF(AND(ISNUMBER('Real results'!C76),ISNUMBER('Real results'!D76),ISNUMBER('Raw data'!Y76),ISNUMBER('Raw data'!Z76)),IF(SIGN('Raw data'!Y76-'Raw data'!Z76)=SIGN('Real results'!C76-'Real results'!D76),2+IF(AND('Raw data'!Y76='Real results'!C76,'Raw data'!Z76='Real results'!D76),2,0),0),0),0)</f>
        <v>0</v>
      </c>
      <c r="AA77" s="34">
        <f>IFERROR(IF(AND(ISNUMBER('Real results'!C76),ISNUMBER('Real results'!D76),ISNUMBER('Raw data'!AA76),ISNUMBER('Raw data'!AB76)),IF(SIGN('Raw data'!AA76-'Raw data'!AB76)=SIGN('Real results'!C76-'Real results'!D76),2+IF(AND('Raw data'!AA76='Real results'!C76,'Raw data'!AB76='Real results'!D76),2,0),0),0),0)</f>
        <v>0</v>
      </c>
      <c r="AC77" s="34">
        <f>IFERROR(IF(AND(ISNUMBER('Real results'!C76),ISNUMBER('Real results'!D76),ISNUMBER('Raw data'!AC76),ISNUMBER('Raw data'!AD76)),IF(SIGN('Raw data'!AC76-'Raw data'!AD76)=SIGN('Real results'!C76-'Real results'!D76),2+IF(AND('Raw data'!AC76='Real results'!C76,'Raw data'!AD76='Real results'!D76),2,0),0),0),0)</f>
        <v>0</v>
      </c>
      <c r="AE77" s="34">
        <f>IFERROR(IF(AND(ISNUMBER('Real results'!C76),ISNUMBER('Real results'!D76),ISNUMBER('Raw data'!AE76),ISNUMBER('Raw data'!AF76)),IF(SIGN('Raw data'!AE76-'Raw data'!AF76)=SIGN('Real results'!C76-'Real results'!D76),2+IF(AND('Raw data'!AE76='Real results'!C76,'Raw data'!AF76='Real results'!D76),2,0),0),0),0)</f>
        <v>0</v>
      </c>
      <c r="AG77" s="34">
        <f>IFERROR(IF(AND(ISNUMBER('Real results'!C76),ISNUMBER('Real results'!D76),ISNUMBER('Raw data'!AG76),ISNUMBER('Raw data'!AH76)),IF(SIGN('Raw data'!AG76-'Raw data'!AH76)=SIGN('Real results'!C76-'Real results'!D76),2+IF(AND('Raw data'!AG76='Real results'!C76,'Raw data'!AH76='Real results'!D76),2,0),0),0),0)</f>
        <v>0</v>
      </c>
      <c r="AI77" s="34">
        <f>IFERROR(IF(AND(ISNUMBER('Real results'!C76),ISNUMBER('Real results'!D76),ISNUMBER('Raw data'!AI76),ISNUMBER('Raw data'!AJ76)),IF(SIGN('Raw data'!AI76-'Raw data'!AJ76)=SIGN('Real results'!C76-'Real results'!D76),2+IF(AND('Raw data'!AI76='Real results'!C76,'Raw data'!AJ76='Real results'!D76),2,0),0),0),0)</f>
        <v>0</v>
      </c>
      <c r="AK77" s="34">
        <f>IFERROR(IF(AND(ISNUMBER('Real results'!C76),ISNUMBER('Real results'!D76),ISNUMBER('Raw data'!AK76),ISNUMBER('Raw data'!AL76)),IF(SIGN('Raw data'!AK76-'Raw data'!AL76)=SIGN('Real results'!C76-'Real results'!D76),2+IF(AND('Raw data'!AK76='Real results'!C76,'Raw data'!AL76='Real results'!D76),2,0),0),0),0)</f>
        <v>0</v>
      </c>
      <c r="AM77" s="34">
        <f>IFERROR(IF(AND(ISNUMBER('Real results'!C76),ISNUMBER('Real results'!D76),ISNUMBER('Raw data'!AM76),ISNUMBER('Raw data'!AN76)),IF(SIGN('Raw data'!AM76-'Raw data'!AN76)=SIGN('Real results'!C76-'Real results'!D76),2+IF(AND('Raw data'!AM76='Real results'!C76,'Raw data'!AN76='Real results'!D76),2,0),0),0),0)</f>
        <v>0</v>
      </c>
      <c r="AO77" s="34">
        <f>IFERROR(IF(AND(ISNUMBER('Real results'!C76),ISNUMBER('Real results'!D76),ISNUMBER('Raw data'!AO76),ISNUMBER('Raw data'!AP76)),IF(SIGN('Raw data'!AO76-'Raw data'!AP76)=SIGN('Real results'!C76-'Real results'!D76),2+IF(AND('Raw data'!AO76='Real results'!C76,'Raw data'!AP76='Real results'!D76),2,0),0),0),0)</f>
        <v>0</v>
      </c>
      <c r="AQ77" s="34">
        <f>IFERROR(IF(AND(ISNUMBER('Real results'!C76),ISNUMBER('Real results'!D76),ISNUMBER('Raw data'!AQ76),ISNUMBER('Raw data'!AR76)),IF(SIGN('Raw data'!AQ76-'Raw data'!AR76)=SIGN('Real results'!C76-'Real results'!D76),2+IF(AND('Raw data'!AQ76='Real results'!C76,'Raw data'!AR76='Real results'!D76),2,0),0),0),0)</f>
        <v>0</v>
      </c>
      <c r="AS77" s="34">
        <f>IFERROR(IF(AND(ISNUMBER('Real results'!C76),ISNUMBER('Real results'!D76),ISNUMBER('Raw data'!AS76),ISNUMBER('Raw data'!AT76)),IF(SIGN('Raw data'!AS76-'Raw data'!AT76)=SIGN('Real results'!C76-'Real results'!D76),2+IF(AND('Raw data'!AS76='Real results'!C76,'Raw data'!AT76='Real results'!D76),2,0),0),0),0)</f>
        <v>0</v>
      </c>
      <c r="AU77" s="34">
        <f>IFERROR(IF(AND(ISNUMBER('Real results'!C76),ISNUMBER('Real results'!D76),ISNUMBER('Raw data'!AU76),ISNUMBER('Raw data'!AV76)),IF(SIGN('Raw data'!AU76-'Raw data'!AV76)=SIGN('Real results'!C76-'Real results'!D76),2+IF(AND('Raw data'!AU76='Real results'!C76,'Raw data'!AV76='Real results'!D76),2,0),0),0),0)</f>
        <v>0</v>
      </c>
      <c r="AW77" s="34">
        <f>IFERROR(IF(AND(ISNUMBER('Real results'!C76),ISNUMBER('Real results'!D76),ISNUMBER('Raw data'!AW76),ISNUMBER('Raw data'!AX76)),IF(SIGN('Raw data'!AW76-'Raw data'!AX76)=SIGN('Real results'!C76-'Real results'!D76),2+IF(AND('Raw data'!AW76='Real results'!C76,'Raw data'!AX76='Real results'!D76),2,0),0),0),0)</f>
        <v>0</v>
      </c>
      <c r="AY77" s="34">
        <f>IFERROR(IF(AND(ISNUMBER('Real results'!C76),ISNUMBER('Real results'!D76),ISNUMBER('Raw data'!AY76),ISNUMBER('Raw data'!AZ76)),IF(SIGN('Raw data'!AY76-'Raw data'!AZ76)=SIGN('Real results'!C76-'Real results'!D76),2+IF(AND('Raw data'!AY76='Real results'!C76,'Raw data'!AZ76='Real results'!D76),2,0),0),0),0)</f>
        <v>0</v>
      </c>
      <c r="BA77" s="34">
        <f>IFERROR(IF(AND(ISNUMBER('Real results'!C76),ISNUMBER('Real results'!D76),ISNUMBER('Raw data'!BA76),ISNUMBER('Raw data'!BB76)),IF(SIGN('Raw data'!BA76-'Raw data'!BB76)=SIGN('Real results'!C76-'Real results'!D76),2+IF(AND('Raw data'!BA76='Real results'!C76,'Raw data'!BB76='Real results'!D76),2,0),0),0),0)</f>
        <v>0</v>
      </c>
      <c r="BC77" s="34">
        <f>IFERROR(IF(AND(ISNUMBER('Real results'!C76),ISNUMBER('Real results'!D76),ISNUMBER('Raw data'!BC76),ISNUMBER('Raw data'!BD76)),IF(SIGN('Raw data'!BC76-'Raw data'!BD76)=SIGN('Real results'!C76-'Real results'!D76),2+IF(AND('Raw data'!BC76='Real results'!C76,'Raw data'!BD76='Real results'!D76),2,0),0),0),0)</f>
        <v>0</v>
      </c>
      <c r="BE77" s="34">
        <f>IFERROR(IF(AND(ISNUMBER('Real results'!C76),ISNUMBER('Real results'!D76),ISNUMBER('Raw data'!BE76),ISNUMBER('Raw data'!BF76)),IF(SIGN('Raw data'!BE76-'Raw data'!BF76)=SIGN('Real results'!C76-'Real results'!D76),2+IF(AND('Raw data'!BE76='Real results'!C76,'Raw data'!BF76='Real results'!D76),2,0),0),0),0)</f>
        <v>0</v>
      </c>
      <c r="BG77" s="34">
        <f>IFERROR(IF(AND(ISNUMBER('Real results'!C76),ISNUMBER('Real results'!D76),ISNUMBER('Raw data'!BG76),ISNUMBER('Raw data'!BH76)),IF(SIGN('Raw data'!BG76-'Raw data'!BH76)=SIGN('Real results'!C76-'Real results'!D76),2+IF(AND('Raw data'!BG76='Real results'!C76,'Raw data'!BH76='Real results'!D76),2,0),0),0),0)</f>
        <v>0</v>
      </c>
      <c r="BI77" s="34">
        <f>IFERROR(IF(AND(ISNUMBER('Real results'!C76),ISNUMBER('Real results'!D76),ISNUMBER('Raw data'!BI76),ISNUMBER('Raw data'!BJ76)),IF(SIGN('Raw data'!BI76-'Raw data'!BJ76)=SIGN('Real results'!C76-'Real results'!D76),2+IF(AND('Raw data'!BI76='Real results'!C76,'Raw data'!BJ76='Real results'!D76),2,0),0),0),0)</f>
        <v>0</v>
      </c>
    </row>
    <row r="78" ht="18.0" customHeight="1">
      <c r="B78" s="12" t="s">
        <v>103</v>
      </c>
      <c r="C78" s="34">
        <f>IFERROR(IF(AND(ISNUMBER('Real results'!C77),ISNUMBER('Real results'!D77),ISNUMBER('Raw data'!C75),ISNUMBER('Raw data'!D75)),IF(SIGN('Raw data'!C75-'Raw data'!D75)=SIGN('Real results'!C77-'Real results'!D77),2+IF(AND('Raw data'!C75='Real results'!C77,'Raw data'!D75='Real results'!D77),2,0),0),0),0)</f>
        <v>2</v>
      </c>
      <c r="E78" s="34">
        <f>IFERROR(IF(AND(ISNUMBER('Real results'!C77),ISNUMBER('Real results'!D77),ISNUMBER('Raw data'!E76),ISNUMBER('Raw data'!F76)),IF(SIGN('Raw data'!E76-'Raw data'!F76)=SIGN('Real results'!C77-'Real results'!D77),2+IF(AND('Raw data'!E76='Real results'!C77,'Raw data'!F76='Real results'!D77),2,0),0),0),0)</f>
        <v>0</v>
      </c>
      <c r="G78" s="34">
        <f>IFERROR(IF(AND(ISNUMBER('Real results'!C77),ISNUMBER('Real results'!D77),ISNUMBER('Raw data'!G77),ISNUMBER('Raw data'!H77)),IF(SIGN('Raw data'!G77-'Raw data'!H77)=SIGN('Real results'!C77-'Real results'!D77),2+IF(AND('Raw data'!G77='Real results'!C77,'Raw data'!H77='Real results'!D77),2,0),0),0),0)</f>
        <v>0</v>
      </c>
      <c r="I78" s="34">
        <f>IFERROR(IF(AND(ISNUMBER('Real results'!C77),ISNUMBER('Real results'!D77),ISNUMBER('Raw data'!I77),ISNUMBER('Raw data'!J77)),IF(SIGN('Raw data'!I77-'Raw data'!J77)=SIGN('Real results'!C77-'Real results'!D77),2+IF(AND('Raw data'!I77='Real results'!C77,'Raw data'!J77='Real results'!D77),2,0),0),0),0)</f>
        <v>2</v>
      </c>
      <c r="K78" s="34">
        <f>IFERROR(IF(AND(ISNUMBER('Real results'!C77),ISNUMBER('Real results'!D77),ISNUMBER('Raw data'!K77),ISNUMBER('Raw data'!L77)),IF(SIGN('Raw data'!K77-'Raw data'!L77)=SIGN('Real results'!C77-'Real results'!D77),2+IF(AND('Raw data'!K77='Real results'!C77,'Raw data'!L77='Real results'!D77),2,0),0),0),0)</f>
        <v>4</v>
      </c>
      <c r="M78" s="34">
        <f>IFERROR(IF(AND(ISNUMBER('Real results'!C77),ISNUMBER('Real results'!D77),ISNUMBER('Raw data'!M77),ISNUMBER('Raw data'!N77)),IF(SIGN('Raw data'!M77-'Raw data'!N77)=SIGN('Real results'!C77-'Real results'!D77),2+IF(AND('Raw data'!M77='Real results'!C77,'Raw data'!N77='Real results'!D77),2,0),0),0),0)</f>
        <v>0</v>
      </c>
      <c r="O78" s="34">
        <f>IFERROR(IF(AND(ISNUMBER('Real results'!C77),ISNUMBER('Real results'!D77),ISNUMBER('Raw data'!O77),ISNUMBER('Raw data'!P77)),IF(SIGN('Raw data'!O77-'Raw data'!P77)=SIGN('Real results'!C77-'Real results'!D77),2+IF(AND('Raw data'!O77='Real results'!C77,'Raw data'!P77='Real results'!D77),2,0),0),0),0)</f>
        <v>0</v>
      </c>
      <c r="Q78" s="34">
        <f>IFERROR(IF(AND(ISNUMBER('Real results'!C77),ISNUMBER('Real results'!D77),ISNUMBER('Raw data'!Q77),ISNUMBER('Raw data'!R77)),IF(SIGN('Raw data'!Q77-'Raw data'!R77)=SIGN('Real results'!C77-'Real results'!D77),2+IF(AND('Raw data'!Q77='Real results'!C77,'Raw data'!R77='Real results'!D77),2,0),0),0),0)</f>
        <v>0</v>
      </c>
      <c r="S78" s="34">
        <f>IFERROR(IF(AND(ISNUMBER('Real results'!C77),ISNUMBER('Real results'!D77),ISNUMBER('Raw data'!S77),ISNUMBER('Raw data'!T77)),IF(SIGN('Raw data'!S77-'Raw data'!T77)=SIGN('Real results'!C77-'Real results'!D77),2+IF(AND('Raw data'!S77='Real results'!C77,'Raw data'!T77='Real results'!D77),2,0),0),0),0)</f>
        <v>0</v>
      </c>
      <c r="U78" s="34">
        <f>IFERROR(IF(AND(ISNUMBER('Real results'!C77),ISNUMBER('Real results'!D77),ISNUMBER('Raw data'!U77),ISNUMBER('Raw data'!V77)),IF(SIGN('Raw data'!U77-'Raw data'!V77)=SIGN('Real results'!C77-'Real results'!D77),2+IF(AND('Raw data'!U77='Real results'!C77,'Raw data'!V77='Real results'!D77),2,0),0),0),0)</f>
        <v>0</v>
      </c>
      <c r="W78" s="34">
        <f>IFERROR(IF(AND(ISNUMBER('Real results'!C77),ISNUMBER('Real results'!D77),ISNUMBER('Raw data'!W77),ISNUMBER('Raw data'!X77)),IF(SIGN('Raw data'!W77-'Raw data'!X77)=SIGN('Real results'!C77-'Real results'!D77),2+IF(AND('Raw data'!W77='Real results'!C77,'Raw data'!X77='Real results'!D77),2,0),0),0),0)</f>
        <v>0</v>
      </c>
      <c r="Y78" s="34">
        <f>IFERROR(IF(AND(ISNUMBER('Real results'!C77),ISNUMBER('Real results'!D77),ISNUMBER('Raw data'!Y77),ISNUMBER('Raw data'!Z77)),IF(SIGN('Raw data'!Y77-'Raw data'!Z77)=SIGN('Real results'!C77-'Real results'!D77),2+IF(AND('Raw data'!Y77='Real results'!C77,'Raw data'!Z77='Real results'!D77),2,0),0),0),0)</f>
        <v>0</v>
      </c>
      <c r="AA78" s="34">
        <f>IFERROR(IF(AND(ISNUMBER('Real results'!C77),ISNUMBER('Real results'!D77),ISNUMBER('Raw data'!AA77),ISNUMBER('Raw data'!AB77)),IF(SIGN('Raw data'!AA77-'Raw data'!AB77)=SIGN('Real results'!C77-'Real results'!D77),2+IF(AND('Raw data'!AA77='Real results'!C77,'Raw data'!AB77='Real results'!D77),2,0),0),0),0)</f>
        <v>0</v>
      </c>
      <c r="AC78" s="34">
        <f>IFERROR(IF(AND(ISNUMBER('Real results'!C77),ISNUMBER('Real results'!D77),ISNUMBER('Raw data'!AC77),ISNUMBER('Raw data'!AD77)),IF(SIGN('Raw data'!AC77-'Raw data'!AD77)=SIGN('Real results'!C77-'Real results'!D77),2+IF(AND('Raw data'!AC77='Real results'!C77,'Raw data'!AD77='Real results'!D77),2,0),0),0),0)</f>
        <v>0</v>
      </c>
      <c r="AE78" s="34">
        <f>IFERROR(IF(AND(ISNUMBER('Real results'!C77),ISNUMBER('Real results'!D77),ISNUMBER('Raw data'!AE77),ISNUMBER('Raw data'!AF77)),IF(SIGN('Raw data'!AE77-'Raw data'!AF77)=SIGN('Real results'!C77-'Real results'!D77),2+IF(AND('Raw data'!AE77='Real results'!C77,'Raw data'!AF77='Real results'!D77),2,0),0),0),0)</f>
        <v>0</v>
      </c>
      <c r="AG78" s="34">
        <f>IFERROR(IF(AND(ISNUMBER('Real results'!C77),ISNUMBER('Real results'!D77),ISNUMBER('Raw data'!AG77),ISNUMBER('Raw data'!AH77)),IF(SIGN('Raw data'!AG77-'Raw data'!AH77)=SIGN('Real results'!C77-'Real results'!D77),2+IF(AND('Raw data'!AG77='Real results'!C77,'Raw data'!AH77='Real results'!D77),2,0),0),0),0)</f>
        <v>0</v>
      </c>
      <c r="AI78" s="34">
        <f>IFERROR(IF(AND(ISNUMBER('Real results'!C77),ISNUMBER('Real results'!D77),ISNUMBER('Raw data'!AI77),ISNUMBER('Raw data'!AJ77)),IF(SIGN('Raw data'!AI77-'Raw data'!AJ77)=SIGN('Real results'!C77-'Real results'!D77),2+IF(AND('Raw data'!AI77='Real results'!C77,'Raw data'!AJ77='Real results'!D77),2,0),0),0),0)</f>
        <v>0</v>
      </c>
      <c r="AK78" s="34">
        <f>IFERROR(IF(AND(ISNUMBER('Real results'!C77),ISNUMBER('Real results'!D77),ISNUMBER('Raw data'!AK77),ISNUMBER('Raw data'!AL77)),IF(SIGN('Raw data'!AK77-'Raw data'!AL77)=SIGN('Real results'!C77-'Real results'!D77),2+IF(AND('Raw data'!AK77='Real results'!C77,'Raw data'!AL77='Real results'!D77),2,0),0),0),0)</f>
        <v>0</v>
      </c>
      <c r="AM78" s="34">
        <f>IFERROR(IF(AND(ISNUMBER('Real results'!C77),ISNUMBER('Real results'!D77),ISNUMBER('Raw data'!AM77),ISNUMBER('Raw data'!AN77)),IF(SIGN('Raw data'!AM77-'Raw data'!AN77)=SIGN('Real results'!C77-'Real results'!D77),2+IF(AND('Raw data'!AM77='Real results'!C77,'Raw data'!AN77='Real results'!D77),2,0),0),0),0)</f>
        <v>0</v>
      </c>
      <c r="AO78" s="34">
        <f>IFERROR(IF(AND(ISNUMBER('Real results'!C77),ISNUMBER('Real results'!D77),ISNUMBER('Raw data'!AO77),ISNUMBER('Raw data'!AP77)),IF(SIGN('Raw data'!AO77-'Raw data'!AP77)=SIGN('Real results'!C77-'Real results'!D77),2+IF(AND('Raw data'!AO77='Real results'!C77,'Raw data'!AP77='Real results'!D77),2,0),0),0),0)</f>
        <v>0</v>
      </c>
      <c r="AQ78" s="34">
        <f>IFERROR(IF(AND(ISNUMBER('Real results'!C77),ISNUMBER('Real results'!D77),ISNUMBER('Raw data'!AQ77),ISNUMBER('Raw data'!AR77)),IF(SIGN('Raw data'!AQ77-'Raw data'!AR77)=SIGN('Real results'!C77-'Real results'!D77),2+IF(AND('Raw data'!AQ77='Real results'!C77,'Raw data'!AR77='Real results'!D77),2,0),0),0),0)</f>
        <v>0</v>
      </c>
      <c r="AS78" s="34">
        <f>IFERROR(IF(AND(ISNUMBER('Real results'!C77),ISNUMBER('Real results'!D77),ISNUMBER('Raw data'!AS77),ISNUMBER('Raw data'!AT77)),IF(SIGN('Raw data'!AS77-'Raw data'!AT77)=SIGN('Real results'!C77-'Real results'!D77),2+IF(AND('Raw data'!AS77='Real results'!C77,'Raw data'!AT77='Real results'!D77),2,0),0),0),0)</f>
        <v>0</v>
      </c>
      <c r="AU78" s="34">
        <f>IFERROR(IF(AND(ISNUMBER('Real results'!C77),ISNUMBER('Real results'!D77),ISNUMBER('Raw data'!AU77),ISNUMBER('Raw data'!AV77)),IF(SIGN('Raw data'!AU77-'Raw data'!AV77)=SIGN('Real results'!C77-'Real results'!D77),2+IF(AND('Raw data'!AU77='Real results'!C77,'Raw data'!AV77='Real results'!D77),2,0),0),0),0)</f>
        <v>0</v>
      </c>
      <c r="AW78" s="34">
        <f>IFERROR(IF(AND(ISNUMBER('Real results'!C77),ISNUMBER('Real results'!D77),ISNUMBER('Raw data'!AW77),ISNUMBER('Raw data'!AX77)),IF(SIGN('Raw data'!AW77-'Raw data'!AX77)=SIGN('Real results'!C77-'Real results'!D77),2+IF(AND('Raw data'!AW77='Real results'!C77,'Raw data'!AX77='Real results'!D77),2,0),0),0),0)</f>
        <v>0</v>
      </c>
      <c r="AY78" s="34">
        <f>IFERROR(IF(AND(ISNUMBER('Real results'!C77),ISNUMBER('Real results'!D77),ISNUMBER('Raw data'!AY77),ISNUMBER('Raw data'!AZ77)),IF(SIGN('Raw data'!AY77-'Raw data'!AZ77)=SIGN('Real results'!C77-'Real results'!D77),2+IF(AND('Raw data'!AY77='Real results'!C77,'Raw data'!AZ77='Real results'!D77),2,0),0),0),0)</f>
        <v>0</v>
      </c>
      <c r="BA78" s="34">
        <f>IFERROR(IF(AND(ISNUMBER('Real results'!C77),ISNUMBER('Real results'!D77),ISNUMBER('Raw data'!BA77),ISNUMBER('Raw data'!BB77)),IF(SIGN('Raw data'!BA77-'Raw data'!BB77)=SIGN('Real results'!C77-'Real results'!D77),2+IF(AND('Raw data'!BA77='Real results'!C77,'Raw data'!BB77='Real results'!D77),2,0),0),0),0)</f>
        <v>0</v>
      </c>
      <c r="BC78" s="34">
        <f>IFERROR(IF(AND(ISNUMBER('Real results'!C77),ISNUMBER('Real results'!D77),ISNUMBER('Raw data'!BC77),ISNUMBER('Raw data'!BD77)),IF(SIGN('Raw data'!BC77-'Raw data'!BD77)=SIGN('Real results'!C77-'Real results'!D77),2+IF(AND('Raw data'!BC77='Real results'!C77,'Raw data'!BD77='Real results'!D77),2,0),0),0),0)</f>
        <v>0</v>
      </c>
      <c r="BE78" s="34">
        <f>IFERROR(IF(AND(ISNUMBER('Real results'!C77),ISNUMBER('Real results'!D77),ISNUMBER('Raw data'!BE77),ISNUMBER('Raw data'!BF77)),IF(SIGN('Raw data'!BE77-'Raw data'!BF77)=SIGN('Real results'!C77-'Real results'!D77),2+IF(AND('Raw data'!BE77='Real results'!C77,'Raw data'!BF77='Real results'!D77),2,0),0),0),0)</f>
        <v>0</v>
      </c>
      <c r="BG78" s="34">
        <f>IFERROR(IF(AND(ISNUMBER('Real results'!C77),ISNUMBER('Real results'!D77),ISNUMBER('Raw data'!BG77),ISNUMBER('Raw data'!BH77)),IF(SIGN('Raw data'!BG77-'Raw data'!BH77)=SIGN('Real results'!C77-'Real results'!D77),2+IF(AND('Raw data'!BG77='Real results'!C77,'Raw data'!BH77='Real results'!D77),2,0),0),0),0)</f>
        <v>0</v>
      </c>
      <c r="BI78" s="34">
        <f>IFERROR(IF(AND(ISNUMBER('Real results'!C77),ISNUMBER('Real results'!D77),ISNUMBER('Raw data'!BI77),ISNUMBER('Raw data'!BJ77)),IF(SIGN('Raw data'!BI77-'Raw data'!BJ77)=SIGN('Real results'!C77-'Real results'!D77),2+IF(AND('Raw data'!BI77='Real results'!C77,'Raw data'!BJ77='Real results'!D77),2,0),0),0),0)</f>
        <v>0</v>
      </c>
    </row>
    <row r="79" ht="18.0" customHeight="1">
      <c r="B79" s="12" t="s">
        <v>104</v>
      </c>
      <c r="C79" s="34">
        <f>IFERROR(IF(AND(ISNUMBER('Real results'!C78),ISNUMBER('Real results'!D78),ISNUMBER('Raw data'!C76),ISNUMBER('Raw data'!D76)),IF(SIGN('Raw data'!C76-'Raw data'!D76)=SIGN('Real results'!C78-'Real results'!D78),2+IF(AND('Raw data'!C76='Real results'!C78,'Raw data'!D76='Real results'!D78),2,0),0),0),0)</f>
        <v>4</v>
      </c>
      <c r="E79" s="34">
        <f>IFERROR(IF(AND(ISNUMBER('Real results'!C78),ISNUMBER('Real results'!D78),ISNUMBER('Raw data'!E77),ISNUMBER('Raw data'!F77)),IF(SIGN('Raw data'!E77-'Raw data'!F77)=SIGN('Real results'!C78-'Real results'!D78),2+IF(AND('Raw data'!E77='Real results'!C78,'Raw data'!F77='Real results'!D78),2,0),0),0),0)</f>
        <v>0</v>
      </c>
      <c r="G79" s="34">
        <f>IFERROR(IF(AND(ISNUMBER('Real results'!C78),ISNUMBER('Real results'!D78),ISNUMBER('Raw data'!G78),ISNUMBER('Raw data'!H78)),IF(SIGN('Raw data'!G78-'Raw data'!H78)=SIGN('Real results'!C78-'Real results'!D78),2+IF(AND('Raw data'!G78='Real results'!C78,'Raw data'!H78='Real results'!D78),2,0),0),0),0)</f>
        <v>2</v>
      </c>
      <c r="I79" s="34">
        <f>IFERROR(IF(AND(ISNUMBER('Real results'!C78),ISNUMBER('Real results'!D78),ISNUMBER('Raw data'!I78),ISNUMBER('Raw data'!J78)),IF(SIGN('Raw data'!I78-'Raw data'!J78)=SIGN('Real results'!C78-'Real results'!D78),2+IF(AND('Raw data'!I78='Real results'!C78,'Raw data'!J78='Real results'!D78),2,0),0),0),0)</f>
        <v>2</v>
      </c>
      <c r="K79" s="34">
        <f>IFERROR(IF(AND(ISNUMBER('Real results'!C78),ISNUMBER('Real results'!D78),ISNUMBER('Raw data'!K78),ISNUMBER('Raw data'!L78)),IF(SIGN('Raw data'!K78-'Raw data'!L78)=SIGN('Real results'!C78-'Real results'!D78),2+IF(AND('Raw data'!K78='Real results'!C78,'Raw data'!L78='Real results'!D78),2,0),0),0),0)</f>
        <v>2</v>
      </c>
      <c r="M79" s="34">
        <f>IFERROR(IF(AND(ISNUMBER('Real results'!C78),ISNUMBER('Real results'!D78),ISNUMBER('Raw data'!M78),ISNUMBER('Raw data'!N78)),IF(SIGN('Raw data'!M78-'Raw data'!N78)=SIGN('Real results'!C78-'Real results'!D78),2+IF(AND('Raw data'!M78='Real results'!C78,'Raw data'!N78='Real results'!D78),2,0),0),0),0)</f>
        <v>0</v>
      </c>
      <c r="O79" s="34">
        <f>IFERROR(IF(AND(ISNUMBER('Real results'!C78),ISNUMBER('Real results'!D78),ISNUMBER('Raw data'!O78),ISNUMBER('Raw data'!P78)),IF(SIGN('Raw data'!O78-'Raw data'!P78)=SIGN('Real results'!C78-'Real results'!D78),2+IF(AND('Raw data'!O78='Real results'!C78,'Raw data'!P78='Real results'!D78),2,0),0),0),0)</f>
        <v>0</v>
      </c>
      <c r="Q79" s="34">
        <f>IFERROR(IF(AND(ISNUMBER('Real results'!C78),ISNUMBER('Real results'!D78),ISNUMBER('Raw data'!Q78),ISNUMBER('Raw data'!R78)),IF(SIGN('Raw data'!Q78-'Raw data'!R78)=SIGN('Real results'!C78-'Real results'!D78),2+IF(AND('Raw data'!Q78='Real results'!C78,'Raw data'!R78='Real results'!D78),2,0),0),0),0)</f>
        <v>0</v>
      </c>
      <c r="S79" s="34">
        <f>IFERROR(IF(AND(ISNUMBER('Real results'!C78),ISNUMBER('Real results'!D78),ISNUMBER('Raw data'!S78),ISNUMBER('Raw data'!T78)),IF(SIGN('Raw data'!S78-'Raw data'!T78)=SIGN('Real results'!C78-'Real results'!D78),2+IF(AND('Raw data'!S78='Real results'!C78,'Raw data'!T78='Real results'!D78),2,0),0),0),0)</f>
        <v>0</v>
      </c>
      <c r="U79" s="34">
        <f>IFERROR(IF(AND(ISNUMBER('Real results'!C78),ISNUMBER('Real results'!D78),ISNUMBER('Raw data'!U78),ISNUMBER('Raw data'!V78)),IF(SIGN('Raw data'!U78-'Raw data'!V78)=SIGN('Real results'!C78-'Real results'!D78),2+IF(AND('Raw data'!U78='Real results'!C78,'Raw data'!V78='Real results'!D78),2,0),0),0),0)</f>
        <v>0</v>
      </c>
      <c r="W79" s="34">
        <f>IFERROR(IF(AND(ISNUMBER('Real results'!C78),ISNUMBER('Real results'!D78),ISNUMBER('Raw data'!W78),ISNUMBER('Raw data'!X78)),IF(SIGN('Raw data'!W78-'Raw data'!X78)=SIGN('Real results'!C78-'Real results'!D78),2+IF(AND('Raw data'!W78='Real results'!C78,'Raw data'!X78='Real results'!D78),2,0),0),0),0)</f>
        <v>0</v>
      </c>
      <c r="Y79" s="34">
        <f>IFERROR(IF(AND(ISNUMBER('Real results'!C78),ISNUMBER('Real results'!D78),ISNUMBER('Raw data'!Y78),ISNUMBER('Raw data'!Z78)),IF(SIGN('Raw data'!Y78-'Raw data'!Z78)=SIGN('Real results'!C78-'Real results'!D78),2+IF(AND('Raw data'!Y78='Real results'!C78,'Raw data'!Z78='Real results'!D78),2,0),0),0),0)</f>
        <v>0</v>
      </c>
      <c r="AA79" s="34">
        <f>IFERROR(IF(AND(ISNUMBER('Real results'!C78),ISNUMBER('Real results'!D78),ISNUMBER('Raw data'!AA78),ISNUMBER('Raw data'!AB78)),IF(SIGN('Raw data'!AA78-'Raw data'!AB78)=SIGN('Real results'!C78-'Real results'!D78),2+IF(AND('Raw data'!AA78='Real results'!C78,'Raw data'!AB78='Real results'!D78),2,0),0),0),0)</f>
        <v>0</v>
      </c>
      <c r="AC79" s="34">
        <f>IFERROR(IF(AND(ISNUMBER('Real results'!C78),ISNUMBER('Real results'!D78),ISNUMBER('Raw data'!AC78),ISNUMBER('Raw data'!AD78)),IF(SIGN('Raw data'!AC78-'Raw data'!AD78)=SIGN('Real results'!C78-'Real results'!D78),2+IF(AND('Raw data'!AC78='Real results'!C78,'Raw data'!AD78='Real results'!D78),2,0),0),0),0)</f>
        <v>0</v>
      </c>
      <c r="AE79" s="34">
        <f>IFERROR(IF(AND(ISNUMBER('Real results'!C78),ISNUMBER('Real results'!D78),ISNUMBER('Raw data'!AE78),ISNUMBER('Raw data'!AF78)),IF(SIGN('Raw data'!AE78-'Raw data'!AF78)=SIGN('Real results'!C78-'Real results'!D78),2+IF(AND('Raw data'!AE78='Real results'!C78,'Raw data'!AF78='Real results'!D78),2,0),0),0),0)</f>
        <v>0</v>
      </c>
      <c r="AG79" s="34">
        <f>IFERROR(IF(AND(ISNUMBER('Real results'!C78),ISNUMBER('Real results'!D78),ISNUMBER('Raw data'!AG78),ISNUMBER('Raw data'!AH78)),IF(SIGN('Raw data'!AG78-'Raw data'!AH78)=SIGN('Real results'!C78-'Real results'!D78),2+IF(AND('Raw data'!AG78='Real results'!C78,'Raw data'!AH78='Real results'!D78),2,0),0),0),0)</f>
        <v>0</v>
      </c>
      <c r="AI79" s="34">
        <f>IFERROR(IF(AND(ISNUMBER('Real results'!C78),ISNUMBER('Real results'!D78),ISNUMBER('Raw data'!AI78),ISNUMBER('Raw data'!AJ78)),IF(SIGN('Raw data'!AI78-'Raw data'!AJ78)=SIGN('Real results'!C78-'Real results'!D78),2+IF(AND('Raw data'!AI78='Real results'!C78,'Raw data'!AJ78='Real results'!D78),2,0),0),0),0)</f>
        <v>0</v>
      </c>
      <c r="AK79" s="34">
        <f>IFERROR(IF(AND(ISNUMBER('Real results'!C78),ISNUMBER('Real results'!D78),ISNUMBER('Raw data'!AK78),ISNUMBER('Raw data'!AL78)),IF(SIGN('Raw data'!AK78-'Raw data'!AL78)=SIGN('Real results'!C78-'Real results'!D78),2+IF(AND('Raw data'!AK78='Real results'!C78,'Raw data'!AL78='Real results'!D78),2,0),0),0),0)</f>
        <v>0</v>
      </c>
      <c r="AM79" s="34">
        <f>IFERROR(IF(AND(ISNUMBER('Real results'!C78),ISNUMBER('Real results'!D78),ISNUMBER('Raw data'!AM78),ISNUMBER('Raw data'!AN78)),IF(SIGN('Raw data'!AM78-'Raw data'!AN78)=SIGN('Real results'!C78-'Real results'!D78),2+IF(AND('Raw data'!AM78='Real results'!C78,'Raw data'!AN78='Real results'!D78),2,0),0),0),0)</f>
        <v>0</v>
      </c>
      <c r="AO79" s="34">
        <f>IFERROR(IF(AND(ISNUMBER('Real results'!C78),ISNUMBER('Real results'!D78),ISNUMBER('Raw data'!AO78),ISNUMBER('Raw data'!AP78)),IF(SIGN('Raw data'!AO78-'Raw data'!AP78)=SIGN('Real results'!C78-'Real results'!D78),2+IF(AND('Raw data'!AO78='Real results'!C78,'Raw data'!AP78='Real results'!D78),2,0),0),0),0)</f>
        <v>0</v>
      </c>
      <c r="AQ79" s="34">
        <f>IFERROR(IF(AND(ISNUMBER('Real results'!C78),ISNUMBER('Real results'!D78),ISNUMBER('Raw data'!AQ78),ISNUMBER('Raw data'!AR78)),IF(SIGN('Raw data'!AQ78-'Raw data'!AR78)=SIGN('Real results'!C78-'Real results'!D78),2+IF(AND('Raw data'!AQ78='Real results'!C78,'Raw data'!AR78='Real results'!D78),2,0),0),0),0)</f>
        <v>0</v>
      </c>
      <c r="AS79" s="34">
        <f>IFERROR(IF(AND(ISNUMBER('Real results'!C78),ISNUMBER('Real results'!D78),ISNUMBER('Raw data'!AS78),ISNUMBER('Raw data'!AT78)),IF(SIGN('Raw data'!AS78-'Raw data'!AT78)=SIGN('Real results'!C78-'Real results'!D78),2+IF(AND('Raw data'!AS78='Real results'!C78,'Raw data'!AT78='Real results'!D78),2,0),0),0),0)</f>
        <v>0</v>
      </c>
      <c r="AU79" s="34">
        <f>IFERROR(IF(AND(ISNUMBER('Real results'!C78),ISNUMBER('Real results'!D78),ISNUMBER('Raw data'!AU78),ISNUMBER('Raw data'!AV78)),IF(SIGN('Raw data'!AU78-'Raw data'!AV78)=SIGN('Real results'!C78-'Real results'!D78),2+IF(AND('Raw data'!AU78='Real results'!C78,'Raw data'!AV78='Real results'!D78),2,0),0),0),0)</f>
        <v>0</v>
      </c>
      <c r="AW79" s="34">
        <f>IFERROR(IF(AND(ISNUMBER('Real results'!C78),ISNUMBER('Real results'!D78),ISNUMBER('Raw data'!AW78),ISNUMBER('Raw data'!AX78)),IF(SIGN('Raw data'!AW78-'Raw data'!AX78)=SIGN('Real results'!C78-'Real results'!D78),2+IF(AND('Raw data'!AW78='Real results'!C78,'Raw data'!AX78='Real results'!D78),2,0),0),0),0)</f>
        <v>0</v>
      </c>
      <c r="AY79" s="34">
        <f>IFERROR(IF(AND(ISNUMBER('Real results'!C78),ISNUMBER('Real results'!D78),ISNUMBER('Raw data'!AY78),ISNUMBER('Raw data'!AZ78)),IF(SIGN('Raw data'!AY78-'Raw data'!AZ78)=SIGN('Real results'!C78-'Real results'!D78),2+IF(AND('Raw data'!AY78='Real results'!C78,'Raw data'!AZ78='Real results'!D78),2,0),0),0),0)</f>
        <v>0</v>
      </c>
      <c r="BA79" s="34">
        <f>IFERROR(IF(AND(ISNUMBER('Real results'!C78),ISNUMBER('Real results'!D78),ISNUMBER('Raw data'!BA78),ISNUMBER('Raw data'!BB78)),IF(SIGN('Raw data'!BA78-'Raw data'!BB78)=SIGN('Real results'!C78-'Real results'!D78),2+IF(AND('Raw data'!BA78='Real results'!C78,'Raw data'!BB78='Real results'!D78),2,0),0),0),0)</f>
        <v>0</v>
      </c>
      <c r="BC79" s="34">
        <f>IFERROR(IF(AND(ISNUMBER('Real results'!C78),ISNUMBER('Real results'!D78),ISNUMBER('Raw data'!BC78),ISNUMBER('Raw data'!BD78)),IF(SIGN('Raw data'!BC78-'Raw data'!BD78)=SIGN('Real results'!C78-'Real results'!D78),2+IF(AND('Raw data'!BC78='Real results'!C78,'Raw data'!BD78='Real results'!D78),2,0),0),0),0)</f>
        <v>0</v>
      </c>
      <c r="BE79" s="34">
        <f>IFERROR(IF(AND(ISNUMBER('Real results'!C78),ISNUMBER('Real results'!D78),ISNUMBER('Raw data'!BE78),ISNUMBER('Raw data'!BF78)),IF(SIGN('Raw data'!BE78-'Raw data'!BF78)=SIGN('Real results'!C78-'Real results'!D78),2+IF(AND('Raw data'!BE78='Real results'!C78,'Raw data'!BF78='Real results'!D78),2,0),0),0),0)</f>
        <v>0</v>
      </c>
      <c r="BG79" s="34">
        <f>IFERROR(IF(AND(ISNUMBER('Real results'!C78),ISNUMBER('Real results'!D78),ISNUMBER('Raw data'!BG78),ISNUMBER('Raw data'!BH78)),IF(SIGN('Raw data'!BG78-'Raw data'!BH78)=SIGN('Real results'!C78-'Real results'!D78),2+IF(AND('Raw data'!BG78='Real results'!C78,'Raw data'!BH78='Real results'!D78),2,0),0),0),0)</f>
        <v>0</v>
      </c>
      <c r="BI79" s="34">
        <f>IFERROR(IF(AND(ISNUMBER('Real results'!C78),ISNUMBER('Real results'!D78),ISNUMBER('Raw data'!BI78),ISNUMBER('Raw data'!BJ78)),IF(SIGN('Raw data'!BI78-'Raw data'!BJ78)=SIGN('Real results'!C78-'Real results'!D78),2+IF(AND('Raw data'!BI78='Real results'!C78,'Raw data'!BJ78='Real results'!D78),2,0),0),0),0)</f>
        <v>0</v>
      </c>
    </row>
    <row r="80" ht="21.75" customHeight="1">
      <c r="B80" s="35" t="s">
        <v>336</v>
      </c>
      <c r="C80" s="36">
        <f>SUM(C8:C79)</f>
        <v>64</v>
      </c>
      <c r="E80" s="36">
        <f>SUM(E8:E79)</f>
        <v>58</v>
      </c>
      <c r="G80" s="36">
        <f>SUM(G8:G79)</f>
        <v>88</v>
      </c>
      <c r="I80" s="36">
        <f>SUM(I8:I79)</f>
        <v>94</v>
      </c>
      <c r="K80" s="36">
        <f>SUM(K8:K79)</f>
        <v>94</v>
      </c>
      <c r="M80" s="36">
        <f>SUM(M8:M79)</f>
        <v>0</v>
      </c>
      <c r="O80" s="36">
        <f>SUM(O8:O79)</f>
        <v>0</v>
      </c>
      <c r="Q80" s="36">
        <f>SUM(Q8:Q79)</f>
        <v>0</v>
      </c>
      <c r="S80" s="36">
        <f>SUM(S8:S79)</f>
        <v>0</v>
      </c>
      <c r="U80" s="36">
        <f>SUM(U8:U79)</f>
        <v>0</v>
      </c>
      <c r="W80" s="36">
        <f>SUM(W8:W79)</f>
        <v>0</v>
      </c>
      <c r="Y80" s="36">
        <f>SUM(Y8:Y79)</f>
        <v>0</v>
      </c>
      <c r="AA80" s="36">
        <f>SUM(AA8:AA79)</f>
        <v>0</v>
      </c>
      <c r="AC80" s="36">
        <f>SUM(AC8:AC79)</f>
        <v>0</v>
      </c>
      <c r="AE80" s="36">
        <f>SUM(AE8:AE79)</f>
        <v>0</v>
      </c>
      <c r="AG80" s="36">
        <f>SUM(AG8:AG79)</f>
        <v>0</v>
      </c>
      <c r="AI80" s="36">
        <f>SUM(AI8:AI79)</f>
        <v>0</v>
      </c>
      <c r="AK80" s="36">
        <f>SUM(AK8:AK79)</f>
        <v>0</v>
      </c>
      <c r="AM80" s="36">
        <f>SUM(AM8:AM79)</f>
        <v>0</v>
      </c>
      <c r="AO80" s="36">
        <f>SUM(AO8:AO79)</f>
        <v>0</v>
      </c>
      <c r="AQ80" s="36">
        <f>SUM(AQ8:AQ79)</f>
        <v>0</v>
      </c>
      <c r="AS80" s="36">
        <f>SUM(AS8:AS79)</f>
        <v>0</v>
      </c>
      <c r="AU80" s="36">
        <f>SUM(AU8:AU79)</f>
        <v>0</v>
      </c>
      <c r="AW80" s="36">
        <f>SUM(AW8:AW79)</f>
        <v>0</v>
      </c>
      <c r="AY80" s="36">
        <f>SUM(AY8:AY79)</f>
        <v>0</v>
      </c>
      <c r="BA80" s="36">
        <f>SUM(BA8:BA79)</f>
        <v>0</v>
      </c>
      <c r="BC80" s="36">
        <f>SUM(BC8:BC79)</f>
        <v>0</v>
      </c>
      <c r="BE80" s="36">
        <f>SUM(BE8:BE79)</f>
        <v>0</v>
      </c>
      <c r="BG80" s="36">
        <f>SUM(BG8:BG79)</f>
        <v>0</v>
      </c>
      <c r="BI80" s="36">
        <f>SUM(BI8:BI79)</f>
        <v>0</v>
      </c>
    </row>
    <row r="81" ht="19.5" customHeight="1">
      <c r="B81" s="33" t="s">
        <v>337</v>
      </c>
      <c r="C81" s="11"/>
      <c r="E81" s="11"/>
      <c r="G81" s="11"/>
      <c r="I81" s="11"/>
      <c r="K81" s="11"/>
      <c r="M81" s="11"/>
      <c r="O81" s="11"/>
      <c r="Q81" s="11"/>
      <c r="S81" s="11"/>
      <c r="U81" s="11"/>
      <c r="W81" s="11"/>
      <c r="Y81" s="11"/>
      <c r="AA81" s="11"/>
      <c r="AC81" s="11"/>
      <c r="AE81" s="11"/>
      <c r="AG81" s="11"/>
      <c r="AI81" s="11"/>
      <c r="AK81" s="11"/>
      <c r="AM81" s="11"/>
      <c r="AO81" s="11"/>
      <c r="AQ81" s="11"/>
      <c r="AS81" s="11"/>
      <c r="AU81" s="11"/>
      <c r="AW81" s="11"/>
      <c r="AY81" s="11"/>
      <c r="BA81" s="11"/>
      <c r="BC81" s="11"/>
      <c r="BE81" s="11"/>
      <c r="BG81" s="11"/>
      <c r="BI81" s="11"/>
    </row>
    <row r="82" ht="18.0" customHeight="1">
      <c r="B82" s="12" t="s">
        <v>338</v>
      </c>
      <c r="C82" s="34">
        <f>IFERROR(IF('Raw data'!C79&lt;&gt;"",IF(OR(UPPER(TRIM('Raw data'!C79))=UPPER(TRIM('Real results'!C80)),UPPER(TRIM('Raw data'!C79))=UPPER(TRIM('Real results'!C81)),UPPER(TRIM('Raw data'!C79))=UPPER(TRIM('Real results'!C82))),1,0)+IF(UPPER(TRIM('Raw data'!C79))=UPPER(TRIM('Real results'!C80)),2,0),0),0)</f>
        <v>0</v>
      </c>
      <c r="E82" s="34">
        <f>IFERROR(IF('Raw data'!E80&lt;&gt;"",IF(OR(UPPER(TRIM('Raw data'!E80))=UPPER(TRIM('Real results'!C80)),UPPER(TRIM('Raw data'!E80))=UPPER(TRIM('Real results'!C81)),UPPER(TRIM('Raw data'!E80))=UPPER(TRIM('Real results'!C82))),1,0)+IF(UPPER(TRIM('Raw data'!E80))=UPPER(TRIM('Real results'!C80)),2,0),0),0)</f>
        <v>0</v>
      </c>
      <c r="G82" s="34">
        <f>IFERROR(IF('Raw data'!G80&lt;&gt;"",IF(OR(UPPER(TRIM('Raw data'!G80))=UPPER(TRIM('Real results'!C80)),UPPER(TRIM('Raw data'!G80))=UPPER(TRIM('Real results'!C81)),UPPER(TRIM('Raw data'!G80))=UPPER(TRIM('Real results'!C82))),1,0)+IF(UPPER(TRIM('Raw data'!G80))=UPPER(TRIM('Real results'!C80)),2,0),0),0)</f>
        <v>0</v>
      </c>
      <c r="I82" s="34">
        <f>IFERROR(IF('Raw data'!I80&lt;&gt;"",IF(OR(UPPER(TRIM('Raw data'!I80))=UPPER(TRIM('Real results'!C80)),UPPER(TRIM('Raw data'!I80))=UPPER(TRIM('Real results'!C81)),UPPER(TRIM('Raw data'!I80))=UPPER(TRIM('Real results'!C82))),1,0)+IF(UPPER(TRIM('Raw data'!I80))=UPPER(TRIM('Real results'!C80)),2,0),0),0)</f>
        <v>0</v>
      </c>
      <c r="K82" s="34">
        <f>IFERROR(IF('Raw data'!K80&lt;&gt;"",IF(OR(UPPER(TRIM('Raw data'!K80))=UPPER(TRIM('Real results'!C80)),UPPER(TRIM('Raw data'!K80))=UPPER(TRIM('Real results'!C81)),UPPER(TRIM('Raw data'!K80))=UPPER(TRIM('Real results'!C82))),1,0)+IF(UPPER(TRIM('Raw data'!K80))=UPPER(TRIM('Real results'!C80)),2,0),0),0)</f>
        <v>0</v>
      </c>
      <c r="M82" s="34">
        <f>IFERROR(IF('Raw data'!M80&lt;&gt;"",IF(OR(UPPER(TRIM('Raw data'!M80))=UPPER(TRIM('Real results'!C80)),UPPER(TRIM('Raw data'!M80))=UPPER(TRIM('Real results'!C81)),UPPER(TRIM('Raw data'!M80))=UPPER(TRIM('Real results'!C82))),1,0)+IF(UPPER(TRIM('Raw data'!M80))=UPPER(TRIM('Real results'!C80)),2,0),0),0)</f>
        <v>0</v>
      </c>
      <c r="O82" s="34">
        <f>IFERROR(IF('Raw data'!O80&lt;&gt;"",IF(OR(UPPER(TRIM('Raw data'!O80))=UPPER(TRIM('Real results'!C80)),UPPER(TRIM('Raw data'!O80))=UPPER(TRIM('Real results'!C81)),UPPER(TRIM('Raw data'!O80))=UPPER(TRIM('Real results'!C82))),1,0)+IF(UPPER(TRIM('Raw data'!O80))=UPPER(TRIM('Real results'!C80)),2,0),0),0)</f>
        <v>0</v>
      </c>
      <c r="Q82" s="34">
        <f>IFERROR(IF('Raw data'!Q80&lt;&gt;"",IF(OR(UPPER(TRIM('Raw data'!Q80))=UPPER(TRIM('Real results'!C80)),UPPER(TRIM('Raw data'!Q80))=UPPER(TRIM('Real results'!C81)),UPPER(TRIM('Raw data'!Q80))=UPPER(TRIM('Real results'!C82))),1,0)+IF(UPPER(TRIM('Raw data'!Q80))=UPPER(TRIM('Real results'!C80)),2,0),0),0)</f>
        <v>0</v>
      </c>
      <c r="S82" s="34">
        <f>IFERROR(IF('Raw data'!S80&lt;&gt;"",IF(OR(UPPER(TRIM('Raw data'!S80))=UPPER(TRIM('Real results'!C80)),UPPER(TRIM('Raw data'!S80))=UPPER(TRIM('Real results'!C81)),UPPER(TRIM('Raw data'!S80))=UPPER(TRIM('Real results'!C82))),1,0)+IF(UPPER(TRIM('Raw data'!S80))=UPPER(TRIM('Real results'!C80)),2,0),0),0)</f>
        <v>0</v>
      </c>
      <c r="U82" s="34">
        <f>IFERROR(IF('Raw data'!U80&lt;&gt;"",IF(OR(UPPER(TRIM('Raw data'!U80))=UPPER(TRIM('Real results'!C80)),UPPER(TRIM('Raw data'!U80))=UPPER(TRIM('Real results'!C81)),UPPER(TRIM('Raw data'!U80))=UPPER(TRIM('Real results'!C82))),1,0)+IF(UPPER(TRIM('Raw data'!U80))=UPPER(TRIM('Real results'!C80)),2,0),0),0)</f>
        <v>0</v>
      </c>
      <c r="W82" s="34">
        <f>IFERROR(IF('Raw data'!W80&lt;&gt;"",IF(OR(UPPER(TRIM('Raw data'!W80))=UPPER(TRIM('Real results'!C80)),UPPER(TRIM('Raw data'!W80))=UPPER(TRIM('Real results'!C81)),UPPER(TRIM('Raw data'!W80))=UPPER(TRIM('Real results'!C82))),1,0)+IF(UPPER(TRIM('Raw data'!W80))=UPPER(TRIM('Real results'!C80)),2,0),0),0)</f>
        <v>0</v>
      </c>
      <c r="Y82" s="34">
        <f>IFERROR(IF('Raw data'!Y80&lt;&gt;"",IF(OR(UPPER(TRIM('Raw data'!Y80))=UPPER(TRIM('Real results'!C80)),UPPER(TRIM('Raw data'!Y80))=UPPER(TRIM('Real results'!C81)),UPPER(TRIM('Raw data'!Y80))=UPPER(TRIM('Real results'!C82))),1,0)+IF(UPPER(TRIM('Raw data'!Y80))=UPPER(TRIM('Real results'!C80)),2,0),0),0)</f>
        <v>0</v>
      </c>
      <c r="AA82" s="34">
        <f>IFERROR(IF('Raw data'!AA80&lt;&gt;"",IF(OR(UPPER(TRIM('Raw data'!AA80))=UPPER(TRIM('Real results'!C80)),UPPER(TRIM('Raw data'!AA80))=UPPER(TRIM('Real results'!C81)),UPPER(TRIM('Raw data'!AA80))=UPPER(TRIM('Real results'!C82))),1,0)+IF(UPPER(TRIM('Raw data'!AA80))=UPPER(TRIM('Real results'!C80)),2,0),0),0)</f>
        <v>0</v>
      </c>
      <c r="AC82" s="34">
        <f>IFERROR(IF('Raw data'!AC80&lt;&gt;"",IF(OR(UPPER(TRIM('Raw data'!AC80))=UPPER(TRIM('Real results'!C80)),UPPER(TRIM('Raw data'!AC80))=UPPER(TRIM('Real results'!C81)),UPPER(TRIM('Raw data'!AC80))=UPPER(TRIM('Real results'!C82))),1,0)+IF(UPPER(TRIM('Raw data'!AC80))=UPPER(TRIM('Real results'!C80)),2,0),0),0)</f>
        <v>0</v>
      </c>
      <c r="AE82" s="34">
        <f>IFERROR(IF('Raw data'!AE80&lt;&gt;"",IF(OR(UPPER(TRIM('Raw data'!AE80))=UPPER(TRIM('Real results'!C80)),UPPER(TRIM('Raw data'!AE80))=UPPER(TRIM('Real results'!C81)),UPPER(TRIM('Raw data'!AE80))=UPPER(TRIM('Real results'!C82))),1,0)+IF(UPPER(TRIM('Raw data'!AE80))=UPPER(TRIM('Real results'!C80)),2,0),0),0)</f>
        <v>0</v>
      </c>
      <c r="AG82" s="34">
        <f>IFERROR(IF('Raw data'!AG80&lt;&gt;"",IF(OR(UPPER(TRIM('Raw data'!AG80))=UPPER(TRIM('Real results'!C80)),UPPER(TRIM('Raw data'!AG80))=UPPER(TRIM('Real results'!C81)),UPPER(TRIM('Raw data'!AG80))=UPPER(TRIM('Real results'!C82))),1,0)+IF(UPPER(TRIM('Raw data'!AG80))=UPPER(TRIM('Real results'!C80)),2,0),0),0)</f>
        <v>0</v>
      </c>
      <c r="AI82" s="34">
        <f>IFERROR(IF('Raw data'!AI80&lt;&gt;"",IF(OR(UPPER(TRIM('Raw data'!AI80))=UPPER(TRIM('Real results'!C80)),UPPER(TRIM('Raw data'!AI80))=UPPER(TRIM('Real results'!C81)),UPPER(TRIM('Raw data'!AI80))=UPPER(TRIM('Real results'!C82))),1,0)+IF(UPPER(TRIM('Raw data'!AI80))=UPPER(TRIM('Real results'!C80)),2,0),0),0)</f>
        <v>0</v>
      </c>
      <c r="AK82" s="34">
        <f>IFERROR(IF('Raw data'!AK80&lt;&gt;"",IF(OR(UPPER(TRIM('Raw data'!AK80))=UPPER(TRIM('Real results'!C80)),UPPER(TRIM('Raw data'!AK80))=UPPER(TRIM('Real results'!C81)),UPPER(TRIM('Raw data'!AK80))=UPPER(TRIM('Real results'!C82))),1,0)+IF(UPPER(TRIM('Raw data'!AK80))=UPPER(TRIM('Real results'!C80)),2,0),0),0)</f>
        <v>0</v>
      </c>
      <c r="AM82" s="34">
        <f>IFERROR(IF('Raw data'!AM80&lt;&gt;"",IF(OR(UPPER(TRIM('Raw data'!AM80))=UPPER(TRIM('Real results'!C80)),UPPER(TRIM('Raw data'!AM80))=UPPER(TRIM('Real results'!C81)),UPPER(TRIM('Raw data'!AM80))=UPPER(TRIM('Real results'!C82))),1,0)+IF(UPPER(TRIM('Raw data'!AM80))=UPPER(TRIM('Real results'!C80)),2,0),0),0)</f>
        <v>0</v>
      </c>
      <c r="AO82" s="34">
        <f>IFERROR(IF('Raw data'!AO80&lt;&gt;"",IF(OR(UPPER(TRIM('Raw data'!AO80))=UPPER(TRIM('Real results'!C80)),UPPER(TRIM('Raw data'!AO80))=UPPER(TRIM('Real results'!C81)),UPPER(TRIM('Raw data'!AO80))=UPPER(TRIM('Real results'!C82))),1,0)+IF(UPPER(TRIM('Raw data'!AO80))=UPPER(TRIM('Real results'!C80)),2,0),0),0)</f>
        <v>0</v>
      </c>
      <c r="AQ82" s="34">
        <f>IFERROR(IF('Raw data'!AQ80&lt;&gt;"",IF(OR(UPPER(TRIM('Raw data'!AQ80))=UPPER(TRIM('Real results'!C80)),UPPER(TRIM('Raw data'!AQ80))=UPPER(TRIM('Real results'!C81)),UPPER(TRIM('Raw data'!AQ80))=UPPER(TRIM('Real results'!C82))),1,0)+IF(UPPER(TRIM('Raw data'!AQ80))=UPPER(TRIM('Real results'!C80)),2,0),0),0)</f>
        <v>0</v>
      </c>
      <c r="AS82" s="34">
        <f>IFERROR(IF('Raw data'!AS80&lt;&gt;"",IF(OR(UPPER(TRIM('Raw data'!AS80))=UPPER(TRIM('Real results'!C80)),UPPER(TRIM('Raw data'!AS80))=UPPER(TRIM('Real results'!C81)),UPPER(TRIM('Raw data'!AS80))=UPPER(TRIM('Real results'!C82))),1,0)+IF(UPPER(TRIM('Raw data'!AS80))=UPPER(TRIM('Real results'!C80)),2,0),0),0)</f>
        <v>0</v>
      </c>
      <c r="AU82" s="34">
        <f>IFERROR(IF('Raw data'!AU80&lt;&gt;"",IF(OR(UPPER(TRIM('Raw data'!AU80))=UPPER(TRIM('Real results'!C80)),UPPER(TRIM('Raw data'!AU80))=UPPER(TRIM('Real results'!C81)),UPPER(TRIM('Raw data'!AU80))=UPPER(TRIM('Real results'!C82))),1,0)+IF(UPPER(TRIM('Raw data'!AU80))=UPPER(TRIM('Real results'!C80)),2,0),0),0)</f>
        <v>0</v>
      </c>
      <c r="AW82" s="34">
        <f>IFERROR(IF('Raw data'!AW80&lt;&gt;"",IF(OR(UPPER(TRIM('Raw data'!AW80))=UPPER(TRIM('Real results'!C80)),UPPER(TRIM('Raw data'!AW80))=UPPER(TRIM('Real results'!C81)),UPPER(TRIM('Raw data'!AW80))=UPPER(TRIM('Real results'!C82))),1,0)+IF(UPPER(TRIM('Raw data'!AW80))=UPPER(TRIM('Real results'!C80)),2,0),0),0)</f>
        <v>0</v>
      </c>
      <c r="AY82" s="34">
        <f>IFERROR(IF('Raw data'!AY80&lt;&gt;"",IF(OR(UPPER(TRIM('Raw data'!AY80))=UPPER(TRIM('Real results'!C80)),UPPER(TRIM('Raw data'!AY80))=UPPER(TRIM('Real results'!C81)),UPPER(TRIM('Raw data'!AY80))=UPPER(TRIM('Real results'!C82))),1,0)+IF(UPPER(TRIM('Raw data'!AY80))=UPPER(TRIM('Real results'!C80)),2,0),0),0)</f>
        <v>0</v>
      </c>
      <c r="BA82" s="34">
        <f>IFERROR(IF('Raw data'!BA80&lt;&gt;"",IF(OR(UPPER(TRIM('Raw data'!BA80))=UPPER(TRIM('Real results'!C80)),UPPER(TRIM('Raw data'!BA80))=UPPER(TRIM('Real results'!C81)),UPPER(TRIM('Raw data'!BA80))=UPPER(TRIM('Real results'!C82))),1,0)+IF(UPPER(TRIM('Raw data'!BA80))=UPPER(TRIM('Real results'!C80)),2,0),0),0)</f>
        <v>0</v>
      </c>
      <c r="BC82" s="34">
        <f>IFERROR(IF('Raw data'!BC80&lt;&gt;"",IF(OR(UPPER(TRIM('Raw data'!BC80))=UPPER(TRIM('Real results'!C80)),UPPER(TRIM('Raw data'!BC80))=UPPER(TRIM('Real results'!C81)),UPPER(TRIM('Raw data'!BC80))=UPPER(TRIM('Real results'!C82))),1,0)+IF(UPPER(TRIM('Raw data'!BC80))=UPPER(TRIM('Real results'!C80)),2,0),0),0)</f>
        <v>0</v>
      </c>
      <c r="BE82" s="34">
        <f>IFERROR(IF('Raw data'!BE80&lt;&gt;"",IF(OR(UPPER(TRIM('Raw data'!BE80))=UPPER(TRIM('Real results'!C80)),UPPER(TRIM('Raw data'!BE80))=UPPER(TRIM('Real results'!C81)),UPPER(TRIM('Raw data'!BE80))=UPPER(TRIM('Real results'!C82))),1,0)+IF(UPPER(TRIM('Raw data'!BE80))=UPPER(TRIM('Real results'!C80)),2,0),0),0)</f>
        <v>0</v>
      </c>
      <c r="BG82" s="34">
        <f>IFERROR(IF('Raw data'!BG80&lt;&gt;"",IF(OR(UPPER(TRIM('Raw data'!BG80))=UPPER(TRIM('Real results'!C80)),UPPER(TRIM('Raw data'!BG80))=UPPER(TRIM('Real results'!C81)),UPPER(TRIM('Raw data'!BG80))=UPPER(TRIM('Real results'!C82))),1,0)+IF(UPPER(TRIM('Raw data'!BG80))=UPPER(TRIM('Real results'!C80)),2,0),0),0)</f>
        <v>0</v>
      </c>
      <c r="BI82" s="34">
        <f>IFERROR(IF('Raw data'!BI80&lt;&gt;"",IF(OR(UPPER(TRIM('Raw data'!BI80))=UPPER(TRIM('Real results'!C80)),UPPER(TRIM('Raw data'!BI80))=UPPER(TRIM('Real results'!C81)),UPPER(TRIM('Raw data'!BI80))=UPPER(TRIM('Real results'!C82))),1,0)+IF(UPPER(TRIM('Raw data'!BI80))=UPPER(TRIM('Real results'!C80)),2,0),0),0)</f>
        <v>0</v>
      </c>
    </row>
    <row r="83" ht="18.0" customHeight="1">
      <c r="B83" s="12" t="s">
        <v>339</v>
      </c>
      <c r="C83" s="34">
        <f>IFERROR(IF('Raw data'!C80&lt;&gt;"",IF(OR(UPPER(TRIM('Raw data'!C80))=UPPER(TRIM('Real results'!C80)),UPPER(TRIM('Raw data'!C80))=UPPER(TRIM('Real results'!C81)),UPPER(TRIM('Raw data'!C80))=UPPER(TRIM('Real results'!C82))),1,0),0),0)</f>
        <v>0</v>
      </c>
      <c r="E83" s="34">
        <f>IFERROR(IF('Raw data'!E81&lt;&gt;"",IF(OR(UPPER(TRIM('Raw data'!E81))=UPPER(TRIM('Real results'!C80)),UPPER(TRIM('Raw data'!E81))=UPPER(TRIM('Real results'!C81)),UPPER(TRIM('Raw data'!E81))=UPPER(TRIM('Real results'!C82))),1,0),0),0)</f>
        <v>0</v>
      </c>
      <c r="G83" s="34">
        <f>IFERROR(IF('Raw data'!G81&lt;&gt;"",IF(OR(UPPER(TRIM('Raw data'!G81))=UPPER(TRIM('Real results'!C80)),UPPER(TRIM('Raw data'!G81))=UPPER(TRIM('Real results'!C81)),UPPER(TRIM('Raw data'!G81))=UPPER(TRIM('Real results'!C82))),1,0),0),0)</f>
        <v>0</v>
      </c>
      <c r="I83" s="34">
        <f>IFERROR(IF('Raw data'!I81&lt;&gt;"",IF(OR(UPPER(TRIM('Raw data'!I81))=UPPER(TRIM('Real results'!C80)),UPPER(TRIM('Raw data'!I81))=UPPER(TRIM('Real results'!C81)),UPPER(TRIM('Raw data'!I81))=UPPER(TRIM('Real results'!C82))),1,0),0),0)</f>
        <v>0</v>
      </c>
      <c r="K83" s="34">
        <f>IFERROR(IF('Raw data'!K81&lt;&gt;"",IF(OR(UPPER(TRIM('Raw data'!K81))=UPPER(TRIM('Real results'!C80)),UPPER(TRIM('Raw data'!K81))=UPPER(TRIM('Real results'!C81)),UPPER(TRIM('Raw data'!K81))=UPPER(TRIM('Real results'!C82))),1,0),0),0)</f>
        <v>0</v>
      </c>
      <c r="M83" s="34">
        <f>IFERROR(IF('Raw data'!M81&lt;&gt;"",IF(OR(UPPER(TRIM('Raw data'!M81))=UPPER(TRIM('Real results'!C80)),UPPER(TRIM('Raw data'!M81))=UPPER(TRIM('Real results'!C81)),UPPER(TRIM('Raw data'!M81))=UPPER(TRIM('Real results'!C82))),1,0),0),0)</f>
        <v>0</v>
      </c>
      <c r="O83" s="34">
        <f>IFERROR(IF('Raw data'!O81&lt;&gt;"",IF(OR(UPPER(TRIM('Raw data'!O81))=UPPER(TRIM('Real results'!C80)),UPPER(TRIM('Raw data'!O81))=UPPER(TRIM('Real results'!C81)),UPPER(TRIM('Raw data'!O81))=UPPER(TRIM('Real results'!C82))),1,0),0),0)</f>
        <v>0</v>
      </c>
      <c r="Q83" s="34">
        <f>IFERROR(IF('Raw data'!Q81&lt;&gt;"",IF(OR(UPPER(TRIM('Raw data'!Q81))=UPPER(TRIM('Real results'!C80)),UPPER(TRIM('Raw data'!Q81))=UPPER(TRIM('Real results'!C81)),UPPER(TRIM('Raw data'!Q81))=UPPER(TRIM('Real results'!C82))),1,0),0),0)</f>
        <v>0</v>
      </c>
      <c r="S83" s="34">
        <f>IFERROR(IF('Raw data'!S81&lt;&gt;"",IF(OR(UPPER(TRIM('Raw data'!S81))=UPPER(TRIM('Real results'!C80)),UPPER(TRIM('Raw data'!S81))=UPPER(TRIM('Real results'!C81)),UPPER(TRIM('Raw data'!S81))=UPPER(TRIM('Real results'!C82))),1,0),0),0)</f>
        <v>0</v>
      </c>
      <c r="U83" s="34">
        <f>IFERROR(IF('Raw data'!U81&lt;&gt;"",IF(OR(UPPER(TRIM('Raw data'!U81))=UPPER(TRIM('Real results'!C80)),UPPER(TRIM('Raw data'!U81))=UPPER(TRIM('Real results'!C81)),UPPER(TRIM('Raw data'!U81))=UPPER(TRIM('Real results'!C82))),1,0),0),0)</f>
        <v>0</v>
      </c>
      <c r="W83" s="34">
        <f>IFERROR(IF('Raw data'!W81&lt;&gt;"",IF(OR(UPPER(TRIM('Raw data'!W81))=UPPER(TRIM('Real results'!C80)),UPPER(TRIM('Raw data'!W81))=UPPER(TRIM('Real results'!C81)),UPPER(TRIM('Raw data'!W81))=UPPER(TRIM('Real results'!C82))),1,0),0),0)</f>
        <v>0</v>
      </c>
      <c r="Y83" s="34">
        <f>IFERROR(IF('Raw data'!Y81&lt;&gt;"",IF(OR(UPPER(TRIM('Raw data'!Y81))=UPPER(TRIM('Real results'!C80)),UPPER(TRIM('Raw data'!Y81))=UPPER(TRIM('Real results'!C81)),UPPER(TRIM('Raw data'!Y81))=UPPER(TRIM('Real results'!C82))),1,0),0),0)</f>
        <v>0</v>
      </c>
      <c r="AA83" s="34">
        <f>IFERROR(IF('Raw data'!AA81&lt;&gt;"",IF(OR(UPPER(TRIM('Raw data'!AA81))=UPPER(TRIM('Real results'!C80)),UPPER(TRIM('Raw data'!AA81))=UPPER(TRIM('Real results'!C81)),UPPER(TRIM('Raw data'!AA81))=UPPER(TRIM('Real results'!C82))),1,0),0),0)</f>
        <v>0</v>
      </c>
      <c r="AC83" s="34">
        <f>IFERROR(IF('Raw data'!AC81&lt;&gt;"",IF(OR(UPPER(TRIM('Raw data'!AC81))=UPPER(TRIM('Real results'!C80)),UPPER(TRIM('Raw data'!AC81))=UPPER(TRIM('Real results'!C81)),UPPER(TRIM('Raw data'!AC81))=UPPER(TRIM('Real results'!C82))),1,0),0),0)</f>
        <v>0</v>
      </c>
      <c r="AE83" s="34">
        <f>IFERROR(IF('Raw data'!AE81&lt;&gt;"",IF(OR(UPPER(TRIM('Raw data'!AE81))=UPPER(TRIM('Real results'!C80)),UPPER(TRIM('Raw data'!AE81))=UPPER(TRIM('Real results'!C81)),UPPER(TRIM('Raw data'!AE81))=UPPER(TRIM('Real results'!C82))),1,0),0),0)</f>
        <v>0</v>
      </c>
      <c r="AG83" s="34">
        <f>IFERROR(IF('Raw data'!AG81&lt;&gt;"",IF(OR(UPPER(TRIM('Raw data'!AG81))=UPPER(TRIM('Real results'!C80)),UPPER(TRIM('Raw data'!AG81))=UPPER(TRIM('Real results'!C81)),UPPER(TRIM('Raw data'!AG81))=UPPER(TRIM('Real results'!C82))),1,0),0),0)</f>
        <v>0</v>
      </c>
      <c r="AI83" s="34">
        <f>IFERROR(IF('Raw data'!AI81&lt;&gt;"",IF(OR(UPPER(TRIM('Raw data'!AI81))=UPPER(TRIM('Real results'!C80)),UPPER(TRIM('Raw data'!AI81))=UPPER(TRIM('Real results'!C81)),UPPER(TRIM('Raw data'!AI81))=UPPER(TRIM('Real results'!C82))),1,0),0),0)</f>
        <v>0</v>
      </c>
      <c r="AK83" s="34">
        <f>IFERROR(IF('Raw data'!AK81&lt;&gt;"",IF(OR(UPPER(TRIM('Raw data'!AK81))=UPPER(TRIM('Real results'!C80)),UPPER(TRIM('Raw data'!AK81))=UPPER(TRIM('Real results'!C81)),UPPER(TRIM('Raw data'!AK81))=UPPER(TRIM('Real results'!C82))),1,0),0),0)</f>
        <v>0</v>
      </c>
      <c r="AM83" s="34">
        <f>IFERROR(IF('Raw data'!AM81&lt;&gt;"",IF(OR(UPPER(TRIM('Raw data'!AM81))=UPPER(TRIM('Real results'!C80)),UPPER(TRIM('Raw data'!AM81))=UPPER(TRIM('Real results'!C81)),UPPER(TRIM('Raw data'!AM81))=UPPER(TRIM('Real results'!C82))),1,0),0),0)</f>
        <v>0</v>
      </c>
      <c r="AO83" s="34">
        <f>IFERROR(IF('Raw data'!AO81&lt;&gt;"",IF(OR(UPPER(TRIM('Raw data'!AO81))=UPPER(TRIM('Real results'!C80)),UPPER(TRIM('Raw data'!AO81))=UPPER(TRIM('Real results'!C81)),UPPER(TRIM('Raw data'!AO81))=UPPER(TRIM('Real results'!C82))),1,0),0),0)</f>
        <v>0</v>
      </c>
      <c r="AQ83" s="34">
        <f>IFERROR(IF('Raw data'!AQ81&lt;&gt;"",IF(OR(UPPER(TRIM('Raw data'!AQ81))=UPPER(TRIM('Real results'!C80)),UPPER(TRIM('Raw data'!AQ81))=UPPER(TRIM('Real results'!C81)),UPPER(TRIM('Raw data'!AQ81))=UPPER(TRIM('Real results'!C82))),1,0),0),0)</f>
        <v>0</v>
      </c>
      <c r="AS83" s="34">
        <f>IFERROR(IF('Raw data'!AS81&lt;&gt;"",IF(OR(UPPER(TRIM('Raw data'!AS81))=UPPER(TRIM('Real results'!C80)),UPPER(TRIM('Raw data'!AS81))=UPPER(TRIM('Real results'!C81)),UPPER(TRIM('Raw data'!AS81))=UPPER(TRIM('Real results'!C82))),1,0),0),0)</f>
        <v>0</v>
      </c>
      <c r="AU83" s="34">
        <f>IFERROR(IF('Raw data'!AU81&lt;&gt;"",IF(OR(UPPER(TRIM('Raw data'!AU81))=UPPER(TRIM('Real results'!C80)),UPPER(TRIM('Raw data'!AU81))=UPPER(TRIM('Real results'!C81)),UPPER(TRIM('Raw data'!AU81))=UPPER(TRIM('Real results'!C82))),1,0),0),0)</f>
        <v>0</v>
      </c>
      <c r="AW83" s="34">
        <f>IFERROR(IF('Raw data'!AW81&lt;&gt;"",IF(OR(UPPER(TRIM('Raw data'!AW81))=UPPER(TRIM('Real results'!C80)),UPPER(TRIM('Raw data'!AW81))=UPPER(TRIM('Real results'!C81)),UPPER(TRIM('Raw data'!AW81))=UPPER(TRIM('Real results'!C82))),1,0),0),0)</f>
        <v>0</v>
      </c>
      <c r="AY83" s="34">
        <f>IFERROR(IF('Raw data'!AY81&lt;&gt;"",IF(OR(UPPER(TRIM('Raw data'!AY81))=UPPER(TRIM('Real results'!C80)),UPPER(TRIM('Raw data'!AY81))=UPPER(TRIM('Real results'!C81)),UPPER(TRIM('Raw data'!AY81))=UPPER(TRIM('Real results'!C82))),1,0),0),0)</f>
        <v>0</v>
      </c>
      <c r="BA83" s="34">
        <f>IFERROR(IF('Raw data'!BA81&lt;&gt;"",IF(OR(UPPER(TRIM('Raw data'!BA81))=UPPER(TRIM('Real results'!C80)),UPPER(TRIM('Raw data'!BA81))=UPPER(TRIM('Real results'!C81)),UPPER(TRIM('Raw data'!BA81))=UPPER(TRIM('Real results'!C82))),1,0),0),0)</f>
        <v>0</v>
      </c>
      <c r="BC83" s="34">
        <f>IFERROR(IF('Raw data'!BC81&lt;&gt;"",IF(OR(UPPER(TRIM('Raw data'!BC81))=UPPER(TRIM('Real results'!C80)),UPPER(TRIM('Raw data'!BC81))=UPPER(TRIM('Real results'!C81)),UPPER(TRIM('Raw data'!BC81))=UPPER(TRIM('Real results'!C82))),1,0),0),0)</f>
        <v>0</v>
      </c>
      <c r="BE83" s="34">
        <f>IFERROR(IF('Raw data'!BE81&lt;&gt;"",IF(OR(UPPER(TRIM('Raw data'!BE81))=UPPER(TRIM('Real results'!C80)),UPPER(TRIM('Raw data'!BE81))=UPPER(TRIM('Real results'!C81)),UPPER(TRIM('Raw data'!BE81))=UPPER(TRIM('Real results'!C82))),1,0),0),0)</f>
        <v>0</v>
      </c>
      <c r="BG83" s="34">
        <f>IFERROR(IF('Raw data'!BG81&lt;&gt;"",IF(OR(UPPER(TRIM('Raw data'!BG81))=UPPER(TRIM('Real results'!C80)),UPPER(TRIM('Raw data'!BG81))=UPPER(TRIM('Real results'!C81)),UPPER(TRIM('Raw data'!BG81))=UPPER(TRIM('Real results'!C82))),1,0),0),0)</f>
        <v>0</v>
      </c>
      <c r="BI83" s="34">
        <f>IFERROR(IF('Raw data'!BI81&lt;&gt;"",IF(OR(UPPER(TRIM('Raw data'!BI81))=UPPER(TRIM('Real results'!C80)),UPPER(TRIM('Raw data'!BI81))=UPPER(TRIM('Real results'!C81)),UPPER(TRIM('Raw data'!BI81))=UPPER(TRIM('Real results'!C82))),1,0),0),0)</f>
        <v>0</v>
      </c>
    </row>
    <row r="84" ht="18.0" customHeight="1">
      <c r="B84" s="12" t="s">
        <v>340</v>
      </c>
      <c r="C84" s="34">
        <f>IFERROR(IF('Raw data'!C81&lt;&gt;"",IF(OR(UPPER(TRIM('Raw data'!C81))=UPPER(TRIM('Real results'!C80)),UPPER(TRIM('Raw data'!C81))=UPPER(TRIM('Real results'!C81)),UPPER(TRIM('Raw data'!C81))=UPPER(TRIM('Real results'!C82))),1,0),0),0)</f>
        <v>0</v>
      </c>
      <c r="E84" s="34">
        <f>IFERROR(IF('Raw data'!E82&lt;&gt;"",IF(OR(UPPER(TRIM('Raw data'!E82))=UPPER(TRIM('Real results'!C80)),UPPER(TRIM('Raw data'!E82))=UPPER(TRIM('Real results'!C81)),UPPER(TRIM('Raw data'!E82))=UPPER(TRIM('Real results'!C82))),1,0),0),0)</f>
        <v>0</v>
      </c>
      <c r="G84" s="34">
        <f>IFERROR(IF('Raw data'!G82&lt;&gt;"",IF(OR(UPPER(TRIM('Raw data'!G82))=UPPER(TRIM('Real results'!C80)),UPPER(TRIM('Raw data'!G82))=UPPER(TRIM('Real results'!C81)),UPPER(TRIM('Raw data'!G82))=UPPER(TRIM('Real results'!C82))),1,0),0),0)</f>
        <v>0</v>
      </c>
      <c r="I84" s="34">
        <f>IFERROR(IF('Raw data'!I82&lt;&gt;"",IF(OR(UPPER(TRIM('Raw data'!I82))=UPPER(TRIM('Real results'!C80)),UPPER(TRIM('Raw data'!I82))=UPPER(TRIM('Real results'!C81)),UPPER(TRIM('Raw data'!I82))=UPPER(TRIM('Real results'!C82))),1,0),0),0)</f>
        <v>0</v>
      </c>
      <c r="K84" s="34">
        <f>IFERROR(IF('Raw data'!K82&lt;&gt;"",IF(OR(UPPER(TRIM('Raw data'!K82))=UPPER(TRIM('Real results'!C80)),UPPER(TRIM('Raw data'!K82))=UPPER(TRIM('Real results'!C81)),UPPER(TRIM('Raw data'!K82))=UPPER(TRIM('Real results'!C82))),1,0),0),0)</f>
        <v>0</v>
      </c>
      <c r="M84" s="34">
        <f>IFERROR(IF('Raw data'!M82&lt;&gt;"",IF(OR(UPPER(TRIM('Raw data'!M82))=UPPER(TRIM('Real results'!C80)),UPPER(TRIM('Raw data'!M82))=UPPER(TRIM('Real results'!C81)),UPPER(TRIM('Raw data'!M82))=UPPER(TRIM('Real results'!C82))),1,0),0),0)</f>
        <v>0</v>
      </c>
      <c r="O84" s="34">
        <f>IFERROR(IF('Raw data'!O82&lt;&gt;"",IF(OR(UPPER(TRIM('Raw data'!O82))=UPPER(TRIM('Real results'!C80)),UPPER(TRIM('Raw data'!O82))=UPPER(TRIM('Real results'!C81)),UPPER(TRIM('Raw data'!O82))=UPPER(TRIM('Real results'!C82))),1,0),0),0)</f>
        <v>0</v>
      </c>
      <c r="Q84" s="34">
        <f>IFERROR(IF('Raw data'!Q82&lt;&gt;"",IF(OR(UPPER(TRIM('Raw data'!Q82))=UPPER(TRIM('Real results'!C80)),UPPER(TRIM('Raw data'!Q82))=UPPER(TRIM('Real results'!C81)),UPPER(TRIM('Raw data'!Q82))=UPPER(TRIM('Real results'!C82))),1,0),0),0)</f>
        <v>0</v>
      </c>
      <c r="S84" s="34">
        <f>IFERROR(IF('Raw data'!S82&lt;&gt;"",IF(OR(UPPER(TRIM('Raw data'!S82))=UPPER(TRIM('Real results'!C80)),UPPER(TRIM('Raw data'!S82))=UPPER(TRIM('Real results'!C81)),UPPER(TRIM('Raw data'!S82))=UPPER(TRIM('Real results'!C82))),1,0),0),0)</f>
        <v>0</v>
      </c>
      <c r="U84" s="34">
        <f>IFERROR(IF('Raw data'!U82&lt;&gt;"",IF(OR(UPPER(TRIM('Raw data'!U82))=UPPER(TRIM('Real results'!C80)),UPPER(TRIM('Raw data'!U82))=UPPER(TRIM('Real results'!C81)),UPPER(TRIM('Raw data'!U82))=UPPER(TRIM('Real results'!C82))),1,0),0),0)</f>
        <v>0</v>
      </c>
      <c r="W84" s="34">
        <f>IFERROR(IF('Raw data'!W82&lt;&gt;"",IF(OR(UPPER(TRIM('Raw data'!W82))=UPPER(TRIM('Real results'!C80)),UPPER(TRIM('Raw data'!W82))=UPPER(TRIM('Real results'!C81)),UPPER(TRIM('Raw data'!W82))=UPPER(TRIM('Real results'!C82))),1,0),0),0)</f>
        <v>0</v>
      </c>
      <c r="Y84" s="34">
        <f>IFERROR(IF('Raw data'!Y82&lt;&gt;"",IF(OR(UPPER(TRIM('Raw data'!Y82))=UPPER(TRIM('Real results'!C80)),UPPER(TRIM('Raw data'!Y82))=UPPER(TRIM('Real results'!C81)),UPPER(TRIM('Raw data'!Y82))=UPPER(TRIM('Real results'!C82))),1,0),0),0)</f>
        <v>0</v>
      </c>
      <c r="AA84" s="34">
        <f>IFERROR(IF('Raw data'!AA82&lt;&gt;"",IF(OR(UPPER(TRIM('Raw data'!AA82))=UPPER(TRIM('Real results'!C80)),UPPER(TRIM('Raw data'!AA82))=UPPER(TRIM('Real results'!C81)),UPPER(TRIM('Raw data'!AA82))=UPPER(TRIM('Real results'!C82))),1,0),0),0)</f>
        <v>0</v>
      </c>
      <c r="AC84" s="34">
        <f>IFERROR(IF('Raw data'!AC82&lt;&gt;"",IF(OR(UPPER(TRIM('Raw data'!AC82))=UPPER(TRIM('Real results'!C80)),UPPER(TRIM('Raw data'!AC82))=UPPER(TRIM('Real results'!C81)),UPPER(TRIM('Raw data'!AC82))=UPPER(TRIM('Real results'!C82))),1,0),0),0)</f>
        <v>0</v>
      </c>
      <c r="AE84" s="34">
        <f>IFERROR(IF('Raw data'!AE82&lt;&gt;"",IF(OR(UPPER(TRIM('Raw data'!AE82))=UPPER(TRIM('Real results'!C80)),UPPER(TRIM('Raw data'!AE82))=UPPER(TRIM('Real results'!C81)),UPPER(TRIM('Raw data'!AE82))=UPPER(TRIM('Real results'!C82))),1,0),0),0)</f>
        <v>0</v>
      </c>
      <c r="AG84" s="34">
        <f>IFERROR(IF('Raw data'!AG82&lt;&gt;"",IF(OR(UPPER(TRIM('Raw data'!AG82))=UPPER(TRIM('Real results'!C80)),UPPER(TRIM('Raw data'!AG82))=UPPER(TRIM('Real results'!C81)),UPPER(TRIM('Raw data'!AG82))=UPPER(TRIM('Real results'!C82))),1,0),0),0)</f>
        <v>0</v>
      </c>
      <c r="AI84" s="34">
        <f>IFERROR(IF('Raw data'!AI82&lt;&gt;"",IF(OR(UPPER(TRIM('Raw data'!AI82))=UPPER(TRIM('Real results'!C80)),UPPER(TRIM('Raw data'!AI82))=UPPER(TRIM('Real results'!C81)),UPPER(TRIM('Raw data'!AI82))=UPPER(TRIM('Real results'!C82))),1,0),0),0)</f>
        <v>0</v>
      </c>
      <c r="AK84" s="34">
        <f>IFERROR(IF('Raw data'!AK82&lt;&gt;"",IF(OR(UPPER(TRIM('Raw data'!AK82))=UPPER(TRIM('Real results'!C80)),UPPER(TRIM('Raw data'!AK82))=UPPER(TRIM('Real results'!C81)),UPPER(TRIM('Raw data'!AK82))=UPPER(TRIM('Real results'!C82))),1,0),0),0)</f>
        <v>0</v>
      </c>
      <c r="AM84" s="34">
        <f>IFERROR(IF('Raw data'!AM82&lt;&gt;"",IF(OR(UPPER(TRIM('Raw data'!AM82))=UPPER(TRIM('Real results'!C80)),UPPER(TRIM('Raw data'!AM82))=UPPER(TRIM('Real results'!C81)),UPPER(TRIM('Raw data'!AM82))=UPPER(TRIM('Real results'!C82))),1,0),0),0)</f>
        <v>0</v>
      </c>
      <c r="AO84" s="34">
        <f>IFERROR(IF('Raw data'!AO82&lt;&gt;"",IF(OR(UPPER(TRIM('Raw data'!AO82))=UPPER(TRIM('Real results'!C80)),UPPER(TRIM('Raw data'!AO82))=UPPER(TRIM('Real results'!C81)),UPPER(TRIM('Raw data'!AO82))=UPPER(TRIM('Real results'!C82))),1,0),0),0)</f>
        <v>0</v>
      </c>
      <c r="AQ84" s="34">
        <f>IFERROR(IF('Raw data'!AQ82&lt;&gt;"",IF(OR(UPPER(TRIM('Raw data'!AQ82))=UPPER(TRIM('Real results'!C80)),UPPER(TRIM('Raw data'!AQ82))=UPPER(TRIM('Real results'!C81)),UPPER(TRIM('Raw data'!AQ82))=UPPER(TRIM('Real results'!C82))),1,0),0),0)</f>
        <v>0</v>
      </c>
      <c r="AS84" s="34">
        <f>IFERROR(IF('Raw data'!AS82&lt;&gt;"",IF(OR(UPPER(TRIM('Raw data'!AS82))=UPPER(TRIM('Real results'!C80)),UPPER(TRIM('Raw data'!AS82))=UPPER(TRIM('Real results'!C81)),UPPER(TRIM('Raw data'!AS82))=UPPER(TRIM('Real results'!C82))),1,0),0),0)</f>
        <v>0</v>
      </c>
      <c r="AU84" s="34">
        <f>IFERROR(IF('Raw data'!AU82&lt;&gt;"",IF(OR(UPPER(TRIM('Raw data'!AU82))=UPPER(TRIM('Real results'!C80)),UPPER(TRIM('Raw data'!AU82))=UPPER(TRIM('Real results'!C81)),UPPER(TRIM('Raw data'!AU82))=UPPER(TRIM('Real results'!C82))),1,0),0),0)</f>
        <v>0</v>
      </c>
      <c r="AW84" s="34">
        <f>IFERROR(IF('Raw data'!AW82&lt;&gt;"",IF(OR(UPPER(TRIM('Raw data'!AW82))=UPPER(TRIM('Real results'!C80)),UPPER(TRIM('Raw data'!AW82))=UPPER(TRIM('Real results'!C81)),UPPER(TRIM('Raw data'!AW82))=UPPER(TRIM('Real results'!C82))),1,0),0),0)</f>
        <v>0</v>
      </c>
      <c r="AY84" s="34">
        <f>IFERROR(IF('Raw data'!AY82&lt;&gt;"",IF(OR(UPPER(TRIM('Raw data'!AY82))=UPPER(TRIM('Real results'!C80)),UPPER(TRIM('Raw data'!AY82))=UPPER(TRIM('Real results'!C81)),UPPER(TRIM('Raw data'!AY82))=UPPER(TRIM('Real results'!C82))),1,0),0),0)</f>
        <v>0</v>
      </c>
      <c r="BA84" s="34">
        <f>IFERROR(IF('Raw data'!BA82&lt;&gt;"",IF(OR(UPPER(TRIM('Raw data'!BA82))=UPPER(TRIM('Real results'!C80)),UPPER(TRIM('Raw data'!BA82))=UPPER(TRIM('Real results'!C81)),UPPER(TRIM('Raw data'!BA82))=UPPER(TRIM('Real results'!C82))),1,0),0),0)</f>
        <v>0</v>
      </c>
      <c r="BC84" s="34">
        <f>IFERROR(IF('Raw data'!BC82&lt;&gt;"",IF(OR(UPPER(TRIM('Raw data'!BC82))=UPPER(TRIM('Real results'!C80)),UPPER(TRIM('Raw data'!BC82))=UPPER(TRIM('Real results'!C81)),UPPER(TRIM('Raw data'!BC82))=UPPER(TRIM('Real results'!C82))),1,0),0),0)</f>
        <v>0</v>
      </c>
      <c r="BE84" s="34">
        <f>IFERROR(IF('Raw data'!BE82&lt;&gt;"",IF(OR(UPPER(TRIM('Raw data'!BE82))=UPPER(TRIM('Real results'!C80)),UPPER(TRIM('Raw data'!BE82))=UPPER(TRIM('Real results'!C81)),UPPER(TRIM('Raw data'!BE82))=UPPER(TRIM('Real results'!C82))),1,0),0),0)</f>
        <v>0</v>
      </c>
      <c r="BG84" s="34">
        <f>IFERROR(IF('Raw data'!BG82&lt;&gt;"",IF(OR(UPPER(TRIM('Raw data'!BG82))=UPPER(TRIM('Real results'!C80)),UPPER(TRIM('Raw data'!BG82))=UPPER(TRIM('Real results'!C81)),UPPER(TRIM('Raw data'!BG82))=UPPER(TRIM('Real results'!C82))),1,0),0),0)</f>
        <v>0</v>
      </c>
      <c r="BI84" s="34">
        <f>IFERROR(IF('Raw data'!BI82&lt;&gt;"",IF(OR(UPPER(TRIM('Raw data'!BI82))=UPPER(TRIM('Real results'!C80)),UPPER(TRIM('Raw data'!BI82))=UPPER(TRIM('Real results'!C81)),UPPER(TRIM('Raw data'!BI82))=UPPER(TRIM('Real results'!C82))),1,0),0),0)</f>
        <v>0</v>
      </c>
    </row>
    <row r="85" ht="18.0" customHeight="1">
      <c r="B85" s="12" t="s">
        <v>341</v>
      </c>
      <c r="C85" s="34">
        <f>IFERROR(IF('Raw data'!C82&lt;&gt;"",IF(OR(UPPER(TRIM('Raw data'!C82))=UPPER(TRIM('Real results'!C83)),UPPER(TRIM('Raw data'!C82))=UPPER(TRIM('Real results'!C84)),UPPER(TRIM('Raw data'!C82))=UPPER(TRIM('Real results'!C85))),1,0)+IF(UPPER(TRIM('Raw data'!C82))=UPPER(TRIM('Real results'!C83)),2,0),0),0)</f>
        <v>0</v>
      </c>
      <c r="E85" s="34">
        <f>IFERROR(IF('Raw data'!E83&lt;&gt;"",IF(OR(UPPER(TRIM('Raw data'!E83))=UPPER(TRIM('Real results'!C83)),UPPER(TRIM('Raw data'!E83))=UPPER(TRIM('Real results'!C84)),UPPER(TRIM('Raw data'!E83))=UPPER(TRIM('Real results'!C85))),1,0)+IF(UPPER(TRIM('Raw data'!E83))=UPPER(TRIM('Real results'!C83)),2,0),0),0)</f>
        <v>0</v>
      </c>
      <c r="G85" s="34">
        <f>IFERROR(IF('Raw data'!G83&lt;&gt;"",IF(OR(UPPER(TRIM('Raw data'!G83))=UPPER(TRIM('Real results'!C83)),UPPER(TRIM('Raw data'!G83))=UPPER(TRIM('Real results'!C84)),UPPER(TRIM('Raw data'!G83))=UPPER(TRIM('Real results'!C85))),1,0)+IF(UPPER(TRIM('Raw data'!G83))=UPPER(TRIM('Real results'!C83)),2,0),0),0)</f>
        <v>0</v>
      </c>
      <c r="I85" s="34">
        <f>IFERROR(IF('Raw data'!I83&lt;&gt;"",IF(OR(UPPER(TRIM('Raw data'!I83))=UPPER(TRIM('Real results'!C83)),UPPER(TRIM('Raw data'!I83))=UPPER(TRIM('Real results'!C84)),UPPER(TRIM('Raw data'!I83))=UPPER(TRIM('Real results'!C85))),1,0)+IF(UPPER(TRIM('Raw data'!I83))=UPPER(TRIM('Real results'!C83)),2,0),0),0)</f>
        <v>0</v>
      </c>
      <c r="K85" s="34">
        <f>IFERROR(IF('Raw data'!K83&lt;&gt;"",IF(OR(UPPER(TRIM('Raw data'!K83))=UPPER(TRIM('Real results'!C83)),UPPER(TRIM('Raw data'!K83))=UPPER(TRIM('Real results'!C84)),UPPER(TRIM('Raw data'!K83))=UPPER(TRIM('Real results'!C85))),1,0)+IF(UPPER(TRIM('Raw data'!K83))=UPPER(TRIM('Real results'!C83)),2,0),0),0)</f>
        <v>0</v>
      </c>
      <c r="M85" s="34">
        <f>IFERROR(IF('Raw data'!M83&lt;&gt;"",IF(OR(UPPER(TRIM('Raw data'!M83))=UPPER(TRIM('Real results'!C83)),UPPER(TRIM('Raw data'!M83))=UPPER(TRIM('Real results'!C84)),UPPER(TRIM('Raw data'!M83))=UPPER(TRIM('Real results'!C85))),1,0)+IF(UPPER(TRIM('Raw data'!M83))=UPPER(TRIM('Real results'!C83)),2,0),0),0)</f>
        <v>0</v>
      </c>
      <c r="O85" s="34">
        <f>IFERROR(IF('Raw data'!O83&lt;&gt;"",IF(OR(UPPER(TRIM('Raw data'!O83))=UPPER(TRIM('Real results'!C83)),UPPER(TRIM('Raw data'!O83))=UPPER(TRIM('Real results'!C84)),UPPER(TRIM('Raw data'!O83))=UPPER(TRIM('Real results'!C85))),1,0)+IF(UPPER(TRIM('Raw data'!O83))=UPPER(TRIM('Real results'!C83)),2,0),0),0)</f>
        <v>0</v>
      </c>
      <c r="Q85" s="34">
        <f>IFERROR(IF('Raw data'!Q83&lt;&gt;"",IF(OR(UPPER(TRIM('Raw data'!Q83))=UPPER(TRIM('Real results'!C83)),UPPER(TRIM('Raw data'!Q83))=UPPER(TRIM('Real results'!C84)),UPPER(TRIM('Raw data'!Q83))=UPPER(TRIM('Real results'!C85))),1,0)+IF(UPPER(TRIM('Raw data'!Q83))=UPPER(TRIM('Real results'!C83)),2,0),0),0)</f>
        <v>0</v>
      </c>
      <c r="S85" s="34">
        <f>IFERROR(IF('Raw data'!S83&lt;&gt;"",IF(OR(UPPER(TRIM('Raw data'!S83))=UPPER(TRIM('Real results'!C83)),UPPER(TRIM('Raw data'!S83))=UPPER(TRIM('Real results'!C84)),UPPER(TRIM('Raw data'!S83))=UPPER(TRIM('Real results'!C85))),1,0)+IF(UPPER(TRIM('Raw data'!S83))=UPPER(TRIM('Real results'!C83)),2,0),0),0)</f>
        <v>0</v>
      </c>
      <c r="U85" s="34">
        <f>IFERROR(IF('Raw data'!U83&lt;&gt;"",IF(OR(UPPER(TRIM('Raw data'!U83))=UPPER(TRIM('Real results'!C83)),UPPER(TRIM('Raw data'!U83))=UPPER(TRIM('Real results'!C84)),UPPER(TRIM('Raw data'!U83))=UPPER(TRIM('Real results'!C85))),1,0)+IF(UPPER(TRIM('Raw data'!U83))=UPPER(TRIM('Real results'!C83)),2,0),0),0)</f>
        <v>0</v>
      </c>
      <c r="W85" s="34">
        <f>IFERROR(IF('Raw data'!W83&lt;&gt;"",IF(OR(UPPER(TRIM('Raw data'!W83))=UPPER(TRIM('Real results'!C83)),UPPER(TRIM('Raw data'!W83))=UPPER(TRIM('Real results'!C84)),UPPER(TRIM('Raw data'!W83))=UPPER(TRIM('Real results'!C85))),1,0)+IF(UPPER(TRIM('Raw data'!W83))=UPPER(TRIM('Real results'!C83)),2,0),0),0)</f>
        <v>0</v>
      </c>
      <c r="Y85" s="34">
        <f>IFERROR(IF('Raw data'!Y83&lt;&gt;"",IF(OR(UPPER(TRIM('Raw data'!Y83))=UPPER(TRIM('Real results'!C83)),UPPER(TRIM('Raw data'!Y83))=UPPER(TRIM('Real results'!C84)),UPPER(TRIM('Raw data'!Y83))=UPPER(TRIM('Real results'!C85))),1,0)+IF(UPPER(TRIM('Raw data'!Y83))=UPPER(TRIM('Real results'!C83)),2,0),0),0)</f>
        <v>0</v>
      </c>
      <c r="AA85" s="34">
        <f>IFERROR(IF('Raw data'!AA83&lt;&gt;"",IF(OR(UPPER(TRIM('Raw data'!AA83))=UPPER(TRIM('Real results'!C83)),UPPER(TRIM('Raw data'!AA83))=UPPER(TRIM('Real results'!C84)),UPPER(TRIM('Raw data'!AA83))=UPPER(TRIM('Real results'!C85))),1,0)+IF(UPPER(TRIM('Raw data'!AA83))=UPPER(TRIM('Real results'!C83)),2,0),0),0)</f>
        <v>0</v>
      </c>
      <c r="AC85" s="34">
        <f>IFERROR(IF('Raw data'!AC83&lt;&gt;"",IF(OR(UPPER(TRIM('Raw data'!AC83))=UPPER(TRIM('Real results'!C83)),UPPER(TRIM('Raw data'!AC83))=UPPER(TRIM('Real results'!C84)),UPPER(TRIM('Raw data'!AC83))=UPPER(TRIM('Real results'!C85))),1,0)+IF(UPPER(TRIM('Raw data'!AC83))=UPPER(TRIM('Real results'!C83)),2,0),0),0)</f>
        <v>0</v>
      </c>
      <c r="AE85" s="34">
        <f>IFERROR(IF('Raw data'!AE83&lt;&gt;"",IF(OR(UPPER(TRIM('Raw data'!AE83))=UPPER(TRIM('Real results'!C83)),UPPER(TRIM('Raw data'!AE83))=UPPER(TRIM('Real results'!C84)),UPPER(TRIM('Raw data'!AE83))=UPPER(TRIM('Real results'!C85))),1,0)+IF(UPPER(TRIM('Raw data'!AE83))=UPPER(TRIM('Real results'!C83)),2,0),0),0)</f>
        <v>0</v>
      </c>
      <c r="AG85" s="34">
        <f>IFERROR(IF('Raw data'!AG83&lt;&gt;"",IF(OR(UPPER(TRIM('Raw data'!AG83))=UPPER(TRIM('Real results'!C83)),UPPER(TRIM('Raw data'!AG83))=UPPER(TRIM('Real results'!C84)),UPPER(TRIM('Raw data'!AG83))=UPPER(TRIM('Real results'!C85))),1,0)+IF(UPPER(TRIM('Raw data'!AG83))=UPPER(TRIM('Real results'!C83)),2,0),0),0)</f>
        <v>0</v>
      </c>
      <c r="AI85" s="34">
        <f>IFERROR(IF('Raw data'!AI83&lt;&gt;"",IF(OR(UPPER(TRIM('Raw data'!AI83))=UPPER(TRIM('Real results'!C83)),UPPER(TRIM('Raw data'!AI83))=UPPER(TRIM('Real results'!C84)),UPPER(TRIM('Raw data'!AI83))=UPPER(TRIM('Real results'!C85))),1,0)+IF(UPPER(TRIM('Raw data'!AI83))=UPPER(TRIM('Real results'!C83)),2,0),0),0)</f>
        <v>0</v>
      </c>
      <c r="AK85" s="34">
        <f>IFERROR(IF('Raw data'!AK83&lt;&gt;"",IF(OR(UPPER(TRIM('Raw data'!AK83))=UPPER(TRIM('Real results'!C83)),UPPER(TRIM('Raw data'!AK83))=UPPER(TRIM('Real results'!C84)),UPPER(TRIM('Raw data'!AK83))=UPPER(TRIM('Real results'!C85))),1,0)+IF(UPPER(TRIM('Raw data'!AK83))=UPPER(TRIM('Real results'!C83)),2,0),0),0)</f>
        <v>0</v>
      </c>
      <c r="AM85" s="34">
        <f>IFERROR(IF('Raw data'!AM83&lt;&gt;"",IF(OR(UPPER(TRIM('Raw data'!AM83))=UPPER(TRIM('Real results'!C83)),UPPER(TRIM('Raw data'!AM83))=UPPER(TRIM('Real results'!C84)),UPPER(TRIM('Raw data'!AM83))=UPPER(TRIM('Real results'!C85))),1,0)+IF(UPPER(TRIM('Raw data'!AM83))=UPPER(TRIM('Real results'!C83)),2,0),0),0)</f>
        <v>0</v>
      </c>
      <c r="AO85" s="34">
        <f>IFERROR(IF('Raw data'!AO83&lt;&gt;"",IF(OR(UPPER(TRIM('Raw data'!AO83))=UPPER(TRIM('Real results'!C83)),UPPER(TRIM('Raw data'!AO83))=UPPER(TRIM('Real results'!C84)),UPPER(TRIM('Raw data'!AO83))=UPPER(TRIM('Real results'!C85))),1,0)+IF(UPPER(TRIM('Raw data'!AO83))=UPPER(TRIM('Real results'!C83)),2,0),0),0)</f>
        <v>0</v>
      </c>
      <c r="AQ85" s="34">
        <f>IFERROR(IF('Raw data'!AQ83&lt;&gt;"",IF(OR(UPPER(TRIM('Raw data'!AQ83))=UPPER(TRIM('Real results'!C83)),UPPER(TRIM('Raw data'!AQ83))=UPPER(TRIM('Real results'!C84)),UPPER(TRIM('Raw data'!AQ83))=UPPER(TRIM('Real results'!C85))),1,0)+IF(UPPER(TRIM('Raw data'!AQ83))=UPPER(TRIM('Real results'!C83)),2,0),0),0)</f>
        <v>0</v>
      </c>
      <c r="AS85" s="34">
        <f>IFERROR(IF('Raw data'!AS83&lt;&gt;"",IF(OR(UPPER(TRIM('Raw data'!AS83))=UPPER(TRIM('Real results'!C83)),UPPER(TRIM('Raw data'!AS83))=UPPER(TRIM('Real results'!C84)),UPPER(TRIM('Raw data'!AS83))=UPPER(TRIM('Real results'!C85))),1,0)+IF(UPPER(TRIM('Raw data'!AS83))=UPPER(TRIM('Real results'!C83)),2,0),0),0)</f>
        <v>0</v>
      </c>
      <c r="AU85" s="34">
        <f>IFERROR(IF('Raw data'!AU83&lt;&gt;"",IF(OR(UPPER(TRIM('Raw data'!AU83))=UPPER(TRIM('Real results'!C83)),UPPER(TRIM('Raw data'!AU83))=UPPER(TRIM('Real results'!C84)),UPPER(TRIM('Raw data'!AU83))=UPPER(TRIM('Real results'!C85))),1,0)+IF(UPPER(TRIM('Raw data'!AU83))=UPPER(TRIM('Real results'!C83)),2,0),0),0)</f>
        <v>0</v>
      </c>
      <c r="AW85" s="34">
        <f>IFERROR(IF('Raw data'!AW83&lt;&gt;"",IF(OR(UPPER(TRIM('Raw data'!AW83))=UPPER(TRIM('Real results'!C83)),UPPER(TRIM('Raw data'!AW83))=UPPER(TRIM('Real results'!C84)),UPPER(TRIM('Raw data'!AW83))=UPPER(TRIM('Real results'!C85))),1,0)+IF(UPPER(TRIM('Raw data'!AW83))=UPPER(TRIM('Real results'!C83)),2,0),0),0)</f>
        <v>0</v>
      </c>
      <c r="AY85" s="34">
        <f>IFERROR(IF('Raw data'!AY83&lt;&gt;"",IF(OR(UPPER(TRIM('Raw data'!AY83))=UPPER(TRIM('Real results'!C83)),UPPER(TRIM('Raw data'!AY83))=UPPER(TRIM('Real results'!C84)),UPPER(TRIM('Raw data'!AY83))=UPPER(TRIM('Real results'!C85))),1,0)+IF(UPPER(TRIM('Raw data'!AY83))=UPPER(TRIM('Real results'!C83)),2,0),0),0)</f>
        <v>0</v>
      </c>
      <c r="BA85" s="34">
        <f>IFERROR(IF('Raw data'!BA83&lt;&gt;"",IF(OR(UPPER(TRIM('Raw data'!BA83))=UPPER(TRIM('Real results'!C83)),UPPER(TRIM('Raw data'!BA83))=UPPER(TRIM('Real results'!C84)),UPPER(TRIM('Raw data'!BA83))=UPPER(TRIM('Real results'!C85))),1,0)+IF(UPPER(TRIM('Raw data'!BA83))=UPPER(TRIM('Real results'!C83)),2,0),0),0)</f>
        <v>0</v>
      </c>
      <c r="BC85" s="34">
        <f>IFERROR(IF('Raw data'!BC83&lt;&gt;"",IF(OR(UPPER(TRIM('Raw data'!BC83))=UPPER(TRIM('Real results'!C83)),UPPER(TRIM('Raw data'!BC83))=UPPER(TRIM('Real results'!C84)),UPPER(TRIM('Raw data'!BC83))=UPPER(TRIM('Real results'!C85))),1,0)+IF(UPPER(TRIM('Raw data'!BC83))=UPPER(TRIM('Real results'!C83)),2,0),0),0)</f>
        <v>0</v>
      </c>
      <c r="BE85" s="34">
        <f>IFERROR(IF('Raw data'!BE83&lt;&gt;"",IF(OR(UPPER(TRIM('Raw data'!BE83))=UPPER(TRIM('Real results'!C83)),UPPER(TRIM('Raw data'!BE83))=UPPER(TRIM('Real results'!C84)),UPPER(TRIM('Raw data'!BE83))=UPPER(TRIM('Real results'!C85))),1,0)+IF(UPPER(TRIM('Raw data'!BE83))=UPPER(TRIM('Real results'!C83)),2,0),0),0)</f>
        <v>0</v>
      </c>
      <c r="BG85" s="34">
        <f>IFERROR(IF('Raw data'!BG83&lt;&gt;"",IF(OR(UPPER(TRIM('Raw data'!BG83))=UPPER(TRIM('Real results'!C83)),UPPER(TRIM('Raw data'!BG83))=UPPER(TRIM('Real results'!C84)),UPPER(TRIM('Raw data'!BG83))=UPPER(TRIM('Real results'!C85))),1,0)+IF(UPPER(TRIM('Raw data'!BG83))=UPPER(TRIM('Real results'!C83)),2,0),0),0)</f>
        <v>0</v>
      </c>
      <c r="BI85" s="34">
        <f>IFERROR(IF('Raw data'!BI83&lt;&gt;"",IF(OR(UPPER(TRIM('Raw data'!BI83))=UPPER(TRIM('Real results'!C83)),UPPER(TRIM('Raw data'!BI83))=UPPER(TRIM('Real results'!C84)),UPPER(TRIM('Raw data'!BI83))=UPPER(TRIM('Real results'!C85))),1,0)+IF(UPPER(TRIM('Raw data'!BI83))=UPPER(TRIM('Real results'!C83)),2,0),0),0)</f>
        <v>0</v>
      </c>
    </row>
    <row r="86" ht="18.0" customHeight="1">
      <c r="B86" s="12" t="s">
        <v>342</v>
      </c>
      <c r="C86" s="34">
        <f>IFERROR(IF('Raw data'!C83&lt;&gt;"",IF(OR(UPPER(TRIM('Raw data'!C83))=UPPER(TRIM('Real results'!C83)),UPPER(TRIM('Raw data'!C83))=UPPER(TRIM('Real results'!C84)),UPPER(TRIM('Raw data'!C83))=UPPER(TRIM('Real results'!C85))),1,0),0),0)</f>
        <v>0</v>
      </c>
      <c r="E86" s="34">
        <f>IFERROR(IF('Raw data'!E84&lt;&gt;"",IF(OR(UPPER(TRIM('Raw data'!E84))=UPPER(TRIM('Real results'!C83)),UPPER(TRIM('Raw data'!E84))=UPPER(TRIM('Real results'!C84)),UPPER(TRIM('Raw data'!E84))=UPPER(TRIM('Real results'!C85))),1,0),0),0)</f>
        <v>0</v>
      </c>
      <c r="G86" s="34">
        <f>IFERROR(IF('Raw data'!G84&lt;&gt;"",IF(OR(UPPER(TRIM('Raw data'!G84))=UPPER(TRIM('Real results'!C83)),UPPER(TRIM('Raw data'!G84))=UPPER(TRIM('Real results'!C84)),UPPER(TRIM('Raw data'!G84))=UPPER(TRIM('Real results'!C85))),1,0),0),0)</f>
        <v>0</v>
      </c>
      <c r="I86" s="34">
        <f>IFERROR(IF('Raw data'!I84&lt;&gt;"",IF(OR(UPPER(TRIM('Raw data'!I84))=UPPER(TRIM('Real results'!C83)),UPPER(TRIM('Raw data'!I84))=UPPER(TRIM('Real results'!C84)),UPPER(TRIM('Raw data'!I84))=UPPER(TRIM('Real results'!C85))),1,0),0),0)</f>
        <v>0</v>
      </c>
      <c r="K86" s="34">
        <f>IFERROR(IF('Raw data'!K84&lt;&gt;"",IF(OR(UPPER(TRIM('Raw data'!K84))=UPPER(TRIM('Real results'!C83)),UPPER(TRIM('Raw data'!K84))=UPPER(TRIM('Real results'!C84)),UPPER(TRIM('Raw data'!K84))=UPPER(TRIM('Real results'!C85))),1,0),0),0)</f>
        <v>0</v>
      </c>
      <c r="M86" s="34">
        <f>IFERROR(IF('Raw data'!M84&lt;&gt;"",IF(OR(UPPER(TRIM('Raw data'!M84))=UPPER(TRIM('Real results'!C83)),UPPER(TRIM('Raw data'!M84))=UPPER(TRIM('Real results'!C84)),UPPER(TRIM('Raw data'!M84))=UPPER(TRIM('Real results'!C85))),1,0),0),0)</f>
        <v>0</v>
      </c>
      <c r="O86" s="34">
        <f>IFERROR(IF('Raw data'!O84&lt;&gt;"",IF(OR(UPPER(TRIM('Raw data'!O84))=UPPER(TRIM('Real results'!C83)),UPPER(TRIM('Raw data'!O84))=UPPER(TRIM('Real results'!C84)),UPPER(TRIM('Raw data'!O84))=UPPER(TRIM('Real results'!C85))),1,0),0),0)</f>
        <v>0</v>
      </c>
      <c r="Q86" s="34">
        <f>IFERROR(IF('Raw data'!Q84&lt;&gt;"",IF(OR(UPPER(TRIM('Raw data'!Q84))=UPPER(TRIM('Real results'!C83)),UPPER(TRIM('Raw data'!Q84))=UPPER(TRIM('Real results'!C84)),UPPER(TRIM('Raw data'!Q84))=UPPER(TRIM('Real results'!C85))),1,0),0),0)</f>
        <v>0</v>
      </c>
      <c r="S86" s="34">
        <f>IFERROR(IF('Raw data'!S84&lt;&gt;"",IF(OR(UPPER(TRIM('Raw data'!S84))=UPPER(TRIM('Real results'!C83)),UPPER(TRIM('Raw data'!S84))=UPPER(TRIM('Real results'!C84)),UPPER(TRIM('Raw data'!S84))=UPPER(TRIM('Real results'!C85))),1,0),0),0)</f>
        <v>0</v>
      </c>
      <c r="U86" s="34">
        <f>IFERROR(IF('Raw data'!U84&lt;&gt;"",IF(OR(UPPER(TRIM('Raw data'!U84))=UPPER(TRIM('Real results'!C83)),UPPER(TRIM('Raw data'!U84))=UPPER(TRIM('Real results'!C84)),UPPER(TRIM('Raw data'!U84))=UPPER(TRIM('Real results'!C85))),1,0),0),0)</f>
        <v>0</v>
      </c>
      <c r="W86" s="34">
        <f>IFERROR(IF('Raw data'!W84&lt;&gt;"",IF(OR(UPPER(TRIM('Raw data'!W84))=UPPER(TRIM('Real results'!C83)),UPPER(TRIM('Raw data'!W84))=UPPER(TRIM('Real results'!C84)),UPPER(TRIM('Raw data'!W84))=UPPER(TRIM('Real results'!C85))),1,0),0),0)</f>
        <v>0</v>
      </c>
      <c r="Y86" s="34">
        <f>IFERROR(IF('Raw data'!Y84&lt;&gt;"",IF(OR(UPPER(TRIM('Raw data'!Y84))=UPPER(TRIM('Real results'!C83)),UPPER(TRIM('Raw data'!Y84))=UPPER(TRIM('Real results'!C84)),UPPER(TRIM('Raw data'!Y84))=UPPER(TRIM('Real results'!C85))),1,0),0),0)</f>
        <v>0</v>
      </c>
      <c r="AA86" s="34">
        <f>IFERROR(IF('Raw data'!AA84&lt;&gt;"",IF(OR(UPPER(TRIM('Raw data'!AA84))=UPPER(TRIM('Real results'!C83)),UPPER(TRIM('Raw data'!AA84))=UPPER(TRIM('Real results'!C84)),UPPER(TRIM('Raw data'!AA84))=UPPER(TRIM('Real results'!C85))),1,0),0),0)</f>
        <v>0</v>
      </c>
      <c r="AC86" s="34">
        <f>IFERROR(IF('Raw data'!AC84&lt;&gt;"",IF(OR(UPPER(TRIM('Raw data'!AC84))=UPPER(TRIM('Real results'!C83)),UPPER(TRIM('Raw data'!AC84))=UPPER(TRIM('Real results'!C84)),UPPER(TRIM('Raw data'!AC84))=UPPER(TRIM('Real results'!C85))),1,0),0),0)</f>
        <v>0</v>
      </c>
      <c r="AE86" s="34">
        <f>IFERROR(IF('Raw data'!AE84&lt;&gt;"",IF(OR(UPPER(TRIM('Raw data'!AE84))=UPPER(TRIM('Real results'!C83)),UPPER(TRIM('Raw data'!AE84))=UPPER(TRIM('Real results'!C84)),UPPER(TRIM('Raw data'!AE84))=UPPER(TRIM('Real results'!C85))),1,0),0),0)</f>
        <v>0</v>
      </c>
      <c r="AG86" s="34">
        <f>IFERROR(IF('Raw data'!AG84&lt;&gt;"",IF(OR(UPPER(TRIM('Raw data'!AG84))=UPPER(TRIM('Real results'!C83)),UPPER(TRIM('Raw data'!AG84))=UPPER(TRIM('Real results'!C84)),UPPER(TRIM('Raw data'!AG84))=UPPER(TRIM('Real results'!C85))),1,0),0),0)</f>
        <v>0</v>
      </c>
      <c r="AI86" s="34">
        <f>IFERROR(IF('Raw data'!AI84&lt;&gt;"",IF(OR(UPPER(TRIM('Raw data'!AI84))=UPPER(TRIM('Real results'!C83)),UPPER(TRIM('Raw data'!AI84))=UPPER(TRIM('Real results'!C84)),UPPER(TRIM('Raw data'!AI84))=UPPER(TRIM('Real results'!C85))),1,0),0),0)</f>
        <v>0</v>
      </c>
      <c r="AK86" s="34">
        <f>IFERROR(IF('Raw data'!AK84&lt;&gt;"",IF(OR(UPPER(TRIM('Raw data'!AK84))=UPPER(TRIM('Real results'!C83)),UPPER(TRIM('Raw data'!AK84))=UPPER(TRIM('Real results'!C84)),UPPER(TRIM('Raw data'!AK84))=UPPER(TRIM('Real results'!C85))),1,0),0),0)</f>
        <v>0</v>
      </c>
      <c r="AM86" s="34">
        <f>IFERROR(IF('Raw data'!AM84&lt;&gt;"",IF(OR(UPPER(TRIM('Raw data'!AM84))=UPPER(TRIM('Real results'!C83)),UPPER(TRIM('Raw data'!AM84))=UPPER(TRIM('Real results'!C84)),UPPER(TRIM('Raw data'!AM84))=UPPER(TRIM('Real results'!C85))),1,0),0),0)</f>
        <v>0</v>
      </c>
      <c r="AO86" s="34">
        <f>IFERROR(IF('Raw data'!AO84&lt;&gt;"",IF(OR(UPPER(TRIM('Raw data'!AO84))=UPPER(TRIM('Real results'!C83)),UPPER(TRIM('Raw data'!AO84))=UPPER(TRIM('Real results'!C84)),UPPER(TRIM('Raw data'!AO84))=UPPER(TRIM('Real results'!C85))),1,0),0),0)</f>
        <v>0</v>
      </c>
      <c r="AQ86" s="34">
        <f>IFERROR(IF('Raw data'!AQ84&lt;&gt;"",IF(OR(UPPER(TRIM('Raw data'!AQ84))=UPPER(TRIM('Real results'!C83)),UPPER(TRIM('Raw data'!AQ84))=UPPER(TRIM('Real results'!C84)),UPPER(TRIM('Raw data'!AQ84))=UPPER(TRIM('Real results'!C85))),1,0),0),0)</f>
        <v>0</v>
      </c>
      <c r="AS86" s="34">
        <f>IFERROR(IF('Raw data'!AS84&lt;&gt;"",IF(OR(UPPER(TRIM('Raw data'!AS84))=UPPER(TRIM('Real results'!C83)),UPPER(TRIM('Raw data'!AS84))=UPPER(TRIM('Real results'!C84)),UPPER(TRIM('Raw data'!AS84))=UPPER(TRIM('Real results'!C85))),1,0),0),0)</f>
        <v>0</v>
      </c>
      <c r="AU86" s="34">
        <f>IFERROR(IF('Raw data'!AU84&lt;&gt;"",IF(OR(UPPER(TRIM('Raw data'!AU84))=UPPER(TRIM('Real results'!C83)),UPPER(TRIM('Raw data'!AU84))=UPPER(TRIM('Real results'!C84)),UPPER(TRIM('Raw data'!AU84))=UPPER(TRIM('Real results'!C85))),1,0),0),0)</f>
        <v>0</v>
      </c>
      <c r="AW86" s="34">
        <f>IFERROR(IF('Raw data'!AW84&lt;&gt;"",IF(OR(UPPER(TRIM('Raw data'!AW84))=UPPER(TRIM('Real results'!C83)),UPPER(TRIM('Raw data'!AW84))=UPPER(TRIM('Real results'!C84)),UPPER(TRIM('Raw data'!AW84))=UPPER(TRIM('Real results'!C85))),1,0),0),0)</f>
        <v>0</v>
      </c>
      <c r="AY86" s="34">
        <f>IFERROR(IF('Raw data'!AY84&lt;&gt;"",IF(OR(UPPER(TRIM('Raw data'!AY84))=UPPER(TRIM('Real results'!C83)),UPPER(TRIM('Raw data'!AY84))=UPPER(TRIM('Real results'!C84)),UPPER(TRIM('Raw data'!AY84))=UPPER(TRIM('Real results'!C85))),1,0),0),0)</f>
        <v>0</v>
      </c>
      <c r="BA86" s="34">
        <f>IFERROR(IF('Raw data'!BA84&lt;&gt;"",IF(OR(UPPER(TRIM('Raw data'!BA84))=UPPER(TRIM('Real results'!C83)),UPPER(TRIM('Raw data'!BA84))=UPPER(TRIM('Real results'!C84)),UPPER(TRIM('Raw data'!BA84))=UPPER(TRIM('Real results'!C85))),1,0),0),0)</f>
        <v>0</v>
      </c>
      <c r="BC86" s="34">
        <f>IFERROR(IF('Raw data'!BC84&lt;&gt;"",IF(OR(UPPER(TRIM('Raw data'!BC84))=UPPER(TRIM('Real results'!C83)),UPPER(TRIM('Raw data'!BC84))=UPPER(TRIM('Real results'!C84)),UPPER(TRIM('Raw data'!BC84))=UPPER(TRIM('Real results'!C85))),1,0),0),0)</f>
        <v>0</v>
      </c>
      <c r="BE86" s="34">
        <f>IFERROR(IF('Raw data'!BE84&lt;&gt;"",IF(OR(UPPER(TRIM('Raw data'!BE84))=UPPER(TRIM('Real results'!C83)),UPPER(TRIM('Raw data'!BE84))=UPPER(TRIM('Real results'!C84)),UPPER(TRIM('Raw data'!BE84))=UPPER(TRIM('Real results'!C85))),1,0),0),0)</f>
        <v>0</v>
      </c>
      <c r="BG86" s="34">
        <f>IFERROR(IF('Raw data'!BG84&lt;&gt;"",IF(OR(UPPER(TRIM('Raw data'!BG84))=UPPER(TRIM('Real results'!C83)),UPPER(TRIM('Raw data'!BG84))=UPPER(TRIM('Real results'!C84)),UPPER(TRIM('Raw data'!BG84))=UPPER(TRIM('Real results'!C85))),1,0),0),0)</f>
        <v>0</v>
      </c>
      <c r="BI86" s="34">
        <f>IFERROR(IF('Raw data'!BI84&lt;&gt;"",IF(OR(UPPER(TRIM('Raw data'!BI84))=UPPER(TRIM('Real results'!C83)),UPPER(TRIM('Raw data'!BI84))=UPPER(TRIM('Real results'!C84)),UPPER(TRIM('Raw data'!BI84))=UPPER(TRIM('Real results'!C85))),1,0),0),0)</f>
        <v>0</v>
      </c>
    </row>
    <row r="87" ht="18.0" customHeight="1">
      <c r="B87" s="12" t="s">
        <v>343</v>
      </c>
      <c r="C87" s="34">
        <f>IFERROR(IF('Raw data'!C84&lt;&gt;"",IF(OR(UPPER(TRIM('Raw data'!C84))=UPPER(TRIM('Real results'!C83)),UPPER(TRIM('Raw data'!C84))=UPPER(TRIM('Real results'!C84)),UPPER(TRIM('Raw data'!C84))=UPPER(TRIM('Real results'!C85))),1,0),0),0)</f>
        <v>0</v>
      </c>
      <c r="E87" s="34">
        <f>IFERROR(IF('Raw data'!E85&lt;&gt;"",IF(OR(UPPER(TRIM('Raw data'!E85))=UPPER(TRIM('Real results'!C83)),UPPER(TRIM('Raw data'!E85))=UPPER(TRIM('Real results'!C84)),UPPER(TRIM('Raw data'!E85))=UPPER(TRIM('Real results'!C85))),1,0),0),0)</f>
        <v>0</v>
      </c>
      <c r="G87" s="34">
        <f>IFERROR(IF('Raw data'!G85&lt;&gt;"",IF(OR(UPPER(TRIM('Raw data'!G85))=UPPER(TRIM('Real results'!C83)),UPPER(TRIM('Raw data'!G85))=UPPER(TRIM('Real results'!C84)),UPPER(TRIM('Raw data'!G85))=UPPER(TRIM('Real results'!C85))),1,0),0),0)</f>
        <v>0</v>
      </c>
      <c r="I87" s="34">
        <f>IFERROR(IF('Raw data'!I85&lt;&gt;"",IF(OR(UPPER(TRIM('Raw data'!I85))=UPPER(TRIM('Real results'!C83)),UPPER(TRIM('Raw data'!I85))=UPPER(TRIM('Real results'!C84)),UPPER(TRIM('Raw data'!I85))=UPPER(TRIM('Real results'!C85))),1,0),0),0)</f>
        <v>0</v>
      </c>
      <c r="K87" s="34">
        <f>IFERROR(IF('Raw data'!K85&lt;&gt;"",IF(OR(UPPER(TRIM('Raw data'!K85))=UPPER(TRIM('Real results'!C83)),UPPER(TRIM('Raw data'!K85))=UPPER(TRIM('Real results'!C84)),UPPER(TRIM('Raw data'!K85))=UPPER(TRIM('Real results'!C85))),1,0),0),0)</f>
        <v>0</v>
      </c>
      <c r="M87" s="34">
        <f>IFERROR(IF('Raw data'!M85&lt;&gt;"",IF(OR(UPPER(TRIM('Raw data'!M85))=UPPER(TRIM('Real results'!C83)),UPPER(TRIM('Raw data'!M85))=UPPER(TRIM('Real results'!C84)),UPPER(TRIM('Raw data'!M85))=UPPER(TRIM('Real results'!C85))),1,0),0),0)</f>
        <v>0</v>
      </c>
      <c r="O87" s="34">
        <f>IFERROR(IF('Raw data'!O85&lt;&gt;"",IF(OR(UPPER(TRIM('Raw data'!O85))=UPPER(TRIM('Real results'!C83)),UPPER(TRIM('Raw data'!O85))=UPPER(TRIM('Real results'!C84)),UPPER(TRIM('Raw data'!O85))=UPPER(TRIM('Real results'!C85))),1,0),0),0)</f>
        <v>0</v>
      </c>
      <c r="Q87" s="34">
        <f>IFERROR(IF('Raw data'!Q85&lt;&gt;"",IF(OR(UPPER(TRIM('Raw data'!Q85))=UPPER(TRIM('Real results'!C83)),UPPER(TRIM('Raw data'!Q85))=UPPER(TRIM('Real results'!C84)),UPPER(TRIM('Raw data'!Q85))=UPPER(TRIM('Real results'!C85))),1,0),0),0)</f>
        <v>0</v>
      </c>
      <c r="S87" s="34">
        <f>IFERROR(IF('Raw data'!S85&lt;&gt;"",IF(OR(UPPER(TRIM('Raw data'!S85))=UPPER(TRIM('Real results'!C83)),UPPER(TRIM('Raw data'!S85))=UPPER(TRIM('Real results'!C84)),UPPER(TRIM('Raw data'!S85))=UPPER(TRIM('Real results'!C85))),1,0),0),0)</f>
        <v>0</v>
      </c>
      <c r="U87" s="34">
        <f>IFERROR(IF('Raw data'!U85&lt;&gt;"",IF(OR(UPPER(TRIM('Raw data'!U85))=UPPER(TRIM('Real results'!C83)),UPPER(TRIM('Raw data'!U85))=UPPER(TRIM('Real results'!C84)),UPPER(TRIM('Raw data'!U85))=UPPER(TRIM('Real results'!C85))),1,0),0),0)</f>
        <v>0</v>
      </c>
      <c r="W87" s="34">
        <f>IFERROR(IF('Raw data'!W85&lt;&gt;"",IF(OR(UPPER(TRIM('Raw data'!W85))=UPPER(TRIM('Real results'!C83)),UPPER(TRIM('Raw data'!W85))=UPPER(TRIM('Real results'!C84)),UPPER(TRIM('Raw data'!W85))=UPPER(TRIM('Real results'!C85))),1,0),0),0)</f>
        <v>0</v>
      </c>
      <c r="Y87" s="34">
        <f>IFERROR(IF('Raw data'!Y85&lt;&gt;"",IF(OR(UPPER(TRIM('Raw data'!Y85))=UPPER(TRIM('Real results'!C83)),UPPER(TRIM('Raw data'!Y85))=UPPER(TRIM('Real results'!C84)),UPPER(TRIM('Raw data'!Y85))=UPPER(TRIM('Real results'!C85))),1,0),0),0)</f>
        <v>0</v>
      </c>
      <c r="AA87" s="34">
        <f>IFERROR(IF('Raw data'!AA85&lt;&gt;"",IF(OR(UPPER(TRIM('Raw data'!AA85))=UPPER(TRIM('Real results'!C83)),UPPER(TRIM('Raw data'!AA85))=UPPER(TRIM('Real results'!C84)),UPPER(TRIM('Raw data'!AA85))=UPPER(TRIM('Real results'!C85))),1,0),0),0)</f>
        <v>0</v>
      </c>
      <c r="AC87" s="34">
        <f>IFERROR(IF('Raw data'!AC85&lt;&gt;"",IF(OR(UPPER(TRIM('Raw data'!AC85))=UPPER(TRIM('Real results'!C83)),UPPER(TRIM('Raw data'!AC85))=UPPER(TRIM('Real results'!C84)),UPPER(TRIM('Raw data'!AC85))=UPPER(TRIM('Real results'!C85))),1,0),0),0)</f>
        <v>0</v>
      </c>
      <c r="AE87" s="34">
        <f>IFERROR(IF('Raw data'!AE85&lt;&gt;"",IF(OR(UPPER(TRIM('Raw data'!AE85))=UPPER(TRIM('Real results'!C83)),UPPER(TRIM('Raw data'!AE85))=UPPER(TRIM('Real results'!C84)),UPPER(TRIM('Raw data'!AE85))=UPPER(TRIM('Real results'!C85))),1,0),0),0)</f>
        <v>0</v>
      </c>
      <c r="AG87" s="34">
        <f>IFERROR(IF('Raw data'!AG85&lt;&gt;"",IF(OR(UPPER(TRIM('Raw data'!AG85))=UPPER(TRIM('Real results'!C83)),UPPER(TRIM('Raw data'!AG85))=UPPER(TRIM('Real results'!C84)),UPPER(TRIM('Raw data'!AG85))=UPPER(TRIM('Real results'!C85))),1,0),0),0)</f>
        <v>0</v>
      </c>
      <c r="AI87" s="34">
        <f>IFERROR(IF('Raw data'!AI85&lt;&gt;"",IF(OR(UPPER(TRIM('Raw data'!AI85))=UPPER(TRIM('Real results'!C83)),UPPER(TRIM('Raw data'!AI85))=UPPER(TRIM('Real results'!C84)),UPPER(TRIM('Raw data'!AI85))=UPPER(TRIM('Real results'!C85))),1,0),0),0)</f>
        <v>0</v>
      </c>
      <c r="AK87" s="34">
        <f>IFERROR(IF('Raw data'!AK85&lt;&gt;"",IF(OR(UPPER(TRIM('Raw data'!AK85))=UPPER(TRIM('Real results'!C83)),UPPER(TRIM('Raw data'!AK85))=UPPER(TRIM('Real results'!C84)),UPPER(TRIM('Raw data'!AK85))=UPPER(TRIM('Real results'!C85))),1,0),0),0)</f>
        <v>0</v>
      </c>
      <c r="AM87" s="34">
        <f>IFERROR(IF('Raw data'!AM85&lt;&gt;"",IF(OR(UPPER(TRIM('Raw data'!AM85))=UPPER(TRIM('Real results'!C83)),UPPER(TRIM('Raw data'!AM85))=UPPER(TRIM('Real results'!C84)),UPPER(TRIM('Raw data'!AM85))=UPPER(TRIM('Real results'!C85))),1,0),0),0)</f>
        <v>0</v>
      </c>
      <c r="AO87" s="34">
        <f>IFERROR(IF('Raw data'!AO85&lt;&gt;"",IF(OR(UPPER(TRIM('Raw data'!AO85))=UPPER(TRIM('Real results'!C83)),UPPER(TRIM('Raw data'!AO85))=UPPER(TRIM('Real results'!C84)),UPPER(TRIM('Raw data'!AO85))=UPPER(TRIM('Real results'!C85))),1,0),0),0)</f>
        <v>0</v>
      </c>
      <c r="AQ87" s="34">
        <f>IFERROR(IF('Raw data'!AQ85&lt;&gt;"",IF(OR(UPPER(TRIM('Raw data'!AQ85))=UPPER(TRIM('Real results'!C83)),UPPER(TRIM('Raw data'!AQ85))=UPPER(TRIM('Real results'!C84)),UPPER(TRIM('Raw data'!AQ85))=UPPER(TRIM('Real results'!C85))),1,0),0),0)</f>
        <v>0</v>
      </c>
      <c r="AS87" s="34">
        <f>IFERROR(IF('Raw data'!AS85&lt;&gt;"",IF(OR(UPPER(TRIM('Raw data'!AS85))=UPPER(TRIM('Real results'!C83)),UPPER(TRIM('Raw data'!AS85))=UPPER(TRIM('Real results'!C84)),UPPER(TRIM('Raw data'!AS85))=UPPER(TRIM('Real results'!C85))),1,0),0),0)</f>
        <v>0</v>
      </c>
      <c r="AU87" s="34">
        <f>IFERROR(IF('Raw data'!AU85&lt;&gt;"",IF(OR(UPPER(TRIM('Raw data'!AU85))=UPPER(TRIM('Real results'!C83)),UPPER(TRIM('Raw data'!AU85))=UPPER(TRIM('Real results'!C84)),UPPER(TRIM('Raw data'!AU85))=UPPER(TRIM('Real results'!C85))),1,0),0),0)</f>
        <v>0</v>
      </c>
      <c r="AW87" s="34">
        <f>IFERROR(IF('Raw data'!AW85&lt;&gt;"",IF(OR(UPPER(TRIM('Raw data'!AW85))=UPPER(TRIM('Real results'!C83)),UPPER(TRIM('Raw data'!AW85))=UPPER(TRIM('Real results'!C84)),UPPER(TRIM('Raw data'!AW85))=UPPER(TRIM('Real results'!C85))),1,0),0),0)</f>
        <v>0</v>
      </c>
      <c r="AY87" s="34">
        <f>IFERROR(IF('Raw data'!AY85&lt;&gt;"",IF(OR(UPPER(TRIM('Raw data'!AY85))=UPPER(TRIM('Real results'!C83)),UPPER(TRIM('Raw data'!AY85))=UPPER(TRIM('Real results'!C84)),UPPER(TRIM('Raw data'!AY85))=UPPER(TRIM('Real results'!C85))),1,0),0),0)</f>
        <v>0</v>
      </c>
      <c r="BA87" s="34">
        <f>IFERROR(IF('Raw data'!BA85&lt;&gt;"",IF(OR(UPPER(TRIM('Raw data'!BA85))=UPPER(TRIM('Real results'!C83)),UPPER(TRIM('Raw data'!BA85))=UPPER(TRIM('Real results'!C84)),UPPER(TRIM('Raw data'!BA85))=UPPER(TRIM('Real results'!C85))),1,0),0),0)</f>
        <v>0</v>
      </c>
      <c r="BC87" s="34">
        <f>IFERROR(IF('Raw data'!BC85&lt;&gt;"",IF(OR(UPPER(TRIM('Raw data'!BC85))=UPPER(TRIM('Real results'!C83)),UPPER(TRIM('Raw data'!BC85))=UPPER(TRIM('Real results'!C84)),UPPER(TRIM('Raw data'!BC85))=UPPER(TRIM('Real results'!C85))),1,0),0),0)</f>
        <v>0</v>
      </c>
      <c r="BE87" s="34">
        <f>IFERROR(IF('Raw data'!BE85&lt;&gt;"",IF(OR(UPPER(TRIM('Raw data'!BE85))=UPPER(TRIM('Real results'!C83)),UPPER(TRIM('Raw data'!BE85))=UPPER(TRIM('Real results'!C84)),UPPER(TRIM('Raw data'!BE85))=UPPER(TRIM('Real results'!C85))),1,0),0),0)</f>
        <v>0</v>
      </c>
      <c r="BG87" s="34">
        <f>IFERROR(IF('Raw data'!BG85&lt;&gt;"",IF(OR(UPPER(TRIM('Raw data'!BG85))=UPPER(TRIM('Real results'!C83)),UPPER(TRIM('Raw data'!BG85))=UPPER(TRIM('Real results'!C84)),UPPER(TRIM('Raw data'!BG85))=UPPER(TRIM('Real results'!C85))),1,0),0),0)</f>
        <v>0</v>
      </c>
      <c r="BI87" s="34">
        <f>IFERROR(IF('Raw data'!BI85&lt;&gt;"",IF(OR(UPPER(TRIM('Raw data'!BI85))=UPPER(TRIM('Real results'!C83)),UPPER(TRIM('Raw data'!BI85))=UPPER(TRIM('Real results'!C84)),UPPER(TRIM('Raw data'!BI85))=UPPER(TRIM('Real results'!C85))),1,0),0),0)</f>
        <v>0</v>
      </c>
    </row>
    <row r="88" ht="18.0" customHeight="1">
      <c r="B88" s="12" t="s">
        <v>344</v>
      </c>
      <c r="C88" s="34">
        <f>IFERROR(IF('Raw data'!C85&lt;&gt;"",IF(OR(UPPER(TRIM('Raw data'!C85))=UPPER(TRIM('Real results'!C86)),UPPER(TRIM('Raw data'!C85))=UPPER(TRIM('Real results'!C87)),UPPER(TRIM('Raw data'!C85))=UPPER(TRIM('Real results'!C88))),1,0)+IF(UPPER(TRIM('Raw data'!C85))=UPPER(TRIM('Real results'!C86)),2,0),0),0)</f>
        <v>0</v>
      </c>
      <c r="E88" s="34">
        <f>IFERROR(IF('Raw data'!E86&lt;&gt;"",IF(OR(UPPER(TRIM('Raw data'!E86))=UPPER(TRIM('Real results'!C86)),UPPER(TRIM('Raw data'!E86))=UPPER(TRIM('Real results'!C87)),UPPER(TRIM('Raw data'!E86))=UPPER(TRIM('Real results'!C88))),1,0)+IF(UPPER(TRIM('Raw data'!E86))=UPPER(TRIM('Real results'!C86)),2,0),0),0)</f>
        <v>0</v>
      </c>
      <c r="G88" s="34">
        <f>IFERROR(IF('Raw data'!G86&lt;&gt;"",IF(OR(UPPER(TRIM('Raw data'!G86))=UPPER(TRIM('Real results'!C86)),UPPER(TRIM('Raw data'!G86))=UPPER(TRIM('Real results'!C87)),UPPER(TRIM('Raw data'!G86))=UPPER(TRIM('Real results'!C88))),1,0)+IF(UPPER(TRIM('Raw data'!G86))=UPPER(TRIM('Real results'!C86)),2,0),0),0)</f>
        <v>0</v>
      </c>
      <c r="I88" s="34">
        <f>IFERROR(IF('Raw data'!I86&lt;&gt;"",IF(OR(UPPER(TRIM('Raw data'!I86))=UPPER(TRIM('Real results'!C86)),UPPER(TRIM('Raw data'!I86))=UPPER(TRIM('Real results'!C87)),UPPER(TRIM('Raw data'!I86))=UPPER(TRIM('Real results'!C88))),1,0)+IF(UPPER(TRIM('Raw data'!I86))=UPPER(TRIM('Real results'!C86)),2,0),0),0)</f>
        <v>0</v>
      </c>
      <c r="K88" s="34">
        <f>IFERROR(IF('Raw data'!K86&lt;&gt;"",IF(OR(UPPER(TRIM('Raw data'!K86))=UPPER(TRIM('Real results'!C86)),UPPER(TRIM('Raw data'!K86))=UPPER(TRIM('Real results'!C87)),UPPER(TRIM('Raw data'!K86))=UPPER(TRIM('Real results'!C88))),1,0)+IF(UPPER(TRIM('Raw data'!K86))=UPPER(TRIM('Real results'!C86)),2,0),0),0)</f>
        <v>0</v>
      </c>
      <c r="M88" s="34">
        <f>IFERROR(IF('Raw data'!M86&lt;&gt;"",IF(OR(UPPER(TRIM('Raw data'!M86))=UPPER(TRIM('Real results'!C86)),UPPER(TRIM('Raw data'!M86))=UPPER(TRIM('Real results'!C87)),UPPER(TRIM('Raw data'!M86))=UPPER(TRIM('Real results'!C88))),1,0)+IF(UPPER(TRIM('Raw data'!M86))=UPPER(TRIM('Real results'!C86)),2,0),0),0)</f>
        <v>0</v>
      </c>
      <c r="O88" s="34">
        <f>IFERROR(IF('Raw data'!O86&lt;&gt;"",IF(OR(UPPER(TRIM('Raw data'!O86))=UPPER(TRIM('Real results'!C86)),UPPER(TRIM('Raw data'!O86))=UPPER(TRIM('Real results'!C87)),UPPER(TRIM('Raw data'!O86))=UPPER(TRIM('Real results'!C88))),1,0)+IF(UPPER(TRIM('Raw data'!O86))=UPPER(TRIM('Real results'!C86)),2,0),0),0)</f>
        <v>0</v>
      </c>
      <c r="Q88" s="34">
        <f>IFERROR(IF('Raw data'!Q86&lt;&gt;"",IF(OR(UPPER(TRIM('Raw data'!Q86))=UPPER(TRIM('Real results'!C86)),UPPER(TRIM('Raw data'!Q86))=UPPER(TRIM('Real results'!C87)),UPPER(TRIM('Raw data'!Q86))=UPPER(TRIM('Real results'!C88))),1,0)+IF(UPPER(TRIM('Raw data'!Q86))=UPPER(TRIM('Real results'!C86)),2,0),0),0)</f>
        <v>0</v>
      </c>
      <c r="S88" s="34">
        <f>IFERROR(IF('Raw data'!S86&lt;&gt;"",IF(OR(UPPER(TRIM('Raw data'!S86))=UPPER(TRIM('Real results'!C86)),UPPER(TRIM('Raw data'!S86))=UPPER(TRIM('Real results'!C87)),UPPER(TRIM('Raw data'!S86))=UPPER(TRIM('Real results'!C88))),1,0)+IF(UPPER(TRIM('Raw data'!S86))=UPPER(TRIM('Real results'!C86)),2,0),0),0)</f>
        <v>0</v>
      </c>
      <c r="U88" s="34">
        <f>IFERROR(IF('Raw data'!U86&lt;&gt;"",IF(OR(UPPER(TRIM('Raw data'!U86))=UPPER(TRIM('Real results'!C86)),UPPER(TRIM('Raw data'!U86))=UPPER(TRIM('Real results'!C87)),UPPER(TRIM('Raw data'!U86))=UPPER(TRIM('Real results'!C88))),1,0)+IF(UPPER(TRIM('Raw data'!U86))=UPPER(TRIM('Real results'!C86)),2,0),0),0)</f>
        <v>0</v>
      </c>
      <c r="W88" s="34">
        <f>IFERROR(IF('Raw data'!W86&lt;&gt;"",IF(OR(UPPER(TRIM('Raw data'!W86))=UPPER(TRIM('Real results'!C86)),UPPER(TRIM('Raw data'!W86))=UPPER(TRIM('Real results'!C87)),UPPER(TRIM('Raw data'!W86))=UPPER(TRIM('Real results'!C88))),1,0)+IF(UPPER(TRIM('Raw data'!W86))=UPPER(TRIM('Real results'!C86)),2,0),0),0)</f>
        <v>0</v>
      </c>
      <c r="Y88" s="34">
        <f>IFERROR(IF('Raw data'!Y86&lt;&gt;"",IF(OR(UPPER(TRIM('Raw data'!Y86))=UPPER(TRIM('Real results'!C86)),UPPER(TRIM('Raw data'!Y86))=UPPER(TRIM('Real results'!C87)),UPPER(TRIM('Raw data'!Y86))=UPPER(TRIM('Real results'!C88))),1,0)+IF(UPPER(TRIM('Raw data'!Y86))=UPPER(TRIM('Real results'!C86)),2,0),0),0)</f>
        <v>0</v>
      </c>
      <c r="AA88" s="34">
        <f>IFERROR(IF('Raw data'!AA86&lt;&gt;"",IF(OR(UPPER(TRIM('Raw data'!AA86))=UPPER(TRIM('Real results'!C86)),UPPER(TRIM('Raw data'!AA86))=UPPER(TRIM('Real results'!C87)),UPPER(TRIM('Raw data'!AA86))=UPPER(TRIM('Real results'!C88))),1,0)+IF(UPPER(TRIM('Raw data'!AA86))=UPPER(TRIM('Real results'!C86)),2,0),0),0)</f>
        <v>0</v>
      </c>
      <c r="AC88" s="34">
        <f>IFERROR(IF('Raw data'!AC86&lt;&gt;"",IF(OR(UPPER(TRIM('Raw data'!AC86))=UPPER(TRIM('Real results'!C86)),UPPER(TRIM('Raw data'!AC86))=UPPER(TRIM('Real results'!C87)),UPPER(TRIM('Raw data'!AC86))=UPPER(TRIM('Real results'!C88))),1,0)+IF(UPPER(TRIM('Raw data'!AC86))=UPPER(TRIM('Real results'!C86)),2,0),0),0)</f>
        <v>0</v>
      </c>
      <c r="AE88" s="34">
        <f>IFERROR(IF('Raw data'!AE86&lt;&gt;"",IF(OR(UPPER(TRIM('Raw data'!AE86))=UPPER(TRIM('Real results'!C86)),UPPER(TRIM('Raw data'!AE86))=UPPER(TRIM('Real results'!C87)),UPPER(TRIM('Raw data'!AE86))=UPPER(TRIM('Real results'!C88))),1,0)+IF(UPPER(TRIM('Raw data'!AE86))=UPPER(TRIM('Real results'!C86)),2,0),0),0)</f>
        <v>0</v>
      </c>
      <c r="AG88" s="34">
        <f>IFERROR(IF('Raw data'!AG86&lt;&gt;"",IF(OR(UPPER(TRIM('Raw data'!AG86))=UPPER(TRIM('Real results'!C86)),UPPER(TRIM('Raw data'!AG86))=UPPER(TRIM('Real results'!C87)),UPPER(TRIM('Raw data'!AG86))=UPPER(TRIM('Real results'!C88))),1,0)+IF(UPPER(TRIM('Raw data'!AG86))=UPPER(TRIM('Real results'!C86)),2,0),0),0)</f>
        <v>0</v>
      </c>
      <c r="AI88" s="34">
        <f>IFERROR(IF('Raw data'!AI86&lt;&gt;"",IF(OR(UPPER(TRIM('Raw data'!AI86))=UPPER(TRIM('Real results'!C86)),UPPER(TRIM('Raw data'!AI86))=UPPER(TRIM('Real results'!C87)),UPPER(TRIM('Raw data'!AI86))=UPPER(TRIM('Real results'!C88))),1,0)+IF(UPPER(TRIM('Raw data'!AI86))=UPPER(TRIM('Real results'!C86)),2,0),0),0)</f>
        <v>0</v>
      </c>
      <c r="AK88" s="34">
        <f>IFERROR(IF('Raw data'!AK86&lt;&gt;"",IF(OR(UPPER(TRIM('Raw data'!AK86))=UPPER(TRIM('Real results'!C86)),UPPER(TRIM('Raw data'!AK86))=UPPER(TRIM('Real results'!C87)),UPPER(TRIM('Raw data'!AK86))=UPPER(TRIM('Real results'!C88))),1,0)+IF(UPPER(TRIM('Raw data'!AK86))=UPPER(TRIM('Real results'!C86)),2,0),0),0)</f>
        <v>0</v>
      </c>
      <c r="AM88" s="34">
        <f>IFERROR(IF('Raw data'!AM86&lt;&gt;"",IF(OR(UPPER(TRIM('Raw data'!AM86))=UPPER(TRIM('Real results'!C86)),UPPER(TRIM('Raw data'!AM86))=UPPER(TRIM('Real results'!C87)),UPPER(TRIM('Raw data'!AM86))=UPPER(TRIM('Real results'!C88))),1,0)+IF(UPPER(TRIM('Raw data'!AM86))=UPPER(TRIM('Real results'!C86)),2,0),0),0)</f>
        <v>0</v>
      </c>
      <c r="AO88" s="34">
        <f>IFERROR(IF('Raw data'!AO86&lt;&gt;"",IF(OR(UPPER(TRIM('Raw data'!AO86))=UPPER(TRIM('Real results'!C86)),UPPER(TRIM('Raw data'!AO86))=UPPER(TRIM('Real results'!C87)),UPPER(TRIM('Raw data'!AO86))=UPPER(TRIM('Real results'!C88))),1,0)+IF(UPPER(TRIM('Raw data'!AO86))=UPPER(TRIM('Real results'!C86)),2,0),0),0)</f>
        <v>0</v>
      </c>
      <c r="AQ88" s="34">
        <f>IFERROR(IF('Raw data'!AQ86&lt;&gt;"",IF(OR(UPPER(TRIM('Raw data'!AQ86))=UPPER(TRIM('Real results'!C86)),UPPER(TRIM('Raw data'!AQ86))=UPPER(TRIM('Real results'!C87)),UPPER(TRIM('Raw data'!AQ86))=UPPER(TRIM('Real results'!C88))),1,0)+IF(UPPER(TRIM('Raw data'!AQ86))=UPPER(TRIM('Real results'!C86)),2,0),0),0)</f>
        <v>0</v>
      </c>
      <c r="AS88" s="34">
        <f>IFERROR(IF('Raw data'!AS86&lt;&gt;"",IF(OR(UPPER(TRIM('Raw data'!AS86))=UPPER(TRIM('Real results'!C86)),UPPER(TRIM('Raw data'!AS86))=UPPER(TRIM('Real results'!C87)),UPPER(TRIM('Raw data'!AS86))=UPPER(TRIM('Real results'!C88))),1,0)+IF(UPPER(TRIM('Raw data'!AS86))=UPPER(TRIM('Real results'!C86)),2,0),0),0)</f>
        <v>0</v>
      </c>
      <c r="AU88" s="34">
        <f>IFERROR(IF('Raw data'!AU86&lt;&gt;"",IF(OR(UPPER(TRIM('Raw data'!AU86))=UPPER(TRIM('Real results'!C86)),UPPER(TRIM('Raw data'!AU86))=UPPER(TRIM('Real results'!C87)),UPPER(TRIM('Raw data'!AU86))=UPPER(TRIM('Real results'!C88))),1,0)+IF(UPPER(TRIM('Raw data'!AU86))=UPPER(TRIM('Real results'!C86)),2,0),0),0)</f>
        <v>0</v>
      </c>
      <c r="AW88" s="34">
        <f>IFERROR(IF('Raw data'!AW86&lt;&gt;"",IF(OR(UPPER(TRIM('Raw data'!AW86))=UPPER(TRIM('Real results'!C86)),UPPER(TRIM('Raw data'!AW86))=UPPER(TRIM('Real results'!C87)),UPPER(TRIM('Raw data'!AW86))=UPPER(TRIM('Real results'!C88))),1,0)+IF(UPPER(TRIM('Raw data'!AW86))=UPPER(TRIM('Real results'!C86)),2,0),0),0)</f>
        <v>0</v>
      </c>
      <c r="AY88" s="34">
        <f>IFERROR(IF('Raw data'!AY86&lt;&gt;"",IF(OR(UPPER(TRIM('Raw data'!AY86))=UPPER(TRIM('Real results'!C86)),UPPER(TRIM('Raw data'!AY86))=UPPER(TRIM('Real results'!C87)),UPPER(TRIM('Raw data'!AY86))=UPPER(TRIM('Real results'!C88))),1,0)+IF(UPPER(TRIM('Raw data'!AY86))=UPPER(TRIM('Real results'!C86)),2,0),0),0)</f>
        <v>0</v>
      </c>
      <c r="BA88" s="34">
        <f>IFERROR(IF('Raw data'!BA86&lt;&gt;"",IF(OR(UPPER(TRIM('Raw data'!BA86))=UPPER(TRIM('Real results'!C86)),UPPER(TRIM('Raw data'!BA86))=UPPER(TRIM('Real results'!C87)),UPPER(TRIM('Raw data'!BA86))=UPPER(TRIM('Real results'!C88))),1,0)+IF(UPPER(TRIM('Raw data'!BA86))=UPPER(TRIM('Real results'!C86)),2,0),0),0)</f>
        <v>0</v>
      </c>
      <c r="BC88" s="34">
        <f>IFERROR(IF('Raw data'!BC86&lt;&gt;"",IF(OR(UPPER(TRIM('Raw data'!BC86))=UPPER(TRIM('Real results'!C86)),UPPER(TRIM('Raw data'!BC86))=UPPER(TRIM('Real results'!C87)),UPPER(TRIM('Raw data'!BC86))=UPPER(TRIM('Real results'!C88))),1,0)+IF(UPPER(TRIM('Raw data'!BC86))=UPPER(TRIM('Real results'!C86)),2,0),0),0)</f>
        <v>0</v>
      </c>
      <c r="BE88" s="34">
        <f>IFERROR(IF('Raw data'!BE86&lt;&gt;"",IF(OR(UPPER(TRIM('Raw data'!BE86))=UPPER(TRIM('Real results'!C86)),UPPER(TRIM('Raw data'!BE86))=UPPER(TRIM('Real results'!C87)),UPPER(TRIM('Raw data'!BE86))=UPPER(TRIM('Real results'!C88))),1,0)+IF(UPPER(TRIM('Raw data'!BE86))=UPPER(TRIM('Real results'!C86)),2,0),0),0)</f>
        <v>0</v>
      </c>
      <c r="BG88" s="34">
        <f>IFERROR(IF('Raw data'!BG86&lt;&gt;"",IF(OR(UPPER(TRIM('Raw data'!BG86))=UPPER(TRIM('Real results'!C86)),UPPER(TRIM('Raw data'!BG86))=UPPER(TRIM('Real results'!C87)),UPPER(TRIM('Raw data'!BG86))=UPPER(TRIM('Real results'!C88))),1,0)+IF(UPPER(TRIM('Raw data'!BG86))=UPPER(TRIM('Real results'!C86)),2,0),0),0)</f>
        <v>0</v>
      </c>
      <c r="BI88" s="34">
        <f>IFERROR(IF('Raw data'!BI86&lt;&gt;"",IF(OR(UPPER(TRIM('Raw data'!BI86))=UPPER(TRIM('Real results'!C86)),UPPER(TRIM('Raw data'!BI86))=UPPER(TRIM('Real results'!C87)),UPPER(TRIM('Raw data'!BI86))=UPPER(TRIM('Real results'!C88))),1,0)+IF(UPPER(TRIM('Raw data'!BI86))=UPPER(TRIM('Real results'!C86)),2,0),0),0)</f>
        <v>0</v>
      </c>
    </row>
    <row r="89" ht="18.0" customHeight="1">
      <c r="B89" s="12" t="s">
        <v>345</v>
      </c>
      <c r="C89" s="34">
        <f>IFERROR(IF('Raw data'!C86&lt;&gt;"",IF(OR(UPPER(TRIM('Raw data'!C86))=UPPER(TRIM('Real results'!C86)),UPPER(TRIM('Raw data'!C86))=UPPER(TRIM('Real results'!C87)),UPPER(TRIM('Raw data'!C86))=UPPER(TRIM('Real results'!C88))),1,0),0),0)</f>
        <v>0</v>
      </c>
      <c r="E89" s="34">
        <f>IFERROR(IF('Raw data'!E87&lt;&gt;"",IF(OR(UPPER(TRIM('Raw data'!E87))=UPPER(TRIM('Real results'!C86)),UPPER(TRIM('Raw data'!E87))=UPPER(TRIM('Real results'!C87)),UPPER(TRIM('Raw data'!E87))=UPPER(TRIM('Real results'!C88))),1,0),0),0)</f>
        <v>0</v>
      </c>
      <c r="G89" s="34">
        <f>IFERROR(IF('Raw data'!G87&lt;&gt;"",IF(OR(UPPER(TRIM('Raw data'!G87))=UPPER(TRIM('Real results'!C86)),UPPER(TRIM('Raw data'!G87))=UPPER(TRIM('Real results'!C87)),UPPER(TRIM('Raw data'!G87))=UPPER(TRIM('Real results'!C88))),1,0),0),0)</f>
        <v>0</v>
      </c>
      <c r="I89" s="34">
        <f>IFERROR(IF('Raw data'!I87&lt;&gt;"",IF(OR(UPPER(TRIM('Raw data'!I87))=UPPER(TRIM('Real results'!C86)),UPPER(TRIM('Raw data'!I87))=UPPER(TRIM('Real results'!C87)),UPPER(TRIM('Raw data'!I87))=UPPER(TRIM('Real results'!C88))),1,0),0),0)</f>
        <v>0</v>
      </c>
      <c r="K89" s="34">
        <f>IFERROR(IF('Raw data'!K87&lt;&gt;"",IF(OR(UPPER(TRIM('Raw data'!K87))=UPPER(TRIM('Real results'!C86)),UPPER(TRIM('Raw data'!K87))=UPPER(TRIM('Real results'!C87)),UPPER(TRIM('Raw data'!K87))=UPPER(TRIM('Real results'!C88))),1,0),0),0)</f>
        <v>0</v>
      </c>
      <c r="M89" s="34">
        <f>IFERROR(IF('Raw data'!M87&lt;&gt;"",IF(OR(UPPER(TRIM('Raw data'!M87))=UPPER(TRIM('Real results'!C86)),UPPER(TRIM('Raw data'!M87))=UPPER(TRIM('Real results'!C87)),UPPER(TRIM('Raw data'!M87))=UPPER(TRIM('Real results'!C88))),1,0),0),0)</f>
        <v>0</v>
      </c>
      <c r="O89" s="34">
        <f>IFERROR(IF('Raw data'!O87&lt;&gt;"",IF(OR(UPPER(TRIM('Raw data'!O87))=UPPER(TRIM('Real results'!C86)),UPPER(TRIM('Raw data'!O87))=UPPER(TRIM('Real results'!C87)),UPPER(TRIM('Raw data'!O87))=UPPER(TRIM('Real results'!C88))),1,0),0),0)</f>
        <v>0</v>
      </c>
      <c r="Q89" s="34">
        <f>IFERROR(IF('Raw data'!Q87&lt;&gt;"",IF(OR(UPPER(TRIM('Raw data'!Q87))=UPPER(TRIM('Real results'!C86)),UPPER(TRIM('Raw data'!Q87))=UPPER(TRIM('Real results'!C87)),UPPER(TRIM('Raw data'!Q87))=UPPER(TRIM('Real results'!C88))),1,0),0),0)</f>
        <v>0</v>
      </c>
      <c r="S89" s="34">
        <f>IFERROR(IF('Raw data'!S87&lt;&gt;"",IF(OR(UPPER(TRIM('Raw data'!S87))=UPPER(TRIM('Real results'!C86)),UPPER(TRIM('Raw data'!S87))=UPPER(TRIM('Real results'!C87)),UPPER(TRIM('Raw data'!S87))=UPPER(TRIM('Real results'!C88))),1,0),0),0)</f>
        <v>0</v>
      </c>
      <c r="U89" s="34">
        <f>IFERROR(IF('Raw data'!U87&lt;&gt;"",IF(OR(UPPER(TRIM('Raw data'!U87))=UPPER(TRIM('Real results'!C86)),UPPER(TRIM('Raw data'!U87))=UPPER(TRIM('Real results'!C87)),UPPER(TRIM('Raw data'!U87))=UPPER(TRIM('Real results'!C88))),1,0),0),0)</f>
        <v>0</v>
      </c>
      <c r="W89" s="34">
        <f>IFERROR(IF('Raw data'!W87&lt;&gt;"",IF(OR(UPPER(TRIM('Raw data'!W87))=UPPER(TRIM('Real results'!C86)),UPPER(TRIM('Raw data'!W87))=UPPER(TRIM('Real results'!C87)),UPPER(TRIM('Raw data'!W87))=UPPER(TRIM('Real results'!C88))),1,0),0),0)</f>
        <v>0</v>
      </c>
      <c r="Y89" s="34">
        <f>IFERROR(IF('Raw data'!Y87&lt;&gt;"",IF(OR(UPPER(TRIM('Raw data'!Y87))=UPPER(TRIM('Real results'!C86)),UPPER(TRIM('Raw data'!Y87))=UPPER(TRIM('Real results'!C87)),UPPER(TRIM('Raw data'!Y87))=UPPER(TRIM('Real results'!C88))),1,0),0),0)</f>
        <v>0</v>
      </c>
      <c r="AA89" s="34">
        <f>IFERROR(IF('Raw data'!AA87&lt;&gt;"",IF(OR(UPPER(TRIM('Raw data'!AA87))=UPPER(TRIM('Real results'!C86)),UPPER(TRIM('Raw data'!AA87))=UPPER(TRIM('Real results'!C87)),UPPER(TRIM('Raw data'!AA87))=UPPER(TRIM('Real results'!C88))),1,0),0),0)</f>
        <v>0</v>
      </c>
      <c r="AC89" s="34">
        <f>IFERROR(IF('Raw data'!AC87&lt;&gt;"",IF(OR(UPPER(TRIM('Raw data'!AC87))=UPPER(TRIM('Real results'!C86)),UPPER(TRIM('Raw data'!AC87))=UPPER(TRIM('Real results'!C87)),UPPER(TRIM('Raw data'!AC87))=UPPER(TRIM('Real results'!C88))),1,0),0),0)</f>
        <v>0</v>
      </c>
      <c r="AE89" s="34">
        <f>IFERROR(IF('Raw data'!AE87&lt;&gt;"",IF(OR(UPPER(TRIM('Raw data'!AE87))=UPPER(TRIM('Real results'!C86)),UPPER(TRIM('Raw data'!AE87))=UPPER(TRIM('Real results'!C87)),UPPER(TRIM('Raw data'!AE87))=UPPER(TRIM('Real results'!C88))),1,0),0),0)</f>
        <v>0</v>
      </c>
      <c r="AG89" s="34">
        <f>IFERROR(IF('Raw data'!AG87&lt;&gt;"",IF(OR(UPPER(TRIM('Raw data'!AG87))=UPPER(TRIM('Real results'!C86)),UPPER(TRIM('Raw data'!AG87))=UPPER(TRIM('Real results'!C87)),UPPER(TRIM('Raw data'!AG87))=UPPER(TRIM('Real results'!C88))),1,0),0),0)</f>
        <v>0</v>
      </c>
      <c r="AI89" s="34">
        <f>IFERROR(IF('Raw data'!AI87&lt;&gt;"",IF(OR(UPPER(TRIM('Raw data'!AI87))=UPPER(TRIM('Real results'!C86)),UPPER(TRIM('Raw data'!AI87))=UPPER(TRIM('Real results'!C87)),UPPER(TRIM('Raw data'!AI87))=UPPER(TRIM('Real results'!C88))),1,0),0),0)</f>
        <v>0</v>
      </c>
      <c r="AK89" s="34">
        <f>IFERROR(IF('Raw data'!AK87&lt;&gt;"",IF(OR(UPPER(TRIM('Raw data'!AK87))=UPPER(TRIM('Real results'!C86)),UPPER(TRIM('Raw data'!AK87))=UPPER(TRIM('Real results'!C87)),UPPER(TRIM('Raw data'!AK87))=UPPER(TRIM('Real results'!C88))),1,0),0),0)</f>
        <v>0</v>
      </c>
      <c r="AM89" s="34">
        <f>IFERROR(IF('Raw data'!AM87&lt;&gt;"",IF(OR(UPPER(TRIM('Raw data'!AM87))=UPPER(TRIM('Real results'!C86)),UPPER(TRIM('Raw data'!AM87))=UPPER(TRIM('Real results'!C87)),UPPER(TRIM('Raw data'!AM87))=UPPER(TRIM('Real results'!C88))),1,0),0),0)</f>
        <v>0</v>
      </c>
      <c r="AO89" s="34">
        <f>IFERROR(IF('Raw data'!AO87&lt;&gt;"",IF(OR(UPPER(TRIM('Raw data'!AO87))=UPPER(TRIM('Real results'!C86)),UPPER(TRIM('Raw data'!AO87))=UPPER(TRIM('Real results'!C87)),UPPER(TRIM('Raw data'!AO87))=UPPER(TRIM('Real results'!C88))),1,0),0),0)</f>
        <v>0</v>
      </c>
      <c r="AQ89" s="34">
        <f>IFERROR(IF('Raw data'!AQ87&lt;&gt;"",IF(OR(UPPER(TRIM('Raw data'!AQ87))=UPPER(TRIM('Real results'!C86)),UPPER(TRIM('Raw data'!AQ87))=UPPER(TRIM('Real results'!C87)),UPPER(TRIM('Raw data'!AQ87))=UPPER(TRIM('Real results'!C88))),1,0),0),0)</f>
        <v>0</v>
      </c>
      <c r="AS89" s="34">
        <f>IFERROR(IF('Raw data'!AS87&lt;&gt;"",IF(OR(UPPER(TRIM('Raw data'!AS87))=UPPER(TRIM('Real results'!C86)),UPPER(TRIM('Raw data'!AS87))=UPPER(TRIM('Real results'!C87)),UPPER(TRIM('Raw data'!AS87))=UPPER(TRIM('Real results'!C88))),1,0),0),0)</f>
        <v>0</v>
      </c>
      <c r="AU89" s="34">
        <f>IFERROR(IF('Raw data'!AU87&lt;&gt;"",IF(OR(UPPER(TRIM('Raw data'!AU87))=UPPER(TRIM('Real results'!C86)),UPPER(TRIM('Raw data'!AU87))=UPPER(TRIM('Real results'!C87)),UPPER(TRIM('Raw data'!AU87))=UPPER(TRIM('Real results'!C88))),1,0),0),0)</f>
        <v>0</v>
      </c>
      <c r="AW89" s="34">
        <f>IFERROR(IF('Raw data'!AW87&lt;&gt;"",IF(OR(UPPER(TRIM('Raw data'!AW87))=UPPER(TRIM('Real results'!C86)),UPPER(TRIM('Raw data'!AW87))=UPPER(TRIM('Real results'!C87)),UPPER(TRIM('Raw data'!AW87))=UPPER(TRIM('Real results'!C88))),1,0),0),0)</f>
        <v>0</v>
      </c>
      <c r="AY89" s="34">
        <f>IFERROR(IF('Raw data'!AY87&lt;&gt;"",IF(OR(UPPER(TRIM('Raw data'!AY87))=UPPER(TRIM('Real results'!C86)),UPPER(TRIM('Raw data'!AY87))=UPPER(TRIM('Real results'!C87)),UPPER(TRIM('Raw data'!AY87))=UPPER(TRIM('Real results'!C88))),1,0),0),0)</f>
        <v>0</v>
      </c>
      <c r="BA89" s="34">
        <f>IFERROR(IF('Raw data'!BA87&lt;&gt;"",IF(OR(UPPER(TRIM('Raw data'!BA87))=UPPER(TRIM('Real results'!C86)),UPPER(TRIM('Raw data'!BA87))=UPPER(TRIM('Real results'!C87)),UPPER(TRIM('Raw data'!BA87))=UPPER(TRIM('Real results'!C88))),1,0),0),0)</f>
        <v>0</v>
      </c>
      <c r="BC89" s="34">
        <f>IFERROR(IF('Raw data'!BC87&lt;&gt;"",IF(OR(UPPER(TRIM('Raw data'!BC87))=UPPER(TRIM('Real results'!C86)),UPPER(TRIM('Raw data'!BC87))=UPPER(TRIM('Real results'!C87)),UPPER(TRIM('Raw data'!BC87))=UPPER(TRIM('Real results'!C88))),1,0),0),0)</f>
        <v>0</v>
      </c>
      <c r="BE89" s="34">
        <f>IFERROR(IF('Raw data'!BE87&lt;&gt;"",IF(OR(UPPER(TRIM('Raw data'!BE87))=UPPER(TRIM('Real results'!C86)),UPPER(TRIM('Raw data'!BE87))=UPPER(TRIM('Real results'!C87)),UPPER(TRIM('Raw data'!BE87))=UPPER(TRIM('Real results'!C88))),1,0),0),0)</f>
        <v>0</v>
      </c>
      <c r="BG89" s="34">
        <f>IFERROR(IF('Raw data'!BG87&lt;&gt;"",IF(OR(UPPER(TRIM('Raw data'!BG87))=UPPER(TRIM('Real results'!C86)),UPPER(TRIM('Raw data'!BG87))=UPPER(TRIM('Real results'!C87)),UPPER(TRIM('Raw data'!BG87))=UPPER(TRIM('Real results'!C88))),1,0),0),0)</f>
        <v>0</v>
      </c>
      <c r="BI89" s="34">
        <f>IFERROR(IF('Raw data'!BI87&lt;&gt;"",IF(OR(UPPER(TRIM('Raw data'!BI87))=UPPER(TRIM('Real results'!C86)),UPPER(TRIM('Raw data'!BI87))=UPPER(TRIM('Real results'!C87)),UPPER(TRIM('Raw data'!BI87))=UPPER(TRIM('Real results'!C88))),1,0),0),0)</f>
        <v>0</v>
      </c>
    </row>
    <row r="90" ht="18.0" customHeight="1">
      <c r="B90" s="12" t="s">
        <v>346</v>
      </c>
      <c r="C90" s="34">
        <f>IFERROR(IF('Raw data'!C87&lt;&gt;"",IF(OR(UPPER(TRIM('Raw data'!C87))=UPPER(TRIM('Real results'!C86)),UPPER(TRIM('Raw data'!C87))=UPPER(TRIM('Real results'!C87)),UPPER(TRIM('Raw data'!C87))=UPPER(TRIM('Real results'!C88))),1,0),0),0)</f>
        <v>0</v>
      </c>
      <c r="E90" s="34">
        <f>IFERROR(IF('Raw data'!E88&lt;&gt;"",IF(OR(UPPER(TRIM('Raw data'!E88))=UPPER(TRIM('Real results'!C86)),UPPER(TRIM('Raw data'!E88))=UPPER(TRIM('Real results'!C87)),UPPER(TRIM('Raw data'!E88))=UPPER(TRIM('Real results'!C88))),1,0),0),0)</f>
        <v>0</v>
      </c>
      <c r="G90" s="34">
        <f>IFERROR(IF('Raw data'!G88&lt;&gt;"",IF(OR(UPPER(TRIM('Raw data'!G88))=UPPER(TRIM('Real results'!C86)),UPPER(TRIM('Raw data'!G88))=UPPER(TRIM('Real results'!C87)),UPPER(TRIM('Raw data'!G88))=UPPER(TRIM('Real results'!C88))),1,0),0),0)</f>
        <v>0</v>
      </c>
      <c r="I90" s="34">
        <f>IFERROR(IF('Raw data'!I88&lt;&gt;"",IF(OR(UPPER(TRIM('Raw data'!I88))=UPPER(TRIM('Real results'!C86)),UPPER(TRIM('Raw data'!I88))=UPPER(TRIM('Real results'!C87)),UPPER(TRIM('Raw data'!I88))=UPPER(TRIM('Real results'!C88))),1,0),0),0)</f>
        <v>0</v>
      </c>
      <c r="K90" s="34">
        <f>IFERROR(IF('Raw data'!K88&lt;&gt;"",IF(OR(UPPER(TRIM('Raw data'!K88))=UPPER(TRIM('Real results'!C86)),UPPER(TRIM('Raw data'!K88))=UPPER(TRIM('Real results'!C87)),UPPER(TRIM('Raw data'!K88))=UPPER(TRIM('Real results'!C88))),1,0),0),0)</f>
        <v>0</v>
      </c>
      <c r="M90" s="34">
        <f>IFERROR(IF('Raw data'!M88&lt;&gt;"",IF(OR(UPPER(TRIM('Raw data'!M88))=UPPER(TRIM('Real results'!C86)),UPPER(TRIM('Raw data'!M88))=UPPER(TRIM('Real results'!C87)),UPPER(TRIM('Raw data'!M88))=UPPER(TRIM('Real results'!C88))),1,0),0),0)</f>
        <v>0</v>
      </c>
      <c r="O90" s="34">
        <f>IFERROR(IF('Raw data'!O88&lt;&gt;"",IF(OR(UPPER(TRIM('Raw data'!O88))=UPPER(TRIM('Real results'!C86)),UPPER(TRIM('Raw data'!O88))=UPPER(TRIM('Real results'!C87)),UPPER(TRIM('Raw data'!O88))=UPPER(TRIM('Real results'!C88))),1,0),0),0)</f>
        <v>0</v>
      </c>
      <c r="Q90" s="34">
        <f>IFERROR(IF('Raw data'!Q88&lt;&gt;"",IF(OR(UPPER(TRIM('Raw data'!Q88))=UPPER(TRIM('Real results'!C86)),UPPER(TRIM('Raw data'!Q88))=UPPER(TRIM('Real results'!C87)),UPPER(TRIM('Raw data'!Q88))=UPPER(TRIM('Real results'!C88))),1,0),0),0)</f>
        <v>0</v>
      </c>
      <c r="S90" s="34">
        <f>IFERROR(IF('Raw data'!S88&lt;&gt;"",IF(OR(UPPER(TRIM('Raw data'!S88))=UPPER(TRIM('Real results'!C86)),UPPER(TRIM('Raw data'!S88))=UPPER(TRIM('Real results'!C87)),UPPER(TRIM('Raw data'!S88))=UPPER(TRIM('Real results'!C88))),1,0),0),0)</f>
        <v>0</v>
      </c>
      <c r="U90" s="34">
        <f>IFERROR(IF('Raw data'!U88&lt;&gt;"",IF(OR(UPPER(TRIM('Raw data'!U88))=UPPER(TRIM('Real results'!C86)),UPPER(TRIM('Raw data'!U88))=UPPER(TRIM('Real results'!C87)),UPPER(TRIM('Raw data'!U88))=UPPER(TRIM('Real results'!C88))),1,0),0),0)</f>
        <v>0</v>
      </c>
      <c r="W90" s="34">
        <f>IFERROR(IF('Raw data'!W88&lt;&gt;"",IF(OR(UPPER(TRIM('Raw data'!W88))=UPPER(TRIM('Real results'!C86)),UPPER(TRIM('Raw data'!W88))=UPPER(TRIM('Real results'!C87)),UPPER(TRIM('Raw data'!W88))=UPPER(TRIM('Real results'!C88))),1,0),0),0)</f>
        <v>0</v>
      </c>
      <c r="Y90" s="34">
        <f>IFERROR(IF('Raw data'!Y88&lt;&gt;"",IF(OR(UPPER(TRIM('Raw data'!Y88))=UPPER(TRIM('Real results'!C86)),UPPER(TRIM('Raw data'!Y88))=UPPER(TRIM('Real results'!C87)),UPPER(TRIM('Raw data'!Y88))=UPPER(TRIM('Real results'!C88))),1,0),0),0)</f>
        <v>0</v>
      </c>
      <c r="AA90" s="34">
        <f>IFERROR(IF('Raw data'!AA88&lt;&gt;"",IF(OR(UPPER(TRIM('Raw data'!AA88))=UPPER(TRIM('Real results'!C86)),UPPER(TRIM('Raw data'!AA88))=UPPER(TRIM('Real results'!C87)),UPPER(TRIM('Raw data'!AA88))=UPPER(TRIM('Real results'!C88))),1,0),0),0)</f>
        <v>0</v>
      </c>
      <c r="AC90" s="34">
        <f>IFERROR(IF('Raw data'!AC88&lt;&gt;"",IF(OR(UPPER(TRIM('Raw data'!AC88))=UPPER(TRIM('Real results'!C86)),UPPER(TRIM('Raw data'!AC88))=UPPER(TRIM('Real results'!C87)),UPPER(TRIM('Raw data'!AC88))=UPPER(TRIM('Real results'!C88))),1,0),0),0)</f>
        <v>0</v>
      </c>
      <c r="AE90" s="34">
        <f>IFERROR(IF('Raw data'!AE88&lt;&gt;"",IF(OR(UPPER(TRIM('Raw data'!AE88))=UPPER(TRIM('Real results'!C86)),UPPER(TRIM('Raw data'!AE88))=UPPER(TRIM('Real results'!C87)),UPPER(TRIM('Raw data'!AE88))=UPPER(TRIM('Real results'!C88))),1,0),0),0)</f>
        <v>0</v>
      </c>
      <c r="AG90" s="34">
        <f>IFERROR(IF('Raw data'!AG88&lt;&gt;"",IF(OR(UPPER(TRIM('Raw data'!AG88))=UPPER(TRIM('Real results'!C86)),UPPER(TRIM('Raw data'!AG88))=UPPER(TRIM('Real results'!C87)),UPPER(TRIM('Raw data'!AG88))=UPPER(TRIM('Real results'!C88))),1,0),0),0)</f>
        <v>0</v>
      </c>
      <c r="AI90" s="34">
        <f>IFERROR(IF('Raw data'!AI88&lt;&gt;"",IF(OR(UPPER(TRIM('Raw data'!AI88))=UPPER(TRIM('Real results'!C86)),UPPER(TRIM('Raw data'!AI88))=UPPER(TRIM('Real results'!C87)),UPPER(TRIM('Raw data'!AI88))=UPPER(TRIM('Real results'!C88))),1,0),0),0)</f>
        <v>0</v>
      </c>
      <c r="AK90" s="34">
        <f>IFERROR(IF('Raw data'!AK88&lt;&gt;"",IF(OR(UPPER(TRIM('Raw data'!AK88))=UPPER(TRIM('Real results'!C86)),UPPER(TRIM('Raw data'!AK88))=UPPER(TRIM('Real results'!C87)),UPPER(TRIM('Raw data'!AK88))=UPPER(TRIM('Real results'!C88))),1,0),0),0)</f>
        <v>0</v>
      </c>
      <c r="AM90" s="34">
        <f>IFERROR(IF('Raw data'!AM88&lt;&gt;"",IF(OR(UPPER(TRIM('Raw data'!AM88))=UPPER(TRIM('Real results'!C86)),UPPER(TRIM('Raw data'!AM88))=UPPER(TRIM('Real results'!C87)),UPPER(TRIM('Raw data'!AM88))=UPPER(TRIM('Real results'!C88))),1,0),0),0)</f>
        <v>0</v>
      </c>
      <c r="AO90" s="34">
        <f>IFERROR(IF('Raw data'!AO88&lt;&gt;"",IF(OR(UPPER(TRIM('Raw data'!AO88))=UPPER(TRIM('Real results'!C86)),UPPER(TRIM('Raw data'!AO88))=UPPER(TRIM('Real results'!C87)),UPPER(TRIM('Raw data'!AO88))=UPPER(TRIM('Real results'!C88))),1,0),0),0)</f>
        <v>0</v>
      </c>
      <c r="AQ90" s="34">
        <f>IFERROR(IF('Raw data'!AQ88&lt;&gt;"",IF(OR(UPPER(TRIM('Raw data'!AQ88))=UPPER(TRIM('Real results'!C86)),UPPER(TRIM('Raw data'!AQ88))=UPPER(TRIM('Real results'!C87)),UPPER(TRIM('Raw data'!AQ88))=UPPER(TRIM('Real results'!C88))),1,0),0),0)</f>
        <v>0</v>
      </c>
      <c r="AS90" s="34">
        <f>IFERROR(IF('Raw data'!AS88&lt;&gt;"",IF(OR(UPPER(TRIM('Raw data'!AS88))=UPPER(TRIM('Real results'!C86)),UPPER(TRIM('Raw data'!AS88))=UPPER(TRIM('Real results'!C87)),UPPER(TRIM('Raw data'!AS88))=UPPER(TRIM('Real results'!C88))),1,0),0),0)</f>
        <v>0</v>
      </c>
      <c r="AU90" s="34">
        <f>IFERROR(IF('Raw data'!AU88&lt;&gt;"",IF(OR(UPPER(TRIM('Raw data'!AU88))=UPPER(TRIM('Real results'!C86)),UPPER(TRIM('Raw data'!AU88))=UPPER(TRIM('Real results'!C87)),UPPER(TRIM('Raw data'!AU88))=UPPER(TRIM('Real results'!C88))),1,0),0),0)</f>
        <v>0</v>
      </c>
      <c r="AW90" s="34">
        <f>IFERROR(IF('Raw data'!AW88&lt;&gt;"",IF(OR(UPPER(TRIM('Raw data'!AW88))=UPPER(TRIM('Real results'!C86)),UPPER(TRIM('Raw data'!AW88))=UPPER(TRIM('Real results'!C87)),UPPER(TRIM('Raw data'!AW88))=UPPER(TRIM('Real results'!C88))),1,0),0),0)</f>
        <v>0</v>
      </c>
      <c r="AY90" s="34">
        <f>IFERROR(IF('Raw data'!AY88&lt;&gt;"",IF(OR(UPPER(TRIM('Raw data'!AY88))=UPPER(TRIM('Real results'!C86)),UPPER(TRIM('Raw data'!AY88))=UPPER(TRIM('Real results'!C87)),UPPER(TRIM('Raw data'!AY88))=UPPER(TRIM('Real results'!C88))),1,0),0),0)</f>
        <v>0</v>
      </c>
      <c r="BA90" s="34">
        <f>IFERROR(IF('Raw data'!BA88&lt;&gt;"",IF(OR(UPPER(TRIM('Raw data'!BA88))=UPPER(TRIM('Real results'!C86)),UPPER(TRIM('Raw data'!BA88))=UPPER(TRIM('Real results'!C87)),UPPER(TRIM('Raw data'!BA88))=UPPER(TRIM('Real results'!C88))),1,0),0),0)</f>
        <v>0</v>
      </c>
      <c r="BC90" s="34">
        <f>IFERROR(IF('Raw data'!BC88&lt;&gt;"",IF(OR(UPPER(TRIM('Raw data'!BC88))=UPPER(TRIM('Real results'!C86)),UPPER(TRIM('Raw data'!BC88))=UPPER(TRIM('Real results'!C87)),UPPER(TRIM('Raw data'!BC88))=UPPER(TRIM('Real results'!C88))),1,0),0),0)</f>
        <v>0</v>
      </c>
      <c r="BE90" s="34">
        <f>IFERROR(IF('Raw data'!BE88&lt;&gt;"",IF(OR(UPPER(TRIM('Raw data'!BE88))=UPPER(TRIM('Real results'!C86)),UPPER(TRIM('Raw data'!BE88))=UPPER(TRIM('Real results'!C87)),UPPER(TRIM('Raw data'!BE88))=UPPER(TRIM('Real results'!C88))),1,0),0),0)</f>
        <v>0</v>
      </c>
      <c r="BG90" s="34">
        <f>IFERROR(IF('Raw data'!BG88&lt;&gt;"",IF(OR(UPPER(TRIM('Raw data'!BG88))=UPPER(TRIM('Real results'!C86)),UPPER(TRIM('Raw data'!BG88))=UPPER(TRIM('Real results'!C87)),UPPER(TRIM('Raw data'!BG88))=UPPER(TRIM('Real results'!C88))),1,0),0),0)</f>
        <v>0</v>
      </c>
      <c r="BI90" s="34">
        <f>IFERROR(IF('Raw data'!BI88&lt;&gt;"",IF(OR(UPPER(TRIM('Raw data'!BI88))=UPPER(TRIM('Real results'!C86)),UPPER(TRIM('Raw data'!BI88))=UPPER(TRIM('Real results'!C87)),UPPER(TRIM('Raw data'!BI88))=UPPER(TRIM('Real results'!C88))),1,0),0),0)</f>
        <v>0</v>
      </c>
    </row>
    <row r="91" ht="18.0" customHeight="1">
      <c r="B91" s="12" t="s">
        <v>347</v>
      </c>
      <c r="C91" s="34">
        <f>IFERROR(IF('Raw data'!C88&lt;&gt;"",IF(OR(UPPER(TRIM('Raw data'!C88))=UPPER(TRIM('Real results'!C89)),UPPER(TRIM('Raw data'!C88))=UPPER(TRIM('Real results'!C90)),UPPER(TRIM('Raw data'!C88))=UPPER(TRIM('Real results'!C91))),1,0)+IF(UPPER(TRIM('Raw data'!C88))=UPPER(TRIM('Real results'!C89)),2,0),0),0)</f>
        <v>0</v>
      </c>
      <c r="E91" s="34">
        <f>IFERROR(IF('Raw data'!E89&lt;&gt;"",IF(OR(UPPER(TRIM('Raw data'!E89))=UPPER(TRIM('Real results'!C89)),UPPER(TRIM('Raw data'!E89))=UPPER(TRIM('Real results'!C90)),UPPER(TRIM('Raw data'!E89))=UPPER(TRIM('Real results'!C91))),1,0)+IF(UPPER(TRIM('Raw data'!E89))=UPPER(TRIM('Real results'!C89)),2,0),0),0)</f>
        <v>0</v>
      </c>
      <c r="G91" s="34">
        <f>IFERROR(IF('Raw data'!G89&lt;&gt;"",IF(OR(UPPER(TRIM('Raw data'!G89))=UPPER(TRIM('Real results'!C89)),UPPER(TRIM('Raw data'!G89))=UPPER(TRIM('Real results'!C90)),UPPER(TRIM('Raw data'!G89))=UPPER(TRIM('Real results'!C91))),1,0)+IF(UPPER(TRIM('Raw data'!G89))=UPPER(TRIM('Real results'!C89)),2,0),0),0)</f>
        <v>0</v>
      </c>
      <c r="I91" s="34">
        <f>IFERROR(IF('Raw data'!I89&lt;&gt;"",IF(OR(UPPER(TRIM('Raw data'!I89))=UPPER(TRIM('Real results'!C89)),UPPER(TRIM('Raw data'!I89))=UPPER(TRIM('Real results'!C90)),UPPER(TRIM('Raw data'!I89))=UPPER(TRIM('Real results'!C91))),1,0)+IF(UPPER(TRIM('Raw data'!I89))=UPPER(TRIM('Real results'!C89)),2,0),0),0)</f>
        <v>0</v>
      </c>
      <c r="K91" s="34">
        <f>IFERROR(IF('Raw data'!K89&lt;&gt;"",IF(OR(UPPER(TRIM('Raw data'!K89))=UPPER(TRIM('Real results'!C89)),UPPER(TRIM('Raw data'!K89))=UPPER(TRIM('Real results'!C90)),UPPER(TRIM('Raw data'!K89))=UPPER(TRIM('Real results'!C91))),1,0)+IF(UPPER(TRIM('Raw data'!K89))=UPPER(TRIM('Real results'!C89)),2,0),0),0)</f>
        <v>0</v>
      </c>
      <c r="M91" s="34">
        <f>IFERROR(IF('Raw data'!M89&lt;&gt;"",IF(OR(UPPER(TRIM('Raw data'!M89))=UPPER(TRIM('Real results'!C89)),UPPER(TRIM('Raw data'!M89))=UPPER(TRIM('Real results'!C90)),UPPER(TRIM('Raw data'!M89))=UPPER(TRIM('Real results'!C91))),1,0)+IF(UPPER(TRIM('Raw data'!M89))=UPPER(TRIM('Real results'!C89)),2,0),0),0)</f>
        <v>0</v>
      </c>
      <c r="O91" s="34">
        <f>IFERROR(IF('Raw data'!O89&lt;&gt;"",IF(OR(UPPER(TRIM('Raw data'!O89))=UPPER(TRIM('Real results'!C89)),UPPER(TRIM('Raw data'!O89))=UPPER(TRIM('Real results'!C90)),UPPER(TRIM('Raw data'!O89))=UPPER(TRIM('Real results'!C91))),1,0)+IF(UPPER(TRIM('Raw data'!O89))=UPPER(TRIM('Real results'!C89)),2,0),0),0)</f>
        <v>0</v>
      </c>
      <c r="Q91" s="34">
        <f>IFERROR(IF('Raw data'!Q89&lt;&gt;"",IF(OR(UPPER(TRIM('Raw data'!Q89))=UPPER(TRIM('Real results'!C89)),UPPER(TRIM('Raw data'!Q89))=UPPER(TRIM('Real results'!C90)),UPPER(TRIM('Raw data'!Q89))=UPPER(TRIM('Real results'!C91))),1,0)+IF(UPPER(TRIM('Raw data'!Q89))=UPPER(TRIM('Real results'!C89)),2,0),0),0)</f>
        <v>0</v>
      </c>
      <c r="S91" s="34">
        <f>IFERROR(IF('Raw data'!S89&lt;&gt;"",IF(OR(UPPER(TRIM('Raw data'!S89))=UPPER(TRIM('Real results'!C89)),UPPER(TRIM('Raw data'!S89))=UPPER(TRIM('Real results'!C90)),UPPER(TRIM('Raw data'!S89))=UPPER(TRIM('Real results'!C91))),1,0)+IF(UPPER(TRIM('Raw data'!S89))=UPPER(TRIM('Real results'!C89)),2,0),0),0)</f>
        <v>0</v>
      </c>
      <c r="U91" s="34">
        <f>IFERROR(IF('Raw data'!U89&lt;&gt;"",IF(OR(UPPER(TRIM('Raw data'!U89))=UPPER(TRIM('Real results'!C89)),UPPER(TRIM('Raw data'!U89))=UPPER(TRIM('Real results'!C90)),UPPER(TRIM('Raw data'!U89))=UPPER(TRIM('Real results'!C91))),1,0)+IF(UPPER(TRIM('Raw data'!U89))=UPPER(TRIM('Real results'!C89)),2,0),0),0)</f>
        <v>0</v>
      </c>
      <c r="W91" s="34">
        <f>IFERROR(IF('Raw data'!W89&lt;&gt;"",IF(OR(UPPER(TRIM('Raw data'!W89))=UPPER(TRIM('Real results'!C89)),UPPER(TRIM('Raw data'!W89))=UPPER(TRIM('Real results'!C90)),UPPER(TRIM('Raw data'!W89))=UPPER(TRIM('Real results'!C91))),1,0)+IF(UPPER(TRIM('Raw data'!W89))=UPPER(TRIM('Real results'!C89)),2,0),0),0)</f>
        <v>0</v>
      </c>
      <c r="Y91" s="34">
        <f>IFERROR(IF('Raw data'!Y89&lt;&gt;"",IF(OR(UPPER(TRIM('Raw data'!Y89))=UPPER(TRIM('Real results'!C89)),UPPER(TRIM('Raw data'!Y89))=UPPER(TRIM('Real results'!C90)),UPPER(TRIM('Raw data'!Y89))=UPPER(TRIM('Real results'!C91))),1,0)+IF(UPPER(TRIM('Raw data'!Y89))=UPPER(TRIM('Real results'!C89)),2,0),0),0)</f>
        <v>0</v>
      </c>
      <c r="AA91" s="34">
        <f>IFERROR(IF('Raw data'!AA89&lt;&gt;"",IF(OR(UPPER(TRIM('Raw data'!AA89))=UPPER(TRIM('Real results'!C89)),UPPER(TRIM('Raw data'!AA89))=UPPER(TRIM('Real results'!C90)),UPPER(TRIM('Raw data'!AA89))=UPPER(TRIM('Real results'!C91))),1,0)+IF(UPPER(TRIM('Raw data'!AA89))=UPPER(TRIM('Real results'!C89)),2,0),0),0)</f>
        <v>0</v>
      </c>
      <c r="AC91" s="34">
        <f>IFERROR(IF('Raw data'!AC89&lt;&gt;"",IF(OR(UPPER(TRIM('Raw data'!AC89))=UPPER(TRIM('Real results'!C89)),UPPER(TRIM('Raw data'!AC89))=UPPER(TRIM('Real results'!C90)),UPPER(TRIM('Raw data'!AC89))=UPPER(TRIM('Real results'!C91))),1,0)+IF(UPPER(TRIM('Raw data'!AC89))=UPPER(TRIM('Real results'!C89)),2,0),0),0)</f>
        <v>0</v>
      </c>
      <c r="AE91" s="34">
        <f>IFERROR(IF('Raw data'!AE89&lt;&gt;"",IF(OR(UPPER(TRIM('Raw data'!AE89))=UPPER(TRIM('Real results'!C89)),UPPER(TRIM('Raw data'!AE89))=UPPER(TRIM('Real results'!C90)),UPPER(TRIM('Raw data'!AE89))=UPPER(TRIM('Real results'!C91))),1,0)+IF(UPPER(TRIM('Raw data'!AE89))=UPPER(TRIM('Real results'!C89)),2,0),0),0)</f>
        <v>0</v>
      </c>
      <c r="AG91" s="34">
        <f>IFERROR(IF('Raw data'!AG89&lt;&gt;"",IF(OR(UPPER(TRIM('Raw data'!AG89))=UPPER(TRIM('Real results'!C89)),UPPER(TRIM('Raw data'!AG89))=UPPER(TRIM('Real results'!C90)),UPPER(TRIM('Raw data'!AG89))=UPPER(TRIM('Real results'!C91))),1,0)+IF(UPPER(TRIM('Raw data'!AG89))=UPPER(TRIM('Real results'!C89)),2,0),0),0)</f>
        <v>0</v>
      </c>
      <c r="AI91" s="34">
        <f>IFERROR(IF('Raw data'!AI89&lt;&gt;"",IF(OR(UPPER(TRIM('Raw data'!AI89))=UPPER(TRIM('Real results'!C89)),UPPER(TRIM('Raw data'!AI89))=UPPER(TRIM('Real results'!C90)),UPPER(TRIM('Raw data'!AI89))=UPPER(TRIM('Real results'!C91))),1,0)+IF(UPPER(TRIM('Raw data'!AI89))=UPPER(TRIM('Real results'!C89)),2,0),0),0)</f>
        <v>0</v>
      </c>
      <c r="AK91" s="34">
        <f>IFERROR(IF('Raw data'!AK89&lt;&gt;"",IF(OR(UPPER(TRIM('Raw data'!AK89))=UPPER(TRIM('Real results'!C89)),UPPER(TRIM('Raw data'!AK89))=UPPER(TRIM('Real results'!C90)),UPPER(TRIM('Raw data'!AK89))=UPPER(TRIM('Real results'!C91))),1,0)+IF(UPPER(TRIM('Raw data'!AK89))=UPPER(TRIM('Real results'!C89)),2,0),0),0)</f>
        <v>0</v>
      </c>
      <c r="AM91" s="34">
        <f>IFERROR(IF('Raw data'!AM89&lt;&gt;"",IF(OR(UPPER(TRIM('Raw data'!AM89))=UPPER(TRIM('Real results'!C89)),UPPER(TRIM('Raw data'!AM89))=UPPER(TRIM('Real results'!C90)),UPPER(TRIM('Raw data'!AM89))=UPPER(TRIM('Real results'!C91))),1,0)+IF(UPPER(TRIM('Raw data'!AM89))=UPPER(TRIM('Real results'!C89)),2,0),0),0)</f>
        <v>0</v>
      </c>
      <c r="AO91" s="34">
        <f>IFERROR(IF('Raw data'!AO89&lt;&gt;"",IF(OR(UPPER(TRIM('Raw data'!AO89))=UPPER(TRIM('Real results'!C89)),UPPER(TRIM('Raw data'!AO89))=UPPER(TRIM('Real results'!C90)),UPPER(TRIM('Raw data'!AO89))=UPPER(TRIM('Real results'!C91))),1,0)+IF(UPPER(TRIM('Raw data'!AO89))=UPPER(TRIM('Real results'!C89)),2,0),0),0)</f>
        <v>0</v>
      </c>
      <c r="AQ91" s="34">
        <f>IFERROR(IF('Raw data'!AQ89&lt;&gt;"",IF(OR(UPPER(TRIM('Raw data'!AQ89))=UPPER(TRIM('Real results'!C89)),UPPER(TRIM('Raw data'!AQ89))=UPPER(TRIM('Real results'!C90)),UPPER(TRIM('Raw data'!AQ89))=UPPER(TRIM('Real results'!C91))),1,0)+IF(UPPER(TRIM('Raw data'!AQ89))=UPPER(TRIM('Real results'!C89)),2,0),0),0)</f>
        <v>0</v>
      </c>
      <c r="AS91" s="34">
        <f>IFERROR(IF('Raw data'!AS89&lt;&gt;"",IF(OR(UPPER(TRIM('Raw data'!AS89))=UPPER(TRIM('Real results'!C89)),UPPER(TRIM('Raw data'!AS89))=UPPER(TRIM('Real results'!C90)),UPPER(TRIM('Raw data'!AS89))=UPPER(TRIM('Real results'!C91))),1,0)+IF(UPPER(TRIM('Raw data'!AS89))=UPPER(TRIM('Real results'!C89)),2,0),0),0)</f>
        <v>0</v>
      </c>
      <c r="AU91" s="34">
        <f>IFERROR(IF('Raw data'!AU89&lt;&gt;"",IF(OR(UPPER(TRIM('Raw data'!AU89))=UPPER(TRIM('Real results'!C89)),UPPER(TRIM('Raw data'!AU89))=UPPER(TRIM('Real results'!C90)),UPPER(TRIM('Raw data'!AU89))=UPPER(TRIM('Real results'!C91))),1,0)+IF(UPPER(TRIM('Raw data'!AU89))=UPPER(TRIM('Real results'!C89)),2,0),0),0)</f>
        <v>0</v>
      </c>
      <c r="AW91" s="34">
        <f>IFERROR(IF('Raw data'!AW89&lt;&gt;"",IF(OR(UPPER(TRIM('Raw data'!AW89))=UPPER(TRIM('Real results'!C89)),UPPER(TRIM('Raw data'!AW89))=UPPER(TRIM('Real results'!C90)),UPPER(TRIM('Raw data'!AW89))=UPPER(TRIM('Real results'!C91))),1,0)+IF(UPPER(TRIM('Raw data'!AW89))=UPPER(TRIM('Real results'!C89)),2,0),0),0)</f>
        <v>0</v>
      </c>
      <c r="AY91" s="34">
        <f>IFERROR(IF('Raw data'!AY89&lt;&gt;"",IF(OR(UPPER(TRIM('Raw data'!AY89))=UPPER(TRIM('Real results'!C89)),UPPER(TRIM('Raw data'!AY89))=UPPER(TRIM('Real results'!C90)),UPPER(TRIM('Raw data'!AY89))=UPPER(TRIM('Real results'!C91))),1,0)+IF(UPPER(TRIM('Raw data'!AY89))=UPPER(TRIM('Real results'!C89)),2,0),0),0)</f>
        <v>0</v>
      </c>
      <c r="BA91" s="34">
        <f>IFERROR(IF('Raw data'!BA89&lt;&gt;"",IF(OR(UPPER(TRIM('Raw data'!BA89))=UPPER(TRIM('Real results'!C89)),UPPER(TRIM('Raw data'!BA89))=UPPER(TRIM('Real results'!C90)),UPPER(TRIM('Raw data'!BA89))=UPPER(TRIM('Real results'!C91))),1,0)+IF(UPPER(TRIM('Raw data'!BA89))=UPPER(TRIM('Real results'!C89)),2,0),0),0)</f>
        <v>0</v>
      </c>
      <c r="BC91" s="34">
        <f>IFERROR(IF('Raw data'!BC89&lt;&gt;"",IF(OR(UPPER(TRIM('Raw data'!BC89))=UPPER(TRIM('Real results'!C89)),UPPER(TRIM('Raw data'!BC89))=UPPER(TRIM('Real results'!C90)),UPPER(TRIM('Raw data'!BC89))=UPPER(TRIM('Real results'!C91))),1,0)+IF(UPPER(TRIM('Raw data'!BC89))=UPPER(TRIM('Real results'!C89)),2,0),0),0)</f>
        <v>0</v>
      </c>
      <c r="BE91" s="34">
        <f>IFERROR(IF('Raw data'!BE89&lt;&gt;"",IF(OR(UPPER(TRIM('Raw data'!BE89))=UPPER(TRIM('Real results'!C89)),UPPER(TRIM('Raw data'!BE89))=UPPER(TRIM('Real results'!C90)),UPPER(TRIM('Raw data'!BE89))=UPPER(TRIM('Real results'!C91))),1,0)+IF(UPPER(TRIM('Raw data'!BE89))=UPPER(TRIM('Real results'!C89)),2,0),0),0)</f>
        <v>0</v>
      </c>
      <c r="BG91" s="34">
        <f>IFERROR(IF('Raw data'!BG89&lt;&gt;"",IF(OR(UPPER(TRIM('Raw data'!BG89))=UPPER(TRIM('Real results'!C89)),UPPER(TRIM('Raw data'!BG89))=UPPER(TRIM('Real results'!C90)),UPPER(TRIM('Raw data'!BG89))=UPPER(TRIM('Real results'!C91))),1,0)+IF(UPPER(TRIM('Raw data'!BG89))=UPPER(TRIM('Real results'!C89)),2,0),0),0)</f>
        <v>0</v>
      </c>
      <c r="BI91" s="34">
        <f>IFERROR(IF('Raw data'!BI89&lt;&gt;"",IF(OR(UPPER(TRIM('Raw data'!BI89))=UPPER(TRIM('Real results'!C89)),UPPER(TRIM('Raw data'!BI89))=UPPER(TRIM('Real results'!C90)),UPPER(TRIM('Raw data'!BI89))=UPPER(TRIM('Real results'!C91))),1,0)+IF(UPPER(TRIM('Raw data'!BI89))=UPPER(TRIM('Real results'!C89)),2,0),0),0)</f>
        <v>0</v>
      </c>
    </row>
    <row r="92" ht="18.0" customHeight="1">
      <c r="B92" s="12" t="s">
        <v>348</v>
      </c>
      <c r="C92" s="34">
        <f>IFERROR(IF('Raw data'!C89&lt;&gt;"",IF(OR(UPPER(TRIM('Raw data'!C89))=UPPER(TRIM('Real results'!C89)),UPPER(TRIM('Raw data'!C89))=UPPER(TRIM('Real results'!C90)),UPPER(TRIM('Raw data'!C89))=UPPER(TRIM('Real results'!C91))),1,0),0),0)</f>
        <v>0</v>
      </c>
      <c r="E92" s="34">
        <f>IFERROR(IF('Raw data'!E90&lt;&gt;"",IF(OR(UPPER(TRIM('Raw data'!E90))=UPPER(TRIM('Real results'!C89)),UPPER(TRIM('Raw data'!E90))=UPPER(TRIM('Real results'!C90)),UPPER(TRIM('Raw data'!E90))=UPPER(TRIM('Real results'!C91))),1,0),0),0)</f>
        <v>0</v>
      </c>
      <c r="G92" s="34">
        <f>IFERROR(IF('Raw data'!G90&lt;&gt;"",IF(OR(UPPER(TRIM('Raw data'!G90))=UPPER(TRIM('Real results'!C89)),UPPER(TRIM('Raw data'!G90))=UPPER(TRIM('Real results'!C90)),UPPER(TRIM('Raw data'!G90))=UPPER(TRIM('Real results'!C91))),1,0),0),0)</f>
        <v>0</v>
      </c>
      <c r="I92" s="34">
        <f>IFERROR(IF('Raw data'!I90&lt;&gt;"",IF(OR(UPPER(TRIM('Raw data'!I90))=UPPER(TRIM('Real results'!C89)),UPPER(TRIM('Raw data'!I90))=UPPER(TRIM('Real results'!C90)),UPPER(TRIM('Raw data'!I90))=UPPER(TRIM('Real results'!C91))),1,0),0),0)</f>
        <v>0</v>
      </c>
      <c r="K92" s="34">
        <f>IFERROR(IF('Raw data'!K90&lt;&gt;"",IF(OR(UPPER(TRIM('Raw data'!K90))=UPPER(TRIM('Real results'!C89)),UPPER(TRIM('Raw data'!K90))=UPPER(TRIM('Real results'!C90)),UPPER(TRIM('Raw data'!K90))=UPPER(TRIM('Real results'!C91))),1,0),0),0)</f>
        <v>0</v>
      </c>
      <c r="M92" s="34">
        <f>IFERROR(IF('Raw data'!M90&lt;&gt;"",IF(OR(UPPER(TRIM('Raw data'!M90))=UPPER(TRIM('Real results'!C89)),UPPER(TRIM('Raw data'!M90))=UPPER(TRIM('Real results'!C90)),UPPER(TRIM('Raw data'!M90))=UPPER(TRIM('Real results'!C91))),1,0),0),0)</f>
        <v>0</v>
      </c>
      <c r="O92" s="34">
        <f>IFERROR(IF('Raw data'!O90&lt;&gt;"",IF(OR(UPPER(TRIM('Raw data'!O90))=UPPER(TRIM('Real results'!C89)),UPPER(TRIM('Raw data'!O90))=UPPER(TRIM('Real results'!C90)),UPPER(TRIM('Raw data'!O90))=UPPER(TRIM('Real results'!C91))),1,0),0),0)</f>
        <v>0</v>
      </c>
      <c r="Q92" s="34">
        <f>IFERROR(IF('Raw data'!Q90&lt;&gt;"",IF(OR(UPPER(TRIM('Raw data'!Q90))=UPPER(TRIM('Real results'!C89)),UPPER(TRIM('Raw data'!Q90))=UPPER(TRIM('Real results'!C90)),UPPER(TRIM('Raw data'!Q90))=UPPER(TRIM('Real results'!C91))),1,0),0),0)</f>
        <v>0</v>
      </c>
      <c r="S92" s="34">
        <f>IFERROR(IF('Raw data'!S90&lt;&gt;"",IF(OR(UPPER(TRIM('Raw data'!S90))=UPPER(TRIM('Real results'!C89)),UPPER(TRIM('Raw data'!S90))=UPPER(TRIM('Real results'!C90)),UPPER(TRIM('Raw data'!S90))=UPPER(TRIM('Real results'!C91))),1,0),0),0)</f>
        <v>0</v>
      </c>
      <c r="U92" s="34">
        <f>IFERROR(IF('Raw data'!U90&lt;&gt;"",IF(OR(UPPER(TRIM('Raw data'!U90))=UPPER(TRIM('Real results'!C89)),UPPER(TRIM('Raw data'!U90))=UPPER(TRIM('Real results'!C90)),UPPER(TRIM('Raw data'!U90))=UPPER(TRIM('Real results'!C91))),1,0),0),0)</f>
        <v>0</v>
      </c>
      <c r="W92" s="34">
        <f>IFERROR(IF('Raw data'!W90&lt;&gt;"",IF(OR(UPPER(TRIM('Raw data'!W90))=UPPER(TRIM('Real results'!C89)),UPPER(TRIM('Raw data'!W90))=UPPER(TRIM('Real results'!C90)),UPPER(TRIM('Raw data'!W90))=UPPER(TRIM('Real results'!C91))),1,0),0),0)</f>
        <v>0</v>
      </c>
      <c r="Y92" s="34">
        <f>IFERROR(IF('Raw data'!Y90&lt;&gt;"",IF(OR(UPPER(TRIM('Raw data'!Y90))=UPPER(TRIM('Real results'!C89)),UPPER(TRIM('Raw data'!Y90))=UPPER(TRIM('Real results'!C90)),UPPER(TRIM('Raw data'!Y90))=UPPER(TRIM('Real results'!C91))),1,0),0),0)</f>
        <v>0</v>
      </c>
      <c r="AA92" s="34">
        <f>IFERROR(IF('Raw data'!AA90&lt;&gt;"",IF(OR(UPPER(TRIM('Raw data'!AA90))=UPPER(TRIM('Real results'!C89)),UPPER(TRIM('Raw data'!AA90))=UPPER(TRIM('Real results'!C90)),UPPER(TRIM('Raw data'!AA90))=UPPER(TRIM('Real results'!C91))),1,0),0),0)</f>
        <v>0</v>
      </c>
      <c r="AC92" s="34">
        <f>IFERROR(IF('Raw data'!AC90&lt;&gt;"",IF(OR(UPPER(TRIM('Raw data'!AC90))=UPPER(TRIM('Real results'!C89)),UPPER(TRIM('Raw data'!AC90))=UPPER(TRIM('Real results'!C90)),UPPER(TRIM('Raw data'!AC90))=UPPER(TRIM('Real results'!C91))),1,0),0),0)</f>
        <v>0</v>
      </c>
      <c r="AE92" s="34">
        <f>IFERROR(IF('Raw data'!AE90&lt;&gt;"",IF(OR(UPPER(TRIM('Raw data'!AE90))=UPPER(TRIM('Real results'!C89)),UPPER(TRIM('Raw data'!AE90))=UPPER(TRIM('Real results'!C90)),UPPER(TRIM('Raw data'!AE90))=UPPER(TRIM('Real results'!C91))),1,0),0),0)</f>
        <v>0</v>
      </c>
      <c r="AG92" s="34">
        <f>IFERROR(IF('Raw data'!AG90&lt;&gt;"",IF(OR(UPPER(TRIM('Raw data'!AG90))=UPPER(TRIM('Real results'!C89)),UPPER(TRIM('Raw data'!AG90))=UPPER(TRIM('Real results'!C90)),UPPER(TRIM('Raw data'!AG90))=UPPER(TRIM('Real results'!C91))),1,0),0),0)</f>
        <v>0</v>
      </c>
      <c r="AI92" s="34">
        <f>IFERROR(IF('Raw data'!AI90&lt;&gt;"",IF(OR(UPPER(TRIM('Raw data'!AI90))=UPPER(TRIM('Real results'!C89)),UPPER(TRIM('Raw data'!AI90))=UPPER(TRIM('Real results'!C90)),UPPER(TRIM('Raw data'!AI90))=UPPER(TRIM('Real results'!C91))),1,0),0),0)</f>
        <v>0</v>
      </c>
      <c r="AK92" s="34">
        <f>IFERROR(IF('Raw data'!AK90&lt;&gt;"",IF(OR(UPPER(TRIM('Raw data'!AK90))=UPPER(TRIM('Real results'!C89)),UPPER(TRIM('Raw data'!AK90))=UPPER(TRIM('Real results'!C90)),UPPER(TRIM('Raw data'!AK90))=UPPER(TRIM('Real results'!C91))),1,0),0),0)</f>
        <v>0</v>
      </c>
      <c r="AM92" s="34">
        <f>IFERROR(IF('Raw data'!AM90&lt;&gt;"",IF(OR(UPPER(TRIM('Raw data'!AM90))=UPPER(TRIM('Real results'!C89)),UPPER(TRIM('Raw data'!AM90))=UPPER(TRIM('Real results'!C90)),UPPER(TRIM('Raw data'!AM90))=UPPER(TRIM('Real results'!C91))),1,0),0),0)</f>
        <v>0</v>
      </c>
      <c r="AO92" s="34">
        <f>IFERROR(IF('Raw data'!AO90&lt;&gt;"",IF(OR(UPPER(TRIM('Raw data'!AO90))=UPPER(TRIM('Real results'!C89)),UPPER(TRIM('Raw data'!AO90))=UPPER(TRIM('Real results'!C90)),UPPER(TRIM('Raw data'!AO90))=UPPER(TRIM('Real results'!C91))),1,0),0),0)</f>
        <v>0</v>
      </c>
      <c r="AQ92" s="34">
        <f>IFERROR(IF('Raw data'!AQ90&lt;&gt;"",IF(OR(UPPER(TRIM('Raw data'!AQ90))=UPPER(TRIM('Real results'!C89)),UPPER(TRIM('Raw data'!AQ90))=UPPER(TRIM('Real results'!C90)),UPPER(TRIM('Raw data'!AQ90))=UPPER(TRIM('Real results'!C91))),1,0),0),0)</f>
        <v>0</v>
      </c>
      <c r="AS92" s="34">
        <f>IFERROR(IF('Raw data'!AS90&lt;&gt;"",IF(OR(UPPER(TRIM('Raw data'!AS90))=UPPER(TRIM('Real results'!C89)),UPPER(TRIM('Raw data'!AS90))=UPPER(TRIM('Real results'!C90)),UPPER(TRIM('Raw data'!AS90))=UPPER(TRIM('Real results'!C91))),1,0),0),0)</f>
        <v>0</v>
      </c>
      <c r="AU92" s="34">
        <f>IFERROR(IF('Raw data'!AU90&lt;&gt;"",IF(OR(UPPER(TRIM('Raw data'!AU90))=UPPER(TRIM('Real results'!C89)),UPPER(TRIM('Raw data'!AU90))=UPPER(TRIM('Real results'!C90)),UPPER(TRIM('Raw data'!AU90))=UPPER(TRIM('Real results'!C91))),1,0),0),0)</f>
        <v>0</v>
      </c>
      <c r="AW92" s="34">
        <f>IFERROR(IF('Raw data'!AW90&lt;&gt;"",IF(OR(UPPER(TRIM('Raw data'!AW90))=UPPER(TRIM('Real results'!C89)),UPPER(TRIM('Raw data'!AW90))=UPPER(TRIM('Real results'!C90)),UPPER(TRIM('Raw data'!AW90))=UPPER(TRIM('Real results'!C91))),1,0),0),0)</f>
        <v>0</v>
      </c>
      <c r="AY92" s="34">
        <f>IFERROR(IF('Raw data'!AY90&lt;&gt;"",IF(OR(UPPER(TRIM('Raw data'!AY90))=UPPER(TRIM('Real results'!C89)),UPPER(TRIM('Raw data'!AY90))=UPPER(TRIM('Real results'!C90)),UPPER(TRIM('Raw data'!AY90))=UPPER(TRIM('Real results'!C91))),1,0),0),0)</f>
        <v>0</v>
      </c>
      <c r="BA92" s="34">
        <f>IFERROR(IF('Raw data'!BA90&lt;&gt;"",IF(OR(UPPER(TRIM('Raw data'!BA90))=UPPER(TRIM('Real results'!C89)),UPPER(TRIM('Raw data'!BA90))=UPPER(TRIM('Real results'!C90)),UPPER(TRIM('Raw data'!BA90))=UPPER(TRIM('Real results'!C91))),1,0),0),0)</f>
        <v>0</v>
      </c>
      <c r="BC92" s="34">
        <f>IFERROR(IF('Raw data'!BC90&lt;&gt;"",IF(OR(UPPER(TRIM('Raw data'!BC90))=UPPER(TRIM('Real results'!C89)),UPPER(TRIM('Raw data'!BC90))=UPPER(TRIM('Real results'!C90)),UPPER(TRIM('Raw data'!BC90))=UPPER(TRIM('Real results'!C91))),1,0),0),0)</f>
        <v>0</v>
      </c>
      <c r="BE92" s="34">
        <f>IFERROR(IF('Raw data'!BE90&lt;&gt;"",IF(OR(UPPER(TRIM('Raw data'!BE90))=UPPER(TRIM('Real results'!C89)),UPPER(TRIM('Raw data'!BE90))=UPPER(TRIM('Real results'!C90)),UPPER(TRIM('Raw data'!BE90))=UPPER(TRIM('Real results'!C91))),1,0),0),0)</f>
        <v>0</v>
      </c>
      <c r="BG92" s="34">
        <f>IFERROR(IF('Raw data'!BG90&lt;&gt;"",IF(OR(UPPER(TRIM('Raw data'!BG90))=UPPER(TRIM('Real results'!C89)),UPPER(TRIM('Raw data'!BG90))=UPPER(TRIM('Real results'!C90)),UPPER(TRIM('Raw data'!BG90))=UPPER(TRIM('Real results'!C91))),1,0),0),0)</f>
        <v>0</v>
      </c>
      <c r="BI92" s="34">
        <f>IFERROR(IF('Raw data'!BI90&lt;&gt;"",IF(OR(UPPER(TRIM('Raw data'!BI90))=UPPER(TRIM('Real results'!C89)),UPPER(TRIM('Raw data'!BI90))=UPPER(TRIM('Real results'!C90)),UPPER(TRIM('Raw data'!BI90))=UPPER(TRIM('Real results'!C91))),1,0),0),0)</f>
        <v>0</v>
      </c>
    </row>
    <row r="93" ht="18.0" customHeight="1">
      <c r="B93" s="12" t="s">
        <v>349</v>
      </c>
      <c r="C93" s="34">
        <f>IFERROR(IF('Raw data'!C90&lt;&gt;"",IF(OR(UPPER(TRIM('Raw data'!C90))=UPPER(TRIM('Real results'!C89)),UPPER(TRIM('Raw data'!C90))=UPPER(TRIM('Real results'!C90)),UPPER(TRIM('Raw data'!C90))=UPPER(TRIM('Real results'!C91))),1,0),0),0)</f>
        <v>0</v>
      </c>
      <c r="E93" s="34">
        <f>IFERROR(IF('Raw data'!E91&lt;&gt;"",IF(OR(UPPER(TRIM('Raw data'!E91))=UPPER(TRIM('Real results'!C89)),UPPER(TRIM('Raw data'!E91))=UPPER(TRIM('Real results'!C90)),UPPER(TRIM('Raw data'!E91))=UPPER(TRIM('Real results'!C91))),1,0),0),0)</f>
        <v>0</v>
      </c>
      <c r="G93" s="34">
        <f>IFERROR(IF('Raw data'!G91&lt;&gt;"",IF(OR(UPPER(TRIM('Raw data'!G91))=UPPER(TRIM('Real results'!C89)),UPPER(TRIM('Raw data'!G91))=UPPER(TRIM('Real results'!C90)),UPPER(TRIM('Raw data'!G91))=UPPER(TRIM('Real results'!C91))),1,0),0),0)</f>
        <v>0</v>
      </c>
      <c r="I93" s="34">
        <f>IFERROR(IF('Raw data'!I91&lt;&gt;"",IF(OR(UPPER(TRIM('Raw data'!I91))=UPPER(TRIM('Real results'!C89)),UPPER(TRIM('Raw data'!I91))=UPPER(TRIM('Real results'!C90)),UPPER(TRIM('Raw data'!I91))=UPPER(TRIM('Real results'!C91))),1,0),0),0)</f>
        <v>0</v>
      </c>
      <c r="K93" s="34">
        <f>IFERROR(IF('Raw data'!K91&lt;&gt;"",IF(OR(UPPER(TRIM('Raw data'!K91))=UPPER(TRIM('Real results'!C89)),UPPER(TRIM('Raw data'!K91))=UPPER(TRIM('Real results'!C90)),UPPER(TRIM('Raw data'!K91))=UPPER(TRIM('Real results'!C91))),1,0),0),0)</f>
        <v>0</v>
      </c>
      <c r="M93" s="34">
        <f>IFERROR(IF('Raw data'!M91&lt;&gt;"",IF(OR(UPPER(TRIM('Raw data'!M91))=UPPER(TRIM('Real results'!C89)),UPPER(TRIM('Raw data'!M91))=UPPER(TRIM('Real results'!C90)),UPPER(TRIM('Raw data'!M91))=UPPER(TRIM('Real results'!C91))),1,0),0),0)</f>
        <v>0</v>
      </c>
      <c r="O93" s="34">
        <f>IFERROR(IF('Raw data'!O91&lt;&gt;"",IF(OR(UPPER(TRIM('Raw data'!O91))=UPPER(TRIM('Real results'!C89)),UPPER(TRIM('Raw data'!O91))=UPPER(TRIM('Real results'!C90)),UPPER(TRIM('Raw data'!O91))=UPPER(TRIM('Real results'!C91))),1,0),0),0)</f>
        <v>0</v>
      </c>
      <c r="Q93" s="34">
        <f>IFERROR(IF('Raw data'!Q91&lt;&gt;"",IF(OR(UPPER(TRIM('Raw data'!Q91))=UPPER(TRIM('Real results'!C89)),UPPER(TRIM('Raw data'!Q91))=UPPER(TRIM('Real results'!C90)),UPPER(TRIM('Raw data'!Q91))=UPPER(TRIM('Real results'!C91))),1,0),0),0)</f>
        <v>0</v>
      </c>
      <c r="S93" s="34">
        <f>IFERROR(IF('Raw data'!S91&lt;&gt;"",IF(OR(UPPER(TRIM('Raw data'!S91))=UPPER(TRIM('Real results'!C89)),UPPER(TRIM('Raw data'!S91))=UPPER(TRIM('Real results'!C90)),UPPER(TRIM('Raw data'!S91))=UPPER(TRIM('Real results'!C91))),1,0),0),0)</f>
        <v>0</v>
      </c>
      <c r="U93" s="34">
        <f>IFERROR(IF('Raw data'!U91&lt;&gt;"",IF(OR(UPPER(TRIM('Raw data'!U91))=UPPER(TRIM('Real results'!C89)),UPPER(TRIM('Raw data'!U91))=UPPER(TRIM('Real results'!C90)),UPPER(TRIM('Raw data'!U91))=UPPER(TRIM('Real results'!C91))),1,0),0),0)</f>
        <v>0</v>
      </c>
      <c r="W93" s="34">
        <f>IFERROR(IF('Raw data'!W91&lt;&gt;"",IF(OR(UPPER(TRIM('Raw data'!W91))=UPPER(TRIM('Real results'!C89)),UPPER(TRIM('Raw data'!W91))=UPPER(TRIM('Real results'!C90)),UPPER(TRIM('Raw data'!W91))=UPPER(TRIM('Real results'!C91))),1,0),0),0)</f>
        <v>0</v>
      </c>
      <c r="Y93" s="34">
        <f>IFERROR(IF('Raw data'!Y91&lt;&gt;"",IF(OR(UPPER(TRIM('Raw data'!Y91))=UPPER(TRIM('Real results'!C89)),UPPER(TRIM('Raw data'!Y91))=UPPER(TRIM('Real results'!C90)),UPPER(TRIM('Raw data'!Y91))=UPPER(TRIM('Real results'!C91))),1,0),0),0)</f>
        <v>0</v>
      </c>
      <c r="AA93" s="34">
        <f>IFERROR(IF('Raw data'!AA91&lt;&gt;"",IF(OR(UPPER(TRIM('Raw data'!AA91))=UPPER(TRIM('Real results'!C89)),UPPER(TRIM('Raw data'!AA91))=UPPER(TRIM('Real results'!C90)),UPPER(TRIM('Raw data'!AA91))=UPPER(TRIM('Real results'!C91))),1,0),0),0)</f>
        <v>0</v>
      </c>
      <c r="AC93" s="34">
        <f>IFERROR(IF('Raw data'!AC91&lt;&gt;"",IF(OR(UPPER(TRIM('Raw data'!AC91))=UPPER(TRIM('Real results'!C89)),UPPER(TRIM('Raw data'!AC91))=UPPER(TRIM('Real results'!C90)),UPPER(TRIM('Raw data'!AC91))=UPPER(TRIM('Real results'!C91))),1,0),0),0)</f>
        <v>0</v>
      </c>
      <c r="AE93" s="34">
        <f>IFERROR(IF('Raw data'!AE91&lt;&gt;"",IF(OR(UPPER(TRIM('Raw data'!AE91))=UPPER(TRIM('Real results'!C89)),UPPER(TRIM('Raw data'!AE91))=UPPER(TRIM('Real results'!C90)),UPPER(TRIM('Raw data'!AE91))=UPPER(TRIM('Real results'!C91))),1,0),0),0)</f>
        <v>0</v>
      </c>
      <c r="AG93" s="34">
        <f>IFERROR(IF('Raw data'!AG91&lt;&gt;"",IF(OR(UPPER(TRIM('Raw data'!AG91))=UPPER(TRIM('Real results'!C89)),UPPER(TRIM('Raw data'!AG91))=UPPER(TRIM('Real results'!C90)),UPPER(TRIM('Raw data'!AG91))=UPPER(TRIM('Real results'!C91))),1,0),0),0)</f>
        <v>0</v>
      </c>
      <c r="AI93" s="34">
        <f>IFERROR(IF('Raw data'!AI91&lt;&gt;"",IF(OR(UPPER(TRIM('Raw data'!AI91))=UPPER(TRIM('Real results'!C89)),UPPER(TRIM('Raw data'!AI91))=UPPER(TRIM('Real results'!C90)),UPPER(TRIM('Raw data'!AI91))=UPPER(TRIM('Real results'!C91))),1,0),0),0)</f>
        <v>0</v>
      </c>
      <c r="AK93" s="34">
        <f>IFERROR(IF('Raw data'!AK91&lt;&gt;"",IF(OR(UPPER(TRIM('Raw data'!AK91))=UPPER(TRIM('Real results'!C89)),UPPER(TRIM('Raw data'!AK91))=UPPER(TRIM('Real results'!C90)),UPPER(TRIM('Raw data'!AK91))=UPPER(TRIM('Real results'!C91))),1,0),0),0)</f>
        <v>0</v>
      </c>
      <c r="AM93" s="34">
        <f>IFERROR(IF('Raw data'!AM91&lt;&gt;"",IF(OR(UPPER(TRIM('Raw data'!AM91))=UPPER(TRIM('Real results'!C89)),UPPER(TRIM('Raw data'!AM91))=UPPER(TRIM('Real results'!C90)),UPPER(TRIM('Raw data'!AM91))=UPPER(TRIM('Real results'!C91))),1,0),0),0)</f>
        <v>0</v>
      </c>
      <c r="AO93" s="34">
        <f>IFERROR(IF('Raw data'!AO91&lt;&gt;"",IF(OR(UPPER(TRIM('Raw data'!AO91))=UPPER(TRIM('Real results'!C89)),UPPER(TRIM('Raw data'!AO91))=UPPER(TRIM('Real results'!C90)),UPPER(TRIM('Raw data'!AO91))=UPPER(TRIM('Real results'!C91))),1,0),0),0)</f>
        <v>0</v>
      </c>
      <c r="AQ93" s="34">
        <f>IFERROR(IF('Raw data'!AQ91&lt;&gt;"",IF(OR(UPPER(TRIM('Raw data'!AQ91))=UPPER(TRIM('Real results'!C89)),UPPER(TRIM('Raw data'!AQ91))=UPPER(TRIM('Real results'!C90)),UPPER(TRIM('Raw data'!AQ91))=UPPER(TRIM('Real results'!C91))),1,0),0),0)</f>
        <v>0</v>
      </c>
      <c r="AS93" s="34">
        <f>IFERROR(IF('Raw data'!AS91&lt;&gt;"",IF(OR(UPPER(TRIM('Raw data'!AS91))=UPPER(TRIM('Real results'!C89)),UPPER(TRIM('Raw data'!AS91))=UPPER(TRIM('Real results'!C90)),UPPER(TRIM('Raw data'!AS91))=UPPER(TRIM('Real results'!C91))),1,0),0),0)</f>
        <v>0</v>
      </c>
      <c r="AU93" s="34">
        <f>IFERROR(IF('Raw data'!AU91&lt;&gt;"",IF(OR(UPPER(TRIM('Raw data'!AU91))=UPPER(TRIM('Real results'!C89)),UPPER(TRIM('Raw data'!AU91))=UPPER(TRIM('Real results'!C90)),UPPER(TRIM('Raw data'!AU91))=UPPER(TRIM('Real results'!C91))),1,0),0),0)</f>
        <v>0</v>
      </c>
      <c r="AW93" s="34">
        <f>IFERROR(IF('Raw data'!AW91&lt;&gt;"",IF(OR(UPPER(TRIM('Raw data'!AW91))=UPPER(TRIM('Real results'!C89)),UPPER(TRIM('Raw data'!AW91))=UPPER(TRIM('Real results'!C90)),UPPER(TRIM('Raw data'!AW91))=UPPER(TRIM('Real results'!C91))),1,0),0),0)</f>
        <v>0</v>
      </c>
      <c r="AY93" s="34">
        <f>IFERROR(IF('Raw data'!AY91&lt;&gt;"",IF(OR(UPPER(TRIM('Raw data'!AY91))=UPPER(TRIM('Real results'!C89)),UPPER(TRIM('Raw data'!AY91))=UPPER(TRIM('Real results'!C90)),UPPER(TRIM('Raw data'!AY91))=UPPER(TRIM('Real results'!C91))),1,0),0),0)</f>
        <v>0</v>
      </c>
      <c r="BA93" s="34">
        <f>IFERROR(IF('Raw data'!BA91&lt;&gt;"",IF(OR(UPPER(TRIM('Raw data'!BA91))=UPPER(TRIM('Real results'!C89)),UPPER(TRIM('Raw data'!BA91))=UPPER(TRIM('Real results'!C90)),UPPER(TRIM('Raw data'!BA91))=UPPER(TRIM('Real results'!C91))),1,0),0),0)</f>
        <v>0</v>
      </c>
      <c r="BC93" s="34">
        <f>IFERROR(IF('Raw data'!BC91&lt;&gt;"",IF(OR(UPPER(TRIM('Raw data'!BC91))=UPPER(TRIM('Real results'!C89)),UPPER(TRIM('Raw data'!BC91))=UPPER(TRIM('Real results'!C90)),UPPER(TRIM('Raw data'!BC91))=UPPER(TRIM('Real results'!C91))),1,0),0),0)</f>
        <v>0</v>
      </c>
      <c r="BE93" s="34">
        <f>IFERROR(IF('Raw data'!BE91&lt;&gt;"",IF(OR(UPPER(TRIM('Raw data'!BE91))=UPPER(TRIM('Real results'!C89)),UPPER(TRIM('Raw data'!BE91))=UPPER(TRIM('Real results'!C90)),UPPER(TRIM('Raw data'!BE91))=UPPER(TRIM('Real results'!C91))),1,0),0),0)</f>
        <v>0</v>
      </c>
      <c r="BG93" s="34">
        <f>IFERROR(IF('Raw data'!BG91&lt;&gt;"",IF(OR(UPPER(TRIM('Raw data'!BG91))=UPPER(TRIM('Real results'!C89)),UPPER(TRIM('Raw data'!BG91))=UPPER(TRIM('Real results'!C90)),UPPER(TRIM('Raw data'!BG91))=UPPER(TRIM('Real results'!C91))),1,0),0),0)</f>
        <v>0</v>
      </c>
      <c r="BI93" s="34">
        <f>IFERROR(IF('Raw data'!BI91&lt;&gt;"",IF(OR(UPPER(TRIM('Raw data'!BI91))=UPPER(TRIM('Real results'!C89)),UPPER(TRIM('Raw data'!BI91))=UPPER(TRIM('Real results'!C90)),UPPER(TRIM('Raw data'!BI91))=UPPER(TRIM('Real results'!C91))),1,0),0),0)</f>
        <v>0</v>
      </c>
    </row>
    <row r="94" ht="18.0" customHeight="1">
      <c r="B94" s="12" t="s">
        <v>350</v>
      </c>
      <c r="C94" s="34">
        <f>IFERROR(IF('Raw data'!C91&lt;&gt;"",IF(OR(UPPER(TRIM('Raw data'!C91))=UPPER(TRIM('Real results'!C92)),UPPER(TRIM('Raw data'!C91))=UPPER(TRIM('Real results'!C93)),UPPER(TRIM('Raw data'!C91))=UPPER(TRIM('Real results'!C94))),1,0)+IF(UPPER(TRIM('Raw data'!C91))=UPPER(TRIM('Real results'!C92)),2,0),0),0)</f>
        <v>0</v>
      </c>
      <c r="E94" s="34">
        <f>IFERROR(IF('Raw data'!E92&lt;&gt;"",IF(OR(UPPER(TRIM('Raw data'!E92))=UPPER(TRIM('Real results'!C92)),UPPER(TRIM('Raw data'!E92))=UPPER(TRIM('Real results'!C93)),UPPER(TRIM('Raw data'!E92))=UPPER(TRIM('Real results'!C94))),1,0)+IF(UPPER(TRIM('Raw data'!E92))=UPPER(TRIM('Real results'!C92)),2,0),0),0)</f>
        <v>0</v>
      </c>
      <c r="G94" s="34">
        <f>IFERROR(IF('Raw data'!G92&lt;&gt;"",IF(OR(UPPER(TRIM('Raw data'!G92))=UPPER(TRIM('Real results'!C92)),UPPER(TRIM('Raw data'!G92))=UPPER(TRIM('Real results'!C93)),UPPER(TRIM('Raw data'!G92))=UPPER(TRIM('Real results'!C94))),1,0)+IF(UPPER(TRIM('Raw data'!G92))=UPPER(TRIM('Real results'!C92)),2,0),0),0)</f>
        <v>0</v>
      </c>
      <c r="I94" s="34">
        <f>IFERROR(IF('Raw data'!I92&lt;&gt;"",IF(OR(UPPER(TRIM('Raw data'!I92))=UPPER(TRIM('Real results'!C92)),UPPER(TRIM('Raw data'!I92))=UPPER(TRIM('Real results'!C93)),UPPER(TRIM('Raw data'!I92))=UPPER(TRIM('Real results'!C94))),1,0)+IF(UPPER(TRIM('Raw data'!I92))=UPPER(TRIM('Real results'!C92)),2,0),0),0)</f>
        <v>0</v>
      </c>
      <c r="K94" s="34">
        <f>IFERROR(IF('Raw data'!K92&lt;&gt;"",IF(OR(UPPER(TRIM('Raw data'!K92))=UPPER(TRIM('Real results'!C92)),UPPER(TRIM('Raw data'!K92))=UPPER(TRIM('Real results'!C93)),UPPER(TRIM('Raw data'!K92))=UPPER(TRIM('Real results'!C94))),1,0)+IF(UPPER(TRIM('Raw data'!K92))=UPPER(TRIM('Real results'!C92)),2,0),0),0)</f>
        <v>0</v>
      </c>
      <c r="M94" s="34">
        <f>IFERROR(IF('Raw data'!M92&lt;&gt;"",IF(OR(UPPER(TRIM('Raw data'!M92))=UPPER(TRIM('Real results'!C92)),UPPER(TRIM('Raw data'!M92))=UPPER(TRIM('Real results'!C93)),UPPER(TRIM('Raw data'!M92))=UPPER(TRIM('Real results'!C94))),1,0)+IF(UPPER(TRIM('Raw data'!M92))=UPPER(TRIM('Real results'!C92)),2,0),0),0)</f>
        <v>0</v>
      </c>
      <c r="O94" s="34">
        <f>IFERROR(IF('Raw data'!O92&lt;&gt;"",IF(OR(UPPER(TRIM('Raw data'!O92))=UPPER(TRIM('Real results'!C92)),UPPER(TRIM('Raw data'!O92))=UPPER(TRIM('Real results'!C93)),UPPER(TRIM('Raw data'!O92))=UPPER(TRIM('Real results'!C94))),1,0)+IF(UPPER(TRIM('Raw data'!O92))=UPPER(TRIM('Real results'!C92)),2,0),0),0)</f>
        <v>0</v>
      </c>
      <c r="Q94" s="34">
        <f>IFERROR(IF('Raw data'!Q92&lt;&gt;"",IF(OR(UPPER(TRIM('Raw data'!Q92))=UPPER(TRIM('Real results'!C92)),UPPER(TRIM('Raw data'!Q92))=UPPER(TRIM('Real results'!C93)),UPPER(TRIM('Raw data'!Q92))=UPPER(TRIM('Real results'!C94))),1,0)+IF(UPPER(TRIM('Raw data'!Q92))=UPPER(TRIM('Real results'!C92)),2,0),0),0)</f>
        <v>0</v>
      </c>
      <c r="S94" s="34">
        <f>IFERROR(IF('Raw data'!S92&lt;&gt;"",IF(OR(UPPER(TRIM('Raw data'!S92))=UPPER(TRIM('Real results'!C92)),UPPER(TRIM('Raw data'!S92))=UPPER(TRIM('Real results'!C93)),UPPER(TRIM('Raw data'!S92))=UPPER(TRIM('Real results'!C94))),1,0)+IF(UPPER(TRIM('Raw data'!S92))=UPPER(TRIM('Real results'!C92)),2,0),0),0)</f>
        <v>0</v>
      </c>
      <c r="U94" s="34">
        <f>IFERROR(IF('Raw data'!U92&lt;&gt;"",IF(OR(UPPER(TRIM('Raw data'!U92))=UPPER(TRIM('Real results'!C92)),UPPER(TRIM('Raw data'!U92))=UPPER(TRIM('Real results'!C93)),UPPER(TRIM('Raw data'!U92))=UPPER(TRIM('Real results'!C94))),1,0)+IF(UPPER(TRIM('Raw data'!U92))=UPPER(TRIM('Real results'!C92)),2,0),0),0)</f>
        <v>0</v>
      </c>
      <c r="W94" s="34">
        <f>IFERROR(IF('Raw data'!W92&lt;&gt;"",IF(OR(UPPER(TRIM('Raw data'!W92))=UPPER(TRIM('Real results'!C92)),UPPER(TRIM('Raw data'!W92))=UPPER(TRIM('Real results'!C93)),UPPER(TRIM('Raw data'!W92))=UPPER(TRIM('Real results'!C94))),1,0)+IF(UPPER(TRIM('Raw data'!W92))=UPPER(TRIM('Real results'!C92)),2,0),0),0)</f>
        <v>0</v>
      </c>
      <c r="Y94" s="34">
        <f>IFERROR(IF('Raw data'!Y92&lt;&gt;"",IF(OR(UPPER(TRIM('Raw data'!Y92))=UPPER(TRIM('Real results'!C92)),UPPER(TRIM('Raw data'!Y92))=UPPER(TRIM('Real results'!C93)),UPPER(TRIM('Raw data'!Y92))=UPPER(TRIM('Real results'!C94))),1,0)+IF(UPPER(TRIM('Raw data'!Y92))=UPPER(TRIM('Real results'!C92)),2,0),0),0)</f>
        <v>0</v>
      </c>
      <c r="AA94" s="34">
        <f>IFERROR(IF('Raw data'!AA92&lt;&gt;"",IF(OR(UPPER(TRIM('Raw data'!AA92))=UPPER(TRIM('Real results'!C92)),UPPER(TRIM('Raw data'!AA92))=UPPER(TRIM('Real results'!C93)),UPPER(TRIM('Raw data'!AA92))=UPPER(TRIM('Real results'!C94))),1,0)+IF(UPPER(TRIM('Raw data'!AA92))=UPPER(TRIM('Real results'!C92)),2,0),0),0)</f>
        <v>0</v>
      </c>
      <c r="AC94" s="34">
        <f>IFERROR(IF('Raw data'!AC92&lt;&gt;"",IF(OR(UPPER(TRIM('Raw data'!AC92))=UPPER(TRIM('Real results'!C92)),UPPER(TRIM('Raw data'!AC92))=UPPER(TRIM('Real results'!C93)),UPPER(TRIM('Raw data'!AC92))=UPPER(TRIM('Real results'!C94))),1,0)+IF(UPPER(TRIM('Raw data'!AC92))=UPPER(TRIM('Real results'!C92)),2,0),0),0)</f>
        <v>0</v>
      </c>
      <c r="AE94" s="34">
        <f>IFERROR(IF('Raw data'!AE92&lt;&gt;"",IF(OR(UPPER(TRIM('Raw data'!AE92))=UPPER(TRIM('Real results'!C92)),UPPER(TRIM('Raw data'!AE92))=UPPER(TRIM('Real results'!C93)),UPPER(TRIM('Raw data'!AE92))=UPPER(TRIM('Real results'!C94))),1,0)+IF(UPPER(TRIM('Raw data'!AE92))=UPPER(TRIM('Real results'!C92)),2,0),0),0)</f>
        <v>0</v>
      </c>
      <c r="AG94" s="34">
        <f>IFERROR(IF('Raw data'!AG92&lt;&gt;"",IF(OR(UPPER(TRIM('Raw data'!AG92))=UPPER(TRIM('Real results'!C92)),UPPER(TRIM('Raw data'!AG92))=UPPER(TRIM('Real results'!C93)),UPPER(TRIM('Raw data'!AG92))=UPPER(TRIM('Real results'!C94))),1,0)+IF(UPPER(TRIM('Raw data'!AG92))=UPPER(TRIM('Real results'!C92)),2,0),0),0)</f>
        <v>0</v>
      </c>
      <c r="AI94" s="34">
        <f>IFERROR(IF('Raw data'!AI92&lt;&gt;"",IF(OR(UPPER(TRIM('Raw data'!AI92))=UPPER(TRIM('Real results'!C92)),UPPER(TRIM('Raw data'!AI92))=UPPER(TRIM('Real results'!C93)),UPPER(TRIM('Raw data'!AI92))=UPPER(TRIM('Real results'!C94))),1,0)+IF(UPPER(TRIM('Raw data'!AI92))=UPPER(TRIM('Real results'!C92)),2,0),0),0)</f>
        <v>0</v>
      </c>
      <c r="AK94" s="34">
        <f>IFERROR(IF('Raw data'!AK92&lt;&gt;"",IF(OR(UPPER(TRIM('Raw data'!AK92))=UPPER(TRIM('Real results'!C92)),UPPER(TRIM('Raw data'!AK92))=UPPER(TRIM('Real results'!C93)),UPPER(TRIM('Raw data'!AK92))=UPPER(TRIM('Real results'!C94))),1,0)+IF(UPPER(TRIM('Raw data'!AK92))=UPPER(TRIM('Real results'!C92)),2,0),0),0)</f>
        <v>0</v>
      </c>
      <c r="AM94" s="34">
        <f>IFERROR(IF('Raw data'!AM92&lt;&gt;"",IF(OR(UPPER(TRIM('Raw data'!AM92))=UPPER(TRIM('Real results'!C92)),UPPER(TRIM('Raw data'!AM92))=UPPER(TRIM('Real results'!C93)),UPPER(TRIM('Raw data'!AM92))=UPPER(TRIM('Real results'!C94))),1,0)+IF(UPPER(TRIM('Raw data'!AM92))=UPPER(TRIM('Real results'!C92)),2,0),0),0)</f>
        <v>0</v>
      </c>
      <c r="AO94" s="34">
        <f>IFERROR(IF('Raw data'!AO92&lt;&gt;"",IF(OR(UPPER(TRIM('Raw data'!AO92))=UPPER(TRIM('Real results'!C92)),UPPER(TRIM('Raw data'!AO92))=UPPER(TRIM('Real results'!C93)),UPPER(TRIM('Raw data'!AO92))=UPPER(TRIM('Real results'!C94))),1,0)+IF(UPPER(TRIM('Raw data'!AO92))=UPPER(TRIM('Real results'!C92)),2,0),0),0)</f>
        <v>0</v>
      </c>
      <c r="AQ94" s="34">
        <f>IFERROR(IF('Raw data'!AQ92&lt;&gt;"",IF(OR(UPPER(TRIM('Raw data'!AQ92))=UPPER(TRIM('Real results'!C92)),UPPER(TRIM('Raw data'!AQ92))=UPPER(TRIM('Real results'!C93)),UPPER(TRIM('Raw data'!AQ92))=UPPER(TRIM('Real results'!C94))),1,0)+IF(UPPER(TRIM('Raw data'!AQ92))=UPPER(TRIM('Real results'!C92)),2,0),0),0)</f>
        <v>0</v>
      </c>
      <c r="AS94" s="34">
        <f>IFERROR(IF('Raw data'!AS92&lt;&gt;"",IF(OR(UPPER(TRIM('Raw data'!AS92))=UPPER(TRIM('Real results'!C92)),UPPER(TRIM('Raw data'!AS92))=UPPER(TRIM('Real results'!C93)),UPPER(TRIM('Raw data'!AS92))=UPPER(TRIM('Real results'!C94))),1,0)+IF(UPPER(TRIM('Raw data'!AS92))=UPPER(TRIM('Real results'!C92)),2,0),0),0)</f>
        <v>0</v>
      </c>
      <c r="AU94" s="34">
        <f>IFERROR(IF('Raw data'!AU92&lt;&gt;"",IF(OR(UPPER(TRIM('Raw data'!AU92))=UPPER(TRIM('Real results'!C92)),UPPER(TRIM('Raw data'!AU92))=UPPER(TRIM('Real results'!C93)),UPPER(TRIM('Raw data'!AU92))=UPPER(TRIM('Real results'!C94))),1,0)+IF(UPPER(TRIM('Raw data'!AU92))=UPPER(TRIM('Real results'!C92)),2,0),0),0)</f>
        <v>0</v>
      </c>
      <c r="AW94" s="34">
        <f>IFERROR(IF('Raw data'!AW92&lt;&gt;"",IF(OR(UPPER(TRIM('Raw data'!AW92))=UPPER(TRIM('Real results'!C92)),UPPER(TRIM('Raw data'!AW92))=UPPER(TRIM('Real results'!C93)),UPPER(TRIM('Raw data'!AW92))=UPPER(TRIM('Real results'!C94))),1,0)+IF(UPPER(TRIM('Raw data'!AW92))=UPPER(TRIM('Real results'!C92)),2,0),0),0)</f>
        <v>0</v>
      </c>
      <c r="AY94" s="34">
        <f>IFERROR(IF('Raw data'!AY92&lt;&gt;"",IF(OR(UPPER(TRIM('Raw data'!AY92))=UPPER(TRIM('Real results'!C92)),UPPER(TRIM('Raw data'!AY92))=UPPER(TRIM('Real results'!C93)),UPPER(TRIM('Raw data'!AY92))=UPPER(TRIM('Real results'!C94))),1,0)+IF(UPPER(TRIM('Raw data'!AY92))=UPPER(TRIM('Real results'!C92)),2,0),0),0)</f>
        <v>0</v>
      </c>
      <c r="BA94" s="34">
        <f>IFERROR(IF('Raw data'!BA92&lt;&gt;"",IF(OR(UPPER(TRIM('Raw data'!BA92))=UPPER(TRIM('Real results'!C92)),UPPER(TRIM('Raw data'!BA92))=UPPER(TRIM('Real results'!C93)),UPPER(TRIM('Raw data'!BA92))=UPPER(TRIM('Real results'!C94))),1,0)+IF(UPPER(TRIM('Raw data'!BA92))=UPPER(TRIM('Real results'!C92)),2,0),0),0)</f>
        <v>0</v>
      </c>
      <c r="BC94" s="34">
        <f>IFERROR(IF('Raw data'!BC92&lt;&gt;"",IF(OR(UPPER(TRIM('Raw data'!BC92))=UPPER(TRIM('Real results'!C92)),UPPER(TRIM('Raw data'!BC92))=UPPER(TRIM('Real results'!C93)),UPPER(TRIM('Raw data'!BC92))=UPPER(TRIM('Real results'!C94))),1,0)+IF(UPPER(TRIM('Raw data'!BC92))=UPPER(TRIM('Real results'!C92)),2,0),0),0)</f>
        <v>0</v>
      </c>
      <c r="BE94" s="34">
        <f>IFERROR(IF('Raw data'!BE92&lt;&gt;"",IF(OR(UPPER(TRIM('Raw data'!BE92))=UPPER(TRIM('Real results'!C92)),UPPER(TRIM('Raw data'!BE92))=UPPER(TRIM('Real results'!C93)),UPPER(TRIM('Raw data'!BE92))=UPPER(TRIM('Real results'!C94))),1,0)+IF(UPPER(TRIM('Raw data'!BE92))=UPPER(TRIM('Real results'!C92)),2,0),0),0)</f>
        <v>0</v>
      </c>
      <c r="BG94" s="34">
        <f>IFERROR(IF('Raw data'!BG92&lt;&gt;"",IF(OR(UPPER(TRIM('Raw data'!BG92))=UPPER(TRIM('Real results'!C92)),UPPER(TRIM('Raw data'!BG92))=UPPER(TRIM('Real results'!C93)),UPPER(TRIM('Raw data'!BG92))=UPPER(TRIM('Real results'!C94))),1,0)+IF(UPPER(TRIM('Raw data'!BG92))=UPPER(TRIM('Real results'!C92)),2,0),0),0)</f>
        <v>0</v>
      </c>
      <c r="BI94" s="34">
        <f>IFERROR(IF('Raw data'!BI92&lt;&gt;"",IF(OR(UPPER(TRIM('Raw data'!BI92))=UPPER(TRIM('Real results'!C92)),UPPER(TRIM('Raw data'!BI92))=UPPER(TRIM('Real results'!C93)),UPPER(TRIM('Raw data'!BI92))=UPPER(TRIM('Real results'!C94))),1,0)+IF(UPPER(TRIM('Raw data'!BI92))=UPPER(TRIM('Real results'!C92)),2,0),0),0)</f>
        <v>0</v>
      </c>
    </row>
    <row r="95" ht="18.0" customHeight="1">
      <c r="B95" s="12" t="s">
        <v>351</v>
      </c>
      <c r="C95" s="34">
        <f>IFERROR(IF('Raw data'!C92&lt;&gt;"",IF(OR(UPPER(TRIM('Raw data'!C92))=UPPER(TRIM('Real results'!C92)),UPPER(TRIM('Raw data'!C92))=UPPER(TRIM('Real results'!C93)),UPPER(TRIM('Raw data'!C92))=UPPER(TRIM('Real results'!C94))),1,0),0),0)</f>
        <v>0</v>
      </c>
      <c r="E95" s="34">
        <f>IFERROR(IF('Raw data'!E93&lt;&gt;"",IF(OR(UPPER(TRIM('Raw data'!E93))=UPPER(TRIM('Real results'!C92)),UPPER(TRIM('Raw data'!E93))=UPPER(TRIM('Real results'!C93)),UPPER(TRIM('Raw data'!E93))=UPPER(TRIM('Real results'!C94))),1,0),0),0)</f>
        <v>0</v>
      </c>
      <c r="G95" s="34">
        <f>IFERROR(IF('Raw data'!G93&lt;&gt;"",IF(OR(UPPER(TRIM('Raw data'!G93))=UPPER(TRIM('Real results'!C92)),UPPER(TRIM('Raw data'!G93))=UPPER(TRIM('Real results'!C93)),UPPER(TRIM('Raw data'!G93))=UPPER(TRIM('Real results'!C94))),1,0),0),0)</f>
        <v>0</v>
      </c>
      <c r="I95" s="34">
        <f>IFERROR(IF('Raw data'!I93&lt;&gt;"",IF(OR(UPPER(TRIM('Raw data'!I93))=UPPER(TRIM('Real results'!C92)),UPPER(TRIM('Raw data'!I93))=UPPER(TRIM('Real results'!C93)),UPPER(TRIM('Raw data'!I93))=UPPER(TRIM('Real results'!C94))),1,0),0),0)</f>
        <v>0</v>
      </c>
      <c r="K95" s="34">
        <f>IFERROR(IF('Raw data'!K93&lt;&gt;"",IF(OR(UPPER(TRIM('Raw data'!K93))=UPPER(TRIM('Real results'!C92)),UPPER(TRIM('Raw data'!K93))=UPPER(TRIM('Real results'!C93)),UPPER(TRIM('Raw data'!K93))=UPPER(TRIM('Real results'!C94))),1,0),0),0)</f>
        <v>0</v>
      </c>
      <c r="M95" s="34">
        <f>IFERROR(IF('Raw data'!M93&lt;&gt;"",IF(OR(UPPER(TRIM('Raw data'!M93))=UPPER(TRIM('Real results'!C92)),UPPER(TRIM('Raw data'!M93))=UPPER(TRIM('Real results'!C93)),UPPER(TRIM('Raw data'!M93))=UPPER(TRIM('Real results'!C94))),1,0),0),0)</f>
        <v>0</v>
      </c>
      <c r="O95" s="34">
        <f>IFERROR(IF('Raw data'!O93&lt;&gt;"",IF(OR(UPPER(TRIM('Raw data'!O93))=UPPER(TRIM('Real results'!C92)),UPPER(TRIM('Raw data'!O93))=UPPER(TRIM('Real results'!C93)),UPPER(TRIM('Raw data'!O93))=UPPER(TRIM('Real results'!C94))),1,0),0),0)</f>
        <v>0</v>
      </c>
      <c r="Q95" s="34">
        <f>IFERROR(IF('Raw data'!Q93&lt;&gt;"",IF(OR(UPPER(TRIM('Raw data'!Q93))=UPPER(TRIM('Real results'!C92)),UPPER(TRIM('Raw data'!Q93))=UPPER(TRIM('Real results'!C93)),UPPER(TRIM('Raw data'!Q93))=UPPER(TRIM('Real results'!C94))),1,0),0),0)</f>
        <v>0</v>
      </c>
      <c r="S95" s="34">
        <f>IFERROR(IF('Raw data'!S93&lt;&gt;"",IF(OR(UPPER(TRIM('Raw data'!S93))=UPPER(TRIM('Real results'!C92)),UPPER(TRIM('Raw data'!S93))=UPPER(TRIM('Real results'!C93)),UPPER(TRIM('Raw data'!S93))=UPPER(TRIM('Real results'!C94))),1,0),0),0)</f>
        <v>0</v>
      </c>
      <c r="U95" s="34">
        <f>IFERROR(IF('Raw data'!U93&lt;&gt;"",IF(OR(UPPER(TRIM('Raw data'!U93))=UPPER(TRIM('Real results'!C92)),UPPER(TRIM('Raw data'!U93))=UPPER(TRIM('Real results'!C93)),UPPER(TRIM('Raw data'!U93))=UPPER(TRIM('Real results'!C94))),1,0),0),0)</f>
        <v>0</v>
      </c>
      <c r="W95" s="34">
        <f>IFERROR(IF('Raw data'!W93&lt;&gt;"",IF(OR(UPPER(TRIM('Raw data'!W93))=UPPER(TRIM('Real results'!C92)),UPPER(TRIM('Raw data'!W93))=UPPER(TRIM('Real results'!C93)),UPPER(TRIM('Raw data'!W93))=UPPER(TRIM('Real results'!C94))),1,0),0),0)</f>
        <v>0</v>
      </c>
      <c r="Y95" s="34">
        <f>IFERROR(IF('Raw data'!Y93&lt;&gt;"",IF(OR(UPPER(TRIM('Raw data'!Y93))=UPPER(TRIM('Real results'!C92)),UPPER(TRIM('Raw data'!Y93))=UPPER(TRIM('Real results'!C93)),UPPER(TRIM('Raw data'!Y93))=UPPER(TRIM('Real results'!C94))),1,0),0),0)</f>
        <v>0</v>
      </c>
      <c r="AA95" s="34">
        <f>IFERROR(IF('Raw data'!AA93&lt;&gt;"",IF(OR(UPPER(TRIM('Raw data'!AA93))=UPPER(TRIM('Real results'!C92)),UPPER(TRIM('Raw data'!AA93))=UPPER(TRIM('Real results'!C93)),UPPER(TRIM('Raw data'!AA93))=UPPER(TRIM('Real results'!C94))),1,0),0),0)</f>
        <v>0</v>
      </c>
      <c r="AC95" s="34">
        <f>IFERROR(IF('Raw data'!AC93&lt;&gt;"",IF(OR(UPPER(TRIM('Raw data'!AC93))=UPPER(TRIM('Real results'!C92)),UPPER(TRIM('Raw data'!AC93))=UPPER(TRIM('Real results'!C93)),UPPER(TRIM('Raw data'!AC93))=UPPER(TRIM('Real results'!C94))),1,0),0),0)</f>
        <v>0</v>
      </c>
      <c r="AE95" s="34">
        <f>IFERROR(IF('Raw data'!AE93&lt;&gt;"",IF(OR(UPPER(TRIM('Raw data'!AE93))=UPPER(TRIM('Real results'!C92)),UPPER(TRIM('Raw data'!AE93))=UPPER(TRIM('Real results'!C93)),UPPER(TRIM('Raw data'!AE93))=UPPER(TRIM('Real results'!C94))),1,0),0),0)</f>
        <v>0</v>
      </c>
      <c r="AG95" s="34">
        <f>IFERROR(IF('Raw data'!AG93&lt;&gt;"",IF(OR(UPPER(TRIM('Raw data'!AG93))=UPPER(TRIM('Real results'!C92)),UPPER(TRIM('Raw data'!AG93))=UPPER(TRIM('Real results'!C93)),UPPER(TRIM('Raw data'!AG93))=UPPER(TRIM('Real results'!C94))),1,0),0),0)</f>
        <v>0</v>
      </c>
      <c r="AI95" s="34">
        <f>IFERROR(IF('Raw data'!AI93&lt;&gt;"",IF(OR(UPPER(TRIM('Raw data'!AI93))=UPPER(TRIM('Real results'!C92)),UPPER(TRIM('Raw data'!AI93))=UPPER(TRIM('Real results'!C93)),UPPER(TRIM('Raw data'!AI93))=UPPER(TRIM('Real results'!C94))),1,0),0),0)</f>
        <v>0</v>
      </c>
      <c r="AK95" s="34">
        <f>IFERROR(IF('Raw data'!AK93&lt;&gt;"",IF(OR(UPPER(TRIM('Raw data'!AK93))=UPPER(TRIM('Real results'!C92)),UPPER(TRIM('Raw data'!AK93))=UPPER(TRIM('Real results'!C93)),UPPER(TRIM('Raw data'!AK93))=UPPER(TRIM('Real results'!C94))),1,0),0),0)</f>
        <v>0</v>
      </c>
      <c r="AM95" s="34">
        <f>IFERROR(IF('Raw data'!AM93&lt;&gt;"",IF(OR(UPPER(TRIM('Raw data'!AM93))=UPPER(TRIM('Real results'!C92)),UPPER(TRIM('Raw data'!AM93))=UPPER(TRIM('Real results'!C93)),UPPER(TRIM('Raw data'!AM93))=UPPER(TRIM('Real results'!C94))),1,0),0),0)</f>
        <v>0</v>
      </c>
      <c r="AO95" s="34">
        <f>IFERROR(IF('Raw data'!AO93&lt;&gt;"",IF(OR(UPPER(TRIM('Raw data'!AO93))=UPPER(TRIM('Real results'!C92)),UPPER(TRIM('Raw data'!AO93))=UPPER(TRIM('Real results'!C93)),UPPER(TRIM('Raw data'!AO93))=UPPER(TRIM('Real results'!C94))),1,0),0),0)</f>
        <v>0</v>
      </c>
      <c r="AQ95" s="34">
        <f>IFERROR(IF('Raw data'!AQ93&lt;&gt;"",IF(OR(UPPER(TRIM('Raw data'!AQ93))=UPPER(TRIM('Real results'!C92)),UPPER(TRIM('Raw data'!AQ93))=UPPER(TRIM('Real results'!C93)),UPPER(TRIM('Raw data'!AQ93))=UPPER(TRIM('Real results'!C94))),1,0),0),0)</f>
        <v>0</v>
      </c>
      <c r="AS95" s="34">
        <f>IFERROR(IF('Raw data'!AS93&lt;&gt;"",IF(OR(UPPER(TRIM('Raw data'!AS93))=UPPER(TRIM('Real results'!C92)),UPPER(TRIM('Raw data'!AS93))=UPPER(TRIM('Real results'!C93)),UPPER(TRIM('Raw data'!AS93))=UPPER(TRIM('Real results'!C94))),1,0),0),0)</f>
        <v>0</v>
      </c>
      <c r="AU95" s="34">
        <f>IFERROR(IF('Raw data'!AU93&lt;&gt;"",IF(OR(UPPER(TRIM('Raw data'!AU93))=UPPER(TRIM('Real results'!C92)),UPPER(TRIM('Raw data'!AU93))=UPPER(TRIM('Real results'!C93)),UPPER(TRIM('Raw data'!AU93))=UPPER(TRIM('Real results'!C94))),1,0),0),0)</f>
        <v>0</v>
      </c>
      <c r="AW95" s="34">
        <f>IFERROR(IF('Raw data'!AW93&lt;&gt;"",IF(OR(UPPER(TRIM('Raw data'!AW93))=UPPER(TRIM('Real results'!C92)),UPPER(TRIM('Raw data'!AW93))=UPPER(TRIM('Real results'!C93)),UPPER(TRIM('Raw data'!AW93))=UPPER(TRIM('Real results'!C94))),1,0),0),0)</f>
        <v>0</v>
      </c>
      <c r="AY95" s="34">
        <f>IFERROR(IF('Raw data'!AY93&lt;&gt;"",IF(OR(UPPER(TRIM('Raw data'!AY93))=UPPER(TRIM('Real results'!C92)),UPPER(TRIM('Raw data'!AY93))=UPPER(TRIM('Real results'!C93)),UPPER(TRIM('Raw data'!AY93))=UPPER(TRIM('Real results'!C94))),1,0),0),0)</f>
        <v>0</v>
      </c>
      <c r="BA95" s="34">
        <f>IFERROR(IF('Raw data'!BA93&lt;&gt;"",IF(OR(UPPER(TRIM('Raw data'!BA93))=UPPER(TRIM('Real results'!C92)),UPPER(TRIM('Raw data'!BA93))=UPPER(TRIM('Real results'!C93)),UPPER(TRIM('Raw data'!BA93))=UPPER(TRIM('Real results'!C94))),1,0),0),0)</f>
        <v>0</v>
      </c>
      <c r="BC95" s="34">
        <f>IFERROR(IF('Raw data'!BC93&lt;&gt;"",IF(OR(UPPER(TRIM('Raw data'!BC93))=UPPER(TRIM('Real results'!C92)),UPPER(TRIM('Raw data'!BC93))=UPPER(TRIM('Real results'!C93)),UPPER(TRIM('Raw data'!BC93))=UPPER(TRIM('Real results'!C94))),1,0),0),0)</f>
        <v>0</v>
      </c>
      <c r="BE95" s="34">
        <f>IFERROR(IF('Raw data'!BE93&lt;&gt;"",IF(OR(UPPER(TRIM('Raw data'!BE93))=UPPER(TRIM('Real results'!C92)),UPPER(TRIM('Raw data'!BE93))=UPPER(TRIM('Real results'!C93)),UPPER(TRIM('Raw data'!BE93))=UPPER(TRIM('Real results'!C94))),1,0),0),0)</f>
        <v>0</v>
      </c>
      <c r="BG95" s="34">
        <f>IFERROR(IF('Raw data'!BG93&lt;&gt;"",IF(OR(UPPER(TRIM('Raw data'!BG93))=UPPER(TRIM('Real results'!C92)),UPPER(TRIM('Raw data'!BG93))=UPPER(TRIM('Real results'!C93)),UPPER(TRIM('Raw data'!BG93))=UPPER(TRIM('Real results'!C94))),1,0),0),0)</f>
        <v>0</v>
      </c>
      <c r="BI95" s="34">
        <f>IFERROR(IF('Raw data'!BI93&lt;&gt;"",IF(OR(UPPER(TRIM('Raw data'!BI93))=UPPER(TRIM('Real results'!C92)),UPPER(TRIM('Raw data'!BI93))=UPPER(TRIM('Real results'!C93)),UPPER(TRIM('Raw data'!BI93))=UPPER(TRIM('Real results'!C94))),1,0),0),0)</f>
        <v>0</v>
      </c>
    </row>
    <row r="96" ht="18.0" customHeight="1">
      <c r="B96" s="12" t="s">
        <v>352</v>
      </c>
      <c r="C96" s="34">
        <f>IFERROR(IF('Raw data'!C93&lt;&gt;"",IF(OR(UPPER(TRIM('Raw data'!C93))=UPPER(TRIM('Real results'!C92)),UPPER(TRIM('Raw data'!C93))=UPPER(TRIM('Real results'!C93)),UPPER(TRIM('Raw data'!C93))=UPPER(TRIM('Real results'!C94))),1,0),0),0)</f>
        <v>0</v>
      </c>
      <c r="E96" s="34">
        <f>IFERROR(IF('Raw data'!E94&lt;&gt;"",IF(OR(UPPER(TRIM('Raw data'!E94))=UPPER(TRIM('Real results'!C92)),UPPER(TRIM('Raw data'!E94))=UPPER(TRIM('Real results'!C93)),UPPER(TRIM('Raw data'!E94))=UPPER(TRIM('Real results'!C94))),1,0),0),0)</f>
        <v>0</v>
      </c>
      <c r="G96" s="34">
        <f>IFERROR(IF('Raw data'!G94&lt;&gt;"",IF(OR(UPPER(TRIM('Raw data'!G94))=UPPER(TRIM('Real results'!C92)),UPPER(TRIM('Raw data'!G94))=UPPER(TRIM('Real results'!C93)),UPPER(TRIM('Raw data'!G94))=UPPER(TRIM('Real results'!C94))),1,0),0),0)</f>
        <v>0</v>
      </c>
      <c r="I96" s="34">
        <f>IFERROR(IF('Raw data'!I94&lt;&gt;"",IF(OR(UPPER(TRIM('Raw data'!I94))=UPPER(TRIM('Real results'!C92)),UPPER(TRIM('Raw data'!I94))=UPPER(TRIM('Real results'!C93)),UPPER(TRIM('Raw data'!I94))=UPPER(TRIM('Real results'!C94))),1,0),0),0)</f>
        <v>0</v>
      </c>
      <c r="K96" s="34">
        <f>IFERROR(IF('Raw data'!K94&lt;&gt;"",IF(OR(UPPER(TRIM('Raw data'!K94))=UPPER(TRIM('Real results'!C92)),UPPER(TRIM('Raw data'!K94))=UPPER(TRIM('Real results'!C93)),UPPER(TRIM('Raw data'!K94))=UPPER(TRIM('Real results'!C94))),1,0),0),0)</f>
        <v>0</v>
      </c>
      <c r="M96" s="34">
        <f>IFERROR(IF('Raw data'!M94&lt;&gt;"",IF(OR(UPPER(TRIM('Raw data'!M94))=UPPER(TRIM('Real results'!C92)),UPPER(TRIM('Raw data'!M94))=UPPER(TRIM('Real results'!C93)),UPPER(TRIM('Raw data'!M94))=UPPER(TRIM('Real results'!C94))),1,0),0),0)</f>
        <v>0</v>
      </c>
      <c r="O96" s="34">
        <f>IFERROR(IF('Raw data'!O94&lt;&gt;"",IF(OR(UPPER(TRIM('Raw data'!O94))=UPPER(TRIM('Real results'!C92)),UPPER(TRIM('Raw data'!O94))=UPPER(TRIM('Real results'!C93)),UPPER(TRIM('Raw data'!O94))=UPPER(TRIM('Real results'!C94))),1,0),0),0)</f>
        <v>0</v>
      </c>
      <c r="Q96" s="34">
        <f>IFERROR(IF('Raw data'!Q94&lt;&gt;"",IF(OR(UPPER(TRIM('Raw data'!Q94))=UPPER(TRIM('Real results'!C92)),UPPER(TRIM('Raw data'!Q94))=UPPER(TRIM('Real results'!C93)),UPPER(TRIM('Raw data'!Q94))=UPPER(TRIM('Real results'!C94))),1,0),0),0)</f>
        <v>0</v>
      </c>
      <c r="S96" s="34">
        <f>IFERROR(IF('Raw data'!S94&lt;&gt;"",IF(OR(UPPER(TRIM('Raw data'!S94))=UPPER(TRIM('Real results'!C92)),UPPER(TRIM('Raw data'!S94))=UPPER(TRIM('Real results'!C93)),UPPER(TRIM('Raw data'!S94))=UPPER(TRIM('Real results'!C94))),1,0),0),0)</f>
        <v>0</v>
      </c>
      <c r="U96" s="34">
        <f>IFERROR(IF('Raw data'!U94&lt;&gt;"",IF(OR(UPPER(TRIM('Raw data'!U94))=UPPER(TRIM('Real results'!C92)),UPPER(TRIM('Raw data'!U94))=UPPER(TRIM('Real results'!C93)),UPPER(TRIM('Raw data'!U94))=UPPER(TRIM('Real results'!C94))),1,0),0),0)</f>
        <v>0</v>
      </c>
      <c r="W96" s="34">
        <f>IFERROR(IF('Raw data'!W94&lt;&gt;"",IF(OR(UPPER(TRIM('Raw data'!W94))=UPPER(TRIM('Real results'!C92)),UPPER(TRIM('Raw data'!W94))=UPPER(TRIM('Real results'!C93)),UPPER(TRIM('Raw data'!W94))=UPPER(TRIM('Real results'!C94))),1,0),0),0)</f>
        <v>0</v>
      </c>
      <c r="Y96" s="34">
        <f>IFERROR(IF('Raw data'!Y94&lt;&gt;"",IF(OR(UPPER(TRIM('Raw data'!Y94))=UPPER(TRIM('Real results'!C92)),UPPER(TRIM('Raw data'!Y94))=UPPER(TRIM('Real results'!C93)),UPPER(TRIM('Raw data'!Y94))=UPPER(TRIM('Real results'!C94))),1,0),0),0)</f>
        <v>0</v>
      </c>
      <c r="AA96" s="34">
        <f>IFERROR(IF('Raw data'!AA94&lt;&gt;"",IF(OR(UPPER(TRIM('Raw data'!AA94))=UPPER(TRIM('Real results'!C92)),UPPER(TRIM('Raw data'!AA94))=UPPER(TRIM('Real results'!C93)),UPPER(TRIM('Raw data'!AA94))=UPPER(TRIM('Real results'!C94))),1,0),0),0)</f>
        <v>0</v>
      </c>
      <c r="AC96" s="34">
        <f>IFERROR(IF('Raw data'!AC94&lt;&gt;"",IF(OR(UPPER(TRIM('Raw data'!AC94))=UPPER(TRIM('Real results'!C92)),UPPER(TRIM('Raw data'!AC94))=UPPER(TRIM('Real results'!C93)),UPPER(TRIM('Raw data'!AC94))=UPPER(TRIM('Real results'!C94))),1,0),0),0)</f>
        <v>0</v>
      </c>
      <c r="AE96" s="34">
        <f>IFERROR(IF('Raw data'!AE94&lt;&gt;"",IF(OR(UPPER(TRIM('Raw data'!AE94))=UPPER(TRIM('Real results'!C92)),UPPER(TRIM('Raw data'!AE94))=UPPER(TRIM('Real results'!C93)),UPPER(TRIM('Raw data'!AE94))=UPPER(TRIM('Real results'!C94))),1,0),0),0)</f>
        <v>0</v>
      </c>
      <c r="AG96" s="34">
        <f>IFERROR(IF('Raw data'!AG94&lt;&gt;"",IF(OR(UPPER(TRIM('Raw data'!AG94))=UPPER(TRIM('Real results'!C92)),UPPER(TRIM('Raw data'!AG94))=UPPER(TRIM('Real results'!C93)),UPPER(TRIM('Raw data'!AG94))=UPPER(TRIM('Real results'!C94))),1,0),0),0)</f>
        <v>0</v>
      </c>
      <c r="AI96" s="34">
        <f>IFERROR(IF('Raw data'!AI94&lt;&gt;"",IF(OR(UPPER(TRIM('Raw data'!AI94))=UPPER(TRIM('Real results'!C92)),UPPER(TRIM('Raw data'!AI94))=UPPER(TRIM('Real results'!C93)),UPPER(TRIM('Raw data'!AI94))=UPPER(TRIM('Real results'!C94))),1,0),0),0)</f>
        <v>0</v>
      </c>
      <c r="AK96" s="34">
        <f>IFERROR(IF('Raw data'!AK94&lt;&gt;"",IF(OR(UPPER(TRIM('Raw data'!AK94))=UPPER(TRIM('Real results'!C92)),UPPER(TRIM('Raw data'!AK94))=UPPER(TRIM('Real results'!C93)),UPPER(TRIM('Raw data'!AK94))=UPPER(TRIM('Real results'!C94))),1,0),0),0)</f>
        <v>0</v>
      </c>
      <c r="AM96" s="34">
        <f>IFERROR(IF('Raw data'!AM94&lt;&gt;"",IF(OR(UPPER(TRIM('Raw data'!AM94))=UPPER(TRIM('Real results'!C92)),UPPER(TRIM('Raw data'!AM94))=UPPER(TRIM('Real results'!C93)),UPPER(TRIM('Raw data'!AM94))=UPPER(TRIM('Real results'!C94))),1,0),0),0)</f>
        <v>0</v>
      </c>
      <c r="AO96" s="34">
        <f>IFERROR(IF('Raw data'!AO94&lt;&gt;"",IF(OR(UPPER(TRIM('Raw data'!AO94))=UPPER(TRIM('Real results'!C92)),UPPER(TRIM('Raw data'!AO94))=UPPER(TRIM('Real results'!C93)),UPPER(TRIM('Raw data'!AO94))=UPPER(TRIM('Real results'!C94))),1,0),0),0)</f>
        <v>0</v>
      </c>
      <c r="AQ96" s="34">
        <f>IFERROR(IF('Raw data'!AQ94&lt;&gt;"",IF(OR(UPPER(TRIM('Raw data'!AQ94))=UPPER(TRIM('Real results'!C92)),UPPER(TRIM('Raw data'!AQ94))=UPPER(TRIM('Real results'!C93)),UPPER(TRIM('Raw data'!AQ94))=UPPER(TRIM('Real results'!C94))),1,0),0),0)</f>
        <v>0</v>
      </c>
      <c r="AS96" s="34">
        <f>IFERROR(IF('Raw data'!AS94&lt;&gt;"",IF(OR(UPPER(TRIM('Raw data'!AS94))=UPPER(TRIM('Real results'!C92)),UPPER(TRIM('Raw data'!AS94))=UPPER(TRIM('Real results'!C93)),UPPER(TRIM('Raw data'!AS94))=UPPER(TRIM('Real results'!C94))),1,0),0),0)</f>
        <v>0</v>
      </c>
      <c r="AU96" s="34">
        <f>IFERROR(IF('Raw data'!AU94&lt;&gt;"",IF(OR(UPPER(TRIM('Raw data'!AU94))=UPPER(TRIM('Real results'!C92)),UPPER(TRIM('Raw data'!AU94))=UPPER(TRIM('Real results'!C93)),UPPER(TRIM('Raw data'!AU94))=UPPER(TRIM('Real results'!C94))),1,0),0),0)</f>
        <v>0</v>
      </c>
      <c r="AW96" s="34">
        <f>IFERROR(IF('Raw data'!AW94&lt;&gt;"",IF(OR(UPPER(TRIM('Raw data'!AW94))=UPPER(TRIM('Real results'!C92)),UPPER(TRIM('Raw data'!AW94))=UPPER(TRIM('Real results'!C93)),UPPER(TRIM('Raw data'!AW94))=UPPER(TRIM('Real results'!C94))),1,0),0),0)</f>
        <v>0</v>
      </c>
      <c r="AY96" s="34">
        <f>IFERROR(IF('Raw data'!AY94&lt;&gt;"",IF(OR(UPPER(TRIM('Raw data'!AY94))=UPPER(TRIM('Real results'!C92)),UPPER(TRIM('Raw data'!AY94))=UPPER(TRIM('Real results'!C93)),UPPER(TRIM('Raw data'!AY94))=UPPER(TRIM('Real results'!C94))),1,0),0),0)</f>
        <v>0</v>
      </c>
      <c r="BA96" s="34">
        <f>IFERROR(IF('Raw data'!BA94&lt;&gt;"",IF(OR(UPPER(TRIM('Raw data'!BA94))=UPPER(TRIM('Real results'!C92)),UPPER(TRIM('Raw data'!BA94))=UPPER(TRIM('Real results'!C93)),UPPER(TRIM('Raw data'!BA94))=UPPER(TRIM('Real results'!C94))),1,0),0),0)</f>
        <v>0</v>
      </c>
      <c r="BC96" s="34">
        <f>IFERROR(IF('Raw data'!BC94&lt;&gt;"",IF(OR(UPPER(TRIM('Raw data'!BC94))=UPPER(TRIM('Real results'!C92)),UPPER(TRIM('Raw data'!BC94))=UPPER(TRIM('Real results'!C93)),UPPER(TRIM('Raw data'!BC94))=UPPER(TRIM('Real results'!C94))),1,0),0),0)</f>
        <v>0</v>
      </c>
      <c r="BE96" s="34">
        <f>IFERROR(IF('Raw data'!BE94&lt;&gt;"",IF(OR(UPPER(TRIM('Raw data'!BE94))=UPPER(TRIM('Real results'!C92)),UPPER(TRIM('Raw data'!BE94))=UPPER(TRIM('Real results'!C93)),UPPER(TRIM('Raw data'!BE94))=UPPER(TRIM('Real results'!C94))),1,0),0),0)</f>
        <v>0</v>
      </c>
      <c r="BG96" s="34">
        <f>IFERROR(IF('Raw data'!BG94&lt;&gt;"",IF(OR(UPPER(TRIM('Raw data'!BG94))=UPPER(TRIM('Real results'!C92)),UPPER(TRIM('Raw data'!BG94))=UPPER(TRIM('Real results'!C93)),UPPER(TRIM('Raw data'!BG94))=UPPER(TRIM('Real results'!C94))),1,0),0),0)</f>
        <v>0</v>
      </c>
      <c r="BI96" s="34">
        <f>IFERROR(IF('Raw data'!BI94&lt;&gt;"",IF(OR(UPPER(TRIM('Raw data'!BI94))=UPPER(TRIM('Real results'!C92)),UPPER(TRIM('Raw data'!BI94))=UPPER(TRIM('Real results'!C93)),UPPER(TRIM('Raw data'!BI94))=UPPER(TRIM('Real results'!C94))),1,0),0),0)</f>
        <v>0</v>
      </c>
    </row>
    <row r="97" ht="18.0" customHeight="1">
      <c r="B97" s="12" t="s">
        <v>353</v>
      </c>
      <c r="C97" s="34">
        <f>IFERROR(IF('Raw data'!C94&lt;&gt;"",IF(OR(UPPER(TRIM('Raw data'!C94))=UPPER(TRIM('Real results'!C95)),UPPER(TRIM('Raw data'!C94))=UPPER(TRIM('Real results'!C96)),UPPER(TRIM('Raw data'!C94))=UPPER(TRIM('Real results'!C97))),1,0)+IF(UPPER(TRIM('Raw data'!C94))=UPPER(TRIM('Real results'!C95)),2,0),0),0)</f>
        <v>0</v>
      </c>
      <c r="E97" s="34">
        <f>IFERROR(IF('Raw data'!E95&lt;&gt;"",IF(OR(UPPER(TRIM('Raw data'!E95))=UPPER(TRIM('Real results'!C95)),UPPER(TRIM('Raw data'!E95))=UPPER(TRIM('Real results'!C96)),UPPER(TRIM('Raw data'!E95))=UPPER(TRIM('Real results'!C97))),1,0)+IF(UPPER(TRIM('Raw data'!E95))=UPPER(TRIM('Real results'!C95)),2,0),0),0)</f>
        <v>0</v>
      </c>
      <c r="G97" s="34">
        <f>IFERROR(IF('Raw data'!G95&lt;&gt;"",IF(OR(UPPER(TRIM('Raw data'!G95))=UPPER(TRIM('Real results'!C95)),UPPER(TRIM('Raw data'!G95))=UPPER(TRIM('Real results'!C96)),UPPER(TRIM('Raw data'!G95))=UPPER(TRIM('Real results'!C97))),1,0)+IF(UPPER(TRIM('Raw data'!G95))=UPPER(TRIM('Real results'!C95)),2,0),0),0)</f>
        <v>0</v>
      </c>
      <c r="I97" s="34">
        <f>IFERROR(IF('Raw data'!I95&lt;&gt;"",IF(OR(UPPER(TRIM('Raw data'!I95))=UPPER(TRIM('Real results'!C95)),UPPER(TRIM('Raw data'!I95))=UPPER(TRIM('Real results'!C96)),UPPER(TRIM('Raw data'!I95))=UPPER(TRIM('Real results'!C97))),1,0)+IF(UPPER(TRIM('Raw data'!I95))=UPPER(TRIM('Real results'!C95)),2,0),0),0)</f>
        <v>0</v>
      </c>
      <c r="K97" s="34">
        <f>IFERROR(IF('Raw data'!K95&lt;&gt;"",IF(OR(UPPER(TRIM('Raw data'!K95))=UPPER(TRIM('Real results'!C95)),UPPER(TRIM('Raw data'!K95))=UPPER(TRIM('Real results'!C96)),UPPER(TRIM('Raw data'!K95))=UPPER(TRIM('Real results'!C97))),1,0)+IF(UPPER(TRIM('Raw data'!K95))=UPPER(TRIM('Real results'!C95)),2,0),0),0)</f>
        <v>0</v>
      </c>
      <c r="M97" s="34">
        <f>IFERROR(IF('Raw data'!M95&lt;&gt;"",IF(OR(UPPER(TRIM('Raw data'!M95))=UPPER(TRIM('Real results'!C95)),UPPER(TRIM('Raw data'!M95))=UPPER(TRIM('Real results'!C96)),UPPER(TRIM('Raw data'!M95))=UPPER(TRIM('Real results'!C97))),1,0)+IF(UPPER(TRIM('Raw data'!M95))=UPPER(TRIM('Real results'!C95)),2,0),0),0)</f>
        <v>0</v>
      </c>
      <c r="O97" s="34">
        <f>IFERROR(IF('Raw data'!O95&lt;&gt;"",IF(OR(UPPER(TRIM('Raw data'!O95))=UPPER(TRIM('Real results'!C95)),UPPER(TRIM('Raw data'!O95))=UPPER(TRIM('Real results'!C96)),UPPER(TRIM('Raw data'!O95))=UPPER(TRIM('Real results'!C97))),1,0)+IF(UPPER(TRIM('Raw data'!O95))=UPPER(TRIM('Real results'!C95)),2,0),0),0)</f>
        <v>0</v>
      </c>
      <c r="Q97" s="34">
        <f>IFERROR(IF('Raw data'!Q95&lt;&gt;"",IF(OR(UPPER(TRIM('Raw data'!Q95))=UPPER(TRIM('Real results'!C95)),UPPER(TRIM('Raw data'!Q95))=UPPER(TRIM('Real results'!C96)),UPPER(TRIM('Raw data'!Q95))=UPPER(TRIM('Real results'!C97))),1,0)+IF(UPPER(TRIM('Raw data'!Q95))=UPPER(TRIM('Real results'!C95)),2,0),0),0)</f>
        <v>0</v>
      </c>
      <c r="S97" s="34">
        <f>IFERROR(IF('Raw data'!S95&lt;&gt;"",IF(OR(UPPER(TRIM('Raw data'!S95))=UPPER(TRIM('Real results'!C95)),UPPER(TRIM('Raw data'!S95))=UPPER(TRIM('Real results'!C96)),UPPER(TRIM('Raw data'!S95))=UPPER(TRIM('Real results'!C97))),1,0)+IF(UPPER(TRIM('Raw data'!S95))=UPPER(TRIM('Real results'!C95)),2,0),0),0)</f>
        <v>0</v>
      </c>
      <c r="U97" s="34">
        <f>IFERROR(IF('Raw data'!U95&lt;&gt;"",IF(OR(UPPER(TRIM('Raw data'!U95))=UPPER(TRIM('Real results'!C95)),UPPER(TRIM('Raw data'!U95))=UPPER(TRIM('Real results'!C96)),UPPER(TRIM('Raw data'!U95))=UPPER(TRIM('Real results'!C97))),1,0)+IF(UPPER(TRIM('Raw data'!U95))=UPPER(TRIM('Real results'!C95)),2,0),0),0)</f>
        <v>0</v>
      </c>
      <c r="W97" s="34">
        <f>IFERROR(IF('Raw data'!W95&lt;&gt;"",IF(OR(UPPER(TRIM('Raw data'!W95))=UPPER(TRIM('Real results'!C95)),UPPER(TRIM('Raw data'!W95))=UPPER(TRIM('Real results'!C96)),UPPER(TRIM('Raw data'!W95))=UPPER(TRIM('Real results'!C97))),1,0)+IF(UPPER(TRIM('Raw data'!W95))=UPPER(TRIM('Real results'!C95)),2,0),0),0)</f>
        <v>0</v>
      </c>
      <c r="Y97" s="34">
        <f>IFERROR(IF('Raw data'!Y95&lt;&gt;"",IF(OR(UPPER(TRIM('Raw data'!Y95))=UPPER(TRIM('Real results'!C95)),UPPER(TRIM('Raw data'!Y95))=UPPER(TRIM('Real results'!C96)),UPPER(TRIM('Raw data'!Y95))=UPPER(TRIM('Real results'!C97))),1,0)+IF(UPPER(TRIM('Raw data'!Y95))=UPPER(TRIM('Real results'!C95)),2,0),0),0)</f>
        <v>0</v>
      </c>
      <c r="AA97" s="34">
        <f>IFERROR(IF('Raw data'!AA95&lt;&gt;"",IF(OR(UPPER(TRIM('Raw data'!AA95))=UPPER(TRIM('Real results'!C95)),UPPER(TRIM('Raw data'!AA95))=UPPER(TRIM('Real results'!C96)),UPPER(TRIM('Raw data'!AA95))=UPPER(TRIM('Real results'!C97))),1,0)+IF(UPPER(TRIM('Raw data'!AA95))=UPPER(TRIM('Real results'!C95)),2,0),0),0)</f>
        <v>0</v>
      </c>
      <c r="AC97" s="34">
        <f>IFERROR(IF('Raw data'!AC95&lt;&gt;"",IF(OR(UPPER(TRIM('Raw data'!AC95))=UPPER(TRIM('Real results'!C95)),UPPER(TRIM('Raw data'!AC95))=UPPER(TRIM('Real results'!C96)),UPPER(TRIM('Raw data'!AC95))=UPPER(TRIM('Real results'!C97))),1,0)+IF(UPPER(TRIM('Raw data'!AC95))=UPPER(TRIM('Real results'!C95)),2,0),0),0)</f>
        <v>0</v>
      </c>
      <c r="AE97" s="34">
        <f>IFERROR(IF('Raw data'!AE95&lt;&gt;"",IF(OR(UPPER(TRIM('Raw data'!AE95))=UPPER(TRIM('Real results'!C95)),UPPER(TRIM('Raw data'!AE95))=UPPER(TRIM('Real results'!C96)),UPPER(TRIM('Raw data'!AE95))=UPPER(TRIM('Real results'!C97))),1,0)+IF(UPPER(TRIM('Raw data'!AE95))=UPPER(TRIM('Real results'!C95)),2,0),0),0)</f>
        <v>0</v>
      </c>
      <c r="AG97" s="34">
        <f>IFERROR(IF('Raw data'!AG95&lt;&gt;"",IF(OR(UPPER(TRIM('Raw data'!AG95))=UPPER(TRIM('Real results'!C95)),UPPER(TRIM('Raw data'!AG95))=UPPER(TRIM('Real results'!C96)),UPPER(TRIM('Raw data'!AG95))=UPPER(TRIM('Real results'!C97))),1,0)+IF(UPPER(TRIM('Raw data'!AG95))=UPPER(TRIM('Real results'!C95)),2,0),0),0)</f>
        <v>0</v>
      </c>
      <c r="AI97" s="34">
        <f>IFERROR(IF('Raw data'!AI95&lt;&gt;"",IF(OR(UPPER(TRIM('Raw data'!AI95))=UPPER(TRIM('Real results'!C95)),UPPER(TRIM('Raw data'!AI95))=UPPER(TRIM('Real results'!C96)),UPPER(TRIM('Raw data'!AI95))=UPPER(TRIM('Real results'!C97))),1,0)+IF(UPPER(TRIM('Raw data'!AI95))=UPPER(TRIM('Real results'!C95)),2,0),0),0)</f>
        <v>0</v>
      </c>
      <c r="AK97" s="34">
        <f>IFERROR(IF('Raw data'!AK95&lt;&gt;"",IF(OR(UPPER(TRIM('Raw data'!AK95))=UPPER(TRIM('Real results'!C95)),UPPER(TRIM('Raw data'!AK95))=UPPER(TRIM('Real results'!C96)),UPPER(TRIM('Raw data'!AK95))=UPPER(TRIM('Real results'!C97))),1,0)+IF(UPPER(TRIM('Raw data'!AK95))=UPPER(TRIM('Real results'!C95)),2,0),0),0)</f>
        <v>0</v>
      </c>
      <c r="AM97" s="34">
        <f>IFERROR(IF('Raw data'!AM95&lt;&gt;"",IF(OR(UPPER(TRIM('Raw data'!AM95))=UPPER(TRIM('Real results'!C95)),UPPER(TRIM('Raw data'!AM95))=UPPER(TRIM('Real results'!C96)),UPPER(TRIM('Raw data'!AM95))=UPPER(TRIM('Real results'!C97))),1,0)+IF(UPPER(TRIM('Raw data'!AM95))=UPPER(TRIM('Real results'!C95)),2,0),0),0)</f>
        <v>0</v>
      </c>
      <c r="AO97" s="34">
        <f>IFERROR(IF('Raw data'!AO95&lt;&gt;"",IF(OR(UPPER(TRIM('Raw data'!AO95))=UPPER(TRIM('Real results'!C95)),UPPER(TRIM('Raw data'!AO95))=UPPER(TRIM('Real results'!C96)),UPPER(TRIM('Raw data'!AO95))=UPPER(TRIM('Real results'!C97))),1,0)+IF(UPPER(TRIM('Raw data'!AO95))=UPPER(TRIM('Real results'!C95)),2,0),0),0)</f>
        <v>0</v>
      </c>
      <c r="AQ97" s="34">
        <f>IFERROR(IF('Raw data'!AQ95&lt;&gt;"",IF(OR(UPPER(TRIM('Raw data'!AQ95))=UPPER(TRIM('Real results'!C95)),UPPER(TRIM('Raw data'!AQ95))=UPPER(TRIM('Real results'!C96)),UPPER(TRIM('Raw data'!AQ95))=UPPER(TRIM('Real results'!C97))),1,0)+IF(UPPER(TRIM('Raw data'!AQ95))=UPPER(TRIM('Real results'!C95)),2,0),0),0)</f>
        <v>0</v>
      </c>
      <c r="AS97" s="34">
        <f>IFERROR(IF('Raw data'!AS95&lt;&gt;"",IF(OR(UPPER(TRIM('Raw data'!AS95))=UPPER(TRIM('Real results'!C95)),UPPER(TRIM('Raw data'!AS95))=UPPER(TRIM('Real results'!C96)),UPPER(TRIM('Raw data'!AS95))=UPPER(TRIM('Real results'!C97))),1,0)+IF(UPPER(TRIM('Raw data'!AS95))=UPPER(TRIM('Real results'!C95)),2,0),0),0)</f>
        <v>0</v>
      </c>
      <c r="AU97" s="34">
        <f>IFERROR(IF('Raw data'!AU95&lt;&gt;"",IF(OR(UPPER(TRIM('Raw data'!AU95))=UPPER(TRIM('Real results'!C95)),UPPER(TRIM('Raw data'!AU95))=UPPER(TRIM('Real results'!C96)),UPPER(TRIM('Raw data'!AU95))=UPPER(TRIM('Real results'!C97))),1,0)+IF(UPPER(TRIM('Raw data'!AU95))=UPPER(TRIM('Real results'!C95)),2,0),0),0)</f>
        <v>0</v>
      </c>
      <c r="AW97" s="34">
        <f>IFERROR(IF('Raw data'!AW95&lt;&gt;"",IF(OR(UPPER(TRIM('Raw data'!AW95))=UPPER(TRIM('Real results'!C95)),UPPER(TRIM('Raw data'!AW95))=UPPER(TRIM('Real results'!C96)),UPPER(TRIM('Raw data'!AW95))=UPPER(TRIM('Real results'!C97))),1,0)+IF(UPPER(TRIM('Raw data'!AW95))=UPPER(TRIM('Real results'!C95)),2,0),0),0)</f>
        <v>0</v>
      </c>
      <c r="AY97" s="34">
        <f>IFERROR(IF('Raw data'!AY95&lt;&gt;"",IF(OR(UPPER(TRIM('Raw data'!AY95))=UPPER(TRIM('Real results'!C95)),UPPER(TRIM('Raw data'!AY95))=UPPER(TRIM('Real results'!C96)),UPPER(TRIM('Raw data'!AY95))=UPPER(TRIM('Real results'!C97))),1,0)+IF(UPPER(TRIM('Raw data'!AY95))=UPPER(TRIM('Real results'!C95)),2,0),0),0)</f>
        <v>0</v>
      </c>
      <c r="BA97" s="34">
        <f>IFERROR(IF('Raw data'!BA95&lt;&gt;"",IF(OR(UPPER(TRIM('Raw data'!BA95))=UPPER(TRIM('Real results'!C95)),UPPER(TRIM('Raw data'!BA95))=UPPER(TRIM('Real results'!C96)),UPPER(TRIM('Raw data'!BA95))=UPPER(TRIM('Real results'!C97))),1,0)+IF(UPPER(TRIM('Raw data'!BA95))=UPPER(TRIM('Real results'!C95)),2,0),0),0)</f>
        <v>0</v>
      </c>
      <c r="BC97" s="34">
        <f>IFERROR(IF('Raw data'!BC95&lt;&gt;"",IF(OR(UPPER(TRIM('Raw data'!BC95))=UPPER(TRIM('Real results'!C95)),UPPER(TRIM('Raw data'!BC95))=UPPER(TRIM('Real results'!C96)),UPPER(TRIM('Raw data'!BC95))=UPPER(TRIM('Real results'!C97))),1,0)+IF(UPPER(TRIM('Raw data'!BC95))=UPPER(TRIM('Real results'!C95)),2,0),0),0)</f>
        <v>0</v>
      </c>
      <c r="BE97" s="34">
        <f>IFERROR(IF('Raw data'!BE95&lt;&gt;"",IF(OR(UPPER(TRIM('Raw data'!BE95))=UPPER(TRIM('Real results'!C95)),UPPER(TRIM('Raw data'!BE95))=UPPER(TRIM('Real results'!C96)),UPPER(TRIM('Raw data'!BE95))=UPPER(TRIM('Real results'!C97))),1,0)+IF(UPPER(TRIM('Raw data'!BE95))=UPPER(TRIM('Real results'!C95)),2,0),0),0)</f>
        <v>0</v>
      </c>
      <c r="BG97" s="34">
        <f>IFERROR(IF('Raw data'!BG95&lt;&gt;"",IF(OR(UPPER(TRIM('Raw data'!BG95))=UPPER(TRIM('Real results'!C95)),UPPER(TRIM('Raw data'!BG95))=UPPER(TRIM('Real results'!C96)),UPPER(TRIM('Raw data'!BG95))=UPPER(TRIM('Real results'!C97))),1,0)+IF(UPPER(TRIM('Raw data'!BG95))=UPPER(TRIM('Real results'!C95)),2,0),0),0)</f>
        <v>0</v>
      </c>
      <c r="BI97" s="34">
        <f>IFERROR(IF('Raw data'!BI95&lt;&gt;"",IF(OR(UPPER(TRIM('Raw data'!BI95))=UPPER(TRIM('Real results'!C95)),UPPER(TRIM('Raw data'!BI95))=UPPER(TRIM('Real results'!C96)),UPPER(TRIM('Raw data'!BI95))=UPPER(TRIM('Real results'!C97))),1,0)+IF(UPPER(TRIM('Raw data'!BI95))=UPPER(TRIM('Real results'!C95)),2,0),0),0)</f>
        <v>0</v>
      </c>
    </row>
    <row r="98" ht="18.0" customHeight="1">
      <c r="B98" s="12" t="s">
        <v>354</v>
      </c>
      <c r="C98" s="34">
        <f>IFERROR(IF('Raw data'!C95&lt;&gt;"",IF(OR(UPPER(TRIM('Raw data'!C95))=UPPER(TRIM('Real results'!C95)),UPPER(TRIM('Raw data'!C95))=UPPER(TRIM('Real results'!C96)),UPPER(TRIM('Raw data'!C95))=UPPER(TRIM('Real results'!C97))),1,0),0),0)</f>
        <v>0</v>
      </c>
      <c r="E98" s="34">
        <f>IFERROR(IF('Raw data'!E96&lt;&gt;"",IF(OR(UPPER(TRIM('Raw data'!E96))=UPPER(TRIM('Real results'!C95)),UPPER(TRIM('Raw data'!E96))=UPPER(TRIM('Real results'!C96)),UPPER(TRIM('Raw data'!E96))=UPPER(TRIM('Real results'!C97))),1,0),0),0)</f>
        <v>0</v>
      </c>
      <c r="G98" s="34">
        <f>IFERROR(IF('Raw data'!G96&lt;&gt;"",IF(OR(UPPER(TRIM('Raw data'!G96))=UPPER(TRIM('Real results'!C95)),UPPER(TRIM('Raw data'!G96))=UPPER(TRIM('Real results'!C96)),UPPER(TRIM('Raw data'!G96))=UPPER(TRIM('Real results'!C97))),1,0),0),0)</f>
        <v>0</v>
      </c>
      <c r="I98" s="34">
        <f>IFERROR(IF('Raw data'!I96&lt;&gt;"",IF(OR(UPPER(TRIM('Raw data'!I96))=UPPER(TRIM('Real results'!C95)),UPPER(TRIM('Raw data'!I96))=UPPER(TRIM('Real results'!C96)),UPPER(TRIM('Raw data'!I96))=UPPER(TRIM('Real results'!C97))),1,0),0),0)</f>
        <v>0</v>
      </c>
      <c r="K98" s="34">
        <f>IFERROR(IF('Raw data'!K96&lt;&gt;"",IF(OR(UPPER(TRIM('Raw data'!K96))=UPPER(TRIM('Real results'!C95)),UPPER(TRIM('Raw data'!K96))=UPPER(TRIM('Real results'!C96)),UPPER(TRIM('Raw data'!K96))=UPPER(TRIM('Real results'!C97))),1,0),0),0)</f>
        <v>0</v>
      </c>
      <c r="M98" s="34">
        <f>IFERROR(IF('Raw data'!M96&lt;&gt;"",IF(OR(UPPER(TRIM('Raw data'!M96))=UPPER(TRIM('Real results'!C95)),UPPER(TRIM('Raw data'!M96))=UPPER(TRIM('Real results'!C96)),UPPER(TRIM('Raw data'!M96))=UPPER(TRIM('Real results'!C97))),1,0),0),0)</f>
        <v>0</v>
      </c>
      <c r="O98" s="34">
        <f>IFERROR(IF('Raw data'!O96&lt;&gt;"",IF(OR(UPPER(TRIM('Raw data'!O96))=UPPER(TRIM('Real results'!C95)),UPPER(TRIM('Raw data'!O96))=UPPER(TRIM('Real results'!C96)),UPPER(TRIM('Raw data'!O96))=UPPER(TRIM('Real results'!C97))),1,0),0),0)</f>
        <v>0</v>
      </c>
      <c r="Q98" s="34">
        <f>IFERROR(IF('Raw data'!Q96&lt;&gt;"",IF(OR(UPPER(TRIM('Raw data'!Q96))=UPPER(TRIM('Real results'!C95)),UPPER(TRIM('Raw data'!Q96))=UPPER(TRIM('Real results'!C96)),UPPER(TRIM('Raw data'!Q96))=UPPER(TRIM('Real results'!C97))),1,0),0),0)</f>
        <v>0</v>
      </c>
      <c r="S98" s="34">
        <f>IFERROR(IF('Raw data'!S96&lt;&gt;"",IF(OR(UPPER(TRIM('Raw data'!S96))=UPPER(TRIM('Real results'!C95)),UPPER(TRIM('Raw data'!S96))=UPPER(TRIM('Real results'!C96)),UPPER(TRIM('Raw data'!S96))=UPPER(TRIM('Real results'!C97))),1,0),0),0)</f>
        <v>0</v>
      </c>
      <c r="U98" s="34">
        <f>IFERROR(IF('Raw data'!U96&lt;&gt;"",IF(OR(UPPER(TRIM('Raw data'!U96))=UPPER(TRIM('Real results'!C95)),UPPER(TRIM('Raw data'!U96))=UPPER(TRIM('Real results'!C96)),UPPER(TRIM('Raw data'!U96))=UPPER(TRIM('Real results'!C97))),1,0),0),0)</f>
        <v>0</v>
      </c>
      <c r="W98" s="34">
        <f>IFERROR(IF('Raw data'!W96&lt;&gt;"",IF(OR(UPPER(TRIM('Raw data'!W96))=UPPER(TRIM('Real results'!C95)),UPPER(TRIM('Raw data'!W96))=UPPER(TRIM('Real results'!C96)),UPPER(TRIM('Raw data'!W96))=UPPER(TRIM('Real results'!C97))),1,0),0),0)</f>
        <v>0</v>
      </c>
      <c r="Y98" s="34">
        <f>IFERROR(IF('Raw data'!Y96&lt;&gt;"",IF(OR(UPPER(TRIM('Raw data'!Y96))=UPPER(TRIM('Real results'!C95)),UPPER(TRIM('Raw data'!Y96))=UPPER(TRIM('Real results'!C96)),UPPER(TRIM('Raw data'!Y96))=UPPER(TRIM('Real results'!C97))),1,0),0),0)</f>
        <v>0</v>
      </c>
      <c r="AA98" s="34">
        <f>IFERROR(IF('Raw data'!AA96&lt;&gt;"",IF(OR(UPPER(TRIM('Raw data'!AA96))=UPPER(TRIM('Real results'!C95)),UPPER(TRIM('Raw data'!AA96))=UPPER(TRIM('Real results'!C96)),UPPER(TRIM('Raw data'!AA96))=UPPER(TRIM('Real results'!C97))),1,0),0),0)</f>
        <v>0</v>
      </c>
      <c r="AC98" s="34">
        <f>IFERROR(IF('Raw data'!AC96&lt;&gt;"",IF(OR(UPPER(TRIM('Raw data'!AC96))=UPPER(TRIM('Real results'!C95)),UPPER(TRIM('Raw data'!AC96))=UPPER(TRIM('Real results'!C96)),UPPER(TRIM('Raw data'!AC96))=UPPER(TRIM('Real results'!C97))),1,0),0),0)</f>
        <v>0</v>
      </c>
      <c r="AE98" s="34">
        <f>IFERROR(IF('Raw data'!AE96&lt;&gt;"",IF(OR(UPPER(TRIM('Raw data'!AE96))=UPPER(TRIM('Real results'!C95)),UPPER(TRIM('Raw data'!AE96))=UPPER(TRIM('Real results'!C96)),UPPER(TRIM('Raw data'!AE96))=UPPER(TRIM('Real results'!C97))),1,0),0),0)</f>
        <v>0</v>
      </c>
      <c r="AG98" s="34">
        <f>IFERROR(IF('Raw data'!AG96&lt;&gt;"",IF(OR(UPPER(TRIM('Raw data'!AG96))=UPPER(TRIM('Real results'!C95)),UPPER(TRIM('Raw data'!AG96))=UPPER(TRIM('Real results'!C96)),UPPER(TRIM('Raw data'!AG96))=UPPER(TRIM('Real results'!C97))),1,0),0),0)</f>
        <v>0</v>
      </c>
      <c r="AI98" s="34">
        <f>IFERROR(IF('Raw data'!AI96&lt;&gt;"",IF(OR(UPPER(TRIM('Raw data'!AI96))=UPPER(TRIM('Real results'!C95)),UPPER(TRIM('Raw data'!AI96))=UPPER(TRIM('Real results'!C96)),UPPER(TRIM('Raw data'!AI96))=UPPER(TRIM('Real results'!C97))),1,0),0),0)</f>
        <v>0</v>
      </c>
      <c r="AK98" s="34">
        <f>IFERROR(IF('Raw data'!AK96&lt;&gt;"",IF(OR(UPPER(TRIM('Raw data'!AK96))=UPPER(TRIM('Real results'!C95)),UPPER(TRIM('Raw data'!AK96))=UPPER(TRIM('Real results'!C96)),UPPER(TRIM('Raw data'!AK96))=UPPER(TRIM('Real results'!C97))),1,0),0),0)</f>
        <v>0</v>
      </c>
      <c r="AM98" s="34">
        <f>IFERROR(IF('Raw data'!AM96&lt;&gt;"",IF(OR(UPPER(TRIM('Raw data'!AM96))=UPPER(TRIM('Real results'!C95)),UPPER(TRIM('Raw data'!AM96))=UPPER(TRIM('Real results'!C96)),UPPER(TRIM('Raw data'!AM96))=UPPER(TRIM('Real results'!C97))),1,0),0),0)</f>
        <v>0</v>
      </c>
      <c r="AO98" s="34">
        <f>IFERROR(IF('Raw data'!AO96&lt;&gt;"",IF(OR(UPPER(TRIM('Raw data'!AO96))=UPPER(TRIM('Real results'!C95)),UPPER(TRIM('Raw data'!AO96))=UPPER(TRIM('Real results'!C96)),UPPER(TRIM('Raw data'!AO96))=UPPER(TRIM('Real results'!C97))),1,0),0),0)</f>
        <v>0</v>
      </c>
      <c r="AQ98" s="34">
        <f>IFERROR(IF('Raw data'!AQ96&lt;&gt;"",IF(OR(UPPER(TRIM('Raw data'!AQ96))=UPPER(TRIM('Real results'!C95)),UPPER(TRIM('Raw data'!AQ96))=UPPER(TRIM('Real results'!C96)),UPPER(TRIM('Raw data'!AQ96))=UPPER(TRIM('Real results'!C97))),1,0),0),0)</f>
        <v>0</v>
      </c>
      <c r="AS98" s="34">
        <f>IFERROR(IF('Raw data'!AS96&lt;&gt;"",IF(OR(UPPER(TRIM('Raw data'!AS96))=UPPER(TRIM('Real results'!C95)),UPPER(TRIM('Raw data'!AS96))=UPPER(TRIM('Real results'!C96)),UPPER(TRIM('Raw data'!AS96))=UPPER(TRIM('Real results'!C97))),1,0),0),0)</f>
        <v>0</v>
      </c>
      <c r="AU98" s="34">
        <f>IFERROR(IF('Raw data'!AU96&lt;&gt;"",IF(OR(UPPER(TRIM('Raw data'!AU96))=UPPER(TRIM('Real results'!C95)),UPPER(TRIM('Raw data'!AU96))=UPPER(TRIM('Real results'!C96)),UPPER(TRIM('Raw data'!AU96))=UPPER(TRIM('Real results'!C97))),1,0),0),0)</f>
        <v>0</v>
      </c>
      <c r="AW98" s="34">
        <f>IFERROR(IF('Raw data'!AW96&lt;&gt;"",IF(OR(UPPER(TRIM('Raw data'!AW96))=UPPER(TRIM('Real results'!C95)),UPPER(TRIM('Raw data'!AW96))=UPPER(TRIM('Real results'!C96)),UPPER(TRIM('Raw data'!AW96))=UPPER(TRIM('Real results'!C97))),1,0),0),0)</f>
        <v>0</v>
      </c>
      <c r="AY98" s="34">
        <f>IFERROR(IF('Raw data'!AY96&lt;&gt;"",IF(OR(UPPER(TRIM('Raw data'!AY96))=UPPER(TRIM('Real results'!C95)),UPPER(TRIM('Raw data'!AY96))=UPPER(TRIM('Real results'!C96)),UPPER(TRIM('Raw data'!AY96))=UPPER(TRIM('Real results'!C97))),1,0),0),0)</f>
        <v>0</v>
      </c>
      <c r="BA98" s="34">
        <f>IFERROR(IF('Raw data'!BA96&lt;&gt;"",IF(OR(UPPER(TRIM('Raw data'!BA96))=UPPER(TRIM('Real results'!C95)),UPPER(TRIM('Raw data'!BA96))=UPPER(TRIM('Real results'!C96)),UPPER(TRIM('Raw data'!BA96))=UPPER(TRIM('Real results'!C97))),1,0),0),0)</f>
        <v>0</v>
      </c>
      <c r="BC98" s="34">
        <f>IFERROR(IF('Raw data'!BC96&lt;&gt;"",IF(OR(UPPER(TRIM('Raw data'!BC96))=UPPER(TRIM('Real results'!C95)),UPPER(TRIM('Raw data'!BC96))=UPPER(TRIM('Real results'!C96)),UPPER(TRIM('Raw data'!BC96))=UPPER(TRIM('Real results'!C97))),1,0),0),0)</f>
        <v>0</v>
      </c>
      <c r="BE98" s="34">
        <f>IFERROR(IF('Raw data'!BE96&lt;&gt;"",IF(OR(UPPER(TRIM('Raw data'!BE96))=UPPER(TRIM('Real results'!C95)),UPPER(TRIM('Raw data'!BE96))=UPPER(TRIM('Real results'!C96)),UPPER(TRIM('Raw data'!BE96))=UPPER(TRIM('Real results'!C97))),1,0),0),0)</f>
        <v>0</v>
      </c>
      <c r="BG98" s="34">
        <f>IFERROR(IF('Raw data'!BG96&lt;&gt;"",IF(OR(UPPER(TRIM('Raw data'!BG96))=UPPER(TRIM('Real results'!C95)),UPPER(TRIM('Raw data'!BG96))=UPPER(TRIM('Real results'!C96)),UPPER(TRIM('Raw data'!BG96))=UPPER(TRIM('Real results'!C97))),1,0),0),0)</f>
        <v>0</v>
      </c>
      <c r="BI98" s="34">
        <f>IFERROR(IF('Raw data'!BI96&lt;&gt;"",IF(OR(UPPER(TRIM('Raw data'!BI96))=UPPER(TRIM('Real results'!C95)),UPPER(TRIM('Raw data'!BI96))=UPPER(TRIM('Real results'!C96)),UPPER(TRIM('Raw data'!BI96))=UPPER(TRIM('Real results'!C97))),1,0),0),0)</f>
        <v>0</v>
      </c>
    </row>
    <row r="99" ht="18.0" customHeight="1">
      <c r="B99" s="12" t="s">
        <v>355</v>
      </c>
      <c r="C99" s="34">
        <f>IFERROR(IF('Raw data'!C96&lt;&gt;"",IF(OR(UPPER(TRIM('Raw data'!C96))=UPPER(TRIM('Real results'!C95)),UPPER(TRIM('Raw data'!C96))=UPPER(TRIM('Real results'!C96)),UPPER(TRIM('Raw data'!C96))=UPPER(TRIM('Real results'!C97))),1,0),0),0)</f>
        <v>0</v>
      </c>
      <c r="E99" s="34">
        <f>IFERROR(IF('Raw data'!E97&lt;&gt;"",IF(OR(UPPER(TRIM('Raw data'!E97))=UPPER(TRIM('Real results'!C95)),UPPER(TRIM('Raw data'!E97))=UPPER(TRIM('Real results'!C96)),UPPER(TRIM('Raw data'!E97))=UPPER(TRIM('Real results'!C97))),1,0),0),0)</f>
        <v>0</v>
      </c>
      <c r="G99" s="34">
        <f>IFERROR(IF('Raw data'!G97&lt;&gt;"",IF(OR(UPPER(TRIM('Raw data'!G97))=UPPER(TRIM('Real results'!C95)),UPPER(TRIM('Raw data'!G97))=UPPER(TRIM('Real results'!C96)),UPPER(TRIM('Raw data'!G97))=UPPER(TRIM('Real results'!C97))),1,0),0),0)</f>
        <v>0</v>
      </c>
      <c r="I99" s="34">
        <f>IFERROR(IF('Raw data'!I97&lt;&gt;"",IF(OR(UPPER(TRIM('Raw data'!I97))=UPPER(TRIM('Real results'!C95)),UPPER(TRIM('Raw data'!I97))=UPPER(TRIM('Real results'!C96)),UPPER(TRIM('Raw data'!I97))=UPPER(TRIM('Real results'!C97))),1,0),0),0)</f>
        <v>0</v>
      </c>
      <c r="K99" s="34">
        <f>IFERROR(IF('Raw data'!K97&lt;&gt;"",IF(OR(UPPER(TRIM('Raw data'!K97))=UPPER(TRIM('Real results'!C95)),UPPER(TRIM('Raw data'!K97))=UPPER(TRIM('Real results'!C96)),UPPER(TRIM('Raw data'!K97))=UPPER(TRIM('Real results'!C97))),1,0),0),0)</f>
        <v>0</v>
      </c>
      <c r="M99" s="34">
        <f>IFERROR(IF('Raw data'!M97&lt;&gt;"",IF(OR(UPPER(TRIM('Raw data'!M97))=UPPER(TRIM('Real results'!C95)),UPPER(TRIM('Raw data'!M97))=UPPER(TRIM('Real results'!C96)),UPPER(TRIM('Raw data'!M97))=UPPER(TRIM('Real results'!C97))),1,0),0),0)</f>
        <v>0</v>
      </c>
      <c r="O99" s="34">
        <f>IFERROR(IF('Raw data'!O97&lt;&gt;"",IF(OR(UPPER(TRIM('Raw data'!O97))=UPPER(TRIM('Real results'!C95)),UPPER(TRIM('Raw data'!O97))=UPPER(TRIM('Real results'!C96)),UPPER(TRIM('Raw data'!O97))=UPPER(TRIM('Real results'!C97))),1,0),0),0)</f>
        <v>0</v>
      </c>
      <c r="Q99" s="34">
        <f>IFERROR(IF('Raw data'!Q97&lt;&gt;"",IF(OR(UPPER(TRIM('Raw data'!Q97))=UPPER(TRIM('Real results'!C95)),UPPER(TRIM('Raw data'!Q97))=UPPER(TRIM('Real results'!C96)),UPPER(TRIM('Raw data'!Q97))=UPPER(TRIM('Real results'!C97))),1,0),0),0)</f>
        <v>0</v>
      </c>
      <c r="S99" s="34">
        <f>IFERROR(IF('Raw data'!S97&lt;&gt;"",IF(OR(UPPER(TRIM('Raw data'!S97))=UPPER(TRIM('Real results'!C95)),UPPER(TRIM('Raw data'!S97))=UPPER(TRIM('Real results'!C96)),UPPER(TRIM('Raw data'!S97))=UPPER(TRIM('Real results'!C97))),1,0),0),0)</f>
        <v>0</v>
      </c>
      <c r="U99" s="34">
        <f>IFERROR(IF('Raw data'!U97&lt;&gt;"",IF(OR(UPPER(TRIM('Raw data'!U97))=UPPER(TRIM('Real results'!C95)),UPPER(TRIM('Raw data'!U97))=UPPER(TRIM('Real results'!C96)),UPPER(TRIM('Raw data'!U97))=UPPER(TRIM('Real results'!C97))),1,0),0),0)</f>
        <v>0</v>
      </c>
      <c r="W99" s="34">
        <f>IFERROR(IF('Raw data'!W97&lt;&gt;"",IF(OR(UPPER(TRIM('Raw data'!W97))=UPPER(TRIM('Real results'!C95)),UPPER(TRIM('Raw data'!W97))=UPPER(TRIM('Real results'!C96)),UPPER(TRIM('Raw data'!W97))=UPPER(TRIM('Real results'!C97))),1,0),0),0)</f>
        <v>0</v>
      </c>
      <c r="Y99" s="34">
        <f>IFERROR(IF('Raw data'!Y97&lt;&gt;"",IF(OR(UPPER(TRIM('Raw data'!Y97))=UPPER(TRIM('Real results'!C95)),UPPER(TRIM('Raw data'!Y97))=UPPER(TRIM('Real results'!C96)),UPPER(TRIM('Raw data'!Y97))=UPPER(TRIM('Real results'!C97))),1,0),0),0)</f>
        <v>0</v>
      </c>
      <c r="AA99" s="34">
        <f>IFERROR(IF('Raw data'!AA97&lt;&gt;"",IF(OR(UPPER(TRIM('Raw data'!AA97))=UPPER(TRIM('Real results'!C95)),UPPER(TRIM('Raw data'!AA97))=UPPER(TRIM('Real results'!C96)),UPPER(TRIM('Raw data'!AA97))=UPPER(TRIM('Real results'!C97))),1,0),0),0)</f>
        <v>0</v>
      </c>
      <c r="AC99" s="34">
        <f>IFERROR(IF('Raw data'!AC97&lt;&gt;"",IF(OR(UPPER(TRIM('Raw data'!AC97))=UPPER(TRIM('Real results'!C95)),UPPER(TRIM('Raw data'!AC97))=UPPER(TRIM('Real results'!C96)),UPPER(TRIM('Raw data'!AC97))=UPPER(TRIM('Real results'!C97))),1,0),0),0)</f>
        <v>0</v>
      </c>
      <c r="AE99" s="34">
        <f>IFERROR(IF('Raw data'!AE97&lt;&gt;"",IF(OR(UPPER(TRIM('Raw data'!AE97))=UPPER(TRIM('Real results'!C95)),UPPER(TRIM('Raw data'!AE97))=UPPER(TRIM('Real results'!C96)),UPPER(TRIM('Raw data'!AE97))=UPPER(TRIM('Real results'!C97))),1,0),0),0)</f>
        <v>0</v>
      </c>
      <c r="AG99" s="34">
        <f>IFERROR(IF('Raw data'!AG97&lt;&gt;"",IF(OR(UPPER(TRIM('Raw data'!AG97))=UPPER(TRIM('Real results'!C95)),UPPER(TRIM('Raw data'!AG97))=UPPER(TRIM('Real results'!C96)),UPPER(TRIM('Raw data'!AG97))=UPPER(TRIM('Real results'!C97))),1,0),0),0)</f>
        <v>0</v>
      </c>
      <c r="AI99" s="34">
        <f>IFERROR(IF('Raw data'!AI97&lt;&gt;"",IF(OR(UPPER(TRIM('Raw data'!AI97))=UPPER(TRIM('Real results'!C95)),UPPER(TRIM('Raw data'!AI97))=UPPER(TRIM('Real results'!C96)),UPPER(TRIM('Raw data'!AI97))=UPPER(TRIM('Real results'!C97))),1,0),0),0)</f>
        <v>0</v>
      </c>
      <c r="AK99" s="34">
        <f>IFERROR(IF('Raw data'!AK97&lt;&gt;"",IF(OR(UPPER(TRIM('Raw data'!AK97))=UPPER(TRIM('Real results'!C95)),UPPER(TRIM('Raw data'!AK97))=UPPER(TRIM('Real results'!C96)),UPPER(TRIM('Raw data'!AK97))=UPPER(TRIM('Real results'!C97))),1,0),0),0)</f>
        <v>0</v>
      </c>
      <c r="AM99" s="34">
        <f>IFERROR(IF('Raw data'!AM97&lt;&gt;"",IF(OR(UPPER(TRIM('Raw data'!AM97))=UPPER(TRIM('Real results'!C95)),UPPER(TRIM('Raw data'!AM97))=UPPER(TRIM('Real results'!C96)),UPPER(TRIM('Raw data'!AM97))=UPPER(TRIM('Real results'!C97))),1,0),0),0)</f>
        <v>0</v>
      </c>
      <c r="AO99" s="34">
        <f>IFERROR(IF('Raw data'!AO97&lt;&gt;"",IF(OR(UPPER(TRIM('Raw data'!AO97))=UPPER(TRIM('Real results'!C95)),UPPER(TRIM('Raw data'!AO97))=UPPER(TRIM('Real results'!C96)),UPPER(TRIM('Raw data'!AO97))=UPPER(TRIM('Real results'!C97))),1,0),0),0)</f>
        <v>0</v>
      </c>
      <c r="AQ99" s="34">
        <f>IFERROR(IF('Raw data'!AQ97&lt;&gt;"",IF(OR(UPPER(TRIM('Raw data'!AQ97))=UPPER(TRIM('Real results'!C95)),UPPER(TRIM('Raw data'!AQ97))=UPPER(TRIM('Real results'!C96)),UPPER(TRIM('Raw data'!AQ97))=UPPER(TRIM('Real results'!C97))),1,0),0),0)</f>
        <v>0</v>
      </c>
      <c r="AS99" s="34">
        <f>IFERROR(IF('Raw data'!AS97&lt;&gt;"",IF(OR(UPPER(TRIM('Raw data'!AS97))=UPPER(TRIM('Real results'!C95)),UPPER(TRIM('Raw data'!AS97))=UPPER(TRIM('Real results'!C96)),UPPER(TRIM('Raw data'!AS97))=UPPER(TRIM('Real results'!C97))),1,0),0),0)</f>
        <v>0</v>
      </c>
      <c r="AU99" s="34">
        <f>IFERROR(IF('Raw data'!AU97&lt;&gt;"",IF(OR(UPPER(TRIM('Raw data'!AU97))=UPPER(TRIM('Real results'!C95)),UPPER(TRIM('Raw data'!AU97))=UPPER(TRIM('Real results'!C96)),UPPER(TRIM('Raw data'!AU97))=UPPER(TRIM('Real results'!C97))),1,0),0),0)</f>
        <v>0</v>
      </c>
      <c r="AW99" s="34">
        <f>IFERROR(IF('Raw data'!AW97&lt;&gt;"",IF(OR(UPPER(TRIM('Raw data'!AW97))=UPPER(TRIM('Real results'!C95)),UPPER(TRIM('Raw data'!AW97))=UPPER(TRIM('Real results'!C96)),UPPER(TRIM('Raw data'!AW97))=UPPER(TRIM('Real results'!C97))),1,0),0),0)</f>
        <v>0</v>
      </c>
      <c r="AY99" s="34">
        <f>IFERROR(IF('Raw data'!AY97&lt;&gt;"",IF(OR(UPPER(TRIM('Raw data'!AY97))=UPPER(TRIM('Real results'!C95)),UPPER(TRIM('Raw data'!AY97))=UPPER(TRIM('Real results'!C96)),UPPER(TRIM('Raw data'!AY97))=UPPER(TRIM('Real results'!C97))),1,0),0),0)</f>
        <v>0</v>
      </c>
      <c r="BA99" s="34">
        <f>IFERROR(IF('Raw data'!BA97&lt;&gt;"",IF(OR(UPPER(TRIM('Raw data'!BA97))=UPPER(TRIM('Real results'!C95)),UPPER(TRIM('Raw data'!BA97))=UPPER(TRIM('Real results'!C96)),UPPER(TRIM('Raw data'!BA97))=UPPER(TRIM('Real results'!C97))),1,0),0),0)</f>
        <v>0</v>
      </c>
      <c r="BC99" s="34">
        <f>IFERROR(IF('Raw data'!BC97&lt;&gt;"",IF(OR(UPPER(TRIM('Raw data'!BC97))=UPPER(TRIM('Real results'!C95)),UPPER(TRIM('Raw data'!BC97))=UPPER(TRIM('Real results'!C96)),UPPER(TRIM('Raw data'!BC97))=UPPER(TRIM('Real results'!C97))),1,0),0),0)</f>
        <v>0</v>
      </c>
      <c r="BE99" s="34">
        <f>IFERROR(IF('Raw data'!BE97&lt;&gt;"",IF(OR(UPPER(TRIM('Raw data'!BE97))=UPPER(TRIM('Real results'!C95)),UPPER(TRIM('Raw data'!BE97))=UPPER(TRIM('Real results'!C96)),UPPER(TRIM('Raw data'!BE97))=UPPER(TRIM('Real results'!C97))),1,0),0),0)</f>
        <v>0</v>
      </c>
      <c r="BG99" s="34">
        <f>IFERROR(IF('Raw data'!BG97&lt;&gt;"",IF(OR(UPPER(TRIM('Raw data'!BG97))=UPPER(TRIM('Real results'!C95)),UPPER(TRIM('Raw data'!BG97))=UPPER(TRIM('Real results'!C96)),UPPER(TRIM('Raw data'!BG97))=UPPER(TRIM('Real results'!C97))),1,0),0),0)</f>
        <v>0</v>
      </c>
      <c r="BI99" s="34">
        <f>IFERROR(IF('Raw data'!BI97&lt;&gt;"",IF(OR(UPPER(TRIM('Raw data'!BI97))=UPPER(TRIM('Real results'!C95)),UPPER(TRIM('Raw data'!BI97))=UPPER(TRIM('Real results'!C96)),UPPER(TRIM('Raw data'!BI97))=UPPER(TRIM('Real results'!C97))),1,0),0),0)</f>
        <v>0</v>
      </c>
    </row>
    <row r="100" ht="18.0" customHeight="1">
      <c r="B100" s="12" t="s">
        <v>356</v>
      </c>
      <c r="C100" s="34">
        <f>IFERROR(IF('Raw data'!C97&lt;&gt;"",IF(OR(UPPER(TRIM('Raw data'!C97))=UPPER(TRIM('Real results'!C98)),UPPER(TRIM('Raw data'!C97))=UPPER(TRIM('Real results'!C99)),UPPER(TRIM('Raw data'!C97))=UPPER(TRIM('Real results'!C100))),1,0)+IF(UPPER(TRIM('Raw data'!C97))=UPPER(TRIM('Real results'!C98)),2,0),0),0)</f>
        <v>0</v>
      </c>
      <c r="E100" s="34">
        <f>IFERROR(IF('Raw data'!E98&lt;&gt;"",IF(OR(UPPER(TRIM('Raw data'!E98))=UPPER(TRIM('Real results'!C98)),UPPER(TRIM('Raw data'!E98))=UPPER(TRIM('Real results'!C99)),UPPER(TRIM('Raw data'!E98))=UPPER(TRIM('Real results'!C100))),1,0)+IF(UPPER(TRIM('Raw data'!E98))=UPPER(TRIM('Real results'!C98)),2,0),0),0)</f>
        <v>0</v>
      </c>
      <c r="G100" s="34">
        <f>IFERROR(IF('Raw data'!G98&lt;&gt;"",IF(OR(UPPER(TRIM('Raw data'!G98))=UPPER(TRIM('Real results'!C98)),UPPER(TRIM('Raw data'!G98))=UPPER(TRIM('Real results'!C99)),UPPER(TRIM('Raw data'!G98))=UPPER(TRIM('Real results'!C100))),1,0)+IF(UPPER(TRIM('Raw data'!G98))=UPPER(TRIM('Real results'!C98)),2,0),0),0)</f>
        <v>0</v>
      </c>
      <c r="I100" s="34">
        <f>IFERROR(IF('Raw data'!I98&lt;&gt;"",IF(OR(UPPER(TRIM('Raw data'!I98))=UPPER(TRIM('Real results'!C98)),UPPER(TRIM('Raw data'!I98))=UPPER(TRIM('Real results'!C99)),UPPER(TRIM('Raw data'!I98))=UPPER(TRIM('Real results'!C100))),1,0)+IF(UPPER(TRIM('Raw data'!I98))=UPPER(TRIM('Real results'!C98)),2,0),0),0)</f>
        <v>0</v>
      </c>
      <c r="K100" s="34">
        <f>IFERROR(IF('Raw data'!K98&lt;&gt;"",IF(OR(UPPER(TRIM('Raw data'!K98))=UPPER(TRIM('Real results'!C98)),UPPER(TRIM('Raw data'!K98))=UPPER(TRIM('Real results'!C99)),UPPER(TRIM('Raw data'!K98))=UPPER(TRIM('Real results'!C100))),1,0)+IF(UPPER(TRIM('Raw data'!K98))=UPPER(TRIM('Real results'!C98)),2,0),0),0)</f>
        <v>0</v>
      </c>
      <c r="M100" s="34">
        <f>IFERROR(IF('Raw data'!M98&lt;&gt;"",IF(OR(UPPER(TRIM('Raw data'!M98))=UPPER(TRIM('Real results'!C98)),UPPER(TRIM('Raw data'!M98))=UPPER(TRIM('Real results'!C99)),UPPER(TRIM('Raw data'!M98))=UPPER(TRIM('Real results'!C100))),1,0)+IF(UPPER(TRIM('Raw data'!M98))=UPPER(TRIM('Real results'!C98)),2,0),0),0)</f>
        <v>0</v>
      </c>
      <c r="O100" s="34">
        <f>IFERROR(IF('Raw data'!O98&lt;&gt;"",IF(OR(UPPER(TRIM('Raw data'!O98))=UPPER(TRIM('Real results'!C98)),UPPER(TRIM('Raw data'!O98))=UPPER(TRIM('Real results'!C99)),UPPER(TRIM('Raw data'!O98))=UPPER(TRIM('Real results'!C100))),1,0)+IF(UPPER(TRIM('Raw data'!O98))=UPPER(TRIM('Real results'!C98)),2,0),0),0)</f>
        <v>0</v>
      </c>
      <c r="Q100" s="34">
        <f>IFERROR(IF('Raw data'!Q98&lt;&gt;"",IF(OR(UPPER(TRIM('Raw data'!Q98))=UPPER(TRIM('Real results'!C98)),UPPER(TRIM('Raw data'!Q98))=UPPER(TRIM('Real results'!C99)),UPPER(TRIM('Raw data'!Q98))=UPPER(TRIM('Real results'!C100))),1,0)+IF(UPPER(TRIM('Raw data'!Q98))=UPPER(TRIM('Real results'!C98)),2,0),0),0)</f>
        <v>0</v>
      </c>
      <c r="S100" s="34">
        <f>IFERROR(IF('Raw data'!S98&lt;&gt;"",IF(OR(UPPER(TRIM('Raw data'!S98))=UPPER(TRIM('Real results'!C98)),UPPER(TRIM('Raw data'!S98))=UPPER(TRIM('Real results'!C99)),UPPER(TRIM('Raw data'!S98))=UPPER(TRIM('Real results'!C100))),1,0)+IF(UPPER(TRIM('Raw data'!S98))=UPPER(TRIM('Real results'!C98)),2,0),0),0)</f>
        <v>0</v>
      </c>
      <c r="U100" s="34">
        <f>IFERROR(IF('Raw data'!U98&lt;&gt;"",IF(OR(UPPER(TRIM('Raw data'!U98))=UPPER(TRIM('Real results'!C98)),UPPER(TRIM('Raw data'!U98))=UPPER(TRIM('Real results'!C99)),UPPER(TRIM('Raw data'!U98))=UPPER(TRIM('Real results'!C100))),1,0)+IF(UPPER(TRIM('Raw data'!U98))=UPPER(TRIM('Real results'!C98)),2,0),0),0)</f>
        <v>0</v>
      </c>
      <c r="W100" s="34">
        <f>IFERROR(IF('Raw data'!W98&lt;&gt;"",IF(OR(UPPER(TRIM('Raw data'!W98))=UPPER(TRIM('Real results'!C98)),UPPER(TRIM('Raw data'!W98))=UPPER(TRIM('Real results'!C99)),UPPER(TRIM('Raw data'!W98))=UPPER(TRIM('Real results'!C100))),1,0)+IF(UPPER(TRIM('Raw data'!W98))=UPPER(TRIM('Real results'!C98)),2,0),0),0)</f>
        <v>0</v>
      </c>
      <c r="Y100" s="34">
        <f>IFERROR(IF('Raw data'!Y98&lt;&gt;"",IF(OR(UPPER(TRIM('Raw data'!Y98))=UPPER(TRIM('Real results'!C98)),UPPER(TRIM('Raw data'!Y98))=UPPER(TRIM('Real results'!C99)),UPPER(TRIM('Raw data'!Y98))=UPPER(TRIM('Real results'!C100))),1,0)+IF(UPPER(TRIM('Raw data'!Y98))=UPPER(TRIM('Real results'!C98)),2,0),0),0)</f>
        <v>0</v>
      </c>
      <c r="AA100" s="34">
        <f>IFERROR(IF('Raw data'!AA98&lt;&gt;"",IF(OR(UPPER(TRIM('Raw data'!AA98))=UPPER(TRIM('Real results'!C98)),UPPER(TRIM('Raw data'!AA98))=UPPER(TRIM('Real results'!C99)),UPPER(TRIM('Raw data'!AA98))=UPPER(TRIM('Real results'!C100))),1,0)+IF(UPPER(TRIM('Raw data'!AA98))=UPPER(TRIM('Real results'!C98)),2,0),0),0)</f>
        <v>0</v>
      </c>
      <c r="AC100" s="34">
        <f>IFERROR(IF('Raw data'!AC98&lt;&gt;"",IF(OR(UPPER(TRIM('Raw data'!AC98))=UPPER(TRIM('Real results'!C98)),UPPER(TRIM('Raw data'!AC98))=UPPER(TRIM('Real results'!C99)),UPPER(TRIM('Raw data'!AC98))=UPPER(TRIM('Real results'!C100))),1,0)+IF(UPPER(TRIM('Raw data'!AC98))=UPPER(TRIM('Real results'!C98)),2,0),0),0)</f>
        <v>0</v>
      </c>
      <c r="AE100" s="34">
        <f>IFERROR(IF('Raw data'!AE98&lt;&gt;"",IF(OR(UPPER(TRIM('Raw data'!AE98))=UPPER(TRIM('Real results'!C98)),UPPER(TRIM('Raw data'!AE98))=UPPER(TRIM('Real results'!C99)),UPPER(TRIM('Raw data'!AE98))=UPPER(TRIM('Real results'!C100))),1,0)+IF(UPPER(TRIM('Raw data'!AE98))=UPPER(TRIM('Real results'!C98)),2,0),0),0)</f>
        <v>0</v>
      </c>
      <c r="AG100" s="34">
        <f>IFERROR(IF('Raw data'!AG98&lt;&gt;"",IF(OR(UPPER(TRIM('Raw data'!AG98))=UPPER(TRIM('Real results'!C98)),UPPER(TRIM('Raw data'!AG98))=UPPER(TRIM('Real results'!C99)),UPPER(TRIM('Raw data'!AG98))=UPPER(TRIM('Real results'!C100))),1,0)+IF(UPPER(TRIM('Raw data'!AG98))=UPPER(TRIM('Real results'!C98)),2,0),0),0)</f>
        <v>0</v>
      </c>
      <c r="AI100" s="34">
        <f>IFERROR(IF('Raw data'!AI98&lt;&gt;"",IF(OR(UPPER(TRIM('Raw data'!AI98))=UPPER(TRIM('Real results'!C98)),UPPER(TRIM('Raw data'!AI98))=UPPER(TRIM('Real results'!C99)),UPPER(TRIM('Raw data'!AI98))=UPPER(TRIM('Real results'!C100))),1,0)+IF(UPPER(TRIM('Raw data'!AI98))=UPPER(TRIM('Real results'!C98)),2,0),0),0)</f>
        <v>0</v>
      </c>
      <c r="AK100" s="34">
        <f>IFERROR(IF('Raw data'!AK98&lt;&gt;"",IF(OR(UPPER(TRIM('Raw data'!AK98))=UPPER(TRIM('Real results'!C98)),UPPER(TRIM('Raw data'!AK98))=UPPER(TRIM('Real results'!C99)),UPPER(TRIM('Raw data'!AK98))=UPPER(TRIM('Real results'!C100))),1,0)+IF(UPPER(TRIM('Raw data'!AK98))=UPPER(TRIM('Real results'!C98)),2,0),0),0)</f>
        <v>0</v>
      </c>
      <c r="AM100" s="34">
        <f>IFERROR(IF('Raw data'!AM98&lt;&gt;"",IF(OR(UPPER(TRIM('Raw data'!AM98))=UPPER(TRIM('Real results'!C98)),UPPER(TRIM('Raw data'!AM98))=UPPER(TRIM('Real results'!C99)),UPPER(TRIM('Raw data'!AM98))=UPPER(TRIM('Real results'!C100))),1,0)+IF(UPPER(TRIM('Raw data'!AM98))=UPPER(TRIM('Real results'!C98)),2,0),0),0)</f>
        <v>0</v>
      </c>
      <c r="AO100" s="34">
        <f>IFERROR(IF('Raw data'!AO98&lt;&gt;"",IF(OR(UPPER(TRIM('Raw data'!AO98))=UPPER(TRIM('Real results'!C98)),UPPER(TRIM('Raw data'!AO98))=UPPER(TRIM('Real results'!C99)),UPPER(TRIM('Raw data'!AO98))=UPPER(TRIM('Real results'!C100))),1,0)+IF(UPPER(TRIM('Raw data'!AO98))=UPPER(TRIM('Real results'!C98)),2,0),0),0)</f>
        <v>0</v>
      </c>
      <c r="AQ100" s="34">
        <f>IFERROR(IF('Raw data'!AQ98&lt;&gt;"",IF(OR(UPPER(TRIM('Raw data'!AQ98))=UPPER(TRIM('Real results'!C98)),UPPER(TRIM('Raw data'!AQ98))=UPPER(TRIM('Real results'!C99)),UPPER(TRIM('Raw data'!AQ98))=UPPER(TRIM('Real results'!C100))),1,0)+IF(UPPER(TRIM('Raw data'!AQ98))=UPPER(TRIM('Real results'!C98)),2,0),0),0)</f>
        <v>0</v>
      </c>
      <c r="AS100" s="34">
        <f>IFERROR(IF('Raw data'!AS98&lt;&gt;"",IF(OR(UPPER(TRIM('Raw data'!AS98))=UPPER(TRIM('Real results'!C98)),UPPER(TRIM('Raw data'!AS98))=UPPER(TRIM('Real results'!C99)),UPPER(TRIM('Raw data'!AS98))=UPPER(TRIM('Real results'!C100))),1,0)+IF(UPPER(TRIM('Raw data'!AS98))=UPPER(TRIM('Real results'!C98)),2,0),0),0)</f>
        <v>0</v>
      </c>
      <c r="AU100" s="34">
        <f>IFERROR(IF('Raw data'!AU98&lt;&gt;"",IF(OR(UPPER(TRIM('Raw data'!AU98))=UPPER(TRIM('Real results'!C98)),UPPER(TRIM('Raw data'!AU98))=UPPER(TRIM('Real results'!C99)),UPPER(TRIM('Raw data'!AU98))=UPPER(TRIM('Real results'!C100))),1,0)+IF(UPPER(TRIM('Raw data'!AU98))=UPPER(TRIM('Real results'!C98)),2,0),0),0)</f>
        <v>0</v>
      </c>
      <c r="AW100" s="34">
        <f>IFERROR(IF('Raw data'!AW98&lt;&gt;"",IF(OR(UPPER(TRIM('Raw data'!AW98))=UPPER(TRIM('Real results'!C98)),UPPER(TRIM('Raw data'!AW98))=UPPER(TRIM('Real results'!C99)),UPPER(TRIM('Raw data'!AW98))=UPPER(TRIM('Real results'!C100))),1,0)+IF(UPPER(TRIM('Raw data'!AW98))=UPPER(TRIM('Real results'!C98)),2,0),0),0)</f>
        <v>0</v>
      </c>
      <c r="AY100" s="34">
        <f>IFERROR(IF('Raw data'!AY98&lt;&gt;"",IF(OR(UPPER(TRIM('Raw data'!AY98))=UPPER(TRIM('Real results'!C98)),UPPER(TRIM('Raw data'!AY98))=UPPER(TRIM('Real results'!C99)),UPPER(TRIM('Raw data'!AY98))=UPPER(TRIM('Real results'!C100))),1,0)+IF(UPPER(TRIM('Raw data'!AY98))=UPPER(TRIM('Real results'!C98)),2,0),0),0)</f>
        <v>0</v>
      </c>
      <c r="BA100" s="34">
        <f>IFERROR(IF('Raw data'!BA98&lt;&gt;"",IF(OR(UPPER(TRIM('Raw data'!BA98))=UPPER(TRIM('Real results'!C98)),UPPER(TRIM('Raw data'!BA98))=UPPER(TRIM('Real results'!C99)),UPPER(TRIM('Raw data'!BA98))=UPPER(TRIM('Real results'!C100))),1,0)+IF(UPPER(TRIM('Raw data'!BA98))=UPPER(TRIM('Real results'!C98)),2,0),0),0)</f>
        <v>0</v>
      </c>
      <c r="BC100" s="34">
        <f>IFERROR(IF('Raw data'!BC98&lt;&gt;"",IF(OR(UPPER(TRIM('Raw data'!BC98))=UPPER(TRIM('Real results'!C98)),UPPER(TRIM('Raw data'!BC98))=UPPER(TRIM('Real results'!C99)),UPPER(TRIM('Raw data'!BC98))=UPPER(TRIM('Real results'!C100))),1,0)+IF(UPPER(TRIM('Raw data'!BC98))=UPPER(TRIM('Real results'!C98)),2,0),0),0)</f>
        <v>0</v>
      </c>
      <c r="BE100" s="34">
        <f>IFERROR(IF('Raw data'!BE98&lt;&gt;"",IF(OR(UPPER(TRIM('Raw data'!BE98))=UPPER(TRIM('Real results'!C98)),UPPER(TRIM('Raw data'!BE98))=UPPER(TRIM('Real results'!C99)),UPPER(TRIM('Raw data'!BE98))=UPPER(TRIM('Real results'!C100))),1,0)+IF(UPPER(TRIM('Raw data'!BE98))=UPPER(TRIM('Real results'!C98)),2,0),0),0)</f>
        <v>0</v>
      </c>
      <c r="BG100" s="34">
        <f>IFERROR(IF('Raw data'!BG98&lt;&gt;"",IF(OR(UPPER(TRIM('Raw data'!BG98))=UPPER(TRIM('Real results'!C98)),UPPER(TRIM('Raw data'!BG98))=UPPER(TRIM('Real results'!C99)),UPPER(TRIM('Raw data'!BG98))=UPPER(TRIM('Real results'!C100))),1,0)+IF(UPPER(TRIM('Raw data'!BG98))=UPPER(TRIM('Real results'!C98)),2,0),0),0)</f>
        <v>0</v>
      </c>
      <c r="BI100" s="34">
        <f>IFERROR(IF('Raw data'!BI98&lt;&gt;"",IF(OR(UPPER(TRIM('Raw data'!BI98))=UPPER(TRIM('Real results'!C98)),UPPER(TRIM('Raw data'!BI98))=UPPER(TRIM('Real results'!C99)),UPPER(TRIM('Raw data'!BI98))=UPPER(TRIM('Real results'!C100))),1,0)+IF(UPPER(TRIM('Raw data'!BI98))=UPPER(TRIM('Real results'!C98)),2,0),0),0)</f>
        <v>0</v>
      </c>
    </row>
    <row r="101" ht="18.0" customHeight="1">
      <c r="B101" s="12" t="s">
        <v>357</v>
      </c>
      <c r="C101" s="34">
        <f>IFERROR(IF('Raw data'!C98&lt;&gt;"",IF(OR(UPPER(TRIM('Raw data'!C98))=UPPER(TRIM('Real results'!C98)),UPPER(TRIM('Raw data'!C98))=UPPER(TRIM('Real results'!C99)),UPPER(TRIM('Raw data'!C98))=UPPER(TRIM('Real results'!C100))),1,0),0),0)</f>
        <v>0</v>
      </c>
      <c r="E101" s="34">
        <f>IFERROR(IF('Raw data'!E99&lt;&gt;"",IF(OR(UPPER(TRIM('Raw data'!E99))=UPPER(TRIM('Real results'!C98)),UPPER(TRIM('Raw data'!E99))=UPPER(TRIM('Real results'!C99)),UPPER(TRIM('Raw data'!E99))=UPPER(TRIM('Real results'!C100))),1,0),0),0)</f>
        <v>0</v>
      </c>
      <c r="G101" s="34">
        <f>IFERROR(IF('Raw data'!G99&lt;&gt;"",IF(OR(UPPER(TRIM('Raw data'!G99))=UPPER(TRIM('Real results'!C98)),UPPER(TRIM('Raw data'!G99))=UPPER(TRIM('Real results'!C99)),UPPER(TRIM('Raw data'!G99))=UPPER(TRIM('Real results'!C100))),1,0),0),0)</f>
        <v>0</v>
      </c>
      <c r="I101" s="34">
        <f>IFERROR(IF('Raw data'!I99&lt;&gt;"",IF(OR(UPPER(TRIM('Raw data'!I99))=UPPER(TRIM('Real results'!C98)),UPPER(TRIM('Raw data'!I99))=UPPER(TRIM('Real results'!C99)),UPPER(TRIM('Raw data'!I99))=UPPER(TRIM('Real results'!C100))),1,0),0),0)</f>
        <v>0</v>
      </c>
      <c r="K101" s="34">
        <f>IFERROR(IF('Raw data'!K99&lt;&gt;"",IF(OR(UPPER(TRIM('Raw data'!K99))=UPPER(TRIM('Real results'!C98)),UPPER(TRIM('Raw data'!K99))=UPPER(TRIM('Real results'!C99)),UPPER(TRIM('Raw data'!K99))=UPPER(TRIM('Real results'!C100))),1,0),0),0)</f>
        <v>0</v>
      </c>
      <c r="M101" s="34">
        <f>IFERROR(IF('Raw data'!M99&lt;&gt;"",IF(OR(UPPER(TRIM('Raw data'!M99))=UPPER(TRIM('Real results'!C98)),UPPER(TRIM('Raw data'!M99))=UPPER(TRIM('Real results'!C99)),UPPER(TRIM('Raw data'!M99))=UPPER(TRIM('Real results'!C100))),1,0),0),0)</f>
        <v>0</v>
      </c>
      <c r="O101" s="34">
        <f>IFERROR(IF('Raw data'!O99&lt;&gt;"",IF(OR(UPPER(TRIM('Raw data'!O99))=UPPER(TRIM('Real results'!C98)),UPPER(TRIM('Raw data'!O99))=UPPER(TRIM('Real results'!C99)),UPPER(TRIM('Raw data'!O99))=UPPER(TRIM('Real results'!C100))),1,0),0),0)</f>
        <v>0</v>
      </c>
      <c r="Q101" s="34">
        <f>IFERROR(IF('Raw data'!Q99&lt;&gt;"",IF(OR(UPPER(TRIM('Raw data'!Q99))=UPPER(TRIM('Real results'!C98)),UPPER(TRIM('Raw data'!Q99))=UPPER(TRIM('Real results'!C99)),UPPER(TRIM('Raw data'!Q99))=UPPER(TRIM('Real results'!C100))),1,0),0),0)</f>
        <v>0</v>
      </c>
      <c r="S101" s="34">
        <f>IFERROR(IF('Raw data'!S99&lt;&gt;"",IF(OR(UPPER(TRIM('Raw data'!S99))=UPPER(TRIM('Real results'!C98)),UPPER(TRIM('Raw data'!S99))=UPPER(TRIM('Real results'!C99)),UPPER(TRIM('Raw data'!S99))=UPPER(TRIM('Real results'!C100))),1,0),0),0)</f>
        <v>0</v>
      </c>
      <c r="U101" s="34">
        <f>IFERROR(IF('Raw data'!U99&lt;&gt;"",IF(OR(UPPER(TRIM('Raw data'!U99))=UPPER(TRIM('Real results'!C98)),UPPER(TRIM('Raw data'!U99))=UPPER(TRIM('Real results'!C99)),UPPER(TRIM('Raw data'!U99))=UPPER(TRIM('Real results'!C100))),1,0),0),0)</f>
        <v>0</v>
      </c>
      <c r="W101" s="34">
        <f>IFERROR(IF('Raw data'!W99&lt;&gt;"",IF(OR(UPPER(TRIM('Raw data'!W99))=UPPER(TRIM('Real results'!C98)),UPPER(TRIM('Raw data'!W99))=UPPER(TRIM('Real results'!C99)),UPPER(TRIM('Raw data'!W99))=UPPER(TRIM('Real results'!C100))),1,0),0),0)</f>
        <v>0</v>
      </c>
      <c r="Y101" s="34">
        <f>IFERROR(IF('Raw data'!Y99&lt;&gt;"",IF(OR(UPPER(TRIM('Raw data'!Y99))=UPPER(TRIM('Real results'!C98)),UPPER(TRIM('Raw data'!Y99))=UPPER(TRIM('Real results'!C99)),UPPER(TRIM('Raw data'!Y99))=UPPER(TRIM('Real results'!C100))),1,0),0),0)</f>
        <v>0</v>
      </c>
      <c r="AA101" s="34">
        <f>IFERROR(IF('Raw data'!AA99&lt;&gt;"",IF(OR(UPPER(TRIM('Raw data'!AA99))=UPPER(TRIM('Real results'!C98)),UPPER(TRIM('Raw data'!AA99))=UPPER(TRIM('Real results'!C99)),UPPER(TRIM('Raw data'!AA99))=UPPER(TRIM('Real results'!C100))),1,0),0),0)</f>
        <v>0</v>
      </c>
      <c r="AC101" s="34">
        <f>IFERROR(IF('Raw data'!AC99&lt;&gt;"",IF(OR(UPPER(TRIM('Raw data'!AC99))=UPPER(TRIM('Real results'!C98)),UPPER(TRIM('Raw data'!AC99))=UPPER(TRIM('Real results'!C99)),UPPER(TRIM('Raw data'!AC99))=UPPER(TRIM('Real results'!C100))),1,0),0),0)</f>
        <v>0</v>
      </c>
      <c r="AE101" s="34">
        <f>IFERROR(IF('Raw data'!AE99&lt;&gt;"",IF(OR(UPPER(TRIM('Raw data'!AE99))=UPPER(TRIM('Real results'!C98)),UPPER(TRIM('Raw data'!AE99))=UPPER(TRIM('Real results'!C99)),UPPER(TRIM('Raw data'!AE99))=UPPER(TRIM('Real results'!C100))),1,0),0),0)</f>
        <v>0</v>
      </c>
      <c r="AG101" s="34">
        <f>IFERROR(IF('Raw data'!AG99&lt;&gt;"",IF(OR(UPPER(TRIM('Raw data'!AG99))=UPPER(TRIM('Real results'!C98)),UPPER(TRIM('Raw data'!AG99))=UPPER(TRIM('Real results'!C99)),UPPER(TRIM('Raw data'!AG99))=UPPER(TRIM('Real results'!C100))),1,0),0),0)</f>
        <v>0</v>
      </c>
      <c r="AI101" s="34">
        <f>IFERROR(IF('Raw data'!AI99&lt;&gt;"",IF(OR(UPPER(TRIM('Raw data'!AI99))=UPPER(TRIM('Real results'!C98)),UPPER(TRIM('Raw data'!AI99))=UPPER(TRIM('Real results'!C99)),UPPER(TRIM('Raw data'!AI99))=UPPER(TRIM('Real results'!C100))),1,0),0),0)</f>
        <v>0</v>
      </c>
      <c r="AK101" s="34">
        <f>IFERROR(IF('Raw data'!AK99&lt;&gt;"",IF(OR(UPPER(TRIM('Raw data'!AK99))=UPPER(TRIM('Real results'!C98)),UPPER(TRIM('Raw data'!AK99))=UPPER(TRIM('Real results'!C99)),UPPER(TRIM('Raw data'!AK99))=UPPER(TRIM('Real results'!C100))),1,0),0),0)</f>
        <v>0</v>
      </c>
      <c r="AM101" s="34">
        <f>IFERROR(IF('Raw data'!AM99&lt;&gt;"",IF(OR(UPPER(TRIM('Raw data'!AM99))=UPPER(TRIM('Real results'!C98)),UPPER(TRIM('Raw data'!AM99))=UPPER(TRIM('Real results'!C99)),UPPER(TRIM('Raw data'!AM99))=UPPER(TRIM('Real results'!C100))),1,0),0),0)</f>
        <v>0</v>
      </c>
      <c r="AO101" s="34">
        <f>IFERROR(IF('Raw data'!AO99&lt;&gt;"",IF(OR(UPPER(TRIM('Raw data'!AO99))=UPPER(TRIM('Real results'!C98)),UPPER(TRIM('Raw data'!AO99))=UPPER(TRIM('Real results'!C99)),UPPER(TRIM('Raw data'!AO99))=UPPER(TRIM('Real results'!C100))),1,0),0),0)</f>
        <v>0</v>
      </c>
      <c r="AQ101" s="34">
        <f>IFERROR(IF('Raw data'!AQ99&lt;&gt;"",IF(OR(UPPER(TRIM('Raw data'!AQ99))=UPPER(TRIM('Real results'!C98)),UPPER(TRIM('Raw data'!AQ99))=UPPER(TRIM('Real results'!C99)),UPPER(TRIM('Raw data'!AQ99))=UPPER(TRIM('Real results'!C100))),1,0),0),0)</f>
        <v>0</v>
      </c>
      <c r="AS101" s="34">
        <f>IFERROR(IF('Raw data'!AS99&lt;&gt;"",IF(OR(UPPER(TRIM('Raw data'!AS99))=UPPER(TRIM('Real results'!C98)),UPPER(TRIM('Raw data'!AS99))=UPPER(TRIM('Real results'!C99)),UPPER(TRIM('Raw data'!AS99))=UPPER(TRIM('Real results'!C100))),1,0),0),0)</f>
        <v>0</v>
      </c>
      <c r="AU101" s="34">
        <f>IFERROR(IF('Raw data'!AU99&lt;&gt;"",IF(OR(UPPER(TRIM('Raw data'!AU99))=UPPER(TRIM('Real results'!C98)),UPPER(TRIM('Raw data'!AU99))=UPPER(TRIM('Real results'!C99)),UPPER(TRIM('Raw data'!AU99))=UPPER(TRIM('Real results'!C100))),1,0),0),0)</f>
        <v>0</v>
      </c>
      <c r="AW101" s="34">
        <f>IFERROR(IF('Raw data'!AW99&lt;&gt;"",IF(OR(UPPER(TRIM('Raw data'!AW99))=UPPER(TRIM('Real results'!C98)),UPPER(TRIM('Raw data'!AW99))=UPPER(TRIM('Real results'!C99)),UPPER(TRIM('Raw data'!AW99))=UPPER(TRIM('Real results'!C100))),1,0),0),0)</f>
        <v>0</v>
      </c>
      <c r="AY101" s="34">
        <f>IFERROR(IF('Raw data'!AY99&lt;&gt;"",IF(OR(UPPER(TRIM('Raw data'!AY99))=UPPER(TRIM('Real results'!C98)),UPPER(TRIM('Raw data'!AY99))=UPPER(TRIM('Real results'!C99)),UPPER(TRIM('Raw data'!AY99))=UPPER(TRIM('Real results'!C100))),1,0),0),0)</f>
        <v>0</v>
      </c>
      <c r="BA101" s="34">
        <f>IFERROR(IF('Raw data'!BA99&lt;&gt;"",IF(OR(UPPER(TRIM('Raw data'!BA99))=UPPER(TRIM('Real results'!C98)),UPPER(TRIM('Raw data'!BA99))=UPPER(TRIM('Real results'!C99)),UPPER(TRIM('Raw data'!BA99))=UPPER(TRIM('Real results'!C100))),1,0),0),0)</f>
        <v>0</v>
      </c>
      <c r="BC101" s="34">
        <f>IFERROR(IF('Raw data'!BC99&lt;&gt;"",IF(OR(UPPER(TRIM('Raw data'!BC99))=UPPER(TRIM('Real results'!C98)),UPPER(TRIM('Raw data'!BC99))=UPPER(TRIM('Real results'!C99)),UPPER(TRIM('Raw data'!BC99))=UPPER(TRIM('Real results'!C100))),1,0),0),0)</f>
        <v>0</v>
      </c>
      <c r="BE101" s="34">
        <f>IFERROR(IF('Raw data'!BE99&lt;&gt;"",IF(OR(UPPER(TRIM('Raw data'!BE99))=UPPER(TRIM('Real results'!C98)),UPPER(TRIM('Raw data'!BE99))=UPPER(TRIM('Real results'!C99)),UPPER(TRIM('Raw data'!BE99))=UPPER(TRIM('Real results'!C100))),1,0),0),0)</f>
        <v>0</v>
      </c>
      <c r="BG101" s="34">
        <f>IFERROR(IF('Raw data'!BG99&lt;&gt;"",IF(OR(UPPER(TRIM('Raw data'!BG99))=UPPER(TRIM('Real results'!C98)),UPPER(TRIM('Raw data'!BG99))=UPPER(TRIM('Real results'!C99)),UPPER(TRIM('Raw data'!BG99))=UPPER(TRIM('Real results'!C100))),1,0),0),0)</f>
        <v>0</v>
      </c>
      <c r="BI101" s="34">
        <f>IFERROR(IF('Raw data'!BI99&lt;&gt;"",IF(OR(UPPER(TRIM('Raw data'!BI99))=UPPER(TRIM('Real results'!C98)),UPPER(TRIM('Raw data'!BI99))=UPPER(TRIM('Real results'!C99)),UPPER(TRIM('Raw data'!BI99))=UPPER(TRIM('Real results'!C100))),1,0),0),0)</f>
        <v>0</v>
      </c>
    </row>
    <row r="102" ht="18.0" customHeight="1">
      <c r="B102" s="12" t="s">
        <v>358</v>
      </c>
      <c r="C102" s="34">
        <f>IFERROR(IF('Raw data'!C99&lt;&gt;"",IF(OR(UPPER(TRIM('Raw data'!C99))=UPPER(TRIM('Real results'!C98)),UPPER(TRIM('Raw data'!C99))=UPPER(TRIM('Real results'!C99)),UPPER(TRIM('Raw data'!C99))=UPPER(TRIM('Real results'!C100))),1,0),0),0)</f>
        <v>0</v>
      </c>
      <c r="E102" s="34">
        <f>IFERROR(IF('Raw data'!E100&lt;&gt;"",IF(OR(UPPER(TRIM('Raw data'!E100))=UPPER(TRIM('Real results'!C98)),UPPER(TRIM('Raw data'!E100))=UPPER(TRIM('Real results'!C99)),UPPER(TRIM('Raw data'!E100))=UPPER(TRIM('Real results'!C100))),1,0),0),0)</f>
        <v>0</v>
      </c>
      <c r="G102" s="34">
        <f>IFERROR(IF('Raw data'!G100&lt;&gt;"",IF(OR(UPPER(TRIM('Raw data'!G100))=UPPER(TRIM('Real results'!C98)),UPPER(TRIM('Raw data'!G100))=UPPER(TRIM('Real results'!C99)),UPPER(TRIM('Raw data'!G100))=UPPER(TRIM('Real results'!C100))),1,0),0),0)</f>
        <v>0</v>
      </c>
      <c r="I102" s="34">
        <f>IFERROR(IF('Raw data'!I100&lt;&gt;"",IF(OR(UPPER(TRIM('Raw data'!I100))=UPPER(TRIM('Real results'!C98)),UPPER(TRIM('Raw data'!I100))=UPPER(TRIM('Real results'!C99)),UPPER(TRIM('Raw data'!I100))=UPPER(TRIM('Real results'!C100))),1,0),0),0)</f>
        <v>0</v>
      </c>
      <c r="K102" s="34">
        <f>IFERROR(IF('Raw data'!K100&lt;&gt;"",IF(OR(UPPER(TRIM('Raw data'!K100))=UPPER(TRIM('Real results'!C98)),UPPER(TRIM('Raw data'!K100))=UPPER(TRIM('Real results'!C99)),UPPER(TRIM('Raw data'!K100))=UPPER(TRIM('Real results'!C100))),1,0),0),0)</f>
        <v>0</v>
      </c>
      <c r="M102" s="34">
        <f>IFERROR(IF('Raw data'!M100&lt;&gt;"",IF(OR(UPPER(TRIM('Raw data'!M100))=UPPER(TRIM('Real results'!C98)),UPPER(TRIM('Raw data'!M100))=UPPER(TRIM('Real results'!C99)),UPPER(TRIM('Raw data'!M100))=UPPER(TRIM('Real results'!C100))),1,0),0),0)</f>
        <v>0</v>
      </c>
      <c r="O102" s="34">
        <f>IFERROR(IF('Raw data'!O100&lt;&gt;"",IF(OR(UPPER(TRIM('Raw data'!O100))=UPPER(TRIM('Real results'!C98)),UPPER(TRIM('Raw data'!O100))=UPPER(TRIM('Real results'!C99)),UPPER(TRIM('Raw data'!O100))=UPPER(TRIM('Real results'!C100))),1,0),0),0)</f>
        <v>0</v>
      </c>
      <c r="Q102" s="34">
        <f>IFERROR(IF('Raw data'!Q100&lt;&gt;"",IF(OR(UPPER(TRIM('Raw data'!Q100))=UPPER(TRIM('Real results'!C98)),UPPER(TRIM('Raw data'!Q100))=UPPER(TRIM('Real results'!C99)),UPPER(TRIM('Raw data'!Q100))=UPPER(TRIM('Real results'!C100))),1,0),0),0)</f>
        <v>0</v>
      </c>
      <c r="S102" s="34">
        <f>IFERROR(IF('Raw data'!S100&lt;&gt;"",IF(OR(UPPER(TRIM('Raw data'!S100))=UPPER(TRIM('Real results'!C98)),UPPER(TRIM('Raw data'!S100))=UPPER(TRIM('Real results'!C99)),UPPER(TRIM('Raw data'!S100))=UPPER(TRIM('Real results'!C100))),1,0),0),0)</f>
        <v>0</v>
      </c>
      <c r="U102" s="34">
        <f>IFERROR(IF('Raw data'!U100&lt;&gt;"",IF(OR(UPPER(TRIM('Raw data'!U100))=UPPER(TRIM('Real results'!C98)),UPPER(TRIM('Raw data'!U100))=UPPER(TRIM('Real results'!C99)),UPPER(TRIM('Raw data'!U100))=UPPER(TRIM('Real results'!C100))),1,0),0),0)</f>
        <v>0</v>
      </c>
      <c r="W102" s="34">
        <f>IFERROR(IF('Raw data'!W100&lt;&gt;"",IF(OR(UPPER(TRIM('Raw data'!W100))=UPPER(TRIM('Real results'!C98)),UPPER(TRIM('Raw data'!W100))=UPPER(TRIM('Real results'!C99)),UPPER(TRIM('Raw data'!W100))=UPPER(TRIM('Real results'!C100))),1,0),0),0)</f>
        <v>0</v>
      </c>
      <c r="Y102" s="34">
        <f>IFERROR(IF('Raw data'!Y100&lt;&gt;"",IF(OR(UPPER(TRIM('Raw data'!Y100))=UPPER(TRIM('Real results'!C98)),UPPER(TRIM('Raw data'!Y100))=UPPER(TRIM('Real results'!C99)),UPPER(TRIM('Raw data'!Y100))=UPPER(TRIM('Real results'!C100))),1,0),0),0)</f>
        <v>0</v>
      </c>
      <c r="AA102" s="34">
        <f>IFERROR(IF('Raw data'!AA100&lt;&gt;"",IF(OR(UPPER(TRIM('Raw data'!AA100))=UPPER(TRIM('Real results'!C98)),UPPER(TRIM('Raw data'!AA100))=UPPER(TRIM('Real results'!C99)),UPPER(TRIM('Raw data'!AA100))=UPPER(TRIM('Real results'!C100))),1,0),0),0)</f>
        <v>0</v>
      </c>
      <c r="AC102" s="34">
        <f>IFERROR(IF('Raw data'!AC100&lt;&gt;"",IF(OR(UPPER(TRIM('Raw data'!AC100))=UPPER(TRIM('Real results'!C98)),UPPER(TRIM('Raw data'!AC100))=UPPER(TRIM('Real results'!C99)),UPPER(TRIM('Raw data'!AC100))=UPPER(TRIM('Real results'!C100))),1,0),0),0)</f>
        <v>0</v>
      </c>
      <c r="AE102" s="34">
        <f>IFERROR(IF('Raw data'!AE100&lt;&gt;"",IF(OR(UPPER(TRIM('Raw data'!AE100))=UPPER(TRIM('Real results'!C98)),UPPER(TRIM('Raw data'!AE100))=UPPER(TRIM('Real results'!C99)),UPPER(TRIM('Raw data'!AE100))=UPPER(TRIM('Real results'!C100))),1,0),0),0)</f>
        <v>0</v>
      </c>
      <c r="AG102" s="34">
        <f>IFERROR(IF('Raw data'!AG100&lt;&gt;"",IF(OR(UPPER(TRIM('Raw data'!AG100))=UPPER(TRIM('Real results'!C98)),UPPER(TRIM('Raw data'!AG100))=UPPER(TRIM('Real results'!C99)),UPPER(TRIM('Raw data'!AG100))=UPPER(TRIM('Real results'!C100))),1,0),0),0)</f>
        <v>0</v>
      </c>
      <c r="AI102" s="34">
        <f>IFERROR(IF('Raw data'!AI100&lt;&gt;"",IF(OR(UPPER(TRIM('Raw data'!AI100))=UPPER(TRIM('Real results'!C98)),UPPER(TRIM('Raw data'!AI100))=UPPER(TRIM('Real results'!C99)),UPPER(TRIM('Raw data'!AI100))=UPPER(TRIM('Real results'!C100))),1,0),0),0)</f>
        <v>0</v>
      </c>
      <c r="AK102" s="34">
        <f>IFERROR(IF('Raw data'!AK100&lt;&gt;"",IF(OR(UPPER(TRIM('Raw data'!AK100))=UPPER(TRIM('Real results'!C98)),UPPER(TRIM('Raw data'!AK100))=UPPER(TRIM('Real results'!C99)),UPPER(TRIM('Raw data'!AK100))=UPPER(TRIM('Real results'!C100))),1,0),0),0)</f>
        <v>0</v>
      </c>
      <c r="AM102" s="34">
        <f>IFERROR(IF('Raw data'!AM100&lt;&gt;"",IF(OR(UPPER(TRIM('Raw data'!AM100))=UPPER(TRIM('Real results'!C98)),UPPER(TRIM('Raw data'!AM100))=UPPER(TRIM('Real results'!C99)),UPPER(TRIM('Raw data'!AM100))=UPPER(TRIM('Real results'!C100))),1,0),0),0)</f>
        <v>0</v>
      </c>
      <c r="AO102" s="34">
        <f>IFERROR(IF('Raw data'!AO100&lt;&gt;"",IF(OR(UPPER(TRIM('Raw data'!AO100))=UPPER(TRIM('Real results'!C98)),UPPER(TRIM('Raw data'!AO100))=UPPER(TRIM('Real results'!C99)),UPPER(TRIM('Raw data'!AO100))=UPPER(TRIM('Real results'!C100))),1,0),0),0)</f>
        <v>0</v>
      </c>
      <c r="AQ102" s="34">
        <f>IFERROR(IF('Raw data'!AQ100&lt;&gt;"",IF(OR(UPPER(TRIM('Raw data'!AQ100))=UPPER(TRIM('Real results'!C98)),UPPER(TRIM('Raw data'!AQ100))=UPPER(TRIM('Real results'!C99)),UPPER(TRIM('Raw data'!AQ100))=UPPER(TRIM('Real results'!C100))),1,0),0),0)</f>
        <v>0</v>
      </c>
      <c r="AS102" s="34">
        <f>IFERROR(IF('Raw data'!AS100&lt;&gt;"",IF(OR(UPPER(TRIM('Raw data'!AS100))=UPPER(TRIM('Real results'!C98)),UPPER(TRIM('Raw data'!AS100))=UPPER(TRIM('Real results'!C99)),UPPER(TRIM('Raw data'!AS100))=UPPER(TRIM('Real results'!C100))),1,0),0),0)</f>
        <v>0</v>
      </c>
      <c r="AU102" s="34">
        <f>IFERROR(IF('Raw data'!AU100&lt;&gt;"",IF(OR(UPPER(TRIM('Raw data'!AU100))=UPPER(TRIM('Real results'!C98)),UPPER(TRIM('Raw data'!AU100))=UPPER(TRIM('Real results'!C99)),UPPER(TRIM('Raw data'!AU100))=UPPER(TRIM('Real results'!C100))),1,0),0),0)</f>
        <v>0</v>
      </c>
      <c r="AW102" s="34">
        <f>IFERROR(IF('Raw data'!AW100&lt;&gt;"",IF(OR(UPPER(TRIM('Raw data'!AW100))=UPPER(TRIM('Real results'!C98)),UPPER(TRIM('Raw data'!AW100))=UPPER(TRIM('Real results'!C99)),UPPER(TRIM('Raw data'!AW100))=UPPER(TRIM('Real results'!C100))),1,0),0),0)</f>
        <v>0</v>
      </c>
      <c r="AY102" s="34">
        <f>IFERROR(IF('Raw data'!AY100&lt;&gt;"",IF(OR(UPPER(TRIM('Raw data'!AY100))=UPPER(TRIM('Real results'!C98)),UPPER(TRIM('Raw data'!AY100))=UPPER(TRIM('Real results'!C99)),UPPER(TRIM('Raw data'!AY100))=UPPER(TRIM('Real results'!C100))),1,0),0),0)</f>
        <v>0</v>
      </c>
      <c r="BA102" s="34">
        <f>IFERROR(IF('Raw data'!BA100&lt;&gt;"",IF(OR(UPPER(TRIM('Raw data'!BA100))=UPPER(TRIM('Real results'!C98)),UPPER(TRIM('Raw data'!BA100))=UPPER(TRIM('Real results'!C99)),UPPER(TRIM('Raw data'!BA100))=UPPER(TRIM('Real results'!C100))),1,0),0),0)</f>
        <v>0</v>
      </c>
      <c r="BC102" s="34">
        <f>IFERROR(IF('Raw data'!BC100&lt;&gt;"",IF(OR(UPPER(TRIM('Raw data'!BC100))=UPPER(TRIM('Real results'!C98)),UPPER(TRIM('Raw data'!BC100))=UPPER(TRIM('Real results'!C99)),UPPER(TRIM('Raw data'!BC100))=UPPER(TRIM('Real results'!C100))),1,0),0),0)</f>
        <v>0</v>
      </c>
      <c r="BE102" s="34">
        <f>IFERROR(IF('Raw data'!BE100&lt;&gt;"",IF(OR(UPPER(TRIM('Raw data'!BE100))=UPPER(TRIM('Real results'!C98)),UPPER(TRIM('Raw data'!BE100))=UPPER(TRIM('Real results'!C99)),UPPER(TRIM('Raw data'!BE100))=UPPER(TRIM('Real results'!C100))),1,0),0),0)</f>
        <v>0</v>
      </c>
      <c r="BG102" s="34">
        <f>IFERROR(IF('Raw data'!BG100&lt;&gt;"",IF(OR(UPPER(TRIM('Raw data'!BG100))=UPPER(TRIM('Real results'!C98)),UPPER(TRIM('Raw data'!BG100))=UPPER(TRIM('Real results'!C99)),UPPER(TRIM('Raw data'!BG100))=UPPER(TRIM('Real results'!C100))),1,0),0),0)</f>
        <v>0</v>
      </c>
      <c r="BI102" s="34">
        <f>IFERROR(IF('Raw data'!BI100&lt;&gt;"",IF(OR(UPPER(TRIM('Raw data'!BI100))=UPPER(TRIM('Real results'!C98)),UPPER(TRIM('Raw data'!BI100))=UPPER(TRIM('Real results'!C99)),UPPER(TRIM('Raw data'!BI100))=UPPER(TRIM('Real results'!C100))),1,0),0),0)</f>
        <v>0</v>
      </c>
    </row>
    <row r="103" ht="18.0" customHeight="1">
      <c r="B103" s="12" t="s">
        <v>359</v>
      </c>
      <c r="C103" s="34">
        <f>IFERROR(IF('Raw data'!C100&lt;&gt;"",IF(OR(UPPER(TRIM('Raw data'!C100))=UPPER(TRIM('Real results'!C101)),UPPER(TRIM('Raw data'!C100))=UPPER(TRIM('Real results'!C102)),UPPER(TRIM('Raw data'!C100))=UPPER(TRIM('Real results'!C103))),1,0)+IF(UPPER(TRIM('Raw data'!C100))=UPPER(TRIM('Real results'!C101)),2,0),0),0)</f>
        <v>0</v>
      </c>
      <c r="E103" s="34">
        <f>IFERROR(IF('Raw data'!E101&lt;&gt;"",IF(OR(UPPER(TRIM('Raw data'!E101))=UPPER(TRIM('Real results'!C101)),UPPER(TRIM('Raw data'!E101))=UPPER(TRIM('Real results'!C102)),UPPER(TRIM('Raw data'!E101))=UPPER(TRIM('Real results'!C103))),1,0)+IF(UPPER(TRIM('Raw data'!E101))=UPPER(TRIM('Real results'!C101)),2,0),0),0)</f>
        <v>0</v>
      </c>
      <c r="G103" s="34">
        <f>IFERROR(IF('Raw data'!G101&lt;&gt;"",IF(OR(UPPER(TRIM('Raw data'!G101))=UPPER(TRIM('Real results'!C101)),UPPER(TRIM('Raw data'!G101))=UPPER(TRIM('Real results'!C102)),UPPER(TRIM('Raw data'!G101))=UPPER(TRIM('Real results'!C103))),1,0)+IF(UPPER(TRIM('Raw data'!G101))=UPPER(TRIM('Real results'!C101)),2,0),0),0)</f>
        <v>0</v>
      </c>
      <c r="I103" s="34">
        <f>IFERROR(IF('Raw data'!I101&lt;&gt;"",IF(OR(UPPER(TRIM('Raw data'!I101))=UPPER(TRIM('Real results'!C101)),UPPER(TRIM('Raw data'!I101))=UPPER(TRIM('Real results'!C102)),UPPER(TRIM('Raw data'!I101))=UPPER(TRIM('Real results'!C103))),1,0)+IF(UPPER(TRIM('Raw data'!I101))=UPPER(TRIM('Real results'!C101)),2,0),0),0)</f>
        <v>0</v>
      </c>
      <c r="K103" s="34">
        <f>IFERROR(IF('Raw data'!K101&lt;&gt;"",IF(OR(UPPER(TRIM('Raw data'!K101))=UPPER(TRIM('Real results'!C101)),UPPER(TRIM('Raw data'!K101))=UPPER(TRIM('Real results'!C102)),UPPER(TRIM('Raw data'!K101))=UPPER(TRIM('Real results'!C103))),1,0)+IF(UPPER(TRIM('Raw data'!K101))=UPPER(TRIM('Real results'!C101)),2,0),0),0)</f>
        <v>0</v>
      </c>
      <c r="M103" s="34">
        <f>IFERROR(IF('Raw data'!M101&lt;&gt;"",IF(OR(UPPER(TRIM('Raw data'!M101))=UPPER(TRIM('Real results'!C101)),UPPER(TRIM('Raw data'!M101))=UPPER(TRIM('Real results'!C102)),UPPER(TRIM('Raw data'!M101))=UPPER(TRIM('Real results'!C103))),1,0)+IF(UPPER(TRIM('Raw data'!M101))=UPPER(TRIM('Real results'!C101)),2,0),0),0)</f>
        <v>0</v>
      </c>
      <c r="O103" s="34">
        <f>IFERROR(IF('Raw data'!O101&lt;&gt;"",IF(OR(UPPER(TRIM('Raw data'!O101))=UPPER(TRIM('Real results'!C101)),UPPER(TRIM('Raw data'!O101))=UPPER(TRIM('Real results'!C102)),UPPER(TRIM('Raw data'!O101))=UPPER(TRIM('Real results'!C103))),1,0)+IF(UPPER(TRIM('Raw data'!O101))=UPPER(TRIM('Real results'!C101)),2,0),0),0)</f>
        <v>0</v>
      </c>
      <c r="Q103" s="34">
        <f>IFERROR(IF('Raw data'!Q101&lt;&gt;"",IF(OR(UPPER(TRIM('Raw data'!Q101))=UPPER(TRIM('Real results'!C101)),UPPER(TRIM('Raw data'!Q101))=UPPER(TRIM('Real results'!C102)),UPPER(TRIM('Raw data'!Q101))=UPPER(TRIM('Real results'!C103))),1,0)+IF(UPPER(TRIM('Raw data'!Q101))=UPPER(TRIM('Real results'!C101)),2,0),0),0)</f>
        <v>0</v>
      </c>
      <c r="S103" s="34">
        <f>IFERROR(IF('Raw data'!S101&lt;&gt;"",IF(OR(UPPER(TRIM('Raw data'!S101))=UPPER(TRIM('Real results'!C101)),UPPER(TRIM('Raw data'!S101))=UPPER(TRIM('Real results'!C102)),UPPER(TRIM('Raw data'!S101))=UPPER(TRIM('Real results'!C103))),1,0)+IF(UPPER(TRIM('Raw data'!S101))=UPPER(TRIM('Real results'!C101)),2,0),0),0)</f>
        <v>0</v>
      </c>
      <c r="U103" s="34">
        <f>IFERROR(IF('Raw data'!U101&lt;&gt;"",IF(OR(UPPER(TRIM('Raw data'!U101))=UPPER(TRIM('Real results'!C101)),UPPER(TRIM('Raw data'!U101))=UPPER(TRIM('Real results'!C102)),UPPER(TRIM('Raw data'!U101))=UPPER(TRIM('Real results'!C103))),1,0)+IF(UPPER(TRIM('Raw data'!U101))=UPPER(TRIM('Real results'!C101)),2,0),0),0)</f>
        <v>0</v>
      </c>
      <c r="W103" s="34">
        <f>IFERROR(IF('Raw data'!W101&lt;&gt;"",IF(OR(UPPER(TRIM('Raw data'!W101))=UPPER(TRIM('Real results'!C101)),UPPER(TRIM('Raw data'!W101))=UPPER(TRIM('Real results'!C102)),UPPER(TRIM('Raw data'!W101))=UPPER(TRIM('Real results'!C103))),1,0)+IF(UPPER(TRIM('Raw data'!W101))=UPPER(TRIM('Real results'!C101)),2,0),0),0)</f>
        <v>0</v>
      </c>
      <c r="Y103" s="34">
        <f>IFERROR(IF('Raw data'!Y101&lt;&gt;"",IF(OR(UPPER(TRIM('Raw data'!Y101))=UPPER(TRIM('Real results'!C101)),UPPER(TRIM('Raw data'!Y101))=UPPER(TRIM('Real results'!C102)),UPPER(TRIM('Raw data'!Y101))=UPPER(TRIM('Real results'!C103))),1,0)+IF(UPPER(TRIM('Raw data'!Y101))=UPPER(TRIM('Real results'!C101)),2,0),0),0)</f>
        <v>0</v>
      </c>
      <c r="AA103" s="34">
        <f>IFERROR(IF('Raw data'!AA101&lt;&gt;"",IF(OR(UPPER(TRIM('Raw data'!AA101))=UPPER(TRIM('Real results'!C101)),UPPER(TRIM('Raw data'!AA101))=UPPER(TRIM('Real results'!C102)),UPPER(TRIM('Raw data'!AA101))=UPPER(TRIM('Real results'!C103))),1,0)+IF(UPPER(TRIM('Raw data'!AA101))=UPPER(TRIM('Real results'!C101)),2,0),0),0)</f>
        <v>0</v>
      </c>
      <c r="AC103" s="34">
        <f>IFERROR(IF('Raw data'!AC101&lt;&gt;"",IF(OR(UPPER(TRIM('Raw data'!AC101))=UPPER(TRIM('Real results'!C101)),UPPER(TRIM('Raw data'!AC101))=UPPER(TRIM('Real results'!C102)),UPPER(TRIM('Raw data'!AC101))=UPPER(TRIM('Real results'!C103))),1,0)+IF(UPPER(TRIM('Raw data'!AC101))=UPPER(TRIM('Real results'!C101)),2,0),0),0)</f>
        <v>0</v>
      </c>
      <c r="AE103" s="34">
        <f>IFERROR(IF('Raw data'!AE101&lt;&gt;"",IF(OR(UPPER(TRIM('Raw data'!AE101))=UPPER(TRIM('Real results'!C101)),UPPER(TRIM('Raw data'!AE101))=UPPER(TRIM('Real results'!C102)),UPPER(TRIM('Raw data'!AE101))=UPPER(TRIM('Real results'!C103))),1,0)+IF(UPPER(TRIM('Raw data'!AE101))=UPPER(TRIM('Real results'!C101)),2,0),0),0)</f>
        <v>0</v>
      </c>
      <c r="AG103" s="34">
        <f>IFERROR(IF('Raw data'!AG101&lt;&gt;"",IF(OR(UPPER(TRIM('Raw data'!AG101))=UPPER(TRIM('Real results'!C101)),UPPER(TRIM('Raw data'!AG101))=UPPER(TRIM('Real results'!C102)),UPPER(TRIM('Raw data'!AG101))=UPPER(TRIM('Real results'!C103))),1,0)+IF(UPPER(TRIM('Raw data'!AG101))=UPPER(TRIM('Real results'!C101)),2,0),0),0)</f>
        <v>0</v>
      </c>
      <c r="AI103" s="34">
        <f>IFERROR(IF('Raw data'!AI101&lt;&gt;"",IF(OR(UPPER(TRIM('Raw data'!AI101))=UPPER(TRIM('Real results'!C101)),UPPER(TRIM('Raw data'!AI101))=UPPER(TRIM('Real results'!C102)),UPPER(TRIM('Raw data'!AI101))=UPPER(TRIM('Real results'!C103))),1,0)+IF(UPPER(TRIM('Raw data'!AI101))=UPPER(TRIM('Real results'!C101)),2,0),0),0)</f>
        <v>0</v>
      </c>
      <c r="AK103" s="34">
        <f>IFERROR(IF('Raw data'!AK101&lt;&gt;"",IF(OR(UPPER(TRIM('Raw data'!AK101))=UPPER(TRIM('Real results'!C101)),UPPER(TRIM('Raw data'!AK101))=UPPER(TRIM('Real results'!C102)),UPPER(TRIM('Raw data'!AK101))=UPPER(TRIM('Real results'!C103))),1,0)+IF(UPPER(TRIM('Raw data'!AK101))=UPPER(TRIM('Real results'!C101)),2,0),0),0)</f>
        <v>0</v>
      </c>
      <c r="AM103" s="34">
        <f>IFERROR(IF('Raw data'!AM101&lt;&gt;"",IF(OR(UPPER(TRIM('Raw data'!AM101))=UPPER(TRIM('Real results'!C101)),UPPER(TRIM('Raw data'!AM101))=UPPER(TRIM('Real results'!C102)),UPPER(TRIM('Raw data'!AM101))=UPPER(TRIM('Real results'!C103))),1,0)+IF(UPPER(TRIM('Raw data'!AM101))=UPPER(TRIM('Real results'!C101)),2,0),0),0)</f>
        <v>0</v>
      </c>
      <c r="AO103" s="34">
        <f>IFERROR(IF('Raw data'!AO101&lt;&gt;"",IF(OR(UPPER(TRIM('Raw data'!AO101))=UPPER(TRIM('Real results'!C101)),UPPER(TRIM('Raw data'!AO101))=UPPER(TRIM('Real results'!C102)),UPPER(TRIM('Raw data'!AO101))=UPPER(TRIM('Real results'!C103))),1,0)+IF(UPPER(TRIM('Raw data'!AO101))=UPPER(TRIM('Real results'!C101)),2,0),0),0)</f>
        <v>0</v>
      </c>
      <c r="AQ103" s="34">
        <f>IFERROR(IF('Raw data'!AQ101&lt;&gt;"",IF(OR(UPPER(TRIM('Raw data'!AQ101))=UPPER(TRIM('Real results'!C101)),UPPER(TRIM('Raw data'!AQ101))=UPPER(TRIM('Real results'!C102)),UPPER(TRIM('Raw data'!AQ101))=UPPER(TRIM('Real results'!C103))),1,0)+IF(UPPER(TRIM('Raw data'!AQ101))=UPPER(TRIM('Real results'!C101)),2,0),0),0)</f>
        <v>0</v>
      </c>
      <c r="AS103" s="34">
        <f>IFERROR(IF('Raw data'!AS101&lt;&gt;"",IF(OR(UPPER(TRIM('Raw data'!AS101))=UPPER(TRIM('Real results'!C101)),UPPER(TRIM('Raw data'!AS101))=UPPER(TRIM('Real results'!C102)),UPPER(TRIM('Raw data'!AS101))=UPPER(TRIM('Real results'!C103))),1,0)+IF(UPPER(TRIM('Raw data'!AS101))=UPPER(TRIM('Real results'!C101)),2,0),0),0)</f>
        <v>0</v>
      </c>
      <c r="AU103" s="34">
        <f>IFERROR(IF('Raw data'!AU101&lt;&gt;"",IF(OR(UPPER(TRIM('Raw data'!AU101))=UPPER(TRIM('Real results'!C101)),UPPER(TRIM('Raw data'!AU101))=UPPER(TRIM('Real results'!C102)),UPPER(TRIM('Raw data'!AU101))=UPPER(TRIM('Real results'!C103))),1,0)+IF(UPPER(TRIM('Raw data'!AU101))=UPPER(TRIM('Real results'!C101)),2,0),0),0)</f>
        <v>0</v>
      </c>
      <c r="AW103" s="34">
        <f>IFERROR(IF('Raw data'!AW101&lt;&gt;"",IF(OR(UPPER(TRIM('Raw data'!AW101))=UPPER(TRIM('Real results'!C101)),UPPER(TRIM('Raw data'!AW101))=UPPER(TRIM('Real results'!C102)),UPPER(TRIM('Raw data'!AW101))=UPPER(TRIM('Real results'!C103))),1,0)+IF(UPPER(TRIM('Raw data'!AW101))=UPPER(TRIM('Real results'!C101)),2,0),0),0)</f>
        <v>0</v>
      </c>
      <c r="AY103" s="34">
        <f>IFERROR(IF('Raw data'!AY101&lt;&gt;"",IF(OR(UPPER(TRIM('Raw data'!AY101))=UPPER(TRIM('Real results'!C101)),UPPER(TRIM('Raw data'!AY101))=UPPER(TRIM('Real results'!C102)),UPPER(TRIM('Raw data'!AY101))=UPPER(TRIM('Real results'!C103))),1,0)+IF(UPPER(TRIM('Raw data'!AY101))=UPPER(TRIM('Real results'!C101)),2,0),0),0)</f>
        <v>0</v>
      </c>
      <c r="BA103" s="34">
        <f>IFERROR(IF('Raw data'!BA101&lt;&gt;"",IF(OR(UPPER(TRIM('Raw data'!BA101))=UPPER(TRIM('Real results'!C101)),UPPER(TRIM('Raw data'!BA101))=UPPER(TRIM('Real results'!C102)),UPPER(TRIM('Raw data'!BA101))=UPPER(TRIM('Real results'!C103))),1,0)+IF(UPPER(TRIM('Raw data'!BA101))=UPPER(TRIM('Real results'!C101)),2,0),0),0)</f>
        <v>0</v>
      </c>
      <c r="BC103" s="34">
        <f>IFERROR(IF('Raw data'!BC101&lt;&gt;"",IF(OR(UPPER(TRIM('Raw data'!BC101))=UPPER(TRIM('Real results'!C101)),UPPER(TRIM('Raw data'!BC101))=UPPER(TRIM('Real results'!C102)),UPPER(TRIM('Raw data'!BC101))=UPPER(TRIM('Real results'!C103))),1,0)+IF(UPPER(TRIM('Raw data'!BC101))=UPPER(TRIM('Real results'!C101)),2,0),0),0)</f>
        <v>0</v>
      </c>
      <c r="BE103" s="34">
        <f>IFERROR(IF('Raw data'!BE101&lt;&gt;"",IF(OR(UPPER(TRIM('Raw data'!BE101))=UPPER(TRIM('Real results'!C101)),UPPER(TRIM('Raw data'!BE101))=UPPER(TRIM('Real results'!C102)),UPPER(TRIM('Raw data'!BE101))=UPPER(TRIM('Real results'!C103))),1,0)+IF(UPPER(TRIM('Raw data'!BE101))=UPPER(TRIM('Real results'!C101)),2,0),0),0)</f>
        <v>0</v>
      </c>
      <c r="BG103" s="34">
        <f>IFERROR(IF('Raw data'!BG101&lt;&gt;"",IF(OR(UPPER(TRIM('Raw data'!BG101))=UPPER(TRIM('Real results'!C101)),UPPER(TRIM('Raw data'!BG101))=UPPER(TRIM('Real results'!C102)),UPPER(TRIM('Raw data'!BG101))=UPPER(TRIM('Real results'!C103))),1,0)+IF(UPPER(TRIM('Raw data'!BG101))=UPPER(TRIM('Real results'!C101)),2,0),0),0)</f>
        <v>0</v>
      </c>
      <c r="BI103" s="34">
        <f>IFERROR(IF('Raw data'!BI101&lt;&gt;"",IF(OR(UPPER(TRIM('Raw data'!BI101))=UPPER(TRIM('Real results'!C101)),UPPER(TRIM('Raw data'!BI101))=UPPER(TRIM('Real results'!C102)),UPPER(TRIM('Raw data'!BI101))=UPPER(TRIM('Real results'!C103))),1,0)+IF(UPPER(TRIM('Raw data'!BI101))=UPPER(TRIM('Real results'!C101)),2,0),0),0)</f>
        <v>0</v>
      </c>
    </row>
    <row r="104" ht="18.0" customHeight="1">
      <c r="B104" s="12" t="s">
        <v>360</v>
      </c>
      <c r="C104" s="34">
        <f>IFERROR(IF('Raw data'!C101&lt;&gt;"",IF(OR(UPPER(TRIM('Raw data'!C101))=UPPER(TRIM('Real results'!C101)),UPPER(TRIM('Raw data'!C101))=UPPER(TRIM('Real results'!C102)),UPPER(TRIM('Raw data'!C101))=UPPER(TRIM('Real results'!C103))),1,0),0),0)</f>
        <v>0</v>
      </c>
      <c r="E104" s="34">
        <f>IFERROR(IF('Raw data'!E102&lt;&gt;"",IF(OR(UPPER(TRIM('Raw data'!E102))=UPPER(TRIM('Real results'!C101)),UPPER(TRIM('Raw data'!E102))=UPPER(TRIM('Real results'!C102)),UPPER(TRIM('Raw data'!E102))=UPPER(TRIM('Real results'!C103))),1,0),0),0)</f>
        <v>0</v>
      </c>
      <c r="G104" s="34">
        <f>IFERROR(IF('Raw data'!G102&lt;&gt;"",IF(OR(UPPER(TRIM('Raw data'!G102))=UPPER(TRIM('Real results'!C101)),UPPER(TRIM('Raw data'!G102))=UPPER(TRIM('Real results'!C102)),UPPER(TRIM('Raw data'!G102))=UPPER(TRIM('Real results'!C103))),1,0),0),0)</f>
        <v>0</v>
      </c>
      <c r="I104" s="34">
        <f>IFERROR(IF('Raw data'!I102&lt;&gt;"",IF(OR(UPPER(TRIM('Raw data'!I102))=UPPER(TRIM('Real results'!C101)),UPPER(TRIM('Raw data'!I102))=UPPER(TRIM('Real results'!C102)),UPPER(TRIM('Raw data'!I102))=UPPER(TRIM('Real results'!C103))),1,0),0),0)</f>
        <v>0</v>
      </c>
      <c r="K104" s="34">
        <f>IFERROR(IF('Raw data'!K102&lt;&gt;"",IF(OR(UPPER(TRIM('Raw data'!K102))=UPPER(TRIM('Real results'!C101)),UPPER(TRIM('Raw data'!K102))=UPPER(TRIM('Real results'!C102)),UPPER(TRIM('Raw data'!K102))=UPPER(TRIM('Real results'!C103))),1,0),0),0)</f>
        <v>0</v>
      </c>
      <c r="M104" s="34">
        <f>IFERROR(IF('Raw data'!M102&lt;&gt;"",IF(OR(UPPER(TRIM('Raw data'!M102))=UPPER(TRIM('Real results'!C101)),UPPER(TRIM('Raw data'!M102))=UPPER(TRIM('Real results'!C102)),UPPER(TRIM('Raw data'!M102))=UPPER(TRIM('Real results'!C103))),1,0),0),0)</f>
        <v>0</v>
      </c>
      <c r="O104" s="34">
        <f>IFERROR(IF('Raw data'!O102&lt;&gt;"",IF(OR(UPPER(TRIM('Raw data'!O102))=UPPER(TRIM('Real results'!C101)),UPPER(TRIM('Raw data'!O102))=UPPER(TRIM('Real results'!C102)),UPPER(TRIM('Raw data'!O102))=UPPER(TRIM('Real results'!C103))),1,0),0),0)</f>
        <v>0</v>
      </c>
      <c r="Q104" s="34">
        <f>IFERROR(IF('Raw data'!Q102&lt;&gt;"",IF(OR(UPPER(TRIM('Raw data'!Q102))=UPPER(TRIM('Real results'!C101)),UPPER(TRIM('Raw data'!Q102))=UPPER(TRIM('Real results'!C102)),UPPER(TRIM('Raw data'!Q102))=UPPER(TRIM('Real results'!C103))),1,0),0),0)</f>
        <v>0</v>
      </c>
      <c r="S104" s="34">
        <f>IFERROR(IF('Raw data'!S102&lt;&gt;"",IF(OR(UPPER(TRIM('Raw data'!S102))=UPPER(TRIM('Real results'!C101)),UPPER(TRIM('Raw data'!S102))=UPPER(TRIM('Real results'!C102)),UPPER(TRIM('Raw data'!S102))=UPPER(TRIM('Real results'!C103))),1,0),0),0)</f>
        <v>0</v>
      </c>
      <c r="U104" s="34">
        <f>IFERROR(IF('Raw data'!U102&lt;&gt;"",IF(OR(UPPER(TRIM('Raw data'!U102))=UPPER(TRIM('Real results'!C101)),UPPER(TRIM('Raw data'!U102))=UPPER(TRIM('Real results'!C102)),UPPER(TRIM('Raw data'!U102))=UPPER(TRIM('Real results'!C103))),1,0),0),0)</f>
        <v>0</v>
      </c>
      <c r="W104" s="34">
        <f>IFERROR(IF('Raw data'!W102&lt;&gt;"",IF(OR(UPPER(TRIM('Raw data'!W102))=UPPER(TRIM('Real results'!C101)),UPPER(TRIM('Raw data'!W102))=UPPER(TRIM('Real results'!C102)),UPPER(TRIM('Raw data'!W102))=UPPER(TRIM('Real results'!C103))),1,0),0),0)</f>
        <v>0</v>
      </c>
      <c r="Y104" s="34">
        <f>IFERROR(IF('Raw data'!Y102&lt;&gt;"",IF(OR(UPPER(TRIM('Raw data'!Y102))=UPPER(TRIM('Real results'!C101)),UPPER(TRIM('Raw data'!Y102))=UPPER(TRIM('Real results'!C102)),UPPER(TRIM('Raw data'!Y102))=UPPER(TRIM('Real results'!C103))),1,0),0),0)</f>
        <v>0</v>
      </c>
      <c r="AA104" s="34">
        <f>IFERROR(IF('Raw data'!AA102&lt;&gt;"",IF(OR(UPPER(TRIM('Raw data'!AA102))=UPPER(TRIM('Real results'!C101)),UPPER(TRIM('Raw data'!AA102))=UPPER(TRIM('Real results'!C102)),UPPER(TRIM('Raw data'!AA102))=UPPER(TRIM('Real results'!C103))),1,0),0),0)</f>
        <v>0</v>
      </c>
      <c r="AC104" s="34">
        <f>IFERROR(IF('Raw data'!AC102&lt;&gt;"",IF(OR(UPPER(TRIM('Raw data'!AC102))=UPPER(TRIM('Real results'!C101)),UPPER(TRIM('Raw data'!AC102))=UPPER(TRIM('Real results'!C102)),UPPER(TRIM('Raw data'!AC102))=UPPER(TRIM('Real results'!C103))),1,0),0),0)</f>
        <v>0</v>
      </c>
      <c r="AE104" s="34">
        <f>IFERROR(IF('Raw data'!AE102&lt;&gt;"",IF(OR(UPPER(TRIM('Raw data'!AE102))=UPPER(TRIM('Real results'!C101)),UPPER(TRIM('Raw data'!AE102))=UPPER(TRIM('Real results'!C102)),UPPER(TRIM('Raw data'!AE102))=UPPER(TRIM('Real results'!C103))),1,0),0),0)</f>
        <v>0</v>
      </c>
      <c r="AG104" s="34">
        <f>IFERROR(IF('Raw data'!AG102&lt;&gt;"",IF(OR(UPPER(TRIM('Raw data'!AG102))=UPPER(TRIM('Real results'!C101)),UPPER(TRIM('Raw data'!AG102))=UPPER(TRIM('Real results'!C102)),UPPER(TRIM('Raw data'!AG102))=UPPER(TRIM('Real results'!C103))),1,0),0),0)</f>
        <v>0</v>
      </c>
      <c r="AI104" s="34">
        <f>IFERROR(IF('Raw data'!AI102&lt;&gt;"",IF(OR(UPPER(TRIM('Raw data'!AI102))=UPPER(TRIM('Real results'!C101)),UPPER(TRIM('Raw data'!AI102))=UPPER(TRIM('Real results'!C102)),UPPER(TRIM('Raw data'!AI102))=UPPER(TRIM('Real results'!C103))),1,0),0),0)</f>
        <v>0</v>
      </c>
      <c r="AK104" s="34">
        <f>IFERROR(IF('Raw data'!AK102&lt;&gt;"",IF(OR(UPPER(TRIM('Raw data'!AK102))=UPPER(TRIM('Real results'!C101)),UPPER(TRIM('Raw data'!AK102))=UPPER(TRIM('Real results'!C102)),UPPER(TRIM('Raw data'!AK102))=UPPER(TRIM('Real results'!C103))),1,0),0),0)</f>
        <v>0</v>
      </c>
      <c r="AM104" s="34">
        <f>IFERROR(IF('Raw data'!AM102&lt;&gt;"",IF(OR(UPPER(TRIM('Raw data'!AM102))=UPPER(TRIM('Real results'!C101)),UPPER(TRIM('Raw data'!AM102))=UPPER(TRIM('Real results'!C102)),UPPER(TRIM('Raw data'!AM102))=UPPER(TRIM('Real results'!C103))),1,0),0),0)</f>
        <v>0</v>
      </c>
      <c r="AO104" s="34">
        <f>IFERROR(IF('Raw data'!AO102&lt;&gt;"",IF(OR(UPPER(TRIM('Raw data'!AO102))=UPPER(TRIM('Real results'!C101)),UPPER(TRIM('Raw data'!AO102))=UPPER(TRIM('Real results'!C102)),UPPER(TRIM('Raw data'!AO102))=UPPER(TRIM('Real results'!C103))),1,0),0),0)</f>
        <v>0</v>
      </c>
      <c r="AQ104" s="34">
        <f>IFERROR(IF('Raw data'!AQ102&lt;&gt;"",IF(OR(UPPER(TRIM('Raw data'!AQ102))=UPPER(TRIM('Real results'!C101)),UPPER(TRIM('Raw data'!AQ102))=UPPER(TRIM('Real results'!C102)),UPPER(TRIM('Raw data'!AQ102))=UPPER(TRIM('Real results'!C103))),1,0),0),0)</f>
        <v>0</v>
      </c>
      <c r="AS104" s="34">
        <f>IFERROR(IF('Raw data'!AS102&lt;&gt;"",IF(OR(UPPER(TRIM('Raw data'!AS102))=UPPER(TRIM('Real results'!C101)),UPPER(TRIM('Raw data'!AS102))=UPPER(TRIM('Real results'!C102)),UPPER(TRIM('Raw data'!AS102))=UPPER(TRIM('Real results'!C103))),1,0),0),0)</f>
        <v>0</v>
      </c>
      <c r="AU104" s="34">
        <f>IFERROR(IF('Raw data'!AU102&lt;&gt;"",IF(OR(UPPER(TRIM('Raw data'!AU102))=UPPER(TRIM('Real results'!C101)),UPPER(TRIM('Raw data'!AU102))=UPPER(TRIM('Real results'!C102)),UPPER(TRIM('Raw data'!AU102))=UPPER(TRIM('Real results'!C103))),1,0),0),0)</f>
        <v>0</v>
      </c>
      <c r="AW104" s="34">
        <f>IFERROR(IF('Raw data'!AW102&lt;&gt;"",IF(OR(UPPER(TRIM('Raw data'!AW102))=UPPER(TRIM('Real results'!C101)),UPPER(TRIM('Raw data'!AW102))=UPPER(TRIM('Real results'!C102)),UPPER(TRIM('Raw data'!AW102))=UPPER(TRIM('Real results'!C103))),1,0),0),0)</f>
        <v>0</v>
      </c>
      <c r="AY104" s="34">
        <f>IFERROR(IF('Raw data'!AY102&lt;&gt;"",IF(OR(UPPER(TRIM('Raw data'!AY102))=UPPER(TRIM('Real results'!C101)),UPPER(TRIM('Raw data'!AY102))=UPPER(TRIM('Real results'!C102)),UPPER(TRIM('Raw data'!AY102))=UPPER(TRIM('Real results'!C103))),1,0),0),0)</f>
        <v>0</v>
      </c>
      <c r="BA104" s="34">
        <f>IFERROR(IF('Raw data'!BA102&lt;&gt;"",IF(OR(UPPER(TRIM('Raw data'!BA102))=UPPER(TRIM('Real results'!C101)),UPPER(TRIM('Raw data'!BA102))=UPPER(TRIM('Real results'!C102)),UPPER(TRIM('Raw data'!BA102))=UPPER(TRIM('Real results'!C103))),1,0),0),0)</f>
        <v>0</v>
      </c>
      <c r="BC104" s="34">
        <f>IFERROR(IF('Raw data'!BC102&lt;&gt;"",IF(OR(UPPER(TRIM('Raw data'!BC102))=UPPER(TRIM('Real results'!C101)),UPPER(TRIM('Raw data'!BC102))=UPPER(TRIM('Real results'!C102)),UPPER(TRIM('Raw data'!BC102))=UPPER(TRIM('Real results'!C103))),1,0),0),0)</f>
        <v>0</v>
      </c>
      <c r="BE104" s="34">
        <f>IFERROR(IF('Raw data'!BE102&lt;&gt;"",IF(OR(UPPER(TRIM('Raw data'!BE102))=UPPER(TRIM('Real results'!C101)),UPPER(TRIM('Raw data'!BE102))=UPPER(TRIM('Real results'!C102)),UPPER(TRIM('Raw data'!BE102))=UPPER(TRIM('Real results'!C103))),1,0),0),0)</f>
        <v>0</v>
      </c>
      <c r="BG104" s="34">
        <f>IFERROR(IF('Raw data'!BG102&lt;&gt;"",IF(OR(UPPER(TRIM('Raw data'!BG102))=UPPER(TRIM('Real results'!C101)),UPPER(TRIM('Raw data'!BG102))=UPPER(TRIM('Real results'!C102)),UPPER(TRIM('Raw data'!BG102))=UPPER(TRIM('Real results'!C103))),1,0),0),0)</f>
        <v>0</v>
      </c>
      <c r="BI104" s="34">
        <f>IFERROR(IF('Raw data'!BI102&lt;&gt;"",IF(OR(UPPER(TRIM('Raw data'!BI102))=UPPER(TRIM('Real results'!C101)),UPPER(TRIM('Raw data'!BI102))=UPPER(TRIM('Real results'!C102)),UPPER(TRIM('Raw data'!BI102))=UPPER(TRIM('Real results'!C103))),1,0),0),0)</f>
        <v>0</v>
      </c>
    </row>
    <row r="105" ht="18.0" customHeight="1">
      <c r="B105" s="12" t="s">
        <v>361</v>
      </c>
      <c r="C105" s="34">
        <f>IFERROR(IF('Raw data'!C102&lt;&gt;"",IF(OR(UPPER(TRIM('Raw data'!C102))=UPPER(TRIM('Real results'!C101)),UPPER(TRIM('Raw data'!C102))=UPPER(TRIM('Real results'!C102)),UPPER(TRIM('Raw data'!C102))=UPPER(TRIM('Real results'!C103))),1,0),0),0)</f>
        <v>0</v>
      </c>
      <c r="E105" s="34">
        <f>IFERROR(IF('Raw data'!E103&lt;&gt;"",IF(OR(UPPER(TRIM('Raw data'!E103))=UPPER(TRIM('Real results'!C101)),UPPER(TRIM('Raw data'!E103))=UPPER(TRIM('Real results'!C102)),UPPER(TRIM('Raw data'!E103))=UPPER(TRIM('Real results'!C103))),1,0),0),0)</f>
        <v>0</v>
      </c>
      <c r="G105" s="34">
        <f>IFERROR(IF('Raw data'!G103&lt;&gt;"",IF(OR(UPPER(TRIM('Raw data'!G103))=UPPER(TRIM('Real results'!C101)),UPPER(TRIM('Raw data'!G103))=UPPER(TRIM('Real results'!C102)),UPPER(TRIM('Raw data'!G103))=UPPER(TRIM('Real results'!C103))),1,0),0),0)</f>
        <v>0</v>
      </c>
      <c r="I105" s="34">
        <f>IFERROR(IF('Raw data'!I103&lt;&gt;"",IF(OR(UPPER(TRIM('Raw data'!I103))=UPPER(TRIM('Real results'!C101)),UPPER(TRIM('Raw data'!I103))=UPPER(TRIM('Real results'!C102)),UPPER(TRIM('Raw data'!I103))=UPPER(TRIM('Real results'!C103))),1,0),0),0)</f>
        <v>0</v>
      </c>
      <c r="K105" s="34">
        <f>IFERROR(IF('Raw data'!K103&lt;&gt;"",IF(OR(UPPER(TRIM('Raw data'!K103))=UPPER(TRIM('Real results'!C101)),UPPER(TRIM('Raw data'!K103))=UPPER(TRIM('Real results'!C102)),UPPER(TRIM('Raw data'!K103))=UPPER(TRIM('Real results'!C103))),1,0),0),0)</f>
        <v>0</v>
      </c>
      <c r="M105" s="34">
        <f>IFERROR(IF('Raw data'!M103&lt;&gt;"",IF(OR(UPPER(TRIM('Raw data'!M103))=UPPER(TRIM('Real results'!C101)),UPPER(TRIM('Raw data'!M103))=UPPER(TRIM('Real results'!C102)),UPPER(TRIM('Raw data'!M103))=UPPER(TRIM('Real results'!C103))),1,0),0),0)</f>
        <v>0</v>
      </c>
      <c r="O105" s="34">
        <f>IFERROR(IF('Raw data'!O103&lt;&gt;"",IF(OR(UPPER(TRIM('Raw data'!O103))=UPPER(TRIM('Real results'!C101)),UPPER(TRIM('Raw data'!O103))=UPPER(TRIM('Real results'!C102)),UPPER(TRIM('Raw data'!O103))=UPPER(TRIM('Real results'!C103))),1,0),0),0)</f>
        <v>0</v>
      </c>
      <c r="Q105" s="34">
        <f>IFERROR(IF('Raw data'!Q103&lt;&gt;"",IF(OR(UPPER(TRIM('Raw data'!Q103))=UPPER(TRIM('Real results'!C101)),UPPER(TRIM('Raw data'!Q103))=UPPER(TRIM('Real results'!C102)),UPPER(TRIM('Raw data'!Q103))=UPPER(TRIM('Real results'!C103))),1,0),0),0)</f>
        <v>0</v>
      </c>
      <c r="S105" s="34">
        <f>IFERROR(IF('Raw data'!S103&lt;&gt;"",IF(OR(UPPER(TRIM('Raw data'!S103))=UPPER(TRIM('Real results'!C101)),UPPER(TRIM('Raw data'!S103))=UPPER(TRIM('Real results'!C102)),UPPER(TRIM('Raw data'!S103))=UPPER(TRIM('Real results'!C103))),1,0),0),0)</f>
        <v>0</v>
      </c>
      <c r="U105" s="34">
        <f>IFERROR(IF('Raw data'!U103&lt;&gt;"",IF(OR(UPPER(TRIM('Raw data'!U103))=UPPER(TRIM('Real results'!C101)),UPPER(TRIM('Raw data'!U103))=UPPER(TRIM('Real results'!C102)),UPPER(TRIM('Raw data'!U103))=UPPER(TRIM('Real results'!C103))),1,0),0),0)</f>
        <v>0</v>
      </c>
      <c r="W105" s="34">
        <f>IFERROR(IF('Raw data'!W103&lt;&gt;"",IF(OR(UPPER(TRIM('Raw data'!W103))=UPPER(TRIM('Real results'!C101)),UPPER(TRIM('Raw data'!W103))=UPPER(TRIM('Real results'!C102)),UPPER(TRIM('Raw data'!W103))=UPPER(TRIM('Real results'!C103))),1,0),0),0)</f>
        <v>0</v>
      </c>
      <c r="Y105" s="34">
        <f>IFERROR(IF('Raw data'!Y103&lt;&gt;"",IF(OR(UPPER(TRIM('Raw data'!Y103))=UPPER(TRIM('Real results'!C101)),UPPER(TRIM('Raw data'!Y103))=UPPER(TRIM('Real results'!C102)),UPPER(TRIM('Raw data'!Y103))=UPPER(TRIM('Real results'!C103))),1,0),0),0)</f>
        <v>0</v>
      </c>
      <c r="AA105" s="34">
        <f>IFERROR(IF('Raw data'!AA103&lt;&gt;"",IF(OR(UPPER(TRIM('Raw data'!AA103))=UPPER(TRIM('Real results'!C101)),UPPER(TRIM('Raw data'!AA103))=UPPER(TRIM('Real results'!C102)),UPPER(TRIM('Raw data'!AA103))=UPPER(TRIM('Real results'!C103))),1,0),0),0)</f>
        <v>0</v>
      </c>
      <c r="AC105" s="34">
        <f>IFERROR(IF('Raw data'!AC103&lt;&gt;"",IF(OR(UPPER(TRIM('Raw data'!AC103))=UPPER(TRIM('Real results'!C101)),UPPER(TRIM('Raw data'!AC103))=UPPER(TRIM('Real results'!C102)),UPPER(TRIM('Raw data'!AC103))=UPPER(TRIM('Real results'!C103))),1,0),0),0)</f>
        <v>0</v>
      </c>
      <c r="AE105" s="34">
        <f>IFERROR(IF('Raw data'!AE103&lt;&gt;"",IF(OR(UPPER(TRIM('Raw data'!AE103))=UPPER(TRIM('Real results'!C101)),UPPER(TRIM('Raw data'!AE103))=UPPER(TRIM('Real results'!C102)),UPPER(TRIM('Raw data'!AE103))=UPPER(TRIM('Real results'!C103))),1,0),0),0)</f>
        <v>0</v>
      </c>
      <c r="AG105" s="34">
        <f>IFERROR(IF('Raw data'!AG103&lt;&gt;"",IF(OR(UPPER(TRIM('Raw data'!AG103))=UPPER(TRIM('Real results'!C101)),UPPER(TRIM('Raw data'!AG103))=UPPER(TRIM('Real results'!C102)),UPPER(TRIM('Raw data'!AG103))=UPPER(TRIM('Real results'!C103))),1,0),0),0)</f>
        <v>0</v>
      </c>
      <c r="AI105" s="34">
        <f>IFERROR(IF('Raw data'!AI103&lt;&gt;"",IF(OR(UPPER(TRIM('Raw data'!AI103))=UPPER(TRIM('Real results'!C101)),UPPER(TRIM('Raw data'!AI103))=UPPER(TRIM('Real results'!C102)),UPPER(TRIM('Raw data'!AI103))=UPPER(TRIM('Real results'!C103))),1,0),0),0)</f>
        <v>0</v>
      </c>
      <c r="AK105" s="34">
        <f>IFERROR(IF('Raw data'!AK103&lt;&gt;"",IF(OR(UPPER(TRIM('Raw data'!AK103))=UPPER(TRIM('Real results'!C101)),UPPER(TRIM('Raw data'!AK103))=UPPER(TRIM('Real results'!C102)),UPPER(TRIM('Raw data'!AK103))=UPPER(TRIM('Real results'!C103))),1,0),0),0)</f>
        <v>0</v>
      </c>
      <c r="AM105" s="34">
        <f>IFERROR(IF('Raw data'!AM103&lt;&gt;"",IF(OR(UPPER(TRIM('Raw data'!AM103))=UPPER(TRIM('Real results'!C101)),UPPER(TRIM('Raw data'!AM103))=UPPER(TRIM('Real results'!C102)),UPPER(TRIM('Raw data'!AM103))=UPPER(TRIM('Real results'!C103))),1,0),0),0)</f>
        <v>0</v>
      </c>
      <c r="AO105" s="34">
        <f>IFERROR(IF('Raw data'!AO103&lt;&gt;"",IF(OR(UPPER(TRIM('Raw data'!AO103))=UPPER(TRIM('Real results'!C101)),UPPER(TRIM('Raw data'!AO103))=UPPER(TRIM('Real results'!C102)),UPPER(TRIM('Raw data'!AO103))=UPPER(TRIM('Real results'!C103))),1,0),0),0)</f>
        <v>0</v>
      </c>
      <c r="AQ105" s="34">
        <f>IFERROR(IF('Raw data'!AQ103&lt;&gt;"",IF(OR(UPPER(TRIM('Raw data'!AQ103))=UPPER(TRIM('Real results'!C101)),UPPER(TRIM('Raw data'!AQ103))=UPPER(TRIM('Real results'!C102)),UPPER(TRIM('Raw data'!AQ103))=UPPER(TRIM('Real results'!C103))),1,0),0),0)</f>
        <v>0</v>
      </c>
      <c r="AS105" s="34">
        <f>IFERROR(IF('Raw data'!AS103&lt;&gt;"",IF(OR(UPPER(TRIM('Raw data'!AS103))=UPPER(TRIM('Real results'!C101)),UPPER(TRIM('Raw data'!AS103))=UPPER(TRIM('Real results'!C102)),UPPER(TRIM('Raw data'!AS103))=UPPER(TRIM('Real results'!C103))),1,0),0),0)</f>
        <v>0</v>
      </c>
      <c r="AU105" s="34">
        <f>IFERROR(IF('Raw data'!AU103&lt;&gt;"",IF(OR(UPPER(TRIM('Raw data'!AU103))=UPPER(TRIM('Real results'!C101)),UPPER(TRIM('Raw data'!AU103))=UPPER(TRIM('Real results'!C102)),UPPER(TRIM('Raw data'!AU103))=UPPER(TRIM('Real results'!C103))),1,0),0),0)</f>
        <v>0</v>
      </c>
      <c r="AW105" s="34">
        <f>IFERROR(IF('Raw data'!AW103&lt;&gt;"",IF(OR(UPPER(TRIM('Raw data'!AW103))=UPPER(TRIM('Real results'!C101)),UPPER(TRIM('Raw data'!AW103))=UPPER(TRIM('Real results'!C102)),UPPER(TRIM('Raw data'!AW103))=UPPER(TRIM('Real results'!C103))),1,0),0),0)</f>
        <v>0</v>
      </c>
      <c r="AY105" s="34">
        <f>IFERROR(IF('Raw data'!AY103&lt;&gt;"",IF(OR(UPPER(TRIM('Raw data'!AY103))=UPPER(TRIM('Real results'!C101)),UPPER(TRIM('Raw data'!AY103))=UPPER(TRIM('Real results'!C102)),UPPER(TRIM('Raw data'!AY103))=UPPER(TRIM('Real results'!C103))),1,0),0),0)</f>
        <v>0</v>
      </c>
      <c r="BA105" s="34">
        <f>IFERROR(IF('Raw data'!BA103&lt;&gt;"",IF(OR(UPPER(TRIM('Raw data'!BA103))=UPPER(TRIM('Real results'!C101)),UPPER(TRIM('Raw data'!BA103))=UPPER(TRIM('Real results'!C102)),UPPER(TRIM('Raw data'!BA103))=UPPER(TRIM('Real results'!C103))),1,0),0),0)</f>
        <v>0</v>
      </c>
      <c r="BC105" s="34">
        <f>IFERROR(IF('Raw data'!BC103&lt;&gt;"",IF(OR(UPPER(TRIM('Raw data'!BC103))=UPPER(TRIM('Real results'!C101)),UPPER(TRIM('Raw data'!BC103))=UPPER(TRIM('Real results'!C102)),UPPER(TRIM('Raw data'!BC103))=UPPER(TRIM('Real results'!C103))),1,0),0),0)</f>
        <v>0</v>
      </c>
      <c r="BE105" s="34">
        <f>IFERROR(IF('Raw data'!BE103&lt;&gt;"",IF(OR(UPPER(TRIM('Raw data'!BE103))=UPPER(TRIM('Real results'!C101)),UPPER(TRIM('Raw data'!BE103))=UPPER(TRIM('Real results'!C102)),UPPER(TRIM('Raw data'!BE103))=UPPER(TRIM('Real results'!C103))),1,0),0),0)</f>
        <v>0</v>
      </c>
      <c r="BG105" s="34">
        <f>IFERROR(IF('Raw data'!BG103&lt;&gt;"",IF(OR(UPPER(TRIM('Raw data'!BG103))=UPPER(TRIM('Real results'!C101)),UPPER(TRIM('Raw data'!BG103))=UPPER(TRIM('Real results'!C102)),UPPER(TRIM('Raw data'!BG103))=UPPER(TRIM('Real results'!C103))),1,0),0),0)</f>
        <v>0</v>
      </c>
      <c r="BI105" s="34">
        <f>IFERROR(IF('Raw data'!BI103&lt;&gt;"",IF(OR(UPPER(TRIM('Raw data'!BI103))=UPPER(TRIM('Real results'!C101)),UPPER(TRIM('Raw data'!BI103))=UPPER(TRIM('Real results'!C102)),UPPER(TRIM('Raw data'!BI103))=UPPER(TRIM('Real results'!C103))),1,0),0),0)</f>
        <v>0</v>
      </c>
    </row>
    <row r="106" ht="18.0" customHeight="1">
      <c r="B106" s="12" t="s">
        <v>362</v>
      </c>
      <c r="C106" s="34">
        <f>IFERROR(IF('Raw data'!C103&lt;&gt;"",IF(OR(UPPER(TRIM('Raw data'!C103))=UPPER(TRIM('Real results'!C104)),UPPER(TRIM('Raw data'!C103))=UPPER(TRIM('Real results'!C105)),UPPER(TRIM('Raw data'!C103))=UPPER(TRIM('Real results'!C106))),1,0)+IF(UPPER(TRIM('Raw data'!C103))=UPPER(TRIM('Real results'!C104)),2,0),0),0)</f>
        <v>0</v>
      </c>
      <c r="E106" s="34">
        <f>IFERROR(IF('Raw data'!E104&lt;&gt;"",IF(OR(UPPER(TRIM('Raw data'!E104))=UPPER(TRIM('Real results'!C104)),UPPER(TRIM('Raw data'!E104))=UPPER(TRIM('Real results'!C105)),UPPER(TRIM('Raw data'!E104))=UPPER(TRIM('Real results'!C106))),1,0)+IF(UPPER(TRIM('Raw data'!E104))=UPPER(TRIM('Real results'!C104)),2,0),0),0)</f>
        <v>0</v>
      </c>
      <c r="G106" s="34">
        <f>IFERROR(IF('Raw data'!G104&lt;&gt;"",IF(OR(UPPER(TRIM('Raw data'!G104))=UPPER(TRIM('Real results'!C104)),UPPER(TRIM('Raw data'!G104))=UPPER(TRIM('Real results'!C105)),UPPER(TRIM('Raw data'!G104))=UPPER(TRIM('Real results'!C106))),1,0)+IF(UPPER(TRIM('Raw data'!G104))=UPPER(TRIM('Real results'!C104)),2,0),0),0)</f>
        <v>0</v>
      </c>
      <c r="I106" s="34">
        <f>IFERROR(IF('Raw data'!I104&lt;&gt;"",IF(OR(UPPER(TRIM('Raw data'!I104))=UPPER(TRIM('Real results'!C104)),UPPER(TRIM('Raw data'!I104))=UPPER(TRIM('Real results'!C105)),UPPER(TRIM('Raw data'!I104))=UPPER(TRIM('Real results'!C106))),1,0)+IF(UPPER(TRIM('Raw data'!I104))=UPPER(TRIM('Real results'!C104)),2,0),0),0)</f>
        <v>0</v>
      </c>
      <c r="K106" s="34">
        <f>IFERROR(IF('Raw data'!K104&lt;&gt;"",IF(OR(UPPER(TRIM('Raw data'!K104))=UPPER(TRIM('Real results'!C104)),UPPER(TRIM('Raw data'!K104))=UPPER(TRIM('Real results'!C105)),UPPER(TRIM('Raw data'!K104))=UPPER(TRIM('Real results'!C106))),1,0)+IF(UPPER(TRIM('Raw data'!K104))=UPPER(TRIM('Real results'!C104)),2,0),0),0)</f>
        <v>0</v>
      </c>
      <c r="M106" s="34">
        <f>IFERROR(IF('Raw data'!M104&lt;&gt;"",IF(OR(UPPER(TRIM('Raw data'!M104))=UPPER(TRIM('Real results'!C104)),UPPER(TRIM('Raw data'!M104))=UPPER(TRIM('Real results'!C105)),UPPER(TRIM('Raw data'!M104))=UPPER(TRIM('Real results'!C106))),1,0)+IF(UPPER(TRIM('Raw data'!M104))=UPPER(TRIM('Real results'!C104)),2,0),0),0)</f>
        <v>0</v>
      </c>
      <c r="O106" s="34">
        <f>IFERROR(IF('Raw data'!O104&lt;&gt;"",IF(OR(UPPER(TRIM('Raw data'!O104))=UPPER(TRIM('Real results'!C104)),UPPER(TRIM('Raw data'!O104))=UPPER(TRIM('Real results'!C105)),UPPER(TRIM('Raw data'!O104))=UPPER(TRIM('Real results'!C106))),1,0)+IF(UPPER(TRIM('Raw data'!O104))=UPPER(TRIM('Real results'!C104)),2,0),0),0)</f>
        <v>0</v>
      </c>
      <c r="Q106" s="34">
        <f>IFERROR(IF('Raw data'!Q104&lt;&gt;"",IF(OR(UPPER(TRIM('Raw data'!Q104))=UPPER(TRIM('Real results'!C104)),UPPER(TRIM('Raw data'!Q104))=UPPER(TRIM('Real results'!C105)),UPPER(TRIM('Raw data'!Q104))=UPPER(TRIM('Real results'!C106))),1,0)+IF(UPPER(TRIM('Raw data'!Q104))=UPPER(TRIM('Real results'!C104)),2,0),0),0)</f>
        <v>0</v>
      </c>
      <c r="S106" s="34">
        <f>IFERROR(IF('Raw data'!S104&lt;&gt;"",IF(OR(UPPER(TRIM('Raw data'!S104))=UPPER(TRIM('Real results'!C104)),UPPER(TRIM('Raw data'!S104))=UPPER(TRIM('Real results'!C105)),UPPER(TRIM('Raw data'!S104))=UPPER(TRIM('Real results'!C106))),1,0)+IF(UPPER(TRIM('Raw data'!S104))=UPPER(TRIM('Real results'!C104)),2,0),0),0)</f>
        <v>0</v>
      </c>
      <c r="U106" s="34">
        <f>IFERROR(IF('Raw data'!U104&lt;&gt;"",IF(OR(UPPER(TRIM('Raw data'!U104))=UPPER(TRIM('Real results'!C104)),UPPER(TRIM('Raw data'!U104))=UPPER(TRIM('Real results'!C105)),UPPER(TRIM('Raw data'!U104))=UPPER(TRIM('Real results'!C106))),1,0)+IF(UPPER(TRIM('Raw data'!U104))=UPPER(TRIM('Real results'!C104)),2,0),0),0)</f>
        <v>0</v>
      </c>
      <c r="W106" s="34">
        <f>IFERROR(IF('Raw data'!W104&lt;&gt;"",IF(OR(UPPER(TRIM('Raw data'!W104))=UPPER(TRIM('Real results'!C104)),UPPER(TRIM('Raw data'!W104))=UPPER(TRIM('Real results'!C105)),UPPER(TRIM('Raw data'!W104))=UPPER(TRIM('Real results'!C106))),1,0)+IF(UPPER(TRIM('Raw data'!W104))=UPPER(TRIM('Real results'!C104)),2,0),0),0)</f>
        <v>0</v>
      </c>
      <c r="Y106" s="34">
        <f>IFERROR(IF('Raw data'!Y104&lt;&gt;"",IF(OR(UPPER(TRIM('Raw data'!Y104))=UPPER(TRIM('Real results'!C104)),UPPER(TRIM('Raw data'!Y104))=UPPER(TRIM('Real results'!C105)),UPPER(TRIM('Raw data'!Y104))=UPPER(TRIM('Real results'!C106))),1,0)+IF(UPPER(TRIM('Raw data'!Y104))=UPPER(TRIM('Real results'!C104)),2,0),0),0)</f>
        <v>0</v>
      </c>
      <c r="AA106" s="34">
        <f>IFERROR(IF('Raw data'!AA104&lt;&gt;"",IF(OR(UPPER(TRIM('Raw data'!AA104))=UPPER(TRIM('Real results'!C104)),UPPER(TRIM('Raw data'!AA104))=UPPER(TRIM('Real results'!C105)),UPPER(TRIM('Raw data'!AA104))=UPPER(TRIM('Real results'!C106))),1,0)+IF(UPPER(TRIM('Raw data'!AA104))=UPPER(TRIM('Real results'!C104)),2,0),0),0)</f>
        <v>0</v>
      </c>
      <c r="AC106" s="34">
        <f>IFERROR(IF('Raw data'!AC104&lt;&gt;"",IF(OR(UPPER(TRIM('Raw data'!AC104))=UPPER(TRIM('Real results'!C104)),UPPER(TRIM('Raw data'!AC104))=UPPER(TRIM('Real results'!C105)),UPPER(TRIM('Raw data'!AC104))=UPPER(TRIM('Real results'!C106))),1,0)+IF(UPPER(TRIM('Raw data'!AC104))=UPPER(TRIM('Real results'!C104)),2,0),0),0)</f>
        <v>0</v>
      </c>
      <c r="AE106" s="34">
        <f>IFERROR(IF('Raw data'!AE104&lt;&gt;"",IF(OR(UPPER(TRIM('Raw data'!AE104))=UPPER(TRIM('Real results'!C104)),UPPER(TRIM('Raw data'!AE104))=UPPER(TRIM('Real results'!C105)),UPPER(TRIM('Raw data'!AE104))=UPPER(TRIM('Real results'!C106))),1,0)+IF(UPPER(TRIM('Raw data'!AE104))=UPPER(TRIM('Real results'!C104)),2,0),0),0)</f>
        <v>0</v>
      </c>
      <c r="AG106" s="34">
        <f>IFERROR(IF('Raw data'!AG104&lt;&gt;"",IF(OR(UPPER(TRIM('Raw data'!AG104))=UPPER(TRIM('Real results'!C104)),UPPER(TRIM('Raw data'!AG104))=UPPER(TRIM('Real results'!C105)),UPPER(TRIM('Raw data'!AG104))=UPPER(TRIM('Real results'!C106))),1,0)+IF(UPPER(TRIM('Raw data'!AG104))=UPPER(TRIM('Real results'!C104)),2,0),0),0)</f>
        <v>0</v>
      </c>
      <c r="AI106" s="34">
        <f>IFERROR(IF('Raw data'!AI104&lt;&gt;"",IF(OR(UPPER(TRIM('Raw data'!AI104))=UPPER(TRIM('Real results'!C104)),UPPER(TRIM('Raw data'!AI104))=UPPER(TRIM('Real results'!C105)),UPPER(TRIM('Raw data'!AI104))=UPPER(TRIM('Real results'!C106))),1,0)+IF(UPPER(TRIM('Raw data'!AI104))=UPPER(TRIM('Real results'!C104)),2,0),0),0)</f>
        <v>0</v>
      </c>
      <c r="AK106" s="34">
        <f>IFERROR(IF('Raw data'!AK104&lt;&gt;"",IF(OR(UPPER(TRIM('Raw data'!AK104))=UPPER(TRIM('Real results'!C104)),UPPER(TRIM('Raw data'!AK104))=UPPER(TRIM('Real results'!C105)),UPPER(TRIM('Raw data'!AK104))=UPPER(TRIM('Real results'!C106))),1,0)+IF(UPPER(TRIM('Raw data'!AK104))=UPPER(TRIM('Real results'!C104)),2,0),0),0)</f>
        <v>0</v>
      </c>
      <c r="AM106" s="34">
        <f>IFERROR(IF('Raw data'!AM104&lt;&gt;"",IF(OR(UPPER(TRIM('Raw data'!AM104))=UPPER(TRIM('Real results'!C104)),UPPER(TRIM('Raw data'!AM104))=UPPER(TRIM('Real results'!C105)),UPPER(TRIM('Raw data'!AM104))=UPPER(TRIM('Real results'!C106))),1,0)+IF(UPPER(TRIM('Raw data'!AM104))=UPPER(TRIM('Real results'!C104)),2,0),0),0)</f>
        <v>0</v>
      </c>
      <c r="AO106" s="34">
        <f>IFERROR(IF('Raw data'!AO104&lt;&gt;"",IF(OR(UPPER(TRIM('Raw data'!AO104))=UPPER(TRIM('Real results'!C104)),UPPER(TRIM('Raw data'!AO104))=UPPER(TRIM('Real results'!C105)),UPPER(TRIM('Raw data'!AO104))=UPPER(TRIM('Real results'!C106))),1,0)+IF(UPPER(TRIM('Raw data'!AO104))=UPPER(TRIM('Real results'!C104)),2,0),0),0)</f>
        <v>0</v>
      </c>
      <c r="AQ106" s="34">
        <f>IFERROR(IF('Raw data'!AQ104&lt;&gt;"",IF(OR(UPPER(TRIM('Raw data'!AQ104))=UPPER(TRIM('Real results'!C104)),UPPER(TRIM('Raw data'!AQ104))=UPPER(TRIM('Real results'!C105)),UPPER(TRIM('Raw data'!AQ104))=UPPER(TRIM('Real results'!C106))),1,0)+IF(UPPER(TRIM('Raw data'!AQ104))=UPPER(TRIM('Real results'!C104)),2,0),0),0)</f>
        <v>0</v>
      </c>
      <c r="AS106" s="34">
        <f>IFERROR(IF('Raw data'!AS104&lt;&gt;"",IF(OR(UPPER(TRIM('Raw data'!AS104))=UPPER(TRIM('Real results'!C104)),UPPER(TRIM('Raw data'!AS104))=UPPER(TRIM('Real results'!C105)),UPPER(TRIM('Raw data'!AS104))=UPPER(TRIM('Real results'!C106))),1,0)+IF(UPPER(TRIM('Raw data'!AS104))=UPPER(TRIM('Real results'!C104)),2,0),0),0)</f>
        <v>0</v>
      </c>
      <c r="AU106" s="34">
        <f>IFERROR(IF('Raw data'!AU104&lt;&gt;"",IF(OR(UPPER(TRIM('Raw data'!AU104))=UPPER(TRIM('Real results'!C104)),UPPER(TRIM('Raw data'!AU104))=UPPER(TRIM('Real results'!C105)),UPPER(TRIM('Raw data'!AU104))=UPPER(TRIM('Real results'!C106))),1,0)+IF(UPPER(TRIM('Raw data'!AU104))=UPPER(TRIM('Real results'!C104)),2,0),0),0)</f>
        <v>0</v>
      </c>
      <c r="AW106" s="34">
        <f>IFERROR(IF('Raw data'!AW104&lt;&gt;"",IF(OR(UPPER(TRIM('Raw data'!AW104))=UPPER(TRIM('Real results'!C104)),UPPER(TRIM('Raw data'!AW104))=UPPER(TRIM('Real results'!C105)),UPPER(TRIM('Raw data'!AW104))=UPPER(TRIM('Real results'!C106))),1,0)+IF(UPPER(TRIM('Raw data'!AW104))=UPPER(TRIM('Real results'!C104)),2,0),0),0)</f>
        <v>0</v>
      </c>
      <c r="AY106" s="34">
        <f>IFERROR(IF('Raw data'!AY104&lt;&gt;"",IF(OR(UPPER(TRIM('Raw data'!AY104))=UPPER(TRIM('Real results'!C104)),UPPER(TRIM('Raw data'!AY104))=UPPER(TRIM('Real results'!C105)),UPPER(TRIM('Raw data'!AY104))=UPPER(TRIM('Real results'!C106))),1,0)+IF(UPPER(TRIM('Raw data'!AY104))=UPPER(TRIM('Real results'!C104)),2,0),0),0)</f>
        <v>0</v>
      </c>
      <c r="BA106" s="34">
        <f>IFERROR(IF('Raw data'!BA104&lt;&gt;"",IF(OR(UPPER(TRIM('Raw data'!BA104))=UPPER(TRIM('Real results'!C104)),UPPER(TRIM('Raw data'!BA104))=UPPER(TRIM('Real results'!C105)),UPPER(TRIM('Raw data'!BA104))=UPPER(TRIM('Real results'!C106))),1,0)+IF(UPPER(TRIM('Raw data'!BA104))=UPPER(TRIM('Real results'!C104)),2,0),0),0)</f>
        <v>0</v>
      </c>
      <c r="BC106" s="34">
        <f>IFERROR(IF('Raw data'!BC104&lt;&gt;"",IF(OR(UPPER(TRIM('Raw data'!BC104))=UPPER(TRIM('Real results'!C104)),UPPER(TRIM('Raw data'!BC104))=UPPER(TRIM('Real results'!C105)),UPPER(TRIM('Raw data'!BC104))=UPPER(TRIM('Real results'!C106))),1,0)+IF(UPPER(TRIM('Raw data'!BC104))=UPPER(TRIM('Real results'!C104)),2,0),0),0)</f>
        <v>0</v>
      </c>
      <c r="BE106" s="34">
        <f>IFERROR(IF('Raw data'!BE104&lt;&gt;"",IF(OR(UPPER(TRIM('Raw data'!BE104))=UPPER(TRIM('Real results'!C104)),UPPER(TRIM('Raw data'!BE104))=UPPER(TRIM('Real results'!C105)),UPPER(TRIM('Raw data'!BE104))=UPPER(TRIM('Real results'!C106))),1,0)+IF(UPPER(TRIM('Raw data'!BE104))=UPPER(TRIM('Real results'!C104)),2,0),0),0)</f>
        <v>0</v>
      </c>
      <c r="BG106" s="34">
        <f>IFERROR(IF('Raw data'!BG104&lt;&gt;"",IF(OR(UPPER(TRIM('Raw data'!BG104))=UPPER(TRIM('Real results'!C104)),UPPER(TRIM('Raw data'!BG104))=UPPER(TRIM('Real results'!C105)),UPPER(TRIM('Raw data'!BG104))=UPPER(TRIM('Real results'!C106))),1,0)+IF(UPPER(TRIM('Raw data'!BG104))=UPPER(TRIM('Real results'!C104)),2,0),0),0)</f>
        <v>0</v>
      </c>
      <c r="BI106" s="34">
        <f>IFERROR(IF('Raw data'!BI104&lt;&gt;"",IF(OR(UPPER(TRIM('Raw data'!BI104))=UPPER(TRIM('Real results'!C104)),UPPER(TRIM('Raw data'!BI104))=UPPER(TRIM('Real results'!C105)),UPPER(TRIM('Raw data'!BI104))=UPPER(TRIM('Real results'!C106))),1,0)+IF(UPPER(TRIM('Raw data'!BI104))=UPPER(TRIM('Real results'!C104)),2,0),0),0)</f>
        <v>0</v>
      </c>
    </row>
    <row r="107" ht="18.0" customHeight="1">
      <c r="B107" s="12" t="s">
        <v>363</v>
      </c>
      <c r="C107" s="34">
        <f>IFERROR(IF('Raw data'!C104&lt;&gt;"",IF(OR(UPPER(TRIM('Raw data'!C104))=UPPER(TRIM('Real results'!C104)),UPPER(TRIM('Raw data'!C104))=UPPER(TRIM('Real results'!C105)),UPPER(TRIM('Raw data'!C104))=UPPER(TRIM('Real results'!C106))),1,0),0),0)</f>
        <v>0</v>
      </c>
      <c r="E107" s="34">
        <f>IFERROR(IF('Raw data'!E105&lt;&gt;"",IF(OR(UPPER(TRIM('Raw data'!E105))=UPPER(TRIM('Real results'!C104)),UPPER(TRIM('Raw data'!E105))=UPPER(TRIM('Real results'!C105)),UPPER(TRIM('Raw data'!E105))=UPPER(TRIM('Real results'!C106))),1,0),0),0)</f>
        <v>0</v>
      </c>
      <c r="G107" s="34">
        <f>IFERROR(IF('Raw data'!G105&lt;&gt;"",IF(OR(UPPER(TRIM('Raw data'!G105))=UPPER(TRIM('Real results'!C104)),UPPER(TRIM('Raw data'!G105))=UPPER(TRIM('Real results'!C105)),UPPER(TRIM('Raw data'!G105))=UPPER(TRIM('Real results'!C106))),1,0),0),0)</f>
        <v>0</v>
      </c>
      <c r="I107" s="34">
        <f>IFERROR(IF('Raw data'!I105&lt;&gt;"",IF(OR(UPPER(TRIM('Raw data'!I105))=UPPER(TRIM('Real results'!C104)),UPPER(TRIM('Raw data'!I105))=UPPER(TRIM('Real results'!C105)),UPPER(TRIM('Raw data'!I105))=UPPER(TRIM('Real results'!C106))),1,0),0),0)</f>
        <v>0</v>
      </c>
      <c r="K107" s="34">
        <f>IFERROR(IF('Raw data'!K105&lt;&gt;"",IF(OR(UPPER(TRIM('Raw data'!K105))=UPPER(TRIM('Real results'!C104)),UPPER(TRIM('Raw data'!K105))=UPPER(TRIM('Real results'!C105)),UPPER(TRIM('Raw data'!K105))=UPPER(TRIM('Real results'!C106))),1,0),0),0)</f>
        <v>0</v>
      </c>
      <c r="M107" s="34">
        <f>IFERROR(IF('Raw data'!M105&lt;&gt;"",IF(OR(UPPER(TRIM('Raw data'!M105))=UPPER(TRIM('Real results'!C104)),UPPER(TRIM('Raw data'!M105))=UPPER(TRIM('Real results'!C105)),UPPER(TRIM('Raw data'!M105))=UPPER(TRIM('Real results'!C106))),1,0),0),0)</f>
        <v>0</v>
      </c>
      <c r="O107" s="34">
        <f>IFERROR(IF('Raw data'!O105&lt;&gt;"",IF(OR(UPPER(TRIM('Raw data'!O105))=UPPER(TRIM('Real results'!C104)),UPPER(TRIM('Raw data'!O105))=UPPER(TRIM('Real results'!C105)),UPPER(TRIM('Raw data'!O105))=UPPER(TRIM('Real results'!C106))),1,0),0),0)</f>
        <v>0</v>
      </c>
      <c r="Q107" s="34">
        <f>IFERROR(IF('Raw data'!Q105&lt;&gt;"",IF(OR(UPPER(TRIM('Raw data'!Q105))=UPPER(TRIM('Real results'!C104)),UPPER(TRIM('Raw data'!Q105))=UPPER(TRIM('Real results'!C105)),UPPER(TRIM('Raw data'!Q105))=UPPER(TRIM('Real results'!C106))),1,0),0),0)</f>
        <v>0</v>
      </c>
      <c r="S107" s="34">
        <f>IFERROR(IF('Raw data'!S105&lt;&gt;"",IF(OR(UPPER(TRIM('Raw data'!S105))=UPPER(TRIM('Real results'!C104)),UPPER(TRIM('Raw data'!S105))=UPPER(TRIM('Real results'!C105)),UPPER(TRIM('Raw data'!S105))=UPPER(TRIM('Real results'!C106))),1,0),0),0)</f>
        <v>0</v>
      </c>
      <c r="U107" s="34">
        <f>IFERROR(IF('Raw data'!U105&lt;&gt;"",IF(OR(UPPER(TRIM('Raw data'!U105))=UPPER(TRIM('Real results'!C104)),UPPER(TRIM('Raw data'!U105))=UPPER(TRIM('Real results'!C105)),UPPER(TRIM('Raw data'!U105))=UPPER(TRIM('Real results'!C106))),1,0),0),0)</f>
        <v>0</v>
      </c>
      <c r="W107" s="34">
        <f>IFERROR(IF('Raw data'!W105&lt;&gt;"",IF(OR(UPPER(TRIM('Raw data'!W105))=UPPER(TRIM('Real results'!C104)),UPPER(TRIM('Raw data'!W105))=UPPER(TRIM('Real results'!C105)),UPPER(TRIM('Raw data'!W105))=UPPER(TRIM('Real results'!C106))),1,0),0),0)</f>
        <v>0</v>
      </c>
      <c r="Y107" s="34">
        <f>IFERROR(IF('Raw data'!Y105&lt;&gt;"",IF(OR(UPPER(TRIM('Raw data'!Y105))=UPPER(TRIM('Real results'!C104)),UPPER(TRIM('Raw data'!Y105))=UPPER(TRIM('Real results'!C105)),UPPER(TRIM('Raw data'!Y105))=UPPER(TRIM('Real results'!C106))),1,0),0),0)</f>
        <v>0</v>
      </c>
      <c r="AA107" s="34">
        <f>IFERROR(IF('Raw data'!AA105&lt;&gt;"",IF(OR(UPPER(TRIM('Raw data'!AA105))=UPPER(TRIM('Real results'!C104)),UPPER(TRIM('Raw data'!AA105))=UPPER(TRIM('Real results'!C105)),UPPER(TRIM('Raw data'!AA105))=UPPER(TRIM('Real results'!C106))),1,0),0),0)</f>
        <v>0</v>
      </c>
      <c r="AC107" s="34">
        <f>IFERROR(IF('Raw data'!AC105&lt;&gt;"",IF(OR(UPPER(TRIM('Raw data'!AC105))=UPPER(TRIM('Real results'!C104)),UPPER(TRIM('Raw data'!AC105))=UPPER(TRIM('Real results'!C105)),UPPER(TRIM('Raw data'!AC105))=UPPER(TRIM('Real results'!C106))),1,0),0),0)</f>
        <v>0</v>
      </c>
      <c r="AE107" s="34">
        <f>IFERROR(IF('Raw data'!AE105&lt;&gt;"",IF(OR(UPPER(TRIM('Raw data'!AE105))=UPPER(TRIM('Real results'!C104)),UPPER(TRIM('Raw data'!AE105))=UPPER(TRIM('Real results'!C105)),UPPER(TRIM('Raw data'!AE105))=UPPER(TRIM('Real results'!C106))),1,0),0),0)</f>
        <v>0</v>
      </c>
      <c r="AG107" s="34">
        <f>IFERROR(IF('Raw data'!AG105&lt;&gt;"",IF(OR(UPPER(TRIM('Raw data'!AG105))=UPPER(TRIM('Real results'!C104)),UPPER(TRIM('Raw data'!AG105))=UPPER(TRIM('Real results'!C105)),UPPER(TRIM('Raw data'!AG105))=UPPER(TRIM('Real results'!C106))),1,0),0),0)</f>
        <v>0</v>
      </c>
      <c r="AI107" s="34">
        <f>IFERROR(IF('Raw data'!AI105&lt;&gt;"",IF(OR(UPPER(TRIM('Raw data'!AI105))=UPPER(TRIM('Real results'!C104)),UPPER(TRIM('Raw data'!AI105))=UPPER(TRIM('Real results'!C105)),UPPER(TRIM('Raw data'!AI105))=UPPER(TRIM('Real results'!C106))),1,0),0),0)</f>
        <v>0</v>
      </c>
      <c r="AK107" s="34">
        <f>IFERROR(IF('Raw data'!AK105&lt;&gt;"",IF(OR(UPPER(TRIM('Raw data'!AK105))=UPPER(TRIM('Real results'!C104)),UPPER(TRIM('Raw data'!AK105))=UPPER(TRIM('Real results'!C105)),UPPER(TRIM('Raw data'!AK105))=UPPER(TRIM('Real results'!C106))),1,0),0),0)</f>
        <v>0</v>
      </c>
      <c r="AM107" s="34">
        <f>IFERROR(IF('Raw data'!AM105&lt;&gt;"",IF(OR(UPPER(TRIM('Raw data'!AM105))=UPPER(TRIM('Real results'!C104)),UPPER(TRIM('Raw data'!AM105))=UPPER(TRIM('Real results'!C105)),UPPER(TRIM('Raw data'!AM105))=UPPER(TRIM('Real results'!C106))),1,0),0),0)</f>
        <v>0</v>
      </c>
      <c r="AO107" s="34">
        <f>IFERROR(IF('Raw data'!AO105&lt;&gt;"",IF(OR(UPPER(TRIM('Raw data'!AO105))=UPPER(TRIM('Real results'!C104)),UPPER(TRIM('Raw data'!AO105))=UPPER(TRIM('Real results'!C105)),UPPER(TRIM('Raw data'!AO105))=UPPER(TRIM('Real results'!C106))),1,0),0),0)</f>
        <v>0</v>
      </c>
      <c r="AQ107" s="34">
        <f>IFERROR(IF('Raw data'!AQ105&lt;&gt;"",IF(OR(UPPER(TRIM('Raw data'!AQ105))=UPPER(TRIM('Real results'!C104)),UPPER(TRIM('Raw data'!AQ105))=UPPER(TRIM('Real results'!C105)),UPPER(TRIM('Raw data'!AQ105))=UPPER(TRIM('Real results'!C106))),1,0),0),0)</f>
        <v>0</v>
      </c>
      <c r="AS107" s="34">
        <f>IFERROR(IF('Raw data'!AS105&lt;&gt;"",IF(OR(UPPER(TRIM('Raw data'!AS105))=UPPER(TRIM('Real results'!C104)),UPPER(TRIM('Raw data'!AS105))=UPPER(TRIM('Real results'!C105)),UPPER(TRIM('Raw data'!AS105))=UPPER(TRIM('Real results'!C106))),1,0),0),0)</f>
        <v>0</v>
      </c>
      <c r="AU107" s="34">
        <f>IFERROR(IF('Raw data'!AU105&lt;&gt;"",IF(OR(UPPER(TRIM('Raw data'!AU105))=UPPER(TRIM('Real results'!C104)),UPPER(TRIM('Raw data'!AU105))=UPPER(TRIM('Real results'!C105)),UPPER(TRIM('Raw data'!AU105))=UPPER(TRIM('Real results'!C106))),1,0),0),0)</f>
        <v>0</v>
      </c>
      <c r="AW107" s="34">
        <f>IFERROR(IF('Raw data'!AW105&lt;&gt;"",IF(OR(UPPER(TRIM('Raw data'!AW105))=UPPER(TRIM('Real results'!C104)),UPPER(TRIM('Raw data'!AW105))=UPPER(TRIM('Real results'!C105)),UPPER(TRIM('Raw data'!AW105))=UPPER(TRIM('Real results'!C106))),1,0),0),0)</f>
        <v>0</v>
      </c>
      <c r="AY107" s="34">
        <f>IFERROR(IF('Raw data'!AY105&lt;&gt;"",IF(OR(UPPER(TRIM('Raw data'!AY105))=UPPER(TRIM('Real results'!C104)),UPPER(TRIM('Raw data'!AY105))=UPPER(TRIM('Real results'!C105)),UPPER(TRIM('Raw data'!AY105))=UPPER(TRIM('Real results'!C106))),1,0),0),0)</f>
        <v>0</v>
      </c>
      <c r="BA107" s="34">
        <f>IFERROR(IF('Raw data'!BA105&lt;&gt;"",IF(OR(UPPER(TRIM('Raw data'!BA105))=UPPER(TRIM('Real results'!C104)),UPPER(TRIM('Raw data'!BA105))=UPPER(TRIM('Real results'!C105)),UPPER(TRIM('Raw data'!BA105))=UPPER(TRIM('Real results'!C106))),1,0),0),0)</f>
        <v>0</v>
      </c>
      <c r="BC107" s="34">
        <f>IFERROR(IF('Raw data'!BC105&lt;&gt;"",IF(OR(UPPER(TRIM('Raw data'!BC105))=UPPER(TRIM('Real results'!C104)),UPPER(TRIM('Raw data'!BC105))=UPPER(TRIM('Real results'!C105)),UPPER(TRIM('Raw data'!BC105))=UPPER(TRIM('Real results'!C106))),1,0),0),0)</f>
        <v>0</v>
      </c>
      <c r="BE107" s="34">
        <f>IFERROR(IF('Raw data'!BE105&lt;&gt;"",IF(OR(UPPER(TRIM('Raw data'!BE105))=UPPER(TRIM('Real results'!C104)),UPPER(TRIM('Raw data'!BE105))=UPPER(TRIM('Real results'!C105)),UPPER(TRIM('Raw data'!BE105))=UPPER(TRIM('Real results'!C106))),1,0),0),0)</f>
        <v>0</v>
      </c>
      <c r="BG107" s="34">
        <f>IFERROR(IF('Raw data'!BG105&lt;&gt;"",IF(OR(UPPER(TRIM('Raw data'!BG105))=UPPER(TRIM('Real results'!C104)),UPPER(TRIM('Raw data'!BG105))=UPPER(TRIM('Real results'!C105)),UPPER(TRIM('Raw data'!BG105))=UPPER(TRIM('Real results'!C106))),1,0),0),0)</f>
        <v>0</v>
      </c>
      <c r="BI107" s="34">
        <f>IFERROR(IF('Raw data'!BI105&lt;&gt;"",IF(OR(UPPER(TRIM('Raw data'!BI105))=UPPER(TRIM('Real results'!C104)),UPPER(TRIM('Raw data'!BI105))=UPPER(TRIM('Real results'!C105)),UPPER(TRIM('Raw data'!BI105))=UPPER(TRIM('Real results'!C106))),1,0),0),0)</f>
        <v>0</v>
      </c>
    </row>
    <row r="108" ht="18.0" customHeight="1">
      <c r="B108" s="12" t="s">
        <v>364</v>
      </c>
      <c r="C108" s="34">
        <f>IFERROR(IF('Raw data'!C105&lt;&gt;"",IF(OR(UPPER(TRIM('Raw data'!C105))=UPPER(TRIM('Real results'!C104)),UPPER(TRIM('Raw data'!C105))=UPPER(TRIM('Real results'!C105)),UPPER(TRIM('Raw data'!C105))=UPPER(TRIM('Real results'!C106))),1,0),0),0)</f>
        <v>0</v>
      </c>
      <c r="E108" s="34">
        <f>IFERROR(IF('Raw data'!E106&lt;&gt;"",IF(OR(UPPER(TRIM('Raw data'!E106))=UPPER(TRIM('Real results'!C104)),UPPER(TRIM('Raw data'!E106))=UPPER(TRIM('Real results'!C105)),UPPER(TRIM('Raw data'!E106))=UPPER(TRIM('Real results'!C106))),1,0),0),0)</f>
        <v>0</v>
      </c>
      <c r="G108" s="34">
        <f>IFERROR(IF('Raw data'!G106&lt;&gt;"",IF(OR(UPPER(TRIM('Raw data'!G106))=UPPER(TRIM('Real results'!C104)),UPPER(TRIM('Raw data'!G106))=UPPER(TRIM('Real results'!C105)),UPPER(TRIM('Raw data'!G106))=UPPER(TRIM('Real results'!C106))),1,0),0),0)</f>
        <v>0</v>
      </c>
      <c r="I108" s="34">
        <f>IFERROR(IF('Raw data'!I106&lt;&gt;"",IF(OR(UPPER(TRIM('Raw data'!I106))=UPPER(TRIM('Real results'!C104)),UPPER(TRIM('Raw data'!I106))=UPPER(TRIM('Real results'!C105)),UPPER(TRIM('Raw data'!I106))=UPPER(TRIM('Real results'!C106))),1,0),0),0)</f>
        <v>0</v>
      </c>
      <c r="K108" s="34">
        <f>IFERROR(IF('Raw data'!K106&lt;&gt;"",IF(OR(UPPER(TRIM('Raw data'!K106))=UPPER(TRIM('Real results'!C104)),UPPER(TRIM('Raw data'!K106))=UPPER(TRIM('Real results'!C105)),UPPER(TRIM('Raw data'!K106))=UPPER(TRIM('Real results'!C106))),1,0),0),0)</f>
        <v>0</v>
      </c>
      <c r="M108" s="34">
        <f>IFERROR(IF('Raw data'!M106&lt;&gt;"",IF(OR(UPPER(TRIM('Raw data'!M106))=UPPER(TRIM('Real results'!C104)),UPPER(TRIM('Raw data'!M106))=UPPER(TRIM('Real results'!C105)),UPPER(TRIM('Raw data'!M106))=UPPER(TRIM('Real results'!C106))),1,0),0),0)</f>
        <v>0</v>
      </c>
      <c r="O108" s="34">
        <f>IFERROR(IF('Raw data'!O106&lt;&gt;"",IF(OR(UPPER(TRIM('Raw data'!O106))=UPPER(TRIM('Real results'!C104)),UPPER(TRIM('Raw data'!O106))=UPPER(TRIM('Real results'!C105)),UPPER(TRIM('Raw data'!O106))=UPPER(TRIM('Real results'!C106))),1,0),0),0)</f>
        <v>0</v>
      </c>
      <c r="Q108" s="34">
        <f>IFERROR(IF('Raw data'!Q106&lt;&gt;"",IF(OR(UPPER(TRIM('Raw data'!Q106))=UPPER(TRIM('Real results'!C104)),UPPER(TRIM('Raw data'!Q106))=UPPER(TRIM('Real results'!C105)),UPPER(TRIM('Raw data'!Q106))=UPPER(TRIM('Real results'!C106))),1,0),0),0)</f>
        <v>0</v>
      </c>
      <c r="S108" s="34">
        <f>IFERROR(IF('Raw data'!S106&lt;&gt;"",IF(OR(UPPER(TRIM('Raw data'!S106))=UPPER(TRIM('Real results'!C104)),UPPER(TRIM('Raw data'!S106))=UPPER(TRIM('Real results'!C105)),UPPER(TRIM('Raw data'!S106))=UPPER(TRIM('Real results'!C106))),1,0),0),0)</f>
        <v>0</v>
      </c>
      <c r="U108" s="34">
        <f>IFERROR(IF('Raw data'!U106&lt;&gt;"",IF(OR(UPPER(TRIM('Raw data'!U106))=UPPER(TRIM('Real results'!C104)),UPPER(TRIM('Raw data'!U106))=UPPER(TRIM('Real results'!C105)),UPPER(TRIM('Raw data'!U106))=UPPER(TRIM('Real results'!C106))),1,0),0),0)</f>
        <v>0</v>
      </c>
      <c r="W108" s="34">
        <f>IFERROR(IF('Raw data'!W106&lt;&gt;"",IF(OR(UPPER(TRIM('Raw data'!W106))=UPPER(TRIM('Real results'!C104)),UPPER(TRIM('Raw data'!W106))=UPPER(TRIM('Real results'!C105)),UPPER(TRIM('Raw data'!W106))=UPPER(TRIM('Real results'!C106))),1,0),0),0)</f>
        <v>0</v>
      </c>
      <c r="Y108" s="34">
        <f>IFERROR(IF('Raw data'!Y106&lt;&gt;"",IF(OR(UPPER(TRIM('Raw data'!Y106))=UPPER(TRIM('Real results'!C104)),UPPER(TRIM('Raw data'!Y106))=UPPER(TRIM('Real results'!C105)),UPPER(TRIM('Raw data'!Y106))=UPPER(TRIM('Real results'!C106))),1,0),0),0)</f>
        <v>0</v>
      </c>
      <c r="AA108" s="34">
        <f>IFERROR(IF('Raw data'!AA106&lt;&gt;"",IF(OR(UPPER(TRIM('Raw data'!AA106))=UPPER(TRIM('Real results'!C104)),UPPER(TRIM('Raw data'!AA106))=UPPER(TRIM('Real results'!C105)),UPPER(TRIM('Raw data'!AA106))=UPPER(TRIM('Real results'!C106))),1,0),0),0)</f>
        <v>0</v>
      </c>
      <c r="AC108" s="34">
        <f>IFERROR(IF('Raw data'!AC106&lt;&gt;"",IF(OR(UPPER(TRIM('Raw data'!AC106))=UPPER(TRIM('Real results'!C104)),UPPER(TRIM('Raw data'!AC106))=UPPER(TRIM('Real results'!C105)),UPPER(TRIM('Raw data'!AC106))=UPPER(TRIM('Real results'!C106))),1,0),0),0)</f>
        <v>0</v>
      </c>
      <c r="AE108" s="34">
        <f>IFERROR(IF('Raw data'!AE106&lt;&gt;"",IF(OR(UPPER(TRIM('Raw data'!AE106))=UPPER(TRIM('Real results'!C104)),UPPER(TRIM('Raw data'!AE106))=UPPER(TRIM('Real results'!C105)),UPPER(TRIM('Raw data'!AE106))=UPPER(TRIM('Real results'!C106))),1,0),0),0)</f>
        <v>0</v>
      </c>
      <c r="AG108" s="34">
        <f>IFERROR(IF('Raw data'!AG106&lt;&gt;"",IF(OR(UPPER(TRIM('Raw data'!AG106))=UPPER(TRIM('Real results'!C104)),UPPER(TRIM('Raw data'!AG106))=UPPER(TRIM('Real results'!C105)),UPPER(TRIM('Raw data'!AG106))=UPPER(TRIM('Real results'!C106))),1,0),0),0)</f>
        <v>0</v>
      </c>
      <c r="AI108" s="34">
        <f>IFERROR(IF('Raw data'!AI106&lt;&gt;"",IF(OR(UPPER(TRIM('Raw data'!AI106))=UPPER(TRIM('Real results'!C104)),UPPER(TRIM('Raw data'!AI106))=UPPER(TRIM('Real results'!C105)),UPPER(TRIM('Raw data'!AI106))=UPPER(TRIM('Real results'!C106))),1,0),0),0)</f>
        <v>0</v>
      </c>
      <c r="AK108" s="34">
        <f>IFERROR(IF('Raw data'!AK106&lt;&gt;"",IF(OR(UPPER(TRIM('Raw data'!AK106))=UPPER(TRIM('Real results'!C104)),UPPER(TRIM('Raw data'!AK106))=UPPER(TRIM('Real results'!C105)),UPPER(TRIM('Raw data'!AK106))=UPPER(TRIM('Real results'!C106))),1,0),0),0)</f>
        <v>0</v>
      </c>
      <c r="AM108" s="34">
        <f>IFERROR(IF('Raw data'!AM106&lt;&gt;"",IF(OR(UPPER(TRIM('Raw data'!AM106))=UPPER(TRIM('Real results'!C104)),UPPER(TRIM('Raw data'!AM106))=UPPER(TRIM('Real results'!C105)),UPPER(TRIM('Raw data'!AM106))=UPPER(TRIM('Real results'!C106))),1,0),0),0)</f>
        <v>0</v>
      </c>
      <c r="AO108" s="34">
        <f>IFERROR(IF('Raw data'!AO106&lt;&gt;"",IF(OR(UPPER(TRIM('Raw data'!AO106))=UPPER(TRIM('Real results'!C104)),UPPER(TRIM('Raw data'!AO106))=UPPER(TRIM('Real results'!C105)),UPPER(TRIM('Raw data'!AO106))=UPPER(TRIM('Real results'!C106))),1,0),0),0)</f>
        <v>0</v>
      </c>
      <c r="AQ108" s="34">
        <f>IFERROR(IF('Raw data'!AQ106&lt;&gt;"",IF(OR(UPPER(TRIM('Raw data'!AQ106))=UPPER(TRIM('Real results'!C104)),UPPER(TRIM('Raw data'!AQ106))=UPPER(TRIM('Real results'!C105)),UPPER(TRIM('Raw data'!AQ106))=UPPER(TRIM('Real results'!C106))),1,0),0),0)</f>
        <v>0</v>
      </c>
      <c r="AS108" s="34">
        <f>IFERROR(IF('Raw data'!AS106&lt;&gt;"",IF(OR(UPPER(TRIM('Raw data'!AS106))=UPPER(TRIM('Real results'!C104)),UPPER(TRIM('Raw data'!AS106))=UPPER(TRIM('Real results'!C105)),UPPER(TRIM('Raw data'!AS106))=UPPER(TRIM('Real results'!C106))),1,0),0),0)</f>
        <v>0</v>
      </c>
      <c r="AU108" s="34">
        <f>IFERROR(IF('Raw data'!AU106&lt;&gt;"",IF(OR(UPPER(TRIM('Raw data'!AU106))=UPPER(TRIM('Real results'!C104)),UPPER(TRIM('Raw data'!AU106))=UPPER(TRIM('Real results'!C105)),UPPER(TRIM('Raw data'!AU106))=UPPER(TRIM('Real results'!C106))),1,0),0),0)</f>
        <v>0</v>
      </c>
      <c r="AW108" s="34">
        <f>IFERROR(IF('Raw data'!AW106&lt;&gt;"",IF(OR(UPPER(TRIM('Raw data'!AW106))=UPPER(TRIM('Real results'!C104)),UPPER(TRIM('Raw data'!AW106))=UPPER(TRIM('Real results'!C105)),UPPER(TRIM('Raw data'!AW106))=UPPER(TRIM('Real results'!C106))),1,0),0),0)</f>
        <v>0</v>
      </c>
      <c r="AY108" s="34">
        <f>IFERROR(IF('Raw data'!AY106&lt;&gt;"",IF(OR(UPPER(TRIM('Raw data'!AY106))=UPPER(TRIM('Real results'!C104)),UPPER(TRIM('Raw data'!AY106))=UPPER(TRIM('Real results'!C105)),UPPER(TRIM('Raw data'!AY106))=UPPER(TRIM('Real results'!C106))),1,0),0),0)</f>
        <v>0</v>
      </c>
      <c r="BA108" s="34">
        <f>IFERROR(IF('Raw data'!BA106&lt;&gt;"",IF(OR(UPPER(TRIM('Raw data'!BA106))=UPPER(TRIM('Real results'!C104)),UPPER(TRIM('Raw data'!BA106))=UPPER(TRIM('Real results'!C105)),UPPER(TRIM('Raw data'!BA106))=UPPER(TRIM('Real results'!C106))),1,0),0),0)</f>
        <v>0</v>
      </c>
      <c r="BC108" s="34">
        <f>IFERROR(IF('Raw data'!BC106&lt;&gt;"",IF(OR(UPPER(TRIM('Raw data'!BC106))=UPPER(TRIM('Real results'!C104)),UPPER(TRIM('Raw data'!BC106))=UPPER(TRIM('Real results'!C105)),UPPER(TRIM('Raw data'!BC106))=UPPER(TRIM('Real results'!C106))),1,0),0),0)</f>
        <v>0</v>
      </c>
      <c r="BE108" s="34">
        <f>IFERROR(IF('Raw data'!BE106&lt;&gt;"",IF(OR(UPPER(TRIM('Raw data'!BE106))=UPPER(TRIM('Real results'!C104)),UPPER(TRIM('Raw data'!BE106))=UPPER(TRIM('Real results'!C105)),UPPER(TRIM('Raw data'!BE106))=UPPER(TRIM('Real results'!C106))),1,0),0),0)</f>
        <v>0</v>
      </c>
      <c r="BG108" s="34">
        <f>IFERROR(IF('Raw data'!BG106&lt;&gt;"",IF(OR(UPPER(TRIM('Raw data'!BG106))=UPPER(TRIM('Real results'!C104)),UPPER(TRIM('Raw data'!BG106))=UPPER(TRIM('Real results'!C105)),UPPER(TRIM('Raw data'!BG106))=UPPER(TRIM('Real results'!C106))),1,0),0),0)</f>
        <v>0</v>
      </c>
      <c r="BI108" s="34">
        <f>IFERROR(IF('Raw data'!BI106&lt;&gt;"",IF(OR(UPPER(TRIM('Raw data'!BI106))=UPPER(TRIM('Real results'!C104)),UPPER(TRIM('Raw data'!BI106))=UPPER(TRIM('Real results'!C105)),UPPER(TRIM('Raw data'!BI106))=UPPER(TRIM('Real results'!C106))),1,0),0),0)</f>
        <v>0</v>
      </c>
    </row>
    <row r="109" ht="18.0" customHeight="1">
      <c r="B109" s="12" t="s">
        <v>365</v>
      </c>
      <c r="C109" s="34">
        <f>IFERROR(IF('Raw data'!C106&lt;&gt;"",IF(OR(UPPER(TRIM('Raw data'!C106))=UPPER(TRIM('Real results'!C107)),UPPER(TRIM('Raw data'!C106))=UPPER(TRIM('Real results'!C108)),UPPER(TRIM('Raw data'!C106))=UPPER(TRIM('Real results'!C109))),1,0)+IF(UPPER(TRIM('Raw data'!C106))=UPPER(TRIM('Real results'!C107)),2,0),0),0)</f>
        <v>0</v>
      </c>
      <c r="E109" s="34">
        <f>IFERROR(IF('Raw data'!E107&lt;&gt;"",IF(OR(UPPER(TRIM('Raw data'!E107))=UPPER(TRIM('Real results'!C107)),UPPER(TRIM('Raw data'!E107))=UPPER(TRIM('Real results'!C108)),UPPER(TRIM('Raw data'!E107))=UPPER(TRIM('Real results'!C109))),1,0)+IF(UPPER(TRIM('Raw data'!E107))=UPPER(TRIM('Real results'!C107)),2,0),0),0)</f>
        <v>0</v>
      </c>
      <c r="G109" s="34">
        <f>IFERROR(IF('Raw data'!G107&lt;&gt;"",IF(OR(UPPER(TRIM('Raw data'!G107))=UPPER(TRIM('Real results'!C107)),UPPER(TRIM('Raw data'!G107))=UPPER(TRIM('Real results'!C108)),UPPER(TRIM('Raw data'!G107))=UPPER(TRIM('Real results'!C109))),1,0)+IF(UPPER(TRIM('Raw data'!G107))=UPPER(TRIM('Real results'!C107)),2,0),0),0)</f>
        <v>0</v>
      </c>
      <c r="I109" s="34">
        <f>IFERROR(IF('Raw data'!I107&lt;&gt;"",IF(OR(UPPER(TRIM('Raw data'!I107))=UPPER(TRIM('Real results'!C107)),UPPER(TRIM('Raw data'!I107))=UPPER(TRIM('Real results'!C108)),UPPER(TRIM('Raw data'!I107))=UPPER(TRIM('Real results'!C109))),1,0)+IF(UPPER(TRIM('Raw data'!I107))=UPPER(TRIM('Real results'!C107)),2,0),0),0)</f>
        <v>0</v>
      </c>
      <c r="K109" s="34">
        <f>IFERROR(IF('Raw data'!K107&lt;&gt;"",IF(OR(UPPER(TRIM('Raw data'!K107))=UPPER(TRIM('Real results'!C107)),UPPER(TRIM('Raw data'!K107))=UPPER(TRIM('Real results'!C108)),UPPER(TRIM('Raw data'!K107))=UPPER(TRIM('Real results'!C109))),1,0)+IF(UPPER(TRIM('Raw data'!K107))=UPPER(TRIM('Real results'!C107)),2,0),0),0)</f>
        <v>0</v>
      </c>
      <c r="M109" s="34">
        <f>IFERROR(IF('Raw data'!M107&lt;&gt;"",IF(OR(UPPER(TRIM('Raw data'!M107))=UPPER(TRIM('Real results'!C107)),UPPER(TRIM('Raw data'!M107))=UPPER(TRIM('Real results'!C108)),UPPER(TRIM('Raw data'!M107))=UPPER(TRIM('Real results'!C109))),1,0)+IF(UPPER(TRIM('Raw data'!M107))=UPPER(TRIM('Real results'!C107)),2,0),0),0)</f>
        <v>0</v>
      </c>
      <c r="O109" s="34">
        <f>IFERROR(IF('Raw data'!O107&lt;&gt;"",IF(OR(UPPER(TRIM('Raw data'!O107))=UPPER(TRIM('Real results'!C107)),UPPER(TRIM('Raw data'!O107))=UPPER(TRIM('Real results'!C108)),UPPER(TRIM('Raw data'!O107))=UPPER(TRIM('Real results'!C109))),1,0)+IF(UPPER(TRIM('Raw data'!O107))=UPPER(TRIM('Real results'!C107)),2,0),0),0)</f>
        <v>0</v>
      </c>
      <c r="Q109" s="34">
        <f>IFERROR(IF('Raw data'!Q107&lt;&gt;"",IF(OR(UPPER(TRIM('Raw data'!Q107))=UPPER(TRIM('Real results'!C107)),UPPER(TRIM('Raw data'!Q107))=UPPER(TRIM('Real results'!C108)),UPPER(TRIM('Raw data'!Q107))=UPPER(TRIM('Real results'!C109))),1,0)+IF(UPPER(TRIM('Raw data'!Q107))=UPPER(TRIM('Real results'!C107)),2,0),0),0)</f>
        <v>0</v>
      </c>
      <c r="S109" s="34">
        <f>IFERROR(IF('Raw data'!S107&lt;&gt;"",IF(OR(UPPER(TRIM('Raw data'!S107))=UPPER(TRIM('Real results'!C107)),UPPER(TRIM('Raw data'!S107))=UPPER(TRIM('Real results'!C108)),UPPER(TRIM('Raw data'!S107))=UPPER(TRIM('Real results'!C109))),1,0)+IF(UPPER(TRIM('Raw data'!S107))=UPPER(TRIM('Real results'!C107)),2,0),0),0)</f>
        <v>0</v>
      </c>
      <c r="U109" s="34">
        <f>IFERROR(IF('Raw data'!U107&lt;&gt;"",IF(OR(UPPER(TRIM('Raw data'!U107))=UPPER(TRIM('Real results'!C107)),UPPER(TRIM('Raw data'!U107))=UPPER(TRIM('Real results'!C108)),UPPER(TRIM('Raw data'!U107))=UPPER(TRIM('Real results'!C109))),1,0)+IF(UPPER(TRIM('Raw data'!U107))=UPPER(TRIM('Real results'!C107)),2,0),0),0)</f>
        <v>0</v>
      </c>
      <c r="W109" s="34">
        <f>IFERROR(IF('Raw data'!W107&lt;&gt;"",IF(OR(UPPER(TRIM('Raw data'!W107))=UPPER(TRIM('Real results'!C107)),UPPER(TRIM('Raw data'!W107))=UPPER(TRIM('Real results'!C108)),UPPER(TRIM('Raw data'!W107))=UPPER(TRIM('Real results'!C109))),1,0)+IF(UPPER(TRIM('Raw data'!W107))=UPPER(TRIM('Real results'!C107)),2,0),0),0)</f>
        <v>0</v>
      </c>
      <c r="Y109" s="34">
        <f>IFERROR(IF('Raw data'!Y107&lt;&gt;"",IF(OR(UPPER(TRIM('Raw data'!Y107))=UPPER(TRIM('Real results'!C107)),UPPER(TRIM('Raw data'!Y107))=UPPER(TRIM('Real results'!C108)),UPPER(TRIM('Raw data'!Y107))=UPPER(TRIM('Real results'!C109))),1,0)+IF(UPPER(TRIM('Raw data'!Y107))=UPPER(TRIM('Real results'!C107)),2,0),0),0)</f>
        <v>0</v>
      </c>
      <c r="AA109" s="34">
        <f>IFERROR(IF('Raw data'!AA107&lt;&gt;"",IF(OR(UPPER(TRIM('Raw data'!AA107))=UPPER(TRIM('Real results'!C107)),UPPER(TRIM('Raw data'!AA107))=UPPER(TRIM('Real results'!C108)),UPPER(TRIM('Raw data'!AA107))=UPPER(TRIM('Real results'!C109))),1,0)+IF(UPPER(TRIM('Raw data'!AA107))=UPPER(TRIM('Real results'!C107)),2,0),0),0)</f>
        <v>0</v>
      </c>
      <c r="AC109" s="34">
        <f>IFERROR(IF('Raw data'!AC107&lt;&gt;"",IF(OR(UPPER(TRIM('Raw data'!AC107))=UPPER(TRIM('Real results'!C107)),UPPER(TRIM('Raw data'!AC107))=UPPER(TRIM('Real results'!C108)),UPPER(TRIM('Raw data'!AC107))=UPPER(TRIM('Real results'!C109))),1,0)+IF(UPPER(TRIM('Raw data'!AC107))=UPPER(TRIM('Real results'!C107)),2,0),0),0)</f>
        <v>0</v>
      </c>
      <c r="AE109" s="34">
        <f>IFERROR(IF('Raw data'!AE107&lt;&gt;"",IF(OR(UPPER(TRIM('Raw data'!AE107))=UPPER(TRIM('Real results'!C107)),UPPER(TRIM('Raw data'!AE107))=UPPER(TRIM('Real results'!C108)),UPPER(TRIM('Raw data'!AE107))=UPPER(TRIM('Real results'!C109))),1,0)+IF(UPPER(TRIM('Raw data'!AE107))=UPPER(TRIM('Real results'!C107)),2,0),0),0)</f>
        <v>0</v>
      </c>
      <c r="AG109" s="34">
        <f>IFERROR(IF('Raw data'!AG107&lt;&gt;"",IF(OR(UPPER(TRIM('Raw data'!AG107))=UPPER(TRIM('Real results'!C107)),UPPER(TRIM('Raw data'!AG107))=UPPER(TRIM('Real results'!C108)),UPPER(TRIM('Raw data'!AG107))=UPPER(TRIM('Real results'!C109))),1,0)+IF(UPPER(TRIM('Raw data'!AG107))=UPPER(TRIM('Real results'!C107)),2,0),0),0)</f>
        <v>0</v>
      </c>
      <c r="AI109" s="34">
        <f>IFERROR(IF('Raw data'!AI107&lt;&gt;"",IF(OR(UPPER(TRIM('Raw data'!AI107))=UPPER(TRIM('Real results'!C107)),UPPER(TRIM('Raw data'!AI107))=UPPER(TRIM('Real results'!C108)),UPPER(TRIM('Raw data'!AI107))=UPPER(TRIM('Real results'!C109))),1,0)+IF(UPPER(TRIM('Raw data'!AI107))=UPPER(TRIM('Real results'!C107)),2,0),0),0)</f>
        <v>0</v>
      </c>
      <c r="AK109" s="34">
        <f>IFERROR(IF('Raw data'!AK107&lt;&gt;"",IF(OR(UPPER(TRIM('Raw data'!AK107))=UPPER(TRIM('Real results'!C107)),UPPER(TRIM('Raw data'!AK107))=UPPER(TRIM('Real results'!C108)),UPPER(TRIM('Raw data'!AK107))=UPPER(TRIM('Real results'!C109))),1,0)+IF(UPPER(TRIM('Raw data'!AK107))=UPPER(TRIM('Real results'!C107)),2,0),0),0)</f>
        <v>0</v>
      </c>
      <c r="AM109" s="34">
        <f>IFERROR(IF('Raw data'!AM107&lt;&gt;"",IF(OR(UPPER(TRIM('Raw data'!AM107))=UPPER(TRIM('Real results'!C107)),UPPER(TRIM('Raw data'!AM107))=UPPER(TRIM('Real results'!C108)),UPPER(TRIM('Raw data'!AM107))=UPPER(TRIM('Real results'!C109))),1,0)+IF(UPPER(TRIM('Raw data'!AM107))=UPPER(TRIM('Real results'!C107)),2,0),0),0)</f>
        <v>0</v>
      </c>
      <c r="AO109" s="34">
        <f>IFERROR(IF('Raw data'!AO107&lt;&gt;"",IF(OR(UPPER(TRIM('Raw data'!AO107))=UPPER(TRIM('Real results'!C107)),UPPER(TRIM('Raw data'!AO107))=UPPER(TRIM('Real results'!C108)),UPPER(TRIM('Raw data'!AO107))=UPPER(TRIM('Real results'!C109))),1,0)+IF(UPPER(TRIM('Raw data'!AO107))=UPPER(TRIM('Real results'!C107)),2,0),0),0)</f>
        <v>0</v>
      </c>
      <c r="AQ109" s="34">
        <f>IFERROR(IF('Raw data'!AQ107&lt;&gt;"",IF(OR(UPPER(TRIM('Raw data'!AQ107))=UPPER(TRIM('Real results'!C107)),UPPER(TRIM('Raw data'!AQ107))=UPPER(TRIM('Real results'!C108)),UPPER(TRIM('Raw data'!AQ107))=UPPER(TRIM('Real results'!C109))),1,0)+IF(UPPER(TRIM('Raw data'!AQ107))=UPPER(TRIM('Real results'!C107)),2,0),0),0)</f>
        <v>0</v>
      </c>
      <c r="AS109" s="34">
        <f>IFERROR(IF('Raw data'!AS107&lt;&gt;"",IF(OR(UPPER(TRIM('Raw data'!AS107))=UPPER(TRIM('Real results'!C107)),UPPER(TRIM('Raw data'!AS107))=UPPER(TRIM('Real results'!C108)),UPPER(TRIM('Raw data'!AS107))=UPPER(TRIM('Real results'!C109))),1,0)+IF(UPPER(TRIM('Raw data'!AS107))=UPPER(TRIM('Real results'!C107)),2,0),0),0)</f>
        <v>0</v>
      </c>
      <c r="AU109" s="34">
        <f>IFERROR(IF('Raw data'!AU107&lt;&gt;"",IF(OR(UPPER(TRIM('Raw data'!AU107))=UPPER(TRIM('Real results'!C107)),UPPER(TRIM('Raw data'!AU107))=UPPER(TRIM('Real results'!C108)),UPPER(TRIM('Raw data'!AU107))=UPPER(TRIM('Real results'!C109))),1,0)+IF(UPPER(TRIM('Raw data'!AU107))=UPPER(TRIM('Real results'!C107)),2,0),0),0)</f>
        <v>0</v>
      </c>
      <c r="AW109" s="34">
        <f>IFERROR(IF('Raw data'!AW107&lt;&gt;"",IF(OR(UPPER(TRIM('Raw data'!AW107))=UPPER(TRIM('Real results'!C107)),UPPER(TRIM('Raw data'!AW107))=UPPER(TRIM('Real results'!C108)),UPPER(TRIM('Raw data'!AW107))=UPPER(TRIM('Real results'!C109))),1,0)+IF(UPPER(TRIM('Raw data'!AW107))=UPPER(TRIM('Real results'!C107)),2,0),0),0)</f>
        <v>0</v>
      </c>
      <c r="AY109" s="34">
        <f>IFERROR(IF('Raw data'!AY107&lt;&gt;"",IF(OR(UPPER(TRIM('Raw data'!AY107))=UPPER(TRIM('Real results'!C107)),UPPER(TRIM('Raw data'!AY107))=UPPER(TRIM('Real results'!C108)),UPPER(TRIM('Raw data'!AY107))=UPPER(TRIM('Real results'!C109))),1,0)+IF(UPPER(TRIM('Raw data'!AY107))=UPPER(TRIM('Real results'!C107)),2,0),0),0)</f>
        <v>0</v>
      </c>
      <c r="BA109" s="34">
        <f>IFERROR(IF('Raw data'!BA107&lt;&gt;"",IF(OR(UPPER(TRIM('Raw data'!BA107))=UPPER(TRIM('Real results'!C107)),UPPER(TRIM('Raw data'!BA107))=UPPER(TRIM('Real results'!C108)),UPPER(TRIM('Raw data'!BA107))=UPPER(TRIM('Real results'!C109))),1,0)+IF(UPPER(TRIM('Raw data'!BA107))=UPPER(TRIM('Real results'!C107)),2,0),0),0)</f>
        <v>0</v>
      </c>
      <c r="BC109" s="34">
        <f>IFERROR(IF('Raw data'!BC107&lt;&gt;"",IF(OR(UPPER(TRIM('Raw data'!BC107))=UPPER(TRIM('Real results'!C107)),UPPER(TRIM('Raw data'!BC107))=UPPER(TRIM('Real results'!C108)),UPPER(TRIM('Raw data'!BC107))=UPPER(TRIM('Real results'!C109))),1,0)+IF(UPPER(TRIM('Raw data'!BC107))=UPPER(TRIM('Real results'!C107)),2,0),0),0)</f>
        <v>0</v>
      </c>
      <c r="BE109" s="34">
        <f>IFERROR(IF('Raw data'!BE107&lt;&gt;"",IF(OR(UPPER(TRIM('Raw data'!BE107))=UPPER(TRIM('Real results'!C107)),UPPER(TRIM('Raw data'!BE107))=UPPER(TRIM('Real results'!C108)),UPPER(TRIM('Raw data'!BE107))=UPPER(TRIM('Real results'!C109))),1,0)+IF(UPPER(TRIM('Raw data'!BE107))=UPPER(TRIM('Real results'!C107)),2,0),0),0)</f>
        <v>0</v>
      </c>
      <c r="BG109" s="34">
        <f>IFERROR(IF('Raw data'!BG107&lt;&gt;"",IF(OR(UPPER(TRIM('Raw data'!BG107))=UPPER(TRIM('Real results'!C107)),UPPER(TRIM('Raw data'!BG107))=UPPER(TRIM('Real results'!C108)),UPPER(TRIM('Raw data'!BG107))=UPPER(TRIM('Real results'!C109))),1,0)+IF(UPPER(TRIM('Raw data'!BG107))=UPPER(TRIM('Real results'!C107)),2,0),0),0)</f>
        <v>0</v>
      </c>
      <c r="BI109" s="34">
        <f>IFERROR(IF('Raw data'!BI107&lt;&gt;"",IF(OR(UPPER(TRIM('Raw data'!BI107))=UPPER(TRIM('Real results'!C107)),UPPER(TRIM('Raw data'!BI107))=UPPER(TRIM('Real results'!C108)),UPPER(TRIM('Raw data'!BI107))=UPPER(TRIM('Real results'!C109))),1,0)+IF(UPPER(TRIM('Raw data'!BI107))=UPPER(TRIM('Real results'!C107)),2,0),0),0)</f>
        <v>0</v>
      </c>
    </row>
    <row r="110" ht="18.0" customHeight="1">
      <c r="B110" s="12" t="s">
        <v>366</v>
      </c>
      <c r="C110" s="34">
        <f>IFERROR(IF('Raw data'!C107&lt;&gt;"",IF(OR(UPPER(TRIM('Raw data'!C107))=UPPER(TRIM('Real results'!C107)),UPPER(TRIM('Raw data'!C107))=UPPER(TRIM('Real results'!C108)),UPPER(TRIM('Raw data'!C107))=UPPER(TRIM('Real results'!C109))),1,0),0),0)</f>
        <v>0</v>
      </c>
      <c r="E110" s="34">
        <f>IFERROR(IF('Raw data'!E108&lt;&gt;"",IF(OR(UPPER(TRIM('Raw data'!E108))=UPPER(TRIM('Real results'!C107)),UPPER(TRIM('Raw data'!E108))=UPPER(TRIM('Real results'!C108)),UPPER(TRIM('Raw data'!E108))=UPPER(TRIM('Real results'!C109))),1,0),0),0)</f>
        <v>0</v>
      </c>
      <c r="G110" s="34">
        <f>IFERROR(IF('Raw data'!G108&lt;&gt;"",IF(OR(UPPER(TRIM('Raw data'!G108))=UPPER(TRIM('Real results'!C107)),UPPER(TRIM('Raw data'!G108))=UPPER(TRIM('Real results'!C108)),UPPER(TRIM('Raw data'!G108))=UPPER(TRIM('Real results'!C109))),1,0),0),0)</f>
        <v>0</v>
      </c>
      <c r="I110" s="34">
        <f>IFERROR(IF('Raw data'!I108&lt;&gt;"",IF(OR(UPPER(TRIM('Raw data'!I108))=UPPER(TRIM('Real results'!C107)),UPPER(TRIM('Raw data'!I108))=UPPER(TRIM('Real results'!C108)),UPPER(TRIM('Raw data'!I108))=UPPER(TRIM('Real results'!C109))),1,0),0),0)</f>
        <v>0</v>
      </c>
      <c r="K110" s="34">
        <f>IFERROR(IF('Raw data'!K108&lt;&gt;"",IF(OR(UPPER(TRIM('Raw data'!K108))=UPPER(TRIM('Real results'!C107)),UPPER(TRIM('Raw data'!K108))=UPPER(TRIM('Real results'!C108)),UPPER(TRIM('Raw data'!K108))=UPPER(TRIM('Real results'!C109))),1,0),0),0)</f>
        <v>0</v>
      </c>
      <c r="M110" s="34">
        <f>IFERROR(IF('Raw data'!M108&lt;&gt;"",IF(OR(UPPER(TRIM('Raw data'!M108))=UPPER(TRIM('Real results'!C107)),UPPER(TRIM('Raw data'!M108))=UPPER(TRIM('Real results'!C108)),UPPER(TRIM('Raw data'!M108))=UPPER(TRIM('Real results'!C109))),1,0),0),0)</f>
        <v>0</v>
      </c>
      <c r="O110" s="34">
        <f>IFERROR(IF('Raw data'!O108&lt;&gt;"",IF(OR(UPPER(TRIM('Raw data'!O108))=UPPER(TRIM('Real results'!C107)),UPPER(TRIM('Raw data'!O108))=UPPER(TRIM('Real results'!C108)),UPPER(TRIM('Raw data'!O108))=UPPER(TRIM('Real results'!C109))),1,0),0),0)</f>
        <v>0</v>
      </c>
      <c r="Q110" s="34">
        <f>IFERROR(IF('Raw data'!Q108&lt;&gt;"",IF(OR(UPPER(TRIM('Raw data'!Q108))=UPPER(TRIM('Real results'!C107)),UPPER(TRIM('Raw data'!Q108))=UPPER(TRIM('Real results'!C108)),UPPER(TRIM('Raw data'!Q108))=UPPER(TRIM('Real results'!C109))),1,0),0),0)</f>
        <v>0</v>
      </c>
      <c r="S110" s="34">
        <f>IFERROR(IF('Raw data'!S108&lt;&gt;"",IF(OR(UPPER(TRIM('Raw data'!S108))=UPPER(TRIM('Real results'!C107)),UPPER(TRIM('Raw data'!S108))=UPPER(TRIM('Real results'!C108)),UPPER(TRIM('Raw data'!S108))=UPPER(TRIM('Real results'!C109))),1,0),0),0)</f>
        <v>0</v>
      </c>
      <c r="U110" s="34">
        <f>IFERROR(IF('Raw data'!U108&lt;&gt;"",IF(OR(UPPER(TRIM('Raw data'!U108))=UPPER(TRIM('Real results'!C107)),UPPER(TRIM('Raw data'!U108))=UPPER(TRIM('Real results'!C108)),UPPER(TRIM('Raw data'!U108))=UPPER(TRIM('Real results'!C109))),1,0),0),0)</f>
        <v>0</v>
      </c>
      <c r="W110" s="34">
        <f>IFERROR(IF('Raw data'!W108&lt;&gt;"",IF(OR(UPPER(TRIM('Raw data'!W108))=UPPER(TRIM('Real results'!C107)),UPPER(TRIM('Raw data'!W108))=UPPER(TRIM('Real results'!C108)),UPPER(TRIM('Raw data'!W108))=UPPER(TRIM('Real results'!C109))),1,0),0),0)</f>
        <v>0</v>
      </c>
      <c r="Y110" s="34">
        <f>IFERROR(IF('Raw data'!Y108&lt;&gt;"",IF(OR(UPPER(TRIM('Raw data'!Y108))=UPPER(TRIM('Real results'!C107)),UPPER(TRIM('Raw data'!Y108))=UPPER(TRIM('Real results'!C108)),UPPER(TRIM('Raw data'!Y108))=UPPER(TRIM('Real results'!C109))),1,0),0),0)</f>
        <v>0</v>
      </c>
      <c r="AA110" s="34">
        <f>IFERROR(IF('Raw data'!AA108&lt;&gt;"",IF(OR(UPPER(TRIM('Raw data'!AA108))=UPPER(TRIM('Real results'!C107)),UPPER(TRIM('Raw data'!AA108))=UPPER(TRIM('Real results'!C108)),UPPER(TRIM('Raw data'!AA108))=UPPER(TRIM('Real results'!C109))),1,0),0),0)</f>
        <v>0</v>
      </c>
      <c r="AC110" s="34">
        <f>IFERROR(IF('Raw data'!AC108&lt;&gt;"",IF(OR(UPPER(TRIM('Raw data'!AC108))=UPPER(TRIM('Real results'!C107)),UPPER(TRIM('Raw data'!AC108))=UPPER(TRIM('Real results'!C108)),UPPER(TRIM('Raw data'!AC108))=UPPER(TRIM('Real results'!C109))),1,0),0),0)</f>
        <v>0</v>
      </c>
      <c r="AE110" s="34">
        <f>IFERROR(IF('Raw data'!AE108&lt;&gt;"",IF(OR(UPPER(TRIM('Raw data'!AE108))=UPPER(TRIM('Real results'!C107)),UPPER(TRIM('Raw data'!AE108))=UPPER(TRIM('Real results'!C108)),UPPER(TRIM('Raw data'!AE108))=UPPER(TRIM('Real results'!C109))),1,0),0),0)</f>
        <v>0</v>
      </c>
      <c r="AG110" s="34">
        <f>IFERROR(IF('Raw data'!AG108&lt;&gt;"",IF(OR(UPPER(TRIM('Raw data'!AG108))=UPPER(TRIM('Real results'!C107)),UPPER(TRIM('Raw data'!AG108))=UPPER(TRIM('Real results'!C108)),UPPER(TRIM('Raw data'!AG108))=UPPER(TRIM('Real results'!C109))),1,0),0),0)</f>
        <v>0</v>
      </c>
      <c r="AI110" s="34">
        <f>IFERROR(IF('Raw data'!AI108&lt;&gt;"",IF(OR(UPPER(TRIM('Raw data'!AI108))=UPPER(TRIM('Real results'!C107)),UPPER(TRIM('Raw data'!AI108))=UPPER(TRIM('Real results'!C108)),UPPER(TRIM('Raw data'!AI108))=UPPER(TRIM('Real results'!C109))),1,0),0),0)</f>
        <v>0</v>
      </c>
      <c r="AK110" s="34">
        <f>IFERROR(IF('Raw data'!AK108&lt;&gt;"",IF(OR(UPPER(TRIM('Raw data'!AK108))=UPPER(TRIM('Real results'!C107)),UPPER(TRIM('Raw data'!AK108))=UPPER(TRIM('Real results'!C108)),UPPER(TRIM('Raw data'!AK108))=UPPER(TRIM('Real results'!C109))),1,0),0),0)</f>
        <v>0</v>
      </c>
      <c r="AM110" s="34">
        <f>IFERROR(IF('Raw data'!AM108&lt;&gt;"",IF(OR(UPPER(TRIM('Raw data'!AM108))=UPPER(TRIM('Real results'!C107)),UPPER(TRIM('Raw data'!AM108))=UPPER(TRIM('Real results'!C108)),UPPER(TRIM('Raw data'!AM108))=UPPER(TRIM('Real results'!C109))),1,0),0),0)</f>
        <v>0</v>
      </c>
      <c r="AO110" s="34">
        <f>IFERROR(IF('Raw data'!AO108&lt;&gt;"",IF(OR(UPPER(TRIM('Raw data'!AO108))=UPPER(TRIM('Real results'!C107)),UPPER(TRIM('Raw data'!AO108))=UPPER(TRIM('Real results'!C108)),UPPER(TRIM('Raw data'!AO108))=UPPER(TRIM('Real results'!C109))),1,0),0),0)</f>
        <v>0</v>
      </c>
      <c r="AQ110" s="34">
        <f>IFERROR(IF('Raw data'!AQ108&lt;&gt;"",IF(OR(UPPER(TRIM('Raw data'!AQ108))=UPPER(TRIM('Real results'!C107)),UPPER(TRIM('Raw data'!AQ108))=UPPER(TRIM('Real results'!C108)),UPPER(TRIM('Raw data'!AQ108))=UPPER(TRIM('Real results'!C109))),1,0),0),0)</f>
        <v>0</v>
      </c>
      <c r="AS110" s="34">
        <f>IFERROR(IF('Raw data'!AS108&lt;&gt;"",IF(OR(UPPER(TRIM('Raw data'!AS108))=UPPER(TRIM('Real results'!C107)),UPPER(TRIM('Raw data'!AS108))=UPPER(TRIM('Real results'!C108)),UPPER(TRIM('Raw data'!AS108))=UPPER(TRIM('Real results'!C109))),1,0),0),0)</f>
        <v>0</v>
      </c>
      <c r="AU110" s="34">
        <f>IFERROR(IF('Raw data'!AU108&lt;&gt;"",IF(OR(UPPER(TRIM('Raw data'!AU108))=UPPER(TRIM('Real results'!C107)),UPPER(TRIM('Raw data'!AU108))=UPPER(TRIM('Real results'!C108)),UPPER(TRIM('Raw data'!AU108))=UPPER(TRIM('Real results'!C109))),1,0),0),0)</f>
        <v>0</v>
      </c>
      <c r="AW110" s="34">
        <f>IFERROR(IF('Raw data'!AW108&lt;&gt;"",IF(OR(UPPER(TRIM('Raw data'!AW108))=UPPER(TRIM('Real results'!C107)),UPPER(TRIM('Raw data'!AW108))=UPPER(TRIM('Real results'!C108)),UPPER(TRIM('Raw data'!AW108))=UPPER(TRIM('Real results'!C109))),1,0),0),0)</f>
        <v>0</v>
      </c>
      <c r="AY110" s="34">
        <f>IFERROR(IF('Raw data'!AY108&lt;&gt;"",IF(OR(UPPER(TRIM('Raw data'!AY108))=UPPER(TRIM('Real results'!C107)),UPPER(TRIM('Raw data'!AY108))=UPPER(TRIM('Real results'!C108)),UPPER(TRIM('Raw data'!AY108))=UPPER(TRIM('Real results'!C109))),1,0),0),0)</f>
        <v>0</v>
      </c>
      <c r="BA110" s="34">
        <f>IFERROR(IF('Raw data'!BA108&lt;&gt;"",IF(OR(UPPER(TRIM('Raw data'!BA108))=UPPER(TRIM('Real results'!C107)),UPPER(TRIM('Raw data'!BA108))=UPPER(TRIM('Real results'!C108)),UPPER(TRIM('Raw data'!BA108))=UPPER(TRIM('Real results'!C109))),1,0),0),0)</f>
        <v>0</v>
      </c>
      <c r="BC110" s="34">
        <f>IFERROR(IF('Raw data'!BC108&lt;&gt;"",IF(OR(UPPER(TRIM('Raw data'!BC108))=UPPER(TRIM('Real results'!C107)),UPPER(TRIM('Raw data'!BC108))=UPPER(TRIM('Real results'!C108)),UPPER(TRIM('Raw data'!BC108))=UPPER(TRIM('Real results'!C109))),1,0),0),0)</f>
        <v>0</v>
      </c>
      <c r="BE110" s="34">
        <f>IFERROR(IF('Raw data'!BE108&lt;&gt;"",IF(OR(UPPER(TRIM('Raw data'!BE108))=UPPER(TRIM('Real results'!C107)),UPPER(TRIM('Raw data'!BE108))=UPPER(TRIM('Real results'!C108)),UPPER(TRIM('Raw data'!BE108))=UPPER(TRIM('Real results'!C109))),1,0),0),0)</f>
        <v>0</v>
      </c>
      <c r="BG110" s="34">
        <f>IFERROR(IF('Raw data'!BG108&lt;&gt;"",IF(OR(UPPER(TRIM('Raw data'!BG108))=UPPER(TRIM('Real results'!C107)),UPPER(TRIM('Raw data'!BG108))=UPPER(TRIM('Real results'!C108)),UPPER(TRIM('Raw data'!BG108))=UPPER(TRIM('Real results'!C109))),1,0),0),0)</f>
        <v>0</v>
      </c>
      <c r="BI110" s="34">
        <f>IFERROR(IF('Raw data'!BI108&lt;&gt;"",IF(OR(UPPER(TRIM('Raw data'!BI108))=UPPER(TRIM('Real results'!C107)),UPPER(TRIM('Raw data'!BI108))=UPPER(TRIM('Real results'!C108)),UPPER(TRIM('Raw data'!BI108))=UPPER(TRIM('Real results'!C109))),1,0),0),0)</f>
        <v>0</v>
      </c>
    </row>
    <row r="111" ht="18.0" customHeight="1">
      <c r="B111" s="12" t="s">
        <v>367</v>
      </c>
      <c r="C111" s="34">
        <f>IFERROR(IF('Raw data'!C108&lt;&gt;"",IF(OR(UPPER(TRIM('Raw data'!C108))=UPPER(TRIM('Real results'!C107)),UPPER(TRIM('Raw data'!C108))=UPPER(TRIM('Real results'!C108)),UPPER(TRIM('Raw data'!C108))=UPPER(TRIM('Real results'!C109))),1,0),0),0)</f>
        <v>0</v>
      </c>
      <c r="E111" s="34">
        <f>IFERROR(IF('Raw data'!E109&lt;&gt;"",IF(OR(UPPER(TRIM('Raw data'!E109))=UPPER(TRIM('Real results'!C107)),UPPER(TRIM('Raw data'!E109))=UPPER(TRIM('Real results'!C108)),UPPER(TRIM('Raw data'!E109))=UPPER(TRIM('Real results'!C109))),1,0),0),0)</f>
        <v>0</v>
      </c>
      <c r="G111" s="34">
        <f>IFERROR(IF('Raw data'!G109&lt;&gt;"",IF(OR(UPPER(TRIM('Raw data'!G109))=UPPER(TRIM('Real results'!C107)),UPPER(TRIM('Raw data'!G109))=UPPER(TRIM('Real results'!C108)),UPPER(TRIM('Raw data'!G109))=UPPER(TRIM('Real results'!C109))),1,0),0),0)</f>
        <v>0</v>
      </c>
      <c r="I111" s="34">
        <f>IFERROR(IF('Raw data'!I109&lt;&gt;"",IF(OR(UPPER(TRIM('Raw data'!I109))=UPPER(TRIM('Real results'!C107)),UPPER(TRIM('Raw data'!I109))=UPPER(TRIM('Real results'!C108)),UPPER(TRIM('Raw data'!I109))=UPPER(TRIM('Real results'!C109))),1,0),0),0)</f>
        <v>0</v>
      </c>
      <c r="K111" s="34">
        <f>IFERROR(IF('Raw data'!K109&lt;&gt;"",IF(OR(UPPER(TRIM('Raw data'!K109))=UPPER(TRIM('Real results'!C107)),UPPER(TRIM('Raw data'!K109))=UPPER(TRIM('Real results'!C108)),UPPER(TRIM('Raw data'!K109))=UPPER(TRIM('Real results'!C109))),1,0),0),0)</f>
        <v>0</v>
      </c>
      <c r="M111" s="34">
        <f>IFERROR(IF('Raw data'!M109&lt;&gt;"",IF(OR(UPPER(TRIM('Raw data'!M109))=UPPER(TRIM('Real results'!C107)),UPPER(TRIM('Raw data'!M109))=UPPER(TRIM('Real results'!C108)),UPPER(TRIM('Raw data'!M109))=UPPER(TRIM('Real results'!C109))),1,0),0),0)</f>
        <v>0</v>
      </c>
      <c r="O111" s="34">
        <f>IFERROR(IF('Raw data'!O109&lt;&gt;"",IF(OR(UPPER(TRIM('Raw data'!O109))=UPPER(TRIM('Real results'!C107)),UPPER(TRIM('Raw data'!O109))=UPPER(TRIM('Real results'!C108)),UPPER(TRIM('Raw data'!O109))=UPPER(TRIM('Real results'!C109))),1,0),0),0)</f>
        <v>0</v>
      </c>
      <c r="Q111" s="34">
        <f>IFERROR(IF('Raw data'!Q109&lt;&gt;"",IF(OR(UPPER(TRIM('Raw data'!Q109))=UPPER(TRIM('Real results'!C107)),UPPER(TRIM('Raw data'!Q109))=UPPER(TRIM('Real results'!C108)),UPPER(TRIM('Raw data'!Q109))=UPPER(TRIM('Real results'!C109))),1,0),0),0)</f>
        <v>0</v>
      </c>
      <c r="S111" s="34">
        <f>IFERROR(IF('Raw data'!S109&lt;&gt;"",IF(OR(UPPER(TRIM('Raw data'!S109))=UPPER(TRIM('Real results'!C107)),UPPER(TRIM('Raw data'!S109))=UPPER(TRIM('Real results'!C108)),UPPER(TRIM('Raw data'!S109))=UPPER(TRIM('Real results'!C109))),1,0),0),0)</f>
        <v>0</v>
      </c>
      <c r="U111" s="34">
        <f>IFERROR(IF('Raw data'!U109&lt;&gt;"",IF(OR(UPPER(TRIM('Raw data'!U109))=UPPER(TRIM('Real results'!C107)),UPPER(TRIM('Raw data'!U109))=UPPER(TRIM('Real results'!C108)),UPPER(TRIM('Raw data'!U109))=UPPER(TRIM('Real results'!C109))),1,0),0),0)</f>
        <v>0</v>
      </c>
      <c r="W111" s="34">
        <f>IFERROR(IF('Raw data'!W109&lt;&gt;"",IF(OR(UPPER(TRIM('Raw data'!W109))=UPPER(TRIM('Real results'!C107)),UPPER(TRIM('Raw data'!W109))=UPPER(TRIM('Real results'!C108)),UPPER(TRIM('Raw data'!W109))=UPPER(TRIM('Real results'!C109))),1,0),0),0)</f>
        <v>0</v>
      </c>
      <c r="Y111" s="34">
        <f>IFERROR(IF('Raw data'!Y109&lt;&gt;"",IF(OR(UPPER(TRIM('Raw data'!Y109))=UPPER(TRIM('Real results'!C107)),UPPER(TRIM('Raw data'!Y109))=UPPER(TRIM('Real results'!C108)),UPPER(TRIM('Raw data'!Y109))=UPPER(TRIM('Real results'!C109))),1,0),0),0)</f>
        <v>0</v>
      </c>
      <c r="AA111" s="34">
        <f>IFERROR(IF('Raw data'!AA109&lt;&gt;"",IF(OR(UPPER(TRIM('Raw data'!AA109))=UPPER(TRIM('Real results'!C107)),UPPER(TRIM('Raw data'!AA109))=UPPER(TRIM('Real results'!C108)),UPPER(TRIM('Raw data'!AA109))=UPPER(TRIM('Real results'!C109))),1,0),0),0)</f>
        <v>0</v>
      </c>
      <c r="AC111" s="34">
        <f>IFERROR(IF('Raw data'!AC109&lt;&gt;"",IF(OR(UPPER(TRIM('Raw data'!AC109))=UPPER(TRIM('Real results'!C107)),UPPER(TRIM('Raw data'!AC109))=UPPER(TRIM('Real results'!C108)),UPPER(TRIM('Raw data'!AC109))=UPPER(TRIM('Real results'!C109))),1,0),0),0)</f>
        <v>0</v>
      </c>
      <c r="AE111" s="34">
        <f>IFERROR(IF('Raw data'!AE109&lt;&gt;"",IF(OR(UPPER(TRIM('Raw data'!AE109))=UPPER(TRIM('Real results'!C107)),UPPER(TRIM('Raw data'!AE109))=UPPER(TRIM('Real results'!C108)),UPPER(TRIM('Raw data'!AE109))=UPPER(TRIM('Real results'!C109))),1,0),0),0)</f>
        <v>0</v>
      </c>
      <c r="AG111" s="34">
        <f>IFERROR(IF('Raw data'!AG109&lt;&gt;"",IF(OR(UPPER(TRIM('Raw data'!AG109))=UPPER(TRIM('Real results'!C107)),UPPER(TRIM('Raw data'!AG109))=UPPER(TRIM('Real results'!C108)),UPPER(TRIM('Raw data'!AG109))=UPPER(TRIM('Real results'!C109))),1,0),0),0)</f>
        <v>0</v>
      </c>
      <c r="AI111" s="34">
        <f>IFERROR(IF('Raw data'!AI109&lt;&gt;"",IF(OR(UPPER(TRIM('Raw data'!AI109))=UPPER(TRIM('Real results'!C107)),UPPER(TRIM('Raw data'!AI109))=UPPER(TRIM('Real results'!C108)),UPPER(TRIM('Raw data'!AI109))=UPPER(TRIM('Real results'!C109))),1,0),0),0)</f>
        <v>0</v>
      </c>
      <c r="AK111" s="34">
        <f>IFERROR(IF('Raw data'!AK109&lt;&gt;"",IF(OR(UPPER(TRIM('Raw data'!AK109))=UPPER(TRIM('Real results'!C107)),UPPER(TRIM('Raw data'!AK109))=UPPER(TRIM('Real results'!C108)),UPPER(TRIM('Raw data'!AK109))=UPPER(TRIM('Real results'!C109))),1,0),0),0)</f>
        <v>0</v>
      </c>
      <c r="AM111" s="34">
        <f>IFERROR(IF('Raw data'!AM109&lt;&gt;"",IF(OR(UPPER(TRIM('Raw data'!AM109))=UPPER(TRIM('Real results'!C107)),UPPER(TRIM('Raw data'!AM109))=UPPER(TRIM('Real results'!C108)),UPPER(TRIM('Raw data'!AM109))=UPPER(TRIM('Real results'!C109))),1,0),0),0)</f>
        <v>0</v>
      </c>
      <c r="AO111" s="34">
        <f>IFERROR(IF('Raw data'!AO109&lt;&gt;"",IF(OR(UPPER(TRIM('Raw data'!AO109))=UPPER(TRIM('Real results'!C107)),UPPER(TRIM('Raw data'!AO109))=UPPER(TRIM('Real results'!C108)),UPPER(TRIM('Raw data'!AO109))=UPPER(TRIM('Real results'!C109))),1,0),0),0)</f>
        <v>0</v>
      </c>
      <c r="AQ111" s="34">
        <f>IFERROR(IF('Raw data'!AQ109&lt;&gt;"",IF(OR(UPPER(TRIM('Raw data'!AQ109))=UPPER(TRIM('Real results'!C107)),UPPER(TRIM('Raw data'!AQ109))=UPPER(TRIM('Real results'!C108)),UPPER(TRIM('Raw data'!AQ109))=UPPER(TRIM('Real results'!C109))),1,0),0),0)</f>
        <v>0</v>
      </c>
      <c r="AS111" s="34">
        <f>IFERROR(IF('Raw data'!AS109&lt;&gt;"",IF(OR(UPPER(TRIM('Raw data'!AS109))=UPPER(TRIM('Real results'!C107)),UPPER(TRIM('Raw data'!AS109))=UPPER(TRIM('Real results'!C108)),UPPER(TRIM('Raw data'!AS109))=UPPER(TRIM('Real results'!C109))),1,0),0),0)</f>
        <v>0</v>
      </c>
      <c r="AU111" s="34">
        <f>IFERROR(IF('Raw data'!AU109&lt;&gt;"",IF(OR(UPPER(TRIM('Raw data'!AU109))=UPPER(TRIM('Real results'!C107)),UPPER(TRIM('Raw data'!AU109))=UPPER(TRIM('Real results'!C108)),UPPER(TRIM('Raw data'!AU109))=UPPER(TRIM('Real results'!C109))),1,0),0),0)</f>
        <v>0</v>
      </c>
      <c r="AW111" s="34">
        <f>IFERROR(IF('Raw data'!AW109&lt;&gt;"",IF(OR(UPPER(TRIM('Raw data'!AW109))=UPPER(TRIM('Real results'!C107)),UPPER(TRIM('Raw data'!AW109))=UPPER(TRIM('Real results'!C108)),UPPER(TRIM('Raw data'!AW109))=UPPER(TRIM('Real results'!C109))),1,0),0),0)</f>
        <v>0</v>
      </c>
      <c r="AY111" s="34">
        <f>IFERROR(IF('Raw data'!AY109&lt;&gt;"",IF(OR(UPPER(TRIM('Raw data'!AY109))=UPPER(TRIM('Real results'!C107)),UPPER(TRIM('Raw data'!AY109))=UPPER(TRIM('Real results'!C108)),UPPER(TRIM('Raw data'!AY109))=UPPER(TRIM('Real results'!C109))),1,0),0),0)</f>
        <v>0</v>
      </c>
      <c r="BA111" s="34">
        <f>IFERROR(IF('Raw data'!BA109&lt;&gt;"",IF(OR(UPPER(TRIM('Raw data'!BA109))=UPPER(TRIM('Real results'!C107)),UPPER(TRIM('Raw data'!BA109))=UPPER(TRIM('Real results'!C108)),UPPER(TRIM('Raw data'!BA109))=UPPER(TRIM('Real results'!C109))),1,0),0),0)</f>
        <v>0</v>
      </c>
      <c r="BC111" s="34">
        <f>IFERROR(IF('Raw data'!BC109&lt;&gt;"",IF(OR(UPPER(TRIM('Raw data'!BC109))=UPPER(TRIM('Real results'!C107)),UPPER(TRIM('Raw data'!BC109))=UPPER(TRIM('Real results'!C108)),UPPER(TRIM('Raw data'!BC109))=UPPER(TRIM('Real results'!C109))),1,0),0),0)</f>
        <v>0</v>
      </c>
      <c r="BE111" s="34">
        <f>IFERROR(IF('Raw data'!BE109&lt;&gt;"",IF(OR(UPPER(TRIM('Raw data'!BE109))=UPPER(TRIM('Real results'!C107)),UPPER(TRIM('Raw data'!BE109))=UPPER(TRIM('Real results'!C108)),UPPER(TRIM('Raw data'!BE109))=UPPER(TRIM('Real results'!C109))),1,0),0),0)</f>
        <v>0</v>
      </c>
      <c r="BG111" s="34">
        <f>IFERROR(IF('Raw data'!BG109&lt;&gt;"",IF(OR(UPPER(TRIM('Raw data'!BG109))=UPPER(TRIM('Real results'!C107)),UPPER(TRIM('Raw data'!BG109))=UPPER(TRIM('Real results'!C108)),UPPER(TRIM('Raw data'!BG109))=UPPER(TRIM('Real results'!C109))),1,0),0),0)</f>
        <v>0</v>
      </c>
      <c r="BI111" s="34">
        <f>IFERROR(IF('Raw data'!BI109&lt;&gt;"",IF(OR(UPPER(TRIM('Raw data'!BI109))=UPPER(TRIM('Real results'!C107)),UPPER(TRIM('Raw data'!BI109))=UPPER(TRIM('Real results'!C108)),UPPER(TRIM('Raw data'!BI109))=UPPER(TRIM('Real results'!C109))),1,0),0),0)</f>
        <v>0</v>
      </c>
    </row>
    <row r="112" ht="18.0" customHeight="1">
      <c r="B112" s="12" t="s">
        <v>368</v>
      </c>
      <c r="C112" s="34">
        <f>IFERROR(IF('Raw data'!C109&lt;&gt;"",IF(OR(UPPER(TRIM('Raw data'!C109))=UPPER(TRIM('Real results'!C110)),UPPER(TRIM('Raw data'!C109))=UPPER(TRIM('Real results'!C111)),UPPER(TRIM('Raw data'!C109))=UPPER(TRIM('Real results'!C112))),1,0)+IF(UPPER(TRIM('Raw data'!C109))=UPPER(TRIM('Real results'!C110)),2,0),0),0)</f>
        <v>0</v>
      </c>
      <c r="E112" s="34">
        <f>IFERROR(IF('Raw data'!E110&lt;&gt;"",IF(OR(UPPER(TRIM('Raw data'!E110))=UPPER(TRIM('Real results'!C110)),UPPER(TRIM('Raw data'!E110))=UPPER(TRIM('Real results'!C111)),UPPER(TRIM('Raw data'!E110))=UPPER(TRIM('Real results'!C112))),1,0)+IF(UPPER(TRIM('Raw data'!E110))=UPPER(TRIM('Real results'!C110)),2,0),0),0)</f>
        <v>0</v>
      </c>
      <c r="G112" s="34">
        <f>IFERROR(IF('Raw data'!G110&lt;&gt;"",IF(OR(UPPER(TRIM('Raw data'!G110))=UPPER(TRIM('Real results'!C110)),UPPER(TRIM('Raw data'!G110))=UPPER(TRIM('Real results'!C111)),UPPER(TRIM('Raw data'!G110))=UPPER(TRIM('Real results'!C112))),1,0)+IF(UPPER(TRIM('Raw data'!G110))=UPPER(TRIM('Real results'!C110)),2,0),0),0)</f>
        <v>0</v>
      </c>
      <c r="I112" s="34">
        <f>IFERROR(IF('Raw data'!I110&lt;&gt;"",IF(OR(UPPER(TRIM('Raw data'!I110))=UPPER(TRIM('Real results'!C110)),UPPER(TRIM('Raw data'!I110))=UPPER(TRIM('Real results'!C111)),UPPER(TRIM('Raw data'!I110))=UPPER(TRIM('Real results'!C112))),1,0)+IF(UPPER(TRIM('Raw data'!I110))=UPPER(TRIM('Real results'!C110)),2,0),0),0)</f>
        <v>0</v>
      </c>
      <c r="K112" s="34">
        <f>IFERROR(IF('Raw data'!K110&lt;&gt;"",IF(OR(UPPER(TRIM('Raw data'!K110))=UPPER(TRIM('Real results'!C110)),UPPER(TRIM('Raw data'!K110))=UPPER(TRIM('Real results'!C111)),UPPER(TRIM('Raw data'!K110))=UPPER(TRIM('Real results'!C112))),1,0)+IF(UPPER(TRIM('Raw data'!K110))=UPPER(TRIM('Real results'!C110)),2,0),0),0)</f>
        <v>0</v>
      </c>
      <c r="M112" s="34">
        <f>IFERROR(IF('Raw data'!M110&lt;&gt;"",IF(OR(UPPER(TRIM('Raw data'!M110))=UPPER(TRIM('Real results'!C110)),UPPER(TRIM('Raw data'!M110))=UPPER(TRIM('Real results'!C111)),UPPER(TRIM('Raw data'!M110))=UPPER(TRIM('Real results'!C112))),1,0)+IF(UPPER(TRIM('Raw data'!M110))=UPPER(TRIM('Real results'!C110)),2,0),0),0)</f>
        <v>0</v>
      </c>
      <c r="O112" s="34">
        <f>IFERROR(IF('Raw data'!O110&lt;&gt;"",IF(OR(UPPER(TRIM('Raw data'!O110))=UPPER(TRIM('Real results'!C110)),UPPER(TRIM('Raw data'!O110))=UPPER(TRIM('Real results'!C111)),UPPER(TRIM('Raw data'!O110))=UPPER(TRIM('Real results'!C112))),1,0)+IF(UPPER(TRIM('Raw data'!O110))=UPPER(TRIM('Real results'!C110)),2,0),0),0)</f>
        <v>0</v>
      </c>
      <c r="Q112" s="34">
        <f>IFERROR(IF('Raw data'!Q110&lt;&gt;"",IF(OR(UPPER(TRIM('Raw data'!Q110))=UPPER(TRIM('Real results'!C110)),UPPER(TRIM('Raw data'!Q110))=UPPER(TRIM('Real results'!C111)),UPPER(TRIM('Raw data'!Q110))=UPPER(TRIM('Real results'!C112))),1,0)+IF(UPPER(TRIM('Raw data'!Q110))=UPPER(TRIM('Real results'!C110)),2,0),0),0)</f>
        <v>0</v>
      </c>
      <c r="S112" s="34">
        <f>IFERROR(IF('Raw data'!S110&lt;&gt;"",IF(OR(UPPER(TRIM('Raw data'!S110))=UPPER(TRIM('Real results'!C110)),UPPER(TRIM('Raw data'!S110))=UPPER(TRIM('Real results'!C111)),UPPER(TRIM('Raw data'!S110))=UPPER(TRIM('Real results'!C112))),1,0)+IF(UPPER(TRIM('Raw data'!S110))=UPPER(TRIM('Real results'!C110)),2,0),0),0)</f>
        <v>0</v>
      </c>
      <c r="U112" s="34">
        <f>IFERROR(IF('Raw data'!U110&lt;&gt;"",IF(OR(UPPER(TRIM('Raw data'!U110))=UPPER(TRIM('Real results'!C110)),UPPER(TRIM('Raw data'!U110))=UPPER(TRIM('Real results'!C111)),UPPER(TRIM('Raw data'!U110))=UPPER(TRIM('Real results'!C112))),1,0)+IF(UPPER(TRIM('Raw data'!U110))=UPPER(TRIM('Real results'!C110)),2,0),0),0)</f>
        <v>0</v>
      </c>
      <c r="W112" s="34">
        <f>IFERROR(IF('Raw data'!W110&lt;&gt;"",IF(OR(UPPER(TRIM('Raw data'!W110))=UPPER(TRIM('Real results'!C110)),UPPER(TRIM('Raw data'!W110))=UPPER(TRIM('Real results'!C111)),UPPER(TRIM('Raw data'!W110))=UPPER(TRIM('Real results'!C112))),1,0)+IF(UPPER(TRIM('Raw data'!W110))=UPPER(TRIM('Real results'!C110)),2,0),0),0)</f>
        <v>0</v>
      </c>
      <c r="Y112" s="34">
        <f>IFERROR(IF('Raw data'!Y110&lt;&gt;"",IF(OR(UPPER(TRIM('Raw data'!Y110))=UPPER(TRIM('Real results'!C110)),UPPER(TRIM('Raw data'!Y110))=UPPER(TRIM('Real results'!C111)),UPPER(TRIM('Raw data'!Y110))=UPPER(TRIM('Real results'!C112))),1,0)+IF(UPPER(TRIM('Raw data'!Y110))=UPPER(TRIM('Real results'!C110)),2,0),0),0)</f>
        <v>0</v>
      </c>
      <c r="AA112" s="34">
        <f>IFERROR(IF('Raw data'!AA110&lt;&gt;"",IF(OR(UPPER(TRIM('Raw data'!AA110))=UPPER(TRIM('Real results'!C110)),UPPER(TRIM('Raw data'!AA110))=UPPER(TRIM('Real results'!C111)),UPPER(TRIM('Raw data'!AA110))=UPPER(TRIM('Real results'!C112))),1,0)+IF(UPPER(TRIM('Raw data'!AA110))=UPPER(TRIM('Real results'!C110)),2,0),0),0)</f>
        <v>0</v>
      </c>
      <c r="AC112" s="34">
        <f>IFERROR(IF('Raw data'!AC110&lt;&gt;"",IF(OR(UPPER(TRIM('Raw data'!AC110))=UPPER(TRIM('Real results'!C110)),UPPER(TRIM('Raw data'!AC110))=UPPER(TRIM('Real results'!C111)),UPPER(TRIM('Raw data'!AC110))=UPPER(TRIM('Real results'!C112))),1,0)+IF(UPPER(TRIM('Raw data'!AC110))=UPPER(TRIM('Real results'!C110)),2,0),0),0)</f>
        <v>0</v>
      </c>
      <c r="AE112" s="34">
        <f>IFERROR(IF('Raw data'!AE110&lt;&gt;"",IF(OR(UPPER(TRIM('Raw data'!AE110))=UPPER(TRIM('Real results'!C110)),UPPER(TRIM('Raw data'!AE110))=UPPER(TRIM('Real results'!C111)),UPPER(TRIM('Raw data'!AE110))=UPPER(TRIM('Real results'!C112))),1,0)+IF(UPPER(TRIM('Raw data'!AE110))=UPPER(TRIM('Real results'!C110)),2,0),0),0)</f>
        <v>0</v>
      </c>
      <c r="AG112" s="34">
        <f>IFERROR(IF('Raw data'!AG110&lt;&gt;"",IF(OR(UPPER(TRIM('Raw data'!AG110))=UPPER(TRIM('Real results'!C110)),UPPER(TRIM('Raw data'!AG110))=UPPER(TRIM('Real results'!C111)),UPPER(TRIM('Raw data'!AG110))=UPPER(TRIM('Real results'!C112))),1,0)+IF(UPPER(TRIM('Raw data'!AG110))=UPPER(TRIM('Real results'!C110)),2,0),0),0)</f>
        <v>0</v>
      </c>
      <c r="AI112" s="34">
        <f>IFERROR(IF('Raw data'!AI110&lt;&gt;"",IF(OR(UPPER(TRIM('Raw data'!AI110))=UPPER(TRIM('Real results'!C110)),UPPER(TRIM('Raw data'!AI110))=UPPER(TRIM('Real results'!C111)),UPPER(TRIM('Raw data'!AI110))=UPPER(TRIM('Real results'!C112))),1,0)+IF(UPPER(TRIM('Raw data'!AI110))=UPPER(TRIM('Real results'!C110)),2,0),0),0)</f>
        <v>0</v>
      </c>
      <c r="AK112" s="34">
        <f>IFERROR(IF('Raw data'!AK110&lt;&gt;"",IF(OR(UPPER(TRIM('Raw data'!AK110))=UPPER(TRIM('Real results'!C110)),UPPER(TRIM('Raw data'!AK110))=UPPER(TRIM('Real results'!C111)),UPPER(TRIM('Raw data'!AK110))=UPPER(TRIM('Real results'!C112))),1,0)+IF(UPPER(TRIM('Raw data'!AK110))=UPPER(TRIM('Real results'!C110)),2,0),0),0)</f>
        <v>0</v>
      </c>
      <c r="AM112" s="34">
        <f>IFERROR(IF('Raw data'!AM110&lt;&gt;"",IF(OR(UPPER(TRIM('Raw data'!AM110))=UPPER(TRIM('Real results'!C110)),UPPER(TRIM('Raw data'!AM110))=UPPER(TRIM('Real results'!C111)),UPPER(TRIM('Raw data'!AM110))=UPPER(TRIM('Real results'!C112))),1,0)+IF(UPPER(TRIM('Raw data'!AM110))=UPPER(TRIM('Real results'!C110)),2,0),0),0)</f>
        <v>0</v>
      </c>
      <c r="AO112" s="34">
        <f>IFERROR(IF('Raw data'!AO110&lt;&gt;"",IF(OR(UPPER(TRIM('Raw data'!AO110))=UPPER(TRIM('Real results'!C110)),UPPER(TRIM('Raw data'!AO110))=UPPER(TRIM('Real results'!C111)),UPPER(TRIM('Raw data'!AO110))=UPPER(TRIM('Real results'!C112))),1,0)+IF(UPPER(TRIM('Raw data'!AO110))=UPPER(TRIM('Real results'!C110)),2,0),0),0)</f>
        <v>0</v>
      </c>
      <c r="AQ112" s="34">
        <f>IFERROR(IF('Raw data'!AQ110&lt;&gt;"",IF(OR(UPPER(TRIM('Raw data'!AQ110))=UPPER(TRIM('Real results'!C110)),UPPER(TRIM('Raw data'!AQ110))=UPPER(TRIM('Real results'!C111)),UPPER(TRIM('Raw data'!AQ110))=UPPER(TRIM('Real results'!C112))),1,0)+IF(UPPER(TRIM('Raw data'!AQ110))=UPPER(TRIM('Real results'!C110)),2,0),0),0)</f>
        <v>0</v>
      </c>
      <c r="AS112" s="34">
        <f>IFERROR(IF('Raw data'!AS110&lt;&gt;"",IF(OR(UPPER(TRIM('Raw data'!AS110))=UPPER(TRIM('Real results'!C110)),UPPER(TRIM('Raw data'!AS110))=UPPER(TRIM('Real results'!C111)),UPPER(TRIM('Raw data'!AS110))=UPPER(TRIM('Real results'!C112))),1,0)+IF(UPPER(TRIM('Raw data'!AS110))=UPPER(TRIM('Real results'!C110)),2,0),0),0)</f>
        <v>0</v>
      </c>
      <c r="AU112" s="34">
        <f>IFERROR(IF('Raw data'!AU110&lt;&gt;"",IF(OR(UPPER(TRIM('Raw data'!AU110))=UPPER(TRIM('Real results'!C110)),UPPER(TRIM('Raw data'!AU110))=UPPER(TRIM('Real results'!C111)),UPPER(TRIM('Raw data'!AU110))=UPPER(TRIM('Real results'!C112))),1,0)+IF(UPPER(TRIM('Raw data'!AU110))=UPPER(TRIM('Real results'!C110)),2,0),0),0)</f>
        <v>0</v>
      </c>
      <c r="AW112" s="34">
        <f>IFERROR(IF('Raw data'!AW110&lt;&gt;"",IF(OR(UPPER(TRIM('Raw data'!AW110))=UPPER(TRIM('Real results'!C110)),UPPER(TRIM('Raw data'!AW110))=UPPER(TRIM('Real results'!C111)),UPPER(TRIM('Raw data'!AW110))=UPPER(TRIM('Real results'!C112))),1,0)+IF(UPPER(TRIM('Raw data'!AW110))=UPPER(TRIM('Real results'!C110)),2,0),0),0)</f>
        <v>0</v>
      </c>
      <c r="AY112" s="34">
        <f>IFERROR(IF('Raw data'!AY110&lt;&gt;"",IF(OR(UPPER(TRIM('Raw data'!AY110))=UPPER(TRIM('Real results'!C110)),UPPER(TRIM('Raw data'!AY110))=UPPER(TRIM('Real results'!C111)),UPPER(TRIM('Raw data'!AY110))=UPPER(TRIM('Real results'!C112))),1,0)+IF(UPPER(TRIM('Raw data'!AY110))=UPPER(TRIM('Real results'!C110)),2,0),0),0)</f>
        <v>0</v>
      </c>
      <c r="BA112" s="34">
        <f>IFERROR(IF('Raw data'!BA110&lt;&gt;"",IF(OR(UPPER(TRIM('Raw data'!BA110))=UPPER(TRIM('Real results'!C110)),UPPER(TRIM('Raw data'!BA110))=UPPER(TRIM('Real results'!C111)),UPPER(TRIM('Raw data'!BA110))=UPPER(TRIM('Real results'!C112))),1,0)+IF(UPPER(TRIM('Raw data'!BA110))=UPPER(TRIM('Real results'!C110)),2,0),0),0)</f>
        <v>0</v>
      </c>
      <c r="BC112" s="34">
        <f>IFERROR(IF('Raw data'!BC110&lt;&gt;"",IF(OR(UPPER(TRIM('Raw data'!BC110))=UPPER(TRIM('Real results'!C110)),UPPER(TRIM('Raw data'!BC110))=UPPER(TRIM('Real results'!C111)),UPPER(TRIM('Raw data'!BC110))=UPPER(TRIM('Real results'!C112))),1,0)+IF(UPPER(TRIM('Raw data'!BC110))=UPPER(TRIM('Real results'!C110)),2,0),0),0)</f>
        <v>0</v>
      </c>
      <c r="BE112" s="34">
        <f>IFERROR(IF('Raw data'!BE110&lt;&gt;"",IF(OR(UPPER(TRIM('Raw data'!BE110))=UPPER(TRIM('Real results'!C110)),UPPER(TRIM('Raw data'!BE110))=UPPER(TRIM('Real results'!C111)),UPPER(TRIM('Raw data'!BE110))=UPPER(TRIM('Real results'!C112))),1,0)+IF(UPPER(TRIM('Raw data'!BE110))=UPPER(TRIM('Real results'!C110)),2,0),0),0)</f>
        <v>0</v>
      </c>
      <c r="BG112" s="34">
        <f>IFERROR(IF('Raw data'!BG110&lt;&gt;"",IF(OR(UPPER(TRIM('Raw data'!BG110))=UPPER(TRIM('Real results'!C110)),UPPER(TRIM('Raw data'!BG110))=UPPER(TRIM('Real results'!C111)),UPPER(TRIM('Raw data'!BG110))=UPPER(TRIM('Real results'!C112))),1,0)+IF(UPPER(TRIM('Raw data'!BG110))=UPPER(TRIM('Real results'!C110)),2,0),0),0)</f>
        <v>0</v>
      </c>
      <c r="BI112" s="34">
        <f>IFERROR(IF('Raw data'!BI110&lt;&gt;"",IF(OR(UPPER(TRIM('Raw data'!BI110))=UPPER(TRIM('Real results'!C110)),UPPER(TRIM('Raw data'!BI110))=UPPER(TRIM('Real results'!C111)),UPPER(TRIM('Raw data'!BI110))=UPPER(TRIM('Real results'!C112))),1,0)+IF(UPPER(TRIM('Raw data'!BI110))=UPPER(TRIM('Real results'!C110)),2,0),0),0)</f>
        <v>0</v>
      </c>
    </row>
    <row r="113" ht="18.0" customHeight="1">
      <c r="B113" s="12" t="s">
        <v>369</v>
      </c>
      <c r="C113" s="34">
        <f>IFERROR(IF('Raw data'!C110&lt;&gt;"",IF(OR(UPPER(TRIM('Raw data'!C110))=UPPER(TRIM('Real results'!C110)),UPPER(TRIM('Raw data'!C110))=UPPER(TRIM('Real results'!C111)),UPPER(TRIM('Raw data'!C110))=UPPER(TRIM('Real results'!C112))),1,0),0),0)</f>
        <v>0</v>
      </c>
      <c r="E113" s="34">
        <f>IFERROR(IF('Raw data'!E111&lt;&gt;"",IF(OR(UPPER(TRIM('Raw data'!E111))=UPPER(TRIM('Real results'!C110)),UPPER(TRIM('Raw data'!E111))=UPPER(TRIM('Real results'!C111)),UPPER(TRIM('Raw data'!E111))=UPPER(TRIM('Real results'!C112))),1,0),0),0)</f>
        <v>0</v>
      </c>
      <c r="G113" s="34">
        <f>IFERROR(IF('Raw data'!G111&lt;&gt;"",IF(OR(UPPER(TRIM('Raw data'!G111))=UPPER(TRIM('Real results'!C110)),UPPER(TRIM('Raw data'!G111))=UPPER(TRIM('Real results'!C111)),UPPER(TRIM('Raw data'!G111))=UPPER(TRIM('Real results'!C112))),1,0),0),0)</f>
        <v>0</v>
      </c>
      <c r="I113" s="34">
        <f>IFERROR(IF('Raw data'!I111&lt;&gt;"",IF(OR(UPPER(TRIM('Raw data'!I111))=UPPER(TRIM('Real results'!C110)),UPPER(TRIM('Raw data'!I111))=UPPER(TRIM('Real results'!C111)),UPPER(TRIM('Raw data'!I111))=UPPER(TRIM('Real results'!C112))),1,0),0),0)</f>
        <v>0</v>
      </c>
      <c r="K113" s="34">
        <f>IFERROR(IF('Raw data'!K111&lt;&gt;"",IF(OR(UPPER(TRIM('Raw data'!K111))=UPPER(TRIM('Real results'!C110)),UPPER(TRIM('Raw data'!K111))=UPPER(TRIM('Real results'!C111)),UPPER(TRIM('Raw data'!K111))=UPPER(TRIM('Real results'!C112))),1,0),0),0)</f>
        <v>0</v>
      </c>
      <c r="M113" s="34">
        <f>IFERROR(IF('Raw data'!M111&lt;&gt;"",IF(OR(UPPER(TRIM('Raw data'!M111))=UPPER(TRIM('Real results'!C110)),UPPER(TRIM('Raw data'!M111))=UPPER(TRIM('Real results'!C111)),UPPER(TRIM('Raw data'!M111))=UPPER(TRIM('Real results'!C112))),1,0),0),0)</f>
        <v>0</v>
      </c>
      <c r="O113" s="34">
        <f>IFERROR(IF('Raw data'!O111&lt;&gt;"",IF(OR(UPPER(TRIM('Raw data'!O111))=UPPER(TRIM('Real results'!C110)),UPPER(TRIM('Raw data'!O111))=UPPER(TRIM('Real results'!C111)),UPPER(TRIM('Raw data'!O111))=UPPER(TRIM('Real results'!C112))),1,0),0),0)</f>
        <v>0</v>
      </c>
      <c r="Q113" s="34">
        <f>IFERROR(IF('Raw data'!Q111&lt;&gt;"",IF(OR(UPPER(TRIM('Raw data'!Q111))=UPPER(TRIM('Real results'!C110)),UPPER(TRIM('Raw data'!Q111))=UPPER(TRIM('Real results'!C111)),UPPER(TRIM('Raw data'!Q111))=UPPER(TRIM('Real results'!C112))),1,0),0),0)</f>
        <v>0</v>
      </c>
      <c r="S113" s="34">
        <f>IFERROR(IF('Raw data'!S111&lt;&gt;"",IF(OR(UPPER(TRIM('Raw data'!S111))=UPPER(TRIM('Real results'!C110)),UPPER(TRIM('Raw data'!S111))=UPPER(TRIM('Real results'!C111)),UPPER(TRIM('Raw data'!S111))=UPPER(TRIM('Real results'!C112))),1,0),0),0)</f>
        <v>0</v>
      </c>
      <c r="U113" s="34">
        <f>IFERROR(IF('Raw data'!U111&lt;&gt;"",IF(OR(UPPER(TRIM('Raw data'!U111))=UPPER(TRIM('Real results'!C110)),UPPER(TRIM('Raw data'!U111))=UPPER(TRIM('Real results'!C111)),UPPER(TRIM('Raw data'!U111))=UPPER(TRIM('Real results'!C112))),1,0),0),0)</f>
        <v>0</v>
      </c>
      <c r="W113" s="34">
        <f>IFERROR(IF('Raw data'!W111&lt;&gt;"",IF(OR(UPPER(TRIM('Raw data'!W111))=UPPER(TRIM('Real results'!C110)),UPPER(TRIM('Raw data'!W111))=UPPER(TRIM('Real results'!C111)),UPPER(TRIM('Raw data'!W111))=UPPER(TRIM('Real results'!C112))),1,0),0),0)</f>
        <v>0</v>
      </c>
      <c r="Y113" s="34">
        <f>IFERROR(IF('Raw data'!Y111&lt;&gt;"",IF(OR(UPPER(TRIM('Raw data'!Y111))=UPPER(TRIM('Real results'!C110)),UPPER(TRIM('Raw data'!Y111))=UPPER(TRIM('Real results'!C111)),UPPER(TRIM('Raw data'!Y111))=UPPER(TRIM('Real results'!C112))),1,0),0),0)</f>
        <v>0</v>
      </c>
      <c r="AA113" s="34">
        <f>IFERROR(IF('Raw data'!AA111&lt;&gt;"",IF(OR(UPPER(TRIM('Raw data'!AA111))=UPPER(TRIM('Real results'!C110)),UPPER(TRIM('Raw data'!AA111))=UPPER(TRIM('Real results'!C111)),UPPER(TRIM('Raw data'!AA111))=UPPER(TRIM('Real results'!C112))),1,0),0),0)</f>
        <v>0</v>
      </c>
      <c r="AC113" s="34">
        <f>IFERROR(IF('Raw data'!AC111&lt;&gt;"",IF(OR(UPPER(TRIM('Raw data'!AC111))=UPPER(TRIM('Real results'!C110)),UPPER(TRIM('Raw data'!AC111))=UPPER(TRIM('Real results'!C111)),UPPER(TRIM('Raw data'!AC111))=UPPER(TRIM('Real results'!C112))),1,0),0),0)</f>
        <v>0</v>
      </c>
      <c r="AE113" s="34">
        <f>IFERROR(IF('Raw data'!AE111&lt;&gt;"",IF(OR(UPPER(TRIM('Raw data'!AE111))=UPPER(TRIM('Real results'!C110)),UPPER(TRIM('Raw data'!AE111))=UPPER(TRIM('Real results'!C111)),UPPER(TRIM('Raw data'!AE111))=UPPER(TRIM('Real results'!C112))),1,0),0),0)</f>
        <v>0</v>
      </c>
      <c r="AG113" s="34">
        <f>IFERROR(IF('Raw data'!AG111&lt;&gt;"",IF(OR(UPPER(TRIM('Raw data'!AG111))=UPPER(TRIM('Real results'!C110)),UPPER(TRIM('Raw data'!AG111))=UPPER(TRIM('Real results'!C111)),UPPER(TRIM('Raw data'!AG111))=UPPER(TRIM('Real results'!C112))),1,0),0),0)</f>
        <v>0</v>
      </c>
      <c r="AI113" s="34">
        <f>IFERROR(IF('Raw data'!AI111&lt;&gt;"",IF(OR(UPPER(TRIM('Raw data'!AI111))=UPPER(TRIM('Real results'!C110)),UPPER(TRIM('Raw data'!AI111))=UPPER(TRIM('Real results'!C111)),UPPER(TRIM('Raw data'!AI111))=UPPER(TRIM('Real results'!C112))),1,0),0),0)</f>
        <v>0</v>
      </c>
      <c r="AK113" s="34">
        <f>IFERROR(IF('Raw data'!AK111&lt;&gt;"",IF(OR(UPPER(TRIM('Raw data'!AK111))=UPPER(TRIM('Real results'!C110)),UPPER(TRIM('Raw data'!AK111))=UPPER(TRIM('Real results'!C111)),UPPER(TRIM('Raw data'!AK111))=UPPER(TRIM('Real results'!C112))),1,0),0),0)</f>
        <v>0</v>
      </c>
      <c r="AM113" s="34">
        <f>IFERROR(IF('Raw data'!AM111&lt;&gt;"",IF(OR(UPPER(TRIM('Raw data'!AM111))=UPPER(TRIM('Real results'!C110)),UPPER(TRIM('Raw data'!AM111))=UPPER(TRIM('Real results'!C111)),UPPER(TRIM('Raw data'!AM111))=UPPER(TRIM('Real results'!C112))),1,0),0),0)</f>
        <v>0</v>
      </c>
      <c r="AO113" s="34">
        <f>IFERROR(IF('Raw data'!AO111&lt;&gt;"",IF(OR(UPPER(TRIM('Raw data'!AO111))=UPPER(TRIM('Real results'!C110)),UPPER(TRIM('Raw data'!AO111))=UPPER(TRIM('Real results'!C111)),UPPER(TRIM('Raw data'!AO111))=UPPER(TRIM('Real results'!C112))),1,0),0),0)</f>
        <v>0</v>
      </c>
      <c r="AQ113" s="34">
        <f>IFERROR(IF('Raw data'!AQ111&lt;&gt;"",IF(OR(UPPER(TRIM('Raw data'!AQ111))=UPPER(TRIM('Real results'!C110)),UPPER(TRIM('Raw data'!AQ111))=UPPER(TRIM('Real results'!C111)),UPPER(TRIM('Raw data'!AQ111))=UPPER(TRIM('Real results'!C112))),1,0),0),0)</f>
        <v>0</v>
      </c>
      <c r="AS113" s="34">
        <f>IFERROR(IF('Raw data'!AS111&lt;&gt;"",IF(OR(UPPER(TRIM('Raw data'!AS111))=UPPER(TRIM('Real results'!C110)),UPPER(TRIM('Raw data'!AS111))=UPPER(TRIM('Real results'!C111)),UPPER(TRIM('Raw data'!AS111))=UPPER(TRIM('Real results'!C112))),1,0),0),0)</f>
        <v>0</v>
      </c>
      <c r="AU113" s="34">
        <f>IFERROR(IF('Raw data'!AU111&lt;&gt;"",IF(OR(UPPER(TRIM('Raw data'!AU111))=UPPER(TRIM('Real results'!C110)),UPPER(TRIM('Raw data'!AU111))=UPPER(TRIM('Real results'!C111)),UPPER(TRIM('Raw data'!AU111))=UPPER(TRIM('Real results'!C112))),1,0),0),0)</f>
        <v>0</v>
      </c>
      <c r="AW113" s="34">
        <f>IFERROR(IF('Raw data'!AW111&lt;&gt;"",IF(OR(UPPER(TRIM('Raw data'!AW111))=UPPER(TRIM('Real results'!C110)),UPPER(TRIM('Raw data'!AW111))=UPPER(TRIM('Real results'!C111)),UPPER(TRIM('Raw data'!AW111))=UPPER(TRIM('Real results'!C112))),1,0),0),0)</f>
        <v>0</v>
      </c>
      <c r="AY113" s="34">
        <f>IFERROR(IF('Raw data'!AY111&lt;&gt;"",IF(OR(UPPER(TRIM('Raw data'!AY111))=UPPER(TRIM('Real results'!C110)),UPPER(TRIM('Raw data'!AY111))=UPPER(TRIM('Real results'!C111)),UPPER(TRIM('Raw data'!AY111))=UPPER(TRIM('Real results'!C112))),1,0),0),0)</f>
        <v>0</v>
      </c>
      <c r="BA113" s="34">
        <f>IFERROR(IF('Raw data'!BA111&lt;&gt;"",IF(OR(UPPER(TRIM('Raw data'!BA111))=UPPER(TRIM('Real results'!C110)),UPPER(TRIM('Raw data'!BA111))=UPPER(TRIM('Real results'!C111)),UPPER(TRIM('Raw data'!BA111))=UPPER(TRIM('Real results'!C112))),1,0),0),0)</f>
        <v>0</v>
      </c>
      <c r="BC113" s="34">
        <f>IFERROR(IF('Raw data'!BC111&lt;&gt;"",IF(OR(UPPER(TRIM('Raw data'!BC111))=UPPER(TRIM('Real results'!C110)),UPPER(TRIM('Raw data'!BC111))=UPPER(TRIM('Real results'!C111)),UPPER(TRIM('Raw data'!BC111))=UPPER(TRIM('Real results'!C112))),1,0),0),0)</f>
        <v>0</v>
      </c>
      <c r="BE113" s="34">
        <f>IFERROR(IF('Raw data'!BE111&lt;&gt;"",IF(OR(UPPER(TRIM('Raw data'!BE111))=UPPER(TRIM('Real results'!C110)),UPPER(TRIM('Raw data'!BE111))=UPPER(TRIM('Real results'!C111)),UPPER(TRIM('Raw data'!BE111))=UPPER(TRIM('Real results'!C112))),1,0),0),0)</f>
        <v>0</v>
      </c>
      <c r="BG113" s="34">
        <f>IFERROR(IF('Raw data'!BG111&lt;&gt;"",IF(OR(UPPER(TRIM('Raw data'!BG111))=UPPER(TRIM('Real results'!C110)),UPPER(TRIM('Raw data'!BG111))=UPPER(TRIM('Real results'!C111)),UPPER(TRIM('Raw data'!BG111))=UPPER(TRIM('Real results'!C112))),1,0),0),0)</f>
        <v>0</v>
      </c>
      <c r="BI113" s="34">
        <f>IFERROR(IF('Raw data'!BI111&lt;&gt;"",IF(OR(UPPER(TRIM('Raw data'!BI111))=UPPER(TRIM('Real results'!C110)),UPPER(TRIM('Raw data'!BI111))=UPPER(TRIM('Real results'!C111)),UPPER(TRIM('Raw data'!BI111))=UPPER(TRIM('Real results'!C112))),1,0),0),0)</f>
        <v>0</v>
      </c>
    </row>
    <row r="114" ht="18.0" customHeight="1">
      <c r="B114" s="12" t="s">
        <v>370</v>
      </c>
      <c r="C114" s="34">
        <f>IFERROR(IF('Raw data'!C111&lt;&gt;"",IF(OR(UPPER(TRIM('Raw data'!C111))=UPPER(TRIM('Real results'!C110)),UPPER(TRIM('Raw data'!C111))=UPPER(TRIM('Real results'!C111)),UPPER(TRIM('Raw data'!C111))=UPPER(TRIM('Real results'!C112))),1,0),0),0)</f>
        <v>0</v>
      </c>
      <c r="E114" s="34">
        <f>IFERROR(IF('Raw data'!E112&lt;&gt;"",IF(OR(UPPER(TRIM('Raw data'!E112))=UPPER(TRIM('Real results'!C110)),UPPER(TRIM('Raw data'!E112))=UPPER(TRIM('Real results'!C111)),UPPER(TRIM('Raw data'!E112))=UPPER(TRIM('Real results'!C112))),1,0),0),0)</f>
        <v>0</v>
      </c>
      <c r="G114" s="34">
        <f>IFERROR(IF('Raw data'!G112&lt;&gt;"",IF(OR(UPPER(TRIM('Raw data'!G112))=UPPER(TRIM('Real results'!C110)),UPPER(TRIM('Raw data'!G112))=UPPER(TRIM('Real results'!C111)),UPPER(TRIM('Raw data'!G112))=UPPER(TRIM('Real results'!C112))),1,0),0),0)</f>
        <v>0</v>
      </c>
      <c r="I114" s="34">
        <f>IFERROR(IF('Raw data'!I112&lt;&gt;"",IF(OR(UPPER(TRIM('Raw data'!I112))=UPPER(TRIM('Real results'!C110)),UPPER(TRIM('Raw data'!I112))=UPPER(TRIM('Real results'!C111)),UPPER(TRIM('Raw data'!I112))=UPPER(TRIM('Real results'!C112))),1,0),0),0)</f>
        <v>0</v>
      </c>
      <c r="K114" s="34">
        <f>IFERROR(IF('Raw data'!K112&lt;&gt;"",IF(OR(UPPER(TRIM('Raw data'!K112))=UPPER(TRIM('Real results'!C110)),UPPER(TRIM('Raw data'!K112))=UPPER(TRIM('Real results'!C111)),UPPER(TRIM('Raw data'!K112))=UPPER(TRIM('Real results'!C112))),1,0),0),0)</f>
        <v>0</v>
      </c>
      <c r="M114" s="34">
        <f>IFERROR(IF('Raw data'!M112&lt;&gt;"",IF(OR(UPPER(TRIM('Raw data'!M112))=UPPER(TRIM('Real results'!C110)),UPPER(TRIM('Raw data'!M112))=UPPER(TRIM('Real results'!C111)),UPPER(TRIM('Raw data'!M112))=UPPER(TRIM('Real results'!C112))),1,0),0),0)</f>
        <v>0</v>
      </c>
      <c r="O114" s="34">
        <f>IFERROR(IF('Raw data'!O112&lt;&gt;"",IF(OR(UPPER(TRIM('Raw data'!O112))=UPPER(TRIM('Real results'!C110)),UPPER(TRIM('Raw data'!O112))=UPPER(TRIM('Real results'!C111)),UPPER(TRIM('Raw data'!O112))=UPPER(TRIM('Real results'!C112))),1,0),0),0)</f>
        <v>0</v>
      </c>
      <c r="Q114" s="34">
        <f>IFERROR(IF('Raw data'!Q112&lt;&gt;"",IF(OR(UPPER(TRIM('Raw data'!Q112))=UPPER(TRIM('Real results'!C110)),UPPER(TRIM('Raw data'!Q112))=UPPER(TRIM('Real results'!C111)),UPPER(TRIM('Raw data'!Q112))=UPPER(TRIM('Real results'!C112))),1,0),0),0)</f>
        <v>0</v>
      </c>
      <c r="S114" s="34">
        <f>IFERROR(IF('Raw data'!S112&lt;&gt;"",IF(OR(UPPER(TRIM('Raw data'!S112))=UPPER(TRIM('Real results'!C110)),UPPER(TRIM('Raw data'!S112))=UPPER(TRIM('Real results'!C111)),UPPER(TRIM('Raw data'!S112))=UPPER(TRIM('Real results'!C112))),1,0),0),0)</f>
        <v>0</v>
      </c>
      <c r="U114" s="34">
        <f>IFERROR(IF('Raw data'!U112&lt;&gt;"",IF(OR(UPPER(TRIM('Raw data'!U112))=UPPER(TRIM('Real results'!C110)),UPPER(TRIM('Raw data'!U112))=UPPER(TRIM('Real results'!C111)),UPPER(TRIM('Raw data'!U112))=UPPER(TRIM('Real results'!C112))),1,0),0),0)</f>
        <v>0</v>
      </c>
      <c r="W114" s="34">
        <f>IFERROR(IF('Raw data'!W112&lt;&gt;"",IF(OR(UPPER(TRIM('Raw data'!W112))=UPPER(TRIM('Real results'!C110)),UPPER(TRIM('Raw data'!W112))=UPPER(TRIM('Real results'!C111)),UPPER(TRIM('Raw data'!W112))=UPPER(TRIM('Real results'!C112))),1,0),0),0)</f>
        <v>0</v>
      </c>
      <c r="Y114" s="34">
        <f>IFERROR(IF('Raw data'!Y112&lt;&gt;"",IF(OR(UPPER(TRIM('Raw data'!Y112))=UPPER(TRIM('Real results'!C110)),UPPER(TRIM('Raw data'!Y112))=UPPER(TRIM('Real results'!C111)),UPPER(TRIM('Raw data'!Y112))=UPPER(TRIM('Real results'!C112))),1,0),0),0)</f>
        <v>0</v>
      </c>
      <c r="AA114" s="34">
        <f>IFERROR(IF('Raw data'!AA112&lt;&gt;"",IF(OR(UPPER(TRIM('Raw data'!AA112))=UPPER(TRIM('Real results'!C110)),UPPER(TRIM('Raw data'!AA112))=UPPER(TRIM('Real results'!C111)),UPPER(TRIM('Raw data'!AA112))=UPPER(TRIM('Real results'!C112))),1,0),0),0)</f>
        <v>0</v>
      </c>
      <c r="AC114" s="34">
        <f>IFERROR(IF('Raw data'!AC112&lt;&gt;"",IF(OR(UPPER(TRIM('Raw data'!AC112))=UPPER(TRIM('Real results'!C110)),UPPER(TRIM('Raw data'!AC112))=UPPER(TRIM('Real results'!C111)),UPPER(TRIM('Raw data'!AC112))=UPPER(TRIM('Real results'!C112))),1,0),0),0)</f>
        <v>0</v>
      </c>
      <c r="AE114" s="34">
        <f>IFERROR(IF('Raw data'!AE112&lt;&gt;"",IF(OR(UPPER(TRIM('Raw data'!AE112))=UPPER(TRIM('Real results'!C110)),UPPER(TRIM('Raw data'!AE112))=UPPER(TRIM('Real results'!C111)),UPPER(TRIM('Raw data'!AE112))=UPPER(TRIM('Real results'!C112))),1,0),0),0)</f>
        <v>0</v>
      </c>
      <c r="AG114" s="34">
        <f>IFERROR(IF('Raw data'!AG112&lt;&gt;"",IF(OR(UPPER(TRIM('Raw data'!AG112))=UPPER(TRIM('Real results'!C110)),UPPER(TRIM('Raw data'!AG112))=UPPER(TRIM('Real results'!C111)),UPPER(TRIM('Raw data'!AG112))=UPPER(TRIM('Real results'!C112))),1,0),0),0)</f>
        <v>0</v>
      </c>
      <c r="AI114" s="34">
        <f>IFERROR(IF('Raw data'!AI112&lt;&gt;"",IF(OR(UPPER(TRIM('Raw data'!AI112))=UPPER(TRIM('Real results'!C110)),UPPER(TRIM('Raw data'!AI112))=UPPER(TRIM('Real results'!C111)),UPPER(TRIM('Raw data'!AI112))=UPPER(TRIM('Real results'!C112))),1,0),0),0)</f>
        <v>0</v>
      </c>
      <c r="AK114" s="34">
        <f>IFERROR(IF('Raw data'!AK112&lt;&gt;"",IF(OR(UPPER(TRIM('Raw data'!AK112))=UPPER(TRIM('Real results'!C110)),UPPER(TRIM('Raw data'!AK112))=UPPER(TRIM('Real results'!C111)),UPPER(TRIM('Raw data'!AK112))=UPPER(TRIM('Real results'!C112))),1,0),0),0)</f>
        <v>0</v>
      </c>
      <c r="AM114" s="34">
        <f>IFERROR(IF('Raw data'!AM112&lt;&gt;"",IF(OR(UPPER(TRIM('Raw data'!AM112))=UPPER(TRIM('Real results'!C110)),UPPER(TRIM('Raw data'!AM112))=UPPER(TRIM('Real results'!C111)),UPPER(TRIM('Raw data'!AM112))=UPPER(TRIM('Real results'!C112))),1,0),0),0)</f>
        <v>0</v>
      </c>
      <c r="AO114" s="34">
        <f>IFERROR(IF('Raw data'!AO112&lt;&gt;"",IF(OR(UPPER(TRIM('Raw data'!AO112))=UPPER(TRIM('Real results'!C110)),UPPER(TRIM('Raw data'!AO112))=UPPER(TRIM('Real results'!C111)),UPPER(TRIM('Raw data'!AO112))=UPPER(TRIM('Real results'!C112))),1,0),0),0)</f>
        <v>0</v>
      </c>
      <c r="AQ114" s="34">
        <f>IFERROR(IF('Raw data'!AQ112&lt;&gt;"",IF(OR(UPPER(TRIM('Raw data'!AQ112))=UPPER(TRIM('Real results'!C110)),UPPER(TRIM('Raw data'!AQ112))=UPPER(TRIM('Real results'!C111)),UPPER(TRIM('Raw data'!AQ112))=UPPER(TRIM('Real results'!C112))),1,0),0),0)</f>
        <v>0</v>
      </c>
      <c r="AS114" s="34">
        <f>IFERROR(IF('Raw data'!AS112&lt;&gt;"",IF(OR(UPPER(TRIM('Raw data'!AS112))=UPPER(TRIM('Real results'!C110)),UPPER(TRIM('Raw data'!AS112))=UPPER(TRIM('Real results'!C111)),UPPER(TRIM('Raw data'!AS112))=UPPER(TRIM('Real results'!C112))),1,0),0),0)</f>
        <v>0</v>
      </c>
      <c r="AU114" s="34">
        <f>IFERROR(IF('Raw data'!AU112&lt;&gt;"",IF(OR(UPPER(TRIM('Raw data'!AU112))=UPPER(TRIM('Real results'!C110)),UPPER(TRIM('Raw data'!AU112))=UPPER(TRIM('Real results'!C111)),UPPER(TRIM('Raw data'!AU112))=UPPER(TRIM('Real results'!C112))),1,0),0),0)</f>
        <v>0</v>
      </c>
      <c r="AW114" s="34">
        <f>IFERROR(IF('Raw data'!AW112&lt;&gt;"",IF(OR(UPPER(TRIM('Raw data'!AW112))=UPPER(TRIM('Real results'!C110)),UPPER(TRIM('Raw data'!AW112))=UPPER(TRIM('Real results'!C111)),UPPER(TRIM('Raw data'!AW112))=UPPER(TRIM('Real results'!C112))),1,0),0),0)</f>
        <v>0</v>
      </c>
      <c r="AY114" s="34">
        <f>IFERROR(IF('Raw data'!AY112&lt;&gt;"",IF(OR(UPPER(TRIM('Raw data'!AY112))=UPPER(TRIM('Real results'!C110)),UPPER(TRIM('Raw data'!AY112))=UPPER(TRIM('Real results'!C111)),UPPER(TRIM('Raw data'!AY112))=UPPER(TRIM('Real results'!C112))),1,0),0),0)</f>
        <v>0</v>
      </c>
      <c r="BA114" s="34">
        <f>IFERROR(IF('Raw data'!BA112&lt;&gt;"",IF(OR(UPPER(TRIM('Raw data'!BA112))=UPPER(TRIM('Real results'!C110)),UPPER(TRIM('Raw data'!BA112))=UPPER(TRIM('Real results'!C111)),UPPER(TRIM('Raw data'!BA112))=UPPER(TRIM('Real results'!C112))),1,0),0),0)</f>
        <v>0</v>
      </c>
      <c r="BC114" s="34">
        <f>IFERROR(IF('Raw data'!BC112&lt;&gt;"",IF(OR(UPPER(TRIM('Raw data'!BC112))=UPPER(TRIM('Real results'!C110)),UPPER(TRIM('Raw data'!BC112))=UPPER(TRIM('Real results'!C111)),UPPER(TRIM('Raw data'!BC112))=UPPER(TRIM('Real results'!C112))),1,0),0),0)</f>
        <v>0</v>
      </c>
      <c r="BE114" s="34">
        <f>IFERROR(IF('Raw data'!BE112&lt;&gt;"",IF(OR(UPPER(TRIM('Raw data'!BE112))=UPPER(TRIM('Real results'!C110)),UPPER(TRIM('Raw data'!BE112))=UPPER(TRIM('Real results'!C111)),UPPER(TRIM('Raw data'!BE112))=UPPER(TRIM('Real results'!C112))),1,0),0),0)</f>
        <v>0</v>
      </c>
      <c r="BG114" s="34">
        <f>IFERROR(IF('Raw data'!BG112&lt;&gt;"",IF(OR(UPPER(TRIM('Raw data'!BG112))=UPPER(TRIM('Real results'!C110)),UPPER(TRIM('Raw data'!BG112))=UPPER(TRIM('Real results'!C111)),UPPER(TRIM('Raw data'!BG112))=UPPER(TRIM('Real results'!C112))),1,0),0),0)</f>
        <v>0</v>
      </c>
      <c r="BI114" s="34">
        <f>IFERROR(IF('Raw data'!BI112&lt;&gt;"",IF(OR(UPPER(TRIM('Raw data'!BI112))=UPPER(TRIM('Real results'!C110)),UPPER(TRIM('Raw data'!BI112))=UPPER(TRIM('Real results'!C111)),UPPER(TRIM('Raw data'!BI112))=UPPER(TRIM('Real results'!C112))),1,0),0),0)</f>
        <v>0</v>
      </c>
    </row>
    <row r="115" ht="18.0" customHeight="1">
      <c r="B115" s="12" t="s">
        <v>371</v>
      </c>
      <c r="C115" s="34">
        <f>IFERROR(IF('Raw data'!C112&lt;&gt;"",IF(OR(UPPER(TRIM('Raw data'!C112))=UPPER(TRIM('Real results'!C113)),UPPER(TRIM('Raw data'!C112))=UPPER(TRIM('Real results'!C114)),UPPER(TRIM('Raw data'!C112))=UPPER(TRIM('Real results'!C115))),1,0)+IF(UPPER(TRIM('Raw data'!C112))=UPPER(TRIM('Real results'!C113)),2,0),0),0)</f>
        <v>0</v>
      </c>
      <c r="E115" s="34">
        <f>IFERROR(IF('Raw data'!E113&lt;&gt;"",IF(OR(UPPER(TRIM('Raw data'!E113))=UPPER(TRIM('Real results'!C113)),UPPER(TRIM('Raw data'!E113))=UPPER(TRIM('Real results'!C114)),UPPER(TRIM('Raw data'!E113))=UPPER(TRIM('Real results'!C115))),1,0)+IF(UPPER(TRIM('Raw data'!E113))=UPPER(TRIM('Real results'!C113)),2,0),0),0)</f>
        <v>0</v>
      </c>
      <c r="G115" s="34">
        <f>IFERROR(IF('Raw data'!G113&lt;&gt;"",IF(OR(UPPER(TRIM('Raw data'!G113))=UPPER(TRIM('Real results'!C113)),UPPER(TRIM('Raw data'!G113))=UPPER(TRIM('Real results'!C114)),UPPER(TRIM('Raw data'!G113))=UPPER(TRIM('Real results'!C115))),1,0)+IF(UPPER(TRIM('Raw data'!G113))=UPPER(TRIM('Real results'!C113)),2,0),0),0)</f>
        <v>0</v>
      </c>
      <c r="I115" s="34">
        <f>IFERROR(IF('Raw data'!I113&lt;&gt;"",IF(OR(UPPER(TRIM('Raw data'!I113))=UPPER(TRIM('Real results'!C113)),UPPER(TRIM('Raw data'!I113))=UPPER(TRIM('Real results'!C114)),UPPER(TRIM('Raw data'!I113))=UPPER(TRIM('Real results'!C115))),1,0)+IF(UPPER(TRIM('Raw data'!I113))=UPPER(TRIM('Real results'!C113)),2,0),0),0)</f>
        <v>0</v>
      </c>
      <c r="K115" s="34">
        <f>IFERROR(IF('Raw data'!K113&lt;&gt;"",IF(OR(UPPER(TRIM('Raw data'!K113))=UPPER(TRIM('Real results'!C113)),UPPER(TRIM('Raw data'!K113))=UPPER(TRIM('Real results'!C114)),UPPER(TRIM('Raw data'!K113))=UPPER(TRIM('Real results'!C115))),1,0)+IF(UPPER(TRIM('Raw data'!K113))=UPPER(TRIM('Real results'!C113)),2,0),0),0)</f>
        <v>0</v>
      </c>
      <c r="M115" s="34">
        <f>IFERROR(IF('Raw data'!M113&lt;&gt;"",IF(OR(UPPER(TRIM('Raw data'!M113))=UPPER(TRIM('Real results'!C113)),UPPER(TRIM('Raw data'!M113))=UPPER(TRIM('Real results'!C114)),UPPER(TRIM('Raw data'!M113))=UPPER(TRIM('Real results'!C115))),1,0)+IF(UPPER(TRIM('Raw data'!M113))=UPPER(TRIM('Real results'!C113)),2,0),0),0)</f>
        <v>0</v>
      </c>
      <c r="O115" s="34">
        <f>IFERROR(IF('Raw data'!O113&lt;&gt;"",IF(OR(UPPER(TRIM('Raw data'!O113))=UPPER(TRIM('Real results'!C113)),UPPER(TRIM('Raw data'!O113))=UPPER(TRIM('Real results'!C114)),UPPER(TRIM('Raw data'!O113))=UPPER(TRIM('Real results'!C115))),1,0)+IF(UPPER(TRIM('Raw data'!O113))=UPPER(TRIM('Real results'!C113)),2,0),0),0)</f>
        <v>0</v>
      </c>
      <c r="Q115" s="34">
        <f>IFERROR(IF('Raw data'!Q113&lt;&gt;"",IF(OR(UPPER(TRIM('Raw data'!Q113))=UPPER(TRIM('Real results'!C113)),UPPER(TRIM('Raw data'!Q113))=UPPER(TRIM('Real results'!C114)),UPPER(TRIM('Raw data'!Q113))=UPPER(TRIM('Real results'!C115))),1,0)+IF(UPPER(TRIM('Raw data'!Q113))=UPPER(TRIM('Real results'!C113)),2,0),0),0)</f>
        <v>0</v>
      </c>
      <c r="S115" s="34">
        <f>IFERROR(IF('Raw data'!S113&lt;&gt;"",IF(OR(UPPER(TRIM('Raw data'!S113))=UPPER(TRIM('Real results'!C113)),UPPER(TRIM('Raw data'!S113))=UPPER(TRIM('Real results'!C114)),UPPER(TRIM('Raw data'!S113))=UPPER(TRIM('Real results'!C115))),1,0)+IF(UPPER(TRIM('Raw data'!S113))=UPPER(TRIM('Real results'!C113)),2,0),0),0)</f>
        <v>0</v>
      </c>
      <c r="U115" s="34">
        <f>IFERROR(IF('Raw data'!U113&lt;&gt;"",IF(OR(UPPER(TRIM('Raw data'!U113))=UPPER(TRIM('Real results'!C113)),UPPER(TRIM('Raw data'!U113))=UPPER(TRIM('Real results'!C114)),UPPER(TRIM('Raw data'!U113))=UPPER(TRIM('Real results'!C115))),1,0)+IF(UPPER(TRIM('Raw data'!U113))=UPPER(TRIM('Real results'!C113)),2,0),0),0)</f>
        <v>0</v>
      </c>
      <c r="W115" s="34">
        <f>IFERROR(IF('Raw data'!W113&lt;&gt;"",IF(OR(UPPER(TRIM('Raw data'!W113))=UPPER(TRIM('Real results'!C113)),UPPER(TRIM('Raw data'!W113))=UPPER(TRIM('Real results'!C114)),UPPER(TRIM('Raw data'!W113))=UPPER(TRIM('Real results'!C115))),1,0)+IF(UPPER(TRIM('Raw data'!W113))=UPPER(TRIM('Real results'!C113)),2,0),0),0)</f>
        <v>0</v>
      </c>
      <c r="Y115" s="34">
        <f>IFERROR(IF('Raw data'!Y113&lt;&gt;"",IF(OR(UPPER(TRIM('Raw data'!Y113))=UPPER(TRIM('Real results'!C113)),UPPER(TRIM('Raw data'!Y113))=UPPER(TRIM('Real results'!C114)),UPPER(TRIM('Raw data'!Y113))=UPPER(TRIM('Real results'!C115))),1,0)+IF(UPPER(TRIM('Raw data'!Y113))=UPPER(TRIM('Real results'!C113)),2,0),0),0)</f>
        <v>0</v>
      </c>
      <c r="AA115" s="34">
        <f>IFERROR(IF('Raw data'!AA113&lt;&gt;"",IF(OR(UPPER(TRIM('Raw data'!AA113))=UPPER(TRIM('Real results'!C113)),UPPER(TRIM('Raw data'!AA113))=UPPER(TRIM('Real results'!C114)),UPPER(TRIM('Raw data'!AA113))=UPPER(TRIM('Real results'!C115))),1,0)+IF(UPPER(TRIM('Raw data'!AA113))=UPPER(TRIM('Real results'!C113)),2,0),0),0)</f>
        <v>0</v>
      </c>
      <c r="AC115" s="34">
        <f>IFERROR(IF('Raw data'!AC113&lt;&gt;"",IF(OR(UPPER(TRIM('Raw data'!AC113))=UPPER(TRIM('Real results'!C113)),UPPER(TRIM('Raw data'!AC113))=UPPER(TRIM('Real results'!C114)),UPPER(TRIM('Raw data'!AC113))=UPPER(TRIM('Real results'!C115))),1,0)+IF(UPPER(TRIM('Raw data'!AC113))=UPPER(TRIM('Real results'!C113)),2,0),0),0)</f>
        <v>0</v>
      </c>
      <c r="AE115" s="34">
        <f>IFERROR(IF('Raw data'!AE113&lt;&gt;"",IF(OR(UPPER(TRIM('Raw data'!AE113))=UPPER(TRIM('Real results'!C113)),UPPER(TRIM('Raw data'!AE113))=UPPER(TRIM('Real results'!C114)),UPPER(TRIM('Raw data'!AE113))=UPPER(TRIM('Real results'!C115))),1,0)+IF(UPPER(TRIM('Raw data'!AE113))=UPPER(TRIM('Real results'!C113)),2,0),0),0)</f>
        <v>0</v>
      </c>
      <c r="AG115" s="34">
        <f>IFERROR(IF('Raw data'!AG113&lt;&gt;"",IF(OR(UPPER(TRIM('Raw data'!AG113))=UPPER(TRIM('Real results'!C113)),UPPER(TRIM('Raw data'!AG113))=UPPER(TRIM('Real results'!C114)),UPPER(TRIM('Raw data'!AG113))=UPPER(TRIM('Real results'!C115))),1,0)+IF(UPPER(TRIM('Raw data'!AG113))=UPPER(TRIM('Real results'!C113)),2,0),0),0)</f>
        <v>0</v>
      </c>
      <c r="AI115" s="34">
        <f>IFERROR(IF('Raw data'!AI113&lt;&gt;"",IF(OR(UPPER(TRIM('Raw data'!AI113))=UPPER(TRIM('Real results'!C113)),UPPER(TRIM('Raw data'!AI113))=UPPER(TRIM('Real results'!C114)),UPPER(TRIM('Raw data'!AI113))=UPPER(TRIM('Real results'!C115))),1,0)+IF(UPPER(TRIM('Raw data'!AI113))=UPPER(TRIM('Real results'!C113)),2,0),0),0)</f>
        <v>0</v>
      </c>
      <c r="AK115" s="34">
        <f>IFERROR(IF('Raw data'!AK113&lt;&gt;"",IF(OR(UPPER(TRIM('Raw data'!AK113))=UPPER(TRIM('Real results'!C113)),UPPER(TRIM('Raw data'!AK113))=UPPER(TRIM('Real results'!C114)),UPPER(TRIM('Raw data'!AK113))=UPPER(TRIM('Real results'!C115))),1,0)+IF(UPPER(TRIM('Raw data'!AK113))=UPPER(TRIM('Real results'!C113)),2,0),0),0)</f>
        <v>0</v>
      </c>
      <c r="AM115" s="34">
        <f>IFERROR(IF('Raw data'!AM113&lt;&gt;"",IF(OR(UPPER(TRIM('Raw data'!AM113))=UPPER(TRIM('Real results'!C113)),UPPER(TRIM('Raw data'!AM113))=UPPER(TRIM('Real results'!C114)),UPPER(TRIM('Raw data'!AM113))=UPPER(TRIM('Real results'!C115))),1,0)+IF(UPPER(TRIM('Raw data'!AM113))=UPPER(TRIM('Real results'!C113)),2,0),0),0)</f>
        <v>0</v>
      </c>
      <c r="AO115" s="34">
        <f>IFERROR(IF('Raw data'!AO113&lt;&gt;"",IF(OR(UPPER(TRIM('Raw data'!AO113))=UPPER(TRIM('Real results'!C113)),UPPER(TRIM('Raw data'!AO113))=UPPER(TRIM('Real results'!C114)),UPPER(TRIM('Raw data'!AO113))=UPPER(TRIM('Real results'!C115))),1,0)+IF(UPPER(TRIM('Raw data'!AO113))=UPPER(TRIM('Real results'!C113)),2,0),0),0)</f>
        <v>0</v>
      </c>
      <c r="AQ115" s="34">
        <f>IFERROR(IF('Raw data'!AQ113&lt;&gt;"",IF(OR(UPPER(TRIM('Raw data'!AQ113))=UPPER(TRIM('Real results'!C113)),UPPER(TRIM('Raw data'!AQ113))=UPPER(TRIM('Real results'!C114)),UPPER(TRIM('Raw data'!AQ113))=UPPER(TRIM('Real results'!C115))),1,0)+IF(UPPER(TRIM('Raw data'!AQ113))=UPPER(TRIM('Real results'!C113)),2,0),0),0)</f>
        <v>0</v>
      </c>
      <c r="AS115" s="34">
        <f>IFERROR(IF('Raw data'!AS113&lt;&gt;"",IF(OR(UPPER(TRIM('Raw data'!AS113))=UPPER(TRIM('Real results'!C113)),UPPER(TRIM('Raw data'!AS113))=UPPER(TRIM('Real results'!C114)),UPPER(TRIM('Raw data'!AS113))=UPPER(TRIM('Real results'!C115))),1,0)+IF(UPPER(TRIM('Raw data'!AS113))=UPPER(TRIM('Real results'!C113)),2,0),0),0)</f>
        <v>0</v>
      </c>
      <c r="AU115" s="34">
        <f>IFERROR(IF('Raw data'!AU113&lt;&gt;"",IF(OR(UPPER(TRIM('Raw data'!AU113))=UPPER(TRIM('Real results'!C113)),UPPER(TRIM('Raw data'!AU113))=UPPER(TRIM('Real results'!C114)),UPPER(TRIM('Raw data'!AU113))=UPPER(TRIM('Real results'!C115))),1,0)+IF(UPPER(TRIM('Raw data'!AU113))=UPPER(TRIM('Real results'!C113)),2,0),0),0)</f>
        <v>0</v>
      </c>
      <c r="AW115" s="34">
        <f>IFERROR(IF('Raw data'!AW113&lt;&gt;"",IF(OR(UPPER(TRIM('Raw data'!AW113))=UPPER(TRIM('Real results'!C113)),UPPER(TRIM('Raw data'!AW113))=UPPER(TRIM('Real results'!C114)),UPPER(TRIM('Raw data'!AW113))=UPPER(TRIM('Real results'!C115))),1,0)+IF(UPPER(TRIM('Raw data'!AW113))=UPPER(TRIM('Real results'!C113)),2,0),0),0)</f>
        <v>0</v>
      </c>
      <c r="AY115" s="34">
        <f>IFERROR(IF('Raw data'!AY113&lt;&gt;"",IF(OR(UPPER(TRIM('Raw data'!AY113))=UPPER(TRIM('Real results'!C113)),UPPER(TRIM('Raw data'!AY113))=UPPER(TRIM('Real results'!C114)),UPPER(TRIM('Raw data'!AY113))=UPPER(TRIM('Real results'!C115))),1,0)+IF(UPPER(TRIM('Raw data'!AY113))=UPPER(TRIM('Real results'!C113)),2,0),0),0)</f>
        <v>0</v>
      </c>
      <c r="BA115" s="34">
        <f>IFERROR(IF('Raw data'!BA113&lt;&gt;"",IF(OR(UPPER(TRIM('Raw data'!BA113))=UPPER(TRIM('Real results'!C113)),UPPER(TRIM('Raw data'!BA113))=UPPER(TRIM('Real results'!C114)),UPPER(TRIM('Raw data'!BA113))=UPPER(TRIM('Real results'!C115))),1,0)+IF(UPPER(TRIM('Raw data'!BA113))=UPPER(TRIM('Real results'!C113)),2,0),0),0)</f>
        <v>0</v>
      </c>
      <c r="BC115" s="34">
        <f>IFERROR(IF('Raw data'!BC113&lt;&gt;"",IF(OR(UPPER(TRIM('Raw data'!BC113))=UPPER(TRIM('Real results'!C113)),UPPER(TRIM('Raw data'!BC113))=UPPER(TRIM('Real results'!C114)),UPPER(TRIM('Raw data'!BC113))=UPPER(TRIM('Real results'!C115))),1,0)+IF(UPPER(TRIM('Raw data'!BC113))=UPPER(TRIM('Real results'!C113)),2,0),0),0)</f>
        <v>0</v>
      </c>
      <c r="BE115" s="34">
        <f>IFERROR(IF('Raw data'!BE113&lt;&gt;"",IF(OR(UPPER(TRIM('Raw data'!BE113))=UPPER(TRIM('Real results'!C113)),UPPER(TRIM('Raw data'!BE113))=UPPER(TRIM('Real results'!C114)),UPPER(TRIM('Raw data'!BE113))=UPPER(TRIM('Real results'!C115))),1,0)+IF(UPPER(TRIM('Raw data'!BE113))=UPPER(TRIM('Real results'!C113)),2,0),0),0)</f>
        <v>0</v>
      </c>
      <c r="BG115" s="34">
        <f>IFERROR(IF('Raw data'!BG113&lt;&gt;"",IF(OR(UPPER(TRIM('Raw data'!BG113))=UPPER(TRIM('Real results'!C113)),UPPER(TRIM('Raw data'!BG113))=UPPER(TRIM('Real results'!C114)),UPPER(TRIM('Raw data'!BG113))=UPPER(TRIM('Real results'!C115))),1,0)+IF(UPPER(TRIM('Raw data'!BG113))=UPPER(TRIM('Real results'!C113)),2,0),0),0)</f>
        <v>0</v>
      </c>
      <c r="BI115" s="34">
        <f>IFERROR(IF('Raw data'!BI113&lt;&gt;"",IF(OR(UPPER(TRIM('Raw data'!BI113))=UPPER(TRIM('Real results'!C113)),UPPER(TRIM('Raw data'!BI113))=UPPER(TRIM('Real results'!C114)),UPPER(TRIM('Raw data'!BI113))=UPPER(TRIM('Real results'!C115))),1,0)+IF(UPPER(TRIM('Raw data'!BI113))=UPPER(TRIM('Real results'!C113)),2,0),0),0)</f>
        <v>0</v>
      </c>
    </row>
    <row r="116" ht="18.0" customHeight="1">
      <c r="B116" s="12" t="s">
        <v>372</v>
      </c>
      <c r="C116" s="34">
        <f>IFERROR(IF('Raw data'!C113&lt;&gt;"",IF(OR(UPPER(TRIM('Raw data'!C113))=UPPER(TRIM('Real results'!C113)),UPPER(TRIM('Raw data'!C113))=UPPER(TRIM('Real results'!C114)),UPPER(TRIM('Raw data'!C113))=UPPER(TRIM('Real results'!C115))),1,0),0),0)</f>
        <v>0</v>
      </c>
      <c r="E116" s="34">
        <f>IFERROR(IF('Raw data'!E114&lt;&gt;"",IF(OR(UPPER(TRIM('Raw data'!E114))=UPPER(TRIM('Real results'!C113)),UPPER(TRIM('Raw data'!E114))=UPPER(TRIM('Real results'!C114)),UPPER(TRIM('Raw data'!E114))=UPPER(TRIM('Real results'!C115))),1,0),0),0)</f>
        <v>0</v>
      </c>
      <c r="G116" s="34">
        <f>IFERROR(IF('Raw data'!G114&lt;&gt;"",IF(OR(UPPER(TRIM('Raw data'!G114))=UPPER(TRIM('Real results'!C113)),UPPER(TRIM('Raw data'!G114))=UPPER(TRIM('Real results'!C114)),UPPER(TRIM('Raw data'!G114))=UPPER(TRIM('Real results'!C115))),1,0),0),0)</f>
        <v>0</v>
      </c>
      <c r="I116" s="34">
        <f>IFERROR(IF('Raw data'!I114&lt;&gt;"",IF(OR(UPPER(TRIM('Raw data'!I114))=UPPER(TRIM('Real results'!C113)),UPPER(TRIM('Raw data'!I114))=UPPER(TRIM('Real results'!C114)),UPPER(TRIM('Raw data'!I114))=UPPER(TRIM('Real results'!C115))),1,0),0),0)</f>
        <v>0</v>
      </c>
      <c r="K116" s="34">
        <f>IFERROR(IF('Raw data'!K114&lt;&gt;"",IF(OR(UPPER(TRIM('Raw data'!K114))=UPPER(TRIM('Real results'!C113)),UPPER(TRIM('Raw data'!K114))=UPPER(TRIM('Real results'!C114)),UPPER(TRIM('Raw data'!K114))=UPPER(TRIM('Real results'!C115))),1,0),0),0)</f>
        <v>0</v>
      </c>
      <c r="M116" s="34">
        <f>IFERROR(IF('Raw data'!M114&lt;&gt;"",IF(OR(UPPER(TRIM('Raw data'!M114))=UPPER(TRIM('Real results'!C113)),UPPER(TRIM('Raw data'!M114))=UPPER(TRIM('Real results'!C114)),UPPER(TRIM('Raw data'!M114))=UPPER(TRIM('Real results'!C115))),1,0),0),0)</f>
        <v>0</v>
      </c>
      <c r="O116" s="34">
        <f>IFERROR(IF('Raw data'!O114&lt;&gt;"",IF(OR(UPPER(TRIM('Raw data'!O114))=UPPER(TRIM('Real results'!C113)),UPPER(TRIM('Raw data'!O114))=UPPER(TRIM('Real results'!C114)),UPPER(TRIM('Raw data'!O114))=UPPER(TRIM('Real results'!C115))),1,0),0),0)</f>
        <v>0</v>
      </c>
      <c r="Q116" s="34">
        <f>IFERROR(IF('Raw data'!Q114&lt;&gt;"",IF(OR(UPPER(TRIM('Raw data'!Q114))=UPPER(TRIM('Real results'!C113)),UPPER(TRIM('Raw data'!Q114))=UPPER(TRIM('Real results'!C114)),UPPER(TRIM('Raw data'!Q114))=UPPER(TRIM('Real results'!C115))),1,0),0),0)</f>
        <v>0</v>
      </c>
      <c r="S116" s="34">
        <f>IFERROR(IF('Raw data'!S114&lt;&gt;"",IF(OR(UPPER(TRIM('Raw data'!S114))=UPPER(TRIM('Real results'!C113)),UPPER(TRIM('Raw data'!S114))=UPPER(TRIM('Real results'!C114)),UPPER(TRIM('Raw data'!S114))=UPPER(TRIM('Real results'!C115))),1,0),0),0)</f>
        <v>0</v>
      </c>
      <c r="U116" s="34">
        <f>IFERROR(IF('Raw data'!U114&lt;&gt;"",IF(OR(UPPER(TRIM('Raw data'!U114))=UPPER(TRIM('Real results'!C113)),UPPER(TRIM('Raw data'!U114))=UPPER(TRIM('Real results'!C114)),UPPER(TRIM('Raw data'!U114))=UPPER(TRIM('Real results'!C115))),1,0),0),0)</f>
        <v>0</v>
      </c>
      <c r="W116" s="34">
        <f>IFERROR(IF('Raw data'!W114&lt;&gt;"",IF(OR(UPPER(TRIM('Raw data'!W114))=UPPER(TRIM('Real results'!C113)),UPPER(TRIM('Raw data'!W114))=UPPER(TRIM('Real results'!C114)),UPPER(TRIM('Raw data'!W114))=UPPER(TRIM('Real results'!C115))),1,0),0),0)</f>
        <v>0</v>
      </c>
      <c r="Y116" s="34">
        <f>IFERROR(IF('Raw data'!Y114&lt;&gt;"",IF(OR(UPPER(TRIM('Raw data'!Y114))=UPPER(TRIM('Real results'!C113)),UPPER(TRIM('Raw data'!Y114))=UPPER(TRIM('Real results'!C114)),UPPER(TRIM('Raw data'!Y114))=UPPER(TRIM('Real results'!C115))),1,0),0),0)</f>
        <v>0</v>
      </c>
      <c r="AA116" s="34">
        <f>IFERROR(IF('Raw data'!AA114&lt;&gt;"",IF(OR(UPPER(TRIM('Raw data'!AA114))=UPPER(TRIM('Real results'!C113)),UPPER(TRIM('Raw data'!AA114))=UPPER(TRIM('Real results'!C114)),UPPER(TRIM('Raw data'!AA114))=UPPER(TRIM('Real results'!C115))),1,0),0),0)</f>
        <v>0</v>
      </c>
      <c r="AC116" s="34">
        <f>IFERROR(IF('Raw data'!AC114&lt;&gt;"",IF(OR(UPPER(TRIM('Raw data'!AC114))=UPPER(TRIM('Real results'!C113)),UPPER(TRIM('Raw data'!AC114))=UPPER(TRIM('Real results'!C114)),UPPER(TRIM('Raw data'!AC114))=UPPER(TRIM('Real results'!C115))),1,0),0),0)</f>
        <v>0</v>
      </c>
      <c r="AE116" s="34">
        <f>IFERROR(IF('Raw data'!AE114&lt;&gt;"",IF(OR(UPPER(TRIM('Raw data'!AE114))=UPPER(TRIM('Real results'!C113)),UPPER(TRIM('Raw data'!AE114))=UPPER(TRIM('Real results'!C114)),UPPER(TRIM('Raw data'!AE114))=UPPER(TRIM('Real results'!C115))),1,0),0),0)</f>
        <v>0</v>
      </c>
      <c r="AG116" s="34">
        <f>IFERROR(IF('Raw data'!AG114&lt;&gt;"",IF(OR(UPPER(TRIM('Raw data'!AG114))=UPPER(TRIM('Real results'!C113)),UPPER(TRIM('Raw data'!AG114))=UPPER(TRIM('Real results'!C114)),UPPER(TRIM('Raw data'!AG114))=UPPER(TRIM('Real results'!C115))),1,0),0),0)</f>
        <v>0</v>
      </c>
      <c r="AI116" s="34">
        <f>IFERROR(IF('Raw data'!AI114&lt;&gt;"",IF(OR(UPPER(TRIM('Raw data'!AI114))=UPPER(TRIM('Real results'!C113)),UPPER(TRIM('Raw data'!AI114))=UPPER(TRIM('Real results'!C114)),UPPER(TRIM('Raw data'!AI114))=UPPER(TRIM('Real results'!C115))),1,0),0),0)</f>
        <v>0</v>
      </c>
      <c r="AK116" s="34">
        <f>IFERROR(IF('Raw data'!AK114&lt;&gt;"",IF(OR(UPPER(TRIM('Raw data'!AK114))=UPPER(TRIM('Real results'!C113)),UPPER(TRIM('Raw data'!AK114))=UPPER(TRIM('Real results'!C114)),UPPER(TRIM('Raw data'!AK114))=UPPER(TRIM('Real results'!C115))),1,0),0),0)</f>
        <v>0</v>
      </c>
      <c r="AM116" s="34">
        <f>IFERROR(IF('Raw data'!AM114&lt;&gt;"",IF(OR(UPPER(TRIM('Raw data'!AM114))=UPPER(TRIM('Real results'!C113)),UPPER(TRIM('Raw data'!AM114))=UPPER(TRIM('Real results'!C114)),UPPER(TRIM('Raw data'!AM114))=UPPER(TRIM('Real results'!C115))),1,0),0),0)</f>
        <v>0</v>
      </c>
      <c r="AO116" s="34">
        <f>IFERROR(IF('Raw data'!AO114&lt;&gt;"",IF(OR(UPPER(TRIM('Raw data'!AO114))=UPPER(TRIM('Real results'!C113)),UPPER(TRIM('Raw data'!AO114))=UPPER(TRIM('Real results'!C114)),UPPER(TRIM('Raw data'!AO114))=UPPER(TRIM('Real results'!C115))),1,0),0),0)</f>
        <v>0</v>
      </c>
      <c r="AQ116" s="34">
        <f>IFERROR(IF('Raw data'!AQ114&lt;&gt;"",IF(OR(UPPER(TRIM('Raw data'!AQ114))=UPPER(TRIM('Real results'!C113)),UPPER(TRIM('Raw data'!AQ114))=UPPER(TRIM('Real results'!C114)),UPPER(TRIM('Raw data'!AQ114))=UPPER(TRIM('Real results'!C115))),1,0),0),0)</f>
        <v>0</v>
      </c>
      <c r="AS116" s="34">
        <f>IFERROR(IF('Raw data'!AS114&lt;&gt;"",IF(OR(UPPER(TRIM('Raw data'!AS114))=UPPER(TRIM('Real results'!C113)),UPPER(TRIM('Raw data'!AS114))=UPPER(TRIM('Real results'!C114)),UPPER(TRIM('Raw data'!AS114))=UPPER(TRIM('Real results'!C115))),1,0),0),0)</f>
        <v>0</v>
      </c>
      <c r="AU116" s="34">
        <f>IFERROR(IF('Raw data'!AU114&lt;&gt;"",IF(OR(UPPER(TRIM('Raw data'!AU114))=UPPER(TRIM('Real results'!C113)),UPPER(TRIM('Raw data'!AU114))=UPPER(TRIM('Real results'!C114)),UPPER(TRIM('Raw data'!AU114))=UPPER(TRIM('Real results'!C115))),1,0),0),0)</f>
        <v>0</v>
      </c>
      <c r="AW116" s="34">
        <f>IFERROR(IF('Raw data'!AW114&lt;&gt;"",IF(OR(UPPER(TRIM('Raw data'!AW114))=UPPER(TRIM('Real results'!C113)),UPPER(TRIM('Raw data'!AW114))=UPPER(TRIM('Real results'!C114)),UPPER(TRIM('Raw data'!AW114))=UPPER(TRIM('Real results'!C115))),1,0),0),0)</f>
        <v>0</v>
      </c>
      <c r="AY116" s="34">
        <f>IFERROR(IF('Raw data'!AY114&lt;&gt;"",IF(OR(UPPER(TRIM('Raw data'!AY114))=UPPER(TRIM('Real results'!C113)),UPPER(TRIM('Raw data'!AY114))=UPPER(TRIM('Real results'!C114)),UPPER(TRIM('Raw data'!AY114))=UPPER(TRIM('Real results'!C115))),1,0),0),0)</f>
        <v>0</v>
      </c>
      <c r="BA116" s="34">
        <f>IFERROR(IF('Raw data'!BA114&lt;&gt;"",IF(OR(UPPER(TRIM('Raw data'!BA114))=UPPER(TRIM('Real results'!C113)),UPPER(TRIM('Raw data'!BA114))=UPPER(TRIM('Real results'!C114)),UPPER(TRIM('Raw data'!BA114))=UPPER(TRIM('Real results'!C115))),1,0),0),0)</f>
        <v>0</v>
      </c>
      <c r="BC116" s="34">
        <f>IFERROR(IF('Raw data'!BC114&lt;&gt;"",IF(OR(UPPER(TRIM('Raw data'!BC114))=UPPER(TRIM('Real results'!C113)),UPPER(TRIM('Raw data'!BC114))=UPPER(TRIM('Real results'!C114)),UPPER(TRIM('Raw data'!BC114))=UPPER(TRIM('Real results'!C115))),1,0),0),0)</f>
        <v>0</v>
      </c>
      <c r="BE116" s="34">
        <f>IFERROR(IF('Raw data'!BE114&lt;&gt;"",IF(OR(UPPER(TRIM('Raw data'!BE114))=UPPER(TRIM('Real results'!C113)),UPPER(TRIM('Raw data'!BE114))=UPPER(TRIM('Real results'!C114)),UPPER(TRIM('Raw data'!BE114))=UPPER(TRIM('Real results'!C115))),1,0),0),0)</f>
        <v>0</v>
      </c>
      <c r="BG116" s="34">
        <f>IFERROR(IF('Raw data'!BG114&lt;&gt;"",IF(OR(UPPER(TRIM('Raw data'!BG114))=UPPER(TRIM('Real results'!C113)),UPPER(TRIM('Raw data'!BG114))=UPPER(TRIM('Real results'!C114)),UPPER(TRIM('Raw data'!BG114))=UPPER(TRIM('Real results'!C115))),1,0),0),0)</f>
        <v>0</v>
      </c>
      <c r="BI116" s="34">
        <f>IFERROR(IF('Raw data'!BI114&lt;&gt;"",IF(OR(UPPER(TRIM('Raw data'!BI114))=UPPER(TRIM('Real results'!C113)),UPPER(TRIM('Raw data'!BI114))=UPPER(TRIM('Real results'!C114)),UPPER(TRIM('Raw data'!BI114))=UPPER(TRIM('Real results'!C115))),1,0),0),0)</f>
        <v>0</v>
      </c>
    </row>
    <row r="117" ht="18.0" customHeight="1">
      <c r="B117" s="12" t="s">
        <v>373</v>
      </c>
      <c r="C117" s="34">
        <f>IFERROR(IF('Raw data'!C114&lt;&gt;"",IF(OR(UPPER(TRIM('Raw data'!C114))=UPPER(TRIM('Real results'!C113)),UPPER(TRIM('Raw data'!C114))=UPPER(TRIM('Real results'!C114)),UPPER(TRIM('Raw data'!C114))=UPPER(TRIM('Real results'!C115))),1,0),0),0)</f>
        <v>0</v>
      </c>
      <c r="E117" s="34">
        <f>IFERROR(IF('Raw data'!E115&lt;&gt;"",IF(OR(UPPER(TRIM('Raw data'!E115))=UPPER(TRIM('Real results'!C113)),UPPER(TRIM('Raw data'!E115))=UPPER(TRIM('Real results'!C114)),UPPER(TRIM('Raw data'!E115))=UPPER(TRIM('Real results'!C115))),1,0),0),0)</f>
        <v>0</v>
      </c>
      <c r="G117" s="34">
        <f>IFERROR(IF('Raw data'!G115&lt;&gt;"",IF(OR(UPPER(TRIM('Raw data'!G115))=UPPER(TRIM('Real results'!C113)),UPPER(TRIM('Raw data'!G115))=UPPER(TRIM('Real results'!C114)),UPPER(TRIM('Raw data'!G115))=UPPER(TRIM('Real results'!C115))),1,0),0),0)</f>
        <v>0</v>
      </c>
      <c r="I117" s="34">
        <f>IFERROR(IF('Raw data'!I115&lt;&gt;"",IF(OR(UPPER(TRIM('Raw data'!I115))=UPPER(TRIM('Real results'!C113)),UPPER(TRIM('Raw data'!I115))=UPPER(TRIM('Real results'!C114)),UPPER(TRIM('Raw data'!I115))=UPPER(TRIM('Real results'!C115))),1,0),0),0)</f>
        <v>0</v>
      </c>
      <c r="K117" s="34">
        <f>IFERROR(IF('Raw data'!K115&lt;&gt;"",IF(OR(UPPER(TRIM('Raw data'!K115))=UPPER(TRIM('Real results'!C113)),UPPER(TRIM('Raw data'!K115))=UPPER(TRIM('Real results'!C114)),UPPER(TRIM('Raw data'!K115))=UPPER(TRIM('Real results'!C115))),1,0),0),0)</f>
        <v>0</v>
      </c>
      <c r="M117" s="34">
        <f>IFERROR(IF('Raw data'!M115&lt;&gt;"",IF(OR(UPPER(TRIM('Raw data'!M115))=UPPER(TRIM('Real results'!C113)),UPPER(TRIM('Raw data'!M115))=UPPER(TRIM('Real results'!C114)),UPPER(TRIM('Raw data'!M115))=UPPER(TRIM('Real results'!C115))),1,0),0),0)</f>
        <v>0</v>
      </c>
      <c r="O117" s="34">
        <f>IFERROR(IF('Raw data'!O115&lt;&gt;"",IF(OR(UPPER(TRIM('Raw data'!O115))=UPPER(TRIM('Real results'!C113)),UPPER(TRIM('Raw data'!O115))=UPPER(TRIM('Real results'!C114)),UPPER(TRIM('Raw data'!O115))=UPPER(TRIM('Real results'!C115))),1,0),0),0)</f>
        <v>0</v>
      </c>
      <c r="Q117" s="34">
        <f>IFERROR(IF('Raw data'!Q115&lt;&gt;"",IF(OR(UPPER(TRIM('Raw data'!Q115))=UPPER(TRIM('Real results'!C113)),UPPER(TRIM('Raw data'!Q115))=UPPER(TRIM('Real results'!C114)),UPPER(TRIM('Raw data'!Q115))=UPPER(TRIM('Real results'!C115))),1,0),0),0)</f>
        <v>0</v>
      </c>
      <c r="S117" s="34">
        <f>IFERROR(IF('Raw data'!S115&lt;&gt;"",IF(OR(UPPER(TRIM('Raw data'!S115))=UPPER(TRIM('Real results'!C113)),UPPER(TRIM('Raw data'!S115))=UPPER(TRIM('Real results'!C114)),UPPER(TRIM('Raw data'!S115))=UPPER(TRIM('Real results'!C115))),1,0),0),0)</f>
        <v>0</v>
      </c>
      <c r="U117" s="34">
        <f>IFERROR(IF('Raw data'!U115&lt;&gt;"",IF(OR(UPPER(TRIM('Raw data'!U115))=UPPER(TRIM('Real results'!C113)),UPPER(TRIM('Raw data'!U115))=UPPER(TRIM('Real results'!C114)),UPPER(TRIM('Raw data'!U115))=UPPER(TRIM('Real results'!C115))),1,0),0),0)</f>
        <v>0</v>
      </c>
      <c r="W117" s="34">
        <f>IFERROR(IF('Raw data'!W115&lt;&gt;"",IF(OR(UPPER(TRIM('Raw data'!W115))=UPPER(TRIM('Real results'!C113)),UPPER(TRIM('Raw data'!W115))=UPPER(TRIM('Real results'!C114)),UPPER(TRIM('Raw data'!W115))=UPPER(TRIM('Real results'!C115))),1,0),0),0)</f>
        <v>0</v>
      </c>
      <c r="Y117" s="34">
        <f>IFERROR(IF('Raw data'!Y115&lt;&gt;"",IF(OR(UPPER(TRIM('Raw data'!Y115))=UPPER(TRIM('Real results'!C113)),UPPER(TRIM('Raw data'!Y115))=UPPER(TRIM('Real results'!C114)),UPPER(TRIM('Raw data'!Y115))=UPPER(TRIM('Real results'!C115))),1,0),0),0)</f>
        <v>0</v>
      </c>
      <c r="AA117" s="34">
        <f>IFERROR(IF('Raw data'!AA115&lt;&gt;"",IF(OR(UPPER(TRIM('Raw data'!AA115))=UPPER(TRIM('Real results'!C113)),UPPER(TRIM('Raw data'!AA115))=UPPER(TRIM('Real results'!C114)),UPPER(TRIM('Raw data'!AA115))=UPPER(TRIM('Real results'!C115))),1,0),0),0)</f>
        <v>0</v>
      </c>
      <c r="AC117" s="34">
        <f>IFERROR(IF('Raw data'!AC115&lt;&gt;"",IF(OR(UPPER(TRIM('Raw data'!AC115))=UPPER(TRIM('Real results'!C113)),UPPER(TRIM('Raw data'!AC115))=UPPER(TRIM('Real results'!C114)),UPPER(TRIM('Raw data'!AC115))=UPPER(TRIM('Real results'!C115))),1,0),0),0)</f>
        <v>0</v>
      </c>
      <c r="AE117" s="34">
        <f>IFERROR(IF('Raw data'!AE115&lt;&gt;"",IF(OR(UPPER(TRIM('Raw data'!AE115))=UPPER(TRIM('Real results'!C113)),UPPER(TRIM('Raw data'!AE115))=UPPER(TRIM('Real results'!C114)),UPPER(TRIM('Raw data'!AE115))=UPPER(TRIM('Real results'!C115))),1,0),0),0)</f>
        <v>0</v>
      </c>
      <c r="AG117" s="34">
        <f>IFERROR(IF('Raw data'!AG115&lt;&gt;"",IF(OR(UPPER(TRIM('Raw data'!AG115))=UPPER(TRIM('Real results'!C113)),UPPER(TRIM('Raw data'!AG115))=UPPER(TRIM('Real results'!C114)),UPPER(TRIM('Raw data'!AG115))=UPPER(TRIM('Real results'!C115))),1,0),0),0)</f>
        <v>0</v>
      </c>
      <c r="AI117" s="34">
        <f>IFERROR(IF('Raw data'!AI115&lt;&gt;"",IF(OR(UPPER(TRIM('Raw data'!AI115))=UPPER(TRIM('Real results'!C113)),UPPER(TRIM('Raw data'!AI115))=UPPER(TRIM('Real results'!C114)),UPPER(TRIM('Raw data'!AI115))=UPPER(TRIM('Real results'!C115))),1,0),0),0)</f>
        <v>0</v>
      </c>
      <c r="AK117" s="34">
        <f>IFERROR(IF('Raw data'!AK115&lt;&gt;"",IF(OR(UPPER(TRIM('Raw data'!AK115))=UPPER(TRIM('Real results'!C113)),UPPER(TRIM('Raw data'!AK115))=UPPER(TRIM('Real results'!C114)),UPPER(TRIM('Raw data'!AK115))=UPPER(TRIM('Real results'!C115))),1,0),0),0)</f>
        <v>0</v>
      </c>
      <c r="AM117" s="34">
        <f>IFERROR(IF('Raw data'!AM115&lt;&gt;"",IF(OR(UPPER(TRIM('Raw data'!AM115))=UPPER(TRIM('Real results'!C113)),UPPER(TRIM('Raw data'!AM115))=UPPER(TRIM('Real results'!C114)),UPPER(TRIM('Raw data'!AM115))=UPPER(TRIM('Real results'!C115))),1,0),0),0)</f>
        <v>0</v>
      </c>
      <c r="AO117" s="34">
        <f>IFERROR(IF('Raw data'!AO115&lt;&gt;"",IF(OR(UPPER(TRIM('Raw data'!AO115))=UPPER(TRIM('Real results'!C113)),UPPER(TRIM('Raw data'!AO115))=UPPER(TRIM('Real results'!C114)),UPPER(TRIM('Raw data'!AO115))=UPPER(TRIM('Real results'!C115))),1,0),0),0)</f>
        <v>0</v>
      </c>
      <c r="AQ117" s="34">
        <f>IFERROR(IF('Raw data'!AQ115&lt;&gt;"",IF(OR(UPPER(TRIM('Raw data'!AQ115))=UPPER(TRIM('Real results'!C113)),UPPER(TRIM('Raw data'!AQ115))=UPPER(TRIM('Real results'!C114)),UPPER(TRIM('Raw data'!AQ115))=UPPER(TRIM('Real results'!C115))),1,0),0),0)</f>
        <v>0</v>
      </c>
      <c r="AS117" s="34">
        <f>IFERROR(IF('Raw data'!AS115&lt;&gt;"",IF(OR(UPPER(TRIM('Raw data'!AS115))=UPPER(TRIM('Real results'!C113)),UPPER(TRIM('Raw data'!AS115))=UPPER(TRIM('Real results'!C114)),UPPER(TRIM('Raw data'!AS115))=UPPER(TRIM('Real results'!C115))),1,0),0),0)</f>
        <v>0</v>
      </c>
      <c r="AU117" s="34">
        <f>IFERROR(IF('Raw data'!AU115&lt;&gt;"",IF(OR(UPPER(TRIM('Raw data'!AU115))=UPPER(TRIM('Real results'!C113)),UPPER(TRIM('Raw data'!AU115))=UPPER(TRIM('Real results'!C114)),UPPER(TRIM('Raw data'!AU115))=UPPER(TRIM('Real results'!C115))),1,0),0),0)</f>
        <v>0</v>
      </c>
      <c r="AW117" s="34">
        <f>IFERROR(IF('Raw data'!AW115&lt;&gt;"",IF(OR(UPPER(TRIM('Raw data'!AW115))=UPPER(TRIM('Real results'!C113)),UPPER(TRIM('Raw data'!AW115))=UPPER(TRIM('Real results'!C114)),UPPER(TRIM('Raw data'!AW115))=UPPER(TRIM('Real results'!C115))),1,0),0),0)</f>
        <v>0</v>
      </c>
      <c r="AY117" s="34">
        <f>IFERROR(IF('Raw data'!AY115&lt;&gt;"",IF(OR(UPPER(TRIM('Raw data'!AY115))=UPPER(TRIM('Real results'!C113)),UPPER(TRIM('Raw data'!AY115))=UPPER(TRIM('Real results'!C114)),UPPER(TRIM('Raw data'!AY115))=UPPER(TRIM('Real results'!C115))),1,0),0),0)</f>
        <v>0</v>
      </c>
      <c r="BA117" s="34">
        <f>IFERROR(IF('Raw data'!BA115&lt;&gt;"",IF(OR(UPPER(TRIM('Raw data'!BA115))=UPPER(TRIM('Real results'!C113)),UPPER(TRIM('Raw data'!BA115))=UPPER(TRIM('Real results'!C114)),UPPER(TRIM('Raw data'!BA115))=UPPER(TRIM('Real results'!C115))),1,0),0),0)</f>
        <v>0</v>
      </c>
      <c r="BC117" s="34">
        <f>IFERROR(IF('Raw data'!BC115&lt;&gt;"",IF(OR(UPPER(TRIM('Raw data'!BC115))=UPPER(TRIM('Real results'!C113)),UPPER(TRIM('Raw data'!BC115))=UPPER(TRIM('Real results'!C114)),UPPER(TRIM('Raw data'!BC115))=UPPER(TRIM('Real results'!C115))),1,0),0),0)</f>
        <v>0</v>
      </c>
      <c r="BE117" s="34">
        <f>IFERROR(IF('Raw data'!BE115&lt;&gt;"",IF(OR(UPPER(TRIM('Raw data'!BE115))=UPPER(TRIM('Real results'!C113)),UPPER(TRIM('Raw data'!BE115))=UPPER(TRIM('Real results'!C114)),UPPER(TRIM('Raw data'!BE115))=UPPER(TRIM('Real results'!C115))),1,0),0),0)</f>
        <v>0</v>
      </c>
      <c r="BG117" s="34">
        <f>IFERROR(IF('Raw data'!BG115&lt;&gt;"",IF(OR(UPPER(TRIM('Raw data'!BG115))=UPPER(TRIM('Real results'!C113)),UPPER(TRIM('Raw data'!BG115))=UPPER(TRIM('Real results'!C114)),UPPER(TRIM('Raw data'!BG115))=UPPER(TRIM('Real results'!C115))),1,0),0),0)</f>
        <v>0</v>
      </c>
      <c r="BI117" s="34">
        <f>IFERROR(IF('Raw data'!BI115&lt;&gt;"",IF(OR(UPPER(TRIM('Raw data'!BI115))=UPPER(TRIM('Real results'!C113)),UPPER(TRIM('Raw data'!BI115))=UPPER(TRIM('Real results'!C114)),UPPER(TRIM('Raw data'!BI115))=UPPER(TRIM('Real results'!C115))),1,0),0),0)</f>
        <v>0</v>
      </c>
    </row>
    <row r="118" ht="21.75" customHeight="1">
      <c r="B118" s="35" t="s">
        <v>374</v>
      </c>
      <c r="C118" s="36">
        <f>SUM(C82:C117)</f>
        <v>0</v>
      </c>
      <c r="E118" s="36">
        <f>SUM(E82:E117)</f>
        <v>0</v>
      </c>
      <c r="G118" s="36">
        <f>SUM(G82:G117)</f>
        <v>0</v>
      </c>
      <c r="I118" s="36">
        <f>SUM(I82:I117)</f>
        <v>0</v>
      </c>
      <c r="K118" s="36">
        <f>SUM(K82:K117)</f>
        <v>0</v>
      </c>
      <c r="M118" s="36">
        <f>SUM(M82:M117)</f>
        <v>0</v>
      </c>
      <c r="O118" s="36">
        <f>SUM(O82:O117)</f>
        <v>0</v>
      </c>
      <c r="Q118" s="36">
        <f>SUM(Q82:Q117)</f>
        <v>0</v>
      </c>
      <c r="S118" s="36">
        <f>SUM(S82:S117)</f>
        <v>0</v>
      </c>
      <c r="U118" s="36">
        <f>SUM(U82:U117)</f>
        <v>0</v>
      </c>
      <c r="W118" s="36">
        <f>SUM(W82:W117)</f>
        <v>0</v>
      </c>
      <c r="Y118" s="36">
        <f>SUM(Y82:Y117)</f>
        <v>0</v>
      </c>
      <c r="AA118" s="36">
        <f>SUM(AA82:AA117)</f>
        <v>0</v>
      </c>
      <c r="AC118" s="36">
        <f>SUM(AC82:AC117)</f>
        <v>0</v>
      </c>
      <c r="AE118" s="36">
        <f>SUM(AE82:AE117)</f>
        <v>0</v>
      </c>
      <c r="AG118" s="36">
        <f>SUM(AG82:AG117)</f>
        <v>0</v>
      </c>
      <c r="AI118" s="36">
        <f>SUM(AI82:AI117)</f>
        <v>0</v>
      </c>
      <c r="AK118" s="36">
        <f>SUM(AK82:AK117)</f>
        <v>0</v>
      </c>
      <c r="AM118" s="36">
        <f>SUM(AM82:AM117)</f>
        <v>0</v>
      </c>
      <c r="AO118" s="36">
        <f>SUM(AO82:AO117)</f>
        <v>0</v>
      </c>
      <c r="AQ118" s="36">
        <f>SUM(AQ82:AQ117)</f>
        <v>0</v>
      </c>
      <c r="AS118" s="36">
        <f>SUM(AS82:AS117)</f>
        <v>0</v>
      </c>
      <c r="AU118" s="36">
        <f>SUM(AU82:AU117)</f>
        <v>0</v>
      </c>
      <c r="AW118" s="36">
        <f>SUM(AW82:AW117)</f>
        <v>0</v>
      </c>
      <c r="AY118" s="36">
        <f>SUM(AY82:AY117)</f>
        <v>0</v>
      </c>
      <c r="BA118" s="36">
        <f>SUM(BA82:BA117)</f>
        <v>0</v>
      </c>
      <c r="BC118" s="36">
        <f>SUM(BC82:BC117)</f>
        <v>0</v>
      </c>
      <c r="BE118" s="36">
        <f>SUM(BE82:BE117)</f>
        <v>0</v>
      </c>
      <c r="BG118" s="36">
        <f>SUM(BG82:BG117)</f>
        <v>0</v>
      </c>
      <c r="BI118" s="36">
        <f>SUM(BI82:BI117)</f>
        <v>0</v>
      </c>
    </row>
    <row r="119" ht="19.5" customHeight="1">
      <c r="B119" s="33" t="s">
        <v>375</v>
      </c>
      <c r="C119" s="11"/>
      <c r="E119" s="11"/>
      <c r="G119" s="11"/>
      <c r="I119" s="11"/>
      <c r="K119" s="11"/>
      <c r="M119" s="11"/>
      <c r="O119" s="11"/>
      <c r="Q119" s="11"/>
      <c r="S119" s="11"/>
      <c r="U119" s="11"/>
      <c r="W119" s="11"/>
      <c r="Y119" s="11"/>
      <c r="AA119" s="11"/>
      <c r="AC119" s="11"/>
      <c r="AE119" s="11"/>
      <c r="AG119" s="11"/>
      <c r="AI119" s="11"/>
      <c r="AK119" s="11"/>
      <c r="AM119" s="11"/>
      <c r="AO119" s="11"/>
      <c r="AQ119" s="11"/>
      <c r="AS119" s="11"/>
      <c r="AU119" s="11"/>
      <c r="AW119" s="11"/>
      <c r="AY119" s="11"/>
      <c r="BA119" s="11"/>
      <c r="BC119" s="11"/>
      <c r="BE119" s="11"/>
      <c r="BG119" s="11"/>
      <c r="BI119" s="11"/>
    </row>
    <row r="120" ht="18.0" customHeight="1">
      <c r="B120" s="12" t="s">
        <v>376</v>
      </c>
      <c r="C120" s="34">
        <f>IFERROR(IF('Raw data'!C116&lt;&gt;"",IF((IF(UPPER(TRIM('Raw data'!C116))=UPPER(TRIM('Real results'!C117)),1,0) + IF(UPPER(TRIM('Raw data'!C116))=UPPER(TRIM('Real results'!C118)),1,0) + IF(UPPER(TRIM('Raw data'!C116))=UPPER(TRIM('Real results'!C119)),1,0) + IF(UPPER(TRIM('Raw data'!C116))=UPPER(TRIM('Real results'!C120)),1,0) + IF(UPPER(TRIM('Raw data'!C116))=UPPER(TRIM('Real results'!C121)),1,0) + IF(UPPER(TRIM('Raw data'!C116))=UPPER(TRIM('Real results'!C122)),1,0) + IF(UPPER(TRIM('Raw data'!C116))=UPPER(TRIM('Real results'!C123)),1,0) + IF(UPPER(TRIM('Raw data'!C116))=UPPER(TRIM('Real results'!C124)),1,0))&gt;=1,1,0),0),0)</f>
        <v>0</v>
      </c>
      <c r="E120" s="34">
        <f>IFERROR(IF('Raw data'!E117&lt;&gt;"",IF((IF(UPPER(TRIM('Raw data'!E117))=UPPER(TRIM('Real results'!C117)),1,0) + IF(UPPER(TRIM('Raw data'!E117))=UPPER(TRIM('Real results'!C118)),1,0) + IF(UPPER(TRIM('Raw data'!E117))=UPPER(TRIM('Real results'!C119)),1,0) + IF(UPPER(TRIM('Raw data'!E117))=UPPER(TRIM('Real results'!C120)),1,0) + IF(UPPER(TRIM('Raw data'!E117))=UPPER(TRIM('Real results'!C121)),1,0) + IF(UPPER(TRIM('Raw data'!E117))=UPPER(TRIM('Real results'!C122)),1,0) + IF(UPPER(TRIM('Raw data'!E117))=UPPER(TRIM('Real results'!C123)),1,0) + IF(UPPER(TRIM('Raw data'!E117))=UPPER(TRIM('Real results'!C124)),1,0))&gt;=1,1,0),0),0)</f>
        <v>0</v>
      </c>
      <c r="G120" s="34">
        <f>IFERROR(IF('Raw data'!G117&lt;&gt;"",IF((IF(UPPER(TRIM('Raw data'!G117))=UPPER(TRIM('Real results'!C117)),1,0) + IF(UPPER(TRIM('Raw data'!G117))=UPPER(TRIM('Real results'!C118)),1,0) + IF(UPPER(TRIM('Raw data'!G117))=UPPER(TRIM('Real results'!C119)),1,0) + IF(UPPER(TRIM('Raw data'!G117))=UPPER(TRIM('Real results'!C120)),1,0) + IF(UPPER(TRIM('Raw data'!G117))=UPPER(TRIM('Real results'!C121)),1,0) + IF(UPPER(TRIM('Raw data'!G117))=UPPER(TRIM('Real results'!C122)),1,0) + IF(UPPER(TRIM('Raw data'!G117))=UPPER(TRIM('Real results'!C123)),1,0) + IF(UPPER(TRIM('Raw data'!G117))=UPPER(TRIM('Real results'!C124)),1,0))&gt;=1,1,0),0),0)</f>
        <v>0</v>
      </c>
      <c r="I120" s="34">
        <f>IFERROR(IF('Raw data'!I117&lt;&gt;"",IF((IF(UPPER(TRIM('Raw data'!I117))=UPPER(TRIM('Real results'!C117)),1,0) + IF(UPPER(TRIM('Raw data'!I117))=UPPER(TRIM('Real results'!C118)),1,0) + IF(UPPER(TRIM('Raw data'!I117))=UPPER(TRIM('Real results'!C119)),1,0) + IF(UPPER(TRIM('Raw data'!I117))=UPPER(TRIM('Real results'!C120)),1,0) + IF(UPPER(TRIM('Raw data'!I117))=UPPER(TRIM('Real results'!C121)),1,0) + IF(UPPER(TRIM('Raw data'!I117))=UPPER(TRIM('Real results'!C122)),1,0) + IF(UPPER(TRIM('Raw data'!I117))=UPPER(TRIM('Real results'!C123)),1,0) + IF(UPPER(TRIM('Raw data'!I117))=UPPER(TRIM('Real results'!C124)),1,0))&gt;=1,1,0),0),0)</f>
        <v>0</v>
      </c>
      <c r="K120" s="34">
        <f>IFERROR(IF('Raw data'!K117&lt;&gt;"",IF((IF(UPPER(TRIM('Raw data'!K117))=UPPER(TRIM('Real results'!C117)),1,0) + IF(UPPER(TRIM('Raw data'!K117))=UPPER(TRIM('Real results'!C118)),1,0) + IF(UPPER(TRIM('Raw data'!K117))=UPPER(TRIM('Real results'!C119)),1,0) + IF(UPPER(TRIM('Raw data'!K117))=UPPER(TRIM('Real results'!C120)),1,0) + IF(UPPER(TRIM('Raw data'!K117))=UPPER(TRIM('Real results'!C121)),1,0) + IF(UPPER(TRIM('Raw data'!K117))=UPPER(TRIM('Real results'!C122)),1,0) + IF(UPPER(TRIM('Raw data'!K117))=UPPER(TRIM('Real results'!C123)),1,0) + IF(UPPER(TRIM('Raw data'!K117))=UPPER(TRIM('Real results'!C124)),1,0))&gt;=1,1,0),0),0)</f>
        <v>0</v>
      </c>
      <c r="M120" s="34">
        <f>IFERROR(IF('Raw data'!M117&lt;&gt;"",IF((IF(UPPER(TRIM('Raw data'!M117))=UPPER(TRIM('Real results'!C117)),1,0) + IF(UPPER(TRIM('Raw data'!M117))=UPPER(TRIM('Real results'!C118)),1,0) + IF(UPPER(TRIM('Raw data'!M117))=UPPER(TRIM('Real results'!C119)),1,0) + IF(UPPER(TRIM('Raw data'!M117))=UPPER(TRIM('Real results'!C120)),1,0) + IF(UPPER(TRIM('Raw data'!M117))=UPPER(TRIM('Real results'!C121)),1,0) + IF(UPPER(TRIM('Raw data'!M117))=UPPER(TRIM('Real results'!C122)),1,0) + IF(UPPER(TRIM('Raw data'!M117))=UPPER(TRIM('Real results'!C123)),1,0) + IF(UPPER(TRIM('Raw data'!M117))=UPPER(TRIM('Real results'!C124)),1,0))&gt;=1,1,0),0),0)</f>
        <v>0</v>
      </c>
      <c r="O120" s="34">
        <f>IFERROR(IF('Raw data'!O117&lt;&gt;"",IF((IF(UPPER(TRIM('Raw data'!O117))=UPPER(TRIM('Real results'!C117)),1,0) + IF(UPPER(TRIM('Raw data'!O117))=UPPER(TRIM('Real results'!C118)),1,0) + IF(UPPER(TRIM('Raw data'!O117))=UPPER(TRIM('Real results'!C119)),1,0) + IF(UPPER(TRIM('Raw data'!O117))=UPPER(TRIM('Real results'!C120)),1,0) + IF(UPPER(TRIM('Raw data'!O117))=UPPER(TRIM('Real results'!C121)),1,0) + IF(UPPER(TRIM('Raw data'!O117))=UPPER(TRIM('Real results'!C122)),1,0) + IF(UPPER(TRIM('Raw data'!O117))=UPPER(TRIM('Real results'!C123)),1,0) + IF(UPPER(TRIM('Raw data'!O117))=UPPER(TRIM('Real results'!C124)),1,0))&gt;=1,1,0),0),0)</f>
        <v>0</v>
      </c>
      <c r="Q120" s="34">
        <f>IFERROR(IF('Raw data'!Q117&lt;&gt;"",IF((IF(UPPER(TRIM('Raw data'!Q117))=UPPER(TRIM('Real results'!C117)),1,0) + IF(UPPER(TRIM('Raw data'!Q117))=UPPER(TRIM('Real results'!C118)),1,0) + IF(UPPER(TRIM('Raw data'!Q117))=UPPER(TRIM('Real results'!C119)),1,0) + IF(UPPER(TRIM('Raw data'!Q117))=UPPER(TRIM('Real results'!C120)),1,0) + IF(UPPER(TRIM('Raw data'!Q117))=UPPER(TRIM('Real results'!C121)),1,0) + IF(UPPER(TRIM('Raw data'!Q117))=UPPER(TRIM('Real results'!C122)),1,0) + IF(UPPER(TRIM('Raw data'!Q117))=UPPER(TRIM('Real results'!C123)),1,0) + IF(UPPER(TRIM('Raw data'!Q117))=UPPER(TRIM('Real results'!C124)),1,0))&gt;=1,1,0),0),0)</f>
        <v>0</v>
      </c>
      <c r="S120" s="34">
        <f>IFERROR(IF('Raw data'!S117&lt;&gt;"",IF((IF(UPPER(TRIM('Raw data'!S117))=UPPER(TRIM('Real results'!C117)),1,0) + IF(UPPER(TRIM('Raw data'!S117))=UPPER(TRIM('Real results'!C118)),1,0) + IF(UPPER(TRIM('Raw data'!S117))=UPPER(TRIM('Real results'!C119)),1,0) + IF(UPPER(TRIM('Raw data'!S117))=UPPER(TRIM('Real results'!C120)),1,0) + IF(UPPER(TRIM('Raw data'!S117))=UPPER(TRIM('Real results'!C121)),1,0) + IF(UPPER(TRIM('Raw data'!S117))=UPPER(TRIM('Real results'!C122)),1,0) + IF(UPPER(TRIM('Raw data'!S117))=UPPER(TRIM('Real results'!C123)),1,0) + IF(UPPER(TRIM('Raw data'!S117))=UPPER(TRIM('Real results'!C124)),1,0))&gt;=1,1,0),0),0)</f>
        <v>0</v>
      </c>
      <c r="U120" s="34">
        <f>IFERROR(IF('Raw data'!U117&lt;&gt;"",IF((IF(UPPER(TRIM('Raw data'!U117))=UPPER(TRIM('Real results'!C117)),1,0) + IF(UPPER(TRIM('Raw data'!U117))=UPPER(TRIM('Real results'!C118)),1,0) + IF(UPPER(TRIM('Raw data'!U117))=UPPER(TRIM('Real results'!C119)),1,0) + IF(UPPER(TRIM('Raw data'!U117))=UPPER(TRIM('Real results'!C120)),1,0) + IF(UPPER(TRIM('Raw data'!U117))=UPPER(TRIM('Real results'!C121)),1,0) + IF(UPPER(TRIM('Raw data'!U117))=UPPER(TRIM('Real results'!C122)),1,0) + IF(UPPER(TRIM('Raw data'!U117))=UPPER(TRIM('Real results'!C123)),1,0) + IF(UPPER(TRIM('Raw data'!U117))=UPPER(TRIM('Real results'!C124)),1,0))&gt;=1,1,0),0),0)</f>
        <v>0</v>
      </c>
      <c r="W120" s="34">
        <f>IFERROR(IF('Raw data'!W117&lt;&gt;"",IF((IF(UPPER(TRIM('Raw data'!W117))=UPPER(TRIM('Real results'!C117)),1,0) + IF(UPPER(TRIM('Raw data'!W117))=UPPER(TRIM('Real results'!C118)),1,0) + IF(UPPER(TRIM('Raw data'!W117))=UPPER(TRIM('Real results'!C119)),1,0) + IF(UPPER(TRIM('Raw data'!W117))=UPPER(TRIM('Real results'!C120)),1,0) + IF(UPPER(TRIM('Raw data'!W117))=UPPER(TRIM('Real results'!C121)),1,0) + IF(UPPER(TRIM('Raw data'!W117))=UPPER(TRIM('Real results'!C122)),1,0) + IF(UPPER(TRIM('Raw data'!W117))=UPPER(TRIM('Real results'!C123)),1,0) + IF(UPPER(TRIM('Raw data'!W117))=UPPER(TRIM('Real results'!C124)),1,0))&gt;=1,1,0),0),0)</f>
        <v>0</v>
      </c>
      <c r="Y120" s="34">
        <f>IFERROR(IF('Raw data'!Y117&lt;&gt;"",IF((IF(UPPER(TRIM('Raw data'!Y117))=UPPER(TRIM('Real results'!C117)),1,0) + IF(UPPER(TRIM('Raw data'!Y117))=UPPER(TRIM('Real results'!C118)),1,0) + IF(UPPER(TRIM('Raw data'!Y117))=UPPER(TRIM('Real results'!C119)),1,0) + IF(UPPER(TRIM('Raw data'!Y117))=UPPER(TRIM('Real results'!C120)),1,0) + IF(UPPER(TRIM('Raw data'!Y117))=UPPER(TRIM('Real results'!C121)),1,0) + IF(UPPER(TRIM('Raw data'!Y117))=UPPER(TRIM('Real results'!C122)),1,0) + IF(UPPER(TRIM('Raw data'!Y117))=UPPER(TRIM('Real results'!C123)),1,0) + IF(UPPER(TRIM('Raw data'!Y117))=UPPER(TRIM('Real results'!C124)),1,0))&gt;=1,1,0),0),0)</f>
        <v>0</v>
      </c>
      <c r="AA120" s="34">
        <f>IFERROR(IF('Raw data'!AA117&lt;&gt;"",IF((IF(UPPER(TRIM('Raw data'!AA117))=UPPER(TRIM('Real results'!C117)),1,0) + IF(UPPER(TRIM('Raw data'!AA117))=UPPER(TRIM('Real results'!C118)),1,0) + IF(UPPER(TRIM('Raw data'!AA117))=UPPER(TRIM('Real results'!C119)),1,0) + IF(UPPER(TRIM('Raw data'!AA117))=UPPER(TRIM('Real results'!C120)),1,0) + IF(UPPER(TRIM('Raw data'!AA117))=UPPER(TRIM('Real results'!C121)),1,0) + IF(UPPER(TRIM('Raw data'!AA117))=UPPER(TRIM('Real results'!C122)),1,0) + IF(UPPER(TRIM('Raw data'!AA117))=UPPER(TRIM('Real results'!C123)),1,0) + IF(UPPER(TRIM('Raw data'!AA117))=UPPER(TRIM('Real results'!C124)),1,0))&gt;=1,1,0),0),0)</f>
        <v>0</v>
      </c>
      <c r="AC120" s="34">
        <f>IFERROR(IF('Raw data'!AC117&lt;&gt;"",IF((IF(UPPER(TRIM('Raw data'!AC117))=UPPER(TRIM('Real results'!C117)),1,0) + IF(UPPER(TRIM('Raw data'!AC117))=UPPER(TRIM('Real results'!C118)),1,0) + IF(UPPER(TRIM('Raw data'!AC117))=UPPER(TRIM('Real results'!C119)),1,0) + IF(UPPER(TRIM('Raw data'!AC117))=UPPER(TRIM('Real results'!C120)),1,0) + IF(UPPER(TRIM('Raw data'!AC117))=UPPER(TRIM('Real results'!C121)),1,0) + IF(UPPER(TRIM('Raw data'!AC117))=UPPER(TRIM('Real results'!C122)),1,0) + IF(UPPER(TRIM('Raw data'!AC117))=UPPER(TRIM('Real results'!C123)),1,0) + IF(UPPER(TRIM('Raw data'!AC117))=UPPER(TRIM('Real results'!C124)),1,0))&gt;=1,1,0),0),0)</f>
        <v>0</v>
      </c>
      <c r="AE120" s="34">
        <f>IFERROR(IF('Raw data'!AE117&lt;&gt;"",IF((IF(UPPER(TRIM('Raw data'!AE117))=UPPER(TRIM('Real results'!C117)),1,0) + IF(UPPER(TRIM('Raw data'!AE117))=UPPER(TRIM('Real results'!C118)),1,0) + IF(UPPER(TRIM('Raw data'!AE117))=UPPER(TRIM('Real results'!C119)),1,0) + IF(UPPER(TRIM('Raw data'!AE117))=UPPER(TRIM('Real results'!C120)),1,0) + IF(UPPER(TRIM('Raw data'!AE117))=UPPER(TRIM('Real results'!C121)),1,0) + IF(UPPER(TRIM('Raw data'!AE117))=UPPER(TRIM('Real results'!C122)),1,0) + IF(UPPER(TRIM('Raw data'!AE117))=UPPER(TRIM('Real results'!C123)),1,0) + IF(UPPER(TRIM('Raw data'!AE117))=UPPER(TRIM('Real results'!C124)),1,0))&gt;=1,1,0),0),0)</f>
        <v>0</v>
      </c>
      <c r="AG120" s="34">
        <f>IFERROR(IF('Raw data'!AG117&lt;&gt;"",IF((IF(UPPER(TRIM('Raw data'!AG117))=UPPER(TRIM('Real results'!C117)),1,0) + IF(UPPER(TRIM('Raw data'!AG117))=UPPER(TRIM('Real results'!C118)),1,0) + IF(UPPER(TRIM('Raw data'!AG117))=UPPER(TRIM('Real results'!C119)),1,0) + IF(UPPER(TRIM('Raw data'!AG117))=UPPER(TRIM('Real results'!C120)),1,0) + IF(UPPER(TRIM('Raw data'!AG117))=UPPER(TRIM('Real results'!C121)),1,0) + IF(UPPER(TRIM('Raw data'!AG117))=UPPER(TRIM('Real results'!C122)),1,0) + IF(UPPER(TRIM('Raw data'!AG117))=UPPER(TRIM('Real results'!C123)),1,0) + IF(UPPER(TRIM('Raw data'!AG117))=UPPER(TRIM('Real results'!C124)),1,0))&gt;=1,1,0),0),0)</f>
        <v>0</v>
      </c>
      <c r="AI120" s="34">
        <f>IFERROR(IF('Raw data'!AI117&lt;&gt;"",IF((IF(UPPER(TRIM('Raw data'!AI117))=UPPER(TRIM('Real results'!C117)),1,0) + IF(UPPER(TRIM('Raw data'!AI117))=UPPER(TRIM('Real results'!C118)),1,0) + IF(UPPER(TRIM('Raw data'!AI117))=UPPER(TRIM('Real results'!C119)),1,0) + IF(UPPER(TRIM('Raw data'!AI117))=UPPER(TRIM('Real results'!C120)),1,0) + IF(UPPER(TRIM('Raw data'!AI117))=UPPER(TRIM('Real results'!C121)),1,0) + IF(UPPER(TRIM('Raw data'!AI117))=UPPER(TRIM('Real results'!C122)),1,0) + IF(UPPER(TRIM('Raw data'!AI117))=UPPER(TRIM('Real results'!C123)),1,0) + IF(UPPER(TRIM('Raw data'!AI117))=UPPER(TRIM('Real results'!C124)),1,0))&gt;=1,1,0),0),0)</f>
        <v>0</v>
      </c>
      <c r="AK120" s="34">
        <f>IFERROR(IF('Raw data'!AK117&lt;&gt;"",IF((IF(UPPER(TRIM('Raw data'!AK117))=UPPER(TRIM('Real results'!C117)),1,0) + IF(UPPER(TRIM('Raw data'!AK117))=UPPER(TRIM('Real results'!C118)),1,0) + IF(UPPER(TRIM('Raw data'!AK117))=UPPER(TRIM('Real results'!C119)),1,0) + IF(UPPER(TRIM('Raw data'!AK117))=UPPER(TRIM('Real results'!C120)),1,0) + IF(UPPER(TRIM('Raw data'!AK117))=UPPER(TRIM('Real results'!C121)),1,0) + IF(UPPER(TRIM('Raw data'!AK117))=UPPER(TRIM('Real results'!C122)),1,0) + IF(UPPER(TRIM('Raw data'!AK117))=UPPER(TRIM('Real results'!C123)),1,0) + IF(UPPER(TRIM('Raw data'!AK117))=UPPER(TRIM('Real results'!C124)),1,0))&gt;=1,1,0),0),0)</f>
        <v>0</v>
      </c>
      <c r="AM120" s="34">
        <f>IFERROR(IF('Raw data'!AM117&lt;&gt;"",IF((IF(UPPER(TRIM('Raw data'!AM117))=UPPER(TRIM('Real results'!C117)),1,0) + IF(UPPER(TRIM('Raw data'!AM117))=UPPER(TRIM('Real results'!C118)),1,0) + IF(UPPER(TRIM('Raw data'!AM117))=UPPER(TRIM('Real results'!C119)),1,0) + IF(UPPER(TRIM('Raw data'!AM117))=UPPER(TRIM('Real results'!C120)),1,0) + IF(UPPER(TRIM('Raw data'!AM117))=UPPER(TRIM('Real results'!C121)),1,0) + IF(UPPER(TRIM('Raw data'!AM117))=UPPER(TRIM('Real results'!C122)),1,0) + IF(UPPER(TRIM('Raw data'!AM117))=UPPER(TRIM('Real results'!C123)),1,0) + IF(UPPER(TRIM('Raw data'!AM117))=UPPER(TRIM('Real results'!C124)),1,0))&gt;=1,1,0),0),0)</f>
        <v>0</v>
      </c>
      <c r="AO120" s="34">
        <f>IFERROR(IF('Raw data'!AO117&lt;&gt;"",IF((IF(UPPER(TRIM('Raw data'!AO117))=UPPER(TRIM('Real results'!C117)),1,0) + IF(UPPER(TRIM('Raw data'!AO117))=UPPER(TRIM('Real results'!C118)),1,0) + IF(UPPER(TRIM('Raw data'!AO117))=UPPER(TRIM('Real results'!C119)),1,0) + IF(UPPER(TRIM('Raw data'!AO117))=UPPER(TRIM('Real results'!C120)),1,0) + IF(UPPER(TRIM('Raw data'!AO117))=UPPER(TRIM('Real results'!C121)),1,0) + IF(UPPER(TRIM('Raw data'!AO117))=UPPER(TRIM('Real results'!C122)),1,0) + IF(UPPER(TRIM('Raw data'!AO117))=UPPER(TRIM('Real results'!C123)),1,0) + IF(UPPER(TRIM('Raw data'!AO117))=UPPER(TRIM('Real results'!C124)),1,0))&gt;=1,1,0),0),0)</f>
        <v>0</v>
      </c>
      <c r="AQ120" s="34">
        <f>IFERROR(IF('Raw data'!AQ117&lt;&gt;"",IF((IF(UPPER(TRIM('Raw data'!AQ117))=UPPER(TRIM('Real results'!C117)),1,0) + IF(UPPER(TRIM('Raw data'!AQ117))=UPPER(TRIM('Real results'!C118)),1,0) + IF(UPPER(TRIM('Raw data'!AQ117))=UPPER(TRIM('Real results'!C119)),1,0) + IF(UPPER(TRIM('Raw data'!AQ117))=UPPER(TRIM('Real results'!C120)),1,0) + IF(UPPER(TRIM('Raw data'!AQ117))=UPPER(TRIM('Real results'!C121)),1,0) + IF(UPPER(TRIM('Raw data'!AQ117))=UPPER(TRIM('Real results'!C122)),1,0) + IF(UPPER(TRIM('Raw data'!AQ117))=UPPER(TRIM('Real results'!C123)),1,0) + IF(UPPER(TRIM('Raw data'!AQ117))=UPPER(TRIM('Real results'!C124)),1,0))&gt;=1,1,0),0),0)</f>
        <v>0</v>
      </c>
      <c r="AS120" s="34">
        <f>IFERROR(IF('Raw data'!AS117&lt;&gt;"",IF((IF(UPPER(TRIM('Raw data'!AS117))=UPPER(TRIM('Real results'!C117)),1,0) + IF(UPPER(TRIM('Raw data'!AS117))=UPPER(TRIM('Real results'!C118)),1,0) + IF(UPPER(TRIM('Raw data'!AS117))=UPPER(TRIM('Real results'!C119)),1,0) + IF(UPPER(TRIM('Raw data'!AS117))=UPPER(TRIM('Real results'!C120)),1,0) + IF(UPPER(TRIM('Raw data'!AS117))=UPPER(TRIM('Real results'!C121)),1,0) + IF(UPPER(TRIM('Raw data'!AS117))=UPPER(TRIM('Real results'!C122)),1,0) + IF(UPPER(TRIM('Raw data'!AS117))=UPPER(TRIM('Real results'!C123)),1,0) + IF(UPPER(TRIM('Raw data'!AS117))=UPPER(TRIM('Real results'!C124)),1,0))&gt;=1,1,0),0),0)</f>
        <v>0</v>
      </c>
      <c r="AU120" s="34">
        <f>IFERROR(IF('Raw data'!AU117&lt;&gt;"",IF((IF(UPPER(TRIM('Raw data'!AU117))=UPPER(TRIM('Real results'!C117)),1,0) + IF(UPPER(TRIM('Raw data'!AU117))=UPPER(TRIM('Real results'!C118)),1,0) + IF(UPPER(TRIM('Raw data'!AU117))=UPPER(TRIM('Real results'!C119)),1,0) + IF(UPPER(TRIM('Raw data'!AU117))=UPPER(TRIM('Real results'!C120)),1,0) + IF(UPPER(TRIM('Raw data'!AU117))=UPPER(TRIM('Real results'!C121)),1,0) + IF(UPPER(TRIM('Raw data'!AU117))=UPPER(TRIM('Real results'!C122)),1,0) + IF(UPPER(TRIM('Raw data'!AU117))=UPPER(TRIM('Real results'!C123)),1,0) + IF(UPPER(TRIM('Raw data'!AU117))=UPPER(TRIM('Real results'!C124)),1,0))&gt;=1,1,0),0),0)</f>
        <v>0</v>
      </c>
      <c r="AW120" s="34">
        <f>IFERROR(IF('Raw data'!AW117&lt;&gt;"",IF((IF(UPPER(TRIM('Raw data'!AW117))=UPPER(TRIM('Real results'!C117)),1,0) + IF(UPPER(TRIM('Raw data'!AW117))=UPPER(TRIM('Real results'!C118)),1,0) + IF(UPPER(TRIM('Raw data'!AW117))=UPPER(TRIM('Real results'!C119)),1,0) + IF(UPPER(TRIM('Raw data'!AW117))=UPPER(TRIM('Real results'!C120)),1,0) + IF(UPPER(TRIM('Raw data'!AW117))=UPPER(TRIM('Real results'!C121)),1,0) + IF(UPPER(TRIM('Raw data'!AW117))=UPPER(TRIM('Real results'!C122)),1,0) + IF(UPPER(TRIM('Raw data'!AW117))=UPPER(TRIM('Real results'!C123)),1,0) + IF(UPPER(TRIM('Raw data'!AW117))=UPPER(TRIM('Real results'!C124)),1,0))&gt;=1,1,0),0),0)</f>
        <v>0</v>
      </c>
      <c r="AY120" s="34">
        <f>IFERROR(IF('Raw data'!AY117&lt;&gt;"",IF((IF(UPPER(TRIM('Raw data'!AY117))=UPPER(TRIM('Real results'!C117)),1,0) + IF(UPPER(TRIM('Raw data'!AY117))=UPPER(TRIM('Real results'!C118)),1,0) + IF(UPPER(TRIM('Raw data'!AY117))=UPPER(TRIM('Real results'!C119)),1,0) + IF(UPPER(TRIM('Raw data'!AY117))=UPPER(TRIM('Real results'!C120)),1,0) + IF(UPPER(TRIM('Raw data'!AY117))=UPPER(TRIM('Real results'!C121)),1,0) + IF(UPPER(TRIM('Raw data'!AY117))=UPPER(TRIM('Real results'!C122)),1,0) + IF(UPPER(TRIM('Raw data'!AY117))=UPPER(TRIM('Real results'!C123)),1,0) + IF(UPPER(TRIM('Raw data'!AY117))=UPPER(TRIM('Real results'!C124)),1,0))&gt;=1,1,0),0),0)</f>
        <v>0</v>
      </c>
      <c r="BA120" s="34">
        <f>IFERROR(IF('Raw data'!BA117&lt;&gt;"",IF((IF(UPPER(TRIM('Raw data'!BA117))=UPPER(TRIM('Real results'!C117)),1,0) + IF(UPPER(TRIM('Raw data'!BA117))=UPPER(TRIM('Real results'!C118)),1,0) + IF(UPPER(TRIM('Raw data'!BA117))=UPPER(TRIM('Real results'!C119)),1,0) + IF(UPPER(TRIM('Raw data'!BA117))=UPPER(TRIM('Real results'!C120)),1,0) + IF(UPPER(TRIM('Raw data'!BA117))=UPPER(TRIM('Real results'!C121)),1,0) + IF(UPPER(TRIM('Raw data'!BA117))=UPPER(TRIM('Real results'!C122)),1,0) + IF(UPPER(TRIM('Raw data'!BA117))=UPPER(TRIM('Real results'!C123)),1,0) + IF(UPPER(TRIM('Raw data'!BA117))=UPPER(TRIM('Real results'!C124)),1,0))&gt;=1,1,0),0),0)</f>
        <v>0</v>
      </c>
      <c r="BC120" s="34">
        <f>IFERROR(IF('Raw data'!BC117&lt;&gt;"",IF((IF(UPPER(TRIM('Raw data'!BC117))=UPPER(TRIM('Real results'!C117)),1,0) + IF(UPPER(TRIM('Raw data'!BC117))=UPPER(TRIM('Real results'!C118)),1,0) + IF(UPPER(TRIM('Raw data'!BC117))=UPPER(TRIM('Real results'!C119)),1,0) + IF(UPPER(TRIM('Raw data'!BC117))=UPPER(TRIM('Real results'!C120)),1,0) + IF(UPPER(TRIM('Raw data'!BC117))=UPPER(TRIM('Real results'!C121)),1,0) + IF(UPPER(TRIM('Raw data'!BC117))=UPPER(TRIM('Real results'!C122)),1,0) + IF(UPPER(TRIM('Raw data'!BC117))=UPPER(TRIM('Real results'!C123)),1,0) + IF(UPPER(TRIM('Raw data'!BC117))=UPPER(TRIM('Real results'!C124)),1,0))&gt;=1,1,0),0),0)</f>
        <v>0</v>
      </c>
      <c r="BE120" s="34">
        <f>IFERROR(IF('Raw data'!BE117&lt;&gt;"",IF((IF(UPPER(TRIM('Raw data'!BE117))=UPPER(TRIM('Real results'!C117)),1,0) + IF(UPPER(TRIM('Raw data'!BE117))=UPPER(TRIM('Real results'!C118)),1,0) + IF(UPPER(TRIM('Raw data'!BE117))=UPPER(TRIM('Real results'!C119)),1,0) + IF(UPPER(TRIM('Raw data'!BE117))=UPPER(TRIM('Real results'!C120)),1,0) + IF(UPPER(TRIM('Raw data'!BE117))=UPPER(TRIM('Real results'!C121)),1,0) + IF(UPPER(TRIM('Raw data'!BE117))=UPPER(TRIM('Real results'!C122)),1,0) + IF(UPPER(TRIM('Raw data'!BE117))=UPPER(TRIM('Real results'!C123)),1,0) + IF(UPPER(TRIM('Raw data'!BE117))=UPPER(TRIM('Real results'!C124)),1,0))&gt;=1,1,0),0),0)</f>
        <v>0</v>
      </c>
      <c r="BG120" s="34">
        <f>IFERROR(IF('Raw data'!BG117&lt;&gt;"",IF((IF(UPPER(TRIM('Raw data'!BG117))=UPPER(TRIM('Real results'!C117)),1,0) + IF(UPPER(TRIM('Raw data'!BG117))=UPPER(TRIM('Real results'!C118)),1,0) + IF(UPPER(TRIM('Raw data'!BG117))=UPPER(TRIM('Real results'!C119)),1,0) + IF(UPPER(TRIM('Raw data'!BG117))=UPPER(TRIM('Real results'!C120)),1,0) + IF(UPPER(TRIM('Raw data'!BG117))=UPPER(TRIM('Real results'!C121)),1,0) + IF(UPPER(TRIM('Raw data'!BG117))=UPPER(TRIM('Real results'!C122)),1,0) + IF(UPPER(TRIM('Raw data'!BG117))=UPPER(TRIM('Real results'!C123)),1,0) + IF(UPPER(TRIM('Raw data'!BG117))=UPPER(TRIM('Real results'!C124)),1,0))&gt;=1,1,0),0),0)</f>
        <v>0</v>
      </c>
      <c r="BI120" s="34">
        <f>IFERROR(IF('Raw data'!BI117&lt;&gt;"",IF((IF(UPPER(TRIM('Raw data'!BI117))=UPPER(TRIM('Real results'!C117)),1,0) + IF(UPPER(TRIM('Raw data'!BI117))=UPPER(TRIM('Real results'!C118)),1,0) + IF(UPPER(TRIM('Raw data'!BI117))=UPPER(TRIM('Real results'!C119)),1,0) + IF(UPPER(TRIM('Raw data'!BI117))=UPPER(TRIM('Real results'!C120)),1,0) + IF(UPPER(TRIM('Raw data'!BI117))=UPPER(TRIM('Real results'!C121)),1,0) + IF(UPPER(TRIM('Raw data'!BI117))=UPPER(TRIM('Real results'!C122)),1,0) + IF(UPPER(TRIM('Raw data'!BI117))=UPPER(TRIM('Real results'!C123)),1,0) + IF(UPPER(TRIM('Raw data'!BI117))=UPPER(TRIM('Real results'!C124)),1,0))&gt;=1,1,0),0),0)</f>
        <v>0</v>
      </c>
    </row>
    <row r="121" ht="18.0" customHeight="1">
      <c r="B121" s="12" t="s">
        <v>377</v>
      </c>
      <c r="C121" s="34">
        <f>IFERROR(IF('Raw data'!C117&lt;&gt;"",IF((IF(UPPER(TRIM('Raw data'!C117))=UPPER(TRIM('Real results'!C117)),1,0) + IF(UPPER(TRIM('Raw data'!C117))=UPPER(TRIM('Real results'!C118)),1,0) + IF(UPPER(TRIM('Raw data'!C117))=UPPER(TRIM('Real results'!C119)),1,0) + IF(UPPER(TRIM('Raw data'!C117))=UPPER(TRIM('Real results'!C120)),1,0) + IF(UPPER(TRIM('Raw data'!C117))=UPPER(TRIM('Real results'!C121)),1,0) + IF(UPPER(TRIM('Raw data'!C117))=UPPER(TRIM('Real results'!C122)),1,0) + IF(UPPER(TRIM('Raw data'!C117))=UPPER(TRIM('Real results'!C123)),1,0) + IF(UPPER(TRIM('Raw data'!C117))=UPPER(TRIM('Real results'!C124)),1,0))&gt;=1,1,0),0),0)</f>
        <v>0</v>
      </c>
      <c r="E121" s="34">
        <f>IFERROR(IF('Raw data'!E118&lt;&gt;"",IF((IF(UPPER(TRIM('Raw data'!E118))=UPPER(TRIM('Real results'!C117)),1,0) + IF(UPPER(TRIM('Raw data'!E118))=UPPER(TRIM('Real results'!C118)),1,0) + IF(UPPER(TRIM('Raw data'!E118))=UPPER(TRIM('Real results'!C119)),1,0) + IF(UPPER(TRIM('Raw data'!E118))=UPPER(TRIM('Real results'!C120)),1,0) + IF(UPPER(TRIM('Raw data'!E118))=UPPER(TRIM('Real results'!C121)),1,0) + IF(UPPER(TRIM('Raw data'!E118))=UPPER(TRIM('Real results'!C122)),1,0) + IF(UPPER(TRIM('Raw data'!E118))=UPPER(TRIM('Real results'!C123)),1,0) + IF(UPPER(TRIM('Raw data'!E118))=UPPER(TRIM('Real results'!C124)),1,0))&gt;=1,1,0),0),0)</f>
        <v>0</v>
      </c>
      <c r="G121" s="34">
        <f>IFERROR(IF('Raw data'!G118&lt;&gt;"",IF((IF(UPPER(TRIM('Raw data'!G118))=UPPER(TRIM('Real results'!C117)),1,0) + IF(UPPER(TRIM('Raw data'!G118))=UPPER(TRIM('Real results'!C118)),1,0) + IF(UPPER(TRIM('Raw data'!G118))=UPPER(TRIM('Real results'!C119)),1,0) + IF(UPPER(TRIM('Raw data'!G118))=UPPER(TRIM('Real results'!C120)),1,0) + IF(UPPER(TRIM('Raw data'!G118))=UPPER(TRIM('Real results'!C121)),1,0) + IF(UPPER(TRIM('Raw data'!G118))=UPPER(TRIM('Real results'!C122)),1,0) + IF(UPPER(TRIM('Raw data'!G118))=UPPER(TRIM('Real results'!C123)),1,0) + IF(UPPER(TRIM('Raw data'!G118))=UPPER(TRIM('Real results'!C124)),1,0))&gt;=1,1,0),0),0)</f>
        <v>0</v>
      </c>
      <c r="I121" s="34">
        <f>IFERROR(IF('Raw data'!I118&lt;&gt;"",IF((IF(UPPER(TRIM('Raw data'!I118))=UPPER(TRIM('Real results'!C117)),1,0) + IF(UPPER(TRIM('Raw data'!I118))=UPPER(TRIM('Real results'!C118)),1,0) + IF(UPPER(TRIM('Raw data'!I118))=UPPER(TRIM('Real results'!C119)),1,0) + IF(UPPER(TRIM('Raw data'!I118))=UPPER(TRIM('Real results'!C120)),1,0) + IF(UPPER(TRIM('Raw data'!I118))=UPPER(TRIM('Real results'!C121)),1,0) + IF(UPPER(TRIM('Raw data'!I118))=UPPER(TRIM('Real results'!C122)),1,0) + IF(UPPER(TRIM('Raw data'!I118))=UPPER(TRIM('Real results'!C123)),1,0) + IF(UPPER(TRIM('Raw data'!I118))=UPPER(TRIM('Real results'!C124)),1,0))&gt;=1,1,0),0),0)</f>
        <v>0</v>
      </c>
      <c r="K121" s="34">
        <f>IFERROR(IF('Raw data'!K118&lt;&gt;"",IF((IF(UPPER(TRIM('Raw data'!K118))=UPPER(TRIM('Real results'!C117)),1,0) + IF(UPPER(TRIM('Raw data'!K118))=UPPER(TRIM('Real results'!C118)),1,0) + IF(UPPER(TRIM('Raw data'!K118))=UPPER(TRIM('Real results'!C119)),1,0) + IF(UPPER(TRIM('Raw data'!K118))=UPPER(TRIM('Real results'!C120)),1,0) + IF(UPPER(TRIM('Raw data'!K118))=UPPER(TRIM('Real results'!C121)),1,0) + IF(UPPER(TRIM('Raw data'!K118))=UPPER(TRIM('Real results'!C122)),1,0) + IF(UPPER(TRIM('Raw data'!K118))=UPPER(TRIM('Real results'!C123)),1,0) + IF(UPPER(TRIM('Raw data'!K118))=UPPER(TRIM('Real results'!C124)),1,0))&gt;=1,1,0),0),0)</f>
        <v>0</v>
      </c>
      <c r="M121" s="34">
        <f>IFERROR(IF('Raw data'!M118&lt;&gt;"",IF((IF(UPPER(TRIM('Raw data'!M118))=UPPER(TRIM('Real results'!C117)),1,0) + IF(UPPER(TRIM('Raw data'!M118))=UPPER(TRIM('Real results'!C118)),1,0) + IF(UPPER(TRIM('Raw data'!M118))=UPPER(TRIM('Real results'!C119)),1,0) + IF(UPPER(TRIM('Raw data'!M118))=UPPER(TRIM('Real results'!C120)),1,0) + IF(UPPER(TRIM('Raw data'!M118))=UPPER(TRIM('Real results'!C121)),1,0) + IF(UPPER(TRIM('Raw data'!M118))=UPPER(TRIM('Real results'!C122)),1,0) + IF(UPPER(TRIM('Raw data'!M118))=UPPER(TRIM('Real results'!C123)),1,0) + IF(UPPER(TRIM('Raw data'!M118))=UPPER(TRIM('Real results'!C124)),1,0))&gt;=1,1,0),0),0)</f>
        <v>0</v>
      </c>
      <c r="O121" s="34">
        <f>IFERROR(IF('Raw data'!O118&lt;&gt;"",IF((IF(UPPER(TRIM('Raw data'!O118))=UPPER(TRIM('Real results'!C117)),1,0) + IF(UPPER(TRIM('Raw data'!O118))=UPPER(TRIM('Real results'!C118)),1,0) + IF(UPPER(TRIM('Raw data'!O118))=UPPER(TRIM('Real results'!C119)),1,0) + IF(UPPER(TRIM('Raw data'!O118))=UPPER(TRIM('Real results'!C120)),1,0) + IF(UPPER(TRIM('Raw data'!O118))=UPPER(TRIM('Real results'!C121)),1,0) + IF(UPPER(TRIM('Raw data'!O118))=UPPER(TRIM('Real results'!C122)),1,0) + IF(UPPER(TRIM('Raw data'!O118))=UPPER(TRIM('Real results'!C123)),1,0) + IF(UPPER(TRIM('Raw data'!O118))=UPPER(TRIM('Real results'!C124)),1,0))&gt;=1,1,0),0),0)</f>
        <v>0</v>
      </c>
      <c r="Q121" s="34">
        <f>IFERROR(IF('Raw data'!Q118&lt;&gt;"",IF((IF(UPPER(TRIM('Raw data'!Q118))=UPPER(TRIM('Real results'!C117)),1,0) + IF(UPPER(TRIM('Raw data'!Q118))=UPPER(TRIM('Real results'!C118)),1,0) + IF(UPPER(TRIM('Raw data'!Q118))=UPPER(TRIM('Real results'!C119)),1,0) + IF(UPPER(TRIM('Raw data'!Q118))=UPPER(TRIM('Real results'!C120)),1,0) + IF(UPPER(TRIM('Raw data'!Q118))=UPPER(TRIM('Real results'!C121)),1,0) + IF(UPPER(TRIM('Raw data'!Q118))=UPPER(TRIM('Real results'!C122)),1,0) + IF(UPPER(TRIM('Raw data'!Q118))=UPPER(TRIM('Real results'!C123)),1,0) + IF(UPPER(TRIM('Raw data'!Q118))=UPPER(TRIM('Real results'!C124)),1,0))&gt;=1,1,0),0),0)</f>
        <v>0</v>
      </c>
      <c r="S121" s="34">
        <f>IFERROR(IF('Raw data'!S118&lt;&gt;"",IF((IF(UPPER(TRIM('Raw data'!S118))=UPPER(TRIM('Real results'!C117)),1,0) + IF(UPPER(TRIM('Raw data'!S118))=UPPER(TRIM('Real results'!C118)),1,0) + IF(UPPER(TRIM('Raw data'!S118))=UPPER(TRIM('Real results'!C119)),1,0) + IF(UPPER(TRIM('Raw data'!S118))=UPPER(TRIM('Real results'!C120)),1,0) + IF(UPPER(TRIM('Raw data'!S118))=UPPER(TRIM('Real results'!C121)),1,0) + IF(UPPER(TRIM('Raw data'!S118))=UPPER(TRIM('Real results'!C122)),1,0) + IF(UPPER(TRIM('Raw data'!S118))=UPPER(TRIM('Real results'!C123)),1,0) + IF(UPPER(TRIM('Raw data'!S118))=UPPER(TRIM('Real results'!C124)),1,0))&gt;=1,1,0),0),0)</f>
        <v>0</v>
      </c>
      <c r="U121" s="34">
        <f>IFERROR(IF('Raw data'!U118&lt;&gt;"",IF((IF(UPPER(TRIM('Raw data'!U118))=UPPER(TRIM('Real results'!C117)),1,0) + IF(UPPER(TRIM('Raw data'!U118))=UPPER(TRIM('Real results'!C118)),1,0) + IF(UPPER(TRIM('Raw data'!U118))=UPPER(TRIM('Real results'!C119)),1,0) + IF(UPPER(TRIM('Raw data'!U118))=UPPER(TRIM('Real results'!C120)),1,0) + IF(UPPER(TRIM('Raw data'!U118))=UPPER(TRIM('Real results'!C121)),1,0) + IF(UPPER(TRIM('Raw data'!U118))=UPPER(TRIM('Real results'!C122)),1,0) + IF(UPPER(TRIM('Raw data'!U118))=UPPER(TRIM('Real results'!C123)),1,0) + IF(UPPER(TRIM('Raw data'!U118))=UPPER(TRIM('Real results'!C124)),1,0))&gt;=1,1,0),0),0)</f>
        <v>0</v>
      </c>
      <c r="W121" s="34">
        <f>IFERROR(IF('Raw data'!W118&lt;&gt;"",IF((IF(UPPER(TRIM('Raw data'!W118))=UPPER(TRIM('Real results'!C117)),1,0) + IF(UPPER(TRIM('Raw data'!W118))=UPPER(TRIM('Real results'!C118)),1,0) + IF(UPPER(TRIM('Raw data'!W118))=UPPER(TRIM('Real results'!C119)),1,0) + IF(UPPER(TRIM('Raw data'!W118))=UPPER(TRIM('Real results'!C120)),1,0) + IF(UPPER(TRIM('Raw data'!W118))=UPPER(TRIM('Real results'!C121)),1,0) + IF(UPPER(TRIM('Raw data'!W118))=UPPER(TRIM('Real results'!C122)),1,0) + IF(UPPER(TRIM('Raw data'!W118))=UPPER(TRIM('Real results'!C123)),1,0) + IF(UPPER(TRIM('Raw data'!W118))=UPPER(TRIM('Real results'!C124)),1,0))&gt;=1,1,0),0),0)</f>
        <v>0</v>
      </c>
      <c r="Y121" s="34">
        <f>IFERROR(IF('Raw data'!Y118&lt;&gt;"",IF((IF(UPPER(TRIM('Raw data'!Y118))=UPPER(TRIM('Real results'!C117)),1,0) + IF(UPPER(TRIM('Raw data'!Y118))=UPPER(TRIM('Real results'!C118)),1,0) + IF(UPPER(TRIM('Raw data'!Y118))=UPPER(TRIM('Real results'!C119)),1,0) + IF(UPPER(TRIM('Raw data'!Y118))=UPPER(TRIM('Real results'!C120)),1,0) + IF(UPPER(TRIM('Raw data'!Y118))=UPPER(TRIM('Real results'!C121)),1,0) + IF(UPPER(TRIM('Raw data'!Y118))=UPPER(TRIM('Real results'!C122)),1,0) + IF(UPPER(TRIM('Raw data'!Y118))=UPPER(TRIM('Real results'!C123)),1,0) + IF(UPPER(TRIM('Raw data'!Y118))=UPPER(TRIM('Real results'!C124)),1,0))&gt;=1,1,0),0),0)</f>
        <v>0</v>
      </c>
      <c r="AA121" s="34">
        <f>IFERROR(IF('Raw data'!AA118&lt;&gt;"",IF((IF(UPPER(TRIM('Raw data'!AA118))=UPPER(TRIM('Real results'!C117)),1,0) + IF(UPPER(TRIM('Raw data'!AA118))=UPPER(TRIM('Real results'!C118)),1,0) + IF(UPPER(TRIM('Raw data'!AA118))=UPPER(TRIM('Real results'!C119)),1,0) + IF(UPPER(TRIM('Raw data'!AA118))=UPPER(TRIM('Real results'!C120)),1,0) + IF(UPPER(TRIM('Raw data'!AA118))=UPPER(TRIM('Real results'!C121)),1,0) + IF(UPPER(TRIM('Raw data'!AA118))=UPPER(TRIM('Real results'!C122)),1,0) + IF(UPPER(TRIM('Raw data'!AA118))=UPPER(TRIM('Real results'!C123)),1,0) + IF(UPPER(TRIM('Raw data'!AA118))=UPPER(TRIM('Real results'!C124)),1,0))&gt;=1,1,0),0),0)</f>
        <v>0</v>
      </c>
      <c r="AC121" s="34">
        <f>IFERROR(IF('Raw data'!AC118&lt;&gt;"",IF((IF(UPPER(TRIM('Raw data'!AC118))=UPPER(TRIM('Real results'!C117)),1,0) + IF(UPPER(TRIM('Raw data'!AC118))=UPPER(TRIM('Real results'!C118)),1,0) + IF(UPPER(TRIM('Raw data'!AC118))=UPPER(TRIM('Real results'!C119)),1,0) + IF(UPPER(TRIM('Raw data'!AC118))=UPPER(TRIM('Real results'!C120)),1,0) + IF(UPPER(TRIM('Raw data'!AC118))=UPPER(TRIM('Real results'!C121)),1,0) + IF(UPPER(TRIM('Raw data'!AC118))=UPPER(TRIM('Real results'!C122)),1,0) + IF(UPPER(TRIM('Raw data'!AC118))=UPPER(TRIM('Real results'!C123)),1,0) + IF(UPPER(TRIM('Raw data'!AC118))=UPPER(TRIM('Real results'!C124)),1,0))&gt;=1,1,0),0),0)</f>
        <v>0</v>
      </c>
      <c r="AE121" s="34">
        <f>IFERROR(IF('Raw data'!AE118&lt;&gt;"",IF((IF(UPPER(TRIM('Raw data'!AE118))=UPPER(TRIM('Real results'!C117)),1,0) + IF(UPPER(TRIM('Raw data'!AE118))=UPPER(TRIM('Real results'!C118)),1,0) + IF(UPPER(TRIM('Raw data'!AE118))=UPPER(TRIM('Real results'!C119)),1,0) + IF(UPPER(TRIM('Raw data'!AE118))=UPPER(TRIM('Real results'!C120)),1,0) + IF(UPPER(TRIM('Raw data'!AE118))=UPPER(TRIM('Real results'!C121)),1,0) + IF(UPPER(TRIM('Raw data'!AE118))=UPPER(TRIM('Real results'!C122)),1,0) + IF(UPPER(TRIM('Raw data'!AE118))=UPPER(TRIM('Real results'!C123)),1,0) + IF(UPPER(TRIM('Raw data'!AE118))=UPPER(TRIM('Real results'!C124)),1,0))&gt;=1,1,0),0),0)</f>
        <v>0</v>
      </c>
      <c r="AG121" s="34">
        <f>IFERROR(IF('Raw data'!AG118&lt;&gt;"",IF((IF(UPPER(TRIM('Raw data'!AG118))=UPPER(TRIM('Real results'!C117)),1,0) + IF(UPPER(TRIM('Raw data'!AG118))=UPPER(TRIM('Real results'!C118)),1,0) + IF(UPPER(TRIM('Raw data'!AG118))=UPPER(TRIM('Real results'!C119)),1,0) + IF(UPPER(TRIM('Raw data'!AG118))=UPPER(TRIM('Real results'!C120)),1,0) + IF(UPPER(TRIM('Raw data'!AG118))=UPPER(TRIM('Real results'!C121)),1,0) + IF(UPPER(TRIM('Raw data'!AG118))=UPPER(TRIM('Real results'!C122)),1,0) + IF(UPPER(TRIM('Raw data'!AG118))=UPPER(TRIM('Real results'!C123)),1,0) + IF(UPPER(TRIM('Raw data'!AG118))=UPPER(TRIM('Real results'!C124)),1,0))&gt;=1,1,0),0),0)</f>
        <v>0</v>
      </c>
      <c r="AI121" s="34">
        <f>IFERROR(IF('Raw data'!AI118&lt;&gt;"",IF((IF(UPPER(TRIM('Raw data'!AI118))=UPPER(TRIM('Real results'!C117)),1,0) + IF(UPPER(TRIM('Raw data'!AI118))=UPPER(TRIM('Real results'!C118)),1,0) + IF(UPPER(TRIM('Raw data'!AI118))=UPPER(TRIM('Real results'!C119)),1,0) + IF(UPPER(TRIM('Raw data'!AI118))=UPPER(TRIM('Real results'!C120)),1,0) + IF(UPPER(TRIM('Raw data'!AI118))=UPPER(TRIM('Real results'!C121)),1,0) + IF(UPPER(TRIM('Raw data'!AI118))=UPPER(TRIM('Real results'!C122)),1,0) + IF(UPPER(TRIM('Raw data'!AI118))=UPPER(TRIM('Real results'!C123)),1,0) + IF(UPPER(TRIM('Raw data'!AI118))=UPPER(TRIM('Real results'!C124)),1,0))&gt;=1,1,0),0),0)</f>
        <v>0</v>
      </c>
      <c r="AK121" s="34">
        <f>IFERROR(IF('Raw data'!AK118&lt;&gt;"",IF((IF(UPPER(TRIM('Raw data'!AK118))=UPPER(TRIM('Real results'!C117)),1,0) + IF(UPPER(TRIM('Raw data'!AK118))=UPPER(TRIM('Real results'!C118)),1,0) + IF(UPPER(TRIM('Raw data'!AK118))=UPPER(TRIM('Real results'!C119)),1,0) + IF(UPPER(TRIM('Raw data'!AK118))=UPPER(TRIM('Real results'!C120)),1,0) + IF(UPPER(TRIM('Raw data'!AK118))=UPPER(TRIM('Real results'!C121)),1,0) + IF(UPPER(TRIM('Raw data'!AK118))=UPPER(TRIM('Real results'!C122)),1,0) + IF(UPPER(TRIM('Raw data'!AK118))=UPPER(TRIM('Real results'!C123)),1,0) + IF(UPPER(TRIM('Raw data'!AK118))=UPPER(TRIM('Real results'!C124)),1,0))&gt;=1,1,0),0),0)</f>
        <v>0</v>
      </c>
      <c r="AM121" s="34">
        <f>IFERROR(IF('Raw data'!AM118&lt;&gt;"",IF((IF(UPPER(TRIM('Raw data'!AM118))=UPPER(TRIM('Real results'!C117)),1,0) + IF(UPPER(TRIM('Raw data'!AM118))=UPPER(TRIM('Real results'!C118)),1,0) + IF(UPPER(TRIM('Raw data'!AM118))=UPPER(TRIM('Real results'!C119)),1,0) + IF(UPPER(TRIM('Raw data'!AM118))=UPPER(TRIM('Real results'!C120)),1,0) + IF(UPPER(TRIM('Raw data'!AM118))=UPPER(TRIM('Real results'!C121)),1,0) + IF(UPPER(TRIM('Raw data'!AM118))=UPPER(TRIM('Real results'!C122)),1,0) + IF(UPPER(TRIM('Raw data'!AM118))=UPPER(TRIM('Real results'!C123)),1,0) + IF(UPPER(TRIM('Raw data'!AM118))=UPPER(TRIM('Real results'!C124)),1,0))&gt;=1,1,0),0),0)</f>
        <v>0</v>
      </c>
      <c r="AO121" s="34">
        <f>IFERROR(IF('Raw data'!AO118&lt;&gt;"",IF((IF(UPPER(TRIM('Raw data'!AO118))=UPPER(TRIM('Real results'!C117)),1,0) + IF(UPPER(TRIM('Raw data'!AO118))=UPPER(TRIM('Real results'!C118)),1,0) + IF(UPPER(TRIM('Raw data'!AO118))=UPPER(TRIM('Real results'!C119)),1,0) + IF(UPPER(TRIM('Raw data'!AO118))=UPPER(TRIM('Real results'!C120)),1,0) + IF(UPPER(TRIM('Raw data'!AO118))=UPPER(TRIM('Real results'!C121)),1,0) + IF(UPPER(TRIM('Raw data'!AO118))=UPPER(TRIM('Real results'!C122)),1,0) + IF(UPPER(TRIM('Raw data'!AO118))=UPPER(TRIM('Real results'!C123)),1,0) + IF(UPPER(TRIM('Raw data'!AO118))=UPPER(TRIM('Real results'!C124)),1,0))&gt;=1,1,0),0),0)</f>
        <v>0</v>
      </c>
      <c r="AQ121" s="34">
        <f>IFERROR(IF('Raw data'!AQ118&lt;&gt;"",IF((IF(UPPER(TRIM('Raw data'!AQ118))=UPPER(TRIM('Real results'!C117)),1,0) + IF(UPPER(TRIM('Raw data'!AQ118))=UPPER(TRIM('Real results'!C118)),1,0) + IF(UPPER(TRIM('Raw data'!AQ118))=UPPER(TRIM('Real results'!C119)),1,0) + IF(UPPER(TRIM('Raw data'!AQ118))=UPPER(TRIM('Real results'!C120)),1,0) + IF(UPPER(TRIM('Raw data'!AQ118))=UPPER(TRIM('Real results'!C121)),1,0) + IF(UPPER(TRIM('Raw data'!AQ118))=UPPER(TRIM('Real results'!C122)),1,0) + IF(UPPER(TRIM('Raw data'!AQ118))=UPPER(TRIM('Real results'!C123)),1,0) + IF(UPPER(TRIM('Raw data'!AQ118))=UPPER(TRIM('Real results'!C124)),1,0))&gt;=1,1,0),0),0)</f>
        <v>0</v>
      </c>
      <c r="AS121" s="34">
        <f>IFERROR(IF('Raw data'!AS118&lt;&gt;"",IF((IF(UPPER(TRIM('Raw data'!AS118))=UPPER(TRIM('Real results'!C117)),1,0) + IF(UPPER(TRIM('Raw data'!AS118))=UPPER(TRIM('Real results'!C118)),1,0) + IF(UPPER(TRIM('Raw data'!AS118))=UPPER(TRIM('Real results'!C119)),1,0) + IF(UPPER(TRIM('Raw data'!AS118))=UPPER(TRIM('Real results'!C120)),1,0) + IF(UPPER(TRIM('Raw data'!AS118))=UPPER(TRIM('Real results'!C121)),1,0) + IF(UPPER(TRIM('Raw data'!AS118))=UPPER(TRIM('Real results'!C122)),1,0) + IF(UPPER(TRIM('Raw data'!AS118))=UPPER(TRIM('Real results'!C123)),1,0) + IF(UPPER(TRIM('Raw data'!AS118))=UPPER(TRIM('Real results'!C124)),1,0))&gt;=1,1,0),0),0)</f>
        <v>0</v>
      </c>
      <c r="AU121" s="34">
        <f>IFERROR(IF('Raw data'!AU118&lt;&gt;"",IF((IF(UPPER(TRIM('Raw data'!AU118))=UPPER(TRIM('Real results'!C117)),1,0) + IF(UPPER(TRIM('Raw data'!AU118))=UPPER(TRIM('Real results'!C118)),1,0) + IF(UPPER(TRIM('Raw data'!AU118))=UPPER(TRIM('Real results'!C119)),1,0) + IF(UPPER(TRIM('Raw data'!AU118))=UPPER(TRIM('Real results'!C120)),1,0) + IF(UPPER(TRIM('Raw data'!AU118))=UPPER(TRIM('Real results'!C121)),1,0) + IF(UPPER(TRIM('Raw data'!AU118))=UPPER(TRIM('Real results'!C122)),1,0) + IF(UPPER(TRIM('Raw data'!AU118))=UPPER(TRIM('Real results'!C123)),1,0) + IF(UPPER(TRIM('Raw data'!AU118))=UPPER(TRIM('Real results'!C124)),1,0))&gt;=1,1,0),0),0)</f>
        <v>0</v>
      </c>
      <c r="AW121" s="34">
        <f>IFERROR(IF('Raw data'!AW118&lt;&gt;"",IF((IF(UPPER(TRIM('Raw data'!AW118))=UPPER(TRIM('Real results'!C117)),1,0) + IF(UPPER(TRIM('Raw data'!AW118))=UPPER(TRIM('Real results'!C118)),1,0) + IF(UPPER(TRIM('Raw data'!AW118))=UPPER(TRIM('Real results'!C119)),1,0) + IF(UPPER(TRIM('Raw data'!AW118))=UPPER(TRIM('Real results'!C120)),1,0) + IF(UPPER(TRIM('Raw data'!AW118))=UPPER(TRIM('Real results'!C121)),1,0) + IF(UPPER(TRIM('Raw data'!AW118))=UPPER(TRIM('Real results'!C122)),1,0) + IF(UPPER(TRIM('Raw data'!AW118))=UPPER(TRIM('Real results'!C123)),1,0) + IF(UPPER(TRIM('Raw data'!AW118))=UPPER(TRIM('Real results'!C124)),1,0))&gt;=1,1,0),0),0)</f>
        <v>0</v>
      </c>
      <c r="AY121" s="34">
        <f>IFERROR(IF('Raw data'!AY118&lt;&gt;"",IF((IF(UPPER(TRIM('Raw data'!AY118))=UPPER(TRIM('Real results'!C117)),1,0) + IF(UPPER(TRIM('Raw data'!AY118))=UPPER(TRIM('Real results'!C118)),1,0) + IF(UPPER(TRIM('Raw data'!AY118))=UPPER(TRIM('Real results'!C119)),1,0) + IF(UPPER(TRIM('Raw data'!AY118))=UPPER(TRIM('Real results'!C120)),1,0) + IF(UPPER(TRIM('Raw data'!AY118))=UPPER(TRIM('Real results'!C121)),1,0) + IF(UPPER(TRIM('Raw data'!AY118))=UPPER(TRIM('Real results'!C122)),1,0) + IF(UPPER(TRIM('Raw data'!AY118))=UPPER(TRIM('Real results'!C123)),1,0) + IF(UPPER(TRIM('Raw data'!AY118))=UPPER(TRIM('Real results'!C124)),1,0))&gt;=1,1,0),0),0)</f>
        <v>0</v>
      </c>
      <c r="BA121" s="34">
        <f>IFERROR(IF('Raw data'!BA118&lt;&gt;"",IF((IF(UPPER(TRIM('Raw data'!BA118))=UPPER(TRIM('Real results'!C117)),1,0) + IF(UPPER(TRIM('Raw data'!BA118))=UPPER(TRIM('Real results'!C118)),1,0) + IF(UPPER(TRIM('Raw data'!BA118))=UPPER(TRIM('Real results'!C119)),1,0) + IF(UPPER(TRIM('Raw data'!BA118))=UPPER(TRIM('Real results'!C120)),1,0) + IF(UPPER(TRIM('Raw data'!BA118))=UPPER(TRIM('Real results'!C121)),1,0) + IF(UPPER(TRIM('Raw data'!BA118))=UPPER(TRIM('Real results'!C122)),1,0) + IF(UPPER(TRIM('Raw data'!BA118))=UPPER(TRIM('Real results'!C123)),1,0) + IF(UPPER(TRIM('Raw data'!BA118))=UPPER(TRIM('Real results'!C124)),1,0))&gt;=1,1,0),0),0)</f>
        <v>0</v>
      </c>
      <c r="BC121" s="34">
        <f>IFERROR(IF('Raw data'!BC118&lt;&gt;"",IF((IF(UPPER(TRIM('Raw data'!BC118))=UPPER(TRIM('Real results'!C117)),1,0) + IF(UPPER(TRIM('Raw data'!BC118))=UPPER(TRIM('Real results'!C118)),1,0) + IF(UPPER(TRIM('Raw data'!BC118))=UPPER(TRIM('Real results'!C119)),1,0) + IF(UPPER(TRIM('Raw data'!BC118))=UPPER(TRIM('Real results'!C120)),1,0) + IF(UPPER(TRIM('Raw data'!BC118))=UPPER(TRIM('Real results'!C121)),1,0) + IF(UPPER(TRIM('Raw data'!BC118))=UPPER(TRIM('Real results'!C122)),1,0) + IF(UPPER(TRIM('Raw data'!BC118))=UPPER(TRIM('Real results'!C123)),1,0) + IF(UPPER(TRIM('Raw data'!BC118))=UPPER(TRIM('Real results'!C124)),1,0))&gt;=1,1,0),0),0)</f>
        <v>0</v>
      </c>
      <c r="BE121" s="34">
        <f>IFERROR(IF('Raw data'!BE118&lt;&gt;"",IF((IF(UPPER(TRIM('Raw data'!BE118))=UPPER(TRIM('Real results'!C117)),1,0) + IF(UPPER(TRIM('Raw data'!BE118))=UPPER(TRIM('Real results'!C118)),1,0) + IF(UPPER(TRIM('Raw data'!BE118))=UPPER(TRIM('Real results'!C119)),1,0) + IF(UPPER(TRIM('Raw data'!BE118))=UPPER(TRIM('Real results'!C120)),1,0) + IF(UPPER(TRIM('Raw data'!BE118))=UPPER(TRIM('Real results'!C121)),1,0) + IF(UPPER(TRIM('Raw data'!BE118))=UPPER(TRIM('Real results'!C122)),1,0) + IF(UPPER(TRIM('Raw data'!BE118))=UPPER(TRIM('Real results'!C123)),1,0) + IF(UPPER(TRIM('Raw data'!BE118))=UPPER(TRIM('Real results'!C124)),1,0))&gt;=1,1,0),0),0)</f>
        <v>0</v>
      </c>
      <c r="BG121" s="34">
        <f>IFERROR(IF('Raw data'!BG118&lt;&gt;"",IF((IF(UPPER(TRIM('Raw data'!BG118))=UPPER(TRIM('Real results'!C117)),1,0) + IF(UPPER(TRIM('Raw data'!BG118))=UPPER(TRIM('Real results'!C118)),1,0) + IF(UPPER(TRIM('Raw data'!BG118))=UPPER(TRIM('Real results'!C119)),1,0) + IF(UPPER(TRIM('Raw data'!BG118))=UPPER(TRIM('Real results'!C120)),1,0) + IF(UPPER(TRIM('Raw data'!BG118))=UPPER(TRIM('Real results'!C121)),1,0) + IF(UPPER(TRIM('Raw data'!BG118))=UPPER(TRIM('Real results'!C122)),1,0) + IF(UPPER(TRIM('Raw data'!BG118))=UPPER(TRIM('Real results'!C123)),1,0) + IF(UPPER(TRIM('Raw data'!BG118))=UPPER(TRIM('Real results'!C124)),1,0))&gt;=1,1,0),0),0)</f>
        <v>0</v>
      </c>
      <c r="BI121" s="34">
        <f>IFERROR(IF('Raw data'!BI118&lt;&gt;"",IF((IF(UPPER(TRIM('Raw data'!BI118))=UPPER(TRIM('Real results'!C117)),1,0) + IF(UPPER(TRIM('Raw data'!BI118))=UPPER(TRIM('Real results'!C118)),1,0) + IF(UPPER(TRIM('Raw data'!BI118))=UPPER(TRIM('Real results'!C119)),1,0) + IF(UPPER(TRIM('Raw data'!BI118))=UPPER(TRIM('Real results'!C120)),1,0) + IF(UPPER(TRIM('Raw data'!BI118))=UPPER(TRIM('Real results'!C121)),1,0) + IF(UPPER(TRIM('Raw data'!BI118))=UPPER(TRIM('Real results'!C122)),1,0) + IF(UPPER(TRIM('Raw data'!BI118))=UPPER(TRIM('Real results'!C123)),1,0) + IF(UPPER(TRIM('Raw data'!BI118))=UPPER(TRIM('Real results'!C124)),1,0))&gt;=1,1,0),0),0)</f>
        <v>0</v>
      </c>
    </row>
    <row r="122" ht="18.0" customHeight="1">
      <c r="B122" s="12" t="s">
        <v>378</v>
      </c>
      <c r="C122" s="34">
        <f>IFERROR(IF('Raw data'!C118&lt;&gt;"",IF((IF(UPPER(TRIM('Raw data'!C118))=UPPER(TRIM('Real results'!C117)),1,0) + IF(UPPER(TRIM('Raw data'!C118))=UPPER(TRIM('Real results'!C118)),1,0) + IF(UPPER(TRIM('Raw data'!C118))=UPPER(TRIM('Real results'!C119)),1,0) + IF(UPPER(TRIM('Raw data'!C118))=UPPER(TRIM('Real results'!C120)),1,0) + IF(UPPER(TRIM('Raw data'!C118))=UPPER(TRIM('Real results'!C121)),1,0) + IF(UPPER(TRIM('Raw data'!C118))=UPPER(TRIM('Real results'!C122)),1,0) + IF(UPPER(TRIM('Raw data'!C118))=UPPER(TRIM('Real results'!C123)),1,0) + IF(UPPER(TRIM('Raw data'!C118))=UPPER(TRIM('Real results'!C124)),1,0))&gt;=1,1,0),0),0)</f>
        <v>0</v>
      </c>
      <c r="E122" s="34">
        <f>IFERROR(IF('Raw data'!E119&lt;&gt;"",IF((IF(UPPER(TRIM('Raw data'!E119))=UPPER(TRIM('Real results'!C117)),1,0) + IF(UPPER(TRIM('Raw data'!E119))=UPPER(TRIM('Real results'!C118)),1,0) + IF(UPPER(TRIM('Raw data'!E119))=UPPER(TRIM('Real results'!C119)),1,0) + IF(UPPER(TRIM('Raw data'!E119))=UPPER(TRIM('Real results'!C120)),1,0) + IF(UPPER(TRIM('Raw data'!E119))=UPPER(TRIM('Real results'!C121)),1,0) + IF(UPPER(TRIM('Raw data'!E119))=UPPER(TRIM('Real results'!C122)),1,0) + IF(UPPER(TRIM('Raw data'!E119))=UPPER(TRIM('Real results'!C123)),1,0) + IF(UPPER(TRIM('Raw data'!E119))=UPPER(TRIM('Real results'!C124)),1,0))&gt;=1,1,0),0),0)</f>
        <v>0</v>
      </c>
      <c r="G122" s="34">
        <f>IFERROR(IF('Raw data'!G119&lt;&gt;"",IF((IF(UPPER(TRIM('Raw data'!G119))=UPPER(TRIM('Real results'!C117)),1,0) + IF(UPPER(TRIM('Raw data'!G119))=UPPER(TRIM('Real results'!C118)),1,0) + IF(UPPER(TRIM('Raw data'!G119))=UPPER(TRIM('Real results'!C119)),1,0) + IF(UPPER(TRIM('Raw data'!G119))=UPPER(TRIM('Real results'!C120)),1,0) + IF(UPPER(TRIM('Raw data'!G119))=UPPER(TRIM('Real results'!C121)),1,0) + IF(UPPER(TRIM('Raw data'!G119))=UPPER(TRIM('Real results'!C122)),1,0) + IF(UPPER(TRIM('Raw data'!G119))=UPPER(TRIM('Real results'!C123)),1,0) + IF(UPPER(TRIM('Raw data'!G119))=UPPER(TRIM('Real results'!C124)),1,0))&gt;=1,1,0),0),0)</f>
        <v>0</v>
      </c>
      <c r="I122" s="34">
        <f>IFERROR(IF('Raw data'!I119&lt;&gt;"",IF((IF(UPPER(TRIM('Raw data'!I119))=UPPER(TRIM('Real results'!C117)),1,0) + IF(UPPER(TRIM('Raw data'!I119))=UPPER(TRIM('Real results'!C118)),1,0) + IF(UPPER(TRIM('Raw data'!I119))=UPPER(TRIM('Real results'!C119)),1,0) + IF(UPPER(TRIM('Raw data'!I119))=UPPER(TRIM('Real results'!C120)),1,0) + IF(UPPER(TRIM('Raw data'!I119))=UPPER(TRIM('Real results'!C121)),1,0) + IF(UPPER(TRIM('Raw data'!I119))=UPPER(TRIM('Real results'!C122)),1,0) + IF(UPPER(TRIM('Raw data'!I119))=UPPER(TRIM('Real results'!C123)),1,0) + IF(UPPER(TRIM('Raw data'!I119))=UPPER(TRIM('Real results'!C124)),1,0))&gt;=1,1,0),0),0)</f>
        <v>0</v>
      </c>
      <c r="K122" s="34">
        <f>IFERROR(IF('Raw data'!K119&lt;&gt;"",IF((IF(UPPER(TRIM('Raw data'!K119))=UPPER(TRIM('Real results'!C117)),1,0) + IF(UPPER(TRIM('Raw data'!K119))=UPPER(TRIM('Real results'!C118)),1,0) + IF(UPPER(TRIM('Raw data'!K119))=UPPER(TRIM('Real results'!C119)),1,0) + IF(UPPER(TRIM('Raw data'!K119))=UPPER(TRIM('Real results'!C120)),1,0) + IF(UPPER(TRIM('Raw data'!K119))=UPPER(TRIM('Real results'!C121)),1,0) + IF(UPPER(TRIM('Raw data'!K119))=UPPER(TRIM('Real results'!C122)),1,0) + IF(UPPER(TRIM('Raw data'!K119))=UPPER(TRIM('Real results'!C123)),1,0) + IF(UPPER(TRIM('Raw data'!K119))=UPPER(TRIM('Real results'!C124)),1,0))&gt;=1,1,0),0),0)</f>
        <v>0</v>
      </c>
      <c r="M122" s="34">
        <f>IFERROR(IF('Raw data'!M119&lt;&gt;"",IF((IF(UPPER(TRIM('Raw data'!M119))=UPPER(TRIM('Real results'!C117)),1,0) + IF(UPPER(TRIM('Raw data'!M119))=UPPER(TRIM('Real results'!C118)),1,0) + IF(UPPER(TRIM('Raw data'!M119))=UPPER(TRIM('Real results'!C119)),1,0) + IF(UPPER(TRIM('Raw data'!M119))=UPPER(TRIM('Real results'!C120)),1,0) + IF(UPPER(TRIM('Raw data'!M119))=UPPER(TRIM('Real results'!C121)),1,0) + IF(UPPER(TRIM('Raw data'!M119))=UPPER(TRIM('Real results'!C122)),1,0) + IF(UPPER(TRIM('Raw data'!M119))=UPPER(TRIM('Real results'!C123)),1,0) + IF(UPPER(TRIM('Raw data'!M119))=UPPER(TRIM('Real results'!C124)),1,0))&gt;=1,1,0),0),0)</f>
        <v>0</v>
      </c>
      <c r="O122" s="34">
        <f>IFERROR(IF('Raw data'!O119&lt;&gt;"",IF((IF(UPPER(TRIM('Raw data'!O119))=UPPER(TRIM('Real results'!C117)),1,0) + IF(UPPER(TRIM('Raw data'!O119))=UPPER(TRIM('Real results'!C118)),1,0) + IF(UPPER(TRIM('Raw data'!O119))=UPPER(TRIM('Real results'!C119)),1,0) + IF(UPPER(TRIM('Raw data'!O119))=UPPER(TRIM('Real results'!C120)),1,0) + IF(UPPER(TRIM('Raw data'!O119))=UPPER(TRIM('Real results'!C121)),1,0) + IF(UPPER(TRIM('Raw data'!O119))=UPPER(TRIM('Real results'!C122)),1,0) + IF(UPPER(TRIM('Raw data'!O119))=UPPER(TRIM('Real results'!C123)),1,0) + IF(UPPER(TRIM('Raw data'!O119))=UPPER(TRIM('Real results'!C124)),1,0))&gt;=1,1,0),0),0)</f>
        <v>0</v>
      </c>
      <c r="Q122" s="34">
        <f>IFERROR(IF('Raw data'!Q119&lt;&gt;"",IF((IF(UPPER(TRIM('Raw data'!Q119))=UPPER(TRIM('Real results'!C117)),1,0) + IF(UPPER(TRIM('Raw data'!Q119))=UPPER(TRIM('Real results'!C118)),1,0) + IF(UPPER(TRIM('Raw data'!Q119))=UPPER(TRIM('Real results'!C119)),1,0) + IF(UPPER(TRIM('Raw data'!Q119))=UPPER(TRIM('Real results'!C120)),1,0) + IF(UPPER(TRIM('Raw data'!Q119))=UPPER(TRIM('Real results'!C121)),1,0) + IF(UPPER(TRIM('Raw data'!Q119))=UPPER(TRIM('Real results'!C122)),1,0) + IF(UPPER(TRIM('Raw data'!Q119))=UPPER(TRIM('Real results'!C123)),1,0) + IF(UPPER(TRIM('Raw data'!Q119))=UPPER(TRIM('Real results'!C124)),1,0))&gt;=1,1,0),0),0)</f>
        <v>0</v>
      </c>
      <c r="S122" s="34">
        <f>IFERROR(IF('Raw data'!S119&lt;&gt;"",IF((IF(UPPER(TRIM('Raw data'!S119))=UPPER(TRIM('Real results'!C117)),1,0) + IF(UPPER(TRIM('Raw data'!S119))=UPPER(TRIM('Real results'!C118)),1,0) + IF(UPPER(TRIM('Raw data'!S119))=UPPER(TRIM('Real results'!C119)),1,0) + IF(UPPER(TRIM('Raw data'!S119))=UPPER(TRIM('Real results'!C120)),1,0) + IF(UPPER(TRIM('Raw data'!S119))=UPPER(TRIM('Real results'!C121)),1,0) + IF(UPPER(TRIM('Raw data'!S119))=UPPER(TRIM('Real results'!C122)),1,0) + IF(UPPER(TRIM('Raw data'!S119))=UPPER(TRIM('Real results'!C123)),1,0) + IF(UPPER(TRIM('Raw data'!S119))=UPPER(TRIM('Real results'!C124)),1,0))&gt;=1,1,0),0),0)</f>
        <v>0</v>
      </c>
      <c r="U122" s="34">
        <f>IFERROR(IF('Raw data'!U119&lt;&gt;"",IF((IF(UPPER(TRIM('Raw data'!U119))=UPPER(TRIM('Real results'!C117)),1,0) + IF(UPPER(TRIM('Raw data'!U119))=UPPER(TRIM('Real results'!C118)),1,0) + IF(UPPER(TRIM('Raw data'!U119))=UPPER(TRIM('Real results'!C119)),1,0) + IF(UPPER(TRIM('Raw data'!U119))=UPPER(TRIM('Real results'!C120)),1,0) + IF(UPPER(TRIM('Raw data'!U119))=UPPER(TRIM('Real results'!C121)),1,0) + IF(UPPER(TRIM('Raw data'!U119))=UPPER(TRIM('Real results'!C122)),1,0) + IF(UPPER(TRIM('Raw data'!U119))=UPPER(TRIM('Real results'!C123)),1,0) + IF(UPPER(TRIM('Raw data'!U119))=UPPER(TRIM('Real results'!C124)),1,0))&gt;=1,1,0),0),0)</f>
        <v>0</v>
      </c>
      <c r="W122" s="34">
        <f>IFERROR(IF('Raw data'!W119&lt;&gt;"",IF((IF(UPPER(TRIM('Raw data'!W119))=UPPER(TRIM('Real results'!C117)),1,0) + IF(UPPER(TRIM('Raw data'!W119))=UPPER(TRIM('Real results'!C118)),1,0) + IF(UPPER(TRIM('Raw data'!W119))=UPPER(TRIM('Real results'!C119)),1,0) + IF(UPPER(TRIM('Raw data'!W119))=UPPER(TRIM('Real results'!C120)),1,0) + IF(UPPER(TRIM('Raw data'!W119))=UPPER(TRIM('Real results'!C121)),1,0) + IF(UPPER(TRIM('Raw data'!W119))=UPPER(TRIM('Real results'!C122)),1,0) + IF(UPPER(TRIM('Raw data'!W119))=UPPER(TRIM('Real results'!C123)),1,0) + IF(UPPER(TRIM('Raw data'!W119))=UPPER(TRIM('Real results'!C124)),1,0))&gt;=1,1,0),0),0)</f>
        <v>0</v>
      </c>
      <c r="Y122" s="34">
        <f>IFERROR(IF('Raw data'!Y119&lt;&gt;"",IF((IF(UPPER(TRIM('Raw data'!Y119))=UPPER(TRIM('Real results'!C117)),1,0) + IF(UPPER(TRIM('Raw data'!Y119))=UPPER(TRIM('Real results'!C118)),1,0) + IF(UPPER(TRIM('Raw data'!Y119))=UPPER(TRIM('Real results'!C119)),1,0) + IF(UPPER(TRIM('Raw data'!Y119))=UPPER(TRIM('Real results'!C120)),1,0) + IF(UPPER(TRIM('Raw data'!Y119))=UPPER(TRIM('Real results'!C121)),1,0) + IF(UPPER(TRIM('Raw data'!Y119))=UPPER(TRIM('Real results'!C122)),1,0) + IF(UPPER(TRIM('Raw data'!Y119))=UPPER(TRIM('Real results'!C123)),1,0) + IF(UPPER(TRIM('Raw data'!Y119))=UPPER(TRIM('Real results'!C124)),1,0))&gt;=1,1,0),0),0)</f>
        <v>0</v>
      </c>
      <c r="AA122" s="34">
        <f>IFERROR(IF('Raw data'!AA119&lt;&gt;"",IF((IF(UPPER(TRIM('Raw data'!AA119))=UPPER(TRIM('Real results'!C117)),1,0) + IF(UPPER(TRIM('Raw data'!AA119))=UPPER(TRIM('Real results'!C118)),1,0) + IF(UPPER(TRIM('Raw data'!AA119))=UPPER(TRIM('Real results'!C119)),1,0) + IF(UPPER(TRIM('Raw data'!AA119))=UPPER(TRIM('Real results'!C120)),1,0) + IF(UPPER(TRIM('Raw data'!AA119))=UPPER(TRIM('Real results'!C121)),1,0) + IF(UPPER(TRIM('Raw data'!AA119))=UPPER(TRIM('Real results'!C122)),1,0) + IF(UPPER(TRIM('Raw data'!AA119))=UPPER(TRIM('Real results'!C123)),1,0) + IF(UPPER(TRIM('Raw data'!AA119))=UPPER(TRIM('Real results'!C124)),1,0))&gt;=1,1,0),0),0)</f>
        <v>0</v>
      </c>
      <c r="AC122" s="34">
        <f>IFERROR(IF('Raw data'!AC119&lt;&gt;"",IF((IF(UPPER(TRIM('Raw data'!AC119))=UPPER(TRIM('Real results'!C117)),1,0) + IF(UPPER(TRIM('Raw data'!AC119))=UPPER(TRIM('Real results'!C118)),1,0) + IF(UPPER(TRIM('Raw data'!AC119))=UPPER(TRIM('Real results'!C119)),1,0) + IF(UPPER(TRIM('Raw data'!AC119))=UPPER(TRIM('Real results'!C120)),1,0) + IF(UPPER(TRIM('Raw data'!AC119))=UPPER(TRIM('Real results'!C121)),1,0) + IF(UPPER(TRIM('Raw data'!AC119))=UPPER(TRIM('Real results'!C122)),1,0) + IF(UPPER(TRIM('Raw data'!AC119))=UPPER(TRIM('Real results'!C123)),1,0) + IF(UPPER(TRIM('Raw data'!AC119))=UPPER(TRIM('Real results'!C124)),1,0))&gt;=1,1,0),0),0)</f>
        <v>0</v>
      </c>
      <c r="AE122" s="34">
        <f>IFERROR(IF('Raw data'!AE119&lt;&gt;"",IF((IF(UPPER(TRIM('Raw data'!AE119))=UPPER(TRIM('Real results'!C117)),1,0) + IF(UPPER(TRIM('Raw data'!AE119))=UPPER(TRIM('Real results'!C118)),1,0) + IF(UPPER(TRIM('Raw data'!AE119))=UPPER(TRIM('Real results'!C119)),1,0) + IF(UPPER(TRIM('Raw data'!AE119))=UPPER(TRIM('Real results'!C120)),1,0) + IF(UPPER(TRIM('Raw data'!AE119))=UPPER(TRIM('Real results'!C121)),1,0) + IF(UPPER(TRIM('Raw data'!AE119))=UPPER(TRIM('Real results'!C122)),1,0) + IF(UPPER(TRIM('Raw data'!AE119))=UPPER(TRIM('Real results'!C123)),1,0) + IF(UPPER(TRIM('Raw data'!AE119))=UPPER(TRIM('Real results'!C124)),1,0))&gt;=1,1,0),0),0)</f>
        <v>0</v>
      </c>
      <c r="AG122" s="34">
        <f>IFERROR(IF('Raw data'!AG119&lt;&gt;"",IF((IF(UPPER(TRIM('Raw data'!AG119))=UPPER(TRIM('Real results'!C117)),1,0) + IF(UPPER(TRIM('Raw data'!AG119))=UPPER(TRIM('Real results'!C118)),1,0) + IF(UPPER(TRIM('Raw data'!AG119))=UPPER(TRIM('Real results'!C119)),1,0) + IF(UPPER(TRIM('Raw data'!AG119))=UPPER(TRIM('Real results'!C120)),1,0) + IF(UPPER(TRIM('Raw data'!AG119))=UPPER(TRIM('Real results'!C121)),1,0) + IF(UPPER(TRIM('Raw data'!AG119))=UPPER(TRIM('Real results'!C122)),1,0) + IF(UPPER(TRIM('Raw data'!AG119))=UPPER(TRIM('Real results'!C123)),1,0) + IF(UPPER(TRIM('Raw data'!AG119))=UPPER(TRIM('Real results'!C124)),1,0))&gt;=1,1,0),0),0)</f>
        <v>0</v>
      </c>
      <c r="AI122" s="34">
        <f>IFERROR(IF('Raw data'!AI119&lt;&gt;"",IF((IF(UPPER(TRIM('Raw data'!AI119))=UPPER(TRIM('Real results'!C117)),1,0) + IF(UPPER(TRIM('Raw data'!AI119))=UPPER(TRIM('Real results'!C118)),1,0) + IF(UPPER(TRIM('Raw data'!AI119))=UPPER(TRIM('Real results'!C119)),1,0) + IF(UPPER(TRIM('Raw data'!AI119))=UPPER(TRIM('Real results'!C120)),1,0) + IF(UPPER(TRIM('Raw data'!AI119))=UPPER(TRIM('Real results'!C121)),1,0) + IF(UPPER(TRIM('Raw data'!AI119))=UPPER(TRIM('Real results'!C122)),1,0) + IF(UPPER(TRIM('Raw data'!AI119))=UPPER(TRIM('Real results'!C123)),1,0) + IF(UPPER(TRIM('Raw data'!AI119))=UPPER(TRIM('Real results'!C124)),1,0))&gt;=1,1,0),0),0)</f>
        <v>0</v>
      </c>
      <c r="AK122" s="34">
        <f>IFERROR(IF('Raw data'!AK119&lt;&gt;"",IF((IF(UPPER(TRIM('Raw data'!AK119))=UPPER(TRIM('Real results'!C117)),1,0) + IF(UPPER(TRIM('Raw data'!AK119))=UPPER(TRIM('Real results'!C118)),1,0) + IF(UPPER(TRIM('Raw data'!AK119))=UPPER(TRIM('Real results'!C119)),1,0) + IF(UPPER(TRIM('Raw data'!AK119))=UPPER(TRIM('Real results'!C120)),1,0) + IF(UPPER(TRIM('Raw data'!AK119))=UPPER(TRIM('Real results'!C121)),1,0) + IF(UPPER(TRIM('Raw data'!AK119))=UPPER(TRIM('Real results'!C122)),1,0) + IF(UPPER(TRIM('Raw data'!AK119))=UPPER(TRIM('Real results'!C123)),1,0) + IF(UPPER(TRIM('Raw data'!AK119))=UPPER(TRIM('Real results'!C124)),1,0))&gt;=1,1,0),0),0)</f>
        <v>0</v>
      </c>
      <c r="AM122" s="34">
        <f>IFERROR(IF('Raw data'!AM119&lt;&gt;"",IF((IF(UPPER(TRIM('Raw data'!AM119))=UPPER(TRIM('Real results'!C117)),1,0) + IF(UPPER(TRIM('Raw data'!AM119))=UPPER(TRIM('Real results'!C118)),1,0) + IF(UPPER(TRIM('Raw data'!AM119))=UPPER(TRIM('Real results'!C119)),1,0) + IF(UPPER(TRIM('Raw data'!AM119))=UPPER(TRIM('Real results'!C120)),1,0) + IF(UPPER(TRIM('Raw data'!AM119))=UPPER(TRIM('Real results'!C121)),1,0) + IF(UPPER(TRIM('Raw data'!AM119))=UPPER(TRIM('Real results'!C122)),1,0) + IF(UPPER(TRIM('Raw data'!AM119))=UPPER(TRIM('Real results'!C123)),1,0) + IF(UPPER(TRIM('Raw data'!AM119))=UPPER(TRIM('Real results'!C124)),1,0))&gt;=1,1,0),0),0)</f>
        <v>0</v>
      </c>
      <c r="AO122" s="34">
        <f>IFERROR(IF('Raw data'!AO119&lt;&gt;"",IF((IF(UPPER(TRIM('Raw data'!AO119))=UPPER(TRIM('Real results'!C117)),1,0) + IF(UPPER(TRIM('Raw data'!AO119))=UPPER(TRIM('Real results'!C118)),1,0) + IF(UPPER(TRIM('Raw data'!AO119))=UPPER(TRIM('Real results'!C119)),1,0) + IF(UPPER(TRIM('Raw data'!AO119))=UPPER(TRIM('Real results'!C120)),1,0) + IF(UPPER(TRIM('Raw data'!AO119))=UPPER(TRIM('Real results'!C121)),1,0) + IF(UPPER(TRIM('Raw data'!AO119))=UPPER(TRIM('Real results'!C122)),1,0) + IF(UPPER(TRIM('Raw data'!AO119))=UPPER(TRIM('Real results'!C123)),1,0) + IF(UPPER(TRIM('Raw data'!AO119))=UPPER(TRIM('Real results'!C124)),1,0))&gt;=1,1,0),0),0)</f>
        <v>0</v>
      </c>
      <c r="AQ122" s="34">
        <f>IFERROR(IF('Raw data'!AQ119&lt;&gt;"",IF((IF(UPPER(TRIM('Raw data'!AQ119))=UPPER(TRIM('Real results'!C117)),1,0) + IF(UPPER(TRIM('Raw data'!AQ119))=UPPER(TRIM('Real results'!C118)),1,0) + IF(UPPER(TRIM('Raw data'!AQ119))=UPPER(TRIM('Real results'!C119)),1,0) + IF(UPPER(TRIM('Raw data'!AQ119))=UPPER(TRIM('Real results'!C120)),1,0) + IF(UPPER(TRIM('Raw data'!AQ119))=UPPER(TRIM('Real results'!C121)),1,0) + IF(UPPER(TRIM('Raw data'!AQ119))=UPPER(TRIM('Real results'!C122)),1,0) + IF(UPPER(TRIM('Raw data'!AQ119))=UPPER(TRIM('Real results'!C123)),1,0) + IF(UPPER(TRIM('Raw data'!AQ119))=UPPER(TRIM('Real results'!C124)),1,0))&gt;=1,1,0),0),0)</f>
        <v>0</v>
      </c>
      <c r="AS122" s="34">
        <f>IFERROR(IF('Raw data'!AS119&lt;&gt;"",IF((IF(UPPER(TRIM('Raw data'!AS119))=UPPER(TRIM('Real results'!C117)),1,0) + IF(UPPER(TRIM('Raw data'!AS119))=UPPER(TRIM('Real results'!C118)),1,0) + IF(UPPER(TRIM('Raw data'!AS119))=UPPER(TRIM('Real results'!C119)),1,0) + IF(UPPER(TRIM('Raw data'!AS119))=UPPER(TRIM('Real results'!C120)),1,0) + IF(UPPER(TRIM('Raw data'!AS119))=UPPER(TRIM('Real results'!C121)),1,0) + IF(UPPER(TRIM('Raw data'!AS119))=UPPER(TRIM('Real results'!C122)),1,0) + IF(UPPER(TRIM('Raw data'!AS119))=UPPER(TRIM('Real results'!C123)),1,0) + IF(UPPER(TRIM('Raw data'!AS119))=UPPER(TRIM('Real results'!C124)),1,0))&gt;=1,1,0),0),0)</f>
        <v>0</v>
      </c>
      <c r="AU122" s="34">
        <f>IFERROR(IF('Raw data'!AU119&lt;&gt;"",IF((IF(UPPER(TRIM('Raw data'!AU119))=UPPER(TRIM('Real results'!C117)),1,0) + IF(UPPER(TRIM('Raw data'!AU119))=UPPER(TRIM('Real results'!C118)),1,0) + IF(UPPER(TRIM('Raw data'!AU119))=UPPER(TRIM('Real results'!C119)),1,0) + IF(UPPER(TRIM('Raw data'!AU119))=UPPER(TRIM('Real results'!C120)),1,0) + IF(UPPER(TRIM('Raw data'!AU119))=UPPER(TRIM('Real results'!C121)),1,0) + IF(UPPER(TRIM('Raw data'!AU119))=UPPER(TRIM('Real results'!C122)),1,0) + IF(UPPER(TRIM('Raw data'!AU119))=UPPER(TRIM('Real results'!C123)),1,0) + IF(UPPER(TRIM('Raw data'!AU119))=UPPER(TRIM('Real results'!C124)),1,0))&gt;=1,1,0),0),0)</f>
        <v>0</v>
      </c>
      <c r="AW122" s="34">
        <f>IFERROR(IF('Raw data'!AW119&lt;&gt;"",IF((IF(UPPER(TRIM('Raw data'!AW119))=UPPER(TRIM('Real results'!C117)),1,0) + IF(UPPER(TRIM('Raw data'!AW119))=UPPER(TRIM('Real results'!C118)),1,0) + IF(UPPER(TRIM('Raw data'!AW119))=UPPER(TRIM('Real results'!C119)),1,0) + IF(UPPER(TRIM('Raw data'!AW119))=UPPER(TRIM('Real results'!C120)),1,0) + IF(UPPER(TRIM('Raw data'!AW119))=UPPER(TRIM('Real results'!C121)),1,0) + IF(UPPER(TRIM('Raw data'!AW119))=UPPER(TRIM('Real results'!C122)),1,0) + IF(UPPER(TRIM('Raw data'!AW119))=UPPER(TRIM('Real results'!C123)),1,0) + IF(UPPER(TRIM('Raw data'!AW119))=UPPER(TRIM('Real results'!C124)),1,0))&gt;=1,1,0),0),0)</f>
        <v>0</v>
      </c>
      <c r="AY122" s="34">
        <f>IFERROR(IF('Raw data'!AY119&lt;&gt;"",IF((IF(UPPER(TRIM('Raw data'!AY119))=UPPER(TRIM('Real results'!C117)),1,0) + IF(UPPER(TRIM('Raw data'!AY119))=UPPER(TRIM('Real results'!C118)),1,0) + IF(UPPER(TRIM('Raw data'!AY119))=UPPER(TRIM('Real results'!C119)),1,0) + IF(UPPER(TRIM('Raw data'!AY119))=UPPER(TRIM('Real results'!C120)),1,0) + IF(UPPER(TRIM('Raw data'!AY119))=UPPER(TRIM('Real results'!C121)),1,0) + IF(UPPER(TRIM('Raw data'!AY119))=UPPER(TRIM('Real results'!C122)),1,0) + IF(UPPER(TRIM('Raw data'!AY119))=UPPER(TRIM('Real results'!C123)),1,0) + IF(UPPER(TRIM('Raw data'!AY119))=UPPER(TRIM('Real results'!C124)),1,0))&gt;=1,1,0),0),0)</f>
        <v>0</v>
      </c>
      <c r="BA122" s="34">
        <f>IFERROR(IF('Raw data'!BA119&lt;&gt;"",IF((IF(UPPER(TRIM('Raw data'!BA119))=UPPER(TRIM('Real results'!C117)),1,0) + IF(UPPER(TRIM('Raw data'!BA119))=UPPER(TRIM('Real results'!C118)),1,0) + IF(UPPER(TRIM('Raw data'!BA119))=UPPER(TRIM('Real results'!C119)),1,0) + IF(UPPER(TRIM('Raw data'!BA119))=UPPER(TRIM('Real results'!C120)),1,0) + IF(UPPER(TRIM('Raw data'!BA119))=UPPER(TRIM('Real results'!C121)),1,0) + IF(UPPER(TRIM('Raw data'!BA119))=UPPER(TRIM('Real results'!C122)),1,0) + IF(UPPER(TRIM('Raw data'!BA119))=UPPER(TRIM('Real results'!C123)),1,0) + IF(UPPER(TRIM('Raw data'!BA119))=UPPER(TRIM('Real results'!C124)),1,0))&gt;=1,1,0),0),0)</f>
        <v>0</v>
      </c>
      <c r="BC122" s="34">
        <f>IFERROR(IF('Raw data'!BC119&lt;&gt;"",IF((IF(UPPER(TRIM('Raw data'!BC119))=UPPER(TRIM('Real results'!C117)),1,0) + IF(UPPER(TRIM('Raw data'!BC119))=UPPER(TRIM('Real results'!C118)),1,0) + IF(UPPER(TRIM('Raw data'!BC119))=UPPER(TRIM('Real results'!C119)),1,0) + IF(UPPER(TRIM('Raw data'!BC119))=UPPER(TRIM('Real results'!C120)),1,0) + IF(UPPER(TRIM('Raw data'!BC119))=UPPER(TRIM('Real results'!C121)),1,0) + IF(UPPER(TRIM('Raw data'!BC119))=UPPER(TRIM('Real results'!C122)),1,0) + IF(UPPER(TRIM('Raw data'!BC119))=UPPER(TRIM('Real results'!C123)),1,0) + IF(UPPER(TRIM('Raw data'!BC119))=UPPER(TRIM('Real results'!C124)),1,0))&gt;=1,1,0),0),0)</f>
        <v>0</v>
      </c>
      <c r="BE122" s="34">
        <f>IFERROR(IF('Raw data'!BE119&lt;&gt;"",IF((IF(UPPER(TRIM('Raw data'!BE119))=UPPER(TRIM('Real results'!C117)),1,0) + IF(UPPER(TRIM('Raw data'!BE119))=UPPER(TRIM('Real results'!C118)),1,0) + IF(UPPER(TRIM('Raw data'!BE119))=UPPER(TRIM('Real results'!C119)),1,0) + IF(UPPER(TRIM('Raw data'!BE119))=UPPER(TRIM('Real results'!C120)),1,0) + IF(UPPER(TRIM('Raw data'!BE119))=UPPER(TRIM('Real results'!C121)),1,0) + IF(UPPER(TRIM('Raw data'!BE119))=UPPER(TRIM('Real results'!C122)),1,0) + IF(UPPER(TRIM('Raw data'!BE119))=UPPER(TRIM('Real results'!C123)),1,0) + IF(UPPER(TRIM('Raw data'!BE119))=UPPER(TRIM('Real results'!C124)),1,0))&gt;=1,1,0),0),0)</f>
        <v>0</v>
      </c>
      <c r="BG122" s="34">
        <f>IFERROR(IF('Raw data'!BG119&lt;&gt;"",IF((IF(UPPER(TRIM('Raw data'!BG119))=UPPER(TRIM('Real results'!C117)),1,0) + IF(UPPER(TRIM('Raw data'!BG119))=UPPER(TRIM('Real results'!C118)),1,0) + IF(UPPER(TRIM('Raw data'!BG119))=UPPER(TRIM('Real results'!C119)),1,0) + IF(UPPER(TRIM('Raw data'!BG119))=UPPER(TRIM('Real results'!C120)),1,0) + IF(UPPER(TRIM('Raw data'!BG119))=UPPER(TRIM('Real results'!C121)),1,0) + IF(UPPER(TRIM('Raw data'!BG119))=UPPER(TRIM('Real results'!C122)),1,0) + IF(UPPER(TRIM('Raw data'!BG119))=UPPER(TRIM('Real results'!C123)),1,0) + IF(UPPER(TRIM('Raw data'!BG119))=UPPER(TRIM('Real results'!C124)),1,0))&gt;=1,1,0),0),0)</f>
        <v>0</v>
      </c>
      <c r="BI122" s="34">
        <f>IFERROR(IF('Raw data'!BI119&lt;&gt;"",IF((IF(UPPER(TRIM('Raw data'!BI119))=UPPER(TRIM('Real results'!C117)),1,0) + IF(UPPER(TRIM('Raw data'!BI119))=UPPER(TRIM('Real results'!C118)),1,0) + IF(UPPER(TRIM('Raw data'!BI119))=UPPER(TRIM('Real results'!C119)),1,0) + IF(UPPER(TRIM('Raw data'!BI119))=UPPER(TRIM('Real results'!C120)),1,0) + IF(UPPER(TRIM('Raw data'!BI119))=UPPER(TRIM('Real results'!C121)),1,0) + IF(UPPER(TRIM('Raw data'!BI119))=UPPER(TRIM('Real results'!C122)),1,0) + IF(UPPER(TRIM('Raw data'!BI119))=UPPER(TRIM('Real results'!C123)),1,0) + IF(UPPER(TRIM('Raw data'!BI119))=UPPER(TRIM('Real results'!C124)),1,0))&gt;=1,1,0),0),0)</f>
        <v>0</v>
      </c>
    </row>
    <row r="123" ht="18.0" customHeight="1">
      <c r="B123" s="12" t="s">
        <v>379</v>
      </c>
      <c r="C123" s="34">
        <f>IFERROR(IF('Raw data'!C119&lt;&gt;"",IF((IF(UPPER(TRIM('Raw data'!C119))=UPPER(TRIM('Real results'!C117)),1,0) + IF(UPPER(TRIM('Raw data'!C119))=UPPER(TRIM('Real results'!C118)),1,0) + IF(UPPER(TRIM('Raw data'!C119))=UPPER(TRIM('Real results'!C119)),1,0) + IF(UPPER(TRIM('Raw data'!C119))=UPPER(TRIM('Real results'!C120)),1,0) + IF(UPPER(TRIM('Raw data'!C119))=UPPER(TRIM('Real results'!C121)),1,0) + IF(UPPER(TRIM('Raw data'!C119))=UPPER(TRIM('Real results'!C122)),1,0) + IF(UPPER(TRIM('Raw data'!C119))=UPPER(TRIM('Real results'!C123)),1,0) + IF(UPPER(TRIM('Raw data'!C119))=UPPER(TRIM('Real results'!C124)),1,0))&gt;=1,1,0),0),0)</f>
        <v>0</v>
      </c>
      <c r="E123" s="34">
        <f>IFERROR(IF('Raw data'!E120&lt;&gt;"",IF((IF(UPPER(TRIM('Raw data'!E120))=UPPER(TRIM('Real results'!C117)),1,0) + IF(UPPER(TRIM('Raw data'!E120))=UPPER(TRIM('Real results'!C118)),1,0) + IF(UPPER(TRIM('Raw data'!E120))=UPPER(TRIM('Real results'!C119)),1,0) + IF(UPPER(TRIM('Raw data'!E120))=UPPER(TRIM('Real results'!C120)),1,0) + IF(UPPER(TRIM('Raw data'!E120))=UPPER(TRIM('Real results'!C121)),1,0) + IF(UPPER(TRIM('Raw data'!E120))=UPPER(TRIM('Real results'!C122)),1,0) + IF(UPPER(TRIM('Raw data'!E120))=UPPER(TRIM('Real results'!C123)),1,0) + IF(UPPER(TRIM('Raw data'!E120))=UPPER(TRIM('Real results'!C124)),1,0))&gt;=1,1,0),0),0)</f>
        <v>0</v>
      </c>
      <c r="G123" s="34">
        <f>IFERROR(IF('Raw data'!G120&lt;&gt;"",IF((IF(UPPER(TRIM('Raw data'!G120))=UPPER(TRIM('Real results'!C117)),1,0) + IF(UPPER(TRIM('Raw data'!G120))=UPPER(TRIM('Real results'!C118)),1,0) + IF(UPPER(TRIM('Raw data'!G120))=UPPER(TRIM('Real results'!C119)),1,0) + IF(UPPER(TRIM('Raw data'!G120))=UPPER(TRIM('Real results'!C120)),1,0) + IF(UPPER(TRIM('Raw data'!G120))=UPPER(TRIM('Real results'!C121)),1,0) + IF(UPPER(TRIM('Raw data'!G120))=UPPER(TRIM('Real results'!C122)),1,0) + IF(UPPER(TRIM('Raw data'!G120))=UPPER(TRIM('Real results'!C123)),1,0) + IF(UPPER(TRIM('Raw data'!G120))=UPPER(TRIM('Real results'!C124)),1,0))&gt;=1,1,0),0),0)</f>
        <v>0</v>
      </c>
      <c r="I123" s="34">
        <f>IFERROR(IF('Raw data'!I120&lt;&gt;"",IF((IF(UPPER(TRIM('Raw data'!I120))=UPPER(TRIM('Real results'!C117)),1,0) + IF(UPPER(TRIM('Raw data'!I120))=UPPER(TRIM('Real results'!C118)),1,0) + IF(UPPER(TRIM('Raw data'!I120))=UPPER(TRIM('Real results'!C119)),1,0) + IF(UPPER(TRIM('Raw data'!I120))=UPPER(TRIM('Real results'!C120)),1,0) + IF(UPPER(TRIM('Raw data'!I120))=UPPER(TRIM('Real results'!C121)),1,0) + IF(UPPER(TRIM('Raw data'!I120))=UPPER(TRIM('Real results'!C122)),1,0) + IF(UPPER(TRIM('Raw data'!I120))=UPPER(TRIM('Real results'!C123)),1,0) + IF(UPPER(TRIM('Raw data'!I120))=UPPER(TRIM('Real results'!C124)),1,0))&gt;=1,1,0),0),0)</f>
        <v>0</v>
      </c>
      <c r="K123" s="34">
        <f>IFERROR(IF('Raw data'!K120&lt;&gt;"",IF((IF(UPPER(TRIM('Raw data'!K120))=UPPER(TRIM('Real results'!C117)),1,0) + IF(UPPER(TRIM('Raw data'!K120))=UPPER(TRIM('Real results'!C118)),1,0) + IF(UPPER(TRIM('Raw data'!K120))=UPPER(TRIM('Real results'!C119)),1,0) + IF(UPPER(TRIM('Raw data'!K120))=UPPER(TRIM('Real results'!C120)),1,0) + IF(UPPER(TRIM('Raw data'!K120))=UPPER(TRIM('Real results'!C121)),1,0) + IF(UPPER(TRIM('Raw data'!K120))=UPPER(TRIM('Real results'!C122)),1,0) + IF(UPPER(TRIM('Raw data'!K120))=UPPER(TRIM('Real results'!C123)),1,0) + IF(UPPER(TRIM('Raw data'!K120))=UPPER(TRIM('Real results'!C124)),1,0))&gt;=1,1,0),0),0)</f>
        <v>0</v>
      </c>
      <c r="M123" s="34">
        <f>IFERROR(IF('Raw data'!M120&lt;&gt;"",IF((IF(UPPER(TRIM('Raw data'!M120))=UPPER(TRIM('Real results'!C117)),1,0) + IF(UPPER(TRIM('Raw data'!M120))=UPPER(TRIM('Real results'!C118)),1,0) + IF(UPPER(TRIM('Raw data'!M120))=UPPER(TRIM('Real results'!C119)),1,0) + IF(UPPER(TRIM('Raw data'!M120))=UPPER(TRIM('Real results'!C120)),1,0) + IF(UPPER(TRIM('Raw data'!M120))=UPPER(TRIM('Real results'!C121)),1,0) + IF(UPPER(TRIM('Raw data'!M120))=UPPER(TRIM('Real results'!C122)),1,0) + IF(UPPER(TRIM('Raw data'!M120))=UPPER(TRIM('Real results'!C123)),1,0) + IF(UPPER(TRIM('Raw data'!M120))=UPPER(TRIM('Real results'!C124)),1,0))&gt;=1,1,0),0),0)</f>
        <v>0</v>
      </c>
      <c r="O123" s="34">
        <f>IFERROR(IF('Raw data'!O120&lt;&gt;"",IF((IF(UPPER(TRIM('Raw data'!O120))=UPPER(TRIM('Real results'!C117)),1,0) + IF(UPPER(TRIM('Raw data'!O120))=UPPER(TRIM('Real results'!C118)),1,0) + IF(UPPER(TRIM('Raw data'!O120))=UPPER(TRIM('Real results'!C119)),1,0) + IF(UPPER(TRIM('Raw data'!O120))=UPPER(TRIM('Real results'!C120)),1,0) + IF(UPPER(TRIM('Raw data'!O120))=UPPER(TRIM('Real results'!C121)),1,0) + IF(UPPER(TRIM('Raw data'!O120))=UPPER(TRIM('Real results'!C122)),1,0) + IF(UPPER(TRIM('Raw data'!O120))=UPPER(TRIM('Real results'!C123)),1,0) + IF(UPPER(TRIM('Raw data'!O120))=UPPER(TRIM('Real results'!C124)),1,0))&gt;=1,1,0),0),0)</f>
        <v>0</v>
      </c>
      <c r="Q123" s="34">
        <f>IFERROR(IF('Raw data'!Q120&lt;&gt;"",IF((IF(UPPER(TRIM('Raw data'!Q120))=UPPER(TRIM('Real results'!C117)),1,0) + IF(UPPER(TRIM('Raw data'!Q120))=UPPER(TRIM('Real results'!C118)),1,0) + IF(UPPER(TRIM('Raw data'!Q120))=UPPER(TRIM('Real results'!C119)),1,0) + IF(UPPER(TRIM('Raw data'!Q120))=UPPER(TRIM('Real results'!C120)),1,0) + IF(UPPER(TRIM('Raw data'!Q120))=UPPER(TRIM('Real results'!C121)),1,0) + IF(UPPER(TRIM('Raw data'!Q120))=UPPER(TRIM('Real results'!C122)),1,0) + IF(UPPER(TRIM('Raw data'!Q120))=UPPER(TRIM('Real results'!C123)),1,0) + IF(UPPER(TRIM('Raw data'!Q120))=UPPER(TRIM('Real results'!C124)),1,0))&gt;=1,1,0),0),0)</f>
        <v>0</v>
      </c>
      <c r="S123" s="34">
        <f>IFERROR(IF('Raw data'!S120&lt;&gt;"",IF((IF(UPPER(TRIM('Raw data'!S120))=UPPER(TRIM('Real results'!C117)),1,0) + IF(UPPER(TRIM('Raw data'!S120))=UPPER(TRIM('Real results'!C118)),1,0) + IF(UPPER(TRIM('Raw data'!S120))=UPPER(TRIM('Real results'!C119)),1,0) + IF(UPPER(TRIM('Raw data'!S120))=UPPER(TRIM('Real results'!C120)),1,0) + IF(UPPER(TRIM('Raw data'!S120))=UPPER(TRIM('Real results'!C121)),1,0) + IF(UPPER(TRIM('Raw data'!S120))=UPPER(TRIM('Real results'!C122)),1,0) + IF(UPPER(TRIM('Raw data'!S120))=UPPER(TRIM('Real results'!C123)),1,0) + IF(UPPER(TRIM('Raw data'!S120))=UPPER(TRIM('Real results'!C124)),1,0))&gt;=1,1,0),0),0)</f>
        <v>0</v>
      </c>
      <c r="U123" s="34">
        <f>IFERROR(IF('Raw data'!U120&lt;&gt;"",IF((IF(UPPER(TRIM('Raw data'!U120))=UPPER(TRIM('Real results'!C117)),1,0) + IF(UPPER(TRIM('Raw data'!U120))=UPPER(TRIM('Real results'!C118)),1,0) + IF(UPPER(TRIM('Raw data'!U120))=UPPER(TRIM('Real results'!C119)),1,0) + IF(UPPER(TRIM('Raw data'!U120))=UPPER(TRIM('Real results'!C120)),1,0) + IF(UPPER(TRIM('Raw data'!U120))=UPPER(TRIM('Real results'!C121)),1,0) + IF(UPPER(TRIM('Raw data'!U120))=UPPER(TRIM('Real results'!C122)),1,0) + IF(UPPER(TRIM('Raw data'!U120))=UPPER(TRIM('Real results'!C123)),1,0) + IF(UPPER(TRIM('Raw data'!U120))=UPPER(TRIM('Real results'!C124)),1,0))&gt;=1,1,0),0),0)</f>
        <v>0</v>
      </c>
      <c r="W123" s="34">
        <f>IFERROR(IF('Raw data'!W120&lt;&gt;"",IF((IF(UPPER(TRIM('Raw data'!W120))=UPPER(TRIM('Real results'!C117)),1,0) + IF(UPPER(TRIM('Raw data'!W120))=UPPER(TRIM('Real results'!C118)),1,0) + IF(UPPER(TRIM('Raw data'!W120))=UPPER(TRIM('Real results'!C119)),1,0) + IF(UPPER(TRIM('Raw data'!W120))=UPPER(TRIM('Real results'!C120)),1,0) + IF(UPPER(TRIM('Raw data'!W120))=UPPER(TRIM('Real results'!C121)),1,0) + IF(UPPER(TRIM('Raw data'!W120))=UPPER(TRIM('Real results'!C122)),1,0) + IF(UPPER(TRIM('Raw data'!W120))=UPPER(TRIM('Real results'!C123)),1,0) + IF(UPPER(TRIM('Raw data'!W120))=UPPER(TRIM('Real results'!C124)),1,0))&gt;=1,1,0),0),0)</f>
        <v>0</v>
      </c>
      <c r="Y123" s="34">
        <f>IFERROR(IF('Raw data'!Y120&lt;&gt;"",IF((IF(UPPER(TRIM('Raw data'!Y120))=UPPER(TRIM('Real results'!C117)),1,0) + IF(UPPER(TRIM('Raw data'!Y120))=UPPER(TRIM('Real results'!C118)),1,0) + IF(UPPER(TRIM('Raw data'!Y120))=UPPER(TRIM('Real results'!C119)),1,0) + IF(UPPER(TRIM('Raw data'!Y120))=UPPER(TRIM('Real results'!C120)),1,0) + IF(UPPER(TRIM('Raw data'!Y120))=UPPER(TRIM('Real results'!C121)),1,0) + IF(UPPER(TRIM('Raw data'!Y120))=UPPER(TRIM('Real results'!C122)),1,0) + IF(UPPER(TRIM('Raw data'!Y120))=UPPER(TRIM('Real results'!C123)),1,0) + IF(UPPER(TRIM('Raw data'!Y120))=UPPER(TRIM('Real results'!C124)),1,0))&gt;=1,1,0),0),0)</f>
        <v>0</v>
      </c>
      <c r="AA123" s="34">
        <f>IFERROR(IF('Raw data'!AA120&lt;&gt;"",IF((IF(UPPER(TRIM('Raw data'!AA120))=UPPER(TRIM('Real results'!C117)),1,0) + IF(UPPER(TRIM('Raw data'!AA120))=UPPER(TRIM('Real results'!C118)),1,0) + IF(UPPER(TRIM('Raw data'!AA120))=UPPER(TRIM('Real results'!C119)),1,0) + IF(UPPER(TRIM('Raw data'!AA120))=UPPER(TRIM('Real results'!C120)),1,0) + IF(UPPER(TRIM('Raw data'!AA120))=UPPER(TRIM('Real results'!C121)),1,0) + IF(UPPER(TRIM('Raw data'!AA120))=UPPER(TRIM('Real results'!C122)),1,0) + IF(UPPER(TRIM('Raw data'!AA120))=UPPER(TRIM('Real results'!C123)),1,0) + IF(UPPER(TRIM('Raw data'!AA120))=UPPER(TRIM('Real results'!C124)),1,0))&gt;=1,1,0),0),0)</f>
        <v>0</v>
      </c>
      <c r="AC123" s="34">
        <f>IFERROR(IF('Raw data'!AC120&lt;&gt;"",IF((IF(UPPER(TRIM('Raw data'!AC120))=UPPER(TRIM('Real results'!C117)),1,0) + IF(UPPER(TRIM('Raw data'!AC120))=UPPER(TRIM('Real results'!C118)),1,0) + IF(UPPER(TRIM('Raw data'!AC120))=UPPER(TRIM('Real results'!C119)),1,0) + IF(UPPER(TRIM('Raw data'!AC120))=UPPER(TRIM('Real results'!C120)),1,0) + IF(UPPER(TRIM('Raw data'!AC120))=UPPER(TRIM('Real results'!C121)),1,0) + IF(UPPER(TRIM('Raw data'!AC120))=UPPER(TRIM('Real results'!C122)),1,0) + IF(UPPER(TRIM('Raw data'!AC120))=UPPER(TRIM('Real results'!C123)),1,0) + IF(UPPER(TRIM('Raw data'!AC120))=UPPER(TRIM('Real results'!C124)),1,0))&gt;=1,1,0),0),0)</f>
        <v>0</v>
      </c>
      <c r="AE123" s="34">
        <f>IFERROR(IF('Raw data'!AE120&lt;&gt;"",IF((IF(UPPER(TRIM('Raw data'!AE120))=UPPER(TRIM('Real results'!C117)),1,0) + IF(UPPER(TRIM('Raw data'!AE120))=UPPER(TRIM('Real results'!C118)),1,0) + IF(UPPER(TRIM('Raw data'!AE120))=UPPER(TRIM('Real results'!C119)),1,0) + IF(UPPER(TRIM('Raw data'!AE120))=UPPER(TRIM('Real results'!C120)),1,0) + IF(UPPER(TRIM('Raw data'!AE120))=UPPER(TRIM('Real results'!C121)),1,0) + IF(UPPER(TRIM('Raw data'!AE120))=UPPER(TRIM('Real results'!C122)),1,0) + IF(UPPER(TRIM('Raw data'!AE120))=UPPER(TRIM('Real results'!C123)),1,0) + IF(UPPER(TRIM('Raw data'!AE120))=UPPER(TRIM('Real results'!C124)),1,0))&gt;=1,1,0),0),0)</f>
        <v>0</v>
      </c>
      <c r="AG123" s="34">
        <f>IFERROR(IF('Raw data'!AG120&lt;&gt;"",IF((IF(UPPER(TRIM('Raw data'!AG120))=UPPER(TRIM('Real results'!C117)),1,0) + IF(UPPER(TRIM('Raw data'!AG120))=UPPER(TRIM('Real results'!C118)),1,0) + IF(UPPER(TRIM('Raw data'!AG120))=UPPER(TRIM('Real results'!C119)),1,0) + IF(UPPER(TRIM('Raw data'!AG120))=UPPER(TRIM('Real results'!C120)),1,0) + IF(UPPER(TRIM('Raw data'!AG120))=UPPER(TRIM('Real results'!C121)),1,0) + IF(UPPER(TRIM('Raw data'!AG120))=UPPER(TRIM('Real results'!C122)),1,0) + IF(UPPER(TRIM('Raw data'!AG120))=UPPER(TRIM('Real results'!C123)),1,0) + IF(UPPER(TRIM('Raw data'!AG120))=UPPER(TRIM('Real results'!C124)),1,0))&gt;=1,1,0),0),0)</f>
        <v>0</v>
      </c>
      <c r="AI123" s="34">
        <f>IFERROR(IF('Raw data'!AI120&lt;&gt;"",IF((IF(UPPER(TRIM('Raw data'!AI120))=UPPER(TRIM('Real results'!C117)),1,0) + IF(UPPER(TRIM('Raw data'!AI120))=UPPER(TRIM('Real results'!C118)),1,0) + IF(UPPER(TRIM('Raw data'!AI120))=UPPER(TRIM('Real results'!C119)),1,0) + IF(UPPER(TRIM('Raw data'!AI120))=UPPER(TRIM('Real results'!C120)),1,0) + IF(UPPER(TRIM('Raw data'!AI120))=UPPER(TRIM('Real results'!C121)),1,0) + IF(UPPER(TRIM('Raw data'!AI120))=UPPER(TRIM('Real results'!C122)),1,0) + IF(UPPER(TRIM('Raw data'!AI120))=UPPER(TRIM('Real results'!C123)),1,0) + IF(UPPER(TRIM('Raw data'!AI120))=UPPER(TRIM('Real results'!C124)),1,0))&gt;=1,1,0),0),0)</f>
        <v>0</v>
      </c>
      <c r="AK123" s="34">
        <f>IFERROR(IF('Raw data'!AK120&lt;&gt;"",IF((IF(UPPER(TRIM('Raw data'!AK120))=UPPER(TRIM('Real results'!C117)),1,0) + IF(UPPER(TRIM('Raw data'!AK120))=UPPER(TRIM('Real results'!C118)),1,0) + IF(UPPER(TRIM('Raw data'!AK120))=UPPER(TRIM('Real results'!C119)),1,0) + IF(UPPER(TRIM('Raw data'!AK120))=UPPER(TRIM('Real results'!C120)),1,0) + IF(UPPER(TRIM('Raw data'!AK120))=UPPER(TRIM('Real results'!C121)),1,0) + IF(UPPER(TRIM('Raw data'!AK120))=UPPER(TRIM('Real results'!C122)),1,0) + IF(UPPER(TRIM('Raw data'!AK120))=UPPER(TRIM('Real results'!C123)),1,0) + IF(UPPER(TRIM('Raw data'!AK120))=UPPER(TRIM('Real results'!C124)),1,0))&gt;=1,1,0),0),0)</f>
        <v>0</v>
      </c>
      <c r="AM123" s="34">
        <f>IFERROR(IF('Raw data'!AM120&lt;&gt;"",IF((IF(UPPER(TRIM('Raw data'!AM120))=UPPER(TRIM('Real results'!C117)),1,0) + IF(UPPER(TRIM('Raw data'!AM120))=UPPER(TRIM('Real results'!C118)),1,0) + IF(UPPER(TRIM('Raw data'!AM120))=UPPER(TRIM('Real results'!C119)),1,0) + IF(UPPER(TRIM('Raw data'!AM120))=UPPER(TRIM('Real results'!C120)),1,0) + IF(UPPER(TRIM('Raw data'!AM120))=UPPER(TRIM('Real results'!C121)),1,0) + IF(UPPER(TRIM('Raw data'!AM120))=UPPER(TRIM('Real results'!C122)),1,0) + IF(UPPER(TRIM('Raw data'!AM120))=UPPER(TRIM('Real results'!C123)),1,0) + IF(UPPER(TRIM('Raw data'!AM120))=UPPER(TRIM('Real results'!C124)),1,0))&gt;=1,1,0),0),0)</f>
        <v>0</v>
      </c>
      <c r="AO123" s="34">
        <f>IFERROR(IF('Raw data'!AO120&lt;&gt;"",IF((IF(UPPER(TRIM('Raw data'!AO120))=UPPER(TRIM('Real results'!C117)),1,0) + IF(UPPER(TRIM('Raw data'!AO120))=UPPER(TRIM('Real results'!C118)),1,0) + IF(UPPER(TRIM('Raw data'!AO120))=UPPER(TRIM('Real results'!C119)),1,0) + IF(UPPER(TRIM('Raw data'!AO120))=UPPER(TRIM('Real results'!C120)),1,0) + IF(UPPER(TRIM('Raw data'!AO120))=UPPER(TRIM('Real results'!C121)),1,0) + IF(UPPER(TRIM('Raw data'!AO120))=UPPER(TRIM('Real results'!C122)),1,0) + IF(UPPER(TRIM('Raw data'!AO120))=UPPER(TRIM('Real results'!C123)),1,0) + IF(UPPER(TRIM('Raw data'!AO120))=UPPER(TRIM('Real results'!C124)),1,0))&gt;=1,1,0),0),0)</f>
        <v>0</v>
      </c>
      <c r="AQ123" s="34">
        <f>IFERROR(IF('Raw data'!AQ120&lt;&gt;"",IF((IF(UPPER(TRIM('Raw data'!AQ120))=UPPER(TRIM('Real results'!C117)),1,0) + IF(UPPER(TRIM('Raw data'!AQ120))=UPPER(TRIM('Real results'!C118)),1,0) + IF(UPPER(TRIM('Raw data'!AQ120))=UPPER(TRIM('Real results'!C119)),1,0) + IF(UPPER(TRIM('Raw data'!AQ120))=UPPER(TRIM('Real results'!C120)),1,0) + IF(UPPER(TRIM('Raw data'!AQ120))=UPPER(TRIM('Real results'!C121)),1,0) + IF(UPPER(TRIM('Raw data'!AQ120))=UPPER(TRIM('Real results'!C122)),1,0) + IF(UPPER(TRIM('Raw data'!AQ120))=UPPER(TRIM('Real results'!C123)),1,0) + IF(UPPER(TRIM('Raw data'!AQ120))=UPPER(TRIM('Real results'!C124)),1,0))&gt;=1,1,0),0),0)</f>
        <v>0</v>
      </c>
      <c r="AS123" s="34">
        <f>IFERROR(IF('Raw data'!AS120&lt;&gt;"",IF((IF(UPPER(TRIM('Raw data'!AS120))=UPPER(TRIM('Real results'!C117)),1,0) + IF(UPPER(TRIM('Raw data'!AS120))=UPPER(TRIM('Real results'!C118)),1,0) + IF(UPPER(TRIM('Raw data'!AS120))=UPPER(TRIM('Real results'!C119)),1,0) + IF(UPPER(TRIM('Raw data'!AS120))=UPPER(TRIM('Real results'!C120)),1,0) + IF(UPPER(TRIM('Raw data'!AS120))=UPPER(TRIM('Real results'!C121)),1,0) + IF(UPPER(TRIM('Raw data'!AS120))=UPPER(TRIM('Real results'!C122)),1,0) + IF(UPPER(TRIM('Raw data'!AS120))=UPPER(TRIM('Real results'!C123)),1,0) + IF(UPPER(TRIM('Raw data'!AS120))=UPPER(TRIM('Real results'!C124)),1,0))&gt;=1,1,0),0),0)</f>
        <v>0</v>
      </c>
      <c r="AU123" s="34">
        <f>IFERROR(IF('Raw data'!AU120&lt;&gt;"",IF((IF(UPPER(TRIM('Raw data'!AU120))=UPPER(TRIM('Real results'!C117)),1,0) + IF(UPPER(TRIM('Raw data'!AU120))=UPPER(TRIM('Real results'!C118)),1,0) + IF(UPPER(TRIM('Raw data'!AU120))=UPPER(TRIM('Real results'!C119)),1,0) + IF(UPPER(TRIM('Raw data'!AU120))=UPPER(TRIM('Real results'!C120)),1,0) + IF(UPPER(TRIM('Raw data'!AU120))=UPPER(TRIM('Real results'!C121)),1,0) + IF(UPPER(TRIM('Raw data'!AU120))=UPPER(TRIM('Real results'!C122)),1,0) + IF(UPPER(TRIM('Raw data'!AU120))=UPPER(TRIM('Real results'!C123)),1,0) + IF(UPPER(TRIM('Raw data'!AU120))=UPPER(TRIM('Real results'!C124)),1,0))&gt;=1,1,0),0),0)</f>
        <v>0</v>
      </c>
      <c r="AW123" s="34">
        <f>IFERROR(IF('Raw data'!AW120&lt;&gt;"",IF((IF(UPPER(TRIM('Raw data'!AW120))=UPPER(TRIM('Real results'!C117)),1,0) + IF(UPPER(TRIM('Raw data'!AW120))=UPPER(TRIM('Real results'!C118)),1,0) + IF(UPPER(TRIM('Raw data'!AW120))=UPPER(TRIM('Real results'!C119)),1,0) + IF(UPPER(TRIM('Raw data'!AW120))=UPPER(TRIM('Real results'!C120)),1,0) + IF(UPPER(TRIM('Raw data'!AW120))=UPPER(TRIM('Real results'!C121)),1,0) + IF(UPPER(TRIM('Raw data'!AW120))=UPPER(TRIM('Real results'!C122)),1,0) + IF(UPPER(TRIM('Raw data'!AW120))=UPPER(TRIM('Real results'!C123)),1,0) + IF(UPPER(TRIM('Raw data'!AW120))=UPPER(TRIM('Real results'!C124)),1,0))&gt;=1,1,0),0),0)</f>
        <v>0</v>
      </c>
      <c r="AY123" s="34">
        <f>IFERROR(IF('Raw data'!AY120&lt;&gt;"",IF((IF(UPPER(TRIM('Raw data'!AY120))=UPPER(TRIM('Real results'!C117)),1,0) + IF(UPPER(TRIM('Raw data'!AY120))=UPPER(TRIM('Real results'!C118)),1,0) + IF(UPPER(TRIM('Raw data'!AY120))=UPPER(TRIM('Real results'!C119)),1,0) + IF(UPPER(TRIM('Raw data'!AY120))=UPPER(TRIM('Real results'!C120)),1,0) + IF(UPPER(TRIM('Raw data'!AY120))=UPPER(TRIM('Real results'!C121)),1,0) + IF(UPPER(TRIM('Raw data'!AY120))=UPPER(TRIM('Real results'!C122)),1,0) + IF(UPPER(TRIM('Raw data'!AY120))=UPPER(TRIM('Real results'!C123)),1,0) + IF(UPPER(TRIM('Raw data'!AY120))=UPPER(TRIM('Real results'!C124)),1,0))&gt;=1,1,0),0),0)</f>
        <v>0</v>
      </c>
      <c r="BA123" s="34">
        <f>IFERROR(IF('Raw data'!BA120&lt;&gt;"",IF((IF(UPPER(TRIM('Raw data'!BA120))=UPPER(TRIM('Real results'!C117)),1,0) + IF(UPPER(TRIM('Raw data'!BA120))=UPPER(TRIM('Real results'!C118)),1,0) + IF(UPPER(TRIM('Raw data'!BA120))=UPPER(TRIM('Real results'!C119)),1,0) + IF(UPPER(TRIM('Raw data'!BA120))=UPPER(TRIM('Real results'!C120)),1,0) + IF(UPPER(TRIM('Raw data'!BA120))=UPPER(TRIM('Real results'!C121)),1,0) + IF(UPPER(TRIM('Raw data'!BA120))=UPPER(TRIM('Real results'!C122)),1,0) + IF(UPPER(TRIM('Raw data'!BA120))=UPPER(TRIM('Real results'!C123)),1,0) + IF(UPPER(TRIM('Raw data'!BA120))=UPPER(TRIM('Real results'!C124)),1,0))&gt;=1,1,0),0),0)</f>
        <v>0</v>
      </c>
      <c r="BC123" s="34">
        <f>IFERROR(IF('Raw data'!BC120&lt;&gt;"",IF((IF(UPPER(TRIM('Raw data'!BC120))=UPPER(TRIM('Real results'!C117)),1,0) + IF(UPPER(TRIM('Raw data'!BC120))=UPPER(TRIM('Real results'!C118)),1,0) + IF(UPPER(TRIM('Raw data'!BC120))=UPPER(TRIM('Real results'!C119)),1,0) + IF(UPPER(TRIM('Raw data'!BC120))=UPPER(TRIM('Real results'!C120)),1,0) + IF(UPPER(TRIM('Raw data'!BC120))=UPPER(TRIM('Real results'!C121)),1,0) + IF(UPPER(TRIM('Raw data'!BC120))=UPPER(TRIM('Real results'!C122)),1,0) + IF(UPPER(TRIM('Raw data'!BC120))=UPPER(TRIM('Real results'!C123)),1,0) + IF(UPPER(TRIM('Raw data'!BC120))=UPPER(TRIM('Real results'!C124)),1,0))&gt;=1,1,0),0),0)</f>
        <v>0</v>
      </c>
      <c r="BE123" s="34">
        <f>IFERROR(IF('Raw data'!BE120&lt;&gt;"",IF((IF(UPPER(TRIM('Raw data'!BE120))=UPPER(TRIM('Real results'!C117)),1,0) + IF(UPPER(TRIM('Raw data'!BE120))=UPPER(TRIM('Real results'!C118)),1,0) + IF(UPPER(TRIM('Raw data'!BE120))=UPPER(TRIM('Real results'!C119)),1,0) + IF(UPPER(TRIM('Raw data'!BE120))=UPPER(TRIM('Real results'!C120)),1,0) + IF(UPPER(TRIM('Raw data'!BE120))=UPPER(TRIM('Real results'!C121)),1,0) + IF(UPPER(TRIM('Raw data'!BE120))=UPPER(TRIM('Real results'!C122)),1,0) + IF(UPPER(TRIM('Raw data'!BE120))=UPPER(TRIM('Real results'!C123)),1,0) + IF(UPPER(TRIM('Raw data'!BE120))=UPPER(TRIM('Real results'!C124)),1,0))&gt;=1,1,0),0),0)</f>
        <v>0</v>
      </c>
      <c r="BG123" s="34">
        <f>IFERROR(IF('Raw data'!BG120&lt;&gt;"",IF((IF(UPPER(TRIM('Raw data'!BG120))=UPPER(TRIM('Real results'!C117)),1,0) + IF(UPPER(TRIM('Raw data'!BG120))=UPPER(TRIM('Real results'!C118)),1,0) + IF(UPPER(TRIM('Raw data'!BG120))=UPPER(TRIM('Real results'!C119)),1,0) + IF(UPPER(TRIM('Raw data'!BG120))=UPPER(TRIM('Real results'!C120)),1,0) + IF(UPPER(TRIM('Raw data'!BG120))=UPPER(TRIM('Real results'!C121)),1,0) + IF(UPPER(TRIM('Raw data'!BG120))=UPPER(TRIM('Real results'!C122)),1,0) + IF(UPPER(TRIM('Raw data'!BG120))=UPPER(TRIM('Real results'!C123)),1,0) + IF(UPPER(TRIM('Raw data'!BG120))=UPPER(TRIM('Real results'!C124)),1,0))&gt;=1,1,0),0),0)</f>
        <v>0</v>
      </c>
      <c r="BI123" s="34">
        <f>IFERROR(IF('Raw data'!BI120&lt;&gt;"",IF((IF(UPPER(TRIM('Raw data'!BI120))=UPPER(TRIM('Real results'!C117)),1,0) + IF(UPPER(TRIM('Raw data'!BI120))=UPPER(TRIM('Real results'!C118)),1,0) + IF(UPPER(TRIM('Raw data'!BI120))=UPPER(TRIM('Real results'!C119)),1,0) + IF(UPPER(TRIM('Raw data'!BI120))=UPPER(TRIM('Real results'!C120)),1,0) + IF(UPPER(TRIM('Raw data'!BI120))=UPPER(TRIM('Real results'!C121)),1,0) + IF(UPPER(TRIM('Raw data'!BI120))=UPPER(TRIM('Real results'!C122)),1,0) + IF(UPPER(TRIM('Raw data'!BI120))=UPPER(TRIM('Real results'!C123)),1,0) + IF(UPPER(TRIM('Raw data'!BI120))=UPPER(TRIM('Real results'!C124)),1,0))&gt;=1,1,0),0),0)</f>
        <v>0</v>
      </c>
    </row>
    <row r="124" ht="18.0" customHeight="1">
      <c r="B124" s="12" t="s">
        <v>380</v>
      </c>
      <c r="C124" s="34">
        <f>IFERROR(IF('Raw data'!C120&lt;&gt;"",IF((IF(UPPER(TRIM('Raw data'!C120))=UPPER(TRIM('Real results'!C117)),1,0) + IF(UPPER(TRIM('Raw data'!C120))=UPPER(TRIM('Real results'!C118)),1,0) + IF(UPPER(TRIM('Raw data'!C120))=UPPER(TRIM('Real results'!C119)),1,0) + IF(UPPER(TRIM('Raw data'!C120))=UPPER(TRIM('Real results'!C120)),1,0) + IF(UPPER(TRIM('Raw data'!C120))=UPPER(TRIM('Real results'!C121)),1,0) + IF(UPPER(TRIM('Raw data'!C120))=UPPER(TRIM('Real results'!C122)),1,0) + IF(UPPER(TRIM('Raw data'!C120))=UPPER(TRIM('Real results'!C123)),1,0) + IF(UPPER(TRIM('Raw data'!C120))=UPPER(TRIM('Real results'!C124)),1,0))&gt;=1,1,0),0),0)</f>
        <v>0</v>
      </c>
      <c r="E124" s="34">
        <f>IFERROR(IF('Raw data'!E121&lt;&gt;"",IF((IF(UPPER(TRIM('Raw data'!E121))=UPPER(TRIM('Real results'!C117)),1,0) + IF(UPPER(TRIM('Raw data'!E121))=UPPER(TRIM('Real results'!C118)),1,0) + IF(UPPER(TRIM('Raw data'!E121))=UPPER(TRIM('Real results'!C119)),1,0) + IF(UPPER(TRIM('Raw data'!E121))=UPPER(TRIM('Real results'!C120)),1,0) + IF(UPPER(TRIM('Raw data'!E121))=UPPER(TRIM('Real results'!C121)),1,0) + IF(UPPER(TRIM('Raw data'!E121))=UPPER(TRIM('Real results'!C122)),1,0) + IF(UPPER(TRIM('Raw data'!E121))=UPPER(TRIM('Real results'!C123)),1,0) + IF(UPPER(TRIM('Raw data'!E121))=UPPER(TRIM('Real results'!C124)),1,0))&gt;=1,1,0),0),0)</f>
        <v>0</v>
      </c>
      <c r="G124" s="34">
        <f>IFERROR(IF('Raw data'!G121&lt;&gt;"",IF((IF(UPPER(TRIM('Raw data'!G121))=UPPER(TRIM('Real results'!C117)),1,0) + IF(UPPER(TRIM('Raw data'!G121))=UPPER(TRIM('Real results'!C118)),1,0) + IF(UPPER(TRIM('Raw data'!G121))=UPPER(TRIM('Real results'!C119)),1,0) + IF(UPPER(TRIM('Raw data'!G121))=UPPER(TRIM('Real results'!C120)),1,0) + IF(UPPER(TRIM('Raw data'!G121))=UPPER(TRIM('Real results'!C121)),1,0) + IF(UPPER(TRIM('Raw data'!G121))=UPPER(TRIM('Real results'!C122)),1,0) + IF(UPPER(TRIM('Raw data'!G121))=UPPER(TRIM('Real results'!C123)),1,0) + IF(UPPER(TRIM('Raw data'!G121))=UPPER(TRIM('Real results'!C124)),1,0))&gt;=1,1,0),0),0)</f>
        <v>0</v>
      </c>
      <c r="I124" s="34">
        <f>IFERROR(IF('Raw data'!I121&lt;&gt;"",IF((IF(UPPER(TRIM('Raw data'!I121))=UPPER(TRIM('Real results'!C117)),1,0) + IF(UPPER(TRIM('Raw data'!I121))=UPPER(TRIM('Real results'!C118)),1,0) + IF(UPPER(TRIM('Raw data'!I121))=UPPER(TRIM('Real results'!C119)),1,0) + IF(UPPER(TRIM('Raw data'!I121))=UPPER(TRIM('Real results'!C120)),1,0) + IF(UPPER(TRIM('Raw data'!I121))=UPPER(TRIM('Real results'!C121)),1,0) + IF(UPPER(TRIM('Raw data'!I121))=UPPER(TRIM('Real results'!C122)),1,0) + IF(UPPER(TRIM('Raw data'!I121))=UPPER(TRIM('Real results'!C123)),1,0) + IF(UPPER(TRIM('Raw data'!I121))=UPPER(TRIM('Real results'!C124)),1,0))&gt;=1,1,0),0),0)</f>
        <v>0</v>
      </c>
      <c r="K124" s="34">
        <f>IFERROR(IF('Raw data'!K121&lt;&gt;"",IF((IF(UPPER(TRIM('Raw data'!K121))=UPPER(TRIM('Real results'!C117)),1,0) + IF(UPPER(TRIM('Raw data'!K121))=UPPER(TRIM('Real results'!C118)),1,0) + IF(UPPER(TRIM('Raw data'!K121))=UPPER(TRIM('Real results'!C119)),1,0) + IF(UPPER(TRIM('Raw data'!K121))=UPPER(TRIM('Real results'!C120)),1,0) + IF(UPPER(TRIM('Raw data'!K121))=UPPER(TRIM('Real results'!C121)),1,0) + IF(UPPER(TRIM('Raw data'!K121))=UPPER(TRIM('Real results'!C122)),1,0) + IF(UPPER(TRIM('Raw data'!K121))=UPPER(TRIM('Real results'!C123)),1,0) + IF(UPPER(TRIM('Raw data'!K121))=UPPER(TRIM('Real results'!C124)),1,0))&gt;=1,1,0),0),0)</f>
        <v>0</v>
      </c>
      <c r="M124" s="34">
        <f>IFERROR(IF('Raw data'!M121&lt;&gt;"",IF((IF(UPPER(TRIM('Raw data'!M121))=UPPER(TRIM('Real results'!C117)),1,0) + IF(UPPER(TRIM('Raw data'!M121))=UPPER(TRIM('Real results'!C118)),1,0) + IF(UPPER(TRIM('Raw data'!M121))=UPPER(TRIM('Real results'!C119)),1,0) + IF(UPPER(TRIM('Raw data'!M121))=UPPER(TRIM('Real results'!C120)),1,0) + IF(UPPER(TRIM('Raw data'!M121))=UPPER(TRIM('Real results'!C121)),1,0) + IF(UPPER(TRIM('Raw data'!M121))=UPPER(TRIM('Real results'!C122)),1,0) + IF(UPPER(TRIM('Raw data'!M121))=UPPER(TRIM('Real results'!C123)),1,0) + IF(UPPER(TRIM('Raw data'!M121))=UPPER(TRIM('Real results'!C124)),1,0))&gt;=1,1,0),0),0)</f>
        <v>0</v>
      </c>
      <c r="O124" s="34">
        <f>IFERROR(IF('Raw data'!O121&lt;&gt;"",IF((IF(UPPER(TRIM('Raw data'!O121))=UPPER(TRIM('Real results'!C117)),1,0) + IF(UPPER(TRIM('Raw data'!O121))=UPPER(TRIM('Real results'!C118)),1,0) + IF(UPPER(TRIM('Raw data'!O121))=UPPER(TRIM('Real results'!C119)),1,0) + IF(UPPER(TRIM('Raw data'!O121))=UPPER(TRIM('Real results'!C120)),1,0) + IF(UPPER(TRIM('Raw data'!O121))=UPPER(TRIM('Real results'!C121)),1,0) + IF(UPPER(TRIM('Raw data'!O121))=UPPER(TRIM('Real results'!C122)),1,0) + IF(UPPER(TRIM('Raw data'!O121))=UPPER(TRIM('Real results'!C123)),1,0) + IF(UPPER(TRIM('Raw data'!O121))=UPPER(TRIM('Real results'!C124)),1,0))&gt;=1,1,0),0),0)</f>
        <v>0</v>
      </c>
      <c r="Q124" s="34">
        <f>IFERROR(IF('Raw data'!Q121&lt;&gt;"",IF((IF(UPPER(TRIM('Raw data'!Q121))=UPPER(TRIM('Real results'!C117)),1,0) + IF(UPPER(TRIM('Raw data'!Q121))=UPPER(TRIM('Real results'!C118)),1,0) + IF(UPPER(TRIM('Raw data'!Q121))=UPPER(TRIM('Real results'!C119)),1,0) + IF(UPPER(TRIM('Raw data'!Q121))=UPPER(TRIM('Real results'!C120)),1,0) + IF(UPPER(TRIM('Raw data'!Q121))=UPPER(TRIM('Real results'!C121)),1,0) + IF(UPPER(TRIM('Raw data'!Q121))=UPPER(TRIM('Real results'!C122)),1,0) + IF(UPPER(TRIM('Raw data'!Q121))=UPPER(TRIM('Real results'!C123)),1,0) + IF(UPPER(TRIM('Raw data'!Q121))=UPPER(TRIM('Real results'!C124)),1,0))&gt;=1,1,0),0),0)</f>
        <v>0</v>
      </c>
      <c r="S124" s="34">
        <f>IFERROR(IF('Raw data'!S121&lt;&gt;"",IF((IF(UPPER(TRIM('Raw data'!S121))=UPPER(TRIM('Real results'!C117)),1,0) + IF(UPPER(TRIM('Raw data'!S121))=UPPER(TRIM('Real results'!C118)),1,0) + IF(UPPER(TRIM('Raw data'!S121))=UPPER(TRIM('Real results'!C119)),1,0) + IF(UPPER(TRIM('Raw data'!S121))=UPPER(TRIM('Real results'!C120)),1,0) + IF(UPPER(TRIM('Raw data'!S121))=UPPER(TRIM('Real results'!C121)),1,0) + IF(UPPER(TRIM('Raw data'!S121))=UPPER(TRIM('Real results'!C122)),1,0) + IF(UPPER(TRIM('Raw data'!S121))=UPPER(TRIM('Real results'!C123)),1,0) + IF(UPPER(TRIM('Raw data'!S121))=UPPER(TRIM('Real results'!C124)),1,0))&gt;=1,1,0),0),0)</f>
        <v>0</v>
      </c>
      <c r="U124" s="34">
        <f>IFERROR(IF('Raw data'!U121&lt;&gt;"",IF((IF(UPPER(TRIM('Raw data'!U121))=UPPER(TRIM('Real results'!C117)),1,0) + IF(UPPER(TRIM('Raw data'!U121))=UPPER(TRIM('Real results'!C118)),1,0) + IF(UPPER(TRIM('Raw data'!U121))=UPPER(TRIM('Real results'!C119)),1,0) + IF(UPPER(TRIM('Raw data'!U121))=UPPER(TRIM('Real results'!C120)),1,0) + IF(UPPER(TRIM('Raw data'!U121))=UPPER(TRIM('Real results'!C121)),1,0) + IF(UPPER(TRIM('Raw data'!U121))=UPPER(TRIM('Real results'!C122)),1,0) + IF(UPPER(TRIM('Raw data'!U121))=UPPER(TRIM('Real results'!C123)),1,0) + IF(UPPER(TRIM('Raw data'!U121))=UPPER(TRIM('Real results'!C124)),1,0))&gt;=1,1,0),0),0)</f>
        <v>0</v>
      </c>
      <c r="W124" s="34">
        <f>IFERROR(IF('Raw data'!W121&lt;&gt;"",IF((IF(UPPER(TRIM('Raw data'!W121))=UPPER(TRIM('Real results'!C117)),1,0) + IF(UPPER(TRIM('Raw data'!W121))=UPPER(TRIM('Real results'!C118)),1,0) + IF(UPPER(TRIM('Raw data'!W121))=UPPER(TRIM('Real results'!C119)),1,0) + IF(UPPER(TRIM('Raw data'!W121))=UPPER(TRIM('Real results'!C120)),1,0) + IF(UPPER(TRIM('Raw data'!W121))=UPPER(TRIM('Real results'!C121)),1,0) + IF(UPPER(TRIM('Raw data'!W121))=UPPER(TRIM('Real results'!C122)),1,0) + IF(UPPER(TRIM('Raw data'!W121))=UPPER(TRIM('Real results'!C123)),1,0) + IF(UPPER(TRIM('Raw data'!W121))=UPPER(TRIM('Real results'!C124)),1,0))&gt;=1,1,0),0),0)</f>
        <v>0</v>
      </c>
      <c r="Y124" s="34">
        <f>IFERROR(IF('Raw data'!Y121&lt;&gt;"",IF((IF(UPPER(TRIM('Raw data'!Y121))=UPPER(TRIM('Real results'!C117)),1,0) + IF(UPPER(TRIM('Raw data'!Y121))=UPPER(TRIM('Real results'!C118)),1,0) + IF(UPPER(TRIM('Raw data'!Y121))=UPPER(TRIM('Real results'!C119)),1,0) + IF(UPPER(TRIM('Raw data'!Y121))=UPPER(TRIM('Real results'!C120)),1,0) + IF(UPPER(TRIM('Raw data'!Y121))=UPPER(TRIM('Real results'!C121)),1,0) + IF(UPPER(TRIM('Raw data'!Y121))=UPPER(TRIM('Real results'!C122)),1,0) + IF(UPPER(TRIM('Raw data'!Y121))=UPPER(TRIM('Real results'!C123)),1,0) + IF(UPPER(TRIM('Raw data'!Y121))=UPPER(TRIM('Real results'!C124)),1,0))&gt;=1,1,0),0),0)</f>
        <v>0</v>
      </c>
      <c r="AA124" s="34">
        <f>IFERROR(IF('Raw data'!AA121&lt;&gt;"",IF((IF(UPPER(TRIM('Raw data'!AA121))=UPPER(TRIM('Real results'!C117)),1,0) + IF(UPPER(TRIM('Raw data'!AA121))=UPPER(TRIM('Real results'!C118)),1,0) + IF(UPPER(TRIM('Raw data'!AA121))=UPPER(TRIM('Real results'!C119)),1,0) + IF(UPPER(TRIM('Raw data'!AA121))=UPPER(TRIM('Real results'!C120)),1,0) + IF(UPPER(TRIM('Raw data'!AA121))=UPPER(TRIM('Real results'!C121)),1,0) + IF(UPPER(TRIM('Raw data'!AA121))=UPPER(TRIM('Real results'!C122)),1,0) + IF(UPPER(TRIM('Raw data'!AA121))=UPPER(TRIM('Real results'!C123)),1,0) + IF(UPPER(TRIM('Raw data'!AA121))=UPPER(TRIM('Real results'!C124)),1,0))&gt;=1,1,0),0),0)</f>
        <v>0</v>
      </c>
      <c r="AC124" s="34">
        <f>IFERROR(IF('Raw data'!AC121&lt;&gt;"",IF((IF(UPPER(TRIM('Raw data'!AC121))=UPPER(TRIM('Real results'!C117)),1,0) + IF(UPPER(TRIM('Raw data'!AC121))=UPPER(TRIM('Real results'!C118)),1,0) + IF(UPPER(TRIM('Raw data'!AC121))=UPPER(TRIM('Real results'!C119)),1,0) + IF(UPPER(TRIM('Raw data'!AC121))=UPPER(TRIM('Real results'!C120)),1,0) + IF(UPPER(TRIM('Raw data'!AC121))=UPPER(TRIM('Real results'!C121)),1,0) + IF(UPPER(TRIM('Raw data'!AC121))=UPPER(TRIM('Real results'!C122)),1,0) + IF(UPPER(TRIM('Raw data'!AC121))=UPPER(TRIM('Real results'!C123)),1,0) + IF(UPPER(TRIM('Raw data'!AC121))=UPPER(TRIM('Real results'!C124)),1,0))&gt;=1,1,0),0),0)</f>
        <v>0</v>
      </c>
      <c r="AE124" s="34">
        <f>IFERROR(IF('Raw data'!AE121&lt;&gt;"",IF((IF(UPPER(TRIM('Raw data'!AE121))=UPPER(TRIM('Real results'!C117)),1,0) + IF(UPPER(TRIM('Raw data'!AE121))=UPPER(TRIM('Real results'!C118)),1,0) + IF(UPPER(TRIM('Raw data'!AE121))=UPPER(TRIM('Real results'!C119)),1,0) + IF(UPPER(TRIM('Raw data'!AE121))=UPPER(TRIM('Real results'!C120)),1,0) + IF(UPPER(TRIM('Raw data'!AE121))=UPPER(TRIM('Real results'!C121)),1,0) + IF(UPPER(TRIM('Raw data'!AE121))=UPPER(TRIM('Real results'!C122)),1,0) + IF(UPPER(TRIM('Raw data'!AE121))=UPPER(TRIM('Real results'!C123)),1,0) + IF(UPPER(TRIM('Raw data'!AE121))=UPPER(TRIM('Real results'!C124)),1,0))&gt;=1,1,0),0),0)</f>
        <v>0</v>
      </c>
      <c r="AG124" s="34">
        <f>IFERROR(IF('Raw data'!AG121&lt;&gt;"",IF((IF(UPPER(TRIM('Raw data'!AG121))=UPPER(TRIM('Real results'!C117)),1,0) + IF(UPPER(TRIM('Raw data'!AG121))=UPPER(TRIM('Real results'!C118)),1,0) + IF(UPPER(TRIM('Raw data'!AG121))=UPPER(TRIM('Real results'!C119)),1,0) + IF(UPPER(TRIM('Raw data'!AG121))=UPPER(TRIM('Real results'!C120)),1,0) + IF(UPPER(TRIM('Raw data'!AG121))=UPPER(TRIM('Real results'!C121)),1,0) + IF(UPPER(TRIM('Raw data'!AG121))=UPPER(TRIM('Real results'!C122)),1,0) + IF(UPPER(TRIM('Raw data'!AG121))=UPPER(TRIM('Real results'!C123)),1,0) + IF(UPPER(TRIM('Raw data'!AG121))=UPPER(TRIM('Real results'!C124)),1,0))&gt;=1,1,0),0),0)</f>
        <v>0</v>
      </c>
      <c r="AI124" s="34">
        <f>IFERROR(IF('Raw data'!AI121&lt;&gt;"",IF((IF(UPPER(TRIM('Raw data'!AI121))=UPPER(TRIM('Real results'!C117)),1,0) + IF(UPPER(TRIM('Raw data'!AI121))=UPPER(TRIM('Real results'!C118)),1,0) + IF(UPPER(TRIM('Raw data'!AI121))=UPPER(TRIM('Real results'!C119)),1,0) + IF(UPPER(TRIM('Raw data'!AI121))=UPPER(TRIM('Real results'!C120)),1,0) + IF(UPPER(TRIM('Raw data'!AI121))=UPPER(TRIM('Real results'!C121)),1,0) + IF(UPPER(TRIM('Raw data'!AI121))=UPPER(TRIM('Real results'!C122)),1,0) + IF(UPPER(TRIM('Raw data'!AI121))=UPPER(TRIM('Real results'!C123)),1,0) + IF(UPPER(TRIM('Raw data'!AI121))=UPPER(TRIM('Real results'!C124)),1,0))&gt;=1,1,0),0),0)</f>
        <v>0</v>
      </c>
      <c r="AK124" s="34">
        <f>IFERROR(IF('Raw data'!AK121&lt;&gt;"",IF((IF(UPPER(TRIM('Raw data'!AK121))=UPPER(TRIM('Real results'!C117)),1,0) + IF(UPPER(TRIM('Raw data'!AK121))=UPPER(TRIM('Real results'!C118)),1,0) + IF(UPPER(TRIM('Raw data'!AK121))=UPPER(TRIM('Real results'!C119)),1,0) + IF(UPPER(TRIM('Raw data'!AK121))=UPPER(TRIM('Real results'!C120)),1,0) + IF(UPPER(TRIM('Raw data'!AK121))=UPPER(TRIM('Real results'!C121)),1,0) + IF(UPPER(TRIM('Raw data'!AK121))=UPPER(TRIM('Real results'!C122)),1,0) + IF(UPPER(TRIM('Raw data'!AK121))=UPPER(TRIM('Real results'!C123)),1,0) + IF(UPPER(TRIM('Raw data'!AK121))=UPPER(TRIM('Real results'!C124)),1,0))&gt;=1,1,0),0),0)</f>
        <v>0</v>
      </c>
      <c r="AM124" s="34">
        <f>IFERROR(IF('Raw data'!AM121&lt;&gt;"",IF((IF(UPPER(TRIM('Raw data'!AM121))=UPPER(TRIM('Real results'!C117)),1,0) + IF(UPPER(TRIM('Raw data'!AM121))=UPPER(TRIM('Real results'!C118)),1,0) + IF(UPPER(TRIM('Raw data'!AM121))=UPPER(TRIM('Real results'!C119)),1,0) + IF(UPPER(TRIM('Raw data'!AM121))=UPPER(TRIM('Real results'!C120)),1,0) + IF(UPPER(TRIM('Raw data'!AM121))=UPPER(TRIM('Real results'!C121)),1,0) + IF(UPPER(TRIM('Raw data'!AM121))=UPPER(TRIM('Real results'!C122)),1,0) + IF(UPPER(TRIM('Raw data'!AM121))=UPPER(TRIM('Real results'!C123)),1,0) + IF(UPPER(TRIM('Raw data'!AM121))=UPPER(TRIM('Real results'!C124)),1,0))&gt;=1,1,0),0),0)</f>
        <v>0</v>
      </c>
      <c r="AO124" s="34">
        <f>IFERROR(IF('Raw data'!AO121&lt;&gt;"",IF((IF(UPPER(TRIM('Raw data'!AO121))=UPPER(TRIM('Real results'!C117)),1,0) + IF(UPPER(TRIM('Raw data'!AO121))=UPPER(TRIM('Real results'!C118)),1,0) + IF(UPPER(TRIM('Raw data'!AO121))=UPPER(TRIM('Real results'!C119)),1,0) + IF(UPPER(TRIM('Raw data'!AO121))=UPPER(TRIM('Real results'!C120)),1,0) + IF(UPPER(TRIM('Raw data'!AO121))=UPPER(TRIM('Real results'!C121)),1,0) + IF(UPPER(TRIM('Raw data'!AO121))=UPPER(TRIM('Real results'!C122)),1,0) + IF(UPPER(TRIM('Raw data'!AO121))=UPPER(TRIM('Real results'!C123)),1,0) + IF(UPPER(TRIM('Raw data'!AO121))=UPPER(TRIM('Real results'!C124)),1,0))&gt;=1,1,0),0),0)</f>
        <v>0</v>
      </c>
      <c r="AQ124" s="34">
        <f>IFERROR(IF('Raw data'!AQ121&lt;&gt;"",IF((IF(UPPER(TRIM('Raw data'!AQ121))=UPPER(TRIM('Real results'!C117)),1,0) + IF(UPPER(TRIM('Raw data'!AQ121))=UPPER(TRIM('Real results'!C118)),1,0) + IF(UPPER(TRIM('Raw data'!AQ121))=UPPER(TRIM('Real results'!C119)),1,0) + IF(UPPER(TRIM('Raw data'!AQ121))=UPPER(TRIM('Real results'!C120)),1,0) + IF(UPPER(TRIM('Raw data'!AQ121))=UPPER(TRIM('Real results'!C121)),1,0) + IF(UPPER(TRIM('Raw data'!AQ121))=UPPER(TRIM('Real results'!C122)),1,0) + IF(UPPER(TRIM('Raw data'!AQ121))=UPPER(TRIM('Real results'!C123)),1,0) + IF(UPPER(TRIM('Raw data'!AQ121))=UPPER(TRIM('Real results'!C124)),1,0))&gt;=1,1,0),0),0)</f>
        <v>0</v>
      </c>
      <c r="AS124" s="34">
        <f>IFERROR(IF('Raw data'!AS121&lt;&gt;"",IF((IF(UPPER(TRIM('Raw data'!AS121))=UPPER(TRIM('Real results'!C117)),1,0) + IF(UPPER(TRIM('Raw data'!AS121))=UPPER(TRIM('Real results'!C118)),1,0) + IF(UPPER(TRIM('Raw data'!AS121))=UPPER(TRIM('Real results'!C119)),1,0) + IF(UPPER(TRIM('Raw data'!AS121))=UPPER(TRIM('Real results'!C120)),1,0) + IF(UPPER(TRIM('Raw data'!AS121))=UPPER(TRIM('Real results'!C121)),1,0) + IF(UPPER(TRIM('Raw data'!AS121))=UPPER(TRIM('Real results'!C122)),1,0) + IF(UPPER(TRIM('Raw data'!AS121))=UPPER(TRIM('Real results'!C123)),1,0) + IF(UPPER(TRIM('Raw data'!AS121))=UPPER(TRIM('Real results'!C124)),1,0))&gt;=1,1,0),0),0)</f>
        <v>0</v>
      </c>
      <c r="AU124" s="34">
        <f>IFERROR(IF('Raw data'!AU121&lt;&gt;"",IF((IF(UPPER(TRIM('Raw data'!AU121))=UPPER(TRIM('Real results'!C117)),1,0) + IF(UPPER(TRIM('Raw data'!AU121))=UPPER(TRIM('Real results'!C118)),1,0) + IF(UPPER(TRIM('Raw data'!AU121))=UPPER(TRIM('Real results'!C119)),1,0) + IF(UPPER(TRIM('Raw data'!AU121))=UPPER(TRIM('Real results'!C120)),1,0) + IF(UPPER(TRIM('Raw data'!AU121))=UPPER(TRIM('Real results'!C121)),1,0) + IF(UPPER(TRIM('Raw data'!AU121))=UPPER(TRIM('Real results'!C122)),1,0) + IF(UPPER(TRIM('Raw data'!AU121))=UPPER(TRIM('Real results'!C123)),1,0) + IF(UPPER(TRIM('Raw data'!AU121))=UPPER(TRIM('Real results'!C124)),1,0))&gt;=1,1,0),0),0)</f>
        <v>0</v>
      </c>
      <c r="AW124" s="34">
        <f>IFERROR(IF('Raw data'!AW121&lt;&gt;"",IF((IF(UPPER(TRIM('Raw data'!AW121))=UPPER(TRIM('Real results'!C117)),1,0) + IF(UPPER(TRIM('Raw data'!AW121))=UPPER(TRIM('Real results'!C118)),1,0) + IF(UPPER(TRIM('Raw data'!AW121))=UPPER(TRIM('Real results'!C119)),1,0) + IF(UPPER(TRIM('Raw data'!AW121))=UPPER(TRIM('Real results'!C120)),1,0) + IF(UPPER(TRIM('Raw data'!AW121))=UPPER(TRIM('Real results'!C121)),1,0) + IF(UPPER(TRIM('Raw data'!AW121))=UPPER(TRIM('Real results'!C122)),1,0) + IF(UPPER(TRIM('Raw data'!AW121))=UPPER(TRIM('Real results'!C123)),1,0) + IF(UPPER(TRIM('Raw data'!AW121))=UPPER(TRIM('Real results'!C124)),1,0))&gt;=1,1,0),0),0)</f>
        <v>0</v>
      </c>
      <c r="AY124" s="34">
        <f>IFERROR(IF('Raw data'!AY121&lt;&gt;"",IF((IF(UPPER(TRIM('Raw data'!AY121))=UPPER(TRIM('Real results'!C117)),1,0) + IF(UPPER(TRIM('Raw data'!AY121))=UPPER(TRIM('Real results'!C118)),1,0) + IF(UPPER(TRIM('Raw data'!AY121))=UPPER(TRIM('Real results'!C119)),1,0) + IF(UPPER(TRIM('Raw data'!AY121))=UPPER(TRIM('Real results'!C120)),1,0) + IF(UPPER(TRIM('Raw data'!AY121))=UPPER(TRIM('Real results'!C121)),1,0) + IF(UPPER(TRIM('Raw data'!AY121))=UPPER(TRIM('Real results'!C122)),1,0) + IF(UPPER(TRIM('Raw data'!AY121))=UPPER(TRIM('Real results'!C123)),1,0) + IF(UPPER(TRIM('Raw data'!AY121))=UPPER(TRIM('Real results'!C124)),1,0))&gt;=1,1,0),0),0)</f>
        <v>0</v>
      </c>
      <c r="BA124" s="34">
        <f>IFERROR(IF('Raw data'!BA121&lt;&gt;"",IF((IF(UPPER(TRIM('Raw data'!BA121))=UPPER(TRIM('Real results'!C117)),1,0) + IF(UPPER(TRIM('Raw data'!BA121))=UPPER(TRIM('Real results'!C118)),1,0) + IF(UPPER(TRIM('Raw data'!BA121))=UPPER(TRIM('Real results'!C119)),1,0) + IF(UPPER(TRIM('Raw data'!BA121))=UPPER(TRIM('Real results'!C120)),1,0) + IF(UPPER(TRIM('Raw data'!BA121))=UPPER(TRIM('Real results'!C121)),1,0) + IF(UPPER(TRIM('Raw data'!BA121))=UPPER(TRIM('Real results'!C122)),1,0) + IF(UPPER(TRIM('Raw data'!BA121))=UPPER(TRIM('Real results'!C123)),1,0) + IF(UPPER(TRIM('Raw data'!BA121))=UPPER(TRIM('Real results'!C124)),1,0))&gt;=1,1,0),0),0)</f>
        <v>0</v>
      </c>
      <c r="BC124" s="34">
        <f>IFERROR(IF('Raw data'!BC121&lt;&gt;"",IF((IF(UPPER(TRIM('Raw data'!BC121))=UPPER(TRIM('Real results'!C117)),1,0) + IF(UPPER(TRIM('Raw data'!BC121))=UPPER(TRIM('Real results'!C118)),1,0) + IF(UPPER(TRIM('Raw data'!BC121))=UPPER(TRIM('Real results'!C119)),1,0) + IF(UPPER(TRIM('Raw data'!BC121))=UPPER(TRIM('Real results'!C120)),1,0) + IF(UPPER(TRIM('Raw data'!BC121))=UPPER(TRIM('Real results'!C121)),1,0) + IF(UPPER(TRIM('Raw data'!BC121))=UPPER(TRIM('Real results'!C122)),1,0) + IF(UPPER(TRIM('Raw data'!BC121))=UPPER(TRIM('Real results'!C123)),1,0) + IF(UPPER(TRIM('Raw data'!BC121))=UPPER(TRIM('Real results'!C124)),1,0))&gt;=1,1,0),0),0)</f>
        <v>0</v>
      </c>
      <c r="BE124" s="34">
        <f>IFERROR(IF('Raw data'!BE121&lt;&gt;"",IF((IF(UPPER(TRIM('Raw data'!BE121))=UPPER(TRIM('Real results'!C117)),1,0) + IF(UPPER(TRIM('Raw data'!BE121))=UPPER(TRIM('Real results'!C118)),1,0) + IF(UPPER(TRIM('Raw data'!BE121))=UPPER(TRIM('Real results'!C119)),1,0) + IF(UPPER(TRIM('Raw data'!BE121))=UPPER(TRIM('Real results'!C120)),1,0) + IF(UPPER(TRIM('Raw data'!BE121))=UPPER(TRIM('Real results'!C121)),1,0) + IF(UPPER(TRIM('Raw data'!BE121))=UPPER(TRIM('Real results'!C122)),1,0) + IF(UPPER(TRIM('Raw data'!BE121))=UPPER(TRIM('Real results'!C123)),1,0) + IF(UPPER(TRIM('Raw data'!BE121))=UPPER(TRIM('Real results'!C124)),1,0))&gt;=1,1,0),0),0)</f>
        <v>0</v>
      </c>
      <c r="BG124" s="34">
        <f>IFERROR(IF('Raw data'!BG121&lt;&gt;"",IF((IF(UPPER(TRIM('Raw data'!BG121))=UPPER(TRIM('Real results'!C117)),1,0) + IF(UPPER(TRIM('Raw data'!BG121))=UPPER(TRIM('Real results'!C118)),1,0) + IF(UPPER(TRIM('Raw data'!BG121))=UPPER(TRIM('Real results'!C119)),1,0) + IF(UPPER(TRIM('Raw data'!BG121))=UPPER(TRIM('Real results'!C120)),1,0) + IF(UPPER(TRIM('Raw data'!BG121))=UPPER(TRIM('Real results'!C121)),1,0) + IF(UPPER(TRIM('Raw data'!BG121))=UPPER(TRIM('Real results'!C122)),1,0) + IF(UPPER(TRIM('Raw data'!BG121))=UPPER(TRIM('Real results'!C123)),1,0) + IF(UPPER(TRIM('Raw data'!BG121))=UPPER(TRIM('Real results'!C124)),1,0))&gt;=1,1,0),0),0)</f>
        <v>0</v>
      </c>
      <c r="BI124" s="34">
        <f>IFERROR(IF('Raw data'!BI121&lt;&gt;"",IF((IF(UPPER(TRIM('Raw data'!BI121))=UPPER(TRIM('Real results'!C117)),1,0) + IF(UPPER(TRIM('Raw data'!BI121))=UPPER(TRIM('Real results'!C118)),1,0) + IF(UPPER(TRIM('Raw data'!BI121))=UPPER(TRIM('Real results'!C119)),1,0) + IF(UPPER(TRIM('Raw data'!BI121))=UPPER(TRIM('Real results'!C120)),1,0) + IF(UPPER(TRIM('Raw data'!BI121))=UPPER(TRIM('Real results'!C121)),1,0) + IF(UPPER(TRIM('Raw data'!BI121))=UPPER(TRIM('Real results'!C122)),1,0) + IF(UPPER(TRIM('Raw data'!BI121))=UPPER(TRIM('Real results'!C123)),1,0) + IF(UPPER(TRIM('Raw data'!BI121))=UPPER(TRIM('Real results'!C124)),1,0))&gt;=1,1,0),0),0)</f>
        <v>0</v>
      </c>
    </row>
    <row r="125" ht="18.0" customHeight="1">
      <c r="B125" s="12" t="s">
        <v>381</v>
      </c>
      <c r="C125" s="34">
        <f>IFERROR(IF('Raw data'!C121&lt;&gt;"",IF((IF(UPPER(TRIM('Raw data'!C121))=UPPER(TRIM('Real results'!C117)),1,0) + IF(UPPER(TRIM('Raw data'!C121))=UPPER(TRIM('Real results'!C118)),1,0) + IF(UPPER(TRIM('Raw data'!C121))=UPPER(TRIM('Real results'!C119)),1,0) + IF(UPPER(TRIM('Raw data'!C121))=UPPER(TRIM('Real results'!C120)),1,0) + IF(UPPER(TRIM('Raw data'!C121))=UPPER(TRIM('Real results'!C121)),1,0) + IF(UPPER(TRIM('Raw data'!C121))=UPPER(TRIM('Real results'!C122)),1,0) + IF(UPPER(TRIM('Raw data'!C121))=UPPER(TRIM('Real results'!C123)),1,0) + IF(UPPER(TRIM('Raw data'!C121))=UPPER(TRIM('Real results'!C124)),1,0))&gt;=1,1,0),0),0)</f>
        <v>0</v>
      </c>
      <c r="E125" s="34">
        <f>IFERROR(IF('Raw data'!E122&lt;&gt;"",IF((IF(UPPER(TRIM('Raw data'!E122))=UPPER(TRIM('Real results'!C117)),1,0) + IF(UPPER(TRIM('Raw data'!E122))=UPPER(TRIM('Real results'!C118)),1,0) + IF(UPPER(TRIM('Raw data'!E122))=UPPER(TRIM('Real results'!C119)),1,0) + IF(UPPER(TRIM('Raw data'!E122))=UPPER(TRIM('Real results'!C120)),1,0) + IF(UPPER(TRIM('Raw data'!E122))=UPPER(TRIM('Real results'!C121)),1,0) + IF(UPPER(TRIM('Raw data'!E122))=UPPER(TRIM('Real results'!C122)),1,0) + IF(UPPER(TRIM('Raw data'!E122))=UPPER(TRIM('Real results'!C123)),1,0) + IF(UPPER(TRIM('Raw data'!E122))=UPPER(TRIM('Real results'!C124)),1,0))&gt;=1,1,0),0),0)</f>
        <v>0</v>
      </c>
      <c r="G125" s="34">
        <f>IFERROR(IF('Raw data'!G122&lt;&gt;"",IF((IF(UPPER(TRIM('Raw data'!G122))=UPPER(TRIM('Real results'!C117)),1,0) + IF(UPPER(TRIM('Raw data'!G122))=UPPER(TRIM('Real results'!C118)),1,0) + IF(UPPER(TRIM('Raw data'!G122))=UPPER(TRIM('Real results'!C119)),1,0) + IF(UPPER(TRIM('Raw data'!G122))=UPPER(TRIM('Real results'!C120)),1,0) + IF(UPPER(TRIM('Raw data'!G122))=UPPER(TRIM('Real results'!C121)),1,0) + IF(UPPER(TRIM('Raw data'!G122))=UPPER(TRIM('Real results'!C122)),1,0) + IF(UPPER(TRIM('Raw data'!G122))=UPPER(TRIM('Real results'!C123)),1,0) + IF(UPPER(TRIM('Raw data'!G122))=UPPER(TRIM('Real results'!C124)),1,0))&gt;=1,1,0),0),0)</f>
        <v>0</v>
      </c>
      <c r="I125" s="34">
        <f>IFERROR(IF('Raw data'!I122&lt;&gt;"",IF((IF(UPPER(TRIM('Raw data'!I122))=UPPER(TRIM('Real results'!C117)),1,0) + IF(UPPER(TRIM('Raw data'!I122))=UPPER(TRIM('Real results'!C118)),1,0) + IF(UPPER(TRIM('Raw data'!I122))=UPPER(TRIM('Real results'!C119)),1,0) + IF(UPPER(TRIM('Raw data'!I122))=UPPER(TRIM('Real results'!C120)),1,0) + IF(UPPER(TRIM('Raw data'!I122))=UPPER(TRIM('Real results'!C121)),1,0) + IF(UPPER(TRIM('Raw data'!I122))=UPPER(TRIM('Real results'!C122)),1,0) + IF(UPPER(TRIM('Raw data'!I122))=UPPER(TRIM('Real results'!C123)),1,0) + IF(UPPER(TRIM('Raw data'!I122))=UPPER(TRIM('Real results'!C124)),1,0))&gt;=1,1,0),0),0)</f>
        <v>0</v>
      </c>
      <c r="K125" s="34">
        <f>IFERROR(IF('Raw data'!K122&lt;&gt;"",IF((IF(UPPER(TRIM('Raw data'!K122))=UPPER(TRIM('Real results'!C117)),1,0) + IF(UPPER(TRIM('Raw data'!K122))=UPPER(TRIM('Real results'!C118)),1,0) + IF(UPPER(TRIM('Raw data'!K122))=UPPER(TRIM('Real results'!C119)),1,0) + IF(UPPER(TRIM('Raw data'!K122))=UPPER(TRIM('Real results'!C120)),1,0) + IF(UPPER(TRIM('Raw data'!K122))=UPPER(TRIM('Real results'!C121)),1,0) + IF(UPPER(TRIM('Raw data'!K122))=UPPER(TRIM('Real results'!C122)),1,0) + IF(UPPER(TRIM('Raw data'!K122))=UPPER(TRIM('Real results'!C123)),1,0) + IF(UPPER(TRIM('Raw data'!K122))=UPPER(TRIM('Real results'!C124)),1,0))&gt;=1,1,0),0),0)</f>
        <v>0</v>
      </c>
      <c r="M125" s="34">
        <f>IFERROR(IF('Raw data'!M122&lt;&gt;"",IF((IF(UPPER(TRIM('Raw data'!M122))=UPPER(TRIM('Real results'!C117)),1,0) + IF(UPPER(TRIM('Raw data'!M122))=UPPER(TRIM('Real results'!C118)),1,0) + IF(UPPER(TRIM('Raw data'!M122))=UPPER(TRIM('Real results'!C119)),1,0) + IF(UPPER(TRIM('Raw data'!M122))=UPPER(TRIM('Real results'!C120)),1,0) + IF(UPPER(TRIM('Raw data'!M122))=UPPER(TRIM('Real results'!C121)),1,0) + IF(UPPER(TRIM('Raw data'!M122))=UPPER(TRIM('Real results'!C122)),1,0) + IF(UPPER(TRIM('Raw data'!M122))=UPPER(TRIM('Real results'!C123)),1,0) + IF(UPPER(TRIM('Raw data'!M122))=UPPER(TRIM('Real results'!C124)),1,0))&gt;=1,1,0),0),0)</f>
        <v>0</v>
      </c>
      <c r="O125" s="34">
        <f>IFERROR(IF('Raw data'!O122&lt;&gt;"",IF((IF(UPPER(TRIM('Raw data'!O122))=UPPER(TRIM('Real results'!C117)),1,0) + IF(UPPER(TRIM('Raw data'!O122))=UPPER(TRIM('Real results'!C118)),1,0) + IF(UPPER(TRIM('Raw data'!O122))=UPPER(TRIM('Real results'!C119)),1,0) + IF(UPPER(TRIM('Raw data'!O122))=UPPER(TRIM('Real results'!C120)),1,0) + IF(UPPER(TRIM('Raw data'!O122))=UPPER(TRIM('Real results'!C121)),1,0) + IF(UPPER(TRIM('Raw data'!O122))=UPPER(TRIM('Real results'!C122)),1,0) + IF(UPPER(TRIM('Raw data'!O122))=UPPER(TRIM('Real results'!C123)),1,0) + IF(UPPER(TRIM('Raw data'!O122))=UPPER(TRIM('Real results'!C124)),1,0))&gt;=1,1,0),0),0)</f>
        <v>0</v>
      </c>
      <c r="Q125" s="34">
        <f>IFERROR(IF('Raw data'!Q122&lt;&gt;"",IF((IF(UPPER(TRIM('Raw data'!Q122))=UPPER(TRIM('Real results'!C117)),1,0) + IF(UPPER(TRIM('Raw data'!Q122))=UPPER(TRIM('Real results'!C118)),1,0) + IF(UPPER(TRIM('Raw data'!Q122))=UPPER(TRIM('Real results'!C119)),1,0) + IF(UPPER(TRIM('Raw data'!Q122))=UPPER(TRIM('Real results'!C120)),1,0) + IF(UPPER(TRIM('Raw data'!Q122))=UPPER(TRIM('Real results'!C121)),1,0) + IF(UPPER(TRIM('Raw data'!Q122))=UPPER(TRIM('Real results'!C122)),1,0) + IF(UPPER(TRIM('Raw data'!Q122))=UPPER(TRIM('Real results'!C123)),1,0) + IF(UPPER(TRIM('Raw data'!Q122))=UPPER(TRIM('Real results'!C124)),1,0))&gt;=1,1,0),0),0)</f>
        <v>0</v>
      </c>
      <c r="S125" s="34">
        <f>IFERROR(IF('Raw data'!S122&lt;&gt;"",IF((IF(UPPER(TRIM('Raw data'!S122))=UPPER(TRIM('Real results'!C117)),1,0) + IF(UPPER(TRIM('Raw data'!S122))=UPPER(TRIM('Real results'!C118)),1,0) + IF(UPPER(TRIM('Raw data'!S122))=UPPER(TRIM('Real results'!C119)),1,0) + IF(UPPER(TRIM('Raw data'!S122))=UPPER(TRIM('Real results'!C120)),1,0) + IF(UPPER(TRIM('Raw data'!S122))=UPPER(TRIM('Real results'!C121)),1,0) + IF(UPPER(TRIM('Raw data'!S122))=UPPER(TRIM('Real results'!C122)),1,0) + IF(UPPER(TRIM('Raw data'!S122))=UPPER(TRIM('Real results'!C123)),1,0) + IF(UPPER(TRIM('Raw data'!S122))=UPPER(TRIM('Real results'!C124)),1,0))&gt;=1,1,0),0),0)</f>
        <v>0</v>
      </c>
      <c r="U125" s="34">
        <f>IFERROR(IF('Raw data'!U122&lt;&gt;"",IF((IF(UPPER(TRIM('Raw data'!U122))=UPPER(TRIM('Real results'!C117)),1,0) + IF(UPPER(TRIM('Raw data'!U122))=UPPER(TRIM('Real results'!C118)),1,0) + IF(UPPER(TRIM('Raw data'!U122))=UPPER(TRIM('Real results'!C119)),1,0) + IF(UPPER(TRIM('Raw data'!U122))=UPPER(TRIM('Real results'!C120)),1,0) + IF(UPPER(TRIM('Raw data'!U122))=UPPER(TRIM('Real results'!C121)),1,0) + IF(UPPER(TRIM('Raw data'!U122))=UPPER(TRIM('Real results'!C122)),1,0) + IF(UPPER(TRIM('Raw data'!U122))=UPPER(TRIM('Real results'!C123)),1,0) + IF(UPPER(TRIM('Raw data'!U122))=UPPER(TRIM('Real results'!C124)),1,0))&gt;=1,1,0),0),0)</f>
        <v>0</v>
      </c>
      <c r="W125" s="34">
        <f>IFERROR(IF('Raw data'!W122&lt;&gt;"",IF((IF(UPPER(TRIM('Raw data'!W122))=UPPER(TRIM('Real results'!C117)),1,0) + IF(UPPER(TRIM('Raw data'!W122))=UPPER(TRIM('Real results'!C118)),1,0) + IF(UPPER(TRIM('Raw data'!W122))=UPPER(TRIM('Real results'!C119)),1,0) + IF(UPPER(TRIM('Raw data'!W122))=UPPER(TRIM('Real results'!C120)),1,0) + IF(UPPER(TRIM('Raw data'!W122))=UPPER(TRIM('Real results'!C121)),1,0) + IF(UPPER(TRIM('Raw data'!W122))=UPPER(TRIM('Real results'!C122)),1,0) + IF(UPPER(TRIM('Raw data'!W122))=UPPER(TRIM('Real results'!C123)),1,0) + IF(UPPER(TRIM('Raw data'!W122))=UPPER(TRIM('Real results'!C124)),1,0))&gt;=1,1,0),0),0)</f>
        <v>0</v>
      </c>
      <c r="Y125" s="34">
        <f>IFERROR(IF('Raw data'!Y122&lt;&gt;"",IF((IF(UPPER(TRIM('Raw data'!Y122))=UPPER(TRIM('Real results'!C117)),1,0) + IF(UPPER(TRIM('Raw data'!Y122))=UPPER(TRIM('Real results'!C118)),1,0) + IF(UPPER(TRIM('Raw data'!Y122))=UPPER(TRIM('Real results'!C119)),1,0) + IF(UPPER(TRIM('Raw data'!Y122))=UPPER(TRIM('Real results'!C120)),1,0) + IF(UPPER(TRIM('Raw data'!Y122))=UPPER(TRIM('Real results'!C121)),1,0) + IF(UPPER(TRIM('Raw data'!Y122))=UPPER(TRIM('Real results'!C122)),1,0) + IF(UPPER(TRIM('Raw data'!Y122))=UPPER(TRIM('Real results'!C123)),1,0) + IF(UPPER(TRIM('Raw data'!Y122))=UPPER(TRIM('Real results'!C124)),1,0))&gt;=1,1,0),0),0)</f>
        <v>0</v>
      </c>
      <c r="AA125" s="34">
        <f>IFERROR(IF('Raw data'!AA122&lt;&gt;"",IF((IF(UPPER(TRIM('Raw data'!AA122))=UPPER(TRIM('Real results'!C117)),1,0) + IF(UPPER(TRIM('Raw data'!AA122))=UPPER(TRIM('Real results'!C118)),1,0) + IF(UPPER(TRIM('Raw data'!AA122))=UPPER(TRIM('Real results'!C119)),1,0) + IF(UPPER(TRIM('Raw data'!AA122))=UPPER(TRIM('Real results'!C120)),1,0) + IF(UPPER(TRIM('Raw data'!AA122))=UPPER(TRIM('Real results'!C121)),1,0) + IF(UPPER(TRIM('Raw data'!AA122))=UPPER(TRIM('Real results'!C122)),1,0) + IF(UPPER(TRIM('Raw data'!AA122))=UPPER(TRIM('Real results'!C123)),1,0) + IF(UPPER(TRIM('Raw data'!AA122))=UPPER(TRIM('Real results'!C124)),1,0))&gt;=1,1,0),0),0)</f>
        <v>0</v>
      </c>
      <c r="AC125" s="34">
        <f>IFERROR(IF('Raw data'!AC122&lt;&gt;"",IF((IF(UPPER(TRIM('Raw data'!AC122))=UPPER(TRIM('Real results'!C117)),1,0) + IF(UPPER(TRIM('Raw data'!AC122))=UPPER(TRIM('Real results'!C118)),1,0) + IF(UPPER(TRIM('Raw data'!AC122))=UPPER(TRIM('Real results'!C119)),1,0) + IF(UPPER(TRIM('Raw data'!AC122))=UPPER(TRIM('Real results'!C120)),1,0) + IF(UPPER(TRIM('Raw data'!AC122))=UPPER(TRIM('Real results'!C121)),1,0) + IF(UPPER(TRIM('Raw data'!AC122))=UPPER(TRIM('Real results'!C122)),1,0) + IF(UPPER(TRIM('Raw data'!AC122))=UPPER(TRIM('Real results'!C123)),1,0) + IF(UPPER(TRIM('Raw data'!AC122))=UPPER(TRIM('Real results'!C124)),1,0))&gt;=1,1,0),0),0)</f>
        <v>0</v>
      </c>
      <c r="AE125" s="34">
        <f>IFERROR(IF('Raw data'!AE122&lt;&gt;"",IF((IF(UPPER(TRIM('Raw data'!AE122))=UPPER(TRIM('Real results'!C117)),1,0) + IF(UPPER(TRIM('Raw data'!AE122))=UPPER(TRIM('Real results'!C118)),1,0) + IF(UPPER(TRIM('Raw data'!AE122))=UPPER(TRIM('Real results'!C119)),1,0) + IF(UPPER(TRIM('Raw data'!AE122))=UPPER(TRIM('Real results'!C120)),1,0) + IF(UPPER(TRIM('Raw data'!AE122))=UPPER(TRIM('Real results'!C121)),1,0) + IF(UPPER(TRIM('Raw data'!AE122))=UPPER(TRIM('Real results'!C122)),1,0) + IF(UPPER(TRIM('Raw data'!AE122))=UPPER(TRIM('Real results'!C123)),1,0) + IF(UPPER(TRIM('Raw data'!AE122))=UPPER(TRIM('Real results'!C124)),1,0))&gt;=1,1,0),0),0)</f>
        <v>0</v>
      </c>
      <c r="AG125" s="34">
        <f>IFERROR(IF('Raw data'!AG122&lt;&gt;"",IF((IF(UPPER(TRIM('Raw data'!AG122))=UPPER(TRIM('Real results'!C117)),1,0) + IF(UPPER(TRIM('Raw data'!AG122))=UPPER(TRIM('Real results'!C118)),1,0) + IF(UPPER(TRIM('Raw data'!AG122))=UPPER(TRIM('Real results'!C119)),1,0) + IF(UPPER(TRIM('Raw data'!AG122))=UPPER(TRIM('Real results'!C120)),1,0) + IF(UPPER(TRIM('Raw data'!AG122))=UPPER(TRIM('Real results'!C121)),1,0) + IF(UPPER(TRIM('Raw data'!AG122))=UPPER(TRIM('Real results'!C122)),1,0) + IF(UPPER(TRIM('Raw data'!AG122))=UPPER(TRIM('Real results'!C123)),1,0) + IF(UPPER(TRIM('Raw data'!AG122))=UPPER(TRIM('Real results'!C124)),1,0))&gt;=1,1,0),0),0)</f>
        <v>0</v>
      </c>
      <c r="AI125" s="34">
        <f>IFERROR(IF('Raw data'!AI122&lt;&gt;"",IF((IF(UPPER(TRIM('Raw data'!AI122))=UPPER(TRIM('Real results'!C117)),1,0) + IF(UPPER(TRIM('Raw data'!AI122))=UPPER(TRIM('Real results'!C118)),1,0) + IF(UPPER(TRIM('Raw data'!AI122))=UPPER(TRIM('Real results'!C119)),1,0) + IF(UPPER(TRIM('Raw data'!AI122))=UPPER(TRIM('Real results'!C120)),1,0) + IF(UPPER(TRIM('Raw data'!AI122))=UPPER(TRIM('Real results'!C121)),1,0) + IF(UPPER(TRIM('Raw data'!AI122))=UPPER(TRIM('Real results'!C122)),1,0) + IF(UPPER(TRIM('Raw data'!AI122))=UPPER(TRIM('Real results'!C123)),1,0) + IF(UPPER(TRIM('Raw data'!AI122))=UPPER(TRIM('Real results'!C124)),1,0))&gt;=1,1,0),0),0)</f>
        <v>0</v>
      </c>
      <c r="AK125" s="34">
        <f>IFERROR(IF('Raw data'!AK122&lt;&gt;"",IF((IF(UPPER(TRIM('Raw data'!AK122))=UPPER(TRIM('Real results'!C117)),1,0) + IF(UPPER(TRIM('Raw data'!AK122))=UPPER(TRIM('Real results'!C118)),1,0) + IF(UPPER(TRIM('Raw data'!AK122))=UPPER(TRIM('Real results'!C119)),1,0) + IF(UPPER(TRIM('Raw data'!AK122))=UPPER(TRIM('Real results'!C120)),1,0) + IF(UPPER(TRIM('Raw data'!AK122))=UPPER(TRIM('Real results'!C121)),1,0) + IF(UPPER(TRIM('Raw data'!AK122))=UPPER(TRIM('Real results'!C122)),1,0) + IF(UPPER(TRIM('Raw data'!AK122))=UPPER(TRIM('Real results'!C123)),1,0) + IF(UPPER(TRIM('Raw data'!AK122))=UPPER(TRIM('Real results'!C124)),1,0))&gt;=1,1,0),0),0)</f>
        <v>0</v>
      </c>
      <c r="AM125" s="34">
        <f>IFERROR(IF('Raw data'!AM122&lt;&gt;"",IF((IF(UPPER(TRIM('Raw data'!AM122))=UPPER(TRIM('Real results'!C117)),1,0) + IF(UPPER(TRIM('Raw data'!AM122))=UPPER(TRIM('Real results'!C118)),1,0) + IF(UPPER(TRIM('Raw data'!AM122))=UPPER(TRIM('Real results'!C119)),1,0) + IF(UPPER(TRIM('Raw data'!AM122))=UPPER(TRIM('Real results'!C120)),1,0) + IF(UPPER(TRIM('Raw data'!AM122))=UPPER(TRIM('Real results'!C121)),1,0) + IF(UPPER(TRIM('Raw data'!AM122))=UPPER(TRIM('Real results'!C122)),1,0) + IF(UPPER(TRIM('Raw data'!AM122))=UPPER(TRIM('Real results'!C123)),1,0) + IF(UPPER(TRIM('Raw data'!AM122))=UPPER(TRIM('Real results'!C124)),1,0))&gt;=1,1,0),0),0)</f>
        <v>0</v>
      </c>
      <c r="AO125" s="34">
        <f>IFERROR(IF('Raw data'!AO122&lt;&gt;"",IF((IF(UPPER(TRIM('Raw data'!AO122))=UPPER(TRIM('Real results'!C117)),1,0) + IF(UPPER(TRIM('Raw data'!AO122))=UPPER(TRIM('Real results'!C118)),1,0) + IF(UPPER(TRIM('Raw data'!AO122))=UPPER(TRIM('Real results'!C119)),1,0) + IF(UPPER(TRIM('Raw data'!AO122))=UPPER(TRIM('Real results'!C120)),1,0) + IF(UPPER(TRIM('Raw data'!AO122))=UPPER(TRIM('Real results'!C121)),1,0) + IF(UPPER(TRIM('Raw data'!AO122))=UPPER(TRIM('Real results'!C122)),1,0) + IF(UPPER(TRIM('Raw data'!AO122))=UPPER(TRIM('Real results'!C123)),1,0) + IF(UPPER(TRIM('Raw data'!AO122))=UPPER(TRIM('Real results'!C124)),1,0))&gt;=1,1,0),0),0)</f>
        <v>0</v>
      </c>
      <c r="AQ125" s="34">
        <f>IFERROR(IF('Raw data'!AQ122&lt;&gt;"",IF((IF(UPPER(TRIM('Raw data'!AQ122))=UPPER(TRIM('Real results'!C117)),1,0) + IF(UPPER(TRIM('Raw data'!AQ122))=UPPER(TRIM('Real results'!C118)),1,0) + IF(UPPER(TRIM('Raw data'!AQ122))=UPPER(TRIM('Real results'!C119)),1,0) + IF(UPPER(TRIM('Raw data'!AQ122))=UPPER(TRIM('Real results'!C120)),1,0) + IF(UPPER(TRIM('Raw data'!AQ122))=UPPER(TRIM('Real results'!C121)),1,0) + IF(UPPER(TRIM('Raw data'!AQ122))=UPPER(TRIM('Real results'!C122)),1,0) + IF(UPPER(TRIM('Raw data'!AQ122))=UPPER(TRIM('Real results'!C123)),1,0) + IF(UPPER(TRIM('Raw data'!AQ122))=UPPER(TRIM('Real results'!C124)),1,0))&gt;=1,1,0),0),0)</f>
        <v>0</v>
      </c>
      <c r="AS125" s="34">
        <f>IFERROR(IF('Raw data'!AS122&lt;&gt;"",IF((IF(UPPER(TRIM('Raw data'!AS122))=UPPER(TRIM('Real results'!C117)),1,0) + IF(UPPER(TRIM('Raw data'!AS122))=UPPER(TRIM('Real results'!C118)),1,0) + IF(UPPER(TRIM('Raw data'!AS122))=UPPER(TRIM('Real results'!C119)),1,0) + IF(UPPER(TRIM('Raw data'!AS122))=UPPER(TRIM('Real results'!C120)),1,0) + IF(UPPER(TRIM('Raw data'!AS122))=UPPER(TRIM('Real results'!C121)),1,0) + IF(UPPER(TRIM('Raw data'!AS122))=UPPER(TRIM('Real results'!C122)),1,0) + IF(UPPER(TRIM('Raw data'!AS122))=UPPER(TRIM('Real results'!C123)),1,0) + IF(UPPER(TRIM('Raw data'!AS122))=UPPER(TRIM('Real results'!C124)),1,0))&gt;=1,1,0),0),0)</f>
        <v>0</v>
      </c>
      <c r="AU125" s="34">
        <f>IFERROR(IF('Raw data'!AU122&lt;&gt;"",IF((IF(UPPER(TRIM('Raw data'!AU122))=UPPER(TRIM('Real results'!C117)),1,0) + IF(UPPER(TRIM('Raw data'!AU122))=UPPER(TRIM('Real results'!C118)),1,0) + IF(UPPER(TRIM('Raw data'!AU122))=UPPER(TRIM('Real results'!C119)),1,0) + IF(UPPER(TRIM('Raw data'!AU122))=UPPER(TRIM('Real results'!C120)),1,0) + IF(UPPER(TRIM('Raw data'!AU122))=UPPER(TRIM('Real results'!C121)),1,0) + IF(UPPER(TRIM('Raw data'!AU122))=UPPER(TRIM('Real results'!C122)),1,0) + IF(UPPER(TRIM('Raw data'!AU122))=UPPER(TRIM('Real results'!C123)),1,0) + IF(UPPER(TRIM('Raw data'!AU122))=UPPER(TRIM('Real results'!C124)),1,0))&gt;=1,1,0),0),0)</f>
        <v>0</v>
      </c>
      <c r="AW125" s="34">
        <f>IFERROR(IF('Raw data'!AW122&lt;&gt;"",IF((IF(UPPER(TRIM('Raw data'!AW122))=UPPER(TRIM('Real results'!C117)),1,0) + IF(UPPER(TRIM('Raw data'!AW122))=UPPER(TRIM('Real results'!C118)),1,0) + IF(UPPER(TRIM('Raw data'!AW122))=UPPER(TRIM('Real results'!C119)),1,0) + IF(UPPER(TRIM('Raw data'!AW122))=UPPER(TRIM('Real results'!C120)),1,0) + IF(UPPER(TRIM('Raw data'!AW122))=UPPER(TRIM('Real results'!C121)),1,0) + IF(UPPER(TRIM('Raw data'!AW122))=UPPER(TRIM('Real results'!C122)),1,0) + IF(UPPER(TRIM('Raw data'!AW122))=UPPER(TRIM('Real results'!C123)),1,0) + IF(UPPER(TRIM('Raw data'!AW122))=UPPER(TRIM('Real results'!C124)),1,0))&gt;=1,1,0),0),0)</f>
        <v>0</v>
      </c>
      <c r="AY125" s="34">
        <f>IFERROR(IF('Raw data'!AY122&lt;&gt;"",IF((IF(UPPER(TRIM('Raw data'!AY122))=UPPER(TRIM('Real results'!C117)),1,0) + IF(UPPER(TRIM('Raw data'!AY122))=UPPER(TRIM('Real results'!C118)),1,0) + IF(UPPER(TRIM('Raw data'!AY122))=UPPER(TRIM('Real results'!C119)),1,0) + IF(UPPER(TRIM('Raw data'!AY122))=UPPER(TRIM('Real results'!C120)),1,0) + IF(UPPER(TRIM('Raw data'!AY122))=UPPER(TRIM('Real results'!C121)),1,0) + IF(UPPER(TRIM('Raw data'!AY122))=UPPER(TRIM('Real results'!C122)),1,0) + IF(UPPER(TRIM('Raw data'!AY122))=UPPER(TRIM('Real results'!C123)),1,0) + IF(UPPER(TRIM('Raw data'!AY122))=UPPER(TRIM('Real results'!C124)),1,0))&gt;=1,1,0),0),0)</f>
        <v>0</v>
      </c>
      <c r="BA125" s="34">
        <f>IFERROR(IF('Raw data'!BA122&lt;&gt;"",IF((IF(UPPER(TRIM('Raw data'!BA122))=UPPER(TRIM('Real results'!C117)),1,0) + IF(UPPER(TRIM('Raw data'!BA122))=UPPER(TRIM('Real results'!C118)),1,0) + IF(UPPER(TRIM('Raw data'!BA122))=UPPER(TRIM('Real results'!C119)),1,0) + IF(UPPER(TRIM('Raw data'!BA122))=UPPER(TRIM('Real results'!C120)),1,0) + IF(UPPER(TRIM('Raw data'!BA122))=UPPER(TRIM('Real results'!C121)),1,0) + IF(UPPER(TRIM('Raw data'!BA122))=UPPER(TRIM('Real results'!C122)),1,0) + IF(UPPER(TRIM('Raw data'!BA122))=UPPER(TRIM('Real results'!C123)),1,0) + IF(UPPER(TRIM('Raw data'!BA122))=UPPER(TRIM('Real results'!C124)),1,0))&gt;=1,1,0),0),0)</f>
        <v>0</v>
      </c>
      <c r="BC125" s="34">
        <f>IFERROR(IF('Raw data'!BC122&lt;&gt;"",IF((IF(UPPER(TRIM('Raw data'!BC122))=UPPER(TRIM('Real results'!C117)),1,0) + IF(UPPER(TRIM('Raw data'!BC122))=UPPER(TRIM('Real results'!C118)),1,0) + IF(UPPER(TRIM('Raw data'!BC122))=UPPER(TRIM('Real results'!C119)),1,0) + IF(UPPER(TRIM('Raw data'!BC122))=UPPER(TRIM('Real results'!C120)),1,0) + IF(UPPER(TRIM('Raw data'!BC122))=UPPER(TRIM('Real results'!C121)),1,0) + IF(UPPER(TRIM('Raw data'!BC122))=UPPER(TRIM('Real results'!C122)),1,0) + IF(UPPER(TRIM('Raw data'!BC122))=UPPER(TRIM('Real results'!C123)),1,0) + IF(UPPER(TRIM('Raw data'!BC122))=UPPER(TRIM('Real results'!C124)),1,0))&gt;=1,1,0),0),0)</f>
        <v>0</v>
      </c>
      <c r="BE125" s="34">
        <f>IFERROR(IF('Raw data'!BE122&lt;&gt;"",IF((IF(UPPER(TRIM('Raw data'!BE122))=UPPER(TRIM('Real results'!C117)),1,0) + IF(UPPER(TRIM('Raw data'!BE122))=UPPER(TRIM('Real results'!C118)),1,0) + IF(UPPER(TRIM('Raw data'!BE122))=UPPER(TRIM('Real results'!C119)),1,0) + IF(UPPER(TRIM('Raw data'!BE122))=UPPER(TRIM('Real results'!C120)),1,0) + IF(UPPER(TRIM('Raw data'!BE122))=UPPER(TRIM('Real results'!C121)),1,0) + IF(UPPER(TRIM('Raw data'!BE122))=UPPER(TRIM('Real results'!C122)),1,0) + IF(UPPER(TRIM('Raw data'!BE122))=UPPER(TRIM('Real results'!C123)),1,0) + IF(UPPER(TRIM('Raw data'!BE122))=UPPER(TRIM('Real results'!C124)),1,0))&gt;=1,1,0),0),0)</f>
        <v>0</v>
      </c>
      <c r="BG125" s="34">
        <f>IFERROR(IF('Raw data'!BG122&lt;&gt;"",IF((IF(UPPER(TRIM('Raw data'!BG122))=UPPER(TRIM('Real results'!C117)),1,0) + IF(UPPER(TRIM('Raw data'!BG122))=UPPER(TRIM('Real results'!C118)),1,0) + IF(UPPER(TRIM('Raw data'!BG122))=UPPER(TRIM('Real results'!C119)),1,0) + IF(UPPER(TRIM('Raw data'!BG122))=UPPER(TRIM('Real results'!C120)),1,0) + IF(UPPER(TRIM('Raw data'!BG122))=UPPER(TRIM('Real results'!C121)),1,0) + IF(UPPER(TRIM('Raw data'!BG122))=UPPER(TRIM('Real results'!C122)),1,0) + IF(UPPER(TRIM('Raw data'!BG122))=UPPER(TRIM('Real results'!C123)),1,0) + IF(UPPER(TRIM('Raw data'!BG122))=UPPER(TRIM('Real results'!C124)),1,0))&gt;=1,1,0),0),0)</f>
        <v>0</v>
      </c>
      <c r="BI125" s="34">
        <f>IFERROR(IF('Raw data'!BI122&lt;&gt;"",IF((IF(UPPER(TRIM('Raw data'!BI122))=UPPER(TRIM('Real results'!C117)),1,0) + IF(UPPER(TRIM('Raw data'!BI122))=UPPER(TRIM('Real results'!C118)),1,0) + IF(UPPER(TRIM('Raw data'!BI122))=UPPER(TRIM('Real results'!C119)),1,0) + IF(UPPER(TRIM('Raw data'!BI122))=UPPER(TRIM('Real results'!C120)),1,0) + IF(UPPER(TRIM('Raw data'!BI122))=UPPER(TRIM('Real results'!C121)),1,0) + IF(UPPER(TRIM('Raw data'!BI122))=UPPER(TRIM('Real results'!C122)),1,0) + IF(UPPER(TRIM('Raw data'!BI122))=UPPER(TRIM('Real results'!C123)),1,0) + IF(UPPER(TRIM('Raw data'!BI122))=UPPER(TRIM('Real results'!C124)),1,0))&gt;=1,1,0),0),0)</f>
        <v>0</v>
      </c>
    </row>
    <row r="126" ht="18.0" customHeight="1">
      <c r="B126" s="12" t="s">
        <v>382</v>
      </c>
      <c r="C126" s="34">
        <f>IFERROR(IF('Raw data'!C122&lt;&gt;"",IF((IF(UPPER(TRIM('Raw data'!C122))=UPPER(TRIM('Real results'!C117)),1,0) + IF(UPPER(TRIM('Raw data'!C122))=UPPER(TRIM('Real results'!C118)),1,0) + IF(UPPER(TRIM('Raw data'!C122))=UPPER(TRIM('Real results'!C119)),1,0) + IF(UPPER(TRIM('Raw data'!C122))=UPPER(TRIM('Real results'!C120)),1,0) + IF(UPPER(TRIM('Raw data'!C122))=UPPER(TRIM('Real results'!C121)),1,0) + IF(UPPER(TRIM('Raw data'!C122))=UPPER(TRIM('Real results'!C122)),1,0) + IF(UPPER(TRIM('Raw data'!C122))=UPPER(TRIM('Real results'!C123)),1,0) + IF(UPPER(TRIM('Raw data'!C122))=UPPER(TRIM('Real results'!C124)),1,0))&gt;=1,1,0),0),0)</f>
        <v>0</v>
      </c>
      <c r="E126" s="34">
        <f>IFERROR(IF('Raw data'!E123&lt;&gt;"",IF((IF(UPPER(TRIM('Raw data'!E123))=UPPER(TRIM('Real results'!C117)),1,0) + IF(UPPER(TRIM('Raw data'!E123))=UPPER(TRIM('Real results'!C118)),1,0) + IF(UPPER(TRIM('Raw data'!E123))=UPPER(TRIM('Real results'!C119)),1,0) + IF(UPPER(TRIM('Raw data'!E123))=UPPER(TRIM('Real results'!C120)),1,0) + IF(UPPER(TRIM('Raw data'!E123))=UPPER(TRIM('Real results'!C121)),1,0) + IF(UPPER(TRIM('Raw data'!E123))=UPPER(TRIM('Real results'!C122)),1,0) + IF(UPPER(TRIM('Raw data'!E123))=UPPER(TRIM('Real results'!C123)),1,0) + IF(UPPER(TRIM('Raw data'!E123))=UPPER(TRIM('Real results'!C124)),1,0))&gt;=1,1,0),0),0)</f>
        <v>0</v>
      </c>
      <c r="G126" s="34">
        <f>IFERROR(IF('Raw data'!G123&lt;&gt;"",IF((IF(UPPER(TRIM('Raw data'!G123))=UPPER(TRIM('Real results'!C117)),1,0) + IF(UPPER(TRIM('Raw data'!G123))=UPPER(TRIM('Real results'!C118)),1,0) + IF(UPPER(TRIM('Raw data'!G123))=UPPER(TRIM('Real results'!C119)),1,0) + IF(UPPER(TRIM('Raw data'!G123))=UPPER(TRIM('Real results'!C120)),1,0) + IF(UPPER(TRIM('Raw data'!G123))=UPPER(TRIM('Real results'!C121)),1,0) + IF(UPPER(TRIM('Raw data'!G123))=UPPER(TRIM('Real results'!C122)),1,0) + IF(UPPER(TRIM('Raw data'!G123))=UPPER(TRIM('Real results'!C123)),1,0) + IF(UPPER(TRIM('Raw data'!G123))=UPPER(TRIM('Real results'!C124)),1,0))&gt;=1,1,0),0),0)</f>
        <v>0</v>
      </c>
      <c r="I126" s="34">
        <f>IFERROR(IF('Raw data'!I123&lt;&gt;"",IF((IF(UPPER(TRIM('Raw data'!I123))=UPPER(TRIM('Real results'!C117)),1,0) + IF(UPPER(TRIM('Raw data'!I123))=UPPER(TRIM('Real results'!C118)),1,0) + IF(UPPER(TRIM('Raw data'!I123))=UPPER(TRIM('Real results'!C119)),1,0) + IF(UPPER(TRIM('Raw data'!I123))=UPPER(TRIM('Real results'!C120)),1,0) + IF(UPPER(TRIM('Raw data'!I123))=UPPER(TRIM('Real results'!C121)),1,0) + IF(UPPER(TRIM('Raw data'!I123))=UPPER(TRIM('Real results'!C122)),1,0) + IF(UPPER(TRIM('Raw data'!I123))=UPPER(TRIM('Real results'!C123)),1,0) + IF(UPPER(TRIM('Raw data'!I123))=UPPER(TRIM('Real results'!C124)),1,0))&gt;=1,1,0),0),0)</f>
        <v>0</v>
      </c>
      <c r="K126" s="34">
        <f>IFERROR(IF('Raw data'!K123&lt;&gt;"",IF((IF(UPPER(TRIM('Raw data'!K123))=UPPER(TRIM('Real results'!C117)),1,0) + IF(UPPER(TRIM('Raw data'!K123))=UPPER(TRIM('Real results'!C118)),1,0) + IF(UPPER(TRIM('Raw data'!K123))=UPPER(TRIM('Real results'!C119)),1,0) + IF(UPPER(TRIM('Raw data'!K123))=UPPER(TRIM('Real results'!C120)),1,0) + IF(UPPER(TRIM('Raw data'!K123))=UPPER(TRIM('Real results'!C121)),1,0) + IF(UPPER(TRIM('Raw data'!K123))=UPPER(TRIM('Real results'!C122)),1,0) + IF(UPPER(TRIM('Raw data'!K123))=UPPER(TRIM('Real results'!C123)),1,0) + IF(UPPER(TRIM('Raw data'!K123))=UPPER(TRIM('Real results'!C124)),1,0))&gt;=1,1,0),0),0)</f>
        <v>0</v>
      </c>
      <c r="M126" s="34">
        <f>IFERROR(IF('Raw data'!M123&lt;&gt;"",IF((IF(UPPER(TRIM('Raw data'!M123))=UPPER(TRIM('Real results'!C117)),1,0) + IF(UPPER(TRIM('Raw data'!M123))=UPPER(TRIM('Real results'!C118)),1,0) + IF(UPPER(TRIM('Raw data'!M123))=UPPER(TRIM('Real results'!C119)),1,0) + IF(UPPER(TRIM('Raw data'!M123))=UPPER(TRIM('Real results'!C120)),1,0) + IF(UPPER(TRIM('Raw data'!M123))=UPPER(TRIM('Real results'!C121)),1,0) + IF(UPPER(TRIM('Raw data'!M123))=UPPER(TRIM('Real results'!C122)),1,0) + IF(UPPER(TRIM('Raw data'!M123))=UPPER(TRIM('Real results'!C123)),1,0) + IF(UPPER(TRIM('Raw data'!M123))=UPPER(TRIM('Real results'!C124)),1,0))&gt;=1,1,0),0),0)</f>
        <v>0</v>
      </c>
      <c r="O126" s="34">
        <f>IFERROR(IF('Raw data'!O123&lt;&gt;"",IF((IF(UPPER(TRIM('Raw data'!O123))=UPPER(TRIM('Real results'!C117)),1,0) + IF(UPPER(TRIM('Raw data'!O123))=UPPER(TRIM('Real results'!C118)),1,0) + IF(UPPER(TRIM('Raw data'!O123))=UPPER(TRIM('Real results'!C119)),1,0) + IF(UPPER(TRIM('Raw data'!O123))=UPPER(TRIM('Real results'!C120)),1,0) + IF(UPPER(TRIM('Raw data'!O123))=UPPER(TRIM('Real results'!C121)),1,0) + IF(UPPER(TRIM('Raw data'!O123))=UPPER(TRIM('Real results'!C122)),1,0) + IF(UPPER(TRIM('Raw data'!O123))=UPPER(TRIM('Real results'!C123)),1,0) + IF(UPPER(TRIM('Raw data'!O123))=UPPER(TRIM('Real results'!C124)),1,0))&gt;=1,1,0),0),0)</f>
        <v>0</v>
      </c>
      <c r="Q126" s="34">
        <f>IFERROR(IF('Raw data'!Q123&lt;&gt;"",IF((IF(UPPER(TRIM('Raw data'!Q123))=UPPER(TRIM('Real results'!C117)),1,0) + IF(UPPER(TRIM('Raw data'!Q123))=UPPER(TRIM('Real results'!C118)),1,0) + IF(UPPER(TRIM('Raw data'!Q123))=UPPER(TRIM('Real results'!C119)),1,0) + IF(UPPER(TRIM('Raw data'!Q123))=UPPER(TRIM('Real results'!C120)),1,0) + IF(UPPER(TRIM('Raw data'!Q123))=UPPER(TRIM('Real results'!C121)),1,0) + IF(UPPER(TRIM('Raw data'!Q123))=UPPER(TRIM('Real results'!C122)),1,0) + IF(UPPER(TRIM('Raw data'!Q123))=UPPER(TRIM('Real results'!C123)),1,0) + IF(UPPER(TRIM('Raw data'!Q123))=UPPER(TRIM('Real results'!C124)),1,0))&gt;=1,1,0),0),0)</f>
        <v>0</v>
      </c>
      <c r="S126" s="34">
        <f>IFERROR(IF('Raw data'!S123&lt;&gt;"",IF((IF(UPPER(TRIM('Raw data'!S123))=UPPER(TRIM('Real results'!C117)),1,0) + IF(UPPER(TRIM('Raw data'!S123))=UPPER(TRIM('Real results'!C118)),1,0) + IF(UPPER(TRIM('Raw data'!S123))=UPPER(TRIM('Real results'!C119)),1,0) + IF(UPPER(TRIM('Raw data'!S123))=UPPER(TRIM('Real results'!C120)),1,0) + IF(UPPER(TRIM('Raw data'!S123))=UPPER(TRIM('Real results'!C121)),1,0) + IF(UPPER(TRIM('Raw data'!S123))=UPPER(TRIM('Real results'!C122)),1,0) + IF(UPPER(TRIM('Raw data'!S123))=UPPER(TRIM('Real results'!C123)),1,0) + IF(UPPER(TRIM('Raw data'!S123))=UPPER(TRIM('Real results'!C124)),1,0))&gt;=1,1,0),0),0)</f>
        <v>0</v>
      </c>
      <c r="U126" s="34">
        <f>IFERROR(IF('Raw data'!U123&lt;&gt;"",IF((IF(UPPER(TRIM('Raw data'!U123))=UPPER(TRIM('Real results'!C117)),1,0) + IF(UPPER(TRIM('Raw data'!U123))=UPPER(TRIM('Real results'!C118)),1,0) + IF(UPPER(TRIM('Raw data'!U123))=UPPER(TRIM('Real results'!C119)),1,0) + IF(UPPER(TRIM('Raw data'!U123))=UPPER(TRIM('Real results'!C120)),1,0) + IF(UPPER(TRIM('Raw data'!U123))=UPPER(TRIM('Real results'!C121)),1,0) + IF(UPPER(TRIM('Raw data'!U123))=UPPER(TRIM('Real results'!C122)),1,0) + IF(UPPER(TRIM('Raw data'!U123))=UPPER(TRIM('Real results'!C123)),1,0) + IF(UPPER(TRIM('Raw data'!U123))=UPPER(TRIM('Real results'!C124)),1,0))&gt;=1,1,0),0),0)</f>
        <v>0</v>
      </c>
      <c r="W126" s="34">
        <f>IFERROR(IF('Raw data'!W123&lt;&gt;"",IF((IF(UPPER(TRIM('Raw data'!W123))=UPPER(TRIM('Real results'!C117)),1,0) + IF(UPPER(TRIM('Raw data'!W123))=UPPER(TRIM('Real results'!C118)),1,0) + IF(UPPER(TRIM('Raw data'!W123))=UPPER(TRIM('Real results'!C119)),1,0) + IF(UPPER(TRIM('Raw data'!W123))=UPPER(TRIM('Real results'!C120)),1,0) + IF(UPPER(TRIM('Raw data'!W123))=UPPER(TRIM('Real results'!C121)),1,0) + IF(UPPER(TRIM('Raw data'!W123))=UPPER(TRIM('Real results'!C122)),1,0) + IF(UPPER(TRIM('Raw data'!W123))=UPPER(TRIM('Real results'!C123)),1,0) + IF(UPPER(TRIM('Raw data'!W123))=UPPER(TRIM('Real results'!C124)),1,0))&gt;=1,1,0),0),0)</f>
        <v>0</v>
      </c>
      <c r="Y126" s="34">
        <f>IFERROR(IF('Raw data'!Y123&lt;&gt;"",IF((IF(UPPER(TRIM('Raw data'!Y123))=UPPER(TRIM('Real results'!C117)),1,0) + IF(UPPER(TRIM('Raw data'!Y123))=UPPER(TRIM('Real results'!C118)),1,0) + IF(UPPER(TRIM('Raw data'!Y123))=UPPER(TRIM('Real results'!C119)),1,0) + IF(UPPER(TRIM('Raw data'!Y123))=UPPER(TRIM('Real results'!C120)),1,0) + IF(UPPER(TRIM('Raw data'!Y123))=UPPER(TRIM('Real results'!C121)),1,0) + IF(UPPER(TRIM('Raw data'!Y123))=UPPER(TRIM('Real results'!C122)),1,0) + IF(UPPER(TRIM('Raw data'!Y123))=UPPER(TRIM('Real results'!C123)),1,0) + IF(UPPER(TRIM('Raw data'!Y123))=UPPER(TRIM('Real results'!C124)),1,0))&gt;=1,1,0),0),0)</f>
        <v>0</v>
      </c>
      <c r="AA126" s="34">
        <f>IFERROR(IF('Raw data'!AA123&lt;&gt;"",IF((IF(UPPER(TRIM('Raw data'!AA123))=UPPER(TRIM('Real results'!C117)),1,0) + IF(UPPER(TRIM('Raw data'!AA123))=UPPER(TRIM('Real results'!C118)),1,0) + IF(UPPER(TRIM('Raw data'!AA123))=UPPER(TRIM('Real results'!C119)),1,0) + IF(UPPER(TRIM('Raw data'!AA123))=UPPER(TRIM('Real results'!C120)),1,0) + IF(UPPER(TRIM('Raw data'!AA123))=UPPER(TRIM('Real results'!C121)),1,0) + IF(UPPER(TRIM('Raw data'!AA123))=UPPER(TRIM('Real results'!C122)),1,0) + IF(UPPER(TRIM('Raw data'!AA123))=UPPER(TRIM('Real results'!C123)),1,0) + IF(UPPER(TRIM('Raw data'!AA123))=UPPER(TRIM('Real results'!C124)),1,0))&gt;=1,1,0),0),0)</f>
        <v>0</v>
      </c>
      <c r="AC126" s="34">
        <f>IFERROR(IF('Raw data'!AC123&lt;&gt;"",IF((IF(UPPER(TRIM('Raw data'!AC123))=UPPER(TRIM('Real results'!C117)),1,0) + IF(UPPER(TRIM('Raw data'!AC123))=UPPER(TRIM('Real results'!C118)),1,0) + IF(UPPER(TRIM('Raw data'!AC123))=UPPER(TRIM('Real results'!C119)),1,0) + IF(UPPER(TRIM('Raw data'!AC123))=UPPER(TRIM('Real results'!C120)),1,0) + IF(UPPER(TRIM('Raw data'!AC123))=UPPER(TRIM('Real results'!C121)),1,0) + IF(UPPER(TRIM('Raw data'!AC123))=UPPER(TRIM('Real results'!C122)),1,0) + IF(UPPER(TRIM('Raw data'!AC123))=UPPER(TRIM('Real results'!C123)),1,0) + IF(UPPER(TRIM('Raw data'!AC123))=UPPER(TRIM('Real results'!C124)),1,0))&gt;=1,1,0),0),0)</f>
        <v>0</v>
      </c>
      <c r="AE126" s="34">
        <f>IFERROR(IF('Raw data'!AE123&lt;&gt;"",IF((IF(UPPER(TRIM('Raw data'!AE123))=UPPER(TRIM('Real results'!C117)),1,0) + IF(UPPER(TRIM('Raw data'!AE123))=UPPER(TRIM('Real results'!C118)),1,0) + IF(UPPER(TRIM('Raw data'!AE123))=UPPER(TRIM('Real results'!C119)),1,0) + IF(UPPER(TRIM('Raw data'!AE123))=UPPER(TRIM('Real results'!C120)),1,0) + IF(UPPER(TRIM('Raw data'!AE123))=UPPER(TRIM('Real results'!C121)),1,0) + IF(UPPER(TRIM('Raw data'!AE123))=UPPER(TRIM('Real results'!C122)),1,0) + IF(UPPER(TRIM('Raw data'!AE123))=UPPER(TRIM('Real results'!C123)),1,0) + IF(UPPER(TRIM('Raw data'!AE123))=UPPER(TRIM('Real results'!C124)),1,0))&gt;=1,1,0),0),0)</f>
        <v>0</v>
      </c>
      <c r="AG126" s="34">
        <f>IFERROR(IF('Raw data'!AG123&lt;&gt;"",IF((IF(UPPER(TRIM('Raw data'!AG123))=UPPER(TRIM('Real results'!C117)),1,0) + IF(UPPER(TRIM('Raw data'!AG123))=UPPER(TRIM('Real results'!C118)),1,0) + IF(UPPER(TRIM('Raw data'!AG123))=UPPER(TRIM('Real results'!C119)),1,0) + IF(UPPER(TRIM('Raw data'!AG123))=UPPER(TRIM('Real results'!C120)),1,0) + IF(UPPER(TRIM('Raw data'!AG123))=UPPER(TRIM('Real results'!C121)),1,0) + IF(UPPER(TRIM('Raw data'!AG123))=UPPER(TRIM('Real results'!C122)),1,0) + IF(UPPER(TRIM('Raw data'!AG123))=UPPER(TRIM('Real results'!C123)),1,0) + IF(UPPER(TRIM('Raw data'!AG123))=UPPER(TRIM('Real results'!C124)),1,0))&gt;=1,1,0),0),0)</f>
        <v>0</v>
      </c>
      <c r="AI126" s="34">
        <f>IFERROR(IF('Raw data'!AI123&lt;&gt;"",IF((IF(UPPER(TRIM('Raw data'!AI123))=UPPER(TRIM('Real results'!C117)),1,0) + IF(UPPER(TRIM('Raw data'!AI123))=UPPER(TRIM('Real results'!C118)),1,0) + IF(UPPER(TRIM('Raw data'!AI123))=UPPER(TRIM('Real results'!C119)),1,0) + IF(UPPER(TRIM('Raw data'!AI123))=UPPER(TRIM('Real results'!C120)),1,0) + IF(UPPER(TRIM('Raw data'!AI123))=UPPER(TRIM('Real results'!C121)),1,0) + IF(UPPER(TRIM('Raw data'!AI123))=UPPER(TRIM('Real results'!C122)),1,0) + IF(UPPER(TRIM('Raw data'!AI123))=UPPER(TRIM('Real results'!C123)),1,0) + IF(UPPER(TRIM('Raw data'!AI123))=UPPER(TRIM('Real results'!C124)),1,0))&gt;=1,1,0),0),0)</f>
        <v>0</v>
      </c>
      <c r="AK126" s="34">
        <f>IFERROR(IF('Raw data'!AK123&lt;&gt;"",IF((IF(UPPER(TRIM('Raw data'!AK123))=UPPER(TRIM('Real results'!C117)),1,0) + IF(UPPER(TRIM('Raw data'!AK123))=UPPER(TRIM('Real results'!C118)),1,0) + IF(UPPER(TRIM('Raw data'!AK123))=UPPER(TRIM('Real results'!C119)),1,0) + IF(UPPER(TRIM('Raw data'!AK123))=UPPER(TRIM('Real results'!C120)),1,0) + IF(UPPER(TRIM('Raw data'!AK123))=UPPER(TRIM('Real results'!C121)),1,0) + IF(UPPER(TRIM('Raw data'!AK123))=UPPER(TRIM('Real results'!C122)),1,0) + IF(UPPER(TRIM('Raw data'!AK123))=UPPER(TRIM('Real results'!C123)),1,0) + IF(UPPER(TRIM('Raw data'!AK123))=UPPER(TRIM('Real results'!C124)),1,0))&gt;=1,1,0),0),0)</f>
        <v>0</v>
      </c>
      <c r="AM126" s="34">
        <f>IFERROR(IF('Raw data'!AM123&lt;&gt;"",IF((IF(UPPER(TRIM('Raw data'!AM123))=UPPER(TRIM('Real results'!C117)),1,0) + IF(UPPER(TRIM('Raw data'!AM123))=UPPER(TRIM('Real results'!C118)),1,0) + IF(UPPER(TRIM('Raw data'!AM123))=UPPER(TRIM('Real results'!C119)),1,0) + IF(UPPER(TRIM('Raw data'!AM123))=UPPER(TRIM('Real results'!C120)),1,0) + IF(UPPER(TRIM('Raw data'!AM123))=UPPER(TRIM('Real results'!C121)),1,0) + IF(UPPER(TRIM('Raw data'!AM123))=UPPER(TRIM('Real results'!C122)),1,0) + IF(UPPER(TRIM('Raw data'!AM123))=UPPER(TRIM('Real results'!C123)),1,0) + IF(UPPER(TRIM('Raw data'!AM123))=UPPER(TRIM('Real results'!C124)),1,0))&gt;=1,1,0),0),0)</f>
        <v>0</v>
      </c>
      <c r="AO126" s="34">
        <f>IFERROR(IF('Raw data'!AO123&lt;&gt;"",IF((IF(UPPER(TRIM('Raw data'!AO123))=UPPER(TRIM('Real results'!C117)),1,0) + IF(UPPER(TRIM('Raw data'!AO123))=UPPER(TRIM('Real results'!C118)),1,0) + IF(UPPER(TRIM('Raw data'!AO123))=UPPER(TRIM('Real results'!C119)),1,0) + IF(UPPER(TRIM('Raw data'!AO123))=UPPER(TRIM('Real results'!C120)),1,0) + IF(UPPER(TRIM('Raw data'!AO123))=UPPER(TRIM('Real results'!C121)),1,0) + IF(UPPER(TRIM('Raw data'!AO123))=UPPER(TRIM('Real results'!C122)),1,0) + IF(UPPER(TRIM('Raw data'!AO123))=UPPER(TRIM('Real results'!C123)),1,0) + IF(UPPER(TRIM('Raw data'!AO123))=UPPER(TRIM('Real results'!C124)),1,0))&gt;=1,1,0),0),0)</f>
        <v>0</v>
      </c>
      <c r="AQ126" s="34">
        <f>IFERROR(IF('Raw data'!AQ123&lt;&gt;"",IF((IF(UPPER(TRIM('Raw data'!AQ123))=UPPER(TRIM('Real results'!C117)),1,0) + IF(UPPER(TRIM('Raw data'!AQ123))=UPPER(TRIM('Real results'!C118)),1,0) + IF(UPPER(TRIM('Raw data'!AQ123))=UPPER(TRIM('Real results'!C119)),1,0) + IF(UPPER(TRIM('Raw data'!AQ123))=UPPER(TRIM('Real results'!C120)),1,0) + IF(UPPER(TRIM('Raw data'!AQ123))=UPPER(TRIM('Real results'!C121)),1,0) + IF(UPPER(TRIM('Raw data'!AQ123))=UPPER(TRIM('Real results'!C122)),1,0) + IF(UPPER(TRIM('Raw data'!AQ123))=UPPER(TRIM('Real results'!C123)),1,0) + IF(UPPER(TRIM('Raw data'!AQ123))=UPPER(TRIM('Real results'!C124)),1,0))&gt;=1,1,0),0),0)</f>
        <v>0</v>
      </c>
      <c r="AS126" s="34">
        <f>IFERROR(IF('Raw data'!AS123&lt;&gt;"",IF((IF(UPPER(TRIM('Raw data'!AS123))=UPPER(TRIM('Real results'!C117)),1,0) + IF(UPPER(TRIM('Raw data'!AS123))=UPPER(TRIM('Real results'!C118)),1,0) + IF(UPPER(TRIM('Raw data'!AS123))=UPPER(TRIM('Real results'!C119)),1,0) + IF(UPPER(TRIM('Raw data'!AS123))=UPPER(TRIM('Real results'!C120)),1,0) + IF(UPPER(TRIM('Raw data'!AS123))=UPPER(TRIM('Real results'!C121)),1,0) + IF(UPPER(TRIM('Raw data'!AS123))=UPPER(TRIM('Real results'!C122)),1,0) + IF(UPPER(TRIM('Raw data'!AS123))=UPPER(TRIM('Real results'!C123)),1,0) + IF(UPPER(TRIM('Raw data'!AS123))=UPPER(TRIM('Real results'!C124)),1,0))&gt;=1,1,0),0),0)</f>
        <v>0</v>
      </c>
      <c r="AU126" s="34">
        <f>IFERROR(IF('Raw data'!AU123&lt;&gt;"",IF((IF(UPPER(TRIM('Raw data'!AU123))=UPPER(TRIM('Real results'!C117)),1,0) + IF(UPPER(TRIM('Raw data'!AU123))=UPPER(TRIM('Real results'!C118)),1,0) + IF(UPPER(TRIM('Raw data'!AU123))=UPPER(TRIM('Real results'!C119)),1,0) + IF(UPPER(TRIM('Raw data'!AU123))=UPPER(TRIM('Real results'!C120)),1,0) + IF(UPPER(TRIM('Raw data'!AU123))=UPPER(TRIM('Real results'!C121)),1,0) + IF(UPPER(TRIM('Raw data'!AU123))=UPPER(TRIM('Real results'!C122)),1,0) + IF(UPPER(TRIM('Raw data'!AU123))=UPPER(TRIM('Real results'!C123)),1,0) + IF(UPPER(TRIM('Raw data'!AU123))=UPPER(TRIM('Real results'!C124)),1,0))&gt;=1,1,0),0),0)</f>
        <v>0</v>
      </c>
      <c r="AW126" s="34">
        <f>IFERROR(IF('Raw data'!AW123&lt;&gt;"",IF((IF(UPPER(TRIM('Raw data'!AW123))=UPPER(TRIM('Real results'!C117)),1,0) + IF(UPPER(TRIM('Raw data'!AW123))=UPPER(TRIM('Real results'!C118)),1,0) + IF(UPPER(TRIM('Raw data'!AW123))=UPPER(TRIM('Real results'!C119)),1,0) + IF(UPPER(TRIM('Raw data'!AW123))=UPPER(TRIM('Real results'!C120)),1,0) + IF(UPPER(TRIM('Raw data'!AW123))=UPPER(TRIM('Real results'!C121)),1,0) + IF(UPPER(TRIM('Raw data'!AW123))=UPPER(TRIM('Real results'!C122)),1,0) + IF(UPPER(TRIM('Raw data'!AW123))=UPPER(TRIM('Real results'!C123)),1,0) + IF(UPPER(TRIM('Raw data'!AW123))=UPPER(TRIM('Real results'!C124)),1,0))&gt;=1,1,0),0),0)</f>
        <v>0</v>
      </c>
      <c r="AY126" s="34">
        <f>IFERROR(IF('Raw data'!AY123&lt;&gt;"",IF((IF(UPPER(TRIM('Raw data'!AY123))=UPPER(TRIM('Real results'!C117)),1,0) + IF(UPPER(TRIM('Raw data'!AY123))=UPPER(TRIM('Real results'!C118)),1,0) + IF(UPPER(TRIM('Raw data'!AY123))=UPPER(TRIM('Real results'!C119)),1,0) + IF(UPPER(TRIM('Raw data'!AY123))=UPPER(TRIM('Real results'!C120)),1,0) + IF(UPPER(TRIM('Raw data'!AY123))=UPPER(TRIM('Real results'!C121)),1,0) + IF(UPPER(TRIM('Raw data'!AY123))=UPPER(TRIM('Real results'!C122)),1,0) + IF(UPPER(TRIM('Raw data'!AY123))=UPPER(TRIM('Real results'!C123)),1,0) + IF(UPPER(TRIM('Raw data'!AY123))=UPPER(TRIM('Real results'!C124)),1,0))&gt;=1,1,0),0),0)</f>
        <v>0</v>
      </c>
      <c r="BA126" s="34">
        <f>IFERROR(IF('Raw data'!BA123&lt;&gt;"",IF((IF(UPPER(TRIM('Raw data'!BA123))=UPPER(TRIM('Real results'!C117)),1,0) + IF(UPPER(TRIM('Raw data'!BA123))=UPPER(TRIM('Real results'!C118)),1,0) + IF(UPPER(TRIM('Raw data'!BA123))=UPPER(TRIM('Real results'!C119)),1,0) + IF(UPPER(TRIM('Raw data'!BA123))=UPPER(TRIM('Real results'!C120)),1,0) + IF(UPPER(TRIM('Raw data'!BA123))=UPPER(TRIM('Real results'!C121)),1,0) + IF(UPPER(TRIM('Raw data'!BA123))=UPPER(TRIM('Real results'!C122)),1,0) + IF(UPPER(TRIM('Raw data'!BA123))=UPPER(TRIM('Real results'!C123)),1,0) + IF(UPPER(TRIM('Raw data'!BA123))=UPPER(TRIM('Real results'!C124)),1,0))&gt;=1,1,0),0),0)</f>
        <v>0</v>
      </c>
      <c r="BC126" s="34">
        <f>IFERROR(IF('Raw data'!BC123&lt;&gt;"",IF((IF(UPPER(TRIM('Raw data'!BC123))=UPPER(TRIM('Real results'!C117)),1,0) + IF(UPPER(TRIM('Raw data'!BC123))=UPPER(TRIM('Real results'!C118)),1,0) + IF(UPPER(TRIM('Raw data'!BC123))=UPPER(TRIM('Real results'!C119)),1,0) + IF(UPPER(TRIM('Raw data'!BC123))=UPPER(TRIM('Real results'!C120)),1,0) + IF(UPPER(TRIM('Raw data'!BC123))=UPPER(TRIM('Real results'!C121)),1,0) + IF(UPPER(TRIM('Raw data'!BC123))=UPPER(TRIM('Real results'!C122)),1,0) + IF(UPPER(TRIM('Raw data'!BC123))=UPPER(TRIM('Real results'!C123)),1,0) + IF(UPPER(TRIM('Raw data'!BC123))=UPPER(TRIM('Real results'!C124)),1,0))&gt;=1,1,0),0),0)</f>
        <v>0</v>
      </c>
      <c r="BE126" s="34">
        <f>IFERROR(IF('Raw data'!BE123&lt;&gt;"",IF((IF(UPPER(TRIM('Raw data'!BE123))=UPPER(TRIM('Real results'!C117)),1,0) + IF(UPPER(TRIM('Raw data'!BE123))=UPPER(TRIM('Real results'!C118)),1,0) + IF(UPPER(TRIM('Raw data'!BE123))=UPPER(TRIM('Real results'!C119)),1,0) + IF(UPPER(TRIM('Raw data'!BE123))=UPPER(TRIM('Real results'!C120)),1,0) + IF(UPPER(TRIM('Raw data'!BE123))=UPPER(TRIM('Real results'!C121)),1,0) + IF(UPPER(TRIM('Raw data'!BE123))=UPPER(TRIM('Real results'!C122)),1,0) + IF(UPPER(TRIM('Raw data'!BE123))=UPPER(TRIM('Real results'!C123)),1,0) + IF(UPPER(TRIM('Raw data'!BE123))=UPPER(TRIM('Real results'!C124)),1,0))&gt;=1,1,0),0),0)</f>
        <v>0</v>
      </c>
      <c r="BG126" s="34">
        <f>IFERROR(IF('Raw data'!BG123&lt;&gt;"",IF((IF(UPPER(TRIM('Raw data'!BG123))=UPPER(TRIM('Real results'!C117)),1,0) + IF(UPPER(TRIM('Raw data'!BG123))=UPPER(TRIM('Real results'!C118)),1,0) + IF(UPPER(TRIM('Raw data'!BG123))=UPPER(TRIM('Real results'!C119)),1,0) + IF(UPPER(TRIM('Raw data'!BG123))=UPPER(TRIM('Real results'!C120)),1,0) + IF(UPPER(TRIM('Raw data'!BG123))=UPPER(TRIM('Real results'!C121)),1,0) + IF(UPPER(TRIM('Raw data'!BG123))=UPPER(TRIM('Real results'!C122)),1,0) + IF(UPPER(TRIM('Raw data'!BG123))=UPPER(TRIM('Real results'!C123)),1,0) + IF(UPPER(TRIM('Raw data'!BG123))=UPPER(TRIM('Real results'!C124)),1,0))&gt;=1,1,0),0),0)</f>
        <v>0</v>
      </c>
      <c r="BI126" s="34">
        <f>IFERROR(IF('Raw data'!BI123&lt;&gt;"",IF((IF(UPPER(TRIM('Raw data'!BI123))=UPPER(TRIM('Real results'!C117)),1,0) + IF(UPPER(TRIM('Raw data'!BI123))=UPPER(TRIM('Real results'!C118)),1,0) + IF(UPPER(TRIM('Raw data'!BI123))=UPPER(TRIM('Real results'!C119)),1,0) + IF(UPPER(TRIM('Raw data'!BI123))=UPPER(TRIM('Real results'!C120)),1,0) + IF(UPPER(TRIM('Raw data'!BI123))=UPPER(TRIM('Real results'!C121)),1,0) + IF(UPPER(TRIM('Raw data'!BI123))=UPPER(TRIM('Real results'!C122)),1,0) + IF(UPPER(TRIM('Raw data'!BI123))=UPPER(TRIM('Real results'!C123)),1,0) + IF(UPPER(TRIM('Raw data'!BI123))=UPPER(TRIM('Real results'!C124)),1,0))&gt;=1,1,0),0),0)</f>
        <v>0</v>
      </c>
    </row>
    <row r="127" ht="18.0" customHeight="1">
      <c r="B127" s="12" t="s">
        <v>383</v>
      </c>
      <c r="C127" s="34">
        <f>IFERROR(IF('Raw data'!C123&lt;&gt;"",IF((IF(UPPER(TRIM('Raw data'!C123))=UPPER(TRIM('Real results'!C117)),1,0) + IF(UPPER(TRIM('Raw data'!C123))=UPPER(TRIM('Real results'!C118)),1,0) + IF(UPPER(TRIM('Raw data'!C123))=UPPER(TRIM('Real results'!C119)),1,0) + IF(UPPER(TRIM('Raw data'!C123))=UPPER(TRIM('Real results'!C120)),1,0) + IF(UPPER(TRIM('Raw data'!C123))=UPPER(TRIM('Real results'!C121)),1,0) + IF(UPPER(TRIM('Raw data'!C123))=UPPER(TRIM('Real results'!C122)),1,0) + IF(UPPER(TRIM('Raw data'!C123))=UPPER(TRIM('Real results'!C123)),1,0) + IF(UPPER(TRIM('Raw data'!C123))=UPPER(TRIM('Real results'!C124)),1,0))&gt;=1,1,0),0),0)</f>
        <v>0</v>
      </c>
      <c r="E127" s="34">
        <f>IFERROR(IF('Raw data'!E124&lt;&gt;"",IF((IF(UPPER(TRIM('Raw data'!E124))=UPPER(TRIM('Real results'!C117)),1,0) + IF(UPPER(TRIM('Raw data'!E124))=UPPER(TRIM('Real results'!C118)),1,0) + IF(UPPER(TRIM('Raw data'!E124))=UPPER(TRIM('Real results'!C119)),1,0) + IF(UPPER(TRIM('Raw data'!E124))=UPPER(TRIM('Real results'!C120)),1,0) + IF(UPPER(TRIM('Raw data'!E124))=UPPER(TRIM('Real results'!C121)),1,0) + IF(UPPER(TRIM('Raw data'!E124))=UPPER(TRIM('Real results'!C122)),1,0) + IF(UPPER(TRIM('Raw data'!E124))=UPPER(TRIM('Real results'!C123)),1,0) + IF(UPPER(TRIM('Raw data'!E124))=UPPER(TRIM('Real results'!C124)),1,0))&gt;=1,1,0),0),0)</f>
        <v>0</v>
      </c>
      <c r="G127" s="34">
        <f>IFERROR(IF('Raw data'!G124&lt;&gt;"",IF((IF(UPPER(TRIM('Raw data'!G124))=UPPER(TRIM('Real results'!C117)),1,0) + IF(UPPER(TRIM('Raw data'!G124))=UPPER(TRIM('Real results'!C118)),1,0) + IF(UPPER(TRIM('Raw data'!G124))=UPPER(TRIM('Real results'!C119)),1,0) + IF(UPPER(TRIM('Raw data'!G124))=UPPER(TRIM('Real results'!C120)),1,0) + IF(UPPER(TRIM('Raw data'!G124))=UPPER(TRIM('Real results'!C121)),1,0) + IF(UPPER(TRIM('Raw data'!G124))=UPPER(TRIM('Real results'!C122)),1,0) + IF(UPPER(TRIM('Raw data'!G124))=UPPER(TRIM('Real results'!C123)),1,0) + IF(UPPER(TRIM('Raw data'!G124))=UPPER(TRIM('Real results'!C124)),1,0))&gt;=1,1,0),0),0)</f>
        <v>0</v>
      </c>
      <c r="I127" s="34">
        <f>IFERROR(IF('Raw data'!I124&lt;&gt;"",IF((IF(UPPER(TRIM('Raw data'!I124))=UPPER(TRIM('Real results'!C117)),1,0) + IF(UPPER(TRIM('Raw data'!I124))=UPPER(TRIM('Real results'!C118)),1,0) + IF(UPPER(TRIM('Raw data'!I124))=UPPER(TRIM('Real results'!C119)),1,0) + IF(UPPER(TRIM('Raw data'!I124))=UPPER(TRIM('Real results'!C120)),1,0) + IF(UPPER(TRIM('Raw data'!I124))=UPPER(TRIM('Real results'!C121)),1,0) + IF(UPPER(TRIM('Raw data'!I124))=UPPER(TRIM('Real results'!C122)),1,0) + IF(UPPER(TRIM('Raw data'!I124))=UPPER(TRIM('Real results'!C123)),1,0) + IF(UPPER(TRIM('Raw data'!I124))=UPPER(TRIM('Real results'!C124)),1,0))&gt;=1,1,0),0),0)</f>
        <v>0</v>
      </c>
      <c r="K127" s="34">
        <f>IFERROR(IF('Raw data'!K124&lt;&gt;"",IF((IF(UPPER(TRIM('Raw data'!K124))=UPPER(TRIM('Real results'!C117)),1,0) + IF(UPPER(TRIM('Raw data'!K124))=UPPER(TRIM('Real results'!C118)),1,0) + IF(UPPER(TRIM('Raw data'!K124))=UPPER(TRIM('Real results'!C119)),1,0) + IF(UPPER(TRIM('Raw data'!K124))=UPPER(TRIM('Real results'!C120)),1,0) + IF(UPPER(TRIM('Raw data'!K124))=UPPER(TRIM('Real results'!C121)),1,0) + IF(UPPER(TRIM('Raw data'!K124))=UPPER(TRIM('Real results'!C122)),1,0) + IF(UPPER(TRIM('Raw data'!K124))=UPPER(TRIM('Real results'!C123)),1,0) + IF(UPPER(TRIM('Raw data'!K124))=UPPER(TRIM('Real results'!C124)),1,0))&gt;=1,1,0),0),0)</f>
        <v>0</v>
      </c>
      <c r="M127" s="34">
        <f>IFERROR(IF('Raw data'!M124&lt;&gt;"",IF((IF(UPPER(TRIM('Raw data'!M124))=UPPER(TRIM('Real results'!C117)),1,0) + IF(UPPER(TRIM('Raw data'!M124))=UPPER(TRIM('Real results'!C118)),1,0) + IF(UPPER(TRIM('Raw data'!M124))=UPPER(TRIM('Real results'!C119)),1,0) + IF(UPPER(TRIM('Raw data'!M124))=UPPER(TRIM('Real results'!C120)),1,0) + IF(UPPER(TRIM('Raw data'!M124))=UPPER(TRIM('Real results'!C121)),1,0) + IF(UPPER(TRIM('Raw data'!M124))=UPPER(TRIM('Real results'!C122)),1,0) + IF(UPPER(TRIM('Raw data'!M124))=UPPER(TRIM('Real results'!C123)),1,0) + IF(UPPER(TRIM('Raw data'!M124))=UPPER(TRIM('Real results'!C124)),1,0))&gt;=1,1,0),0),0)</f>
        <v>0</v>
      </c>
      <c r="O127" s="34">
        <f>IFERROR(IF('Raw data'!O124&lt;&gt;"",IF((IF(UPPER(TRIM('Raw data'!O124))=UPPER(TRIM('Real results'!C117)),1,0) + IF(UPPER(TRIM('Raw data'!O124))=UPPER(TRIM('Real results'!C118)),1,0) + IF(UPPER(TRIM('Raw data'!O124))=UPPER(TRIM('Real results'!C119)),1,0) + IF(UPPER(TRIM('Raw data'!O124))=UPPER(TRIM('Real results'!C120)),1,0) + IF(UPPER(TRIM('Raw data'!O124))=UPPER(TRIM('Real results'!C121)),1,0) + IF(UPPER(TRIM('Raw data'!O124))=UPPER(TRIM('Real results'!C122)),1,0) + IF(UPPER(TRIM('Raw data'!O124))=UPPER(TRIM('Real results'!C123)),1,0) + IF(UPPER(TRIM('Raw data'!O124))=UPPER(TRIM('Real results'!C124)),1,0))&gt;=1,1,0),0),0)</f>
        <v>0</v>
      </c>
      <c r="Q127" s="34">
        <f>IFERROR(IF('Raw data'!Q124&lt;&gt;"",IF((IF(UPPER(TRIM('Raw data'!Q124))=UPPER(TRIM('Real results'!C117)),1,0) + IF(UPPER(TRIM('Raw data'!Q124))=UPPER(TRIM('Real results'!C118)),1,0) + IF(UPPER(TRIM('Raw data'!Q124))=UPPER(TRIM('Real results'!C119)),1,0) + IF(UPPER(TRIM('Raw data'!Q124))=UPPER(TRIM('Real results'!C120)),1,0) + IF(UPPER(TRIM('Raw data'!Q124))=UPPER(TRIM('Real results'!C121)),1,0) + IF(UPPER(TRIM('Raw data'!Q124))=UPPER(TRIM('Real results'!C122)),1,0) + IF(UPPER(TRIM('Raw data'!Q124))=UPPER(TRIM('Real results'!C123)),1,0) + IF(UPPER(TRIM('Raw data'!Q124))=UPPER(TRIM('Real results'!C124)),1,0))&gt;=1,1,0),0),0)</f>
        <v>0</v>
      </c>
      <c r="S127" s="34">
        <f>IFERROR(IF('Raw data'!S124&lt;&gt;"",IF((IF(UPPER(TRIM('Raw data'!S124))=UPPER(TRIM('Real results'!C117)),1,0) + IF(UPPER(TRIM('Raw data'!S124))=UPPER(TRIM('Real results'!C118)),1,0) + IF(UPPER(TRIM('Raw data'!S124))=UPPER(TRIM('Real results'!C119)),1,0) + IF(UPPER(TRIM('Raw data'!S124))=UPPER(TRIM('Real results'!C120)),1,0) + IF(UPPER(TRIM('Raw data'!S124))=UPPER(TRIM('Real results'!C121)),1,0) + IF(UPPER(TRIM('Raw data'!S124))=UPPER(TRIM('Real results'!C122)),1,0) + IF(UPPER(TRIM('Raw data'!S124))=UPPER(TRIM('Real results'!C123)),1,0) + IF(UPPER(TRIM('Raw data'!S124))=UPPER(TRIM('Real results'!C124)),1,0))&gt;=1,1,0),0),0)</f>
        <v>0</v>
      </c>
      <c r="U127" s="34">
        <f>IFERROR(IF('Raw data'!U124&lt;&gt;"",IF((IF(UPPER(TRIM('Raw data'!U124))=UPPER(TRIM('Real results'!C117)),1,0) + IF(UPPER(TRIM('Raw data'!U124))=UPPER(TRIM('Real results'!C118)),1,0) + IF(UPPER(TRIM('Raw data'!U124))=UPPER(TRIM('Real results'!C119)),1,0) + IF(UPPER(TRIM('Raw data'!U124))=UPPER(TRIM('Real results'!C120)),1,0) + IF(UPPER(TRIM('Raw data'!U124))=UPPER(TRIM('Real results'!C121)),1,0) + IF(UPPER(TRIM('Raw data'!U124))=UPPER(TRIM('Real results'!C122)),1,0) + IF(UPPER(TRIM('Raw data'!U124))=UPPER(TRIM('Real results'!C123)),1,0) + IF(UPPER(TRIM('Raw data'!U124))=UPPER(TRIM('Real results'!C124)),1,0))&gt;=1,1,0),0),0)</f>
        <v>0</v>
      </c>
      <c r="W127" s="34">
        <f>IFERROR(IF('Raw data'!W124&lt;&gt;"",IF((IF(UPPER(TRIM('Raw data'!W124))=UPPER(TRIM('Real results'!C117)),1,0) + IF(UPPER(TRIM('Raw data'!W124))=UPPER(TRIM('Real results'!C118)),1,0) + IF(UPPER(TRIM('Raw data'!W124))=UPPER(TRIM('Real results'!C119)),1,0) + IF(UPPER(TRIM('Raw data'!W124))=UPPER(TRIM('Real results'!C120)),1,0) + IF(UPPER(TRIM('Raw data'!W124))=UPPER(TRIM('Real results'!C121)),1,0) + IF(UPPER(TRIM('Raw data'!W124))=UPPER(TRIM('Real results'!C122)),1,0) + IF(UPPER(TRIM('Raw data'!W124))=UPPER(TRIM('Real results'!C123)),1,0) + IF(UPPER(TRIM('Raw data'!W124))=UPPER(TRIM('Real results'!C124)),1,0))&gt;=1,1,0),0),0)</f>
        <v>0</v>
      </c>
      <c r="Y127" s="34">
        <f>IFERROR(IF('Raw data'!Y124&lt;&gt;"",IF((IF(UPPER(TRIM('Raw data'!Y124))=UPPER(TRIM('Real results'!C117)),1,0) + IF(UPPER(TRIM('Raw data'!Y124))=UPPER(TRIM('Real results'!C118)),1,0) + IF(UPPER(TRIM('Raw data'!Y124))=UPPER(TRIM('Real results'!C119)),1,0) + IF(UPPER(TRIM('Raw data'!Y124))=UPPER(TRIM('Real results'!C120)),1,0) + IF(UPPER(TRIM('Raw data'!Y124))=UPPER(TRIM('Real results'!C121)),1,0) + IF(UPPER(TRIM('Raw data'!Y124))=UPPER(TRIM('Real results'!C122)),1,0) + IF(UPPER(TRIM('Raw data'!Y124))=UPPER(TRIM('Real results'!C123)),1,0) + IF(UPPER(TRIM('Raw data'!Y124))=UPPER(TRIM('Real results'!C124)),1,0))&gt;=1,1,0),0),0)</f>
        <v>0</v>
      </c>
      <c r="AA127" s="34">
        <f>IFERROR(IF('Raw data'!AA124&lt;&gt;"",IF((IF(UPPER(TRIM('Raw data'!AA124))=UPPER(TRIM('Real results'!C117)),1,0) + IF(UPPER(TRIM('Raw data'!AA124))=UPPER(TRIM('Real results'!C118)),1,0) + IF(UPPER(TRIM('Raw data'!AA124))=UPPER(TRIM('Real results'!C119)),1,0) + IF(UPPER(TRIM('Raw data'!AA124))=UPPER(TRIM('Real results'!C120)),1,0) + IF(UPPER(TRIM('Raw data'!AA124))=UPPER(TRIM('Real results'!C121)),1,0) + IF(UPPER(TRIM('Raw data'!AA124))=UPPER(TRIM('Real results'!C122)),1,0) + IF(UPPER(TRIM('Raw data'!AA124))=UPPER(TRIM('Real results'!C123)),1,0) + IF(UPPER(TRIM('Raw data'!AA124))=UPPER(TRIM('Real results'!C124)),1,0))&gt;=1,1,0),0),0)</f>
        <v>0</v>
      </c>
      <c r="AC127" s="34">
        <f>IFERROR(IF('Raw data'!AC124&lt;&gt;"",IF((IF(UPPER(TRIM('Raw data'!AC124))=UPPER(TRIM('Real results'!C117)),1,0) + IF(UPPER(TRIM('Raw data'!AC124))=UPPER(TRIM('Real results'!C118)),1,0) + IF(UPPER(TRIM('Raw data'!AC124))=UPPER(TRIM('Real results'!C119)),1,0) + IF(UPPER(TRIM('Raw data'!AC124))=UPPER(TRIM('Real results'!C120)),1,0) + IF(UPPER(TRIM('Raw data'!AC124))=UPPER(TRIM('Real results'!C121)),1,0) + IF(UPPER(TRIM('Raw data'!AC124))=UPPER(TRIM('Real results'!C122)),1,0) + IF(UPPER(TRIM('Raw data'!AC124))=UPPER(TRIM('Real results'!C123)),1,0) + IF(UPPER(TRIM('Raw data'!AC124))=UPPER(TRIM('Real results'!C124)),1,0))&gt;=1,1,0),0),0)</f>
        <v>0</v>
      </c>
      <c r="AE127" s="34">
        <f>IFERROR(IF('Raw data'!AE124&lt;&gt;"",IF((IF(UPPER(TRIM('Raw data'!AE124))=UPPER(TRIM('Real results'!C117)),1,0) + IF(UPPER(TRIM('Raw data'!AE124))=UPPER(TRIM('Real results'!C118)),1,0) + IF(UPPER(TRIM('Raw data'!AE124))=UPPER(TRIM('Real results'!C119)),1,0) + IF(UPPER(TRIM('Raw data'!AE124))=UPPER(TRIM('Real results'!C120)),1,0) + IF(UPPER(TRIM('Raw data'!AE124))=UPPER(TRIM('Real results'!C121)),1,0) + IF(UPPER(TRIM('Raw data'!AE124))=UPPER(TRIM('Real results'!C122)),1,0) + IF(UPPER(TRIM('Raw data'!AE124))=UPPER(TRIM('Real results'!C123)),1,0) + IF(UPPER(TRIM('Raw data'!AE124))=UPPER(TRIM('Real results'!C124)),1,0))&gt;=1,1,0),0),0)</f>
        <v>0</v>
      </c>
      <c r="AG127" s="34">
        <f>IFERROR(IF('Raw data'!AG124&lt;&gt;"",IF((IF(UPPER(TRIM('Raw data'!AG124))=UPPER(TRIM('Real results'!C117)),1,0) + IF(UPPER(TRIM('Raw data'!AG124))=UPPER(TRIM('Real results'!C118)),1,0) + IF(UPPER(TRIM('Raw data'!AG124))=UPPER(TRIM('Real results'!C119)),1,0) + IF(UPPER(TRIM('Raw data'!AG124))=UPPER(TRIM('Real results'!C120)),1,0) + IF(UPPER(TRIM('Raw data'!AG124))=UPPER(TRIM('Real results'!C121)),1,0) + IF(UPPER(TRIM('Raw data'!AG124))=UPPER(TRIM('Real results'!C122)),1,0) + IF(UPPER(TRIM('Raw data'!AG124))=UPPER(TRIM('Real results'!C123)),1,0) + IF(UPPER(TRIM('Raw data'!AG124))=UPPER(TRIM('Real results'!C124)),1,0))&gt;=1,1,0),0),0)</f>
        <v>0</v>
      </c>
      <c r="AI127" s="34">
        <f>IFERROR(IF('Raw data'!AI124&lt;&gt;"",IF((IF(UPPER(TRIM('Raw data'!AI124))=UPPER(TRIM('Real results'!C117)),1,0) + IF(UPPER(TRIM('Raw data'!AI124))=UPPER(TRIM('Real results'!C118)),1,0) + IF(UPPER(TRIM('Raw data'!AI124))=UPPER(TRIM('Real results'!C119)),1,0) + IF(UPPER(TRIM('Raw data'!AI124))=UPPER(TRIM('Real results'!C120)),1,0) + IF(UPPER(TRIM('Raw data'!AI124))=UPPER(TRIM('Real results'!C121)),1,0) + IF(UPPER(TRIM('Raw data'!AI124))=UPPER(TRIM('Real results'!C122)),1,0) + IF(UPPER(TRIM('Raw data'!AI124))=UPPER(TRIM('Real results'!C123)),1,0) + IF(UPPER(TRIM('Raw data'!AI124))=UPPER(TRIM('Real results'!C124)),1,0))&gt;=1,1,0),0),0)</f>
        <v>0</v>
      </c>
      <c r="AK127" s="34">
        <f>IFERROR(IF('Raw data'!AK124&lt;&gt;"",IF((IF(UPPER(TRIM('Raw data'!AK124))=UPPER(TRIM('Real results'!C117)),1,0) + IF(UPPER(TRIM('Raw data'!AK124))=UPPER(TRIM('Real results'!C118)),1,0) + IF(UPPER(TRIM('Raw data'!AK124))=UPPER(TRIM('Real results'!C119)),1,0) + IF(UPPER(TRIM('Raw data'!AK124))=UPPER(TRIM('Real results'!C120)),1,0) + IF(UPPER(TRIM('Raw data'!AK124))=UPPER(TRIM('Real results'!C121)),1,0) + IF(UPPER(TRIM('Raw data'!AK124))=UPPER(TRIM('Real results'!C122)),1,0) + IF(UPPER(TRIM('Raw data'!AK124))=UPPER(TRIM('Real results'!C123)),1,0) + IF(UPPER(TRIM('Raw data'!AK124))=UPPER(TRIM('Real results'!C124)),1,0))&gt;=1,1,0),0),0)</f>
        <v>0</v>
      </c>
      <c r="AM127" s="34">
        <f>IFERROR(IF('Raw data'!AM124&lt;&gt;"",IF((IF(UPPER(TRIM('Raw data'!AM124))=UPPER(TRIM('Real results'!C117)),1,0) + IF(UPPER(TRIM('Raw data'!AM124))=UPPER(TRIM('Real results'!C118)),1,0) + IF(UPPER(TRIM('Raw data'!AM124))=UPPER(TRIM('Real results'!C119)),1,0) + IF(UPPER(TRIM('Raw data'!AM124))=UPPER(TRIM('Real results'!C120)),1,0) + IF(UPPER(TRIM('Raw data'!AM124))=UPPER(TRIM('Real results'!C121)),1,0) + IF(UPPER(TRIM('Raw data'!AM124))=UPPER(TRIM('Real results'!C122)),1,0) + IF(UPPER(TRIM('Raw data'!AM124))=UPPER(TRIM('Real results'!C123)),1,0) + IF(UPPER(TRIM('Raw data'!AM124))=UPPER(TRIM('Real results'!C124)),1,0))&gt;=1,1,0),0),0)</f>
        <v>0</v>
      </c>
      <c r="AO127" s="34">
        <f>IFERROR(IF('Raw data'!AO124&lt;&gt;"",IF((IF(UPPER(TRIM('Raw data'!AO124))=UPPER(TRIM('Real results'!C117)),1,0) + IF(UPPER(TRIM('Raw data'!AO124))=UPPER(TRIM('Real results'!C118)),1,0) + IF(UPPER(TRIM('Raw data'!AO124))=UPPER(TRIM('Real results'!C119)),1,0) + IF(UPPER(TRIM('Raw data'!AO124))=UPPER(TRIM('Real results'!C120)),1,0) + IF(UPPER(TRIM('Raw data'!AO124))=UPPER(TRIM('Real results'!C121)),1,0) + IF(UPPER(TRIM('Raw data'!AO124))=UPPER(TRIM('Real results'!C122)),1,0) + IF(UPPER(TRIM('Raw data'!AO124))=UPPER(TRIM('Real results'!C123)),1,0) + IF(UPPER(TRIM('Raw data'!AO124))=UPPER(TRIM('Real results'!C124)),1,0))&gt;=1,1,0),0),0)</f>
        <v>0</v>
      </c>
      <c r="AQ127" s="34">
        <f>IFERROR(IF('Raw data'!AQ124&lt;&gt;"",IF((IF(UPPER(TRIM('Raw data'!AQ124))=UPPER(TRIM('Real results'!C117)),1,0) + IF(UPPER(TRIM('Raw data'!AQ124))=UPPER(TRIM('Real results'!C118)),1,0) + IF(UPPER(TRIM('Raw data'!AQ124))=UPPER(TRIM('Real results'!C119)),1,0) + IF(UPPER(TRIM('Raw data'!AQ124))=UPPER(TRIM('Real results'!C120)),1,0) + IF(UPPER(TRIM('Raw data'!AQ124))=UPPER(TRIM('Real results'!C121)),1,0) + IF(UPPER(TRIM('Raw data'!AQ124))=UPPER(TRIM('Real results'!C122)),1,0) + IF(UPPER(TRIM('Raw data'!AQ124))=UPPER(TRIM('Real results'!C123)),1,0) + IF(UPPER(TRIM('Raw data'!AQ124))=UPPER(TRIM('Real results'!C124)),1,0))&gt;=1,1,0),0),0)</f>
        <v>0</v>
      </c>
      <c r="AS127" s="34">
        <f>IFERROR(IF('Raw data'!AS124&lt;&gt;"",IF((IF(UPPER(TRIM('Raw data'!AS124))=UPPER(TRIM('Real results'!C117)),1,0) + IF(UPPER(TRIM('Raw data'!AS124))=UPPER(TRIM('Real results'!C118)),1,0) + IF(UPPER(TRIM('Raw data'!AS124))=UPPER(TRIM('Real results'!C119)),1,0) + IF(UPPER(TRIM('Raw data'!AS124))=UPPER(TRIM('Real results'!C120)),1,0) + IF(UPPER(TRIM('Raw data'!AS124))=UPPER(TRIM('Real results'!C121)),1,0) + IF(UPPER(TRIM('Raw data'!AS124))=UPPER(TRIM('Real results'!C122)),1,0) + IF(UPPER(TRIM('Raw data'!AS124))=UPPER(TRIM('Real results'!C123)),1,0) + IF(UPPER(TRIM('Raw data'!AS124))=UPPER(TRIM('Real results'!C124)),1,0))&gt;=1,1,0),0),0)</f>
        <v>0</v>
      </c>
      <c r="AU127" s="34">
        <f>IFERROR(IF('Raw data'!AU124&lt;&gt;"",IF((IF(UPPER(TRIM('Raw data'!AU124))=UPPER(TRIM('Real results'!C117)),1,0) + IF(UPPER(TRIM('Raw data'!AU124))=UPPER(TRIM('Real results'!C118)),1,0) + IF(UPPER(TRIM('Raw data'!AU124))=UPPER(TRIM('Real results'!C119)),1,0) + IF(UPPER(TRIM('Raw data'!AU124))=UPPER(TRIM('Real results'!C120)),1,0) + IF(UPPER(TRIM('Raw data'!AU124))=UPPER(TRIM('Real results'!C121)),1,0) + IF(UPPER(TRIM('Raw data'!AU124))=UPPER(TRIM('Real results'!C122)),1,0) + IF(UPPER(TRIM('Raw data'!AU124))=UPPER(TRIM('Real results'!C123)),1,0) + IF(UPPER(TRIM('Raw data'!AU124))=UPPER(TRIM('Real results'!C124)),1,0))&gt;=1,1,0),0),0)</f>
        <v>0</v>
      </c>
      <c r="AW127" s="34">
        <f>IFERROR(IF('Raw data'!AW124&lt;&gt;"",IF((IF(UPPER(TRIM('Raw data'!AW124))=UPPER(TRIM('Real results'!C117)),1,0) + IF(UPPER(TRIM('Raw data'!AW124))=UPPER(TRIM('Real results'!C118)),1,0) + IF(UPPER(TRIM('Raw data'!AW124))=UPPER(TRIM('Real results'!C119)),1,0) + IF(UPPER(TRIM('Raw data'!AW124))=UPPER(TRIM('Real results'!C120)),1,0) + IF(UPPER(TRIM('Raw data'!AW124))=UPPER(TRIM('Real results'!C121)),1,0) + IF(UPPER(TRIM('Raw data'!AW124))=UPPER(TRIM('Real results'!C122)),1,0) + IF(UPPER(TRIM('Raw data'!AW124))=UPPER(TRIM('Real results'!C123)),1,0) + IF(UPPER(TRIM('Raw data'!AW124))=UPPER(TRIM('Real results'!C124)),1,0))&gt;=1,1,0),0),0)</f>
        <v>0</v>
      </c>
      <c r="AY127" s="34">
        <f>IFERROR(IF('Raw data'!AY124&lt;&gt;"",IF((IF(UPPER(TRIM('Raw data'!AY124))=UPPER(TRIM('Real results'!C117)),1,0) + IF(UPPER(TRIM('Raw data'!AY124))=UPPER(TRIM('Real results'!C118)),1,0) + IF(UPPER(TRIM('Raw data'!AY124))=UPPER(TRIM('Real results'!C119)),1,0) + IF(UPPER(TRIM('Raw data'!AY124))=UPPER(TRIM('Real results'!C120)),1,0) + IF(UPPER(TRIM('Raw data'!AY124))=UPPER(TRIM('Real results'!C121)),1,0) + IF(UPPER(TRIM('Raw data'!AY124))=UPPER(TRIM('Real results'!C122)),1,0) + IF(UPPER(TRIM('Raw data'!AY124))=UPPER(TRIM('Real results'!C123)),1,0) + IF(UPPER(TRIM('Raw data'!AY124))=UPPER(TRIM('Real results'!C124)),1,0))&gt;=1,1,0),0),0)</f>
        <v>0</v>
      </c>
      <c r="BA127" s="34">
        <f>IFERROR(IF('Raw data'!BA124&lt;&gt;"",IF((IF(UPPER(TRIM('Raw data'!BA124))=UPPER(TRIM('Real results'!C117)),1,0) + IF(UPPER(TRIM('Raw data'!BA124))=UPPER(TRIM('Real results'!C118)),1,0) + IF(UPPER(TRIM('Raw data'!BA124))=UPPER(TRIM('Real results'!C119)),1,0) + IF(UPPER(TRIM('Raw data'!BA124))=UPPER(TRIM('Real results'!C120)),1,0) + IF(UPPER(TRIM('Raw data'!BA124))=UPPER(TRIM('Real results'!C121)),1,0) + IF(UPPER(TRIM('Raw data'!BA124))=UPPER(TRIM('Real results'!C122)),1,0) + IF(UPPER(TRIM('Raw data'!BA124))=UPPER(TRIM('Real results'!C123)),1,0) + IF(UPPER(TRIM('Raw data'!BA124))=UPPER(TRIM('Real results'!C124)),1,0))&gt;=1,1,0),0),0)</f>
        <v>0</v>
      </c>
      <c r="BC127" s="34">
        <f>IFERROR(IF('Raw data'!BC124&lt;&gt;"",IF((IF(UPPER(TRIM('Raw data'!BC124))=UPPER(TRIM('Real results'!C117)),1,0) + IF(UPPER(TRIM('Raw data'!BC124))=UPPER(TRIM('Real results'!C118)),1,0) + IF(UPPER(TRIM('Raw data'!BC124))=UPPER(TRIM('Real results'!C119)),1,0) + IF(UPPER(TRIM('Raw data'!BC124))=UPPER(TRIM('Real results'!C120)),1,0) + IF(UPPER(TRIM('Raw data'!BC124))=UPPER(TRIM('Real results'!C121)),1,0) + IF(UPPER(TRIM('Raw data'!BC124))=UPPER(TRIM('Real results'!C122)),1,0) + IF(UPPER(TRIM('Raw data'!BC124))=UPPER(TRIM('Real results'!C123)),1,0) + IF(UPPER(TRIM('Raw data'!BC124))=UPPER(TRIM('Real results'!C124)),1,0))&gt;=1,1,0),0),0)</f>
        <v>0</v>
      </c>
      <c r="BE127" s="34">
        <f>IFERROR(IF('Raw data'!BE124&lt;&gt;"",IF((IF(UPPER(TRIM('Raw data'!BE124))=UPPER(TRIM('Real results'!C117)),1,0) + IF(UPPER(TRIM('Raw data'!BE124))=UPPER(TRIM('Real results'!C118)),1,0) + IF(UPPER(TRIM('Raw data'!BE124))=UPPER(TRIM('Real results'!C119)),1,0) + IF(UPPER(TRIM('Raw data'!BE124))=UPPER(TRIM('Real results'!C120)),1,0) + IF(UPPER(TRIM('Raw data'!BE124))=UPPER(TRIM('Real results'!C121)),1,0) + IF(UPPER(TRIM('Raw data'!BE124))=UPPER(TRIM('Real results'!C122)),1,0) + IF(UPPER(TRIM('Raw data'!BE124))=UPPER(TRIM('Real results'!C123)),1,0) + IF(UPPER(TRIM('Raw data'!BE124))=UPPER(TRIM('Real results'!C124)),1,0))&gt;=1,1,0),0),0)</f>
        <v>0</v>
      </c>
      <c r="BG127" s="34">
        <f>IFERROR(IF('Raw data'!BG124&lt;&gt;"",IF((IF(UPPER(TRIM('Raw data'!BG124))=UPPER(TRIM('Real results'!C117)),1,0) + IF(UPPER(TRIM('Raw data'!BG124))=UPPER(TRIM('Real results'!C118)),1,0) + IF(UPPER(TRIM('Raw data'!BG124))=UPPER(TRIM('Real results'!C119)),1,0) + IF(UPPER(TRIM('Raw data'!BG124))=UPPER(TRIM('Real results'!C120)),1,0) + IF(UPPER(TRIM('Raw data'!BG124))=UPPER(TRIM('Real results'!C121)),1,0) + IF(UPPER(TRIM('Raw data'!BG124))=UPPER(TRIM('Real results'!C122)),1,0) + IF(UPPER(TRIM('Raw data'!BG124))=UPPER(TRIM('Real results'!C123)),1,0) + IF(UPPER(TRIM('Raw data'!BG124))=UPPER(TRIM('Real results'!C124)),1,0))&gt;=1,1,0),0),0)</f>
        <v>0</v>
      </c>
      <c r="BI127" s="34">
        <f>IFERROR(IF('Raw data'!BI124&lt;&gt;"",IF((IF(UPPER(TRIM('Raw data'!BI124))=UPPER(TRIM('Real results'!C117)),1,0) + IF(UPPER(TRIM('Raw data'!BI124))=UPPER(TRIM('Real results'!C118)),1,0) + IF(UPPER(TRIM('Raw data'!BI124))=UPPER(TRIM('Real results'!C119)),1,0) + IF(UPPER(TRIM('Raw data'!BI124))=UPPER(TRIM('Real results'!C120)),1,0) + IF(UPPER(TRIM('Raw data'!BI124))=UPPER(TRIM('Real results'!C121)),1,0) + IF(UPPER(TRIM('Raw data'!BI124))=UPPER(TRIM('Real results'!C122)),1,0) + IF(UPPER(TRIM('Raw data'!BI124))=UPPER(TRIM('Real results'!C123)),1,0) + IF(UPPER(TRIM('Raw data'!BI124))=UPPER(TRIM('Real results'!C124)),1,0))&gt;=1,1,0),0),0)</f>
        <v>0</v>
      </c>
    </row>
    <row r="128" ht="21.75" customHeight="1">
      <c r="B128" s="35" t="s">
        <v>384</v>
      </c>
      <c r="C128" s="36">
        <f>SUM(C120:C127)</f>
        <v>0</v>
      </c>
      <c r="E128" s="36">
        <f>SUM(E120:E127)</f>
        <v>0</v>
      </c>
      <c r="G128" s="36">
        <f>SUM(G120:G127)</f>
        <v>0</v>
      </c>
      <c r="I128" s="36">
        <f>SUM(I120:I127)</f>
        <v>0</v>
      </c>
      <c r="K128" s="36">
        <f>SUM(K120:K127)</f>
        <v>0</v>
      </c>
      <c r="M128" s="36">
        <f>SUM(M120:M127)</f>
        <v>0</v>
      </c>
      <c r="O128" s="36">
        <f>SUM(O120:O127)</f>
        <v>0</v>
      </c>
      <c r="Q128" s="36">
        <f>SUM(Q120:Q127)</f>
        <v>0</v>
      </c>
      <c r="S128" s="36">
        <f>SUM(S120:S127)</f>
        <v>0</v>
      </c>
      <c r="U128" s="36">
        <f>SUM(U120:U127)</f>
        <v>0</v>
      </c>
      <c r="W128" s="36">
        <f>SUM(W120:W127)</f>
        <v>0</v>
      </c>
      <c r="Y128" s="36">
        <f>SUM(Y120:Y127)</f>
        <v>0</v>
      </c>
      <c r="AA128" s="36">
        <f>SUM(AA120:AA127)</f>
        <v>0</v>
      </c>
      <c r="AC128" s="36">
        <f>SUM(AC120:AC127)</f>
        <v>0</v>
      </c>
      <c r="AE128" s="36">
        <f>SUM(AE120:AE127)</f>
        <v>0</v>
      </c>
      <c r="AG128" s="36">
        <f>SUM(AG120:AG127)</f>
        <v>0</v>
      </c>
      <c r="AI128" s="36">
        <f>SUM(AI120:AI127)</f>
        <v>0</v>
      </c>
      <c r="AK128" s="36">
        <f>SUM(AK120:AK127)</f>
        <v>0</v>
      </c>
      <c r="AM128" s="36">
        <f>SUM(AM120:AM127)</f>
        <v>0</v>
      </c>
      <c r="AO128" s="36">
        <f>SUM(AO120:AO127)</f>
        <v>0</v>
      </c>
      <c r="AQ128" s="36">
        <f>SUM(AQ120:AQ127)</f>
        <v>0</v>
      </c>
      <c r="AS128" s="36">
        <f>SUM(AS120:AS127)</f>
        <v>0</v>
      </c>
      <c r="AU128" s="36">
        <f>SUM(AU120:AU127)</f>
        <v>0</v>
      </c>
      <c r="AW128" s="36">
        <f>SUM(AW120:AW127)</f>
        <v>0</v>
      </c>
      <c r="AY128" s="36">
        <f>SUM(AY120:AY127)</f>
        <v>0</v>
      </c>
      <c r="BA128" s="36">
        <f>SUM(BA120:BA127)</f>
        <v>0</v>
      </c>
      <c r="BC128" s="36">
        <f>SUM(BC120:BC127)</f>
        <v>0</v>
      </c>
      <c r="BE128" s="36">
        <f>SUM(BE120:BE127)</f>
        <v>0</v>
      </c>
      <c r="BG128" s="36">
        <f>SUM(BG120:BG127)</f>
        <v>0</v>
      </c>
      <c r="BI128" s="36">
        <f>SUM(BI120:BI127)</f>
        <v>0</v>
      </c>
    </row>
    <row r="129" ht="19.5" customHeight="1">
      <c r="B129" s="33" t="s">
        <v>385</v>
      </c>
      <c r="C129" s="11"/>
      <c r="E129" s="11"/>
      <c r="G129" s="11"/>
      <c r="I129" s="11"/>
      <c r="K129" s="11"/>
      <c r="M129" s="11"/>
      <c r="O129" s="11"/>
      <c r="Q129" s="11"/>
      <c r="S129" s="11"/>
      <c r="U129" s="11"/>
      <c r="W129" s="11"/>
      <c r="Y129" s="11"/>
      <c r="AA129" s="11"/>
      <c r="AC129" s="11"/>
      <c r="AE129" s="11"/>
      <c r="AG129" s="11"/>
      <c r="AI129" s="11"/>
      <c r="AK129" s="11"/>
      <c r="AM129" s="11"/>
      <c r="AO129" s="11"/>
      <c r="AQ129" s="11"/>
      <c r="AS129" s="11"/>
      <c r="AU129" s="11"/>
      <c r="AW129" s="11"/>
      <c r="AY129" s="11"/>
      <c r="BA129" s="11"/>
      <c r="BC129" s="11"/>
      <c r="BE129" s="11"/>
      <c r="BG129" s="11"/>
      <c r="BI129" s="11"/>
    </row>
    <row r="130" ht="18.0" customHeight="1">
      <c r="B130" s="12" t="s">
        <v>386</v>
      </c>
      <c r="C130" s="34">
        <f>IFERROR(IF(AND(ISNUMBER('Real results'!C126),ISNUMBER('Real results'!D126),ISNUMBER('Raw data'!C126),ISNUMBER('Raw data'!D126)),IF(SIGN('Raw data'!C126-'Raw data'!D126)=SIGN('Real results'!C126-'Real results'!D126),3+IF(AND('Raw data'!C126='Real results'!C126,'Raw data'!D126='Real results'!D126),2,0),0),0),0)</f>
        <v>0</v>
      </c>
      <c r="E130" s="34">
        <f>IFERROR(IF(AND(ISNUMBER('Real results'!C126),ISNUMBER('Real results'!D126),ISNUMBER('Raw data'!E126),ISNUMBER('Raw data'!F126)),IF(SIGN('Raw data'!E126-'Raw data'!F126)=SIGN('Real results'!C126-'Real results'!D126),3+IF(AND('Raw data'!E126='Real results'!C126,'Raw data'!F126='Real results'!D126),2,0),0),0),0)</f>
        <v>0</v>
      </c>
      <c r="G130" s="34">
        <f>IFERROR(IF(AND(ISNUMBER('Real results'!C126),ISNUMBER('Real results'!D126),ISNUMBER('Raw data'!G126),ISNUMBER('Raw data'!H126)),IF(SIGN('Raw data'!G126-'Raw data'!H126)=SIGN('Real results'!C126-'Real results'!D126),3+IF(AND('Raw data'!G126='Real results'!C126,'Raw data'!H126='Real results'!D126),2,0),0),0),0)</f>
        <v>0</v>
      </c>
      <c r="I130" s="34">
        <f>IFERROR(IF(AND(ISNUMBER('Real results'!C126),ISNUMBER('Real results'!D126),ISNUMBER('Raw data'!I126),ISNUMBER('Raw data'!J126)),IF(SIGN('Raw data'!I126-'Raw data'!J126)=SIGN('Real results'!C126-'Real results'!D126),3+IF(AND('Raw data'!I126='Real results'!C126,'Raw data'!J126='Real results'!D126),2,0),0),0),0)</f>
        <v>0</v>
      </c>
      <c r="K130" s="34">
        <f>IFERROR(IF(AND(ISNUMBER('Real results'!C126),ISNUMBER('Real results'!D126),ISNUMBER('Raw data'!K126),ISNUMBER('Raw data'!L126)),IF(SIGN('Raw data'!K126-'Raw data'!L126)=SIGN('Real results'!C126-'Real results'!D126),3+IF(AND('Raw data'!K126='Real results'!C126,'Raw data'!L126='Real results'!D126),2,0),0),0),0)</f>
        <v>0</v>
      </c>
      <c r="M130" s="34">
        <f>IFERROR(IF(AND(ISNUMBER('Real results'!C126),ISNUMBER('Real results'!D126),ISNUMBER('Raw data'!M126),ISNUMBER('Raw data'!N126)),IF(SIGN('Raw data'!M126-'Raw data'!N126)=SIGN('Real results'!C126-'Real results'!D126),3+IF(AND('Raw data'!M126='Real results'!C126,'Raw data'!N126='Real results'!D126),2,0),0),0),0)</f>
        <v>0</v>
      </c>
      <c r="O130" s="34">
        <f>IFERROR(IF(AND(ISNUMBER('Real results'!C126),ISNUMBER('Real results'!D126),ISNUMBER('Raw data'!O126),ISNUMBER('Raw data'!P126)),IF(SIGN('Raw data'!O126-'Raw data'!P126)=SIGN('Real results'!C126-'Real results'!D126),3+IF(AND('Raw data'!O126='Real results'!C126,'Raw data'!P126='Real results'!D126),2,0),0),0),0)</f>
        <v>0</v>
      </c>
      <c r="Q130" s="34">
        <f>IFERROR(IF(AND(ISNUMBER('Real results'!C126),ISNUMBER('Real results'!D126),ISNUMBER('Raw data'!Q126),ISNUMBER('Raw data'!R126)),IF(SIGN('Raw data'!Q126-'Raw data'!R126)=SIGN('Real results'!C126-'Real results'!D126),3+IF(AND('Raw data'!Q126='Real results'!C126,'Raw data'!R126='Real results'!D126),2,0),0),0),0)</f>
        <v>0</v>
      </c>
      <c r="S130" s="34">
        <f>IFERROR(IF(AND(ISNUMBER('Real results'!C126),ISNUMBER('Real results'!D126),ISNUMBER('Raw data'!S126),ISNUMBER('Raw data'!T126)),IF(SIGN('Raw data'!S126-'Raw data'!T126)=SIGN('Real results'!C126-'Real results'!D126),3+IF(AND('Raw data'!S126='Real results'!C126,'Raw data'!T126='Real results'!D126),2,0),0),0),0)</f>
        <v>0</v>
      </c>
      <c r="U130" s="34">
        <f>IFERROR(IF(AND(ISNUMBER('Real results'!C126),ISNUMBER('Real results'!D126),ISNUMBER('Raw data'!U126),ISNUMBER('Raw data'!V126)),IF(SIGN('Raw data'!U126-'Raw data'!V126)=SIGN('Real results'!C126-'Real results'!D126),3+IF(AND('Raw data'!U126='Real results'!C126,'Raw data'!V126='Real results'!D126),2,0),0),0),0)</f>
        <v>0</v>
      </c>
      <c r="W130" s="34">
        <f>IFERROR(IF(AND(ISNUMBER('Real results'!C126),ISNUMBER('Real results'!D126),ISNUMBER('Raw data'!W126),ISNUMBER('Raw data'!X126)),IF(SIGN('Raw data'!W126-'Raw data'!X126)=SIGN('Real results'!C126-'Real results'!D126),3+IF(AND('Raw data'!W126='Real results'!C126,'Raw data'!X126='Real results'!D126),2,0),0),0),0)</f>
        <v>0</v>
      </c>
      <c r="Y130" s="34">
        <f>IFERROR(IF(AND(ISNUMBER('Real results'!C126),ISNUMBER('Real results'!D126),ISNUMBER('Raw data'!Y126),ISNUMBER('Raw data'!Z126)),IF(SIGN('Raw data'!Y126-'Raw data'!Z126)=SIGN('Real results'!C126-'Real results'!D126),3+IF(AND('Raw data'!Y126='Real results'!C126,'Raw data'!Z126='Real results'!D126),2,0),0),0),0)</f>
        <v>0</v>
      </c>
      <c r="AA130" s="34">
        <f>IFERROR(IF(AND(ISNUMBER('Real results'!C126),ISNUMBER('Real results'!D126),ISNUMBER('Raw data'!AA126),ISNUMBER('Raw data'!AB126)),IF(SIGN('Raw data'!AA126-'Raw data'!AB126)=SIGN('Real results'!C126-'Real results'!D126),3+IF(AND('Raw data'!AA126='Real results'!C126,'Raw data'!AB126='Real results'!D126),2,0),0),0),0)</f>
        <v>0</v>
      </c>
      <c r="AC130" s="34">
        <f>IFERROR(IF(AND(ISNUMBER('Real results'!C126),ISNUMBER('Real results'!D126),ISNUMBER('Raw data'!AC126),ISNUMBER('Raw data'!AD126)),IF(SIGN('Raw data'!AC126-'Raw data'!AD126)=SIGN('Real results'!C126-'Real results'!D126),3+IF(AND('Raw data'!AC126='Real results'!C126,'Raw data'!AD126='Real results'!D126),2,0),0),0),0)</f>
        <v>0</v>
      </c>
      <c r="AE130" s="34">
        <f>IFERROR(IF(AND(ISNUMBER('Real results'!C126),ISNUMBER('Real results'!D126),ISNUMBER('Raw data'!AE126),ISNUMBER('Raw data'!AF126)),IF(SIGN('Raw data'!AE126-'Raw data'!AF126)=SIGN('Real results'!C126-'Real results'!D126),3+IF(AND('Raw data'!AE126='Real results'!C126,'Raw data'!AF126='Real results'!D126),2,0),0),0),0)</f>
        <v>0</v>
      </c>
      <c r="AG130" s="34">
        <f>IFERROR(IF(AND(ISNUMBER('Real results'!C126),ISNUMBER('Real results'!D126),ISNUMBER('Raw data'!AG126),ISNUMBER('Raw data'!AH126)),IF(SIGN('Raw data'!AG126-'Raw data'!AH126)=SIGN('Real results'!C126-'Real results'!D126),3+IF(AND('Raw data'!AG126='Real results'!C126,'Raw data'!AH126='Real results'!D126),2,0),0),0),0)</f>
        <v>0</v>
      </c>
      <c r="AI130" s="34">
        <f>IFERROR(IF(AND(ISNUMBER('Real results'!C126),ISNUMBER('Real results'!D126),ISNUMBER('Raw data'!AI126),ISNUMBER('Raw data'!AJ126)),IF(SIGN('Raw data'!AI126-'Raw data'!AJ126)=SIGN('Real results'!C126-'Real results'!D126),3+IF(AND('Raw data'!AI126='Real results'!C126,'Raw data'!AJ126='Real results'!D126),2,0),0),0),0)</f>
        <v>0</v>
      </c>
      <c r="AK130" s="34">
        <f>IFERROR(IF(AND(ISNUMBER('Real results'!C126),ISNUMBER('Real results'!D126),ISNUMBER('Raw data'!AK126),ISNUMBER('Raw data'!AL126)),IF(SIGN('Raw data'!AK126-'Raw data'!AL126)=SIGN('Real results'!C126-'Real results'!D126),3+IF(AND('Raw data'!AK126='Real results'!C126,'Raw data'!AL126='Real results'!D126),2,0),0),0),0)</f>
        <v>0</v>
      </c>
      <c r="AM130" s="34">
        <f>IFERROR(IF(AND(ISNUMBER('Real results'!C126),ISNUMBER('Real results'!D126),ISNUMBER('Raw data'!AM126),ISNUMBER('Raw data'!AN126)),IF(SIGN('Raw data'!AM126-'Raw data'!AN126)=SIGN('Real results'!C126-'Real results'!D126),3+IF(AND('Raw data'!AM126='Real results'!C126,'Raw data'!AN126='Real results'!D126),2,0),0),0),0)</f>
        <v>0</v>
      </c>
      <c r="AO130" s="34">
        <f>IFERROR(IF(AND(ISNUMBER('Real results'!C126),ISNUMBER('Real results'!D126),ISNUMBER('Raw data'!AO126),ISNUMBER('Raw data'!AP126)),IF(SIGN('Raw data'!AO126-'Raw data'!AP126)=SIGN('Real results'!C126-'Real results'!D126),3+IF(AND('Raw data'!AO126='Real results'!C126,'Raw data'!AP126='Real results'!D126),2,0),0),0),0)</f>
        <v>0</v>
      </c>
      <c r="AQ130" s="34">
        <f>IFERROR(IF(AND(ISNUMBER('Real results'!C126),ISNUMBER('Real results'!D126),ISNUMBER('Raw data'!AQ126),ISNUMBER('Raw data'!AR126)),IF(SIGN('Raw data'!AQ126-'Raw data'!AR126)=SIGN('Real results'!C126-'Real results'!D126),3+IF(AND('Raw data'!AQ126='Real results'!C126,'Raw data'!AR126='Real results'!D126),2,0),0),0),0)</f>
        <v>0</v>
      </c>
      <c r="AS130" s="34">
        <f>IFERROR(IF(AND(ISNUMBER('Real results'!C126),ISNUMBER('Real results'!D126),ISNUMBER('Raw data'!AS126),ISNUMBER('Raw data'!AT126)),IF(SIGN('Raw data'!AS126-'Raw data'!AT126)=SIGN('Real results'!C126-'Real results'!D126),3+IF(AND('Raw data'!AS126='Real results'!C126,'Raw data'!AT126='Real results'!D126),2,0),0),0),0)</f>
        <v>0</v>
      </c>
      <c r="AU130" s="34">
        <f>IFERROR(IF(AND(ISNUMBER('Real results'!C126),ISNUMBER('Real results'!D126),ISNUMBER('Raw data'!AU126),ISNUMBER('Raw data'!AV126)),IF(SIGN('Raw data'!AU126-'Raw data'!AV126)=SIGN('Real results'!C126-'Real results'!D126),3+IF(AND('Raw data'!AU126='Real results'!C126,'Raw data'!AV126='Real results'!D126),2,0),0),0),0)</f>
        <v>0</v>
      </c>
      <c r="AW130" s="34">
        <f>IFERROR(IF(AND(ISNUMBER('Real results'!C126),ISNUMBER('Real results'!D126),ISNUMBER('Raw data'!AW126),ISNUMBER('Raw data'!AX126)),IF(SIGN('Raw data'!AW126-'Raw data'!AX126)=SIGN('Real results'!C126-'Real results'!D126),3+IF(AND('Raw data'!AW126='Real results'!C126,'Raw data'!AX126='Real results'!D126),2,0),0),0),0)</f>
        <v>0</v>
      </c>
      <c r="AY130" s="34">
        <f>IFERROR(IF(AND(ISNUMBER('Real results'!C126),ISNUMBER('Real results'!D126),ISNUMBER('Raw data'!AY126),ISNUMBER('Raw data'!AZ126)),IF(SIGN('Raw data'!AY126-'Raw data'!AZ126)=SIGN('Real results'!C126-'Real results'!D126),3+IF(AND('Raw data'!AY126='Real results'!C126,'Raw data'!AZ126='Real results'!D126),2,0),0),0),0)</f>
        <v>0</v>
      </c>
      <c r="BA130" s="34">
        <f>IFERROR(IF(AND(ISNUMBER('Real results'!C126),ISNUMBER('Real results'!D126),ISNUMBER('Raw data'!BA126),ISNUMBER('Raw data'!BB126)),IF(SIGN('Raw data'!BA126-'Raw data'!BB126)=SIGN('Real results'!C126-'Real results'!D126),3+IF(AND('Raw data'!BA126='Real results'!C126,'Raw data'!BB126='Real results'!D126),2,0),0),0),0)</f>
        <v>0</v>
      </c>
      <c r="BC130" s="34">
        <f>IFERROR(IF(AND(ISNUMBER('Real results'!C126),ISNUMBER('Real results'!D126),ISNUMBER('Raw data'!BC126),ISNUMBER('Raw data'!BD126)),IF(SIGN('Raw data'!BC126-'Raw data'!BD126)=SIGN('Real results'!C126-'Real results'!D126),3+IF(AND('Raw data'!BC126='Real results'!C126,'Raw data'!BD126='Real results'!D126),2,0),0),0),0)</f>
        <v>0</v>
      </c>
      <c r="BE130" s="34">
        <f>IFERROR(IF(AND(ISNUMBER('Real results'!C126),ISNUMBER('Real results'!D126),ISNUMBER('Raw data'!BE126),ISNUMBER('Raw data'!BF126)),IF(SIGN('Raw data'!BE126-'Raw data'!BF126)=SIGN('Real results'!C126-'Real results'!D126),3+IF(AND('Raw data'!BE126='Real results'!C126,'Raw data'!BF126='Real results'!D126),2,0),0),0),0)</f>
        <v>0</v>
      </c>
      <c r="BG130" s="34">
        <f>IFERROR(IF(AND(ISNUMBER('Real results'!C126),ISNUMBER('Real results'!D126),ISNUMBER('Raw data'!BG126),ISNUMBER('Raw data'!BH126)),IF(SIGN('Raw data'!BG126-'Raw data'!BH126)=SIGN('Real results'!C126-'Real results'!D126),3+IF(AND('Raw data'!BG126='Real results'!C126,'Raw data'!BH126='Real results'!D126),2,0),0),0),0)</f>
        <v>0</v>
      </c>
      <c r="BI130" s="34">
        <f>IFERROR(IF(AND(ISNUMBER('Real results'!C126),ISNUMBER('Real results'!D126),ISNUMBER('Raw data'!BI126),ISNUMBER('Raw data'!BJ126)),IF(SIGN('Raw data'!BI126-'Raw data'!BJ126)=SIGN('Real results'!C126-'Real results'!D126),3+IF(AND('Raw data'!BI126='Real results'!C126,'Raw data'!BJ126='Real results'!D126),2,0),0),0),0)</f>
        <v>0</v>
      </c>
    </row>
    <row r="131" ht="18.0" customHeight="1">
      <c r="B131" s="12" t="s">
        <v>387</v>
      </c>
      <c r="C131" s="34">
        <v>0.0</v>
      </c>
      <c r="E131" s="34">
        <v>0.0</v>
      </c>
      <c r="G131" s="34">
        <v>0.0</v>
      </c>
      <c r="I131" s="34">
        <v>0.0</v>
      </c>
      <c r="K131" s="34">
        <v>0.0</v>
      </c>
      <c r="M131" s="34">
        <v>0.0</v>
      </c>
      <c r="O131" s="34">
        <v>0.0</v>
      </c>
      <c r="Q131" s="34">
        <v>0.0</v>
      </c>
      <c r="S131" s="34">
        <v>0.0</v>
      </c>
      <c r="U131" s="34">
        <v>0.0</v>
      </c>
      <c r="W131" s="34">
        <v>0.0</v>
      </c>
      <c r="Y131" s="34">
        <v>0.0</v>
      </c>
      <c r="AA131" s="34">
        <v>0.0</v>
      </c>
      <c r="AC131" s="34">
        <v>0.0</v>
      </c>
      <c r="AE131" s="34">
        <v>0.0</v>
      </c>
      <c r="AG131" s="34">
        <v>0.0</v>
      </c>
      <c r="AI131" s="34">
        <v>0.0</v>
      </c>
      <c r="AK131" s="34">
        <v>0.0</v>
      </c>
      <c r="AM131" s="34">
        <v>0.0</v>
      </c>
      <c r="AO131" s="34">
        <v>0.0</v>
      </c>
      <c r="AQ131" s="34">
        <v>0.0</v>
      </c>
      <c r="AS131" s="34">
        <v>0.0</v>
      </c>
      <c r="AU131" s="34">
        <v>0.0</v>
      </c>
      <c r="AW131" s="34">
        <v>0.0</v>
      </c>
      <c r="AY131" s="34">
        <v>0.0</v>
      </c>
      <c r="BA131" s="34">
        <v>0.0</v>
      </c>
      <c r="BC131" s="34">
        <v>0.0</v>
      </c>
      <c r="BE131" s="34">
        <v>0.0</v>
      </c>
      <c r="BG131" s="34">
        <v>0.0</v>
      </c>
      <c r="BI131" s="34">
        <v>0.0</v>
      </c>
    </row>
    <row r="132" ht="18.0" customHeight="1">
      <c r="B132" s="12" t="s">
        <v>388</v>
      </c>
      <c r="C132" s="34">
        <f>IFERROR(IF(AND('Real results'!C128&lt;&gt;"",'Raw data'!C128&lt;&gt;"",UPPER(TRIM('Real results'!C128))=UPPER(TRIM('Raw data'!C128))),1,0),0)</f>
        <v>0</v>
      </c>
      <c r="E132" s="34">
        <f>IFERROR(IF(AND('Real results'!C128&lt;&gt;"",'Raw data'!E128&lt;&gt;"",UPPER(TRIM('Real results'!C128))=UPPER(TRIM('Raw data'!E128))),1,0),0)</f>
        <v>0</v>
      </c>
      <c r="G132" s="34">
        <f>IFERROR(IF(AND('Real results'!C128&lt;&gt;"",'Raw data'!G128&lt;&gt;"",UPPER(TRIM('Real results'!C128))=UPPER(TRIM('Raw data'!G128))),1,0),0)</f>
        <v>0</v>
      </c>
      <c r="I132" s="34">
        <f>IFERROR(IF(AND('Real results'!C128&lt;&gt;"",'Raw data'!I128&lt;&gt;"",UPPER(TRIM('Real results'!C128))=UPPER(TRIM('Raw data'!I128))),1,0),0)</f>
        <v>0</v>
      </c>
      <c r="K132" s="34">
        <f>IFERROR(IF(AND('Real results'!C128&lt;&gt;"",'Raw data'!K128&lt;&gt;"",UPPER(TRIM('Real results'!C128))=UPPER(TRIM('Raw data'!K128))),1,0),0)</f>
        <v>0</v>
      </c>
      <c r="M132" s="34">
        <f>IFERROR(IF(AND('Real results'!C128&lt;&gt;"",'Raw data'!M128&lt;&gt;"",UPPER(TRIM('Real results'!C128))=UPPER(TRIM('Raw data'!M128))),1,0),0)</f>
        <v>0</v>
      </c>
      <c r="O132" s="34">
        <f>IFERROR(IF(AND('Real results'!C128&lt;&gt;"",'Raw data'!O128&lt;&gt;"",UPPER(TRIM('Real results'!C128))=UPPER(TRIM('Raw data'!O128))),1,0),0)</f>
        <v>0</v>
      </c>
      <c r="Q132" s="34">
        <f>IFERROR(IF(AND('Real results'!C128&lt;&gt;"",'Raw data'!Q128&lt;&gt;"",UPPER(TRIM('Real results'!C128))=UPPER(TRIM('Raw data'!Q128))),1,0),0)</f>
        <v>0</v>
      </c>
      <c r="S132" s="34">
        <f>IFERROR(IF(AND('Real results'!C128&lt;&gt;"",'Raw data'!S128&lt;&gt;"",UPPER(TRIM('Real results'!C128))=UPPER(TRIM('Raw data'!S128))),1,0),0)</f>
        <v>0</v>
      </c>
      <c r="U132" s="34">
        <f>IFERROR(IF(AND('Real results'!C128&lt;&gt;"",'Raw data'!U128&lt;&gt;"",UPPER(TRIM('Real results'!C128))=UPPER(TRIM('Raw data'!U128))),1,0),0)</f>
        <v>0</v>
      </c>
      <c r="W132" s="34">
        <f>IFERROR(IF(AND('Real results'!C128&lt;&gt;"",'Raw data'!W128&lt;&gt;"",UPPER(TRIM('Real results'!C128))=UPPER(TRIM('Raw data'!W128))),1,0),0)</f>
        <v>0</v>
      </c>
      <c r="Y132" s="34">
        <f>IFERROR(IF(AND('Real results'!C128&lt;&gt;"",'Raw data'!Y128&lt;&gt;"",UPPER(TRIM('Real results'!C128))=UPPER(TRIM('Raw data'!Y128))),1,0),0)</f>
        <v>0</v>
      </c>
      <c r="AA132" s="34">
        <f>IFERROR(IF(AND('Real results'!C128&lt;&gt;"",'Raw data'!AA128&lt;&gt;"",UPPER(TRIM('Real results'!C128))=UPPER(TRIM('Raw data'!AA128))),1,0),0)</f>
        <v>0</v>
      </c>
      <c r="AC132" s="34">
        <f>IFERROR(IF(AND('Real results'!C128&lt;&gt;"",'Raw data'!AC128&lt;&gt;"",UPPER(TRIM('Real results'!C128))=UPPER(TRIM('Raw data'!AC128))),1,0),0)</f>
        <v>0</v>
      </c>
      <c r="AE132" s="34">
        <f>IFERROR(IF(AND('Real results'!C128&lt;&gt;"",'Raw data'!AE128&lt;&gt;"",UPPER(TRIM('Real results'!C128))=UPPER(TRIM('Raw data'!AE128))),1,0),0)</f>
        <v>0</v>
      </c>
      <c r="AG132" s="34">
        <f>IFERROR(IF(AND('Real results'!C128&lt;&gt;"",'Raw data'!AG128&lt;&gt;"",UPPER(TRIM('Real results'!C128))=UPPER(TRIM('Raw data'!AG128))),1,0),0)</f>
        <v>0</v>
      </c>
      <c r="AI132" s="34">
        <f>IFERROR(IF(AND('Real results'!C128&lt;&gt;"",'Raw data'!AI128&lt;&gt;"",UPPER(TRIM('Real results'!C128))=UPPER(TRIM('Raw data'!AI128))),1,0),0)</f>
        <v>0</v>
      </c>
      <c r="AK132" s="34">
        <f>IFERROR(IF(AND('Real results'!C128&lt;&gt;"",'Raw data'!AK128&lt;&gt;"",UPPER(TRIM('Real results'!C128))=UPPER(TRIM('Raw data'!AK128))),1,0),0)</f>
        <v>0</v>
      </c>
      <c r="AM132" s="34">
        <f>IFERROR(IF(AND('Real results'!C128&lt;&gt;"",'Raw data'!AM128&lt;&gt;"",UPPER(TRIM('Real results'!C128))=UPPER(TRIM('Raw data'!AM128))),1,0),0)</f>
        <v>0</v>
      </c>
      <c r="AO132" s="34">
        <f>IFERROR(IF(AND('Real results'!C128&lt;&gt;"",'Raw data'!AO128&lt;&gt;"",UPPER(TRIM('Real results'!C128))=UPPER(TRIM('Raw data'!AO128))),1,0),0)</f>
        <v>0</v>
      </c>
      <c r="AQ132" s="34">
        <f>IFERROR(IF(AND('Real results'!C128&lt;&gt;"",'Raw data'!AQ128&lt;&gt;"",UPPER(TRIM('Real results'!C128))=UPPER(TRIM('Raw data'!AQ128))),1,0),0)</f>
        <v>0</v>
      </c>
      <c r="AS132" s="34">
        <f>IFERROR(IF(AND('Real results'!C128&lt;&gt;"",'Raw data'!AS128&lt;&gt;"",UPPER(TRIM('Real results'!C128))=UPPER(TRIM('Raw data'!AS128))),1,0),0)</f>
        <v>0</v>
      </c>
      <c r="AU132" s="34">
        <f>IFERROR(IF(AND('Real results'!C128&lt;&gt;"",'Raw data'!AU128&lt;&gt;"",UPPER(TRIM('Real results'!C128))=UPPER(TRIM('Raw data'!AU128))),1,0),0)</f>
        <v>0</v>
      </c>
      <c r="AW132" s="34">
        <f>IFERROR(IF(AND('Real results'!C128&lt;&gt;"",'Raw data'!AW128&lt;&gt;"",UPPER(TRIM('Real results'!C128))=UPPER(TRIM('Raw data'!AW128))),1,0),0)</f>
        <v>0</v>
      </c>
      <c r="AY132" s="34">
        <f>IFERROR(IF(AND('Real results'!C128&lt;&gt;"",'Raw data'!AY128&lt;&gt;"",UPPER(TRIM('Real results'!C128))=UPPER(TRIM('Raw data'!AY128))),1,0),0)</f>
        <v>0</v>
      </c>
      <c r="BA132" s="34">
        <f>IFERROR(IF(AND('Real results'!C128&lt;&gt;"",'Raw data'!BA128&lt;&gt;"",UPPER(TRIM('Real results'!C128))=UPPER(TRIM('Raw data'!BA128))),1,0),0)</f>
        <v>0</v>
      </c>
      <c r="BC132" s="34">
        <f>IFERROR(IF(AND('Real results'!C128&lt;&gt;"",'Raw data'!BC128&lt;&gt;"",UPPER(TRIM('Real results'!C128))=UPPER(TRIM('Raw data'!BC128))),1,0),0)</f>
        <v>0</v>
      </c>
      <c r="BE132" s="34">
        <f>IFERROR(IF(AND('Real results'!C128&lt;&gt;"",'Raw data'!BE128&lt;&gt;"",UPPER(TRIM('Real results'!C128))=UPPER(TRIM('Raw data'!BE128))),1,0),0)</f>
        <v>0</v>
      </c>
      <c r="BG132" s="34">
        <f>IFERROR(IF(AND('Real results'!C128&lt;&gt;"",'Raw data'!BG128&lt;&gt;"",UPPER(TRIM('Real results'!C128))=UPPER(TRIM('Raw data'!BG128))),1,0),0)</f>
        <v>0</v>
      </c>
      <c r="BI132" s="34">
        <f>IFERROR(IF(AND('Real results'!C128&lt;&gt;"",'Raw data'!BI128&lt;&gt;"",UPPER(TRIM('Real results'!C128))=UPPER(TRIM('Raw data'!BI128))),1,0),0)</f>
        <v>0</v>
      </c>
    </row>
    <row r="133" ht="18.0" customHeight="1">
      <c r="B133" s="12" t="s">
        <v>389</v>
      </c>
      <c r="C133" s="34">
        <f>IFERROR(IF(AND(ISNUMBER('Real results'!C129),ISNUMBER('Real results'!D129),ISNUMBER('Raw data'!C129),ISNUMBER('Raw data'!D129)),IF(SIGN('Raw data'!C129-'Raw data'!D129)=SIGN('Real results'!C129-'Real results'!D129),3+IF(AND('Raw data'!C129='Real results'!C129,'Raw data'!D129='Real results'!D129),2,0),0),0),0)</f>
        <v>0</v>
      </c>
      <c r="E133" s="34">
        <f>IFERROR(IF(AND(ISNUMBER('Real results'!C129),ISNUMBER('Real results'!D129),ISNUMBER('Raw data'!E129),ISNUMBER('Raw data'!F129)),IF(SIGN('Raw data'!E129-'Raw data'!F129)=SIGN('Real results'!C129-'Real results'!D129),3+IF(AND('Raw data'!E129='Real results'!C129,'Raw data'!F129='Real results'!D129),2,0),0),0),0)</f>
        <v>0</v>
      </c>
      <c r="G133" s="34">
        <f>IFERROR(IF(AND(ISNUMBER('Real results'!C129),ISNUMBER('Real results'!D129),ISNUMBER('Raw data'!G129),ISNUMBER('Raw data'!H129)),IF(SIGN('Raw data'!G129-'Raw data'!H129)=SIGN('Real results'!C129-'Real results'!D129),3+IF(AND('Raw data'!G129='Real results'!C129,'Raw data'!H129='Real results'!D129),2,0),0),0),0)</f>
        <v>0</v>
      </c>
      <c r="I133" s="34">
        <f>IFERROR(IF(AND(ISNUMBER('Real results'!C129),ISNUMBER('Real results'!D129),ISNUMBER('Raw data'!I129),ISNUMBER('Raw data'!J129)),IF(SIGN('Raw data'!I129-'Raw data'!J129)=SIGN('Real results'!C129-'Real results'!D129),3+IF(AND('Raw data'!I129='Real results'!C129,'Raw data'!J129='Real results'!D129),2,0),0),0),0)</f>
        <v>0</v>
      </c>
      <c r="K133" s="34">
        <f>IFERROR(IF(AND(ISNUMBER('Real results'!C129),ISNUMBER('Real results'!D129),ISNUMBER('Raw data'!K129),ISNUMBER('Raw data'!L129)),IF(SIGN('Raw data'!K129-'Raw data'!L129)=SIGN('Real results'!C129-'Real results'!D129),3+IF(AND('Raw data'!K129='Real results'!C129,'Raw data'!L129='Real results'!D129),2,0),0),0),0)</f>
        <v>0</v>
      </c>
      <c r="M133" s="34">
        <f>IFERROR(IF(AND(ISNUMBER('Real results'!C129),ISNUMBER('Real results'!D129),ISNUMBER('Raw data'!M129),ISNUMBER('Raw data'!N129)),IF(SIGN('Raw data'!M129-'Raw data'!N129)=SIGN('Real results'!C129-'Real results'!D129),3+IF(AND('Raw data'!M129='Real results'!C129,'Raw data'!N129='Real results'!D129),2,0),0),0),0)</f>
        <v>0</v>
      </c>
      <c r="O133" s="34">
        <f>IFERROR(IF(AND(ISNUMBER('Real results'!C129),ISNUMBER('Real results'!D129),ISNUMBER('Raw data'!O129),ISNUMBER('Raw data'!P129)),IF(SIGN('Raw data'!O129-'Raw data'!P129)=SIGN('Real results'!C129-'Real results'!D129),3+IF(AND('Raw data'!O129='Real results'!C129,'Raw data'!P129='Real results'!D129),2,0),0),0),0)</f>
        <v>0</v>
      </c>
      <c r="Q133" s="34">
        <f>IFERROR(IF(AND(ISNUMBER('Real results'!C129),ISNUMBER('Real results'!D129),ISNUMBER('Raw data'!Q129),ISNUMBER('Raw data'!R129)),IF(SIGN('Raw data'!Q129-'Raw data'!R129)=SIGN('Real results'!C129-'Real results'!D129),3+IF(AND('Raw data'!Q129='Real results'!C129,'Raw data'!R129='Real results'!D129),2,0),0),0),0)</f>
        <v>0</v>
      </c>
      <c r="S133" s="34">
        <f>IFERROR(IF(AND(ISNUMBER('Real results'!C129),ISNUMBER('Real results'!D129),ISNUMBER('Raw data'!S129),ISNUMBER('Raw data'!T129)),IF(SIGN('Raw data'!S129-'Raw data'!T129)=SIGN('Real results'!C129-'Real results'!D129),3+IF(AND('Raw data'!S129='Real results'!C129,'Raw data'!T129='Real results'!D129),2,0),0),0),0)</f>
        <v>0</v>
      </c>
      <c r="U133" s="34">
        <f>IFERROR(IF(AND(ISNUMBER('Real results'!C129),ISNUMBER('Real results'!D129),ISNUMBER('Raw data'!U129),ISNUMBER('Raw data'!V129)),IF(SIGN('Raw data'!U129-'Raw data'!V129)=SIGN('Real results'!C129-'Real results'!D129),3+IF(AND('Raw data'!U129='Real results'!C129,'Raw data'!V129='Real results'!D129),2,0),0),0),0)</f>
        <v>0</v>
      </c>
      <c r="W133" s="34">
        <f>IFERROR(IF(AND(ISNUMBER('Real results'!C129),ISNUMBER('Real results'!D129),ISNUMBER('Raw data'!W129),ISNUMBER('Raw data'!X129)),IF(SIGN('Raw data'!W129-'Raw data'!X129)=SIGN('Real results'!C129-'Real results'!D129),3+IF(AND('Raw data'!W129='Real results'!C129,'Raw data'!X129='Real results'!D129),2,0),0),0),0)</f>
        <v>0</v>
      </c>
      <c r="Y133" s="34">
        <f>IFERROR(IF(AND(ISNUMBER('Real results'!C129),ISNUMBER('Real results'!D129),ISNUMBER('Raw data'!Y129),ISNUMBER('Raw data'!Z129)),IF(SIGN('Raw data'!Y129-'Raw data'!Z129)=SIGN('Real results'!C129-'Real results'!D129),3+IF(AND('Raw data'!Y129='Real results'!C129,'Raw data'!Z129='Real results'!D129),2,0),0),0),0)</f>
        <v>0</v>
      </c>
      <c r="AA133" s="34">
        <f>IFERROR(IF(AND(ISNUMBER('Real results'!C129),ISNUMBER('Real results'!D129),ISNUMBER('Raw data'!AA129),ISNUMBER('Raw data'!AB129)),IF(SIGN('Raw data'!AA129-'Raw data'!AB129)=SIGN('Real results'!C129-'Real results'!D129),3+IF(AND('Raw data'!AA129='Real results'!C129,'Raw data'!AB129='Real results'!D129),2,0),0),0),0)</f>
        <v>0</v>
      </c>
      <c r="AC133" s="34">
        <f>IFERROR(IF(AND(ISNUMBER('Real results'!C129),ISNUMBER('Real results'!D129),ISNUMBER('Raw data'!AC129),ISNUMBER('Raw data'!AD129)),IF(SIGN('Raw data'!AC129-'Raw data'!AD129)=SIGN('Real results'!C129-'Real results'!D129),3+IF(AND('Raw data'!AC129='Real results'!C129,'Raw data'!AD129='Real results'!D129),2,0),0),0),0)</f>
        <v>0</v>
      </c>
      <c r="AE133" s="34">
        <f>IFERROR(IF(AND(ISNUMBER('Real results'!C129),ISNUMBER('Real results'!D129),ISNUMBER('Raw data'!AE129),ISNUMBER('Raw data'!AF129)),IF(SIGN('Raw data'!AE129-'Raw data'!AF129)=SIGN('Real results'!C129-'Real results'!D129),3+IF(AND('Raw data'!AE129='Real results'!C129,'Raw data'!AF129='Real results'!D129),2,0),0),0),0)</f>
        <v>0</v>
      </c>
      <c r="AG133" s="34">
        <f>IFERROR(IF(AND(ISNUMBER('Real results'!C129),ISNUMBER('Real results'!D129),ISNUMBER('Raw data'!AG129),ISNUMBER('Raw data'!AH129)),IF(SIGN('Raw data'!AG129-'Raw data'!AH129)=SIGN('Real results'!C129-'Real results'!D129),3+IF(AND('Raw data'!AG129='Real results'!C129,'Raw data'!AH129='Real results'!D129),2,0),0),0),0)</f>
        <v>0</v>
      </c>
      <c r="AI133" s="34">
        <f>IFERROR(IF(AND(ISNUMBER('Real results'!C129),ISNUMBER('Real results'!D129),ISNUMBER('Raw data'!AI129),ISNUMBER('Raw data'!AJ129)),IF(SIGN('Raw data'!AI129-'Raw data'!AJ129)=SIGN('Real results'!C129-'Real results'!D129),3+IF(AND('Raw data'!AI129='Real results'!C129,'Raw data'!AJ129='Real results'!D129),2,0),0),0),0)</f>
        <v>0</v>
      </c>
      <c r="AK133" s="34">
        <f>IFERROR(IF(AND(ISNUMBER('Real results'!C129),ISNUMBER('Real results'!D129),ISNUMBER('Raw data'!AK129),ISNUMBER('Raw data'!AL129)),IF(SIGN('Raw data'!AK129-'Raw data'!AL129)=SIGN('Real results'!C129-'Real results'!D129),3+IF(AND('Raw data'!AK129='Real results'!C129,'Raw data'!AL129='Real results'!D129),2,0),0),0),0)</f>
        <v>0</v>
      </c>
      <c r="AM133" s="34">
        <f>IFERROR(IF(AND(ISNUMBER('Real results'!C129),ISNUMBER('Real results'!D129),ISNUMBER('Raw data'!AM129),ISNUMBER('Raw data'!AN129)),IF(SIGN('Raw data'!AM129-'Raw data'!AN129)=SIGN('Real results'!C129-'Real results'!D129),3+IF(AND('Raw data'!AM129='Real results'!C129,'Raw data'!AN129='Real results'!D129),2,0),0),0),0)</f>
        <v>0</v>
      </c>
      <c r="AO133" s="34">
        <f>IFERROR(IF(AND(ISNUMBER('Real results'!C129),ISNUMBER('Real results'!D129),ISNUMBER('Raw data'!AO129),ISNUMBER('Raw data'!AP129)),IF(SIGN('Raw data'!AO129-'Raw data'!AP129)=SIGN('Real results'!C129-'Real results'!D129),3+IF(AND('Raw data'!AO129='Real results'!C129,'Raw data'!AP129='Real results'!D129),2,0),0),0),0)</f>
        <v>0</v>
      </c>
      <c r="AQ133" s="34">
        <f>IFERROR(IF(AND(ISNUMBER('Real results'!C129),ISNUMBER('Real results'!D129),ISNUMBER('Raw data'!AQ129),ISNUMBER('Raw data'!AR129)),IF(SIGN('Raw data'!AQ129-'Raw data'!AR129)=SIGN('Real results'!C129-'Real results'!D129),3+IF(AND('Raw data'!AQ129='Real results'!C129,'Raw data'!AR129='Real results'!D129),2,0),0),0),0)</f>
        <v>0</v>
      </c>
      <c r="AS133" s="34">
        <f>IFERROR(IF(AND(ISNUMBER('Real results'!C129),ISNUMBER('Real results'!D129),ISNUMBER('Raw data'!AS129),ISNUMBER('Raw data'!AT129)),IF(SIGN('Raw data'!AS129-'Raw data'!AT129)=SIGN('Real results'!C129-'Real results'!D129),3+IF(AND('Raw data'!AS129='Real results'!C129,'Raw data'!AT129='Real results'!D129),2,0),0),0),0)</f>
        <v>0</v>
      </c>
      <c r="AU133" s="34">
        <f>IFERROR(IF(AND(ISNUMBER('Real results'!C129),ISNUMBER('Real results'!D129),ISNUMBER('Raw data'!AU129),ISNUMBER('Raw data'!AV129)),IF(SIGN('Raw data'!AU129-'Raw data'!AV129)=SIGN('Real results'!C129-'Real results'!D129),3+IF(AND('Raw data'!AU129='Real results'!C129,'Raw data'!AV129='Real results'!D129),2,0),0),0),0)</f>
        <v>0</v>
      </c>
      <c r="AW133" s="34">
        <f>IFERROR(IF(AND(ISNUMBER('Real results'!C129),ISNUMBER('Real results'!D129),ISNUMBER('Raw data'!AW129),ISNUMBER('Raw data'!AX129)),IF(SIGN('Raw data'!AW129-'Raw data'!AX129)=SIGN('Real results'!C129-'Real results'!D129),3+IF(AND('Raw data'!AW129='Real results'!C129,'Raw data'!AX129='Real results'!D129),2,0),0),0),0)</f>
        <v>0</v>
      </c>
      <c r="AY133" s="34">
        <f>IFERROR(IF(AND(ISNUMBER('Real results'!C129),ISNUMBER('Real results'!D129),ISNUMBER('Raw data'!AY129),ISNUMBER('Raw data'!AZ129)),IF(SIGN('Raw data'!AY129-'Raw data'!AZ129)=SIGN('Real results'!C129-'Real results'!D129),3+IF(AND('Raw data'!AY129='Real results'!C129,'Raw data'!AZ129='Real results'!D129),2,0),0),0),0)</f>
        <v>0</v>
      </c>
      <c r="BA133" s="34">
        <f>IFERROR(IF(AND(ISNUMBER('Real results'!C129),ISNUMBER('Real results'!D129),ISNUMBER('Raw data'!BA129),ISNUMBER('Raw data'!BB129)),IF(SIGN('Raw data'!BA129-'Raw data'!BB129)=SIGN('Real results'!C129-'Real results'!D129),3+IF(AND('Raw data'!BA129='Real results'!C129,'Raw data'!BB129='Real results'!D129),2,0),0),0),0)</f>
        <v>0</v>
      </c>
      <c r="BC133" s="34">
        <f>IFERROR(IF(AND(ISNUMBER('Real results'!C129),ISNUMBER('Real results'!D129),ISNUMBER('Raw data'!BC129),ISNUMBER('Raw data'!BD129)),IF(SIGN('Raw data'!BC129-'Raw data'!BD129)=SIGN('Real results'!C129-'Real results'!D129),3+IF(AND('Raw data'!BC129='Real results'!C129,'Raw data'!BD129='Real results'!D129),2,0),0),0),0)</f>
        <v>0</v>
      </c>
      <c r="BE133" s="34">
        <f>IFERROR(IF(AND(ISNUMBER('Real results'!C129),ISNUMBER('Real results'!D129),ISNUMBER('Raw data'!BE129),ISNUMBER('Raw data'!BF129)),IF(SIGN('Raw data'!BE129-'Raw data'!BF129)=SIGN('Real results'!C129-'Real results'!D129),3+IF(AND('Raw data'!BE129='Real results'!C129,'Raw data'!BF129='Real results'!D129),2,0),0),0),0)</f>
        <v>0</v>
      </c>
      <c r="BG133" s="34">
        <f>IFERROR(IF(AND(ISNUMBER('Real results'!C129),ISNUMBER('Real results'!D129),ISNUMBER('Raw data'!BG129),ISNUMBER('Raw data'!BH129)),IF(SIGN('Raw data'!BG129-'Raw data'!BH129)=SIGN('Real results'!C129-'Real results'!D129),3+IF(AND('Raw data'!BG129='Real results'!C129,'Raw data'!BH129='Real results'!D129),2,0),0),0),0)</f>
        <v>0</v>
      </c>
      <c r="BI133" s="34">
        <f>IFERROR(IF(AND(ISNUMBER('Real results'!C129),ISNUMBER('Real results'!D129),ISNUMBER('Raw data'!BI129),ISNUMBER('Raw data'!BJ129)),IF(SIGN('Raw data'!BI129-'Raw data'!BJ129)=SIGN('Real results'!C129-'Real results'!D129),3+IF(AND('Raw data'!BI129='Real results'!C129,'Raw data'!BJ129='Real results'!D129),2,0),0),0),0)</f>
        <v>0</v>
      </c>
    </row>
    <row r="134" ht="18.0" customHeight="1">
      <c r="B134" s="12" t="s">
        <v>390</v>
      </c>
      <c r="C134" s="34">
        <v>0.0</v>
      </c>
      <c r="E134" s="34">
        <v>0.0</v>
      </c>
      <c r="G134" s="34">
        <v>0.0</v>
      </c>
      <c r="I134" s="34">
        <v>0.0</v>
      </c>
      <c r="K134" s="34">
        <v>0.0</v>
      </c>
      <c r="M134" s="34">
        <v>0.0</v>
      </c>
      <c r="O134" s="34">
        <v>0.0</v>
      </c>
      <c r="Q134" s="34">
        <v>0.0</v>
      </c>
      <c r="S134" s="34">
        <v>0.0</v>
      </c>
      <c r="U134" s="34">
        <v>0.0</v>
      </c>
      <c r="W134" s="34">
        <v>0.0</v>
      </c>
      <c r="Y134" s="34">
        <v>0.0</v>
      </c>
      <c r="AA134" s="34">
        <v>0.0</v>
      </c>
      <c r="AC134" s="34">
        <v>0.0</v>
      </c>
      <c r="AE134" s="34">
        <v>0.0</v>
      </c>
      <c r="AG134" s="34">
        <v>0.0</v>
      </c>
      <c r="AI134" s="34">
        <v>0.0</v>
      </c>
      <c r="AK134" s="34">
        <v>0.0</v>
      </c>
      <c r="AM134" s="34">
        <v>0.0</v>
      </c>
      <c r="AO134" s="34">
        <v>0.0</v>
      </c>
      <c r="AQ134" s="34">
        <v>0.0</v>
      </c>
      <c r="AS134" s="34">
        <v>0.0</v>
      </c>
      <c r="AU134" s="34">
        <v>0.0</v>
      </c>
      <c r="AW134" s="34">
        <v>0.0</v>
      </c>
      <c r="AY134" s="34">
        <v>0.0</v>
      </c>
      <c r="BA134" s="34">
        <v>0.0</v>
      </c>
      <c r="BC134" s="34">
        <v>0.0</v>
      </c>
      <c r="BE134" s="34">
        <v>0.0</v>
      </c>
      <c r="BG134" s="34">
        <v>0.0</v>
      </c>
      <c r="BI134" s="34">
        <v>0.0</v>
      </c>
    </row>
    <row r="135" ht="18.0" customHeight="1">
      <c r="B135" s="12" t="s">
        <v>391</v>
      </c>
      <c r="C135" s="34">
        <f>IFERROR(IF(AND('Real results'!C131&lt;&gt;"",'Raw data'!C131&lt;&gt;"",UPPER(TRIM('Real results'!C131))=UPPER(TRIM('Raw data'!C131))),1,0),0)</f>
        <v>0</v>
      </c>
      <c r="E135" s="34">
        <f>IFERROR(IF(AND('Real results'!C131&lt;&gt;"",'Raw data'!E131&lt;&gt;"",UPPER(TRIM('Real results'!C131))=UPPER(TRIM('Raw data'!E131))),1,0),0)</f>
        <v>0</v>
      </c>
      <c r="G135" s="34">
        <f>IFERROR(IF(AND('Real results'!C131&lt;&gt;"",'Raw data'!G131&lt;&gt;"",UPPER(TRIM('Real results'!C131))=UPPER(TRIM('Raw data'!G131))),1,0),0)</f>
        <v>0</v>
      </c>
      <c r="I135" s="34">
        <f>IFERROR(IF(AND('Real results'!C131&lt;&gt;"",'Raw data'!I131&lt;&gt;"",UPPER(TRIM('Real results'!C131))=UPPER(TRIM('Raw data'!I131))),1,0),0)</f>
        <v>0</v>
      </c>
      <c r="K135" s="34">
        <f>IFERROR(IF(AND('Real results'!C131&lt;&gt;"",'Raw data'!K131&lt;&gt;"",UPPER(TRIM('Real results'!C131))=UPPER(TRIM('Raw data'!K131))),1,0),0)</f>
        <v>0</v>
      </c>
      <c r="M135" s="34">
        <f>IFERROR(IF(AND('Real results'!C131&lt;&gt;"",'Raw data'!M131&lt;&gt;"",UPPER(TRIM('Real results'!C131))=UPPER(TRIM('Raw data'!M131))),1,0),0)</f>
        <v>0</v>
      </c>
      <c r="O135" s="34">
        <f>IFERROR(IF(AND('Real results'!C131&lt;&gt;"",'Raw data'!O131&lt;&gt;"",UPPER(TRIM('Real results'!C131))=UPPER(TRIM('Raw data'!O131))),1,0),0)</f>
        <v>0</v>
      </c>
      <c r="Q135" s="34">
        <f>IFERROR(IF(AND('Real results'!C131&lt;&gt;"",'Raw data'!Q131&lt;&gt;"",UPPER(TRIM('Real results'!C131))=UPPER(TRIM('Raw data'!Q131))),1,0),0)</f>
        <v>0</v>
      </c>
      <c r="S135" s="34">
        <f>IFERROR(IF(AND('Real results'!C131&lt;&gt;"",'Raw data'!S131&lt;&gt;"",UPPER(TRIM('Real results'!C131))=UPPER(TRIM('Raw data'!S131))),1,0),0)</f>
        <v>0</v>
      </c>
      <c r="U135" s="34">
        <f>IFERROR(IF(AND('Real results'!C131&lt;&gt;"",'Raw data'!U131&lt;&gt;"",UPPER(TRIM('Real results'!C131))=UPPER(TRIM('Raw data'!U131))),1,0),0)</f>
        <v>0</v>
      </c>
      <c r="W135" s="34">
        <f>IFERROR(IF(AND('Real results'!C131&lt;&gt;"",'Raw data'!W131&lt;&gt;"",UPPER(TRIM('Real results'!C131))=UPPER(TRIM('Raw data'!W131))),1,0),0)</f>
        <v>0</v>
      </c>
      <c r="Y135" s="34">
        <f>IFERROR(IF(AND('Real results'!C131&lt;&gt;"",'Raw data'!Y131&lt;&gt;"",UPPER(TRIM('Real results'!C131))=UPPER(TRIM('Raw data'!Y131))),1,0),0)</f>
        <v>0</v>
      </c>
      <c r="AA135" s="34">
        <f>IFERROR(IF(AND('Real results'!C131&lt;&gt;"",'Raw data'!AA131&lt;&gt;"",UPPER(TRIM('Real results'!C131))=UPPER(TRIM('Raw data'!AA131))),1,0),0)</f>
        <v>0</v>
      </c>
      <c r="AC135" s="34">
        <f>IFERROR(IF(AND('Real results'!C131&lt;&gt;"",'Raw data'!AC131&lt;&gt;"",UPPER(TRIM('Real results'!C131))=UPPER(TRIM('Raw data'!AC131))),1,0),0)</f>
        <v>0</v>
      </c>
      <c r="AE135" s="34">
        <f>IFERROR(IF(AND('Real results'!C131&lt;&gt;"",'Raw data'!AE131&lt;&gt;"",UPPER(TRIM('Real results'!C131))=UPPER(TRIM('Raw data'!AE131))),1,0),0)</f>
        <v>0</v>
      </c>
      <c r="AG135" s="34">
        <f>IFERROR(IF(AND('Real results'!C131&lt;&gt;"",'Raw data'!AG131&lt;&gt;"",UPPER(TRIM('Real results'!C131))=UPPER(TRIM('Raw data'!AG131))),1,0),0)</f>
        <v>0</v>
      </c>
      <c r="AI135" s="34">
        <f>IFERROR(IF(AND('Real results'!C131&lt;&gt;"",'Raw data'!AI131&lt;&gt;"",UPPER(TRIM('Real results'!C131))=UPPER(TRIM('Raw data'!AI131))),1,0),0)</f>
        <v>0</v>
      </c>
      <c r="AK135" s="34">
        <f>IFERROR(IF(AND('Real results'!C131&lt;&gt;"",'Raw data'!AK131&lt;&gt;"",UPPER(TRIM('Real results'!C131))=UPPER(TRIM('Raw data'!AK131))),1,0),0)</f>
        <v>0</v>
      </c>
      <c r="AM135" s="34">
        <f>IFERROR(IF(AND('Real results'!C131&lt;&gt;"",'Raw data'!AM131&lt;&gt;"",UPPER(TRIM('Real results'!C131))=UPPER(TRIM('Raw data'!AM131))),1,0),0)</f>
        <v>0</v>
      </c>
      <c r="AO135" s="34">
        <f>IFERROR(IF(AND('Real results'!C131&lt;&gt;"",'Raw data'!AO131&lt;&gt;"",UPPER(TRIM('Real results'!C131))=UPPER(TRIM('Raw data'!AO131))),1,0),0)</f>
        <v>0</v>
      </c>
      <c r="AQ135" s="34">
        <f>IFERROR(IF(AND('Real results'!C131&lt;&gt;"",'Raw data'!AQ131&lt;&gt;"",UPPER(TRIM('Real results'!C131))=UPPER(TRIM('Raw data'!AQ131))),1,0),0)</f>
        <v>0</v>
      </c>
      <c r="AS135" s="34">
        <f>IFERROR(IF(AND('Real results'!C131&lt;&gt;"",'Raw data'!AS131&lt;&gt;"",UPPER(TRIM('Real results'!C131))=UPPER(TRIM('Raw data'!AS131))),1,0),0)</f>
        <v>0</v>
      </c>
      <c r="AU135" s="34">
        <f>IFERROR(IF(AND('Real results'!C131&lt;&gt;"",'Raw data'!AU131&lt;&gt;"",UPPER(TRIM('Real results'!C131))=UPPER(TRIM('Raw data'!AU131))),1,0),0)</f>
        <v>0</v>
      </c>
      <c r="AW135" s="34">
        <f>IFERROR(IF(AND('Real results'!C131&lt;&gt;"",'Raw data'!AW131&lt;&gt;"",UPPER(TRIM('Real results'!C131))=UPPER(TRIM('Raw data'!AW131))),1,0),0)</f>
        <v>0</v>
      </c>
      <c r="AY135" s="34">
        <f>IFERROR(IF(AND('Real results'!C131&lt;&gt;"",'Raw data'!AY131&lt;&gt;"",UPPER(TRIM('Real results'!C131))=UPPER(TRIM('Raw data'!AY131))),1,0),0)</f>
        <v>0</v>
      </c>
      <c r="BA135" s="34">
        <f>IFERROR(IF(AND('Real results'!C131&lt;&gt;"",'Raw data'!BA131&lt;&gt;"",UPPER(TRIM('Real results'!C131))=UPPER(TRIM('Raw data'!BA131))),1,0),0)</f>
        <v>0</v>
      </c>
      <c r="BC135" s="34">
        <f>IFERROR(IF(AND('Real results'!C131&lt;&gt;"",'Raw data'!BC131&lt;&gt;"",UPPER(TRIM('Real results'!C131))=UPPER(TRIM('Raw data'!BC131))),1,0),0)</f>
        <v>0</v>
      </c>
      <c r="BE135" s="34">
        <f>IFERROR(IF(AND('Real results'!C131&lt;&gt;"",'Raw data'!BE131&lt;&gt;"",UPPER(TRIM('Real results'!C131))=UPPER(TRIM('Raw data'!BE131))),1,0),0)</f>
        <v>0</v>
      </c>
      <c r="BG135" s="34">
        <f>IFERROR(IF(AND('Real results'!C131&lt;&gt;"",'Raw data'!BG131&lt;&gt;"",UPPER(TRIM('Real results'!C131))=UPPER(TRIM('Raw data'!BG131))),1,0),0)</f>
        <v>0</v>
      </c>
      <c r="BI135" s="34">
        <f>IFERROR(IF(AND('Real results'!C131&lt;&gt;"",'Raw data'!BI131&lt;&gt;"",UPPER(TRIM('Real results'!C131))=UPPER(TRIM('Raw data'!BI131))),1,0),0)</f>
        <v>0</v>
      </c>
    </row>
    <row r="136" ht="18.0" customHeight="1">
      <c r="B136" s="12" t="s">
        <v>392</v>
      </c>
      <c r="C136" s="34">
        <f>IFERROR(IF(AND(ISNUMBER('Real results'!C132),ISNUMBER('Real results'!D132),ISNUMBER('Raw data'!C132),ISNUMBER('Raw data'!D132)),IF(SIGN('Raw data'!C132-'Raw data'!D132)=SIGN('Real results'!C132-'Real results'!D132),3+IF(AND('Raw data'!C132='Real results'!C132,'Raw data'!D132='Real results'!D132),2,0),0),0),0)</f>
        <v>0</v>
      </c>
      <c r="E136" s="34">
        <f>IFERROR(IF(AND(ISNUMBER('Real results'!C132),ISNUMBER('Real results'!D132),ISNUMBER('Raw data'!E132),ISNUMBER('Raw data'!F132)),IF(SIGN('Raw data'!E132-'Raw data'!F132)=SIGN('Real results'!C132-'Real results'!D132),3+IF(AND('Raw data'!E132='Real results'!C132,'Raw data'!F132='Real results'!D132),2,0),0),0),0)</f>
        <v>0</v>
      </c>
      <c r="G136" s="34">
        <f>IFERROR(IF(AND(ISNUMBER('Real results'!C132),ISNUMBER('Real results'!D132),ISNUMBER('Raw data'!G132),ISNUMBER('Raw data'!H132)),IF(SIGN('Raw data'!G132-'Raw data'!H132)=SIGN('Real results'!C132-'Real results'!D132),3+IF(AND('Raw data'!G132='Real results'!C132,'Raw data'!H132='Real results'!D132),2,0),0),0),0)</f>
        <v>0</v>
      </c>
      <c r="I136" s="34">
        <f>IFERROR(IF(AND(ISNUMBER('Real results'!C132),ISNUMBER('Real results'!D132),ISNUMBER('Raw data'!I132),ISNUMBER('Raw data'!J132)),IF(SIGN('Raw data'!I132-'Raw data'!J132)=SIGN('Real results'!C132-'Real results'!D132),3+IF(AND('Raw data'!I132='Real results'!C132,'Raw data'!J132='Real results'!D132),2,0),0),0),0)</f>
        <v>0</v>
      </c>
      <c r="K136" s="34">
        <f>IFERROR(IF(AND(ISNUMBER('Real results'!C132),ISNUMBER('Real results'!D132),ISNUMBER('Raw data'!K132),ISNUMBER('Raw data'!L132)),IF(SIGN('Raw data'!K132-'Raw data'!L132)=SIGN('Real results'!C132-'Real results'!D132),3+IF(AND('Raw data'!K132='Real results'!C132,'Raw data'!L132='Real results'!D132),2,0),0),0),0)</f>
        <v>0</v>
      </c>
      <c r="M136" s="34">
        <f>IFERROR(IF(AND(ISNUMBER('Real results'!C132),ISNUMBER('Real results'!D132),ISNUMBER('Raw data'!M132),ISNUMBER('Raw data'!N132)),IF(SIGN('Raw data'!M132-'Raw data'!N132)=SIGN('Real results'!C132-'Real results'!D132),3+IF(AND('Raw data'!M132='Real results'!C132,'Raw data'!N132='Real results'!D132),2,0),0),0),0)</f>
        <v>0</v>
      </c>
      <c r="O136" s="34">
        <f>IFERROR(IF(AND(ISNUMBER('Real results'!C132),ISNUMBER('Real results'!D132),ISNUMBER('Raw data'!O132),ISNUMBER('Raw data'!P132)),IF(SIGN('Raw data'!O132-'Raw data'!P132)=SIGN('Real results'!C132-'Real results'!D132),3+IF(AND('Raw data'!O132='Real results'!C132,'Raw data'!P132='Real results'!D132),2,0),0),0),0)</f>
        <v>0</v>
      </c>
      <c r="Q136" s="34">
        <f>IFERROR(IF(AND(ISNUMBER('Real results'!C132),ISNUMBER('Real results'!D132),ISNUMBER('Raw data'!Q132),ISNUMBER('Raw data'!R132)),IF(SIGN('Raw data'!Q132-'Raw data'!R132)=SIGN('Real results'!C132-'Real results'!D132),3+IF(AND('Raw data'!Q132='Real results'!C132,'Raw data'!R132='Real results'!D132),2,0),0),0),0)</f>
        <v>0</v>
      </c>
      <c r="S136" s="34">
        <f>IFERROR(IF(AND(ISNUMBER('Real results'!C132),ISNUMBER('Real results'!D132),ISNUMBER('Raw data'!S132),ISNUMBER('Raw data'!T132)),IF(SIGN('Raw data'!S132-'Raw data'!T132)=SIGN('Real results'!C132-'Real results'!D132),3+IF(AND('Raw data'!S132='Real results'!C132,'Raw data'!T132='Real results'!D132),2,0),0),0),0)</f>
        <v>0</v>
      </c>
      <c r="U136" s="34">
        <f>IFERROR(IF(AND(ISNUMBER('Real results'!C132),ISNUMBER('Real results'!D132),ISNUMBER('Raw data'!U132),ISNUMBER('Raw data'!V132)),IF(SIGN('Raw data'!U132-'Raw data'!V132)=SIGN('Real results'!C132-'Real results'!D132),3+IF(AND('Raw data'!U132='Real results'!C132,'Raw data'!V132='Real results'!D132),2,0),0),0),0)</f>
        <v>0</v>
      </c>
      <c r="W136" s="34">
        <f>IFERROR(IF(AND(ISNUMBER('Real results'!C132),ISNUMBER('Real results'!D132),ISNUMBER('Raw data'!W132),ISNUMBER('Raw data'!X132)),IF(SIGN('Raw data'!W132-'Raw data'!X132)=SIGN('Real results'!C132-'Real results'!D132),3+IF(AND('Raw data'!W132='Real results'!C132,'Raw data'!X132='Real results'!D132),2,0),0),0),0)</f>
        <v>0</v>
      </c>
      <c r="Y136" s="34">
        <f>IFERROR(IF(AND(ISNUMBER('Real results'!C132),ISNUMBER('Real results'!D132),ISNUMBER('Raw data'!Y132),ISNUMBER('Raw data'!Z132)),IF(SIGN('Raw data'!Y132-'Raw data'!Z132)=SIGN('Real results'!C132-'Real results'!D132),3+IF(AND('Raw data'!Y132='Real results'!C132,'Raw data'!Z132='Real results'!D132),2,0),0),0),0)</f>
        <v>0</v>
      </c>
      <c r="AA136" s="34">
        <f>IFERROR(IF(AND(ISNUMBER('Real results'!C132),ISNUMBER('Real results'!D132),ISNUMBER('Raw data'!AA132),ISNUMBER('Raw data'!AB132)),IF(SIGN('Raw data'!AA132-'Raw data'!AB132)=SIGN('Real results'!C132-'Real results'!D132),3+IF(AND('Raw data'!AA132='Real results'!C132,'Raw data'!AB132='Real results'!D132),2,0),0),0),0)</f>
        <v>0</v>
      </c>
      <c r="AC136" s="34">
        <f>IFERROR(IF(AND(ISNUMBER('Real results'!C132),ISNUMBER('Real results'!D132),ISNUMBER('Raw data'!AC132),ISNUMBER('Raw data'!AD132)),IF(SIGN('Raw data'!AC132-'Raw data'!AD132)=SIGN('Real results'!C132-'Real results'!D132),3+IF(AND('Raw data'!AC132='Real results'!C132,'Raw data'!AD132='Real results'!D132),2,0),0),0),0)</f>
        <v>0</v>
      </c>
      <c r="AE136" s="34">
        <f>IFERROR(IF(AND(ISNUMBER('Real results'!C132),ISNUMBER('Real results'!D132),ISNUMBER('Raw data'!AE132),ISNUMBER('Raw data'!AF132)),IF(SIGN('Raw data'!AE132-'Raw data'!AF132)=SIGN('Real results'!C132-'Real results'!D132),3+IF(AND('Raw data'!AE132='Real results'!C132,'Raw data'!AF132='Real results'!D132),2,0),0),0),0)</f>
        <v>0</v>
      </c>
      <c r="AG136" s="34">
        <f>IFERROR(IF(AND(ISNUMBER('Real results'!C132),ISNUMBER('Real results'!D132),ISNUMBER('Raw data'!AG132),ISNUMBER('Raw data'!AH132)),IF(SIGN('Raw data'!AG132-'Raw data'!AH132)=SIGN('Real results'!C132-'Real results'!D132),3+IF(AND('Raw data'!AG132='Real results'!C132,'Raw data'!AH132='Real results'!D132),2,0),0),0),0)</f>
        <v>0</v>
      </c>
      <c r="AI136" s="34">
        <f>IFERROR(IF(AND(ISNUMBER('Real results'!C132),ISNUMBER('Real results'!D132),ISNUMBER('Raw data'!AI132),ISNUMBER('Raw data'!AJ132)),IF(SIGN('Raw data'!AI132-'Raw data'!AJ132)=SIGN('Real results'!C132-'Real results'!D132),3+IF(AND('Raw data'!AI132='Real results'!C132,'Raw data'!AJ132='Real results'!D132),2,0),0),0),0)</f>
        <v>0</v>
      </c>
      <c r="AK136" s="34">
        <f>IFERROR(IF(AND(ISNUMBER('Real results'!C132),ISNUMBER('Real results'!D132),ISNUMBER('Raw data'!AK132),ISNUMBER('Raw data'!AL132)),IF(SIGN('Raw data'!AK132-'Raw data'!AL132)=SIGN('Real results'!C132-'Real results'!D132),3+IF(AND('Raw data'!AK132='Real results'!C132,'Raw data'!AL132='Real results'!D132),2,0),0),0),0)</f>
        <v>0</v>
      </c>
      <c r="AM136" s="34">
        <f>IFERROR(IF(AND(ISNUMBER('Real results'!C132),ISNUMBER('Real results'!D132),ISNUMBER('Raw data'!AM132),ISNUMBER('Raw data'!AN132)),IF(SIGN('Raw data'!AM132-'Raw data'!AN132)=SIGN('Real results'!C132-'Real results'!D132),3+IF(AND('Raw data'!AM132='Real results'!C132,'Raw data'!AN132='Real results'!D132),2,0),0),0),0)</f>
        <v>0</v>
      </c>
      <c r="AO136" s="34">
        <f>IFERROR(IF(AND(ISNUMBER('Real results'!C132),ISNUMBER('Real results'!D132),ISNUMBER('Raw data'!AO132),ISNUMBER('Raw data'!AP132)),IF(SIGN('Raw data'!AO132-'Raw data'!AP132)=SIGN('Real results'!C132-'Real results'!D132),3+IF(AND('Raw data'!AO132='Real results'!C132,'Raw data'!AP132='Real results'!D132),2,0),0),0),0)</f>
        <v>0</v>
      </c>
      <c r="AQ136" s="34">
        <f>IFERROR(IF(AND(ISNUMBER('Real results'!C132),ISNUMBER('Real results'!D132),ISNUMBER('Raw data'!AQ132),ISNUMBER('Raw data'!AR132)),IF(SIGN('Raw data'!AQ132-'Raw data'!AR132)=SIGN('Real results'!C132-'Real results'!D132),3+IF(AND('Raw data'!AQ132='Real results'!C132,'Raw data'!AR132='Real results'!D132),2,0),0),0),0)</f>
        <v>0</v>
      </c>
      <c r="AS136" s="34">
        <f>IFERROR(IF(AND(ISNUMBER('Real results'!C132),ISNUMBER('Real results'!D132),ISNUMBER('Raw data'!AS132),ISNUMBER('Raw data'!AT132)),IF(SIGN('Raw data'!AS132-'Raw data'!AT132)=SIGN('Real results'!C132-'Real results'!D132),3+IF(AND('Raw data'!AS132='Real results'!C132,'Raw data'!AT132='Real results'!D132),2,0),0),0),0)</f>
        <v>0</v>
      </c>
      <c r="AU136" s="34">
        <f>IFERROR(IF(AND(ISNUMBER('Real results'!C132),ISNUMBER('Real results'!D132),ISNUMBER('Raw data'!AU132),ISNUMBER('Raw data'!AV132)),IF(SIGN('Raw data'!AU132-'Raw data'!AV132)=SIGN('Real results'!C132-'Real results'!D132),3+IF(AND('Raw data'!AU132='Real results'!C132,'Raw data'!AV132='Real results'!D132),2,0),0),0),0)</f>
        <v>0</v>
      </c>
      <c r="AW136" s="34">
        <f>IFERROR(IF(AND(ISNUMBER('Real results'!C132),ISNUMBER('Real results'!D132),ISNUMBER('Raw data'!AW132),ISNUMBER('Raw data'!AX132)),IF(SIGN('Raw data'!AW132-'Raw data'!AX132)=SIGN('Real results'!C132-'Real results'!D132),3+IF(AND('Raw data'!AW132='Real results'!C132,'Raw data'!AX132='Real results'!D132),2,0),0),0),0)</f>
        <v>0</v>
      </c>
      <c r="AY136" s="34">
        <f>IFERROR(IF(AND(ISNUMBER('Real results'!C132),ISNUMBER('Real results'!D132),ISNUMBER('Raw data'!AY132),ISNUMBER('Raw data'!AZ132)),IF(SIGN('Raw data'!AY132-'Raw data'!AZ132)=SIGN('Real results'!C132-'Real results'!D132),3+IF(AND('Raw data'!AY132='Real results'!C132,'Raw data'!AZ132='Real results'!D132),2,0),0),0),0)</f>
        <v>0</v>
      </c>
      <c r="BA136" s="34">
        <f>IFERROR(IF(AND(ISNUMBER('Real results'!C132),ISNUMBER('Real results'!D132),ISNUMBER('Raw data'!BA132),ISNUMBER('Raw data'!BB132)),IF(SIGN('Raw data'!BA132-'Raw data'!BB132)=SIGN('Real results'!C132-'Real results'!D132),3+IF(AND('Raw data'!BA132='Real results'!C132,'Raw data'!BB132='Real results'!D132),2,0),0),0),0)</f>
        <v>0</v>
      </c>
      <c r="BC136" s="34">
        <f>IFERROR(IF(AND(ISNUMBER('Real results'!C132),ISNUMBER('Real results'!D132),ISNUMBER('Raw data'!BC132),ISNUMBER('Raw data'!BD132)),IF(SIGN('Raw data'!BC132-'Raw data'!BD132)=SIGN('Real results'!C132-'Real results'!D132),3+IF(AND('Raw data'!BC132='Real results'!C132,'Raw data'!BD132='Real results'!D132),2,0),0),0),0)</f>
        <v>0</v>
      </c>
      <c r="BE136" s="34">
        <f>IFERROR(IF(AND(ISNUMBER('Real results'!C132),ISNUMBER('Real results'!D132),ISNUMBER('Raw data'!BE132),ISNUMBER('Raw data'!BF132)),IF(SIGN('Raw data'!BE132-'Raw data'!BF132)=SIGN('Real results'!C132-'Real results'!D132),3+IF(AND('Raw data'!BE132='Real results'!C132,'Raw data'!BF132='Real results'!D132),2,0),0),0),0)</f>
        <v>0</v>
      </c>
      <c r="BG136" s="34">
        <f>IFERROR(IF(AND(ISNUMBER('Real results'!C132),ISNUMBER('Real results'!D132),ISNUMBER('Raw data'!BG132),ISNUMBER('Raw data'!BH132)),IF(SIGN('Raw data'!BG132-'Raw data'!BH132)=SIGN('Real results'!C132-'Real results'!D132),3+IF(AND('Raw data'!BG132='Real results'!C132,'Raw data'!BH132='Real results'!D132),2,0),0),0),0)</f>
        <v>0</v>
      </c>
      <c r="BI136" s="34">
        <f>IFERROR(IF(AND(ISNUMBER('Real results'!C132),ISNUMBER('Real results'!D132),ISNUMBER('Raw data'!BI132),ISNUMBER('Raw data'!BJ132)),IF(SIGN('Raw data'!BI132-'Raw data'!BJ132)=SIGN('Real results'!C132-'Real results'!D132),3+IF(AND('Raw data'!BI132='Real results'!C132,'Raw data'!BJ132='Real results'!D132),2,0),0),0),0)</f>
        <v>0</v>
      </c>
    </row>
    <row r="137" ht="18.0" customHeight="1">
      <c r="B137" s="12" t="s">
        <v>393</v>
      </c>
      <c r="C137" s="34">
        <v>0.0</v>
      </c>
      <c r="E137" s="34">
        <v>0.0</v>
      </c>
      <c r="G137" s="34">
        <v>0.0</v>
      </c>
      <c r="I137" s="34">
        <v>0.0</v>
      </c>
      <c r="K137" s="34">
        <v>0.0</v>
      </c>
      <c r="M137" s="34">
        <v>0.0</v>
      </c>
      <c r="O137" s="34">
        <v>0.0</v>
      </c>
      <c r="Q137" s="34">
        <v>0.0</v>
      </c>
      <c r="S137" s="34">
        <v>0.0</v>
      </c>
      <c r="U137" s="34">
        <v>0.0</v>
      </c>
      <c r="W137" s="34">
        <v>0.0</v>
      </c>
      <c r="Y137" s="34">
        <v>0.0</v>
      </c>
      <c r="AA137" s="34">
        <v>0.0</v>
      </c>
      <c r="AC137" s="34">
        <v>0.0</v>
      </c>
      <c r="AE137" s="34">
        <v>0.0</v>
      </c>
      <c r="AG137" s="34">
        <v>0.0</v>
      </c>
      <c r="AI137" s="34">
        <v>0.0</v>
      </c>
      <c r="AK137" s="34">
        <v>0.0</v>
      </c>
      <c r="AM137" s="34">
        <v>0.0</v>
      </c>
      <c r="AO137" s="34">
        <v>0.0</v>
      </c>
      <c r="AQ137" s="34">
        <v>0.0</v>
      </c>
      <c r="AS137" s="34">
        <v>0.0</v>
      </c>
      <c r="AU137" s="34">
        <v>0.0</v>
      </c>
      <c r="AW137" s="34">
        <v>0.0</v>
      </c>
      <c r="AY137" s="34">
        <v>0.0</v>
      </c>
      <c r="BA137" s="34">
        <v>0.0</v>
      </c>
      <c r="BC137" s="34">
        <v>0.0</v>
      </c>
      <c r="BE137" s="34">
        <v>0.0</v>
      </c>
      <c r="BG137" s="34">
        <v>0.0</v>
      </c>
      <c r="BI137" s="34">
        <v>0.0</v>
      </c>
    </row>
    <row r="138" ht="18.0" customHeight="1">
      <c r="B138" s="12" t="s">
        <v>394</v>
      </c>
      <c r="C138" s="34">
        <f>IFERROR(IF(AND('Real results'!C134&lt;&gt;"",'Raw data'!C134&lt;&gt;"",UPPER(TRIM('Real results'!C134))=UPPER(TRIM('Raw data'!C134))),1,0),0)</f>
        <v>0</v>
      </c>
      <c r="E138" s="34">
        <f>IFERROR(IF(AND('Real results'!C134&lt;&gt;"",'Raw data'!E134&lt;&gt;"",UPPER(TRIM('Real results'!C134))=UPPER(TRIM('Raw data'!E134))),1,0),0)</f>
        <v>0</v>
      </c>
      <c r="G138" s="34">
        <f>IFERROR(IF(AND('Real results'!C134&lt;&gt;"",'Raw data'!G134&lt;&gt;"",UPPER(TRIM('Real results'!C134))=UPPER(TRIM('Raw data'!G134))),1,0),0)</f>
        <v>0</v>
      </c>
      <c r="I138" s="34">
        <f>IFERROR(IF(AND('Real results'!C134&lt;&gt;"",'Raw data'!I134&lt;&gt;"",UPPER(TRIM('Real results'!C134))=UPPER(TRIM('Raw data'!I134))),1,0),0)</f>
        <v>0</v>
      </c>
      <c r="K138" s="34">
        <f>IFERROR(IF(AND('Real results'!C134&lt;&gt;"",'Raw data'!K134&lt;&gt;"",UPPER(TRIM('Real results'!C134))=UPPER(TRIM('Raw data'!K134))),1,0),0)</f>
        <v>0</v>
      </c>
      <c r="M138" s="34">
        <f>IFERROR(IF(AND('Real results'!C134&lt;&gt;"",'Raw data'!M134&lt;&gt;"",UPPER(TRIM('Real results'!C134))=UPPER(TRIM('Raw data'!M134))),1,0),0)</f>
        <v>0</v>
      </c>
      <c r="O138" s="34">
        <f>IFERROR(IF(AND('Real results'!C134&lt;&gt;"",'Raw data'!O134&lt;&gt;"",UPPER(TRIM('Real results'!C134))=UPPER(TRIM('Raw data'!O134))),1,0),0)</f>
        <v>0</v>
      </c>
      <c r="Q138" s="34">
        <f>IFERROR(IF(AND('Real results'!C134&lt;&gt;"",'Raw data'!Q134&lt;&gt;"",UPPER(TRIM('Real results'!C134))=UPPER(TRIM('Raw data'!Q134))),1,0),0)</f>
        <v>0</v>
      </c>
      <c r="S138" s="34">
        <f>IFERROR(IF(AND('Real results'!C134&lt;&gt;"",'Raw data'!S134&lt;&gt;"",UPPER(TRIM('Real results'!C134))=UPPER(TRIM('Raw data'!S134))),1,0),0)</f>
        <v>0</v>
      </c>
      <c r="U138" s="34">
        <f>IFERROR(IF(AND('Real results'!C134&lt;&gt;"",'Raw data'!U134&lt;&gt;"",UPPER(TRIM('Real results'!C134))=UPPER(TRIM('Raw data'!U134))),1,0),0)</f>
        <v>0</v>
      </c>
      <c r="W138" s="34">
        <f>IFERROR(IF(AND('Real results'!C134&lt;&gt;"",'Raw data'!W134&lt;&gt;"",UPPER(TRIM('Real results'!C134))=UPPER(TRIM('Raw data'!W134))),1,0),0)</f>
        <v>0</v>
      </c>
      <c r="Y138" s="34">
        <f>IFERROR(IF(AND('Real results'!C134&lt;&gt;"",'Raw data'!Y134&lt;&gt;"",UPPER(TRIM('Real results'!C134))=UPPER(TRIM('Raw data'!Y134))),1,0),0)</f>
        <v>0</v>
      </c>
      <c r="AA138" s="34">
        <f>IFERROR(IF(AND('Real results'!C134&lt;&gt;"",'Raw data'!AA134&lt;&gt;"",UPPER(TRIM('Real results'!C134))=UPPER(TRIM('Raw data'!AA134))),1,0),0)</f>
        <v>0</v>
      </c>
      <c r="AC138" s="34">
        <f>IFERROR(IF(AND('Real results'!C134&lt;&gt;"",'Raw data'!AC134&lt;&gt;"",UPPER(TRIM('Real results'!C134))=UPPER(TRIM('Raw data'!AC134))),1,0),0)</f>
        <v>0</v>
      </c>
      <c r="AE138" s="34">
        <f>IFERROR(IF(AND('Real results'!C134&lt;&gt;"",'Raw data'!AE134&lt;&gt;"",UPPER(TRIM('Real results'!C134))=UPPER(TRIM('Raw data'!AE134))),1,0),0)</f>
        <v>0</v>
      </c>
      <c r="AG138" s="34">
        <f>IFERROR(IF(AND('Real results'!C134&lt;&gt;"",'Raw data'!AG134&lt;&gt;"",UPPER(TRIM('Real results'!C134))=UPPER(TRIM('Raw data'!AG134))),1,0),0)</f>
        <v>0</v>
      </c>
      <c r="AI138" s="34">
        <f>IFERROR(IF(AND('Real results'!C134&lt;&gt;"",'Raw data'!AI134&lt;&gt;"",UPPER(TRIM('Real results'!C134))=UPPER(TRIM('Raw data'!AI134))),1,0),0)</f>
        <v>0</v>
      </c>
      <c r="AK138" s="34">
        <f>IFERROR(IF(AND('Real results'!C134&lt;&gt;"",'Raw data'!AK134&lt;&gt;"",UPPER(TRIM('Real results'!C134))=UPPER(TRIM('Raw data'!AK134))),1,0),0)</f>
        <v>0</v>
      </c>
      <c r="AM138" s="34">
        <f>IFERROR(IF(AND('Real results'!C134&lt;&gt;"",'Raw data'!AM134&lt;&gt;"",UPPER(TRIM('Real results'!C134))=UPPER(TRIM('Raw data'!AM134))),1,0),0)</f>
        <v>0</v>
      </c>
      <c r="AO138" s="34">
        <f>IFERROR(IF(AND('Real results'!C134&lt;&gt;"",'Raw data'!AO134&lt;&gt;"",UPPER(TRIM('Real results'!C134))=UPPER(TRIM('Raw data'!AO134))),1,0),0)</f>
        <v>0</v>
      </c>
      <c r="AQ138" s="34">
        <f>IFERROR(IF(AND('Real results'!C134&lt;&gt;"",'Raw data'!AQ134&lt;&gt;"",UPPER(TRIM('Real results'!C134))=UPPER(TRIM('Raw data'!AQ134))),1,0),0)</f>
        <v>0</v>
      </c>
      <c r="AS138" s="34">
        <f>IFERROR(IF(AND('Real results'!C134&lt;&gt;"",'Raw data'!AS134&lt;&gt;"",UPPER(TRIM('Real results'!C134))=UPPER(TRIM('Raw data'!AS134))),1,0),0)</f>
        <v>0</v>
      </c>
      <c r="AU138" s="34">
        <f>IFERROR(IF(AND('Real results'!C134&lt;&gt;"",'Raw data'!AU134&lt;&gt;"",UPPER(TRIM('Real results'!C134))=UPPER(TRIM('Raw data'!AU134))),1,0),0)</f>
        <v>0</v>
      </c>
      <c r="AW138" s="34">
        <f>IFERROR(IF(AND('Real results'!C134&lt;&gt;"",'Raw data'!AW134&lt;&gt;"",UPPER(TRIM('Real results'!C134))=UPPER(TRIM('Raw data'!AW134))),1,0),0)</f>
        <v>0</v>
      </c>
      <c r="AY138" s="34">
        <f>IFERROR(IF(AND('Real results'!C134&lt;&gt;"",'Raw data'!AY134&lt;&gt;"",UPPER(TRIM('Real results'!C134))=UPPER(TRIM('Raw data'!AY134))),1,0),0)</f>
        <v>0</v>
      </c>
      <c r="BA138" s="34">
        <f>IFERROR(IF(AND('Real results'!C134&lt;&gt;"",'Raw data'!BA134&lt;&gt;"",UPPER(TRIM('Real results'!C134))=UPPER(TRIM('Raw data'!BA134))),1,0),0)</f>
        <v>0</v>
      </c>
      <c r="BC138" s="34">
        <f>IFERROR(IF(AND('Real results'!C134&lt;&gt;"",'Raw data'!BC134&lt;&gt;"",UPPER(TRIM('Real results'!C134))=UPPER(TRIM('Raw data'!BC134))),1,0),0)</f>
        <v>0</v>
      </c>
      <c r="BE138" s="34">
        <f>IFERROR(IF(AND('Real results'!C134&lt;&gt;"",'Raw data'!BE134&lt;&gt;"",UPPER(TRIM('Real results'!C134))=UPPER(TRIM('Raw data'!BE134))),1,0),0)</f>
        <v>0</v>
      </c>
      <c r="BG138" s="34">
        <f>IFERROR(IF(AND('Real results'!C134&lt;&gt;"",'Raw data'!BG134&lt;&gt;"",UPPER(TRIM('Real results'!C134))=UPPER(TRIM('Raw data'!BG134))),1,0),0)</f>
        <v>0</v>
      </c>
      <c r="BI138" s="34">
        <f>IFERROR(IF(AND('Real results'!C134&lt;&gt;"",'Raw data'!BI134&lt;&gt;"",UPPER(TRIM('Real results'!C134))=UPPER(TRIM('Raw data'!BI134))),1,0),0)</f>
        <v>0</v>
      </c>
    </row>
    <row r="139" ht="18.0" customHeight="1">
      <c r="B139" s="12" t="s">
        <v>395</v>
      </c>
      <c r="C139" s="34">
        <f>IFERROR(IF(AND(ISNUMBER('Real results'!C135),ISNUMBER('Real results'!D135),ISNUMBER('Raw data'!C135),ISNUMBER('Raw data'!D135)),IF(SIGN('Raw data'!C135-'Raw data'!D135)=SIGN('Real results'!C135-'Real results'!D135),3+IF(AND('Raw data'!C135='Real results'!C135,'Raw data'!D135='Real results'!D135),2,0),0),0),0)</f>
        <v>0</v>
      </c>
      <c r="E139" s="34">
        <f>IFERROR(IF(AND(ISNUMBER('Real results'!C135),ISNUMBER('Real results'!D135),ISNUMBER('Raw data'!E135),ISNUMBER('Raw data'!F135)),IF(SIGN('Raw data'!E135-'Raw data'!F135)=SIGN('Real results'!C135-'Real results'!D135),3+IF(AND('Raw data'!E135='Real results'!C135,'Raw data'!F135='Real results'!D135),2,0),0),0),0)</f>
        <v>0</v>
      </c>
      <c r="G139" s="34">
        <f>IFERROR(IF(AND(ISNUMBER('Real results'!C135),ISNUMBER('Real results'!D135),ISNUMBER('Raw data'!G135),ISNUMBER('Raw data'!H135)),IF(SIGN('Raw data'!G135-'Raw data'!H135)=SIGN('Real results'!C135-'Real results'!D135),3+IF(AND('Raw data'!G135='Real results'!C135,'Raw data'!H135='Real results'!D135),2,0),0),0),0)</f>
        <v>0</v>
      </c>
      <c r="I139" s="34">
        <f>IFERROR(IF(AND(ISNUMBER('Real results'!C135),ISNUMBER('Real results'!D135),ISNUMBER('Raw data'!I135),ISNUMBER('Raw data'!J135)),IF(SIGN('Raw data'!I135-'Raw data'!J135)=SIGN('Real results'!C135-'Real results'!D135),3+IF(AND('Raw data'!I135='Real results'!C135,'Raw data'!J135='Real results'!D135),2,0),0),0),0)</f>
        <v>0</v>
      </c>
      <c r="K139" s="34">
        <f>IFERROR(IF(AND(ISNUMBER('Real results'!C135),ISNUMBER('Real results'!D135),ISNUMBER('Raw data'!K135),ISNUMBER('Raw data'!L135)),IF(SIGN('Raw data'!K135-'Raw data'!L135)=SIGN('Real results'!C135-'Real results'!D135),3+IF(AND('Raw data'!K135='Real results'!C135,'Raw data'!L135='Real results'!D135),2,0),0),0),0)</f>
        <v>0</v>
      </c>
      <c r="M139" s="34">
        <f>IFERROR(IF(AND(ISNUMBER('Real results'!C135),ISNUMBER('Real results'!D135),ISNUMBER('Raw data'!M135),ISNUMBER('Raw data'!N135)),IF(SIGN('Raw data'!M135-'Raw data'!N135)=SIGN('Real results'!C135-'Real results'!D135),3+IF(AND('Raw data'!M135='Real results'!C135,'Raw data'!N135='Real results'!D135),2,0),0),0),0)</f>
        <v>0</v>
      </c>
      <c r="O139" s="34">
        <f>IFERROR(IF(AND(ISNUMBER('Real results'!C135),ISNUMBER('Real results'!D135),ISNUMBER('Raw data'!O135),ISNUMBER('Raw data'!P135)),IF(SIGN('Raw data'!O135-'Raw data'!P135)=SIGN('Real results'!C135-'Real results'!D135),3+IF(AND('Raw data'!O135='Real results'!C135,'Raw data'!P135='Real results'!D135),2,0),0),0),0)</f>
        <v>0</v>
      </c>
      <c r="Q139" s="34">
        <f>IFERROR(IF(AND(ISNUMBER('Real results'!C135),ISNUMBER('Real results'!D135),ISNUMBER('Raw data'!Q135),ISNUMBER('Raw data'!R135)),IF(SIGN('Raw data'!Q135-'Raw data'!R135)=SIGN('Real results'!C135-'Real results'!D135),3+IF(AND('Raw data'!Q135='Real results'!C135,'Raw data'!R135='Real results'!D135),2,0),0),0),0)</f>
        <v>0</v>
      </c>
      <c r="S139" s="34">
        <f>IFERROR(IF(AND(ISNUMBER('Real results'!C135),ISNUMBER('Real results'!D135),ISNUMBER('Raw data'!S135),ISNUMBER('Raw data'!T135)),IF(SIGN('Raw data'!S135-'Raw data'!T135)=SIGN('Real results'!C135-'Real results'!D135),3+IF(AND('Raw data'!S135='Real results'!C135,'Raw data'!T135='Real results'!D135),2,0),0),0),0)</f>
        <v>0</v>
      </c>
      <c r="U139" s="34">
        <f>IFERROR(IF(AND(ISNUMBER('Real results'!C135),ISNUMBER('Real results'!D135),ISNUMBER('Raw data'!U135),ISNUMBER('Raw data'!V135)),IF(SIGN('Raw data'!U135-'Raw data'!V135)=SIGN('Real results'!C135-'Real results'!D135),3+IF(AND('Raw data'!U135='Real results'!C135,'Raw data'!V135='Real results'!D135),2,0),0),0),0)</f>
        <v>0</v>
      </c>
      <c r="W139" s="34">
        <f>IFERROR(IF(AND(ISNUMBER('Real results'!C135),ISNUMBER('Real results'!D135),ISNUMBER('Raw data'!W135),ISNUMBER('Raw data'!X135)),IF(SIGN('Raw data'!W135-'Raw data'!X135)=SIGN('Real results'!C135-'Real results'!D135),3+IF(AND('Raw data'!W135='Real results'!C135,'Raw data'!X135='Real results'!D135),2,0),0),0),0)</f>
        <v>0</v>
      </c>
      <c r="Y139" s="34">
        <f>IFERROR(IF(AND(ISNUMBER('Real results'!C135),ISNUMBER('Real results'!D135),ISNUMBER('Raw data'!Y135),ISNUMBER('Raw data'!Z135)),IF(SIGN('Raw data'!Y135-'Raw data'!Z135)=SIGN('Real results'!C135-'Real results'!D135),3+IF(AND('Raw data'!Y135='Real results'!C135,'Raw data'!Z135='Real results'!D135),2,0),0),0),0)</f>
        <v>0</v>
      </c>
      <c r="AA139" s="34">
        <f>IFERROR(IF(AND(ISNUMBER('Real results'!C135),ISNUMBER('Real results'!D135),ISNUMBER('Raw data'!AA135),ISNUMBER('Raw data'!AB135)),IF(SIGN('Raw data'!AA135-'Raw data'!AB135)=SIGN('Real results'!C135-'Real results'!D135),3+IF(AND('Raw data'!AA135='Real results'!C135,'Raw data'!AB135='Real results'!D135),2,0),0),0),0)</f>
        <v>0</v>
      </c>
      <c r="AC139" s="34">
        <f>IFERROR(IF(AND(ISNUMBER('Real results'!C135),ISNUMBER('Real results'!D135),ISNUMBER('Raw data'!AC135),ISNUMBER('Raw data'!AD135)),IF(SIGN('Raw data'!AC135-'Raw data'!AD135)=SIGN('Real results'!C135-'Real results'!D135),3+IF(AND('Raw data'!AC135='Real results'!C135,'Raw data'!AD135='Real results'!D135),2,0),0),0),0)</f>
        <v>0</v>
      </c>
      <c r="AE139" s="34">
        <f>IFERROR(IF(AND(ISNUMBER('Real results'!C135),ISNUMBER('Real results'!D135),ISNUMBER('Raw data'!AE135),ISNUMBER('Raw data'!AF135)),IF(SIGN('Raw data'!AE135-'Raw data'!AF135)=SIGN('Real results'!C135-'Real results'!D135),3+IF(AND('Raw data'!AE135='Real results'!C135,'Raw data'!AF135='Real results'!D135),2,0),0),0),0)</f>
        <v>0</v>
      </c>
      <c r="AG139" s="34">
        <f>IFERROR(IF(AND(ISNUMBER('Real results'!C135),ISNUMBER('Real results'!D135),ISNUMBER('Raw data'!AG135),ISNUMBER('Raw data'!AH135)),IF(SIGN('Raw data'!AG135-'Raw data'!AH135)=SIGN('Real results'!C135-'Real results'!D135),3+IF(AND('Raw data'!AG135='Real results'!C135,'Raw data'!AH135='Real results'!D135),2,0),0),0),0)</f>
        <v>0</v>
      </c>
      <c r="AI139" s="34">
        <f>IFERROR(IF(AND(ISNUMBER('Real results'!C135),ISNUMBER('Real results'!D135),ISNUMBER('Raw data'!AI135),ISNUMBER('Raw data'!AJ135)),IF(SIGN('Raw data'!AI135-'Raw data'!AJ135)=SIGN('Real results'!C135-'Real results'!D135),3+IF(AND('Raw data'!AI135='Real results'!C135,'Raw data'!AJ135='Real results'!D135),2,0),0),0),0)</f>
        <v>0</v>
      </c>
      <c r="AK139" s="34">
        <f>IFERROR(IF(AND(ISNUMBER('Real results'!C135),ISNUMBER('Real results'!D135),ISNUMBER('Raw data'!AK135),ISNUMBER('Raw data'!AL135)),IF(SIGN('Raw data'!AK135-'Raw data'!AL135)=SIGN('Real results'!C135-'Real results'!D135),3+IF(AND('Raw data'!AK135='Real results'!C135,'Raw data'!AL135='Real results'!D135),2,0),0),0),0)</f>
        <v>0</v>
      </c>
      <c r="AM139" s="34">
        <f>IFERROR(IF(AND(ISNUMBER('Real results'!C135),ISNUMBER('Real results'!D135),ISNUMBER('Raw data'!AM135),ISNUMBER('Raw data'!AN135)),IF(SIGN('Raw data'!AM135-'Raw data'!AN135)=SIGN('Real results'!C135-'Real results'!D135),3+IF(AND('Raw data'!AM135='Real results'!C135,'Raw data'!AN135='Real results'!D135),2,0),0),0),0)</f>
        <v>0</v>
      </c>
      <c r="AO139" s="34">
        <f>IFERROR(IF(AND(ISNUMBER('Real results'!C135),ISNUMBER('Real results'!D135),ISNUMBER('Raw data'!AO135),ISNUMBER('Raw data'!AP135)),IF(SIGN('Raw data'!AO135-'Raw data'!AP135)=SIGN('Real results'!C135-'Real results'!D135),3+IF(AND('Raw data'!AO135='Real results'!C135,'Raw data'!AP135='Real results'!D135),2,0),0),0),0)</f>
        <v>0</v>
      </c>
      <c r="AQ139" s="34">
        <f>IFERROR(IF(AND(ISNUMBER('Real results'!C135),ISNUMBER('Real results'!D135),ISNUMBER('Raw data'!AQ135),ISNUMBER('Raw data'!AR135)),IF(SIGN('Raw data'!AQ135-'Raw data'!AR135)=SIGN('Real results'!C135-'Real results'!D135),3+IF(AND('Raw data'!AQ135='Real results'!C135,'Raw data'!AR135='Real results'!D135),2,0),0),0),0)</f>
        <v>0</v>
      </c>
      <c r="AS139" s="34">
        <f>IFERROR(IF(AND(ISNUMBER('Real results'!C135),ISNUMBER('Real results'!D135),ISNUMBER('Raw data'!AS135),ISNUMBER('Raw data'!AT135)),IF(SIGN('Raw data'!AS135-'Raw data'!AT135)=SIGN('Real results'!C135-'Real results'!D135),3+IF(AND('Raw data'!AS135='Real results'!C135,'Raw data'!AT135='Real results'!D135),2,0),0),0),0)</f>
        <v>0</v>
      </c>
      <c r="AU139" s="34">
        <f>IFERROR(IF(AND(ISNUMBER('Real results'!C135),ISNUMBER('Real results'!D135),ISNUMBER('Raw data'!AU135),ISNUMBER('Raw data'!AV135)),IF(SIGN('Raw data'!AU135-'Raw data'!AV135)=SIGN('Real results'!C135-'Real results'!D135),3+IF(AND('Raw data'!AU135='Real results'!C135,'Raw data'!AV135='Real results'!D135),2,0),0),0),0)</f>
        <v>0</v>
      </c>
      <c r="AW139" s="34">
        <f>IFERROR(IF(AND(ISNUMBER('Real results'!C135),ISNUMBER('Real results'!D135),ISNUMBER('Raw data'!AW135),ISNUMBER('Raw data'!AX135)),IF(SIGN('Raw data'!AW135-'Raw data'!AX135)=SIGN('Real results'!C135-'Real results'!D135),3+IF(AND('Raw data'!AW135='Real results'!C135,'Raw data'!AX135='Real results'!D135),2,0),0),0),0)</f>
        <v>0</v>
      </c>
      <c r="AY139" s="34">
        <f>IFERROR(IF(AND(ISNUMBER('Real results'!C135),ISNUMBER('Real results'!D135),ISNUMBER('Raw data'!AY135),ISNUMBER('Raw data'!AZ135)),IF(SIGN('Raw data'!AY135-'Raw data'!AZ135)=SIGN('Real results'!C135-'Real results'!D135),3+IF(AND('Raw data'!AY135='Real results'!C135,'Raw data'!AZ135='Real results'!D135),2,0),0),0),0)</f>
        <v>0</v>
      </c>
      <c r="BA139" s="34">
        <f>IFERROR(IF(AND(ISNUMBER('Real results'!C135),ISNUMBER('Real results'!D135),ISNUMBER('Raw data'!BA135),ISNUMBER('Raw data'!BB135)),IF(SIGN('Raw data'!BA135-'Raw data'!BB135)=SIGN('Real results'!C135-'Real results'!D135),3+IF(AND('Raw data'!BA135='Real results'!C135,'Raw data'!BB135='Real results'!D135),2,0),0),0),0)</f>
        <v>0</v>
      </c>
      <c r="BC139" s="34">
        <f>IFERROR(IF(AND(ISNUMBER('Real results'!C135),ISNUMBER('Real results'!D135),ISNUMBER('Raw data'!BC135),ISNUMBER('Raw data'!BD135)),IF(SIGN('Raw data'!BC135-'Raw data'!BD135)=SIGN('Real results'!C135-'Real results'!D135),3+IF(AND('Raw data'!BC135='Real results'!C135,'Raw data'!BD135='Real results'!D135),2,0),0),0),0)</f>
        <v>0</v>
      </c>
      <c r="BE139" s="34">
        <f>IFERROR(IF(AND(ISNUMBER('Real results'!C135),ISNUMBER('Real results'!D135),ISNUMBER('Raw data'!BE135),ISNUMBER('Raw data'!BF135)),IF(SIGN('Raw data'!BE135-'Raw data'!BF135)=SIGN('Real results'!C135-'Real results'!D135),3+IF(AND('Raw data'!BE135='Real results'!C135,'Raw data'!BF135='Real results'!D135),2,0),0),0),0)</f>
        <v>0</v>
      </c>
      <c r="BG139" s="34">
        <f>IFERROR(IF(AND(ISNUMBER('Real results'!C135),ISNUMBER('Real results'!D135),ISNUMBER('Raw data'!BG135),ISNUMBER('Raw data'!BH135)),IF(SIGN('Raw data'!BG135-'Raw data'!BH135)=SIGN('Real results'!C135-'Real results'!D135),3+IF(AND('Raw data'!BG135='Real results'!C135,'Raw data'!BH135='Real results'!D135),2,0),0),0),0)</f>
        <v>0</v>
      </c>
      <c r="BI139" s="34">
        <f>IFERROR(IF(AND(ISNUMBER('Real results'!C135),ISNUMBER('Real results'!D135),ISNUMBER('Raw data'!BI135),ISNUMBER('Raw data'!BJ135)),IF(SIGN('Raw data'!BI135-'Raw data'!BJ135)=SIGN('Real results'!C135-'Real results'!D135),3+IF(AND('Raw data'!BI135='Real results'!C135,'Raw data'!BJ135='Real results'!D135),2,0),0),0),0)</f>
        <v>0</v>
      </c>
    </row>
    <row r="140" ht="18.0" customHeight="1">
      <c r="B140" s="12" t="s">
        <v>396</v>
      </c>
      <c r="C140" s="34">
        <v>0.0</v>
      </c>
      <c r="E140" s="34">
        <v>0.0</v>
      </c>
      <c r="G140" s="34">
        <v>0.0</v>
      </c>
      <c r="I140" s="34">
        <v>0.0</v>
      </c>
      <c r="K140" s="34">
        <v>0.0</v>
      </c>
      <c r="M140" s="34">
        <v>0.0</v>
      </c>
      <c r="O140" s="34">
        <v>0.0</v>
      </c>
      <c r="Q140" s="34">
        <v>0.0</v>
      </c>
      <c r="S140" s="34">
        <v>0.0</v>
      </c>
      <c r="U140" s="34">
        <v>0.0</v>
      </c>
      <c r="W140" s="34">
        <v>0.0</v>
      </c>
      <c r="Y140" s="34">
        <v>0.0</v>
      </c>
      <c r="AA140" s="34">
        <v>0.0</v>
      </c>
      <c r="AC140" s="34">
        <v>0.0</v>
      </c>
      <c r="AE140" s="34">
        <v>0.0</v>
      </c>
      <c r="AG140" s="34">
        <v>0.0</v>
      </c>
      <c r="AI140" s="34">
        <v>0.0</v>
      </c>
      <c r="AK140" s="34">
        <v>0.0</v>
      </c>
      <c r="AM140" s="34">
        <v>0.0</v>
      </c>
      <c r="AO140" s="34">
        <v>0.0</v>
      </c>
      <c r="AQ140" s="34">
        <v>0.0</v>
      </c>
      <c r="AS140" s="34">
        <v>0.0</v>
      </c>
      <c r="AU140" s="34">
        <v>0.0</v>
      </c>
      <c r="AW140" s="34">
        <v>0.0</v>
      </c>
      <c r="AY140" s="34">
        <v>0.0</v>
      </c>
      <c r="BA140" s="34">
        <v>0.0</v>
      </c>
      <c r="BC140" s="34">
        <v>0.0</v>
      </c>
      <c r="BE140" s="34">
        <v>0.0</v>
      </c>
      <c r="BG140" s="34">
        <v>0.0</v>
      </c>
      <c r="BI140" s="34">
        <v>0.0</v>
      </c>
    </row>
    <row r="141" ht="18.0" customHeight="1">
      <c r="B141" s="12" t="s">
        <v>397</v>
      </c>
      <c r="C141" s="34">
        <f>IFERROR(IF(AND('Real results'!C137&lt;&gt;"",'Raw data'!C137&lt;&gt;"",UPPER(TRIM('Real results'!C137))=UPPER(TRIM('Raw data'!C137))),1,0),0)</f>
        <v>0</v>
      </c>
      <c r="E141" s="34">
        <f>IFERROR(IF(AND('Real results'!C137&lt;&gt;"",'Raw data'!E137&lt;&gt;"",UPPER(TRIM('Real results'!C137))=UPPER(TRIM('Raw data'!E137))),1,0),0)</f>
        <v>0</v>
      </c>
      <c r="G141" s="34">
        <f>IFERROR(IF(AND('Real results'!C137&lt;&gt;"",'Raw data'!G137&lt;&gt;"",UPPER(TRIM('Real results'!C137))=UPPER(TRIM('Raw data'!G137))),1,0),0)</f>
        <v>0</v>
      </c>
      <c r="I141" s="34">
        <f>IFERROR(IF(AND('Real results'!C137&lt;&gt;"",'Raw data'!I137&lt;&gt;"",UPPER(TRIM('Real results'!C137))=UPPER(TRIM('Raw data'!I137))),1,0),0)</f>
        <v>0</v>
      </c>
      <c r="K141" s="34">
        <f>IFERROR(IF(AND('Real results'!C137&lt;&gt;"",'Raw data'!K137&lt;&gt;"",UPPER(TRIM('Real results'!C137))=UPPER(TRIM('Raw data'!K137))),1,0),0)</f>
        <v>0</v>
      </c>
      <c r="M141" s="34">
        <f>IFERROR(IF(AND('Real results'!C137&lt;&gt;"",'Raw data'!M137&lt;&gt;"",UPPER(TRIM('Real results'!C137))=UPPER(TRIM('Raw data'!M137))),1,0),0)</f>
        <v>0</v>
      </c>
      <c r="O141" s="34">
        <f>IFERROR(IF(AND('Real results'!C137&lt;&gt;"",'Raw data'!O137&lt;&gt;"",UPPER(TRIM('Real results'!C137))=UPPER(TRIM('Raw data'!O137))),1,0),0)</f>
        <v>0</v>
      </c>
      <c r="Q141" s="34">
        <f>IFERROR(IF(AND('Real results'!C137&lt;&gt;"",'Raw data'!Q137&lt;&gt;"",UPPER(TRIM('Real results'!C137))=UPPER(TRIM('Raw data'!Q137))),1,0),0)</f>
        <v>0</v>
      </c>
      <c r="S141" s="34">
        <f>IFERROR(IF(AND('Real results'!C137&lt;&gt;"",'Raw data'!S137&lt;&gt;"",UPPER(TRIM('Real results'!C137))=UPPER(TRIM('Raw data'!S137))),1,0),0)</f>
        <v>0</v>
      </c>
      <c r="U141" s="34">
        <f>IFERROR(IF(AND('Real results'!C137&lt;&gt;"",'Raw data'!U137&lt;&gt;"",UPPER(TRIM('Real results'!C137))=UPPER(TRIM('Raw data'!U137))),1,0),0)</f>
        <v>0</v>
      </c>
      <c r="W141" s="34">
        <f>IFERROR(IF(AND('Real results'!C137&lt;&gt;"",'Raw data'!W137&lt;&gt;"",UPPER(TRIM('Real results'!C137))=UPPER(TRIM('Raw data'!W137))),1,0),0)</f>
        <v>0</v>
      </c>
      <c r="Y141" s="34">
        <f>IFERROR(IF(AND('Real results'!C137&lt;&gt;"",'Raw data'!Y137&lt;&gt;"",UPPER(TRIM('Real results'!C137))=UPPER(TRIM('Raw data'!Y137))),1,0),0)</f>
        <v>0</v>
      </c>
      <c r="AA141" s="34">
        <f>IFERROR(IF(AND('Real results'!C137&lt;&gt;"",'Raw data'!AA137&lt;&gt;"",UPPER(TRIM('Real results'!C137))=UPPER(TRIM('Raw data'!AA137))),1,0),0)</f>
        <v>0</v>
      </c>
      <c r="AC141" s="34">
        <f>IFERROR(IF(AND('Real results'!C137&lt;&gt;"",'Raw data'!AC137&lt;&gt;"",UPPER(TRIM('Real results'!C137))=UPPER(TRIM('Raw data'!AC137))),1,0),0)</f>
        <v>0</v>
      </c>
      <c r="AE141" s="34">
        <f>IFERROR(IF(AND('Real results'!C137&lt;&gt;"",'Raw data'!AE137&lt;&gt;"",UPPER(TRIM('Real results'!C137))=UPPER(TRIM('Raw data'!AE137))),1,0),0)</f>
        <v>0</v>
      </c>
      <c r="AG141" s="34">
        <f>IFERROR(IF(AND('Real results'!C137&lt;&gt;"",'Raw data'!AG137&lt;&gt;"",UPPER(TRIM('Real results'!C137))=UPPER(TRIM('Raw data'!AG137))),1,0),0)</f>
        <v>0</v>
      </c>
      <c r="AI141" s="34">
        <f>IFERROR(IF(AND('Real results'!C137&lt;&gt;"",'Raw data'!AI137&lt;&gt;"",UPPER(TRIM('Real results'!C137))=UPPER(TRIM('Raw data'!AI137))),1,0),0)</f>
        <v>0</v>
      </c>
      <c r="AK141" s="34">
        <f>IFERROR(IF(AND('Real results'!C137&lt;&gt;"",'Raw data'!AK137&lt;&gt;"",UPPER(TRIM('Real results'!C137))=UPPER(TRIM('Raw data'!AK137))),1,0),0)</f>
        <v>0</v>
      </c>
      <c r="AM141" s="34">
        <f>IFERROR(IF(AND('Real results'!C137&lt;&gt;"",'Raw data'!AM137&lt;&gt;"",UPPER(TRIM('Real results'!C137))=UPPER(TRIM('Raw data'!AM137))),1,0),0)</f>
        <v>0</v>
      </c>
      <c r="AO141" s="34">
        <f>IFERROR(IF(AND('Real results'!C137&lt;&gt;"",'Raw data'!AO137&lt;&gt;"",UPPER(TRIM('Real results'!C137))=UPPER(TRIM('Raw data'!AO137))),1,0),0)</f>
        <v>0</v>
      </c>
      <c r="AQ141" s="34">
        <f>IFERROR(IF(AND('Real results'!C137&lt;&gt;"",'Raw data'!AQ137&lt;&gt;"",UPPER(TRIM('Real results'!C137))=UPPER(TRIM('Raw data'!AQ137))),1,0),0)</f>
        <v>0</v>
      </c>
      <c r="AS141" s="34">
        <f>IFERROR(IF(AND('Real results'!C137&lt;&gt;"",'Raw data'!AS137&lt;&gt;"",UPPER(TRIM('Real results'!C137))=UPPER(TRIM('Raw data'!AS137))),1,0),0)</f>
        <v>0</v>
      </c>
      <c r="AU141" s="34">
        <f>IFERROR(IF(AND('Real results'!C137&lt;&gt;"",'Raw data'!AU137&lt;&gt;"",UPPER(TRIM('Real results'!C137))=UPPER(TRIM('Raw data'!AU137))),1,0),0)</f>
        <v>0</v>
      </c>
      <c r="AW141" s="34">
        <f>IFERROR(IF(AND('Real results'!C137&lt;&gt;"",'Raw data'!AW137&lt;&gt;"",UPPER(TRIM('Real results'!C137))=UPPER(TRIM('Raw data'!AW137))),1,0),0)</f>
        <v>0</v>
      </c>
      <c r="AY141" s="34">
        <f>IFERROR(IF(AND('Real results'!C137&lt;&gt;"",'Raw data'!AY137&lt;&gt;"",UPPER(TRIM('Real results'!C137))=UPPER(TRIM('Raw data'!AY137))),1,0),0)</f>
        <v>0</v>
      </c>
      <c r="BA141" s="34">
        <f>IFERROR(IF(AND('Real results'!C137&lt;&gt;"",'Raw data'!BA137&lt;&gt;"",UPPER(TRIM('Real results'!C137))=UPPER(TRIM('Raw data'!BA137))),1,0),0)</f>
        <v>0</v>
      </c>
      <c r="BC141" s="34">
        <f>IFERROR(IF(AND('Real results'!C137&lt;&gt;"",'Raw data'!BC137&lt;&gt;"",UPPER(TRIM('Real results'!C137))=UPPER(TRIM('Raw data'!BC137))),1,0),0)</f>
        <v>0</v>
      </c>
      <c r="BE141" s="34">
        <f>IFERROR(IF(AND('Real results'!C137&lt;&gt;"",'Raw data'!BE137&lt;&gt;"",UPPER(TRIM('Real results'!C137))=UPPER(TRIM('Raw data'!BE137))),1,0),0)</f>
        <v>0</v>
      </c>
      <c r="BG141" s="34">
        <f>IFERROR(IF(AND('Real results'!C137&lt;&gt;"",'Raw data'!BG137&lt;&gt;"",UPPER(TRIM('Real results'!C137))=UPPER(TRIM('Raw data'!BG137))),1,0),0)</f>
        <v>0</v>
      </c>
      <c r="BI141" s="34">
        <f>IFERROR(IF(AND('Real results'!C137&lt;&gt;"",'Raw data'!BI137&lt;&gt;"",UPPER(TRIM('Real results'!C137))=UPPER(TRIM('Raw data'!BI137))),1,0),0)</f>
        <v>0</v>
      </c>
    </row>
    <row r="142" ht="18.0" customHeight="1">
      <c r="B142" s="12" t="s">
        <v>398</v>
      </c>
      <c r="C142" s="34">
        <f>IFERROR(IF(AND(ISNUMBER('Real results'!C138),ISNUMBER('Real results'!D138),ISNUMBER('Raw data'!C138),ISNUMBER('Raw data'!D138)),IF(SIGN('Raw data'!C138-'Raw data'!D138)=SIGN('Real results'!C138-'Real results'!D138),3+IF(AND('Raw data'!C138='Real results'!C138,'Raw data'!D138='Real results'!D138),2,0),0),0),0)</f>
        <v>0</v>
      </c>
      <c r="E142" s="34">
        <f>IFERROR(IF(AND(ISNUMBER('Real results'!C138),ISNUMBER('Real results'!D138),ISNUMBER('Raw data'!E138),ISNUMBER('Raw data'!F138)),IF(SIGN('Raw data'!E138-'Raw data'!F138)=SIGN('Real results'!C138-'Real results'!D138),3+IF(AND('Raw data'!E138='Real results'!C138,'Raw data'!F138='Real results'!D138),2,0),0),0),0)</f>
        <v>0</v>
      </c>
      <c r="G142" s="34">
        <f>IFERROR(IF(AND(ISNUMBER('Real results'!C138),ISNUMBER('Real results'!D138),ISNUMBER('Raw data'!G138),ISNUMBER('Raw data'!H138)),IF(SIGN('Raw data'!G138-'Raw data'!H138)=SIGN('Real results'!C138-'Real results'!D138),3+IF(AND('Raw data'!G138='Real results'!C138,'Raw data'!H138='Real results'!D138),2,0),0),0),0)</f>
        <v>0</v>
      </c>
      <c r="I142" s="34">
        <f>IFERROR(IF(AND(ISNUMBER('Real results'!C138),ISNUMBER('Real results'!D138),ISNUMBER('Raw data'!I138),ISNUMBER('Raw data'!J138)),IF(SIGN('Raw data'!I138-'Raw data'!J138)=SIGN('Real results'!C138-'Real results'!D138),3+IF(AND('Raw data'!I138='Real results'!C138,'Raw data'!J138='Real results'!D138),2,0),0),0),0)</f>
        <v>0</v>
      </c>
      <c r="K142" s="34">
        <f>IFERROR(IF(AND(ISNUMBER('Real results'!C138),ISNUMBER('Real results'!D138),ISNUMBER('Raw data'!K138),ISNUMBER('Raw data'!L138)),IF(SIGN('Raw data'!K138-'Raw data'!L138)=SIGN('Real results'!C138-'Real results'!D138),3+IF(AND('Raw data'!K138='Real results'!C138,'Raw data'!L138='Real results'!D138),2,0),0),0),0)</f>
        <v>0</v>
      </c>
      <c r="M142" s="34">
        <f>IFERROR(IF(AND(ISNUMBER('Real results'!C138),ISNUMBER('Real results'!D138),ISNUMBER('Raw data'!M138),ISNUMBER('Raw data'!N138)),IF(SIGN('Raw data'!M138-'Raw data'!N138)=SIGN('Real results'!C138-'Real results'!D138),3+IF(AND('Raw data'!M138='Real results'!C138,'Raw data'!N138='Real results'!D138),2,0),0),0),0)</f>
        <v>0</v>
      </c>
      <c r="O142" s="34">
        <f>IFERROR(IF(AND(ISNUMBER('Real results'!C138),ISNUMBER('Real results'!D138),ISNUMBER('Raw data'!O138),ISNUMBER('Raw data'!P138)),IF(SIGN('Raw data'!O138-'Raw data'!P138)=SIGN('Real results'!C138-'Real results'!D138),3+IF(AND('Raw data'!O138='Real results'!C138,'Raw data'!P138='Real results'!D138),2,0),0),0),0)</f>
        <v>0</v>
      </c>
      <c r="Q142" s="34">
        <f>IFERROR(IF(AND(ISNUMBER('Real results'!C138),ISNUMBER('Real results'!D138),ISNUMBER('Raw data'!Q138),ISNUMBER('Raw data'!R138)),IF(SIGN('Raw data'!Q138-'Raw data'!R138)=SIGN('Real results'!C138-'Real results'!D138),3+IF(AND('Raw data'!Q138='Real results'!C138,'Raw data'!R138='Real results'!D138),2,0),0),0),0)</f>
        <v>0</v>
      </c>
      <c r="S142" s="34">
        <f>IFERROR(IF(AND(ISNUMBER('Real results'!C138),ISNUMBER('Real results'!D138),ISNUMBER('Raw data'!S138),ISNUMBER('Raw data'!T138)),IF(SIGN('Raw data'!S138-'Raw data'!T138)=SIGN('Real results'!C138-'Real results'!D138),3+IF(AND('Raw data'!S138='Real results'!C138,'Raw data'!T138='Real results'!D138),2,0),0),0),0)</f>
        <v>0</v>
      </c>
      <c r="U142" s="34">
        <f>IFERROR(IF(AND(ISNUMBER('Real results'!C138),ISNUMBER('Real results'!D138),ISNUMBER('Raw data'!U138),ISNUMBER('Raw data'!V138)),IF(SIGN('Raw data'!U138-'Raw data'!V138)=SIGN('Real results'!C138-'Real results'!D138),3+IF(AND('Raw data'!U138='Real results'!C138,'Raw data'!V138='Real results'!D138),2,0),0),0),0)</f>
        <v>0</v>
      </c>
      <c r="W142" s="34">
        <f>IFERROR(IF(AND(ISNUMBER('Real results'!C138),ISNUMBER('Real results'!D138),ISNUMBER('Raw data'!W138),ISNUMBER('Raw data'!X138)),IF(SIGN('Raw data'!W138-'Raw data'!X138)=SIGN('Real results'!C138-'Real results'!D138),3+IF(AND('Raw data'!W138='Real results'!C138,'Raw data'!X138='Real results'!D138),2,0),0),0),0)</f>
        <v>0</v>
      </c>
      <c r="Y142" s="34">
        <f>IFERROR(IF(AND(ISNUMBER('Real results'!C138),ISNUMBER('Real results'!D138),ISNUMBER('Raw data'!Y138),ISNUMBER('Raw data'!Z138)),IF(SIGN('Raw data'!Y138-'Raw data'!Z138)=SIGN('Real results'!C138-'Real results'!D138),3+IF(AND('Raw data'!Y138='Real results'!C138,'Raw data'!Z138='Real results'!D138),2,0),0),0),0)</f>
        <v>0</v>
      </c>
      <c r="AA142" s="34">
        <f>IFERROR(IF(AND(ISNUMBER('Real results'!C138),ISNUMBER('Real results'!D138),ISNUMBER('Raw data'!AA138),ISNUMBER('Raw data'!AB138)),IF(SIGN('Raw data'!AA138-'Raw data'!AB138)=SIGN('Real results'!C138-'Real results'!D138),3+IF(AND('Raw data'!AA138='Real results'!C138,'Raw data'!AB138='Real results'!D138),2,0),0),0),0)</f>
        <v>0</v>
      </c>
      <c r="AC142" s="34">
        <f>IFERROR(IF(AND(ISNUMBER('Real results'!C138),ISNUMBER('Real results'!D138),ISNUMBER('Raw data'!AC138),ISNUMBER('Raw data'!AD138)),IF(SIGN('Raw data'!AC138-'Raw data'!AD138)=SIGN('Real results'!C138-'Real results'!D138),3+IF(AND('Raw data'!AC138='Real results'!C138,'Raw data'!AD138='Real results'!D138),2,0),0),0),0)</f>
        <v>0</v>
      </c>
      <c r="AE142" s="34">
        <f>IFERROR(IF(AND(ISNUMBER('Real results'!C138),ISNUMBER('Real results'!D138),ISNUMBER('Raw data'!AE138),ISNUMBER('Raw data'!AF138)),IF(SIGN('Raw data'!AE138-'Raw data'!AF138)=SIGN('Real results'!C138-'Real results'!D138),3+IF(AND('Raw data'!AE138='Real results'!C138,'Raw data'!AF138='Real results'!D138),2,0),0),0),0)</f>
        <v>0</v>
      </c>
      <c r="AG142" s="34">
        <f>IFERROR(IF(AND(ISNUMBER('Real results'!C138),ISNUMBER('Real results'!D138),ISNUMBER('Raw data'!AG138),ISNUMBER('Raw data'!AH138)),IF(SIGN('Raw data'!AG138-'Raw data'!AH138)=SIGN('Real results'!C138-'Real results'!D138),3+IF(AND('Raw data'!AG138='Real results'!C138,'Raw data'!AH138='Real results'!D138),2,0),0),0),0)</f>
        <v>0</v>
      </c>
      <c r="AI142" s="34">
        <f>IFERROR(IF(AND(ISNUMBER('Real results'!C138),ISNUMBER('Real results'!D138),ISNUMBER('Raw data'!AI138),ISNUMBER('Raw data'!AJ138)),IF(SIGN('Raw data'!AI138-'Raw data'!AJ138)=SIGN('Real results'!C138-'Real results'!D138),3+IF(AND('Raw data'!AI138='Real results'!C138,'Raw data'!AJ138='Real results'!D138),2,0),0),0),0)</f>
        <v>0</v>
      </c>
      <c r="AK142" s="34">
        <f>IFERROR(IF(AND(ISNUMBER('Real results'!C138),ISNUMBER('Real results'!D138),ISNUMBER('Raw data'!AK138),ISNUMBER('Raw data'!AL138)),IF(SIGN('Raw data'!AK138-'Raw data'!AL138)=SIGN('Real results'!C138-'Real results'!D138),3+IF(AND('Raw data'!AK138='Real results'!C138,'Raw data'!AL138='Real results'!D138),2,0),0),0),0)</f>
        <v>0</v>
      </c>
      <c r="AM142" s="34">
        <f>IFERROR(IF(AND(ISNUMBER('Real results'!C138),ISNUMBER('Real results'!D138),ISNUMBER('Raw data'!AM138),ISNUMBER('Raw data'!AN138)),IF(SIGN('Raw data'!AM138-'Raw data'!AN138)=SIGN('Real results'!C138-'Real results'!D138),3+IF(AND('Raw data'!AM138='Real results'!C138,'Raw data'!AN138='Real results'!D138),2,0),0),0),0)</f>
        <v>0</v>
      </c>
      <c r="AO142" s="34">
        <f>IFERROR(IF(AND(ISNUMBER('Real results'!C138),ISNUMBER('Real results'!D138),ISNUMBER('Raw data'!AO138),ISNUMBER('Raw data'!AP138)),IF(SIGN('Raw data'!AO138-'Raw data'!AP138)=SIGN('Real results'!C138-'Real results'!D138),3+IF(AND('Raw data'!AO138='Real results'!C138,'Raw data'!AP138='Real results'!D138),2,0),0),0),0)</f>
        <v>0</v>
      </c>
      <c r="AQ142" s="34">
        <f>IFERROR(IF(AND(ISNUMBER('Real results'!C138),ISNUMBER('Real results'!D138),ISNUMBER('Raw data'!AQ138),ISNUMBER('Raw data'!AR138)),IF(SIGN('Raw data'!AQ138-'Raw data'!AR138)=SIGN('Real results'!C138-'Real results'!D138),3+IF(AND('Raw data'!AQ138='Real results'!C138,'Raw data'!AR138='Real results'!D138),2,0),0),0),0)</f>
        <v>0</v>
      </c>
      <c r="AS142" s="34">
        <f>IFERROR(IF(AND(ISNUMBER('Real results'!C138),ISNUMBER('Real results'!D138),ISNUMBER('Raw data'!AS138),ISNUMBER('Raw data'!AT138)),IF(SIGN('Raw data'!AS138-'Raw data'!AT138)=SIGN('Real results'!C138-'Real results'!D138),3+IF(AND('Raw data'!AS138='Real results'!C138,'Raw data'!AT138='Real results'!D138),2,0),0),0),0)</f>
        <v>0</v>
      </c>
      <c r="AU142" s="34">
        <f>IFERROR(IF(AND(ISNUMBER('Real results'!C138),ISNUMBER('Real results'!D138),ISNUMBER('Raw data'!AU138),ISNUMBER('Raw data'!AV138)),IF(SIGN('Raw data'!AU138-'Raw data'!AV138)=SIGN('Real results'!C138-'Real results'!D138),3+IF(AND('Raw data'!AU138='Real results'!C138,'Raw data'!AV138='Real results'!D138),2,0),0),0),0)</f>
        <v>0</v>
      </c>
      <c r="AW142" s="34">
        <f>IFERROR(IF(AND(ISNUMBER('Real results'!C138),ISNUMBER('Real results'!D138),ISNUMBER('Raw data'!AW138),ISNUMBER('Raw data'!AX138)),IF(SIGN('Raw data'!AW138-'Raw data'!AX138)=SIGN('Real results'!C138-'Real results'!D138),3+IF(AND('Raw data'!AW138='Real results'!C138,'Raw data'!AX138='Real results'!D138),2,0),0),0),0)</f>
        <v>0</v>
      </c>
      <c r="AY142" s="34">
        <f>IFERROR(IF(AND(ISNUMBER('Real results'!C138),ISNUMBER('Real results'!D138),ISNUMBER('Raw data'!AY138),ISNUMBER('Raw data'!AZ138)),IF(SIGN('Raw data'!AY138-'Raw data'!AZ138)=SIGN('Real results'!C138-'Real results'!D138),3+IF(AND('Raw data'!AY138='Real results'!C138,'Raw data'!AZ138='Real results'!D138),2,0),0),0),0)</f>
        <v>0</v>
      </c>
      <c r="BA142" s="34">
        <f>IFERROR(IF(AND(ISNUMBER('Real results'!C138),ISNUMBER('Real results'!D138),ISNUMBER('Raw data'!BA138),ISNUMBER('Raw data'!BB138)),IF(SIGN('Raw data'!BA138-'Raw data'!BB138)=SIGN('Real results'!C138-'Real results'!D138),3+IF(AND('Raw data'!BA138='Real results'!C138,'Raw data'!BB138='Real results'!D138),2,0),0),0),0)</f>
        <v>0</v>
      </c>
      <c r="BC142" s="34">
        <f>IFERROR(IF(AND(ISNUMBER('Real results'!C138),ISNUMBER('Real results'!D138),ISNUMBER('Raw data'!BC138),ISNUMBER('Raw data'!BD138)),IF(SIGN('Raw data'!BC138-'Raw data'!BD138)=SIGN('Real results'!C138-'Real results'!D138),3+IF(AND('Raw data'!BC138='Real results'!C138,'Raw data'!BD138='Real results'!D138),2,0),0),0),0)</f>
        <v>0</v>
      </c>
      <c r="BE142" s="34">
        <f>IFERROR(IF(AND(ISNUMBER('Real results'!C138),ISNUMBER('Real results'!D138),ISNUMBER('Raw data'!BE138),ISNUMBER('Raw data'!BF138)),IF(SIGN('Raw data'!BE138-'Raw data'!BF138)=SIGN('Real results'!C138-'Real results'!D138),3+IF(AND('Raw data'!BE138='Real results'!C138,'Raw data'!BF138='Real results'!D138),2,0),0),0),0)</f>
        <v>0</v>
      </c>
      <c r="BG142" s="34">
        <f>IFERROR(IF(AND(ISNUMBER('Real results'!C138),ISNUMBER('Real results'!D138),ISNUMBER('Raw data'!BG138),ISNUMBER('Raw data'!BH138)),IF(SIGN('Raw data'!BG138-'Raw data'!BH138)=SIGN('Real results'!C138-'Real results'!D138),3+IF(AND('Raw data'!BG138='Real results'!C138,'Raw data'!BH138='Real results'!D138),2,0),0),0),0)</f>
        <v>0</v>
      </c>
      <c r="BI142" s="34">
        <f>IFERROR(IF(AND(ISNUMBER('Real results'!C138),ISNUMBER('Real results'!D138),ISNUMBER('Raw data'!BI138),ISNUMBER('Raw data'!BJ138)),IF(SIGN('Raw data'!BI138-'Raw data'!BJ138)=SIGN('Real results'!C138-'Real results'!D138),3+IF(AND('Raw data'!BI138='Real results'!C138,'Raw data'!BJ138='Real results'!D138),2,0),0),0),0)</f>
        <v>0</v>
      </c>
    </row>
    <row r="143" ht="18.0" customHeight="1">
      <c r="B143" s="12" t="s">
        <v>399</v>
      </c>
      <c r="C143" s="34">
        <v>0.0</v>
      </c>
      <c r="E143" s="34">
        <v>0.0</v>
      </c>
      <c r="G143" s="34">
        <v>0.0</v>
      </c>
      <c r="I143" s="34">
        <v>0.0</v>
      </c>
      <c r="K143" s="34">
        <v>0.0</v>
      </c>
      <c r="M143" s="34">
        <v>0.0</v>
      </c>
      <c r="O143" s="34">
        <v>0.0</v>
      </c>
      <c r="Q143" s="34">
        <v>0.0</v>
      </c>
      <c r="S143" s="34">
        <v>0.0</v>
      </c>
      <c r="U143" s="34">
        <v>0.0</v>
      </c>
      <c r="W143" s="34">
        <v>0.0</v>
      </c>
      <c r="Y143" s="34">
        <v>0.0</v>
      </c>
      <c r="AA143" s="34">
        <v>0.0</v>
      </c>
      <c r="AC143" s="34">
        <v>0.0</v>
      </c>
      <c r="AE143" s="34">
        <v>0.0</v>
      </c>
      <c r="AG143" s="34">
        <v>0.0</v>
      </c>
      <c r="AI143" s="34">
        <v>0.0</v>
      </c>
      <c r="AK143" s="34">
        <v>0.0</v>
      </c>
      <c r="AM143" s="34">
        <v>0.0</v>
      </c>
      <c r="AO143" s="34">
        <v>0.0</v>
      </c>
      <c r="AQ143" s="34">
        <v>0.0</v>
      </c>
      <c r="AS143" s="34">
        <v>0.0</v>
      </c>
      <c r="AU143" s="34">
        <v>0.0</v>
      </c>
      <c r="AW143" s="34">
        <v>0.0</v>
      </c>
      <c r="AY143" s="34">
        <v>0.0</v>
      </c>
      <c r="BA143" s="34">
        <v>0.0</v>
      </c>
      <c r="BC143" s="34">
        <v>0.0</v>
      </c>
      <c r="BE143" s="34">
        <v>0.0</v>
      </c>
      <c r="BG143" s="34">
        <v>0.0</v>
      </c>
      <c r="BI143" s="34">
        <v>0.0</v>
      </c>
    </row>
    <row r="144" ht="18.0" customHeight="1">
      <c r="B144" s="12" t="s">
        <v>400</v>
      </c>
      <c r="C144" s="34">
        <f>IFERROR(IF(AND('Real results'!C140&lt;&gt;"",'Raw data'!C140&lt;&gt;"",UPPER(TRIM('Real results'!C140))=UPPER(TRIM('Raw data'!C140))),1,0),0)</f>
        <v>0</v>
      </c>
      <c r="E144" s="34">
        <f>IFERROR(IF(AND('Real results'!C140&lt;&gt;"",'Raw data'!E140&lt;&gt;"",UPPER(TRIM('Real results'!C140))=UPPER(TRIM('Raw data'!E140))),1,0),0)</f>
        <v>0</v>
      </c>
      <c r="G144" s="34">
        <f>IFERROR(IF(AND('Real results'!C140&lt;&gt;"",'Raw data'!G140&lt;&gt;"",UPPER(TRIM('Real results'!C140))=UPPER(TRIM('Raw data'!G140))),1,0),0)</f>
        <v>0</v>
      </c>
      <c r="I144" s="34">
        <f>IFERROR(IF(AND('Real results'!C140&lt;&gt;"",'Raw data'!I140&lt;&gt;"",UPPER(TRIM('Real results'!C140))=UPPER(TRIM('Raw data'!I140))),1,0),0)</f>
        <v>0</v>
      </c>
      <c r="K144" s="34">
        <f>IFERROR(IF(AND('Real results'!C140&lt;&gt;"",'Raw data'!K140&lt;&gt;"",UPPER(TRIM('Real results'!C140))=UPPER(TRIM('Raw data'!K140))),1,0),0)</f>
        <v>0</v>
      </c>
      <c r="M144" s="34">
        <f>IFERROR(IF(AND('Real results'!C140&lt;&gt;"",'Raw data'!M140&lt;&gt;"",UPPER(TRIM('Real results'!C140))=UPPER(TRIM('Raw data'!M140))),1,0),0)</f>
        <v>0</v>
      </c>
      <c r="O144" s="34">
        <f>IFERROR(IF(AND('Real results'!C140&lt;&gt;"",'Raw data'!O140&lt;&gt;"",UPPER(TRIM('Real results'!C140))=UPPER(TRIM('Raw data'!O140))),1,0),0)</f>
        <v>0</v>
      </c>
      <c r="Q144" s="34">
        <f>IFERROR(IF(AND('Real results'!C140&lt;&gt;"",'Raw data'!Q140&lt;&gt;"",UPPER(TRIM('Real results'!C140))=UPPER(TRIM('Raw data'!Q140))),1,0),0)</f>
        <v>0</v>
      </c>
      <c r="S144" s="34">
        <f>IFERROR(IF(AND('Real results'!C140&lt;&gt;"",'Raw data'!S140&lt;&gt;"",UPPER(TRIM('Real results'!C140))=UPPER(TRIM('Raw data'!S140))),1,0),0)</f>
        <v>0</v>
      </c>
      <c r="U144" s="34">
        <f>IFERROR(IF(AND('Real results'!C140&lt;&gt;"",'Raw data'!U140&lt;&gt;"",UPPER(TRIM('Real results'!C140))=UPPER(TRIM('Raw data'!U140))),1,0),0)</f>
        <v>0</v>
      </c>
      <c r="W144" s="34">
        <f>IFERROR(IF(AND('Real results'!C140&lt;&gt;"",'Raw data'!W140&lt;&gt;"",UPPER(TRIM('Real results'!C140))=UPPER(TRIM('Raw data'!W140))),1,0),0)</f>
        <v>0</v>
      </c>
      <c r="Y144" s="34">
        <f>IFERROR(IF(AND('Real results'!C140&lt;&gt;"",'Raw data'!Y140&lt;&gt;"",UPPER(TRIM('Real results'!C140))=UPPER(TRIM('Raw data'!Y140))),1,0),0)</f>
        <v>0</v>
      </c>
      <c r="AA144" s="34">
        <f>IFERROR(IF(AND('Real results'!C140&lt;&gt;"",'Raw data'!AA140&lt;&gt;"",UPPER(TRIM('Real results'!C140))=UPPER(TRIM('Raw data'!AA140))),1,0),0)</f>
        <v>0</v>
      </c>
      <c r="AC144" s="34">
        <f>IFERROR(IF(AND('Real results'!C140&lt;&gt;"",'Raw data'!AC140&lt;&gt;"",UPPER(TRIM('Real results'!C140))=UPPER(TRIM('Raw data'!AC140))),1,0),0)</f>
        <v>0</v>
      </c>
      <c r="AE144" s="34">
        <f>IFERROR(IF(AND('Real results'!C140&lt;&gt;"",'Raw data'!AE140&lt;&gt;"",UPPER(TRIM('Real results'!C140))=UPPER(TRIM('Raw data'!AE140))),1,0),0)</f>
        <v>0</v>
      </c>
      <c r="AG144" s="34">
        <f>IFERROR(IF(AND('Real results'!C140&lt;&gt;"",'Raw data'!AG140&lt;&gt;"",UPPER(TRIM('Real results'!C140))=UPPER(TRIM('Raw data'!AG140))),1,0),0)</f>
        <v>0</v>
      </c>
      <c r="AI144" s="34">
        <f>IFERROR(IF(AND('Real results'!C140&lt;&gt;"",'Raw data'!AI140&lt;&gt;"",UPPER(TRIM('Real results'!C140))=UPPER(TRIM('Raw data'!AI140))),1,0),0)</f>
        <v>0</v>
      </c>
      <c r="AK144" s="34">
        <f>IFERROR(IF(AND('Real results'!C140&lt;&gt;"",'Raw data'!AK140&lt;&gt;"",UPPER(TRIM('Real results'!C140))=UPPER(TRIM('Raw data'!AK140))),1,0),0)</f>
        <v>0</v>
      </c>
      <c r="AM144" s="34">
        <f>IFERROR(IF(AND('Real results'!C140&lt;&gt;"",'Raw data'!AM140&lt;&gt;"",UPPER(TRIM('Real results'!C140))=UPPER(TRIM('Raw data'!AM140))),1,0),0)</f>
        <v>0</v>
      </c>
      <c r="AO144" s="34">
        <f>IFERROR(IF(AND('Real results'!C140&lt;&gt;"",'Raw data'!AO140&lt;&gt;"",UPPER(TRIM('Real results'!C140))=UPPER(TRIM('Raw data'!AO140))),1,0),0)</f>
        <v>0</v>
      </c>
      <c r="AQ144" s="34">
        <f>IFERROR(IF(AND('Real results'!C140&lt;&gt;"",'Raw data'!AQ140&lt;&gt;"",UPPER(TRIM('Real results'!C140))=UPPER(TRIM('Raw data'!AQ140))),1,0),0)</f>
        <v>0</v>
      </c>
      <c r="AS144" s="34">
        <f>IFERROR(IF(AND('Real results'!C140&lt;&gt;"",'Raw data'!AS140&lt;&gt;"",UPPER(TRIM('Real results'!C140))=UPPER(TRIM('Raw data'!AS140))),1,0),0)</f>
        <v>0</v>
      </c>
      <c r="AU144" s="34">
        <f>IFERROR(IF(AND('Real results'!C140&lt;&gt;"",'Raw data'!AU140&lt;&gt;"",UPPER(TRIM('Real results'!C140))=UPPER(TRIM('Raw data'!AU140))),1,0),0)</f>
        <v>0</v>
      </c>
      <c r="AW144" s="34">
        <f>IFERROR(IF(AND('Real results'!C140&lt;&gt;"",'Raw data'!AW140&lt;&gt;"",UPPER(TRIM('Real results'!C140))=UPPER(TRIM('Raw data'!AW140))),1,0),0)</f>
        <v>0</v>
      </c>
      <c r="AY144" s="34">
        <f>IFERROR(IF(AND('Real results'!C140&lt;&gt;"",'Raw data'!AY140&lt;&gt;"",UPPER(TRIM('Real results'!C140))=UPPER(TRIM('Raw data'!AY140))),1,0),0)</f>
        <v>0</v>
      </c>
      <c r="BA144" s="34">
        <f>IFERROR(IF(AND('Real results'!C140&lt;&gt;"",'Raw data'!BA140&lt;&gt;"",UPPER(TRIM('Real results'!C140))=UPPER(TRIM('Raw data'!BA140))),1,0),0)</f>
        <v>0</v>
      </c>
      <c r="BC144" s="34">
        <f>IFERROR(IF(AND('Real results'!C140&lt;&gt;"",'Raw data'!BC140&lt;&gt;"",UPPER(TRIM('Real results'!C140))=UPPER(TRIM('Raw data'!BC140))),1,0),0)</f>
        <v>0</v>
      </c>
      <c r="BE144" s="34">
        <f>IFERROR(IF(AND('Real results'!C140&lt;&gt;"",'Raw data'!BE140&lt;&gt;"",UPPER(TRIM('Real results'!C140))=UPPER(TRIM('Raw data'!BE140))),1,0),0)</f>
        <v>0</v>
      </c>
      <c r="BG144" s="34">
        <f>IFERROR(IF(AND('Real results'!C140&lt;&gt;"",'Raw data'!BG140&lt;&gt;"",UPPER(TRIM('Real results'!C140))=UPPER(TRIM('Raw data'!BG140))),1,0),0)</f>
        <v>0</v>
      </c>
      <c r="BI144" s="34">
        <f>IFERROR(IF(AND('Real results'!C140&lt;&gt;"",'Raw data'!BI140&lt;&gt;"",UPPER(TRIM('Real results'!C140))=UPPER(TRIM('Raw data'!BI140))),1,0),0)</f>
        <v>0</v>
      </c>
    </row>
    <row r="145" ht="18.0" customHeight="1">
      <c r="B145" s="12" t="s">
        <v>401</v>
      </c>
      <c r="C145" s="34">
        <f>IFERROR(IF(AND(ISNUMBER('Real results'!C141),ISNUMBER('Real results'!D141),ISNUMBER('Raw data'!C141),ISNUMBER('Raw data'!D141)),IF(SIGN('Raw data'!C141-'Raw data'!D141)=SIGN('Real results'!C141-'Real results'!D141),3+IF(AND('Raw data'!C141='Real results'!C141,'Raw data'!D141='Real results'!D141),2,0),0),0),0)</f>
        <v>0</v>
      </c>
      <c r="E145" s="34">
        <f>IFERROR(IF(AND(ISNUMBER('Real results'!C141),ISNUMBER('Real results'!D141),ISNUMBER('Raw data'!E141),ISNUMBER('Raw data'!F141)),IF(SIGN('Raw data'!E141-'Raw data'!F141)=SIGN('Real results'!C141-'Real results'!D141),3+IF(AND('Raw data'!E141='Real results'!C141,'Raw data'!F141='Real results'!D141),2,0),0),0),0)</f>
        <v>0</v>
      </c>
      <c r="G145" s="34">
        <f>IFERROR(IF(AND(ISNUMBER('Real results'!C141),ISNUMBER('Real results'!D141),ISNUMBER('Raw data'!G141),ISNUMBER('Raw data'!H141)),IF(SIGN('Raw data'!G141-'Raw data'!H141)=SIGN('Real results'!C141-'Real results'!D141),3+IF(AND('Raw data'!G141='Real results'!C141,'Raw data'!H141='Real results'!D141),2,0),0),0),0)</f>
        <v>0</v>
      </c>
      <c r="I145" s="34">
        <f>IFERROR(IF(AND(ISNUMBER('Real results'!C141),ISNUMBER('Real results'!D141),ISNUMBER('Raw data'!I141),ISNUMBER('Raw data'!J141)),IF(SIGN('Raw data'!I141-'Raw data'!J141)=SIGN('Real results'!C141-'Real results'!D141),3+IF(AND('Raw data'!I141='Real results'!C141,'Raw data'!J141='Real results'!D141),2,0),0),0),0)</f>
        <v>0</v>
      </c>
      <c r="K145" s="34">
        <f>IFERROR(IF(AND(ISNUMBER('Real results'!C141),ISNUMBER('Real results'!D141),ISNUMBER('Raw data'!K141),ISNUMBER('Raw data'!L141)),IF(SIGN('Raw data'!K141-'Raw data'!L141)=SIGN('Real results'!C141-'Real results'!D141),3+IF(AND('Raw data'!K141='Real results'!C141,'Raw data'!L141='Real results'!D141),2,0),0),0),0)</f>
        <v>0</v>
      </c>
      <c r="M145" s="34">
        <f>IFERROR(IF(AND(ISNUMBER('Real results'!C141),ISNUMBER('Real results'!D141),ISNUMBER('Raw data'!M141),ISNUMBER('Raw data'!N141)),IF(SIGN('Raw data'!M141-'Raw data'!N141)=SIGN('Real results'!C141-'Real results'!D141),3+IF(AND('Raw data'!M141='Real results'!C141,'Raw data'!N141='Real results'!D141),2,0),0),0),0)</f>
        <v>0</v>
      </c>
      <c r="O145" s="34">
        <f>IFERROR(IF(AND(ISNUMBER('Real results'!C141),ISNUMBER('Real results'!D141),ISNUMBER('Raw data'!O141),ISNUMBER('Raw data'!P141)),IF(SIGN('Raw data'!O141-'Raw data'!P141)=SIGN('Real results'!C141-'Real results'!D141),3+IF(AND('Raw data'!O141='Real results'!C141,'Raw data'!P141='Real results'!D141),2,0),0),0),0)</f>
        <v>0</v>
      </c>
      <c r="Q145" s="34">
        <f>IFERROR(IF(AND(ISNUMBER('Real results'!C141),ISNUMBER('Real results'!D141),ISNUMBER('Raw data'!Q141),ISNUMBER('Raw data'!R141)),IF(SIGN('Raw data'!Q141-'Raw data'!R141)=SIGN('Real results'!C141-'Real results'!D141),3+IF(AND('Raw data'!Q141='Real results'!C141,'Raw data'!R141='Real results'!D141),2,0),0),0),0)</f>
        <v>0</v>
      </c>
      <c r="S145" s="34">
        <f>IFERROR(IF(AND(ISNUMBER('Real results'!C141),ISNUMBER('Real results'!D141),ISNUMBER('Raw data'!S141),ISNUMBER('Raw data'!T141)),IF(SIGN('Raw data'!S141-'Raw data'!T141)=SIGN('Real results'!C141-'Real results'!D141),3+IF(AND('Raw data'!S141='Real results'!C141,'Raw data'!T141='Real results'!D141),2,0),0),0),0)</f>
        <v>0</v>
      </c>
      <c r="U145" s="34">
        <f>IFERROR(IF(AND(ISNUMBER('Real results'!C141),ISNUMBER('Real results'!D141),ISNUMBER('Raw data'!U141),ISNUMBER('Raw data'!V141)),IF(SIGN('Raw data'!U141-'Raw data'!V141)=SIGN('Real results'!C141-'Real results'!D141),3+IF(AND('Raw data'!U141='Real results'!C141,'Raw data'!V141='Real results'!D141),2,0),0),0),0)</f>
        <v>0</v>
      </c>
      <c r="W145" s="34">
        <f>IFERROR(IF(AND(ISNUMBER('Real results'!C141),ISNUMBER('Real results'!D141),ISNUMBER('Raw data'!W141),ISNUMBER('Raw data'!X141)),IF(SIGN('Raw data'!W141-'Raw data'!X141)=SIGN('Real results'!C141-'Real results'!D141),3+IF(AND('Raw data'!W141='Real results'!C141,'Raw data'!X141='Real results'!D141),2,0),0),0),0)</f>
        <v>0</v>
      </c>
      <c r="Y145" s="34">
        <f>IFERROR(IF(AND(ISNUMBER('Real results'!C141),ISNUMBER('Real results'!D141),ISNUMBER('Raw data'!Y141),ISNUMBER('Raw data'!Z141)),IF(SIGN('Raw data'!Y141-'Raw data'!Z141)=SIGN('Real results'!C141-'Real results'!D141),3+IF(AND('Raw data'!Y141='Real results'!C141,'Raw data'!Z141='Real results'!D141),2,0),0),0),0)</f>
        <v>0</v>
      </c>
      <c r="AA145" s="34">
        <f>IFERROR(IF(AND(ISNUMBER('Real results'!C141),ISNUMBER('Real results'!D141),ISNUMBER('Raw data'!AA141),ISNUMBER('Raw data'!AB141)),IF(SIGN('Raw data'!AA141-'Raw data'!AB141)=SIGN('Real results'!C141-'Real results'!D141),3+IF(AND('Raw data'!AA141='Real results'!C141,'Raw data'!AB141='Real results'!D141),2,0),0),0),0)</f>
        <v>0</v>
      </c>
      <c r="AC145" s="34">
        <f>IFERROR(IF(AND(ISNUMBER('Real results'!C141),ISNUMBER('Real results'!D141),ISNUMBER('Raw data'!AC141),ISNUMBER('Raw data'!AD141)),IF(SIGN('Raw data'!AC141-'Raw data'!AD141)=SIGN('Real results'!C141-'Real results'!D141),3+IF(AND('Raw data'!AC141='Real results'!C141,'Raw data'!AD141='Real results'!D141),2,0),0),0),0)</f>
        <v>0</v>
      </c>
      <c r="AE145" s="34">
        <f>IFERROR(IF(AND(ISNUMBER('Real results'!C141),ISNUMBER('Real results'!D141),ISNUMBER('Raw data'!AE141),ISNUMBER('Raw data'!AF141)),IF(SIGN('Raw data'!AE141-'Raw data'!AF141)=SIGN('Real results'!C141-'Real results'!D141),3+IF(AND('Raw data'!AE141='Real results'!C141,'Raw data'!AF141='Real results'!D141),2,0),0),0),0)</f>
        <v>0</v>
      </c>
      <c r="AG145" s="34">
        <f>IFERROR(IF(AND(ISNUMBER('Real results'!C141),ISNUMBER('Real results'!D141),ISNUMBER('Raw data'!AG141),ISNUMBER('Raw data'!AH141)),IF(SIGN('Raw data'!AG141-'Raw data'!AH141)=SIGN('Real results'!C141-'Real results'!D141),3+IF(AND('Raw data'!AG141='Real results'!C141,'Raw data'!AH141='Real results'!D141),2,0),0),0),0)</f>
        <v>0</v>
      </c>
      <c r="AI145" s="34">
        <f>IFERROR(IF(AND(ISNUMBER('Real results'!C141),ISNUMBER('Real results'!D141),ISNUMBER('Raw data'!AI141),ISNUMBER('Raw data'!AJ141)),IF(SIGN('Raw data'!AI141-'Raw data'!AJ141)=SIGN('Real results'!C141-'Real results'!D141),3+IF(AND('Raw data'!AI141='Real results'!C141,'Raw data'!AJ141='Real results'!D141),2,0),0),0),0)</f>
        <v>0</v>
      </c>
      <c r="AK145" s="34">
        <f>IFERROR(IF(AND(ISNUMBER('Real results'!C141),ISNUMBER('Real results'!D141),ISNUMBER('Raw data'!AK141),ISNUMBER('Raw data'!AL141)),IF(SIGN('Raw data'!AK141-'Raw data'!AL141)=SIGN('Real results'!C141-'Real results'!D141),3+IF(AND('Raw data'!AK141='Real results'!C141,'Raw data'!AL141='Real results'!D141),2,0),0),0),0)</f>
        <v>0</v>
      </c>
      <c r="AM145" s="34">
        <f>IFERROR(IF(AND(ISNUMBER('Real results'!C141),ISNUMBER('Real results'!D141),ISNUMBER('Raw data'!AM141),ISNUMBER('Raw data'!AN141)),IF(SIGN('Raw data'!AM141-'Raw data'!AN141)=SIGN('Real results'!C141-'Real results'!D141),3+IF(AND('Raw data'!AM141='Real results'!C141,'Raw data'!AN141='Real results'!D141),2,0),0),0),0)</f>
        <v>0</v>
      </c>
      <c r="AO145" s="34">
        <f>IFERROR(IF(AND(ISNUMBER('Real results'!C141),ISNUMBER('Real results'!D141),ISNUMBER('Raw data'!AO141),ISNUMBER('Raw data'!AP141)),IF(SIGN('Raw data'!AO141-'Raw data'!AP141)=SIGN('Real results'!C141-'Real results'!D141),3+IF(AND('Raw data'!AO141='Real results'!C141,'Raw data'!AP141='Real results'!D141),2,0),0),0),0)</f>
        <v>0</v>
      </c>
      <c r="AQ145" s="34">
        <f>IFERROR(IF(AND(ISNUMBER('Real results'!C141),ISNUMBER('Real results'!D141),ISNUMBER('Raw data'!AQ141),ISNUMBER('Raw data'!AR141)),IF(SIGN('Raw data'!AQ141-'Raw data'!AR141)=SIGN('Real results'!C141-'Real results'!D141),3+IF(AND('Raw data'!AQ141='Real results'!C141,'Raw data'!AR141='Real results'!D141),2,0),0),0),0)</f>
        <v>0</v>
      </c>
      <c r="AS145" s="34">
        <f>IFERROR(IF(AND(ISNUMBER('Real results'!C141),ISNUMBER('Real results'!D141),ISNUMBER('Raw data'!AS141),ISNUMBER('Raw data'!AT141)),IF(SIGN('Raw data'!AS141-'Raw data'!AT141)=SIGN('Real results'!C141-'Real results'!D141),3+IF(AND('Raw data'!AS141='Real results'!C141,'Raw data'!AT141='Real results'!D141),2,0),0),0),0)</f>
        <v>0</v>
      </c>
      <c r="AU145" s="34">
        <f>IFERROR(IF(AND(ISNUMBER('Real results'!C141),ISNUMBER('Real results'!D141),ISNUMBER('Raw data'!AU141),ISNUMBER('Raw data'!AV141)),IF(SIGN('Raw data'!AU141-'Raw data'!AV141)=SIGN('Real results'!C141-'Real results'!D141),3+IF(AND('Raw data'!AU141='Real results'!C141,'Raw data'!AV141='Real results'!D141),2,0),0),0),0)</f>
        <v>0</v>
      </c>
      <c r="AW145" s="34">
        <f>IFERROR(IF(AND(ISNUMBER('Real results'!C141),ISNUMBER('Real results'!D141),ISNUMBER('Raw data'!AW141),ISNUMBER('Raw data'!AX141)),IF(SIGN('Raw data'!AW141-'Raw data'!AX141)=SIGN('Real results'!C141-'Real results'!D141),3+IF(AND('Raw data'!AW141='Real results'!C141,'Raw data'!AX141='Real results'!D141),2,0),0),0),0)</f>
        <v>0</v>
      </c>
      <c r="AY145" s="34">
        <f>IFERROR(IF(AND(ISNUMBER('Real results'!C141),ISNUMBER('Real results'!D141),ISNUMBER('Raw data'!AY141),ISNUMBER('Raw data'!AZ141)),IF(SIGN('Raw data'!AY141-'Raw data'!AZ141)=SIGN('Real results'!C141-'Real results'!D141),3+IF(AND('Raw data'!AY141='Real results'!C141,'Raw data'!AZ141='Real results'!D141),2,0),0),0),0)</f>
        <v>0</v>
      </c>
      <c r="BA145" s="34">
        <f>IFERROR(IF(AND(ISNUMBER('Real results'!C141),ISNUMBER('Real results'!D141),ISNUMBER('Raw data'!BA141),ISNUMBER('Raw data'!BB141)),IF(SIGN('Raw data'!BA141-'Raw data'!BB141)=SIGN('Real results'!C141-'Real results'!D141),3+IF(AND('Raw data'!BA141='Real results'!C141,'Raw data'!BB141='Real results'!D141),2,0),0),0),0)</f>
        <v>0</v>
      </c>
      <c r="BC145" s="34">
        <f>IFERROR(IF(AND(ISNUMBER('Real results'!C141),ISNUMBER('Real results'!D141),ISNUMBER('Raw data'!BC141),ISNUMBER('Raw data'!BD141)),IF(SIGN('Raw data'!BC141-'Raw data'!BD141)=SIGN('Real results'!C141-'Real results'!D141),3+IF(AND('Raw data'!BC141='Real results'!C141,'Raw data'!BD141='Real results'!D141),2,0),0),0),0)</f>
        <v>0</v>
      </c>
      <c r="BE145" s="34">
        <f>IFERROR(IF(AND(ISNUMBER('Real results'!C141),ISNUMBER('Real results'!D141),ISNUMBER('Raw data'!BE141),ISNUMBER('Raw data'!BF141)),IF(SIGN('Raw data'!BE141-'Raw data'!BF141)=SIGN('Real results'!C141-'Real results'!D141),3+IF(AND('Raw data'!BE141='Real results'!C141,'Raw data'!BF141='Real results'!D141),2,0),0),0),0)</f>
        <v>0</v>
      </c>
      <c r="BG145" s="34">
        <f>IFERROR(IF(AND(ISNUMBER('Real results'!C141),ISNUMBER('Real results'!D141),ISNUMBER('Raw data'!BG141),ISNUMBER('Raw data'!BH141)),IF(SIGN('Raw data'!BG141-'Raw data'!BH141)=SIGN('Real results'!C141-'Real results'!D141),3+IF(AND('Raw data'!BG141='Real results'!C141,'Raw data'!BH141='Real results'!D141),2,0),0),0),0)</f>
        <v>0</v>
      </c>
      <c r="BI145" s="34">
        <f>IFERROR(IF(AND(ISNUMBER('Real results'!C141),ISNUMBER('Real results'!D141),ISNUMBER('Raw data'!BI141),ISNUMBER('Raw data'!BJ141)),IF(SIGN('Raw data'!BI141-'Raw data'!BJ141)=SIGN('Real results'!C141-'Real results'!D141),3+IF(AND('Raw data'!BI141='Real results'!C141,'Raw data'!BJ141='Real results'!D141),2,0),0),0),0)</f>
        <v>0</v>
      </c>
    </row>
    <row r="146" ht="18.0" customHeight="1">
      <c r="B146" s="12" t="s">
        <v>402</v>
      </c>
      <c r="C146" s="34">
        <v>0.0</v>
      </c>
      <c r="E146" s="34">
        <v>0.0</v>
      </c>
      <c r="G146" s="34">
        <v>0.0</v>
      </c>
      <c r="I146" s="34">
        <v>0.0</v>
      </c>
      <c r="K146" s="34">
        <v>0.0</v>
      </c>
      <c r="M146" s="34">
        <v>0.0</v>
      </c>
      <c r="O146" s="34">
        <v>0.0</v>
      </c>
      <c r="Q146" s="34">
        <v>0.0</v>
      </c>
      <c r="S146" s="34">
        <v>0.0</v>
      </c>
      <c r="U146" s="34">
        <v>0.0</v>
      </c>
      <c r="W146" s="34">
        <v>0.0</v>
      </c>
      <c r="Y146" s="34">
        <v>0.0</v>
      </c>
      <c r="AA146" s="34">
        <v>0.0</v>
      </c>
      <c r="AC146" s="34">
        <v>0.0</v>
      </c>
      <c r="AE146" s="34">
        <v>0.0</v>
      </c>
      <c r="AG146" s="34">
        <v>0.0</v>
      </c>
      <c r="AI146" s="34">
        <v>0.0</v>
      </c>
      <c r="AK146" s="34">
        <v>0.0</v>
      </c>
      <c r="AM146" s="34">
        <v>0.0</v>
      </c>
      <c r="AO146" s="34">
        <v>0.0</v>
      </c>
      <c r="AQ146" s="34">
        <v>0.0</v>
      </c>
      <c r="AS146" s="34">
        <v>0.0</v>
      </c>
      <c r="AU146" s="34">
        <v>0.0</v>
      </c>
      <c r="AW146" s="34">
        <v>0.0</v>
      </c>
      <c r="AY146" s="34">
        <v>0.0</v>
      </c>
      <c r="BA146" s="34">
        <v>0.0</v>
      </c>
      <c r="BC146" s="34">
        <v>0.0</v>
      </c>
      <c r="BE146" s="34">
        <v>0.0</v>
      </c>
      <c r="BG146" s="34">
        <v>0.0</v>
      </c>
      <c r="BI146" s="34">
        <v>0.0</v>
      </c>
    </row>
    <row r="147" ht="18.0" customHeight="1">
      <c r="B147" s="12" t="s">
        <v>403</v>
      </c>
      <c r="C147" s="34">
        <f>IFERROR(IF(AND('Real results'!C143&lt;&gt;"",'Raw data'!C143&lt;&gt;"",UPPER(TRIM('Real results'!C143))=UPPER(TRIM('Raw data'!C143))),1,0),0)</f>
        <v>0</v>
      </c>
      <c r="E147" s="34">
        <f>IFERROR(IF(AND('Real results'!C143&lt;&gt;"",'Raw data'!E143&lt;&gt;"",UPPER(TRIM('Real results'!C143))=UPPER(TRIM('Raw data'!E143))),1,0),0)</f>
        <v>0</v>
      </c>
      <c r="G147" s="34">
        <f>IFERROR(IF(AND('Real results'!C143&lt;&gt;"",'Raw data'!G143&lt;&gt;"",UPPER(TRIM('Real results'!C143))=UPPER(TRIM('Raw data'!G143))),1,0),0)</f>
        <v>0</v>
      </c>
      <c r="I147" s="34">
        <f>IFERROR(IF(AND('Real results'!C143&lt;&gt;"",'Raw data'!I143&lt;&gt;"",UPPER(TRIM('Real results'!C143))=UPPER(TRIM('Raw data'!I143))),1,0),0)</f>
        <v>0</v>
      </c>
      <c r="K147" s="34">
        <f>IFERROR(IF(AND('Real results'!C143&lt;&gt;"",'Raw data'!K143&lt;&gt;"",UPPER(TRIM('Real results'!C143))=UPPER(TRIM('Raw data'!K143))),1,0),0)</f>
        <v>0</v>
      </c>
      <c r="M147" s="34">
        <f>IFERROR(IF(AND('Real results'!C143&lt;&gt;"",'Raw data'!M143&lt;&gt;"",UPPER(TRIM('Real results'!C143))=UPPER(TRIM('Raw data'!M143))),1,0),0)</f>
        <v>0</v>
      </c>
      <c r="O147" s="34">
        <f>IFERROR(IF(AND('Real results'!C143&lt;&gt;"",'Raw data'!O143&lt;&gt;"",UPPER(TRIM('Real results'!C143))=UPPER(TRIM('Raw data'!O143))),1,0),0)</f>
        <v>0</v>
      </c>
      <c r="Q147" s="34">
        <f>IFERROR(IF(AND('Real results'!C143&lt;&gt;"",'Raw data'!Q143&lt;&gt;"",UPPER(TRIM('Real results'!C143))=UPPER(TRIM('Raw data'!Q143))),1,0),0)</f>
        <v>0</v>
      </c>
      <c r="S147" s="34">
        <f>IFERROR(IF(AND('Real results'!C143&lt;&gt;"",'Raw data'!S143&lt;&gt;"",UPPER(TRIM('Real results'!C143))=UPPER(TRIM('Raw data'!S143))),1,0),0)</f>
        <v>0</v>
      </c>
      <c r="U147" s="34">
        <f>IFERROR(IF(AND('Real results'!C143&lt;&gt;"",'Raw data'!U143&lt;&gt;"",UPPER(TRIM('Real results'!C143))=UPPER(TRIM('Raw data'!U143))),1,0),0)</f>
        <v>0</v>
      </c>
      <c r="W147" s="34">
        <f>IFERROR(IF(AND('Real results'!C143&lt;&gt;"",'Raw data'!W143&lt;&gt;"",UPPER(TRIM('Real results'!C143))=UPPER(TRIM('Raw data'!W143))),1,0),0)</f>
        <v>0</v>
      </c>
      <c r="Y147" s="34">
        <f>IFERROR(IF(AND('Real results'!C143&lt;&gt;"",'Raw data'!Y143&lt;&gt;"",UPPER(TRIM('Real results'!C143))=UPPER(TRIM('Raw data'!Y143))),1,0),0)</f>
        <v>0</v>
      </c>
      <c r="AA147" s="34">
        <f>IFERROR(IF(AND('Real results'!C143&lt;&gt;"",'Raw data'!AA143&lt;&gt;"",UPPER(TRIM('Real results'!C143))=UPPER(TRIM('Raw data'!AA143))),1,0),0)</f>
        <v>0</v>
      </c>
      <c r="AC147" s="34">
        <f>IFERROR(IF(AND('Real results'!C143&lt;&gt;"",'Raw data'!AC143&lt;&gt;"",UPPER(TRIM('Real results'!C143))=UPPER(TRIM('Raw data'!AC143))),1,0),0)</f>
        <v>0</v>
      </c>
      <c r="AE147" s="34">
        <f>IFERROR(IF(AND('Real results'!C143&lt;&gt;"",'Raw data'!AE143&lt;&gt;"",UPPER(TRIM('Real results'!C143))=UPPER(TRIM('Raw data'!AE143))),1,0),0)</f>
        <v>0</v>
      </c>
      <c r="AG147" s="34">
        <f>IFERROR(IF(AND('Real results'!C143&lt;&gt;"",'Raw data'!AG143&lt;&gt;"",UPPER(TRIM('Real results'!C143))=UPPER(TRIM('Raw data'!AG143))),1,0),0)</f>
        <v>0</v>
      </c>
      <c r="AI147" s="34">
        <f>IFERROR(IF(AND('Real results'!C143&lt;&gt;"",'Raw data'!AI143&lt;&gt;"",UPPER(TRIM('Real results'!C143))=UPPER(TRIM('Raw data'!AI143))),1,0),0)</f>
        <v>0</v>
      </c>
      <c r="AK147" s="34">
        <f>IFERROR(IF(AND('Real results'!C143&lt;&gt;"",'Raw data'!AK143&lt;&gt;"",UPPER(TRIM('Real results'!C143))=UPPER(TRIM('Raw data'!AK143))),1,0),0)</f>
        <v>0</v>
      </c>
      <c r="AM147" s="34">
        <f>IFERROR(IF(AND('Real results'!C143&lt;&gt;"",'Raw data'!AM143&lt;&gt;"",UPPER(TRIM('Real results'!C143))=UPPER(TRIM('Raw data'!AM143))),1,0),0)</f>
        <v>0</v>
      </c>
      <c r="AO147" s="34">
        <f>IFERROR(IF(AND('Real results'!C143&lt;&gt;"",'Raw data'!AO143&lt;&gt;"",UPPER(TRIM('Real results'!C143))=UPPER(TRIM('Raw data'!AO143))),1,0),0)</f>
        <v>0</v>
      </c>
      <c r="AQ147" s="34">
        <f>IFERROR(IF(AND('Real results'!C143&lt;&gt;"",'Raw data'!AQ143&lt;&gt;"",UPPER(TRIM('Real results'!C143))=UPPER(TRIM('Raw data'!AQ143))),1,0),0)</f>
        <v>0</v>
      </c>
      <c r="AS147" s="34">
        <f>IFERROR(IF(AND('Real results'!C143&lt;&gt;"",'Raw data'!AS143&lt;&gt;"",UPPER(TRIM('Real results'!C143))=UPPER(TRIM('Raw data'!AS143))),1,0),0)</f>
        <v>0</v>
      </c>
      <c r="AU147" s="34">
        <f>IFERROR(IF(AND('Real results'!C143&lt;&gt;"",'Raw data'!AU143&lt;&gt;"",UPPER(TRIM('Real results'!C143))=UPPER(TRIM('Raw data'!AU143))),1,0),0)</f>
        <v>0</v>
      </c>
      <c r="AW147" s="34">
        <f>IFERROR(IF(AND('Real results'!C143&lt;&gt;"",'Raw data'!AW143&lt;&gt;"",UPPER(TRIM('Real results'!C143))=UPPER(TRIM('Raw data'!AW143))),1,0),0)</f>
        <v>0</v>
      </c>
      <c r="AY147" s="34">
        <f>IFERROR(IF(AND('Real results'!C143&lt;&gt;"",'Raw data'!AY143&lt;&gt;"",UPPER(TRIM('Real results'!C143))=UPPER(TRIM('Raw data'!AY143))),1,0),0)</f>
        <v>0</v>
      </c>
      <c r="BA147" s="34">
        <f>IFERROR(IF(AND('Real results'!C143&lt;&gt;"",'Raw data'!BA143&lt;&gt;"",UPPER(TRIM('Real results'!C143))=UPPER(TRIM('Raw data'!BA143))),1,0),0)</f>
        <v>0</v>
      </c>
      <c r="BC147" s="34">
        <f>IFERROR(IF(AND('Real results'!C143&lt;&gt;"",'Raw data'!BC143&lt;&gt;"",UPPER(TRIM('Real results'!C143))=UPPER(TRIM('Raw data'!BC143))),1,0),0)</f>
        <v>0</v>
      </c>
      <c r="BE147" s="34">
        <f>IFERROR(IF(AND('Real results'!C143&lt;&gt;"",'Raw data'!BE143&lt;&gt;"",UPPER(TRIM('Real results'!C143))=UPPER(TRIM('Raw data'!BE143))),1,0),0)</f>
        <v>0</v>
      </c>
      <c r="BG147" s="34">
        <f>IFERROR(IF(AND('Real results'!C143&lt;&gt;"",'Raw data'!BG143&lt;&gt;"",UPPER(TRIM('Real results'!C143))=UPPER(TRIM('Raw data'!BG143))),1,0),0)</f>
        <v>0</v>
      </c>
      <c r="BI147" s="34">
        <f>IFERROR(IF(AND('Real results'!C143&lt;&gt;"",'Raw data'!BI143&lt;&gt;"",UPPER(TRIM('Real results'!C143))=UPPER(TRIM('Raw data'!BI143))),1,0),0)</f>
        <v>0</v>
      </c>
    </row>
    <row r="148" ht="18.0" customHeight="1">
      <c r="B148" s="12" t="s">
        <v>404</v>
      </c>
      <c r="C148" s="34">
        <f>IFERROR(IF(AND(ISNUMBER('Real results'!C144),ISNUMBER('Real results'!D144),ISNUMBER('Raw data'!C144),ISNUMBER('Raw data'!D144)),IF(SIGN('Raw data'!C144-'Raw data'!D144)=SIGN('Real results'!C144-'Real results'!D144),3+IF(AND('Raw data'!C144='Real results'!C144,'Raw data'!D144='Real results'!D144),2,0),0),0),0)</f>
        <v>0</v>
      </c>
      <c r="E148" s="34">
        <f>IFERROR(IF(AND(ISNUMBER('Real results'!C144),ISNUMBER('Real results'!D144),ISNUMBER('Raw data'!E144),ISNUMBER('Raw data'!F144)),IF(SIGN('Raw data'!E144-'Raw data'!F144)=SIGN('Real results'!C144-'Real results'!D144),3+IF(AND('Raw data'!E144='Real results'!C144,'Raw data'!F144='Real results'!D144),2,0),0),0),0)</f>
        <v>0</v>
      </c>
      <c r="G148" s="34">
        <f>IFERROR(IF(AND(ISNUMBER('Real results'!C144),ISNUMBER('Real results'!D144),ISNUMBER('Raw data'!G144),ISNUMBER('Raw data'!H144)),IF(SIGN('Raw data'!G144-'Raw data'!H144)=SIGN('Real results'!C144-'Real results'!D144),3+IF(AND('Raw data'!G144='Real results'!C144,'Raw data'!H144='Real results'!D144),2,0),0),0),0)</f>
        <v>0</v>
      </c>
      <c r="I148" s="34">
        <f>IFERROR(IF(AND(ISNUMBER('Real results'!C144),ISNUMBER('Real results'!D144),ISNUMBER('Raw data'!I144),ISNUMBER('Raw data'!J144)),IF(SIGN('Raw data'!I144-'Raw data'!J144)=SIGN('Real results'!C144-'Real results'!D144),3+IF(AND('Raw data'!I144='Real results'!C144,'Raw data'!J144='Real results'!D144),2,0),0),0),0)</f>
        <v>0</v>
      </c>
      <c r="K148" s="34">
        <f>IFERROR(IF(AND(ISNUMBER('Real results'!C144),ISNUMBER('Real results'!D144),ISNUMBER('Raw data'!K144),ISNUMBER('Raw data'!L144)),IF(SIGN('Raw data'!K144-'Raw data'!L144)=SIGN('Real results'!C144-'Real results'!D144),3+IF(AND('Raw data'!K144='Real results'!C144,'Raw data'!L144='Real results'!D144),2,0),0),0),0)</f>
        <v>0</v>
      </c>
      <c r="M148" s="34">
        <f>IFERROR(IF(AND(ISNUMBER('Real results'!C144),ISNUMBER('Real results'!D144),ISNUMBER('Raw data'!M144),ISNUMBER('Raw data'!N144)),IF(SIGN('Raw data'!M144-'Raw data'!N144)=SIGN('Real results'!C144-'Real results'!D144),3+IF(AND('Raw data'!M144='Real results'!C144,'Raw data'!N144='Real results'!D144),2,0),0),0),0)</f>
        <v>0</v>
      </c>
      <c r="O148" s="34">
        <f>IFERROR(IF(AND(ISNUMBER('Real results'!C144),ISNUMBER('Real results'!D144),ISNUMBER('Raw data'!O144),ISNUMBER('Raw data'!P144)),IF(SIGN('Raw data'!O144-'Raw data'!P144)=SIGN('Real results'!C144-'Real results'!D144),3+IF(AND('Raw data'!O144='Real results'!C144,'Raw data'!P144='Real results'!D144),2,0),0),0),0)</f>
        <v>0</v>
      </c>
      <c r="Q148" s="34">
        <f>IFERROR(IF(AND(ISNUMBER('Real results'!C144),ISNUMBER('Real results'!D144),ISNUMBER('Raw data'!Q144),ISNUMBER('Raw data'!R144)),IF(SIGN('Raw data'!Q144-'Raw data'!R144)=SIGN('Real results'!C144-'Real results'!D144),3+IF(AND('Raw data'!Q144='Real results'!C144,'Raw data'!R144='Real results'!D144),2,0),0),0),0)</f>
        <v>0</v>
      </c>
      <c r="S148" s="34">
        <f>IFERROR(IF(AND(ISNUMBER('Real results'!C144),ISNUMBER('Real results'!D144),ISNUMBER('Raw data'!S144),ISNUMBER('Raw data'!T144)),IF(SIGN('Raw data'!S144-'Raw data'!T144)=SIGN('Real results'!C144-'Real results'!D144),3+IF(AND('Raw data'!S144='Real results'!C144,'Raw data'!T144='Real results'!D144),2,0),0),0),0)</f>
        <v>0</v>
      </c>
      <c r="U148" s="34">
        <f>IFERROR(IF(AND(ISNUMBER('Real results'!C144),ISNUMBER('Real results'!D144),ISNUMBER('Raw data'!U144),ISNUMBER('Raw data'!V144)),IF(SIGN('Raw data'!U144-'Raw data'!V144)=SIGN('Real results'!C144-'Real results'!D144),3+IF(AND('Raw data'!U144='Real results'!C144,'Raw data'!V144='Real results'!D144),2,0),0),0),0)</f>
        <v>0</v>
      </c>
      <c r="W148" s="34">
        <f>IFERROR(IF(AND(ISNUMBER('Real results'!C144),ISNUMBER('Real results'!D144),ISNUMBER('Raw data'!W144),ISNUMBER('Raw data'!X144)),IF(SIGN('Raw data'!W144-'Raw data'!X144)=SIGN('Real results'!C144-'Real results'!D144),3+IF(AND('Raw data'!W144='Real results'!C144,'Raw data'!X144='Real results'!D144),2,0),0),0),0)</f>
        <v>0</v>
      </c>
      <c r="Y148" s="34">
        <f>IFERROR(IF(AND(ISNUMBER('Real results'!C144),ISNUMBER('Real results'!D144),ISNUMBER('Raw data'!Y144),ISNUMBER('Raw data'!Z144)),IF(SIGN('Raw data'!Y144-'Raw data'!Z144)=SIGN('Real results'!C144-'Real results'!D144),3+IF(AND('Raw data'!Y144='Real results'!C144,'Raw data'!Z144='Real results'!D144),2,0),0),0),0)</f>
        <v>0</v>
      </c>
      <c r="AA148" s="34">
        <f>IFERROR(IF(AND(ISNUMBER('Real results'!C144),ISNUMBER('Real results'!D144),ISNUMBER('Raw data'!AA144),ISNUMBER('Raw data'!AB144)),IF(SIGN('Raw data'!AA144-'Raw data'!AB144)=SIGN('Real results'!C144-'Real results'!D144),3+IF(AND('Raw data'!AA144='Real results'!C144,'Raw data'!AB144='Real results'!D144),2,0),0),0),0)</f>
        <v>0</v>
      </c>
      <c r="AC148" s="34">
        <f>IFERROR(IF(AND(ISNUMBER('Real results'!C144),ISNUMBER('Real results'!D144),ISNUMBER('Raw data'!AC144),ISNUMBER('Raw data'!AD144)),IF(SIGN('Raw data'!AC144-'Raw data'!AD144)=SIGN('Real results'!C144-'Real results'!D144),3+IF(AND('Raw data'!AC144='Real results'!C144,'Raw data'!AD144='Real results'!D144),2,0),0),0),0)</f>
        <v>0</v>
      </c>
      <c r="AE148" s="34">
        <f>IFERROR(IF(AND(ISNUMBER('Real results'!C144),ISNUMBER('Real results'!D144),ISNUMBER('Raw data'!AE144),ISNUMBER('Raw data'!AF144)),IF(SIGN('Raw data'!AE144-'Raw data'!AF144)=SIGN('Real results'!C144-'Real results'!D144),3+IF(AND('Raw data'!AE144='Real results'!C144,'Raw data'!AF144='Real results'!D144),2,0),0),0),0)</f>
        <v>0</v>
      </c>
      <c r="AG148" s="34">
        <f>IFERROR(IF(AND(ISNUMBER('Real results'!C144),ISNUMBER('Real results'!D144),ISNUMBER('Raw data'!AG144),ISNUMBER('Raw data'!AH144)),IF(SIGN('Raw data'!AG144-'Raw data'!AH144)=SIGN('Real results'!C144-'Real results'!D144),3+IF(AND('Raw data'!AG144='Real results'!C144,'Raw data'!AH144='Real results'!D144),2,0),0),0),0)</f>
        <v>0</v>
      </c>
      <c r="AI148" s="34">
        <f>IFERROR(IF(AND(ISNUMBER('Real results'!C144),ISNUMBER('Real results'!D144),ISNUMBER('Raw data'!AI144),ISNUMBER('Raw data'!AJ144)),IF(SIGN('Raw data'!AI144-'Raw data'!AJ144)=SIGN('Real results'!C144-'Real results'!D144),3+IF(AND('Raw data'!AI144='Real results'!C144,'Raw data'!AJ144='Real results'!D144),2,0),0),0),0)</f>
        <v>0</v>
      </c>
      <c r="AK148" s="34">
        <f>IFERROR(IF(AND(ISNUMBER('Real results'!C144),ISNUMBER('Real results'!D144),ISNUMBER('Raw data'!AK144),ISNUMBER('Raw data'!AL144)),IF(SIGN('Raw data'!AK144-'Raw data'!AL144)=SIGN('Real results'!C144-'Real results'!D144),3+IF(AND('Raw data'!AK144='Real results'!C144,'Raw data'!AL144='Real results'!D144),2,0),0),0),0)</f>
        <v>0</v>
      </c>
      <c r="AM148" s="34">
        <f>IFERROR(IF(AND(ISNUMBER('Real results'!C144),ISNUMBER('Real results'!D144),ISNUMBER('Raw data'!AM144),ISNUMBER('Raw data'!AN144)),IF(SIGN('Raw data'!AM144-'Raw data'!AN144)=SIGN('Real results'!C144-'Real results'!D144),3+IF(AND('Raw data'!AM144='Real results'!C144,'Raw data'!AN144='Real results'!D144),2,0),0),0),0)</f>
        <v>0</v>
      </c>
      <c r="AO148" s="34">
        <f>IFERROR(IF(AND(ISNUMBER('Real results'!C144),ISNUMBER('Real results'!D144),ISNUMBER('Raw data'!AO144),ISNUMBER('Raw data'!AP144)),IF(SIGN('Raw data'!AO144-'Raw data'!AP144)=SIGN('Real results'!C144-'Real results'!D144),3+IF(AND('Raw data'!AO144='Real results'!C144,'Raw data'!AP144='Real results'!D144),2,0),0),0),0)</f>
        <v>0</v>
      </c>
      <c r="AQ148" s="34">
        <f>IFERROR(IF(AND(ISNUMBER('Real results'!C144),ISNUMBER('Real results'!D144),ISNUMBER('Raw data'!AQ144),ISNUMBER('Raw data'!AR144)),IF(SIGN('Raw data'!AQ144-'Raw data'!AR144)=SIGN('Real results'!C144-'Real results'!D144),3+IF(AND('Raw data'!AQ144='Real results'!C144,'Raw data'!AR144='Real results'!D144),2,0),0),0),0)</f>
        <v>0</v>
      </c>
      <c r="AS148" s="34">
        <f>IFERROR(IF(AND(ISNUMBER('Real results'!C144),ISNUMBER('Real results'!D144),ISNUMBER('Raw data'!AS144),ISNUMBER('Raw data'!AT144)),IF(SIGN('Raw data'!AS144-'Raw data'!AT144)=SIGN('Real results'!C144-'Real results'!D144),3+IF(AND('Raw data'!AS144='Real results'!C144,'Raw data'!AT144='Real results'!D144),2,0),0),0),0)</f>
        <v>0</v>
      </c>
      <c r="AU148" s="34">
        <f>IFERROR(IF(AND(ISNUMBER('Real results'!C144),ISNUMBER('Real results'!D144),ISNUMBER('Raw data'!AU144),ISNUMBER('Raw data'!AV144)),IF(SIGN('Raw data'!AU144-'Raw data'!AV144)=SIGN('Real results'!C144-'Real results'!D144),3+IF(AND('Raw data'!AU144='Real results'!C144,'Raw data'!AV144='Real results'!D144),2,0),0),0),0)</f>
        <v>0</v>
      </c>
      <c r="AW148" s="34">
        <f>IFERROR(IF(AND(ISNUMBER('Real results'!C144),ISNUMBER('Real results'!D144),ISNUMBER('Raw data'!AW144),ISNUMBER('Raw data'!AX144)),IF(SIGN('Raw data'!AW144-'Raw data'!AX144)=SIGN('Real results'!C144-'Real results'!D144),3+IF(AND('Raw data'!AW144='Real results'!C144,'Raw data'!AX144='Real results'!D144),2,0),0),0),0)</f>
        <v>0</v>
      </c>
      <c r="AY148" s="34">
        <f>IFERROR(IF(AND(ISNUMBER('Real results'!C144),ISNUMBER('Real results'!D144),ISNUMBER('Raw data'!AY144),ISNUMBER('Raw data'!AZ144)),IF(SIGN('Raw data'!AY144-'Raw data'!AZ144)=SIGN('Real results'!C144-'Real results'!D144),3+IF(AND('Raw data'!AY144='Real results'!C144,'Raw data'!AZ144='Real results'!D144),2,0),0),0),0)</f>
        <v>0</v>
      </c>
      <c r="BA148" s="34">
        <f>IFERROR(IF(AND(ISNUMBER('Real results'!C144),ISNUMBER('Real results'!D144),ISNUMBER('Raw data'!BA144),ISNUMBER('Raw data'!BB144)),IF(SIGN('Raw data'!BA144-'Raw data'!BB144)=SIGN('Real results'!C144-'Real results'!D144),3+IF(AND('Raw data'!BA144='Real results'!C144,'Raw data'!BB144='Real results'!D144),2,0),0),0),0)</f>
        <v>0</v>
      </c>
      <c r="BC148" s="34">
        <f>IFERROR(IF(AND(ISNUMBER('Real results'!C144),ISNUMBER('Real results'!D144),ISNUMBER('Raw data'!BC144),ISNUMBER('Raw data'!BD144)),IF(SIGN('Raw data'!BC144-'Raw data'!BD144)=SIGN('Real results'!C144-'Real results'!D144),3+IF(AND('Raw data'!BC144='Real results'!C144,'Raw data'!BD144='Real results'!D144),2,0),0),0),0)</f>
        <v>0</v>
      </c>
      <c r="BE148" s="34">
        <f>IFERROR(IF(AND(ISNUMBER('Real results'!C144),ISNUMBER('Real results'!D144),ISNUMBER('Raw data'!BE144),ISNUMBER('Raw data'!BF144)),IF(SIGN('Raw data'!BE144-'Raw data'!BF144)=SIGN('Real results'!C144-'Real results'!D144),3+IF(AND('Raw data'!BE144='Real results'!C144,'Raw data'!BF144='Real results'!D144),2,0),0),0),0)</f>
        <v>0</v>
      </c>
      <c r="BG148" s="34">
        <f>IFERROR(IF(AND(ISNUMBER('Real results'!C144),ISNUMBER('Real results'!D144),ISNUMBER('Raw data'!BG144),ISNUMBER('Raw data'!BH144)),IF(SIGN('Raw data'!BG144-'Raw data'!BH144)=SIGN('Real results'!C144-'Real results'!D144),3+IF(AND('Raw data'!BG144='Real results'!C144,'Raw data'!BH144='Real results'!D144),2,0),0),0),0)</f>
        <v>0</v>
      </c>
      <c r="BI148" s="34">
        <f>IFERROR(IF(AND(ISNUMBER('Real results'!C144),ISNUMBER('Real results'!D144),ISNUMBER('Raw data'!BI144),ISNUMBER('Raw data'!BJ144)),IF(SIGN('Raw data'!BI144-'Raw data'!BJ144)=SIGN('Real results'!C144-'Real results'!D144),3+IF(AND('Raw data'!BI144='Real results'!C144,'Raw data'!BJ144='Real results'!D144),2,0),0),0),0)</f>
        <v>0</v>
      </c>
    </row>
    <row r="149" ht="18.0" customHeight="1">
      <c r="B149" s="12" t="s">
        <v>405</v>
      </c>
      <c r="C149" s="34">
        <v>0.0</v>
      </c>
      <c r="E149" s="34">
        <v>0.0</v>
      </c>
      <c r="G149" s="34">
        <v>0.0</v>
      </c>
      <c r="I149" s="34">
        <v>0.0</v>
      </c>
      <c r="K149" s="34">
        <v>0.0</v>
      </c>
      <c r="M149" s="34">
        <v>0.0</v>
      </c>
      <c r="O149" s="34">
        <v>0.0</v>
      </c>
      <c r="Q149" s="34">
        <v>0.0</v>
      </c>
      <c r="S149" s="34">
        <v>0.0</v>
      </c>
      <c r="U149" s="34">
        <v>0.0</v>
      </c>
      <c r="W149" s="34">
        <v>0.0</v>
      </c>
      <c r="Y149" s="34">
        <v>0.0</v>
      </c>
      <c r="AA149" s="34">
        <v>0.0</v>
      </c>
      <c r="AC149" s="34">
        <v>0.0</v>
      </c>
      <c r="AE149" s="34">
        <v>0.0</v>
      </c>
      <c r="AG149" s="34">
        <v>0.0</v>
      </c>
      <c r="AI149" s="34">
        <v>0.0</v>
      </c>
      <c r="AK149" s="34">
        <v>0.0</v>
      </c>
      <c r="AM149" s="34">
        <v>0.0</v>
      </c>
      <c r="AO149" s="34">
        <v>0.0</v>
      </c>
      <c r="AQ149" s="34">
        <v>0.0</v>
      </c>
      <c r="AS149" s="34">
        <v>0.0</v>
      </c>
      <c r="AU149" s="34">
        <v>0.0</v>
      </c>
      <c r="AW149" s="34">
        <v>0.0</v>
      </c>
      <c r="AY149" s="34">
        <v>0.0</v>
      </c>
      <c r="BA149" s="34">
        <v>0.0</v>
      </c>
      <c r="BC149" s="34">
        <v>0.0</v>
      </c>
      <c r="BE149" s="34">
        <v>0.0</v>
      </c>
      <c r="BG149" s="34">
        <v>0.0</v>
      </c>
      <c r="BI149" s="34">
        <v>0.0</v>
      </c>
    </row>
    <row r="150" ht="18.0" customHeight="1">
      <c r="B150" s="12" t="s">
        <v>406</v>
      </c>
      <c r="C150" s="34">
        <f>IFERROR(IF(AND('Real results'!C146&lt;&gt;"",'Raw data'!C146&lt;&gt;"",UPPER(TRIM('Real results'!C146))=UPPER(TRIM('Raw data'!C146))),1,0),0)</f>
        <v>0</v>
      </c>
      <c r="E150" s="34">
        <f>IFERROR(IF(AND('Real results'!C146&lt;&gt;"",'Raw data'!E146&lt;&gt;"",UPPER(TRIM('Real results'!C146))=UPPER(TRIM('Raw data'!E146))),1,0),0)</f>
        <v>0</v>
      </c>
      <c r="G150" s="34">
        <f>IFERROR(IF(AND('Real results'!C146&lt;&gt;"",'Raw data'!G146&lt;&gt;"",UPPER(TRIM('Real results'!C146))=UPPER(TRIM('Raw data'!G146))),1,0),0)</f>
        <v>0</v>
      </c>
      <c r="I150" s="34">
        <f>IFERROR(IF(AND('Real results'!C146&lt;&gt;"",'Raw data'!I146&lt;&gt;"",UPPER(TRIM('Real results'!C146))=UPPER(TRIM('Raw data'!I146))),1,0),0)</f>
        <v>0</v>
      </c>
      <c r="K150" s="34">
        <f>IFERROR(IF(AND('Real results'!C146&lt;&gt;"",'Raw data'!K146&lt;&gt;"",UPPER(TRIM('Real results'!C146))=UPPER(TRIM('Raw data'!K146))),1,0),0)</f>
        <v>0</v>
      </c>
      <c r="M150" s="34">
        <f>IFERROR(IF(AND('Real results'!C146&lt;&gt;"",'Raw data'!M146&lt;&gt;"",UPPER(TRIM('Real results'!C146))=UPPER(TRIM('Raw data'!M146))),1,0),0)</f>
        <v>0</v>
      </c>
      <c r="O150" s="34">
        <f>IFERROR(IF(AND('Real results'!C146&lt;&gt;"",'Raw data'!O146&lt;&gt;"",UPPER(TRIM('Real results'!C146))=UPPER(TRIM('Raw data'!O146))),1,0),0)</f>
        <v>0</v>
      </c>
      <c r="Q150" s="34">
        <f>IFERROR(IF(AND('Real results'!C146&lt;&gt;"",'Raw data'!Q146&lt;&gt;"",UPPER(TRIM('Real results'!C146))=UPPER(TRIM('Raw data'!Q146))),1,0),0)</f>
        <v>0</v>
      </c>
      <c r="S150" s="34">
        <f>IFERROR(IF(AND('Real results'!C146&lt;&gt;"",'Raw data'!S146&lt;&gt;"",UPPER(TRIM('Real results'!C146))=UPPER(TRIM('Raw data'!S146))),1,0),0)</f>
        <v>0</v>
      </c>
      <c r="U150" s="34">
        <f>IFERROR(IF(AND('Real results'!C146&lt;&gt;"",'Raw data'!U146&lt;&gt;"",UPPER(TRIM('Real results'!C146))=UPPER(TRIM('Raw data'!U146))),1,0),0)</f>
        <v>0</v>
      </c>
      <c r="W150" s="34">
        <f>IFERROR(IF(AND('Real results'!C146&lt;&gt;"",'Raw data'!W146&lt;&gt;"",UPPER(TRIM('Real results'!C146))=UPPER(TRIM('Raw data'!W146))),1,0),0)</f>
        <v>0</v>
      </c>
      <c r="Y150" s="34">
        <f>IFERROR(IF(AND('Real results'!C146&lt;&gt;"",'Raw data'!Y146&lt;&gt;"",UPPER(TRIM('Real results'!C146))=UPPER(TRIM('Raw data'!Y146))),1,0),0)</f>
        <v>0</v>
      </c>
      <c r="AA150" s="34">
        <f>IFERROR(IF(AND('Real results'!C146&lt;&gt;"",'Raw data'!AA146&lt;&gt;"",UPPER(TRIM('Real results'!C146))=UPPER(TRIM('Raw data'!AA146))),1,0),0)</f>
        <v>0</v>
      </c>
      <c r="AC150" s="34">
        <f>IFERROR(IF(AND('Real results'!C146&lt;&gt;"",'Raw data'!AC146&lt;&gt;"",UPPER(TRIM('Real results'!C146))=UPPER(TRIM('Raw data'!AC146))),1,0),0)</f>
        <v>0</v>
      </c>
      <c r="AE150" s="34">
        <f>IFERROR(IF(AND('Real results'!C146&lt;&gt;"",'Raw data'!AE146&lt;&gt;"",UPPER(TRIM('Real results'!C146))=UPPER(TRIM('Raw data'!AE146))),1,0),0)</f>
        <v>0</v>
      </c>
      <c r="AG150" s="34">
        <f>IFERROR(IF(AND('Real results'!C146&lt;&gt;"",'Raw data'!AG146&lt;&gt;"",UPPER(TRIM('Real results'!C146))=UPPER(TRIM('Raw data'!AG146))),1,0),0)</f>
        <v>0</v>
      </c>
      <c r="AI150" s="34">
        <f>IFERROR(IF(AND('Real results'!C146&lt;&gt;"",'Raw data'!AI146&lt;&gt;"",UPPER(TRIM('Real results'!C146))=UPPER(TRIM('Raw data'!AI146))),1,0),0)</f>
        <v>0</v>
      </c>
      <c r="AK150" s="34">
        <f>IFERROR(IF(AND('Real results'!C146&lt;&gt;"",'Raw data'!AK146&lt;&gt;"",UPPER(TRIM('Real results'!C146))=UPPER(TRIM('Raw data'!AK146))),1,0),0)</f>
        <v>0</v>
      </c>
      <c r="AM150" s="34">
        <f>IFERROR(IF(AND('Real results'!C146&lt;&gt;"",'Raw data'!AM146&lt;&gt;"",UPPER(TRIM('Real results'!C146))=UPPER(TRIM('Raw data'!AM146))),1,0),0)</f>
        <v>0</v>
      </c>
      <c r="AO150" s="34">
        <f>IFERROR(IF(AND('Real results'!C146&lt;&gt;"",'Raw data'!AO146&lt;&gt;"",UPPER(TRIM('Real results'!C146))=UPPER(TRIM('Raw data'!AO146))),1,0),0)</f>
        <v>0</v>
      </c>
      <c r="AQ150" s="34">
        <f>IFERROR(IF(AND('Real results'!C146&lt;&gt;"",'Raw data'!AQ146&lt;&gt;"",UPPER(TRIM('Real results'!C146))=UPPER(TRIM('Raw data'!AQ146))),1,0),0)</f>
        <v>0</v>
      </c>
      <c r="AS150" s="34">
        <f>IFERROR(IF(AND('Real results'!C146&lt;&gt;"",'Raw data'!AS146&lt;&gt;"",UPPER(TRIM('Real results'!C146))=UPPER(TRIM('Raw data'!AS146))),1,0),0)</f>
        <v>0</v>
      </c>
      <c r="AU150" s="34">
        <f>IFERROR(IF(AND('Real results'!C146&lt;&gt;"",'Raw data'!AU146&lt;&gt;"",UPPER(TRIM('Real results'!C146))=UPPER(TRIM('Raw data'!AU146))),1,0),0)</f>
        <v>0</v>
      </c>
      <c r="AW150" s="34">
        <f>IFERROR(IF(AND('Real results'!C146&lt;&gt;"",'Raw data'!AW146&lt;&gt;"",UPPER(TRIM('Real results'!C146))=UPPER(TRIM('Raw data'!AW146))),1,0),0)</f>
        <v>0</v>
      </c>
      <c r="AY150" s="34">
        <f>IFERROR(IF(AND('Real results'!C146&lt;&gt;"",'Raw data'!AY146&lt;&gt;"",UPPER(TRIM('Real results'!C146))=UPPER(TRIM('Raw data'!AY146))),1,0),0)</f>
        <v>0</v>
      </c>
      <c r="BA150" s="34">
        <f>IFERROR(IF(AND('Real results'!C146&lt;&gt;"",'Raw data'!BA146&lt;&gt;"",UPPER(TRIM('Real results'!C146))=UPPER(TRIM('Raw data'!BA146))),1,0),0)</f>
        <v>0</v>
      </c>
      <c r="BC150" s="34">
        <f>IFERROR(IF(AND('Real results'!C146&lt;&gt;"",'Raw data'!BC146&lt;&gt;"",UPPER(TRIM('Real results'!C146))=UPPER(TRIM('Raw data'!BC146))),1,0),0)</f>
        <v>0</v>
      </c>
      <c r="BE150" s="34">
        <f>IFERROR(IF(AND('Real results'!C146&lt;&gt;"",'Raw data'!BE146&lt;&gt;"",UPPER(TRIM('Real results'!C146))=UPPER(TRIM('Raw data'!BE146))),1,0),0)</f>
        <v>0</v>
      </c>
      <c r="BG150" s="34">
        <f>IFERROR(IF(AND('Real results'!C146&lt;&gt;"",'Raw data'!BG146&lt;&gt;"",UPPER(TRIM('Real results'!C146))=UPPER(TRIM('Raw data'!BG146))),1,0),0)</f>
        <v>0</v>
      </c>
      <c r="BI150" s="34">
        <f>IFERROR(IF(AND('Real results'!C146&lt;&gt;"",'Raw data'!BI146&lt;&gt;"",UPPER(TRIM('Real results'!C146))=UPPER(TRIM('Raw data'!BI146))),1,0),0)</f>
        <v>0</v>
      </c>
    </row>
    <row r="151" ht="18.0" customHeight="1">
      <c r="B151" s="12" t="s">
        <v>407</v>
      </c>
      <c r="C151" s="34">
        <f>IFERROR(IF(AND(ISNUMBER('Real results'!C147),ISNUMBER('Real results'!D147),ISNUMBER('Raw data'!C147),ISNUMBER('Raw data'!D147)),IF(SIGN('Raw data'!C147-'Raw data'!D147)=SIGN('Real results'!C147-'Real results'!D147),3+IF(AND('Raw data'!C147='Real results'!C147,'Raw data'!D147='Real results'!D147),2,0),0),0),0)</f>
        <v>0</v>
      </c>
      <c r="E151" s="34">
        <f>IFERROR(IF(AND(ISNUMBER('Real results'!C147),ISNUMBER('Real results'!D147),ISNUMBER('Raw data'!E147),ISNUMBER('Raw data'!F147)),IF(SIGN('Raw data'!E147-'Raw data'!F147)=SIGN('Real results'!C147-'Real results'!D147),3+IF(AND('Raw data'!E147='Real results'!C147,'Raw data'!F147='Real results'!D147),2,0),0),0),0)</f>
        <v>0</v>
      </c>
      <c r="G151" s="34">
        <f>IFERROR(IF(AND(ISNUMBER('Real results'!C147),ISNUMBER('Real results'!D147),ISNUMBER('Raw data'!G147),ISNUMBER('Raw data'!H147)),IF(SIGN('Raw data'!G147-'Raw data'!H147)=SIGN('Real results'!C147-'Real results'!D147),3+IF(AND('Raw data'!G147='Real results'!C147,'Raw data'!H147='Real results'!D147),2,0),0),0),0)</f>
        <v>0</v>
      </c>
      <c r="I151" s="34">
        <f>IFERROR(IF(AND(ISNUMBER('Real results'!C147),ISNUMBER('Real results'!D147),ISNUMBER('Raw data'!I147),ISNUMBER('Raw data'!J147)),IF(SIGN('Raw data'!I147-'Raw data'!J147)=SIGN('Real results'!C147-'Real results'!D147),3+IF(AND('Raw data'!I147='Real results'!C147,'Raw data'!J147='Real results'!D147),2,0),0),0),0)</f>
        <v>0</v>
      </c>
      <c r="K151" s="34">
        <f>IFERROR(IF(AND(ISNUMBER('Real results'!C147),ISNUMBER('Real results'!D147),ISNUMBER('Raw data'!K147),ISNUMBER('Raw data'!L147)),IF(SIGN('Raw data'!K147-'Raw data'!L147)=SIGN('Real results'!C147-'Real results'!D147),3+IF(AND('Raw data'!K147='Real results'!C147,'Raw data'!L147='Real results'!D147),2,0),0),0),0)</f>
        <v>0</v>
      </c>
      <c r="M151" s="34">
        <f>IFERROR(IF(AND(ISNUMBER('Real results'!C147),ISNUMBER('Real results'!D147),ISNUMBER('Raw data'!M147),ISNUMBER('Raw data'!N147)),IF(SIGN('Raw data'!M147-'Raw data'!N147)=SIGN('Real results'!C147-'Real results'!D147),3+IF(AND('Raw data'!M147='Real results'!C147,'Raw data'!N147='Real results'!D147),2,0),0),0),0)</f>
        <v>0</v>
      </c>
      <c r="O151" s="34">
        <f>IFERROR(IF(AND(ISNUMBER('Real results'!C147),ISNUMBER('Real results'!D147),ISNUMBER('Raw data'!O147),ISNUMBER('Raw data'!P147)),IF(SIGN('Raw data'!O147-'Raw data'!P147)=SIGN('Real results'!C147-'Real results'!D147),3+IF(AND('Raw data'!O147='Real results'!C147,'Raw data'!P147='Real results'!D147),2,0),0),0),0)</f>
        <v>0</v>
      </c>
      <c r="Q151" s="34">
        <f>IFERROR(IF(AND(ISNUMBER('Real results'!C147),ISNUMBER('Real results'!D147),ISNUMBER('Raw data'!Q147),ISNUMBER('Raw data'!R147)),IF(SIGN('Raw data'!Q147-'Raw data'!R147)=SIGN('Real results'!C147-'Real results'!D147),3+IF(AND('Raw data'!Q147='Real results'!C147,'Raw data'!R147='Real results'!D147),2,0),0),0),0)</f>
        <v>0</v>
      </c>
      <c r="S151" s="34">
        <f>IFERROR(IF(AND(ISNUMBER('Real results'!C147),ISNUMBER('Real results'!D147),ISNUMBER('Raw data'!S147),ISNUMBER('Raw data'!T147)),IF(SIGN('Raw data'!S147-'Raw data'!T147)=SIGN('Real results'!C147-'Real results'!D147),3+IF(AND('Raw data'!S147='Real results'!C147,'Raw data'!T147='Real results'!D147),2,0),0),0),0)</f>
        <v>0</v>
      </c>
      <c r="U151" s="34">
        <f>IFERROR(IF(AND(ISNUMBER('Real results'!C147),ISNUMBER('Real results'!D147),ISNUMBER('Raw data'!U147),ISNUMBER('Raw data'!V147)),IF(SIGN('Raw data'!U147-'Raw data'!V147)=SIGN('Real results'!C147-'Real results'!D147),3+IF(AND('Raw data'!U147='Real results'!C147,'Raw data'!V147='Real results'!D147),2,0),0),0),0)</f>
        <v>0</v>
      </c>
      <c r="W151" s="34">
        <f>IFERROR(IF(AND(ISNUMBER('Real results'!C147),ISNUMBER('Real results'!D147),ISNUMBER('Raw data'!W147),ISNUMBER('Raw data'!X147)),IF(SIGN('Raw data'!W147-'Raw data'!X147)=SIGN('Real results'!C147-'Real results'!D147),3+IF(AND('Raw data'!W147='Real results'!C147,'Raw data'!X147='Real results'!D147),2,0),0),0),0)</f>
        <v>0</v>
      </c>
      <c r="Y151" s="34">
        <f>IFERROR(IF(AND(ISNUMBER('Real results'!C147),ISNUMBER('Real results'!D147),ISNUMBER('Raw data'!Y147),ISNUMBER('Raw data'!Z147)),IF(SIGN('Raw data'!Y147-'Raw data'!Z147)=SIGN('Real results'!C147-'Real results'!D147),3+IF(AND('Raw data'!Y147='Real results'!C147,'Raw data'!Z147='Real results'!D147),2,0),0),0),0)</f>
        <v>0</v>
      </c>
      <c r="AA151" s="34">
        <f>IFERROR(IF(AND(ISNUMBER('Real results'!C147),ISNUMBER('Real results'!D147),ISNUMBER('Raw data'!AA147),ISNUMBER('Raw data'!AB147)),IF(SIGN('Raw data'!AA147-'Raw data'!AB147)=SIGN('Real results'!C147-'Real results'!D147),3+IF(AND('Raw data'!AA147='Real results'!C147,'Raw data'!AB147='Real results'!D147),2,0),0),0),0)</f>
        <v>0</v>
      </c>
      <c r="AC151" s="34">
        <f>IFERROR(IF(AND(ISNUMBER('Real results'!C147),ISNUMBER('Real results'!D147),ISNUMBER('Raw data'!AC147),ISNUMBER('Raw data'!AD147)),IF(SIGN('Raw data'!AC147-'Raw data'!AD147)=SIGN('Real results'!C147-'Real results'!D147),3+IF(AND('Raw data'!AC147='Real results'!C147,'Raw data'!AD147='Real results'!D147),2,0),0),0),0)</f>
        <v>0</v>
      </c>
      <c r="AE151" s="34">
        <f>IFERROR(IF(AND(ISNUMBER('Real results'!C147),ISNUMBER('Real results'!D147),ISNUMBER('Raw data'!AE147),ISNUMBER('Raw data'!AF147)),IF(SIGN('Raw data'!AE147-'Raw data'!AF147)=SIGN('Real results'!C147-'Real results'!D147),3+IF(AND('Raw data'!AE147='Real results'!C147,'Raw data'!AF147='Real results'!D147),2,0),0),0),0)</f>
        <v>0</v>
      </c>
      <c r="AG151" s="34">
        <f>IFERROR(IF(AND(ISNUMBER('Real results'!C147),ISNUMBER('Real results'!D147),ISNUMBER('Raw data'!AG147),ISNUMBER('Raw data'!AH147)),IF(SIGN('Raw data'!AG147-'Raw data'!AH147)=SIGN('Real results'!C147-'Real results'!D147),3+IF(AND('Raw data'!AG147='Real results'!C147,'Raw data'!AH147='Real results'!D147),2,0),0),0),0)</f>
        <v>0</v>
      </c>
      <c r="AI151" s="34">
        <f>IFERROR(IF(AND(ISNUMBER('Real results'!C147),ISNUMBER('Real results'!D147),ISNUMBER('Raw data'!AI147),ISNUMBER('Raw data'!AJ147)),IF(SIGN('Raw data'!AI147-'Raw data'!AJ147)=SIGN('Real results'!C147-'Real results'!D147),3+IF(AND('Raw data'!AI147='Real results'!C147,'Raw data'!AJ147='Real results'!D147),2,0),0),0),0)</f>
        <v>0</v>
      </c>
      <c r="AK151" s="34">
        <f>IFERROR(IF(AND(ISNUMBER('Real results'!C147),ISNUMBER('Real results'!D147),ISNUMBER('Raw data'!AK147),ISNUMBER('Raw data'!AL147)),IF(SIGN('Raw data'!AK147-'Raw data'!AL147)=SIGN('Real results'!C147-'Real results'!D147),3+IF(AND('Raw data'!AK147='Real results'!C147,'Raw data'!AL147='Real results'!D147),2,0),0),0),0)</f>
        <v>0</v>
      </c>
      <c r="AM151" s="34">
        <f>IFERROR(IF(AND(ISNUMBER('Real results'!C147),ISNUMBER('Real results'!D147),ISNUMBER('Raw data'!AM147),ISNUMBER('Raw data'!AN147)),IF(SIGN('Raw data'!AM147-'Raw data'!AN147)=SIGN('Real results'!C147-'Real results'!D147),3+IF(AND('Raw data'!AM147='Real results'!C147,'Raw data'!AN147='Real results'!D147),2,0),0),0),0)</f>
        <v>0</v>
      </c>
      <c r="AO151" s="34">
        <f>IFERROR(IF(AND(ISNUMBER('Real results'!C147),ISNUMBER('Real results'!D147),ISNUMBER('Raw data'!AO147),ISNUMBER('Raw data'!AP147)),IF(SIGN('Raw data'!AO147-'Raw data'!AP147)=SIGN('Real results'!C147-'Real results'!D147),3+IF(AND('Raw data'!AO147='Real results'!C147,'Raw data'!AP147='Real results'!D147),2,0),0),0),0)</f>
        <v>0</v>
      </c>
      <c r="AQ151" s="34">
        <f>IFERROR(IF(AND(ISNUMBER('Real results'!C147),ISNUMBER('Real results'!D147),ISNUMBER('Raw data'!AQ147),ISNUMBER('Raw data'!AR147)),IF(SIGN('Raw data'!AQ147-'Raw data'!AR147)=SIGN('Real results'!C147-'Real results'!D147),3+IF(AND('Raw data'!AQ147='Real results'!C147,'Raw data'!AR147='Real results'!D147),2,0),0),0),0)</f>
        <v>0</v>
      </c>
      <c r="AS151" s="34">
        <f>IFERROR(IF(AND(ISNUMBER('Real results'!C147),ISNUMBER('Real results'!D147),ISNUMBER('Raw data'!AS147),ISNUMBER('Raw data'!AT147)),IF(SIGN('Raw data'!AS147-'Raw data'!AT147)=SIGN('Real results'!C147-'Real results'!D147),3+IF(AND('Raw data'!AS147='Real results'!C147,'Raw data'!AT147='Real results'!D147),2,0),0),0),0)</f>
        <v>0</v>
      </c>
      <c r="AU151" s="34">
        <f>IFERROR(IF(AND(ISNUMBER('Real results'!C147),ISNUMBER('Real results'!D147),ISNUMBER('Raw data'!AU147),ISNUMBER('Raw data'!AV147)),IF(SIGN('Raw data'!AU147-'Raw data'!AV147)=SIGN('Real results'!C147-'Real results'!D147),3+IF(AND('Raw data'!AU147='Real results'!C147,'Raw data'!AV147='Real results'!D147),2,0),0),0),0)</f>
        <v>0</v>
      </c>
      <c r="AW151" s="34">
        <f>IFERROR(IF(AND(ISNUMBER('Real results'!C147),ISNUMBER('Real results'!D147),ISNUMBER('Raw data'!AW147),ISNUMBER('Raw data'!AX147)),IF(SIGN('Raw data'!AW147-'Raw data'!AX147)=SIGN('Real results'!C147-'Real results'!D147),3+IF(AND('Raw data'!AW147='Real results'!C147,'Raw data'!AX147='Real results'!D147),2,0),0),0),0)</f>
        <v>0</v>
      </c>
      <c r="AY151" s="34">
        <f>IFERROR(IF(AND(ISNUMBER('Real results'!C147),ISNUMBER('Real results'!D147),ISNUMBER('Raw data'!AY147),ISNUMBER('Raw data'!AZ147)),IF(SIGN('Raw data'!AY147-'Raw data'!AZ147)=SIGN('Real results'!C147-'Real results'!D147),3+IF(AND('Raw data'!AY147='Real results'!C147,'Raw data'!AZ147='Real results'!D147),2,0),0),0),0)</f>
        <v>0</v>
      </c>
      <c r="BA151" s="34">
        <f>IFERROR(IF(AND(ISNUMBER('Real results'!C147),ISNUMBER('Real results'!D147),ISNUMBER('Raw data'!BA147),ISNUMBER('Raw data'!BB147)),IF(SIGN('Raw data'!BA147-'Raw data'!BB147)=SIGN('Real results'!C147-'Real results'!D147),3+IF(AND('Raw data'!BA147='Real results'!C147,'Raw data'!BB147='Real results'!D147),2,0),0),0),0)</f>
        <v>0</v>
      </c>
      <c r="BC151" s="34">
        <f>IFERROR(IF(AND(ISNUMBER('Real results'!C147),ISNUMBER('Real results'!D147),ISNUMBER('Raw data'!BC147),ISNUMBER('Raw data'!BD147)),IF(SIGN('Raw data'!BC147-'Raw data'!BD147)=SIGN('Real results'!C147-'Real results'!D147),3+IF(AND('Raw data'!BC147='Real results'!C147,'Raw data'!BD147='Real results'!D147),2,0),0),0),0)</f>
        <v>0</v>
      </c>
      <c r="BE151" s="34">
        <f>IFERROR(IF(AND(ISNUMBER('Real results'!C147),ISNUMBER('Real results'!D147),ISNUMBER('Raw data'!BE147),ISNUMBER('Raw data'!BF147)),IF(SIGN('Raw data'!BE147-'Raw data'!BF147)=SIGN('Real results'!C147-'Real results'!D147),3+IF(AND('Raw data'!BE147='Real results'!C147,'Raw data'!BF147='Real results'!D147),2,0),0),0),0)</f>
        <v>0</v>
      </c>
      <c r="BG151" s="34">
        <f>IFERROR(IF(AND(ISNUMBER('Real results'!C147),ISNUMBER('Real results'!D147),ISNUMBER('Raw data'!BG147),ISNUMBER('Raw data'!BH147)),IF(SIGN('Raw data'!BG147-'Raw data'!BH147)=SIGN('Real results'!C147-'Real results'!D147),3+IF(AND('Raw data'!BG147='Real results'!C147,'Raw data'!BH147='Real results'!D147),2,0),0),0),0)</f>
        <v>0</v>
      </c>
      <c r="BI151" s="34">
        <f>IFERROR(IF(AND(ISNUMBER('Real results'!C147),ISNUMBER('Real results'!D147),ISNUMBER('Raw data'!BI147),ISNUMBER('Raw data'!BJ147)),IF(SIGN('Raw data'!BI147-'Raw data'!BJ147)=SIGN('Real results'!C147-'Real results'!D147),3+IF(AND('Raw data'!BI147='Real results'!C147,'Raw data'!BJ147='Real results'!D147),2,0),0),0),0)</f>
        <v>0</v>
      </c>
    </row>
    <row r="152" ht="18.0" customHeight="1">
      <c r="B152" s="12" t="s">
        <v>408</v>
      </c>
      <c r="C152" s="34">
        <v>0.0</v>
      </c>
      <c r="E152" s="34">
        <v>0.0</v>
      </c>
      <c r="G152" s="34">
        <v>0.0</v>
      </c>
      <c r="I152" s="34">
        <v>0.0</v>
      </c>
      <c r="K152" s="34">
        <v>0.0</v>
      </c>
      <c r="M152" s="34">
        <v>0.0</v>
      </c>
      <c r="O152" s="34">
        <v>0.0</v>
      </c>
      <c r="Q152" s="34">
        <v>0.0</v>
      </c>
      <c r="S152" s="34">
        <v>0.0</v>
      </c>
      <c r="U152" s="34">
        <v>0.0</v>
      </c>
      <c r="W152" s="34">
        <v>0.0</v>
      </c>
      <c r="Y152" s="34">
        <v>0.0</v>
      </c>
      <c r="AA152" s="34">
        <v>0.0</v>
      </c>
      <c r="AC152" s="34">
        <v>0.0</v>
      </c>
      <c r="AE152" s="34">
        <v>0.0</v>
      </c>
      <c r="AG152" s="34">
        <v>0.0</v>
      </c>
      <c r="AI152" s="34">
        <v>0.0</v>
      </c>
      <c r="AK152" s="34">
        <v>0.0</v>
      </c>
      <c r="AM152" s="34">
        <v>0.0</v>
      </c>
      <c r="AO152" s="34">
        <v>0.0</v>
      </c>
      <c r="AQ152" s="34">
        <v>0.0</v>
      </c>
      <c r="AS152" s="34">
        <v>0.0</v>
      </c>
      <c r="AU152" s="34">
        <v>0.0</v>
      </c>
      <c r="AW152" s="34">
        <v>0.0</v>
      </c>
      <c r="AY152" s="34">
        <v>0.0</v>
      </c>
      <c r="BA152" s="34">
        <v>0.0</v>
      </c>
      <c r="BC152" s="34">
        <v>0.0</v>
      </c>
      <c r="BE152" s="34">
        <v>0.0</v>
      </c>
      <c r="BG152" s="34">
        <v>0.0</v>
      </c>
      <c r="BI152" s="34">
        <v>0.0</v>
      </c>
    </row>
    <row r="153" ht="18.0" customHeight="1">
      <c r="B153" s="12" t="s">
        <v>409</v>
      </c>
      <c r="C153" s="34">
        <f>IFERROR(IF(AND('Real results'!C149&lt;&gt;"",'Raw data'!C149&lt;&gt;"",UPPER(TRIM('Real results'!C149))=UPPER(TRIM('Raw data'!C149))),1,0),0)</f>
        <v>0</v>
      </c>
      <c r="E153" s="34">
        <f>IFERROR(IF(AND('Real results'!C149&lt;&gt;"",'Raw data'!E149&lt;&gt;"",UPPER(TRIM('Real results'!C149))=UPPER(TRIM('Raw data'!E149))),1,0),0)</f>
        <v>0</v>
      </c>
      <c r="G153" s="34">
        <f>IFERROR(IF(AND('Real results'!C149&lt;&gt;"",'Raw data'!G149&lt;&gt;"",UPPER(TRIM('Real results'!C149))=UPPER(TRIM('Raw data'!G149))),1,0),0)</f>
        <v>0</v>
      </c>
      <c r="I153" s="34">
        <f>IFERROR(IF(AND('Real results'!C149&lt;&gt;"",'Raw data'!I149&lt;&gt;"",UPPER(TRIM('Real results'!C149))=UPPER(TRIM('Raw data'!I149))),1,0),0)</f>
        <v>0</v>
      </c>
      <c r="K153" s="34">
        <f>IFERROR(IF(AND('Real results'!C149&lt;&gt;"",'Raw data'!K149&lt;&gt;"",UPPER(TRIM('Real results'!C149))=UPPER(TRIM('Raw data'!K149))),1,0),0)</f>
        <v>0</v>
      </c>
      <c r="M153" s="34">
        <f>IFERROR(IF(AND('Real results'!C149&lt;&gt;"",'Raw data'!M149&lt;&gt;"",UPPER(TRIM('Real results'!C149))=UPPER(TRIM('Raw data'!M149))),1,0),0)</f>
        <v>0</v>
      </c>
      <c r="O153" s="34">
        <f>IFERROR(IF(AND('Real results'!C149&lt;&gt;"",'Raw data'!O149&lt;&gt;"",UPPER(TRIM('Real results'!C149))=UPPER(TRIM('Raw data'!O149))),1,0),0)</f>
        <v>0</v>
      </c>
      <c r="Q153" s="34">
        <f>IFERROR(IF(AND('Real results'!C149&lt;&gt;"",'Raw data'!Q149&lt;&gt;"",UPPER(TRIM('Real results'!C149))=UPPER(TRIM('Raw data'!Q149))),1,0),0)</f>
        <v>0</v>
      </c>
      <c r="S153" s="34">
        <f>IFERROR(IF(AND('Real results'!C149&lt;&gt;"",'Raw data'!S149&lt;&gt;"",UPPER(TRIM('Real results'!C149))=UPPER(TRIM('Raw data'!S149))),1,0),0)</f>
        <v>0</v>
      </c>
      <c r="U153" s="34">
        <f>IFERROR(IF(AND('Real results'!C149&lt;&gt;"",'Raw data'!U149&lt;&gt;"",UPPER(TRIM('Real results'!C149))=UPPER(TRIM('Raw data'!U149))),1,0),0)</f>
        <v>0</v>
      </c>
      <c r="W153" s="34">
        <f>IFERROR(IF(AND('Real results'!C149&lt;&gt;"",'Raw data'!W149&lt;&gt;"",UPPER(TRIM('Real results'!C149))=UPPER(TRIM('Raw data'!W149))),1,0),0)</f>
        <v>0</v>
      </c>
      <c r="Y153" s="34">
        <f>IFERROR(IF(AND('Real results'!C149&lt;&gt;"",'Raw data'!Y149&lt;&gt;"",UPPER(TRIM('Real results'!C149))=UPPER(TRIM('Raw data'!Y149))),1,0),0)</f>
        <v>0</v>
      </c>
      <c r="AA153" s="34">
        <f>IFERROR(IF(AND('Real results'!C149&lt;&gt;"",'Raw data'!AA149&lt;&gt;"",UPPER(TRIM('Real results'!C149))=UPPER(TRIM('Raw data'!AA149))),1,0),0)</f>
        <v>0</v>
      </c>
      <c r="AC153" s="34">
        <f>IFERROR(IF(AND('Real results'!C149&lt;&gt;"",'Raw data'!AC149&lt;&gt;"",UPPER(TRIM('Real results'!C149))=UPPER(TRIM('Raw data'!AC149))),1,0),0)</f>
        <v>0</v>
      </c>
      <c r="AE153" s="34">
        <f>IFERROR(IF(AND('Real results'!C149&lt;&gt;"",'Raw data'!AE149&lt;&gt;"",UPPER(TRIM('Real results'!C149))=UPPER(TRIM('Raw data'!AE149))),1,0),0)</f>
        <v>0</v>
      </c>
      <c r="AG153" s="34">
        <f>IFERROR(IF(AND('Real results'!C149&lt;&gt;"",'Raw data'!AG149&lt;&gt;"",UPPER(TRIM('Real results'!C149))=UPPER(TRIM('Raw data'!AG149))),1,0),0)</f>
        <v>0</v>
      </c>
      <c r="AI153" s="34">
        <f>IFERROR(IF(AND('Real results'!C149&lt;&gt;"",'Raw data'!AI149&lt;&gt;"",UPPER(TRIM('Real results'!C149))=UPPER(TRIM('Raw data'!AI149))),1,0),0)</f>
        <v>0</v>
      </c>
      <c r="AK153" s="34">
        <f>IFERROR(IF(AND('Real results'!C149&lt;&gt;"",'Raw data'!AK149&lt;&gt;"",UPPER(TRIM('Real results'!C149))=UPPER(TRIM('Raw data'!AK149))),1,0),0)</f>
        <v>0</v>
      </c>
      <c r="AM153" s="34">
        <f>IFERROR(IF(AND('Real results'!C149&lt;&gt;"",'Raw data'!AM149&lt;&gt;"",UPPER(TRIM('Real results'!C149))=UPPER(TRIM('Raw data'!AM149))),1,0),0)</f>
        <v>0</v>
      </c>
      <c r="AO153" s="34">
        <f>IFERROR(IF(AND('Real results'!C149&lt;&gt;"",'Raw data'!AO149&lt;&gt;"",UPPER(TRIM('Real results'!C149))=UPPER(TRIM('Raw data'!AO149))),1,0),0)</f>
        <v>0</v>
      </c>
      <c r="AQ153" s="34">
        <f>IFERROR(IF(AND('Real results'!C149&lt;&gt;"",'Raw data'!AQ149&lt;&gt;"",UPPER(TRIM('Real results'!C149))=UPPER(TRIM('Raw data'!AQ149))),1,0),0)</f>
        <v>0</v>
      </c>
      <c r="AS153" s="34">
        <f>IFERROR(IF(AND('Real results'!C149&lt;&gt;"",'Raw data'!AS149&lt;&gt;"",UPPER(TRIM('Real results'!C149))=UPPER(TRIM('Raw data'!AS149))),1,0),0)</f>
        <v>0</v>
      </c>
      <c r="AU153" s="34">
        <f>IFERROR(IF(AND('Real results'!C149&lt;&gt;"",'Raw data'!AU149&lt;&gt;"",UPPER(TRIM('Real results'!C149))=UPPER(TRIM('Raw data'!AU149))),1,0),0)</f>
        <v>0</v>
      </c>
      <c r="AW153" s="34">
        <f>IFERROR(IF(AND('Real results'!C149&lt;&gt;"",'Raw data'!AW149&lt;&gt;"",UPPER(TRIM('Real results'!C149))=UPPER(TRIM('Raw data'!AW149))),1,0),0)</f>
        <v>0</v>
      </c>
      <c r="AY153" s="34">
        <f>IFERROR(IF(AND('Real results'!C149&lt;&gt;"",'Raw data'!AY149&lt;&gt;"",UPPER(TRIM('Real results'!C149))=UPPER(TRIM('Raw data'!AY149))),1,0),0)</f>
        <v>0</v>
      </c>
      <c r="BA153" s="34">
        <f>IFERROR(IF(AND('Real results'!C149&lt;&gt;"",'Raw data'!BA149&lt;&gt;"",UPPER(TRIM('Real results'!C149))=UPPER(TRIM('Raw data'!BA149))),1,0),0)</f>
        <v>0</v>
      </c>
      <c r="BC153" s="34">
        <f>IFERROR(IF(AND('Real results'!C149&lt;&gt;"",'Raw data'!BC149&lt;&gt;"",UPPER(TRIM('Real results'!C149))=UPPER(TRIM('Raw data'!BC149))),1,0),0)</f>
        <v>0</v>
      </c>
      <c r="BE153" s="34">
        <f>IFERROR(IF(AND('Real results'!C149&lt;&gt;"",'Raw data'!BE149&lt;&gt;"",UPPER(TRIM('Real results'!C149))=UPPER(TRIM('Raw data'!BE149))),1,0),0)</f>
        <v>0</v>
      </c>
      <c r="BG153" s="34">
        <f>IFERROR(IF(AND('Real results'!C149&lt;&gt;"",'Raw data'!BG149&lt;&gt;"",UPPER(TRIM('Real results'!C149))=UPPER(TRIM('Raw data'!BG149))),1,0),0)</f>
        <v>0</v>
      </c>
      <c r="BI153" s="34">
        <f>IFERROR(IF(AND('Real results'!C149&lt;&gt;"",'Raw data'!BI149&lt;&gt;"",UPPER(TRIM('Real results'!C149))=UPPER(TRIM('Raw data'!BI149))),1,0),0)</f>
        <v>0</v>
      </c>
    </row>
    <row r="154" ht="18.0" customHeight="1">
      <c r="B154" s="12" t="s">
        <v>410</v>
      </c>
      <c r="C154" s="34">
        <f>IFERROR(IF(AND(ISNUMBER('Real results'!C150),ISNUMBER('Real results'!D150),ISNUMBER('Raw data'!C150),ISNUMBER('Raw data'!D150)),IF(SIGN('Raw data'!C150-'Raw data'!D150)=SIGN('Real results'!C150-'Real results'!D150),3+IF(AND('Raw data'!C150='Real results'!C150,'Raw data'!D150='Real results'!D150),2,0),0),0),0)</f>
        <v>0</v>
      </c>
      <c r="E154" s="34">
        <f>IFERROR(IF(AND(ISNUMBER('Real results'!C150),ISNUMBER('Real results'!D150),ISNUMBER('Raw data'!E150),ISNUMBER('Raw data'!F150)),IF(SIGN('Raw data'!E150-'Raw data'!F150)=SIGN('Real results'!C150-'Real results'!D150),3+IF(AND('Raw data'!E150='Real results'!C150,'Raw data'!F150='Real results'!D150),2,0),0),0),0)</f>
        <v>0</v>
      </c>
      <c r="G154" s="34">
        <f>IFERROR(IF(AND(ISNUMBER('Real results'!C150),ISNUMBER('Real results'!D150),ISNUMBER('Raw data'!G150),ISNUMBER('Raw data'!H150)),IF(SIGN('Raw data'!G150-'Raw data'!H150)=SIGN('Real results'!C150-'Real results'!D150),3+IF(AND('Raw data'!G150='Real results'!C150,'Raw data'!H150='Real results'!D150),2,0),0),0),0)</f>
        <v>0</v>
      </c>
      <c r="I154" s="34">
        <f>IFERROR(IF(AND(ISNUMBER('Real results'!C150),ISNUMBER('Real results'!D150),ISNUMBER('Raw data'!I150),ISNUMBER('Raw data'!J150)),IF(SIGN('Raw data'!I150-'Raw data'!J150)=SIGN('Real results'!C150-'Real results'!D150),3+IF(AND('Raw data'!I150='Real results'!C150,'Raw data'!J150='Real results'!D150),2,0),0),0),0)</f>
        <v>0</v>
      </c>
      <c r="K154" s="34">
        <f>IFERROR(IF(AND(ISNUMBER('Real results'!C150),ISNUMBER('Real results'!D150),ISNUMBER('Raw data'!K150),ISNUMBER('Raw data'!L150)),IF(SIGN('Raw data'!K150-'Raw data'!L150)=SIGN('Real results'!C150-'Real results'!D150),3+IF(AND('Raw data'!K150='Real results'!C150,'Raw data'!L150='Real results'!D150),2,0),0),0),0)</f>
        <v>0</v>
      </c>
      <c r="M154" s="34">
        <f>IFERROR(IF(AND(ISNUMBER('Real results'!C150),ISNUMBER('Real results'!D150),ISNUMBER('Raw data'!M150),ISNUMBER('Raw data'!N150)),IF(SIGN('Raw data'!M150-'Raw data'!N150)=SIGN('Real results'!C150-'Real results'!D150),3+IF(AND('Raw data'!M150='Real results'!C150,'Raw data'!N150='Real results'!D150),2,0),0),0),0)</f>
        <v>0</v>
      </c>
      <c r="O154" s="34">
        <f>IFERROR(IF(AND(ISNUMBER('Real results'!C150),ISNUMBER('Real results'!D150),ISNUMBER('Raw data'!O150),ISNUMBER('Raw data'!P150)),IF(SIGN('Raw data'!O150-'Raw data'!P150)=SIGN('Real results'!C150-'Real results'!D150),3+IF(AND('Raw data'!O150='Real results'!C150,'Raw data'!P150='Real results'!D150),2,0),0),0),0)</f>
        <v>0</v>
      </c>
      <c r="Q154" s="34">
        <f>IFERROR(IF(AND(ISNUMBER('Real results'!C150),ISNUMBER('Real results'!D150),ISNUMBER('Raw data'!Q150),ISNUMBER('Raw data'!R150)),IF(SIGN('Raw data'!Q150-'Raw data'!R150)=SIGN('Real results'!C150-'Real results'!D150),3+IF(AND('Raw data'!Q150='Real results'!C150,'Raw data'!R150='Real results'!D150),2,0),0),0),0)</f>
        <v>0</v>
      </c>
      <c r="S154" s="34">
        <f>IFERROR(IF(AND(ISNUMBER('Real results'!C150),ISNUMBER('Real results'!D150),ISNUMBER('Raw data'!S150),ISNUMBER('Raw data'!T150)),IF(SIGN('Raw data'!S150-'Raw data'!T150)=SIGN('Real results'!C150-'Real results'!D150),3+IF(AND('Raw data'!S150='Real results'!C150,'Raw data'!T150='Real results'!D150),2,0),0),0),0)</f>
        <v>0</v>
      </c>
      <c r="U154" s="34">
        <f>IFERROR(IF(AND(ISNUMBER('Real results'!C150),ISNUMBER('Real results'!D150),ISNUMBER('Raw data'!U150),ISNUMBER('Raw data'!V150)),IF(SIGN('Raw data'!U150-'Raw data'!V150)=SIGN('Real results'!C150-'Real results'!D150),3+IF(AND('Raw data'!U150='Real results'!C150,'Raw data'!V150='Real results'!D150),2,0),0),0),0)</f>
        <v>0</v>
      </c>
      <c r="W154" s="34">
        <f>IFERROR(IF(AND(ISNUMBER('Real results'!C150),ISNUMBER('Real results'!D150),ISNUMBER('Raw data'!W150),ISNUMBER('Raw data'!X150)),IF(SIGN('Raw data'!W150-'Raw data'!X150)=SIGN('Real results'!C150-'Real results'!D150),3+IF(AND('Raw data'!W150='Real results'!C150,'Raw data'!X150='Real results'!D150),2,0),0),0),0)</f>
        <v>0</v>
      </c>
      <c r="Y154" s="34">
        <f>IFERROR(IF(AND(ISNUMBER('Real results'!C150),ISNUMBER('Real results'!D150),ISNUMBER('Raw data'!Y150),ISNUMBER('Raw data'!Z150)),IF(SIGN('Raw data'!Y150-'Raw data'!Z150)=SIGN('Real results'!C150-'Real results'!D150),3+IF(AND('Raw data'!Y150='Real results'!C150,'Raw data'!Z150='Real results'!D150),2,0),0),0),0)</f>
        <v>0</v>
      </c>
      <c r="AA154" s="34">
        <f>IFERROR(IF(AND(ISNUMBER('Real results'!C150),ISNUMBER('Real results'!D150),ISNUMBER('Raw data'!AA150),ISNUMBER('Raw data'!AB150)),IF(SIGN('Raw data'!AA150-'Raw data'!AB150)=SIGN('Real results'!C150-'Real results'!D150),3+IF(AND('Raw data'!AA150='Real results'!C150,'Raw data'!AB150='Real results'!D150),2,0),0),0),0)</f>
        <v>0</v>
      </c>
      <c r="AC154" s="34">
        <f>IFERROR(IF(AND(ISNUMBER('Real results'!C150),ISNUMBER('Real results'!D150),ISNUMBER('Raw data'!AC150),ISNUMBER('Raw data'!AD150)),IF(SIGN('Raw data'!AC150-'Raw data'!AD150)=SIGN('Real results'!C150-'Real results'!D150),3+IF(AND('Raw data'!AC150='Real results'!C150,'Raw data'!AD150='Real results'!D150),2,0),0),0),0)</f>
        <v>0</v>
      </c>
      <c r="AE154" s="34">
        <f>IFERROR(IF(AND(ISNUMBER('Real results'!C150),ISNUMBER('Real results'!D150),ISNUMBER('Raw data'!AE150),ISNUMBER('Raw data'!AF150)),IF(SIGN('Raw data'!AE150-'Raw data'!AF150)=SIGN('Real results'!C150-'Real results'!D150),3+IF(AND('Raw data'!AE150='Real results'!C150,'Raw data'!AF150='Real results'!D150),2,0),0),0),0)</f>
        <v>0</v>
      </c>
      <c r="AG154" s="34">
        <f>IFERROR(IF(AND(ISNUMBER('Real results'!C150),ISNUMBER('Real results'!D150),ISNUMBER('Raw data'!AG150),ISNUMBER('Raw data'!AH150)),IF(SIGN('Raw data'!AG150-'Raw data'!AH150)=SIGN('Real results'!C150-'Real results'!D150),3+IF(AND('Raw data'!AG150='Real results'!C150,'Raw data'!AH150='Real results'!D150),2,0),0),0),0)</f>
        <v>0</v>
      </c>
      <c r="AI154" s="34">
        <f>IFERROR(IF(AND(ISNUMBER('Real results'!C150),ISNUMBER('Real results'!D150),ISNUMBER('Raw data'!AI150),ISNUMBER('Raw data'!AJ150)),IF(SIGN('Raw data'!AI150-'Raw data'!AJ150)=SIGN('Real results'!C150-'Real results'!D150),3+IF(AND('Raw data'!AI150='Real results'!C150,'Raw data'!AJ150='Real results'!D150),2,0),0),0),0)</f>
        <v>0</v>
      </c>
      <c r="AK154" s="34">
        <f>IFERROR(IF(AND(ISNUMBER('Real results'!C150),ISNUMBER('Real results'!D150),ISNUMBER('Raw data'!AK150),ISNUMBER('Raw data'!AL150)),IF(SIGN('Raw data'!AK150-'Raw data'!AL150)=SIGN('Real results'!C150-'Real results'!D150),3+IF(AND('Raw data'!AK150='Real results'!C150,'Raw data'!AL150='Real results'!D150),2,0),0),0),0)</f>
        <v>0</v>
      </c>
      <c r="AM154" s="34">
        <f>IFERROR(IF(AND(ISNUMBER('Real results'!C150),ISNUMBER('Real results'!D150),ISNUMBER('Raw data'!AM150),ISNUMBER('Raw data'!AN150)),IF(SIGN('Raw data'!AM150-'Raw data'!AN150)=SIGN('Real results'!C150-'Real results'!D150),3+IF(AND('Raw data'!AM150='Real results'!C150,'Raw data'!AN150='Real results'!D150),2,0),0),0),0)</f>
        <v>0</v>
      </c>
      <c r="AO154" s="34">
        <f>IFERROR(IF(AND(ISNUMBER('Real results'!C150),ISNUMBER('Real results'!D150),ISNUMBER('Raw data'!AO150),ISNUMBER('Raw data'!AP150)),IF(SIGN('Raw data'!AO150-'Raw data'!AP150)=SIGN('Real results'!C150-'Real results'!D150),3+IF(AND('Raw data'!AO150='Real results'!C150,'Raw data'!AP150='Real results'!D150),2,0),0),0),0)</f>
        <v>0</v>
      </c>
      <c r="AQ154" s="34">
        <f>IFERROR(IF(AND(ISNUMBER('Real results'!C150),ISNUMBER('Real results'!D150),ISNUMBER('Raw data'!AQ150),ISNUMBER('Raw data'!AR150)),IF(SIGN('Raw data'!AQ150-'Raw data'!AR150)=SIGN('Real results'!C150-'Real results'!D150),3+IF(AND('Raw data'!AQ150='Real results'!C150,'Raw data'!AR150='Real results'!D150),2,0),0),0),0)</f>
        <v>0</v>
      </c>
      <c r="AS154" s="34">
        <f>IFERROR(IF(AND(ISNUMBER('Real results'!C150),ISNUMBER('Real results'!D150),ISNUMBER('Raw data'!AS150),ISNUMBER('Raw data'!AT150)),IF(SIGN('Raw data'!AS150-'Raw data'!AT150)=SIGN('Real results'!C150-'Real results'!D150),3+IF(AND('Raw data'!AS150='Real results'!C150,'Raw data'!AT150='Real results'!D150),2,0),0),0),0)</f>
        <v>0</v>
      </c>
      <c r="AU154" s="34">
        <f>IFERROR(IF(AND(ISNUMBER('Real results'!C150),ISNUMBER('Real results'!D150),ISNUMBER('Raw data'!AU150),ISNUMBER('Raw data'!AV150)),IF(SIGN('Raw data'!AU150-'Raw data'!AV150)=SIGN('Real results'!C150-'Real results'!D150),3+IF(AND('Raw data'!AU150='Real results'!C150,'Raw data'!AV150='Real results'!D150),2,0),0),0),0)</f>
        <v>0</v>
      </c>
      <c r="AW154" s="34">
        <f>IFERROR(IF(AND(ISNUMBER('Real results'!C150),ISNUMBER('Real results'!D150),ISNUMBER('Raw data'!AW150),ISNUMBER('Raw data'!AX150)),IF(SIGN('Raw data'!AW150-'Raw data'!AX150)=SIGN('Real results'!C150-'Real results'!D150),3+IF(AND('Raw data'!AW150='Real results'!C150,'Raw data'!AX150='Real results'!D150),2,0),0),0),0)</f>
        <v>0</v>
      </c>
      <c r="AY154" s="34">
        <f>IFERROR(IF(AND(ISNUMBER('Real results'!C150),ISNUMBER('Real results'!D150),ISNUMBER('Raw data'!AY150),ISNUMBER('Raw data'!AZ150)),IF(SIGN('Raw data'!AY150-'Raw data'!AZ150)=SIGN('Real results'!C150-'Real results'!D150),3+IF(AND('Raw data'!AY150='Real results'!C150,'Raw data'!AZ150='Real results'!D150),2,0),0),0),0)</f>
        <v>0</v>
      </c>
      <c r="BA154" s="34">
        <f>IFERROR(IF(AND(ISNUMBER('Real results'!C150),ISNUMBER('Real results'!D150),ISNUMBER('Raw data'!BA150),ISNUMBER('Raw data'!BB150)),IF(SIGN('Raw data'!BA150-'Raw data'!BB150)=SIGN('Real results'!C150-'Real results'!D150),3+IF(AND('Raw data'!BA150='Real results'!C150,'Raw data'!BB150='Real results'!D150),2,0),0),0),0)</f>
        <v>0</v>
      </c>
      <c r="BC154" s="34">
        <f>IFERROR(IF(AND(ISNUMBER('Real results'!C150),ISNUMBER('Real results'!D150),ISNUMBER('Raw data'!BC150),ISNUMBER('Raw data'!BD150)),IF(SIGN('Raw data'!BC150-'Raw data'!BD150)=SIGN('Real results'!C150-'Real results'!D150),3+IF(AND('Raw data'!BC150='Real results'!C150,'Raw data'!BD150='Real results'!D150),2,0),0),0),0)</f>
        <v>0</v>
      </c>
      <c r="BE154" s="34">
        <f>IFERROR(IF(AND(ISNUMBER('Real results'!C150),ISNUMBER('Real results'!D150),ISNUMBER('Raw data'!BE150),ISNUMBER('Raw data'!BF150)),IF(SIGN('Raw data'!BE150-'Raw data'!BF150)=SIGN('Real results'!C150-'Real results'!D150),3+IF(AND('Raw data'!BE150='Real results'!C150,'Raw data'!BF150='Real results'!D150),2,0),0),0),0)</f>
        <v>0</v>
      </c>
      <c r="BG154" s="34">
        <f>IFERROR(IF(AND(ISNUMBER('Real results'!C150),ISNUMBER('Real results'!D150),ISNUMBER('Raw data'!BG150),ISNUMBER('Raw data'!BH150)),IF(SIGN('Raw data'!BG150-'Raw data'!BH150)=SIGN('Real results'!C150-'Real results'!D150),3+IF(AND('Raw data'!BG150='Real results'!C150,'Raw data'!BH150='Real results'!D150),2,0),0),0),0)</f>
        <v>0</v>
      </c>
      <c r="BI154" s="34">
        <f>IFERROR(IF(AND(ISNUMBER('Real results'!C150),ISNUMBER('Real results'!D150),ISNUMBER('Raw data'!BI150),ISNUMBER('Raw data'!BJ150)),IF(SIGN('Raw data'!BI150-'Raw data'!BJ150)=SIGN('Real results'!C150-'Real results'!D150),3+IF(AND('Raw data'!BI150='Real results'!C150,'Raw data'!BJ150='Real results'!D150),2,0),0),0),0)</f>
        <v>0</v>
      </c>
    </row>
    <row r="155" ht="18.0" customHeight="1">
      <c r="B155" s="12" t="s">
        <v>411</v>
      </c>
      <c r="C155" s="34">
        <v>0.0</v>
      </c>
      <c r="E155" s="34">
        <v>0.0</v>
      </c>
      <c r="G155" s="34">
        <v>0.0</v>
      </c>
      <c r="I155" s="34">
        <v>0.0</v>
      </c>
      <c r="K155" s="34">
        <v>0.0</v>
      </c>
      <c r="M155" s="34">
        <v>0.0</v>
      </c>
      <c r="O155" s="34">
        <v>0.0</v>
      </c>
      <c r="Q155" s="34">
        <v>0.0</v>
      </c>
      <c r="S155" s="34">
        <v>0.0</v>
      </c>
      <c r="U155" s="34">
        <v>0.0</v>
      </c>
      <c r="W155" s="34">
        <v>0.0</v>
      </c>
      <c r="Y155" s="34">
        <v>0.0</v>
      </c>
      <c r="AA155" s="34">
        <v>0.0</v>
      </c>
      <c r="AC155" s="34">
        <v>0.0</v>
      </c>
      <c r="AE155" s="34">
        <v>0.0</v>
      </c>
      <c r="AG155" s="34">
        <v>0.0</v>
      </c>
      <c r="AI155" s="34">
        <v>0.0</v>
      </c>
      <c r="AK155" s="34">
        <v>0.0</v>
      </c>
      <c r="AM155" s="34">
        <v>0.0</v>
      </c>
      <c r="AO155" s="34">
        <v>0.0</v>
      </c>
      <c r="AQ155" s="34">
        <v>0.0</v>
      </c>
      <c r="AS155" s="34">
        <v>0.0</v>
      </c>
      <c r="AU155" s="34">
        <v>0.0</v>
      </c>
      <c r="AW155" s="34">
        <v>0.0</v>
      </c>
      <c r="AY155" s="34">
        <v>0.0</v>
      </c>
      <c r="BA155" s="34">
        <v>0.0</v>
      </c>
      <c r="BC155" s="34">
        <v>0.0</v>
      </c>
      <c r="BE155" s="34">
        <v>0.0</v>
      </c>
      <c r="BG155" s="34">
        <v>0.0</v>
      </c>
      <c r="BI155" s="34">
        <v>0.0</v>
      </c>
    </row>
    <row r="156" ht="18.0" customHeight="1">
      <c r="B156" s="12" t="s">
        <v>412</v>
      </c>
      <c r="C156" s="34">
        <f>IFERROR(IF(AND('Real results'!C152&lt;&gt;"",'Raw data'!C152&lt;&gt;"",UPPER(TRIM('Real results'!C152))=UPPER(TRIM('Raw data'!C152))),1,0),0)</f>
        <v>0</v>
      </c>
      <c r="E156" s="34">
        <f>IFERROR(IF(AND('Real results'!C152&lt;&gt;"",'Raw data'!E152&lt;&gt;"",UPPER(TRIM('Real results'!C152))=UPPER(TRIM('Raw data'!E152))),1,0),0)</f>
        <v>0</v>
      </c>
      <c r="G156" s="34">
        <f>IFERROR(IF(AND('Real results'!C152&lt;&gt;"",'Raw data'!G152&lt;&gt;"",UPPER(TRIM('Real results'!C152))=UPPER(TRIM('Raw data'!G152))),1,0),0)</f>
        <v>0</v>
      </c>
      <c r="I156" s="34">
        <f>IFERROR(IF(AND('Real results'!C152&lt;&gt;"",'Raw data'!I152&lt;&gt;"",UPPER(TRIM('Real results'!C152))=UPPER(TRIM('Raw data'!I152))),1,0),0)</f>
        <v>0</v>
      </c>
      <c r="K156" s="34">
        <f>IFERROR(IF(AND('Real results'!C152&lt;&gt;"",'Raw data'!K152&lt;&gt;"",UPPER(TRIM('Real results'!C152))=UPPER(TRIM('Raw data'!K152))),1,0),0)</f>
        <v>0</v>
      </c>
      <c r="M156" s="34">
        <f>IFERROR(IF(AND('Real results'!C152&lt;&gt;"",'Raw data'!M152&lt;&gt;"",UPPER(TRIM('Real results'!C152))=UPPER(TRIM('Raw data'!M152))),1,0),0)</f>
        <v>0</v>
      </c>
      <c r="O156" s="34">
        <f>IFERROR(IF(AND('Real results'!C152&lt;&gt;"",'Raw data'!O152&lt;&gt;"",UPPER(TRIM('Real results'!C152))=UPPER(TRIM('Raw data'!O152))),1,0),0)</f>
        <v>0</v>
      </c>
      <c r="Q156" s="34">
        <f>IFERROR(IF(AND('Real results'!C152&lt;&gt;"",'Raw data'!Q152&lt;&gt;"",UPPER(TRIM('Real results'!C152))=UPPER(TRIM('Raw data'!Q152))),1,0),0)</f>
        <v>0</v>
      </c>
      <c r="S156" s="34">
        <f>IFERROR(IF(AND('Real results'!C152&lt;&gt;"",'Raw data'!S152&lt;&gt;"",UPPER(TRIM('Real results'!C152))=UPPER(TRIM('Raw data'!S152))),1,0),0)</f>
        <v>0</v>
      </c>
      <c r="U156" s="34">
        <f>IFERROR(IF(AND('Real results'!C152&lt;&gt;"",'Raw data'!U152&lt;&gt;"",UPPER(TRIM('Real results'!C152))=UPPER(TRIM('Raw data'!U152))),1,0),0)</f>
        <v>0</v>
      </c>
      <c r="W156" s="34">
        <f>IFERROR(IF(AND('Real results'!C152&lt;&gt;"",'Raw data'!W152&lt;&gt;"",UPPER(TRIM('Real results'!C152))=UPPER(TRIM('Raw data'!W152))),1,0),0)</f>
        <v>0</v>
      </c>
      <c r="Y156" s="34">
        <f>IFERROR(IF(AND('Real results'!C152&lt;&gt;"",'Raw data'!Y152&lt;&gt;"",UPPER(TRIM('Real results'!C152))=UPPER(TRIM('Raw data'!Y152))),1,0),0)</f>
        <v>0</v>
      </c>
      <c r="AA156" s="34">
        <f>IFERROR(IF(AND('Real results'!C152&lt;&gt;"",'Raw data'!AA152&lt;&gt;"",UPPER(TRIM('Real results'!C152))=UPPER(TRIM('Raw data'!AA152))),1,0),0)</f>
        <v>0</v>
      </c>
      <c r="AC156" s="34">
        <f>IFERROR(IF(AND('Real results'!C152&lt;&gt;"",'Raw data'!AC152&lt;&gt;"",UPPER(TRIM('Real results'!C152))=UPPER(TRIM('Raw data'!AC152))),1,0),0)</f>
        <v>0</v>
      </c>
      <c r="AE156" s="34">
        <f>IFERROR(IF(AND('Real results'!C152&lt;&gt;"",'Raw data'!AE152&lt;&gt;"",UPPER(TRIM('Real results'!C152))=UPPER(TRIM('Raw data'!AE152))),1,0),0)</f>
        <v>0</v>
      </c>
      <c r="AG156" s="34">
        <f>IFERROR(IF(AND('Real results'!C152&lt;&gt;"",'Raw data'!AG152&lt;&gt;"",UPPER(TRIM('Real results'!C152))=UPPER(TRIM('Raw data'!AG152))),1,0),0)</f>
        <v>0</v>
      </c>
      <c r="AI156" s="34">
        <f>IFERROR(IF(AND('Real results'!C152&lt;&gt;"",'Raw data'!AI152&lt;&gt;"",UPPER(TRIM('Real results'!C152))=UPPER(TRIM('Raw data'!AI152))),1,0),0)</f>
        <v>0</v>
      </c>
      <c r="AK156" s="34">
        <f>IFERROR(IF(AND('Real results'!C152&lt;&gt;"",'Raw data'!AK152&lt;&gt;"",UPPER(TRIM('Real results'!C152))=UPPER(TRIM('Raw data'!AK152))),1,0),0)</f>
        <v>0</v>
      </c>
      <c r="AM156" s="34">
        <f>IFERROR(IF(AND('Real results'!C152&lt;&gt;"",'Raw data'!AM152&lt;&gt;"",UPPER(TRIM('Real results'!C152))=UPPER(TRIM('Raw data'!AM152))),1,0),0)</f>
        <v>0</v>
      </c>
      <c r="AO156" s="34">
        <f>IFERROR(IF(AND('Real results'!C152&lt;&gt;"",'Raw data'!AO152&lt;&gt;"",UPPER(TRIM('Real results'!C152))=UPPER(TRIM('Raw data'!AO152))),1,0),0)</f>
        <v>0</v>
      </c>
      <c r="AQ156" s="34">
        <f>IFERROR(IF(AND('Real results'!C152&lt;&gt;"",'Raw data'!AQ152&lt;&gt;"",UPPER(TRIM('Real results'!C152))=UPPER(TRIM('Raw data'!AQ152))),1,0),0)</f>
        <v>0</v>
      </c>
      <c r="AS156" s="34">
        <f>IFERROR(IF(AND('Real results'!C152&lt;&gt;"",'Raw data'!AS152&lt;&gt;"",UPPER(TRIM('Real results'!C152))=UPPER(TRIM('Raw data'!AS152))),1,0),0)</f>
        <v>0</v>
      </c>
      <c r="AU156" s="34">
        <f>IFERROR(IF(AND('Real results'!C152&lt;&gt;"",'Raw data'!AU152&lt;&gt;"",UPPER(TRIM('Real results'!C152))=UPPER(TRIM('Raw data'!AU152))),1,0),0)</f>
        <v>0</v>
      </c>
      <c r="AW156" s="34">
        <f>IFERROR(IF(AND('Real results'!C152&lt;&gt;"",'Raw data'!AW152&lt;&gt;"",UPPER(TRIM('Real results'!C152))=UPPER(TRIM('Raw data'!AW152))),1,0),0)</f>
        <v>0</v>
      </c>
      <c r="AY156" s="34">
        <f>IFERROR(IF(AND('Real results'!C152&lt;&gt;"",'Raw data'!AY152&lt;&gt;"",UPPER(TRIM('Real results'!C152))=UPPER(TRIM('Raw data'!AY152))),1,0),0)</f>
        <v>0</v>
      </c>
      <c r="BA156" s="34">
        <f>IFERROR(IF(AND('Real results'!C152&lt;&gt;"",'Raw data'!BA152&lt;&gt;"",UPPER(TRIM('Real results'!C152))=UPPER(TRIM('Raw data'!BA152))),1,0),0)</f>
        <v>0</v>
      </c>
      <c r="BC156" s="34">
        <f>IFERROR(IF(AND('Real results'!C152&lt;&gt;"",'Raw data'!BC152&lt;&gt;"",UPPER(TRIM('Real results'!C152))=UPPER(TRIM('Raw data'!BC152))),1,0),0)</f>
        <v>0</v>
      </c>
      <c r="BE156" s="34">
        <f>IFERROR(IF(AND('Real results'!C152&lt;&gt;"",'Raw data'!BE152&lt;&gt;"",UPPER(TRIM('Real results'!C152))=UPPER(TRIM('Raw data'!BE152))),1,0),0)</f>
        <v>0</v>
      </c>
      <c r="BG156" s="34">
        <f>IFERROR(IF(AND('Real results'!C152&lt;&gt;"",'Raw data'!BG152&lt;&gt;"",UPPER(TRIM('Real results'!C152))=UPPER(TRIM('Raw data'!BG152))),1,0),0)</f>
        <v>0</v>
      </c>
      <c r="BI156" s="34">
        <f>IFERROR(IF(AND('Real results'!C152&lt;&gt;"",'Raw data'!BI152&lt;&gt;"",UPPER(TRIM('Real results'!C152))=UPPER(TRIM('Raw data'!BI152))),1,0),0)</f>
        <v>0</v>
      </c>
    </row>
    <row r="157" ht="18.0" customHeight="1">
      <c r="B157" s="12" t="s">
        <v>413</v>
      </c>
      <c r="C157" s="34">
        <f>IFERROR(IF(AND(ISNUMBER('Real results'!C153),ISNUMBER('Real results'!D153),ISNUMBER('Raw data'!C153),ISNUMBER('Raw data'!D153)),IF(SIGN('Raw data'!C153-'Raw data'!D153)=SIGN('Real results'!C153-'Real results'!D153),3+IF(AND('Raw data'!C153='Real results'!C153,'Raw data'!D153='Real results'!D153),2,0),0),0),0)</f>
        <v>0</v>
      </c>
      <c r="E157" s="34">
        <f>IFERROR(IF(AND(ISNUMBER('Real results'!C153),ISNUMBER('Real results'!D153),ISNUMBER('Raw data'!E153),ISNUMBER('Raw data'!F153)),IF(SIGN('Raw data'!E153-'Raw data'!F153)=SIGN('Real results'!C153-'Real results'!D153),3+IF(AND('Raw data'!E153='Real results'!C153,'Raw data'!F153='Real results'!D153),2,0),0),0),0)</f>
        <v>0</v>
      </c>
      <c r="G157" s="34">
        <f>IFERROR(IF(AND(ISNUMBER('Real results'!C153),ISNUMBER('Real results'!D153),ISNUMBER('Raw data'!G153),ISNUMBER('Raw data'!H153)),IF(SIGN('Raw data'!G153-'Raw data'!H153)=SIGN('Real results'!C153-'Real results'!D153),3+IF(AND('Raw data'!G153='Real results'!C153,'Raw data'!H153='Real results'!D153),2,0),0),0),0)</f>
        <v>0</v>
      </c>
      <c r="I157" s="34">
        <f>IFERROR(IF(AND(ISNUMBER('Real results'!C153),ISNUMBER('Real results'!D153),ISNUMBER('Raw data'!I153),ISNUMBER('Raw data'!J153)),IF(SIGN('Raw data'!I153-'Raw data'!J153)=SIGN('Real results'!C153-'Real results'!D153),3+IF(AND('Raw data'!I153='Real results'!C153,'Raw data'!J153='Real results'!D153),2,0),0),0),0)</f>
        <v>0</v>
      </c>
      <c r="K157" s="34">
        <f>IFERROR(IF(AND(ISNUMBER('Real results'!C153),ISNUMBER('Real results'!D153),ISNUMBER('Raw data'!K153),ISNUMBER('Raw data'!L153)),IF(SIGN('Raw data'!K153-'Raw data'!L153)=SIGN('Real results'!C153-'Real results'!D153),3+IF(AND('Raw data'!K153='Real results'!C153,'Raw data'!L153='Real results'!D153),2,0),0),0),0)</f>
        <v>0</v>
      </c>
      <c r="M157" s="34">
        <f>IFERROR(IF(AND(ISNUMBER('Real results'!C153),ISNUMBER('Real results'!D153),ISNUMBER('Raw data'!M153),ISNUMBER('Raw data'!N153)),IF(SIGN('Raw data'!M153-'Raw data'!N153)=SIGN('Real results'!C153-'Real results'!D153),3+IF(AND('Raw data'!M153='Real results'!C153,'Raw data'!N153='Real results'!D153),2,0),0),0),0)</f>
        <v>0</v>
      </c>
      <c r="O157" s="34">
        <f>IFERROR(IF(AND(ISNUMBER('Real results'!C153),ISNUMBER('Real results'!D153),ISNUMBER('Raw data'!O153),ISNUMBER('Raw data'!P153)),IF(SIGN('Raw data'!O153-'Raw data'!P153)=SIGN('Real results'!C153-'Real results'!D153),3+IF(AND('Raw data'!O153='Real results'!C153,'Raw data'!P153='Real results'!D153),2,0),0),0),0)</f>
        <v>0</v>
      </c>
      <c r="Q157" s="34">
        <f>IFERROR(IF(AND(ISNUMBER('Real results'!C153),ISNUMBER('Real results'!D153),ISNUMBER('Raw data'!Q153),ISNUMBER('Raw data'!R153)),IF(SIGN('Raw data'!Q153-'Raw data'!R153)=SIGN('Real results'!C153-'Real results'!D153),3+IF(AND('Raw data'!Q153='Real results'!C153,'Raw data'!R153='Real results'!D153),2,0),0),0),0)</f>
        <v>0</v>
      </c>
      <c r="S157" s="34">
        <f>IFERROR(IF(AND(ISNUMBER('Real results'!C153),ISNUMBER('Real results'!D153),ISNUMBER('Raw data'!S153),ISNUMBER('Raw data'!T153)),IF(SIGN('Raw data'!S153-'Raw data'!T153)=SIGN('Real results'!C153-'Real results'!D153),3+IF(AND('Raw data'!S153='Real results'!C153,'Raw data'!T153='Real results'!D153),2,0),0),0),0)</f>
        <v>0</v>
      </c>
      <c r="U157" s="34">
        <f>IFERROR(IF(AND(ISNUMBER('Real results'!C153),ISNUMBER('Real results'!D153),ISNUMBER('Raw data'!U153),ISNUMBER('Raw data'!V153)),IF(SIGN('Raw data'!U153-'Raw data'!V153)=SIGN('Real results'!C153-'Real results'!D153),3+IF(AND('Raw data'!U153='Real results'!C153,'Raw data'!V153='Real results'!D153),2,0),0),0),0)</f>
        <v>0</v>
      </c>
      <c r="W157" s="34">
        <f>IFERROR(IF(AND(ISNUMBER('Real results'!C153),ISNUMBER('Real results'!D153),ISNUMBER('Raw data'!W153),ISNUMBER('Raw data'!X153)),IF(SIGN('Raw data'!W153-'Raw data'!X153)=SIGN('Real results'!C153-'Real results'!D153),3+IF(AND('Raw data'!W153='Real results'!C153,'Raw data'!X153='Real results'!D153),2,0),0),0),0)</f>
        <v>0</v>
      </c>
      <c r="Y157" s="34">
        <f>IFERROR(IF(AND(ISNUMBER('Real results'!C153),ISNUMBER('Real results'!D153),ISNUMBER('Raw data'!Y153),ISNUMBER('Raw data'!Z153)),IF(SIGN('Raw data'!Y153-'Raw data'!Z153)=SIGN('Real results'!C153-'Real results'!D153),3+IF(AND('Raw data'!Y153='Real results'!C153,'Raw data'!Z153='Real results'!D153),2,0),0),0),0)</f>
        <v>0</v>
      </c>
      <c r="AA157" s="34">
        <f>IFERROR(IF(AND(ISNUMBER('Real results'!C153),ISNUMBER('Real results'!D153),ISNUMBER('Raw data'!AA153),ISNUMBER('Raw data'!AB153)),IF(SIGN('Raw data'!AA153-'Raw data'!AB153)=SIGN('Real results'!C153-'Real results'!D153),3+IF(AND('Raw data'!AA153='Real results'!C153,'Raw data'!AB153='Real results'!D153),2,0),0),0),0)</f>
        <v>0</v>
      </c>
      <c r="AC157" s="34">
        <f>IFERROR(IF(AND(ISNUMBER('Real results'!C153),ISNUMBER('Real results'!D153),ISNUMBER('Raw data'!AC153),ISNUMBER('Raw data'!AD153)),IF(SIGN('Raw data'!AC153-'Raw data'!AD153)=SIGN('Real results'!C153-'Real results'!D153),3+IF(AND('Raw data'!AC153='Real results'!C153,'Raw data'!AD153='Real results'!D153),2,0),0),0),0)</f>
        <v>0</v>
      </c>
      <c r="AE157" s="34">
        <f>IFERROR(IF(AND(ISNUMBER('Real results'!C153),ISNUMBER('Real results'!D153),ISNUMBER('Raw data'!AE153),ISNUMBER('Raw data'!AF153)),IF(SIGN('Raw data'!AE153-'Raw data'!AF153)=SIGN('Real results'!C153-'Real results'!D153),3+IF(AND('Raw data'!AE153='Real results'!C153,'Raw data'!AF153='Real results'!D153),2,0),0),0),0)</f>
        <v>0</v>
      </c>
      <c r="AG157" s="34">
        <f>IFERROR(IF(AND(ISNUMBER('Real results'!C153),ISNUMBER('Real results'!D153),ISNUMBER('Raw data'!AG153),ISNUMBER('Raw data'!AH153)),IF(SIGN('Raw data'!AG153-'Raw data'!AH153)=SIGN('Real results'!C153-'Real results'!D153),3+IF(AND('Raw data'!AG153='Real results'!C153,'Raw data'!AH153='Real results'!D153),2,0),0),0),0)</f>
        <v>0</v>
      </c>
      <c r="AI157" s="34">
        <f>IFERROR(IF(AND(ISNUMBER('Real results'!C153),ISNUMBER('Real results'!D153),ISNUMBER('Raw data'!AI153),ISNUMBER('Raw data'!AJ153)),IF(SIGN('Raw data'!AI153-'Raw data'!AJ153)=SIGN('Real results'!C153-'Real results'!D153),3+IF(AND('Raw data'!AI153='Real results'!C153,'Raw data'!AJ153='Real results'!D153),2,0),0),0),0)</f>
        <v>0</v>
      </c>
      <c r="AK157" s="34">
        <f>IFERROR(IF(AND(ISNUMBER('Real results'!C153),ISNUMBER('Real results'!D153),ISNUMBER('Raw data'!AK153),ISNUMBER('Raw data'!AL153)),IF(SIGN('Raw data'!AK153-'Raw data'!AL153)=SIGN('Real results'!C153-'Real results'!D153),3+IF(AND('Raw data'!AK153='Real results'!C153,'Raw data'!AL153='Real results'!D153),2,0),0),0),0)</f>
        <v>0</v>
      </c>
      <c r="AM157" s="34">
        <f>IFERROR(IF(AND(ISNUMBER('Real results'!C153),ISNUMBER('Real results'!D153),ISNUMBER('Raw data'!AM153),ISNUMBER('Raw data'!AN153)),IF(SIGN('Raw data'!AM153-'Raw data'!AN153)=SIGN('Real results'!C153-'Real results'!D153),3+IF(AND('Raw data'!AM153='Real results'!C153,'Raw data'!AN153='Real results'!D153),2,0),0),0),0)</f>
        <v>0</v>
      </c>
      <c r="AO157" s="34">
        <f>IFERROR(IF(AND(ISNUMBER('Real results'!C153),ISNUMBER('Real results'!D153),ISNUMBER('Raw data'!AO153),ISNUMBER('Raw data'!AP153)),IF(SIGN('Raw data'!AO153-'Raw data'!AP153)=SIGN('Real results'!C153-'Real results'!D153),3+IF(AND('Raw data'!AO153='Real results'!C153,'Raw data'!AP153='Real results'!D153),2,0),0),0),0)</f>
        <v>0</v>
      </c>
      <c r="AQ157" s="34">
        <f>IFERROR(IF(AND(ISNUMBER('Real results'!C153),ISNUMBER('Real results'!D153),ISNUMBER('Raw data'!AQ153),ISNUMBER('Raw data'!AR153)),IF(SIGN('Raw data'!AQ153-'Raw data'!AR153)=SIGN('Real results'!C153-'Real results'!D153),3+IF(AND('Raw data'!AQ153='Real results'!C153,'Raw data'!AR153='Real results'!D153),2,0),0),0),0)</f>
        <v>0</v>
      </c>
      <c r="AS157" s="34">
        <f>IFERROR(IF(AND(ISNUMBER('Real results'!C153),ISNUMBER('Real results'!D153),ISNUMBER('Raw data'!AS153),ISNUMBER('Raw data'!AT153)),IF(SIGN('Raw data'!AS153-'Raw data'!AT153)=SIGN('Real results'!C153-'Real results'!D153),3+IF(AND('Raw data'!AS153='Real results'!C153,'Raw data'!AT153='Real results'!D153),2,0),0),0),0)</f>
        <v>0</v>
      </c>
      <c r="AU157" s="34">
        <f>IFERROR(IF(AND(ISNUMBER('Real results'!C153),ISNUMBER('Real results'!D153),ISNUMBER('Raw data'!AU153),ISNUMBER('Raw data'!AV153)),IF(SIGN('Raw data'!AU153-'Raw data'!AV153)=SIGN('Real results'!C153-'Real results'!D153),3+IF(AND('Raw data'!AU153='Real results'!C153,'Raw data'!AV153='Real results'!D153),2,0),0),0),0)</f>
        <v>0</v>
      </c>
      <c r="AW157" s="34">
        <f>IFERROR(IF(AND(ISNUMBER('Real results'!C153),ISNUMBER('Real results'!D153),ISNUMBER('Raw data'!AW153),ISNUMBER('Raw data'!AX153)),IF(SIGN('Raw data'!AW153-'Raw data'!AX153)=SIGN('Real results'!C153-'Real results'!D153),3+IF(AND('Raw data'!AW153='Real results'!C153,'Raw data'!AX153='Real results'!D153),2,0),0),0),0)</f>
        <v>0</v>
      </c>
      <c r="AY157" s="34">
        <f>IFERROR(IF(AND(ISNUMBER('Real results'!C153),ISNUMBER('Real results'!D153),ISNUMBER('Raw data'!AY153),ISNUMBER('Raw data'!AZ153)),IF(SIGN('Raw data'!AY153-'Raw data'!AZ153)=SIGN('Real results'!C153-'Real results'!D153),3+IF(AND('Raw data'!AY153='Real results'!C153,'Raw data'!AZ153='Real results'!D153),2,0),0),0),0)</f>
        <v>0</v>
      </c>
      <c r="BA157" s="34">
        <f>IFERROR(IF(AND(ISNUMBER('Real results'!C153),ISNUMBER('Real results'!D153),ISNUMBER('Raw data'!BA153),ISNUMBER('Raw data'!BB153)),IF(SIGN('Raw data'!BA153-'Raw data'!BB153)=SIGN('Real results'!C153-'Real results'!D153),3+IF(AND('Raw data'!BA153='Real results'!C153,'Raw data'!BB153='Real results'!D153),2,0),0),0),0)</f>
        <v>0</v>
      </c>
      <c r="BC157" s="34">
        <f>IFERROR(IF(AND(ISNUMBER('Real results'!C153),ISNUMBER('Real results'!D153),ISNUMBER('Raw data'!BC153),ISNUMBER('Raw data'!BD153)),IF(SIGN('Raw data'!BC153-'Raw data'!BD153)=SIGN('Real results'!C153-'Real results'!D153),3+IF(AND('Raw data'!BC153='Real results'!C153,'Raw data'!BD153='Real results'!D153),2,0),0),0),0)</f>
        <v>0</v>
      </c>
      <c r="BE157" s="34">
        <f>IFERROR(IF(AND(ISNUMBER('Real results'!C153),ISNUMBER('Real results'!D153),ISNUMBER('Raw data'!BE153),ISNUMBER('Raw data'!BF153)),IF(SIGN('Raw data'!BE153-'Raw data'!BF153)=SIGN('Real results'!C153-'Real results'!D153),3+IF(AND('Raw data'!BE153='Real results'!C153,'Raw data'!BF153='Real results'!D153),2,0),0),0),0)</f>
        <v>0</v>
      </c>
      <c r="BG157" s="34">
        <f>IFERROR(IF(AND(ISNUMBER('Real results'!C153),ISNUMBER('Real results'!D153),ISNUMBER('Raw data'!BG153),ISNUMBER('Raw data'!BH153)),IF(SIGN('Raw data'!BG153-'Raw data'!BH153)=SIGN('Real results'!C153-'Real results'!D153),3+IF(AND('Raw data'!BG153='Real results'!C153,'Raw data'!BH153='Real results'!D153),2,0),0),0),0)</f>
        <v>0</v>
      </c>
      <c r="BI157" s="34">
        <f>IFERROR(IF(AND(ISNUMBER('Real results'!C153),ISNUMBER('Real results'!D153),ISNUMBER('Raw data'!BI153),ISNUMBER('Raw data'!BJ153)),IF(SIGN('Raw data'!BI153-'Raw data'!BJ153)=SIGN('Real results'!C153-'Real results'!D153),3+IF(AND('Raw data'!BI153='Real results'!C153,'Raw data'!BJ153='Real results'!D153),2,0),0),0),0)</f>
        <v>0</v>
      </c>
    </row>
    <row r="158" ht="18.0" customHeight="1">
      <c r="B158" s="12" t="s">
        <v>414</v>
      </c>
      <c r="C158" s="34">
        <v>0.0</v>
      </c>
      <c r="E158" s="34">
        <v>0.0</v>
      </c>
      <c r="G158" s="34">
        <v>0.0</v>
      </c>
      <c r="I158" s="34">
        <v>0.0</v>
      </c>
      <c r="K158" s="34">
        <v>0.0</v>
      </c>
      <c r="M158" s="34">
        <v>0.0</v>
      </c>
      <c r="O158" s="34">
        <v>0.0</v>
      </c>
      <c r="Q158" s="34">
        <v>0.0</v>
      </c>
      <c r="S158" s="34">
        <v>0.0</v>
      </c>
      <c r="U158" s="34">
        <v>0.0</v>
      </c>
      <c r="W158" s="34">
        <v>0.0</v>
      </c>
      <c r="Y158" s="34">
        <v>0.0</v>
      </c>
      <c r="AA158" s="34">
        <v>0.0</v>
      </c>
      <c r="AC158" s="34">
        <v>0.0</v>
      </c>
      <c r="AE158" s="34">
        <v>0.0</v>
      </c>
      <c r="AG158" s="34">
        <v>0.0</v>
      </c>
      <c r="AI158" s="34">
        <v>0.0</v>
      </c>
      <c r="AK158" s="34">
        <v>0.0</v>
      </c>
      <c r="AM158" s="34">
        <v>0.0</v>
      </c>
      <c r="AO158" s="34">
        <v>0.0</v>
      </c>
      <c r="AQ158" s="34">
        <v>0.0</v>
      </c>
      <c r="AS158" s="34">
        <v>0.0</v>
      </c>
      <c r="AU158" s="34">
        <v>0.0</v>
      </c>
      <c r="AW158" s="34">
        <v>0.0</v>
      </c>
      <c r="AY158" s="34">
        <v>0.0</v>
      </c>
      <c r="BA158" s="34">
        <v>0.0</v>
      </c>
      <c r="BC158" s="34">
        <v>0.0</v>
      </c>
      <c r="BE158" s="34">
        <v>0.0</v>
      </c>
      <c r="BG158" s="34">
        <v>0.0</v>
      </c>
      <c r="BI158" s="34">
        <v>0.0</v>
      </c>
    </row>
    <row r="159" ht="18.0" customHeight="1">
      <c r="B159" s="12" t="s">
        <v>415</v>
      </c>
      <c r="C159" s="34">
        <f>IFERROR(IF(AND('Real results'!C155&lt;&gt;"",'Raw data'!C155&lt;&gt;"",UPPER(TRIM('Real results'!C155))=UPPER(TRIM('Raw data'!C155))),1,0),0)</f>
        <v>0</v>
      </c>
      <c r="E159" s="34">
        <f>IFERROR(IF(AND('Real results'!C155&lt;&gt;"",'Raw data'!E155&lt;&gt;"",UPPER(TRIM('Real results'!C155))=UPPER(TRIM('Raw data'!E155))),1,0),0)</f>
        <v>0</v>
      </c>
      <c r="G159" s="34">
        <f>IFERROR(IF(AND('Real results'!C155&lt;&gt;"",'Raw data'!G155&lt;&gt;"",UPPER(TRIM('Real results'!C155))=UPPER(TRIM('Raw data'!G155))),1,0),0)</f>
        <v>0</v>
      </c>
      <c r="I159" s="34">
        <f>IFERROR(IF(AND('Real results'!C155&lt;&gt;"",'Raw data'!I155&lt;&gt;"",UPPER(TRIM('Real results'!C155))=UPPER(TRIM('Raw data'!I155))),1,0),0)</f>
        <v>0</v>
      </c>
      <c r="K159" s="34">
        <f>IFERROR(IF(AND('Real results'!C155&lt;&gt;"",'Raw data'!K155&lt;&gt;"",UPPER(TRIM('Real results'!C155))=UPPER(TRIM('Raw data'!K155))),1,0),0)</f>
        <v>0</v>
      </c>
      <c r="M159" s="34">
        <f>IFERROR(IF(AND('Real results'!C155&lt;&gt;"",'Raw data'!M155&lt;&gt;"",UPPER(TRIM('Real results'!C155))=UPPER(TRIM('Raw data'!M155))),1,0),0)</f>
        <v>0</v>
      </c>
      <c r="O159" s="34">
        <f>IFERROR(IF(AND('Real results'!C155&lt;&gt;"",'Raw data'!O155&lt;&gt;"",UPPER(TRIM('Real results'!C155))=UPPER(TRIM('Raw data'!O155))),1,0),0)</f>
        <v>0</v>
      </c>
      <c r="Q159" s="34">
        <f>IFERROR(IF(AND('Real results'!C155&lt;&gt;"",'Raw data'!Q155&lt;&gt;"",UPPER(TRIM('Real results'!C155))=UPPER(TRIM('Raw data'!Q155))),1,0),0)</f>
        <v>0</v>
      </c>
      <c r="S159" s="34">
        <f>IFERROR(IF(AND('Real results'!C155&lt;&gt;"",'Raw data'!S155&lt;&gt;"",UPPER(TRIM('Real results'!C155))=UPPER(TRIM('Raw data'!S155))),1,0),0)</f>
        <v>0</v>
      </c>
      <c r="U159" s="34">
        <f>IFERROR(IF(AND('Real results'!C155&lt;&gt;"",'Raw data'!U155&lt;&gt;"",UPPER(TRIM('Real results'!C155))=UPPER(TRIM('Raw data'!U155))),1,0),0)</f>
        <v>0</v>
      </c>
      <c r="W159" s="34">
        <f>IFERROR(IF(AND('Real results'!C155&lt;&gt;"",'Raw data'!W155&lt;&gt;"",UPPER(TRIM('Real results'!C155))=UPPER(TRIM('Raw data'!W155))),1,0),0)</f>
        <v>0</v>
      </c>
      <c r="Y159" s="34">
        <f>IFERROR(IF(AND('Real results'!C155&lt;&gt;"",'Raw data'!Y155&lt;&gt;"",UPPER(TRIM('Real results'!C155))=UPPER(TRIM('Raw data'!Y155))),1,0),0)</f>
        <v>0</v>
      </c>
      <c r="AA159" s="34">
        <f>IFERROR(IF(AND('Real results'!C155&lt;&gt;"",'Raw data'!AA155&lt;&gt;"",UPPER(TRIM('Real results'!C155))=UPPER(TRIM('Raw data'!AA155))),1,0),0)</f>
        <v>0</v>
      </c>
      <c r="AC159" s="34">
        <f>IFERROR(IF(AND('Real results'!C155&lt;&gt;"",'Raw data'!AC155&lt;&gt;"",UPPER(TRIM('Real results'!C155))=UPPER(TRIM('Raw data'!AC155))),1,0),0)</f>
        <v>0</v>
      </c>
      <c r="AE159" s="34">
        <f>IFERROR(IF(AND('Real results'!C155&lt;&gt;"",'Raw data'!AE155&lt;&gt;"",UPPER(TRIM('Real results'!C155))=UPPER(TRIM('Raw data'!AE155))),1,0),0)</f>
        <v>0</v>
      </c>
      <c r="AG159" s="34">
        <f>IFERROR(IF(AND('Real results'!C155&lt;&gt;"",'Raw data'!AG155&lt;&gt;"",UPPER(TRIM('Real results'!C155))=UPPER(TRIM('Raw data'!AG155))),1,0),0)</f>
        <v>0</v>
      </c>
      <c r="AI159" s="34">
        <f>IFERROR(IF(AND('Real results'!C155&lt;&gt;"",'Raw data'!AI155&lt;&gt;"",UPPER(TRIM('Real results'!C155))=UPPER(TRIM('Raw data'!AI155))),1,0),0)</f>
        <v>0</v>
      </c>
      <c r="AK159" s="34">
        <f>IFERROR(IF(AND('Real results'!C155&lt;&gt;"",'Raw data'!AK155&lt;&gt;"",UPPER(TRIM('Real results'!C155))=UPPER(TRIM('Raw data'!AK155))),1,0),0)</f>
        <v>0</v>
      </c>
      <c r="AM159" s="34">
        <f>IFERROR(IF(AND('Real results'!C155&lt;&gt;"",'Raw data'!AM155&lt;&gt;"",UPPER(TRIM('Real results'!C155))=UPPER(TRIM('Raw data'!AM155))),1,0),0)</f>
        <v>0</v>
      </c>
      <c r="AO159" s="34">
        <f>IFERROR(IF(AND('Real results'!C155&lt;&gt;"",'Raw data'!AO155&lt;&gt;"",UPPER(TRIM('Real results'!C155))=UPPER(TRIM('Raw data'!AO155))),1,0),0)</f>
        <v>0</v>
      </c>
      <c r="AQ159" s="34">
        <f>IFERROR(IF(AND('Real results'!C155&lt;&gt;"",'Raw data'!AQ155&lt;&gt;"",UPPER(TRIM('Real results'!C155))=UPPER(TRIM('Raw data'!AQ155))),1,0),0)</f>
        <v>0</v>
      </c>
      <c r="AS159" s="34">
        <f>IFERROR(IF(AND('Real results'!C155&lt;&gt;"",'Raw data'!AS155&lt;&gt;"",UPPER(TRIM('Real results'!C155))=UPPER(TRIM('Raw data'!AS155))),1,0),0)</f>
        <v>0</v>
      </c>
      <c r="AU159" s="34">
        <f>IFERROR(IF(AND('Real results'!C155&lt;&gt;"",'Raw data'!AU155&lt;&gt;"",UPPER(TRIM('Real results'!C155))=UPPER(TRIM('Raw data'!AU155))),1,0),0)</f>
        <v>0</v>
      </c>
      <c r="AW159" s="34">
        <f>IFERROR(IF(AND('Real results'!C155&lt;&gt;"",'Raw data'!AW155&lt;&gt;"",UPPER(TRIM('Real results'!C155))=UPPER(TRIM('Raw data'!AW155))),1,0),0)</f>
        <v>0</v>
      </c>
      <c r="AY159" s="34">
        <f>IFERROR(IF(AND('Real results'!C155&lt;&gt;"",'Raw data'!AY155&lt;&gt;"",UPPER(TRIM('Real results'!C155))=UPPER(TRIM('Raw data'!AY155))),1,0),0)</f>
        <v>0</v>
      </c>
      <c r="BA159" s="34">
        <f>IFERROR(IF(AND('Real results'!C155&lt;&gt;"",'Raw data'!BA155&lt;&gt;"",UPPER(TRIM('Real results'!C155))=UPPER(TRIM('Raw data'!BA155))),1,0),0)</f>
        <v>0</v>
      </c>
      <c r="BC159" s="34">
        <f>IFERROR(IF(AND('Real results'!C155&lt;&gt;"",'Raw data'!BC155&lt;&gt;"",UPPER(TRIM('Real results'!C155))=UPPER(TRIM('Raw data'!BC155))),1,0),0)</f>
        <v>0</v>
      </c>
      <c r="BE159" s="34">
        <f>IFERROR(IF(AND('Real results'!C155&lt;&gt;"",'Raw data'!BE155&lt;&gt;"",UPPER(TRIM('Real results'!C155))=UPPER(TRIM('Raw data'!BE155))),1,0),0)</f>
        <v>0</v>
      </c>
      <c r="BG159" s="34">
        <f>IFERROR(IF(AND('Real results'!C155&lt;&gt;"",'Raw data'!BG155&lt;&gt;"",UPPER(TRIM('Real results'!C155))=UPPER(TRIM('Raw data'!BG155))),1,0),0)</f>
        <v>0</v>
      </c>
      <c r="BI159" s="34">
        <f>IFERROR(IF(AND('Real results'!C155&lt;&gt;"",'Raw data'!BI155&lt;&gt;"",UPPER(TRIM('Real results'!C155))=UPPER(TRIM('Raw data'!BI155))),1,0),0)</f>
        <v>0</v>
      </c>
    </row>
    <row r="160" ht="18.0" customHeight="1">
      <c r="B160" s="12" t="s">
        <v>416</v>
      </c>
      <c r="C160" s="34">
        <f>IFERROR(IF(AND(ISNUMBER('Real results'!C156),ISNUMBER('Real results'!D156),ISNUMBER('Raw data'!C156),ISNUMBER('Raw data'!D156)),IF(SIGN('Raw data'!C156-'Raw data'!D156)=SIGN('Real results'!C156-'Real results'!D156),3+IF(AND('Raw data'!C156='Real results'!C156,'Raw data'!D156='Real results'!D156),2,0),0),0),0)</f>
        <v>0</v>
      </c>
      <c r="E160" s="34">
        <f>IFERROR(IF(AND(ISNUMBER('Real results'!C156),ISNUMBER('Real results'!D156),ISNUMBER('Raw data'!E156),ISNUMBER('Raw data'!F156)),IF(SIGN('Raw data'!E156-'Raw data'!F156)=SIGN('Real results'!C156-'Real results'!D156),3+IF(AND('Raw data'!E156='Real results'!C156,'Raw data'!F156='Real results'!D156),2,0),0),0),0)</f>
        <v>0</v>
      </c>
      <c r="G160" s="34">
        <f>IFERROR(IF(AND(ISNUMBER('Real results'!C156),ISNUMBER('Real results'!D156),ISNUMBER('Raw data'!G156),ISNUMBER('Raw data'!H156)),IF(SIGN('Raw data'!G156-'Raw data'!H156)=SIGN('Real results'!C156-'Real results'!D156),3+IF(AND('Raw data'!G156='Real results'!C156,'Raw data'!H156='Real results'!D156),2,0),0),0),0)</f>
        <v>0</v>
      </c>
      <c r="I160" s="34">
        <f>IFERROR(IF(AND(ISNUMBER('Real results'!C156),ISNUMBER('Real results'!D156),ISNUMBER('Raw data'!I156),ISNUMBER('Raw data'!J156)),IF(SIGN('Raw data'!I156-'Raw data'!J156)=SIGN('Real results'!C156-'Real results'!D156),3+IF(AND('Raw data'!I156='Real results'!C156,'Raw data'!J156='Real results'!D156),2,0),0),0),0)</f>
        <v>0</v>
      </c>
      <c r="K160" s="34">
        <f>IFERROR(IF(AND(ISNUMBER('Real results'!C156),ISNUMBER('Real results'!D156),ISNUMBER('Raw data'!K156),ISNUMBER('Raw data'!L156)),IF(SIGN('Raw data'!K156-'Raw data'!L156)=SIGN('Real results'!C156-'Real results'!D156),3+IF(AND('Raw data'!K156='Real results'!C156,'Raw data'!L156='Real results'!D156),2,0),0),0),0)</f>
        <v>0</v>
      </c>
      <c r="M160" s="34">
        <f>IFERROR(IF(AND(ISNUMBER('Real results'!C156),ISNUMBER('Real results'!D156),ISNUMBER('Raw data'!M156),ISNUMBER('Raw data'!N156)),IF(SIGN('Raw data'!M156-'Raw data'!N156)=SIGN('Real results'!C156-'Real results'!D156),3+IF(AND('Raw data'!M156='Real results'!C156,'Raw data'!N156='Real results'!D156),2,0),0),0),0)</f>
        <v>0</v>
      </c>
      <c r="O160" s="34">
        <f>IFERROR(IF(AND(ISNUMBER('Real results'!C156),ISNUMBER('Real results'!D156),ISNUMBER('Raw data'!O156),ISNUMBER('Raw data'!P156)),IF(SIGN('Raw data'!O156-'Raw data'!P156)=SIGN('Real results'!C156-'Real results'!D156),3+IF(AND('Raw data'!O156='Real results'!C156,'Raw data'!P156='Real results'!D156),2,0),0),0),0)</f>
        <v>0</v>
      </c>
      <c r="Q160" s="34">
        <f>IFERROR(IF(AND(ISNUMBER('Real results'!C156),ISNUMBER('Real results'!D156),ISNUMBER('Raw data'!Q156),ISNUMBER('Raw data'!R156)),IF(SIGN('Raw data'!Q156-'Raw data'!R156)=SIGN('Real results'!C156-'Real results'!D156),3+IF(AND('Raw data'!Q156='Real results'!C156,'Raw data'!R156='Real results'!D156),2,0),0),0),0)</f>
        <v>0</v>
      </c>
      <c r="S160" s="34">
        <f>IFERROR(IF(AND(ISNUMBER('Real results'!C156),ISNUMBER('Real results'!D156),ISNUMBER('Raw data'!S156),ISNUMBER('Raw data'!T156)),IF(SIGN('Raw data'!S156-'Raw data'!T156)=SIGN('Real results'!C156-'Real results'!D156),3+IF(AND('Raw data'!S156='Real results'!C156,'Raw data'!T156='Real results'!D156),2,0),0),0),0)</f>
        <v>0</v>
      </c>
      <c r="U160" s="34">
        <f>IFERROR(IF(AND(ISNUMBER('Real results'!C156),ISNUMBER('Real results'!D156),ISNUMBER('Raw data'!U156),ISNUMBER('Raw data'!V156)),IF(SIGN('Raw data'!U156-'Raw data'!V156)=SIGN('Real results'!C156-'Real results'!D156),3+IF(AND('Raw data'!U156='Real results'!C156,'Raw data'!V156='Real results'!D156),2,0),0),0),0)</f>
        <v>0</v>
      </c>
      <c r="W160" s="34">
        <f>IFERROR(IF(AND(ISNUMBER('Real results'!C156),ISNUMBER('Real results'!D156),ISNUMBER('Raw data'!W156),ISNUMBER('Raw data'!X156)),IF(SIGN('Raw data'!W156-'Raw data'!X156)=SIGN('Real results'!C156-'Real results'!D156),3+IF(AND('Raw data'!W156='Real results'!C156,'Raw data'!X156='Real results'!D156),2,0),0),0),0)</f>
        <v>0</v>
      </c>
      <c r="Y160" s="34">
        <f>IFERROR(IF(AND(ISNUMBER('Real results'!C156),ISNUMBER('Real results'!D156),ISNUMBER('Raw data'!Y156),ISNUMBER('Raw data'!Z156)),IF(SIGN('Raw data'!Y156-'Raw data'!Z156)=SIGN('Real results'!C156-'Real results'!D156),3+IF(AND('Raw data'!Y156='Real results'!C156,'Raw data'!Z156='Real results'!D156),2,0),0),0),0)</f>
        <v>0</v>
      </c>
      <c r="AA160" s="34">
        <f>IFERROR(IF(AND(ISNUMBER('Real results'!C156),ISNUMBER('Real results'!D156),ISNUMBER('Raw data'!AA156),ISNUMBER('Raw data'!AB156)),IF(SIGN('Raw data'!AA156-'Raw data'!AB156)=SIGN('Real results'!C156-'Real results'!D156),3+IF(AND('Raw data'!AA156='Real results'!C156,'Raw data'!AB156='Real results'!D156),2,0),0),0),0)</f>
        <v>0</v>
      </c>
      <c r="AC160" s="34">
        <f>IFERROR(IF(AND(ISNUMBER('Real results'!C156),ISNUMBER('Real results'!D156),ISNUMBER('Raw data'!AC156),ISNUMBER('Raw data'!AD156)),IF(SIGN('Raw data'!AC156-'Raw data'!AD156)=SIGN('Real results'!C156-'Real results'!D156),3+IF(AND('Raw data'!AC156='Real results'!C156,'Raw data'!AD156='Real results'!D156),2,0),0),0),0)</f>
        <v>0</v>
      </c>
      <c r="AE160" s="34">
        <f>IFERROR(IF(AND(ISNUMBER('Real results'!C156),ISNUMBER('Real results'!D156),ISNUMBER('Raw data'!AE156),ISNUMBER('Raw data'!AF156)),IF(SIGN('Raw data'!AE156-'Raw data'!AF156)=SIGN('Real results'!C156-'Real results'!D156),3+IF(AND('Raw data'!AE156='Real results'!C156,'Raw data'!AF156='Real results'!D156),2,0),0),0),0)</f>
        <v>0</v>
      </c>
      <c r="AG160" s="34">
        <f>IFERROR(IF(AND(ISNUMBER('Real results'!C156),ISNUMBER('Real results'!D156),ISNUMBER('Raw data'!AG156),ISNUMBER('Raw data'!AH156)),IF(SIGN('Raw data'!AG156-'Raw data'!AH156)=SIGN('Real results'!C156-'Real results'!D156),3+IF(AND('Raw data'!AG156='Real results'!C156,'Raw data'!AH156='Real results'!D156),2,0),0),0),0)</f>
        <v>0</v>
      </c>
      <c r="AI160" s="34">
        <f>IFERROR(IF(AND(ISNUMBER('Real results'!C156),ISNUMBER('Real results'!D156),ISNUMBER('Raw data'!AI156),ISNUMBER('Raw data'!AJ156)),IF(SIGN('Raw data'!AI156-'Raw data'!AJ156)=SIGN('Real results'!C156-'Real results'!D156),3+IF(AND('Raw data'!AI156='Real results'!C156,'Raw data'!AJ156='Real results'!D156),2,0),0),0),0)</f>
        <v>0</v>
      </c>
      <c r="AK160" s="34">
        <f>IFERROR(IF(AND(ISNUMBER('Real results'!C156),ISNUMBER('Real results'!D156),ISNUMBER('Raw data'!AK156),ISNUMBER('Raw data'!AL156)),IF(SIGN('Raw data'!AK156-'Raw data'!AL156)=SIGN('Real results'!C156-'Real results'!D156),3+IF(AND('Raw data'!AK156='Real results'!C156,'Raw data'!AL156='Real results'!D156),2,0),0),0),0)</f>
        <v>0</v>
      </c>
      <c r="AM160" s="34">
        <f>IFERROR(IF(AND(ISNUMBER('Real results'!C156),ISNUMBER('Real results'!D156),ISNUMBER('Raw data'!AM156),ISNUMBER('Raw data'!AN156)),IF(SIGN('Raw data'!AM156-'Raw data'!AN156)=SIGN('Real results'!C156-'Real results'!D156),3+IF(AND('Raw data'!AM156='Real results'!C156,'Raw data'!AN156='Real results'!D156),2,0),0),0),0)</f>
        <v>0</v>
      </c>
      <c r="AO160" s="34">
        <f>IFERROR(IF(AND(ISNUMBER('Real results'!C156),ISNUMBER('Real results'!D156),ISNUMBER('Raw data'!AO156),ISNUMBER('Raw data'!AP156)),IF(SIGN('Raw data'!AO156-'Raw data'!AP156)=SIGN('Real results'!C156-'Real results'!D156),3+IF(AND('Raw data'!AO156='Real results'!C156,'Raw data'!AP156='Real results'!D156),2,0),0),0),0)</f>
        <v>0</v>
      </c>
      <c r="AQ160" s="34">
        <f>IFERROR(IF(AND(ISNUMBER('Real results'!C156),ISNUMBER('Real results'!D156),ISNUMBER('Raw data'!AQ156),ISNUMBER('Raw data'!AR156)),IF(SIGN('Raw data'!AQ156-'Raw data'!AR156)=SIGN('Real results'!C156-'Real results'!D156),3+IF(AND('Raw data'!AQ156='Real results'!C156,'Raw data'!AR156='Real results'!D156),2,0),0),0),0)</f>
        <v>0</v>
      </c>
      <c r="AS160" s="34">
        <f>IFERROR(IF(AND(ISNUMBER('Real results'!C156),ISNUMBER('Real results'!D156),ISNUMBER('Raw data'!AS156),ISNUMBER('Raw data'!AT156)),IF(SIGN('Raw data'!AS156-'Raw data'!AT156)=SIGN('Real results'!C156-'Real results'!D156),3+IF(AND('Raw data'!AS156='Real results'!C156,'Raw data'!AT156='Real results'!D156),2,0),0),0),0)</f>
        <v>0</v>
      </c>
      <c r="AU160" s="34">
        <f>IFERROR(IF(AND(ISNUMBER('Real results'!C156),ISNUMBER('Real results'!D156),ISNUMBER('Raw data'!AU156),ISNUMBER('Raw data'!AV156)),IF(SIGN('Raw data'!AU156-'Raw data'!AV156)=SIGN('Real results'!C156-'Real results'!D156),3+IF(AND('Raw data'!AU156='Real results'!C156,'Raw data'!AV156='Real results'!D156),2,0),0),0),0)</f>
        <v>0</v>
      </c>
      <c r="AW160" s="34">
        <f>IFERROR(IF(AND(ISNUMBER('Real results'!C156),ISNUMBER('Real results'!D156),ISNUMBER('Raw data'!AW156),ISNUMBER('Raw data'!AX156)),IF(SIGN('Raw data'!AW156-'Raw data'!AX156)=SIGN('Real results'!C156-'Real results'!D156),3+IF(AND('Raw data'!AW156='Real results'!C156,'Raw data'!AX156='Real results'!D156),2,0),0),0),0)</f>
        <v>0</v>
      </c>
      <c r="AY160" s="34">
        <f>IFERROR(IF(AND(ISNUMBER('Real results'!C156),ISNUMBER('Real results'!D156),ISNUMBER('Raw data'!AY156),ISNUMBER('Raw data'!AZ156)),IF(SIGN('Raw data'!AY156-'Raw data'!AZ156)=SIGN('Real results'!C156-'Real results'!D156),3+IF(AND('Raw data'!AY156='Real results'!C156,'Raw data'!AZ156='Real results'!D156),2,0),0),0),0)</f>
        <v>0</v>
      </c>
      <c r="BA160" s="34">
        <f>IFERROR(IF(AND(ISNUMBER('Real results'!C156),ISNUMBER('Real results'!D156),ISNUMBER('Raw data'!BA156),ISNUMBER('Raw data'!BB156)),IF(SIGN('Raw data'!BA156-'Raw data'!BB156)=SIGN('Real results'!C156-'Real results'!D156),3+IF(AND('Raw data'!BA156='Real results'!C156,'Raw data'!BB156='Real results'!D156),2,0),0),0),0)</f>
        <v>0</v>
      </c>
      <c r="BC160" s="34">
        <f>IFERROR(IF(AND(ISNUMBER('Real results'!C156),ISNUMBER('Real results'!D156),ISNUMBER('Raw data'!BC156),ISNUMBER('Raw data'!BD156)),IF(SIGN('Raw data'!BC156-'Raw data'!BD156)=SIGN('Real results'!C156-'Real results'!D156),3+IF(AND('Raw data'!BC156='Real results'!C156,'Raw data'!BD156='Real results'!D156),2,0),0),0),0)</f>
        <v>0</v>
      </c>
      <c r="BE160" s="34">
        <f>IFERROR(IF(AND(ISNUMBER('Real results'!C156),ISNUMBER('Real results'!D156),ISNUMBER('Raw data'!BE156),ISNUMBER('Raw data'!BF156)),IF(SIGN('Raw data'!BE156-'Raw data'!BF156)=SIGN('Real results'!C156-'Real results'!D156),3+IF(AND('Raw data'!BE156='Real results'!C156,'Raw data'!BF156='Real results'!D156),2,0),0),0),0)</f>
        <v>0</v>
      </c>
      <c r="BG160" s="34">
        <f>IFERROR(IF(AND(ISNUMBER('Real results'!C156),ISNUMBER('Real results'!D156),ISNUMBER('Raw data'!BG156),ISNUMBER('Raw data'!BH156)),IF(SIGN('Raw data'!BG156-'Raw data'!BH156)=SIGN('Real results'!C156-'Real results'!D156),3+IF(AND('Raw data'!BG156='Real results'!C156,'Raw data'!BH156='Real results'!D156),2,0),0),0),0)</f>
        <v>0</v>
      </c>
      <c r="BI160" s="34">
        <f>IFERROR(IF(AND(ISNUMBER('Real results'!C156),ISNUMBER('Real results'!D156),ISNUMBER('Raw data'!BI156),ISNUMBER('Raw data'!BJ156)),IF(SIGN('Raw data'!BI156-'Raw data'!BJ156)=SIGN('Real results'!C156-'Real results'!D156),3+IF(AND('Raw data'!BI156='Real results'!C156,'Raw data'!BJ156='Real results'!D156),2,0),0),0),0)</f>
        <v>0</v>
      </c>
    </row>
    <row r="161" ht="18.0" customHeight="1">
      <c r="B161" s="12" t="s">
        <v>417</v>
      </c>
      <c r="C161" s="34">
        <v>0.0</v>
      </c>
      <c r="E161" s="34">
        <v>0.0</v>
      </c>
      <c r="G161" s="34">
        <v>0.0</v>
      </c>
      <c r="I161" s="34">
        <v>0.0</v>
      </c>
      <c r="K161" s="34">
        <v>0.0</v>
      </c>
      <c r="M161" s="34">
        <v>0.0</v>
      </c>
      <c r="O161" s="34">
        <v>0.0</v>
      </c>
      <c r="Q161" s="34">
        <v>0.0</v>
      </c>
      <c r="S161" s="34">
        <v>0.0</v>
      </c>
      <c r="U161" s="34">
        <v>0.0</v>
      </c>
      <c r="W161" s="34">
        <v>0.0</v>
      </c>
      <c r="Y161" s="34">
        <v>0.0</v>
      </c>
      <c r="AA161" s="34">
        <v>0.0</v>
      </c>
      <c r="AC161" s="34">
        <v>0.0</v>
      </c>
      <c r="AE161" s="34">
        <v>0.0</v>
      </c>
      <c r="AG161" s="34">
        <v>0.0</v>
      </c>
      <c r="AI161" s="34">
        <v>0.0</v>
      </c>
      <c r="AK161" s="34">
        <v>0.0</v>
      </c>
      <c r="AM161" s="34">
        <v>0.0</v>
      </c>
      <c r="AO161" s="34">
        <v>0.0</v>
      </c>
      <c r="AQ161" s="34">
        <v>0.0</v>
      </c>
      <c r="AS161" s="34">
        <v>0.0</v>
      </c>
      <c r="AU161" s="34">
        <v>0.0</v>
      </c>
      <c r="AW161" s="34">
        <v>0.0</v>
      </c>
      <c r="AY161" s="34">
        <v>0.0</v>
      </c>
      <c r="BA161" s="34">
        <v>0.0</v>
      </c>
      <c r="BC161" s="34">
        <v>0.0</v>
      </c>
      <c r="BE161" s="34">
        <v>0.0</v>
      </c>
      <c r="BG161" s="34">
        <v>0.0</v>
      </c>
      <c r="BI161" s="34">
        <v>0.0</v>
      </c>
    </row>
    <row r="162" ht="18.0" customHeight="1">
      <c r="B162" s="12" t="s">
        <v>418</v>
      </c>
      <c r="C162" s="34">
        <f>IFERROR(IF(AND('Real results'!C158&lt;&gt;"",'Raw data'!C158&lt;&gt;"",UPPER(TRIM('Real results'!C158))=UPPER(TRIM('Raw data'!C158))),1,0),0)</f>
        <v>0</v>
      </c>
      <c r="E162" s="34">
        <f>IFERROR(IF(AND('Real results'!C158&lt;&gt;"",'Raw data'!E158&lt;&gt;"",UPPER(TRIM('Real results'!C158))=UPPER(TRIM('Raw data'!E158))),1,0),0)</f>
        <v>0</v>
      </c>
      <c r="G162" s="34">
        <f>IFERROR(IF(AND('Real results'!C158&lt;&gt;"",'Raw data'!G158&lt;&gt;"",UPPER(TRIM('Real results'!C158))=UPPER(TRIM('Raw data'!G158))),1,0),0)</f>
        <v>0</v>
      </c>
      <c r="I162" s="34">
        <f>IFERROR(IF(AND('Real results'!C158&lt;&gt;"",'Raw data'!I158&lt;&gt;"",UPPER(TRIM('Real results'!C158))=UPPER(TRIM('Raw data'!I158))),1,0),0)</f>
        <v>0</v>
      </c>
      <c r="K162" s="34">
        <f>IFERROR(IF(AND('Real results'!C158&lt;&gt;"",'Raw data'!K158&lt;&gt;"",UPPER(TRIM('Real results'!C158))=UPPER(TRIM('Raw data'!K158))),1,0),0)</f>
        <v>0</v>
      </c>
      <c r="M162" s="34">
        <f>IFERROR(IF(AND('Real results'!C158&lt;&gt;"",'Raw data'!M158&lt;&gt;"",UPPER(TRIM('Real results'!C158))=UPPER(TRIM('Raw data'!M158))),1,0),0)</f>
        <v>0</v>
      </c>
      <c r="O162" s="34">
        <f>IFERROR(IF(AND('Real results'!C158&lt;&gt;"",'Raw data'!O158&lt;&gt;"",UPPER(TRIM('Real results'!C158))=UPPER(TRIM('Raw data'!O158))),1,0),0)</f>
        <v>0</v>
      </c>
      <c r="Q162" s="34">
        <f>IFERROR(IF(AND('Real results'!C158&lt;&gt;"",'Raw data'!Q158&lt;&gt;"",UPPER(TRIM('Real results'!C158))=UPPER(TRIM('Raw data'!Q158))),1,0),0)</f>
        <v>0</v>
      </c>
      <c r="S162" s="34">
        <f>IFERROR(IF(AND('Real results'!C158&lt;&gt;"",'Raw data'!S158&lt;&gt;"",UPPER(TRIM('Real results'!C158))=UPPER(TRIM('Raw data'!S158))),1,0),0)</f>
        <v>0</v>
      </c>
      <c r="U162" s="34">
        <f>IFERROR(IF(AND('Real results'!C158&lt;&gt;"",'Raw data'!U158&lt;&gt;"",UPPER(TRIM('Real results'!C158))=UPPER(TRIM('Raw data'!U158))),1,0),0)</f>
        <v>0</v>
      </c>
      <c r="W162" s="34">
        <f>IFERROR(IF(AND('Real results'!C158&lt;&gt;"",'Raw data'!W158&lt;&gt;"",UPPER(TRIM('Real results'!C158))=UPPER(TRIM('Raw data'!W158))),1,0),0)</f>
        <v>0</v>
      </c>
      <c r="Y162" s="34">
        <f>IFERROR(IF(AND('Real results'!C158&lt;&gt;"",'Raw data'!Y158&lt;&gt;"",UPPER(TRIM('Real results'!C158))=UPPER(TRIM('Raw data'!Y158))),1,0),0)</f>
        <v>0</v>
      </c>
      <c r="AA162" s="34">
        <f>IFERROR(IF(AND('Real results'!C158&lt;&gt;"",'Raw data'!AA158&lt;&gt;"",UPPER(TRIM('Real results'!C158))=UPPER(TRIM('Raw data'!AA158))),1,0),0)</f>
        <v>0</v>
      </c>
      <c r="AC162" s="34">
        <f>IFERROR(IF(AND('Real results'!C158&lt;&gt;"",'Raw data'!AC158&lt;&gt;"",UPPER(TRIM('Real results'!C158))=UPPER(TRIM('Raw data'!AC158))),1,0),0)</f>
        <v>0</v>
      </c>
      <c r="AE162" s="34">
        <f>IFERROR(IF(AND('Real results'!C158&lt;&gt;"",'Raw data'!AE158&lt;&gt;"",UPPER(TRIM('Real results'!C158))=UPPER(TRIM('Raw data'!AE158))),1,0),0)</f>
        <v>0</v>
      </c>
      <c r="AG162" s="34">
        <f>IFERROR(IF(AND('Real results'!C158&lt;&gt;"",'Raw data'!AG158&lt;&gt;"",UPPER(TRIM('Real results'!C158))=UPPER(TRIM('Raw data'!AG158))),1,0),0)</f>
        <v>0</v>
      </c>
      <c r="AI162" s="34">
        <f>IFERROR(IF(AND('Real results'!C158&lt;&gt;"",'Raw data'!AI158&lt;&gt;"",UPPER(TRIM('Real results'!C158))=UPPER(TRIM('Raw data'!AI158))),1,0),0)</f>
        <v>0</v>
      </c>
      <c r="AK162" s="34">
        <f>IFERROR(IF(AND('Real results'!C158&lt;&gt;"",'Raw data'!AK158&lt;&gt;"",UPPER(TRIM('Real results'!C158))=UPPER(TRIM('Raw data'!AK158))),1,0),0)</f>
        <v>0</v>
      </c>
      <c r="AM162" s="34">
        <f>IFERROR(IF(AND('Real results'!C158&lt;&gt;"",'Raw data'!AM158&lt;&gt;"",UPPER(TRIM('Real results'!C158))=UPPER(TRIM('Raw data'!AM158))),1,0),0)</f>
        <v>0</v>
      </c>
      <c r="AO162" s="34">
        <f>IFERROR(IF(AND('Real results'!C158&lt;&gt;"",'Raw data'!AO158&lt;&gt;"",UPPER(TRIM('Real results'!C158))=UPPER(TRIM('Raw data'!AO158))),1,0),0)</f>
        <v>0</v>
      </c>
      <c r="AQ162" s="34">
        <f>IFERROR(IF(AND('Real results'!C158&lt;&gt;"",'Raw data'!AQ158&lt;&gt;"",UPPER(TRIM('Real results'!C158))=UPPER(TRIM('Raw data'!AQ158))),1,0),0)</f>
        <v>0</v>
      </c>
      <c r="AS162" s="34">
        <f>IFERROR(IF(AND('Real results'!C158&lt;&gt;"",'Raw data'!AS158&lt;&gt;"",UPPER(TRIM('Real results'!C158))=UPPER(TRIM('Raw data'!AS158))),1,0),0)</f>
        <v>0</v>
      </c>
      <c r="AU162" s="34">
        <f>IFERROR(IF(AND('Real results'!C158&lt;&gt;"",'Raw data'!AU158&lt;&gt;"",UPPER(TRIM('Real results'!C158))=UPPER(TRIM('Raw data'!AU158))),1,0),0)</f>
        <v>0</v>
      </c>
      <c r="AW162" s="34">
        <f>IFERROR(IF(AND('Real results'!C158&lt;&gt;"",'Raw data'!AW158&lt;&gt;"",UPPER(TRIM('Real results'!C158))=UPPER(TRIM('Raw data'!AW158))),1,0),0)</f>
        <v>0</v>
      </c>
      <c r="AY162" s="34">
        <f>IFERROR(IF(AND('Real results'!C158&lt;&gt;"",'Raw data'!AY158&lt;&gt;"",UPPER(TRIM('Real results'!C158))=UPPER(TRIM('Raw data'!AY158))),1,0),0)</f>
        <v>0</v>
      </c>
      <c r="BA162" s="34">
        <f>IFERROR(IF(AND('Real results'!C158&lt;&gt;"",'Raw data'!BA158&lt;&gt;"",UPPER(TRIM('Real results'!C158))=UPPER(TRIM('Raw data'!BA158))),1,0),0)</f>
        <v>0</v>
      </c>
      <c r="BC162" s="34">
        <f>IFERROR(IF(AND('Real results'!C158&lt;&gt;"",'Raw data'!BC158&lt;&gt;"",UPPER(TRIM('Real results'!C158))=UPPER(TRIM('Raw data'!BC158))),1,0),0)</f>
        <v>0</v>
      </c>
      <c r="BE162" s="34">
        <f>IFERROR(IF(AND('Real results'!C158&lt;&gt;"",'Raw data'!BE158&lt;&gt;"",UPPER(TRIM('Real results'!C158))=UPPER(TRIM('Raw data'!BE158))),1,0),0)</f>
        <v>0</v>
      </c>
      <c r="BG162" s="34">
        <f>IFERROR(IF(AND('Real results'!C158&lt;&gt;"",'Raw data'!BG158&lt;&gt;"",UPPER(TRIM('Real results'!C158))=UPPER(TRIM('Raw data'!BG158))),1,0),0)</f>
        <v>0</v>
      </c>
      <c r="BI162" s="34">
        <f>IFERROR(IF(AND('Real results'!C158&lt;&gt;"",'Raw data'!BI158&lt;&gt;"",UPPER(TRIM('Real results'!C158))=UPPER(TRIM('Raw data'!BI158))),1,0),0)</f>
        <v>0</v>
      </c>
    </row>
    <row r="163" ht="18.0" customHeight="1">
      <c r="B163" s="12" t="s">
        <v>419</v>
      </c>
      <c r="C163" s="34">
        <f>IFERROR(IF(AND(ISNUMBER('Real results'!C159),ISNUMBER('Real results'!D159),ISNUMBER('Raw data'!C159),ISNUMBER('Raw data'!D159)),IF(SIGN('Raw data'!C159-'Raw data'!D159)=SIGN('Real results'!C159-'Real results'!D159),3+IF(AND('Raw data'!C159='Real results'!C159,'Raw data'!D159='Real results'!D159),2,0),0),0),0)</f>
        <v>0</v>
      </c>
      <c r="E163" s="34">
        <f>IFERROR(IF(AND(ISNUMBER('Real results'!C159),ISNUMBER('Real results'!D159),ISNUMBER('Raw data'!E159),ISNUMBER('Raw data'!F159)),IF(SIGN('Raw data'!E159-'Raw data'!F159)=SIGN('Real results'!C159-'Real results'!D159),3+IF(AND('Raw data'!E159='Real results'!C159,'Raw data'!F159='Real results'!D159),2,0),0),0),0)</f>
        <v>0</v>
      </c>
      <c r="G163" s="34">
        <f>IFERROR(IF(AND(ISNUMBER('Real results'!C159),ISNUMBER('Real results'!D159),ISNUMBER('Raw data'!G159),ISNUMBER('Raw data'!H159)),IF(SIGN('Raw data'!G159-'Raw data'!H159)=SIGN('Real results'!C159-'Real results'!D159),3+IF(AND('Raw data'!G159='Real results'!C159,'Raw data'!H159='Real results'!D159),2,0),0),0),0)</f>
        <v>0</v>
      </c>
      <c r="I163" s="34">
        <f>IFERROR(IF(AND(ISNUMBER('Real results'!C159),ISNUMBER('Real results'!D159),ISNUMBER('Raw data'!I159),ISNUMBER('Raw data'!J159)),IF(SIGN('Raw data'!I159-'Raw data'!J159)=SIGN('Real results'!C159-'Real results'!D159),3+IF(AND('Raw data'!I159='Real results'!C159,'Raw data'!J159='Real results'!D159),2,0),0),0),0)</f>
        <v>0</v>
      </c>
      <c r="K163" s="34">
        <f>IFERROR(IF(AND(ISNUMBER('Real results'!C159),ISNUMBER('Real results'!D159),ISNUMBER('Raw data'!K159),ISNUMBER('Raw data'!L159)),IF(SIGN('Raw data'!K159-'Raw data'!L159)=SIGN('Real results'!C159-'Real results'!D159),3+IF(AND('Raw data'!K159='Real results'!C159,'Raw data'!L159='Real results'!D159),2,0),0),0),0)</f>
        <v>0</v>
      </c>
      <c r="M163" s="34">
        <f>IFERROR(IF(AND(ISNUMBER('Real results'!C159),ISNUMBER('Real results'!D159),ISNUMBER('Raw data'!M159),ISNUMBER('Raw data'!N159)),IF(SIGN('Raw data'!M159-'Raw data'!N159)=SIGN('Real results'!C159-'Real results'!D159),3+IF(AND('Raw data'!M159='Real results'!C159,'Raw data'!N159='Real results'!D159),2,0),0),0),0)</f>
        <v>0</v>
      </c>
      <c r="O163" s="34">
        <f>IFERROR(IF(AND(ISNUMBER('Real results'!C159),ISNUMBER('Real results'!D159),ISNUMBER('Raw data'!O159),ISNUMBER('Raw data'!P159)),IF(SIGN('Raw data'!O159-'Raw data'!P159)=SIGN('Real results'!C159-'Real results'!D159),3+IF(AND('Raw data'!O159='Real results'!C159,'Raw data'!P159='Real results'!D159),2,0),0),0),0)</f>
        <v>0</v>
      </c>
      <c r="Q163" s="34">
        <f>IFERROR(IF(AND(ISNUMBER('Real results'!C159),ISNUMBER('Real results'!D159),ISNUMBER('Raw data'!Q159),ISNUMBER('Raw data'!R159)),IF(SIGN('Raw data'!Q159-'Raw data'!R159)=SIGN('Real results'!C159-'Real results'!D159),3+IF(AND('Raw data'!Q159='Real results'!C159,'Raw data'!R159='Real results'!D159),2,0),0),0),0)</f>
        <v>0</v>
      </c>
      <c r="S163" s="34">
        <f>IFERROR(IF(AND(ISNUMBER('Real results'!C159),ISNUMBER('Real results'!D159),ISNUMBER('Raw data'!S159),ISNUMBER('Raw data'!T159)),IF(SIGN('Raw data'!S159-'Raw data'!T159)=SIGN('Real results'!C159-'Real results'!D159),3+IF(AND('Raw data'!S159='Real results'!C159,'Raw data'!T159='Real results'!D159),2,0),0),0),0)</f>
        <v>0</v>
      </c>
      <c r="U163" s="34">
        <f>IFERROR(IF(AND(ISNUMBER('Real results'!C159),ISNUMBER('Real results'!D159),ISNUMBER('Raw data'!U159),ISNUMBER('Raw data'!V159)),IF(SIGN('Raw data'!U159-'Raw data'!V159)=SIGN('Real results'!C159-'Real results'!D159),3+IF(AND('Raw data'!U159='Real results'!C159,'Raw data'!V159='Real results'!D159),2,0),0),0),0)</f>
        <v>0</v>
      </c>
      <c r="W163" s="34">
        <f>IFERROR(IF(AND(ISNUMBER('Real results'!C159),ISNUMBER('Real results'!D159),ISNUMBER('Raw data'!W159),ISNUMBER('Raw data'!X159)),IF(SIGN('Raw data'!W159-'Raw data'!X159)=SIGN('Real results'!C159-'Real results'!D159),3+IF(AND('Raw data'!W159='Real results'!C159,'Raw data'!X159='Real results'!D159),2,0),0),0),0)</f>
        <v>0</v>
      </c>
      <c r="Y163" s="34">
        <f>IFERROR(IF(AND(ISNUMBER('Real results'!C159),ISNUMBER('Real results'!D159),ISNUMBER('Raw data'!Y159),ISNUMBER('Raw data'!Z159)),IF(SIGN('Raw data'!Y159-'Raw data'!Z159)=SIGN('Real results'!C159-'Real results'!D159),3+IF(AND('Raw data'!Y159='Real results'!C159,'Raw data'!Z159='Real results'!D159),2,0),0),0),0)</f>
        <v>0</v>
      </c>
      <c r="AA163" s="34">
        <f>IFERROR(IF(AND(ISNUMBER('Real results'!C159),ISNUMBER('Real results'!D159),ISNUMBER('Raw data'!AA159),ISNUMBER('Raw data'!AB159)),IF(SIGN('Raw data'!AA159-'Raw data'!AB159)=SIGN('Real results'!C159-'Real results'!D159),3+IF(AND('Raw data'!AA159='Real results'!C159,'Raw data'!AB159='Real results'!D159),2,0),0),0),0)</f>
        <v>0</v>
      </c>
      <c r="AC163" s="34">
        <f>IFERROR(IF(AND(ISNUMBER('Real results'!C159),ISNUMBER('Real results'!D159),ISNUMBER('Raw data'!AC159),ISNUMBER('Raw data'!AD159)),IF(SIGN('Raw data'!AC159-'Raw data'!AD159)=SIGN('Real results'!C159-'Real results'!D159),3+IF(AND('Raw data'!AC159='Real results'!C159,'Raw data'!AD159='Real results'!D159),2,0),0),0),0)</f>
        <v>0</v>
      </c>
      <c r="AE163" s="34">
        <f>IFERROR(IF(AND(ISNUMBER('Real results'!C159),ISNUMBER('Real results'!D159),ISNUMBER('Raw data'!AE159),ISNUMBER('Raw data'!AF159)),IF(SIGN('Raw data'!AE159-'Raw data'!AF159)=SIGN('Real results'!C159-'Real results'!D159),3+IF(AND('Raw data'!AE159='Real results'!C159,'Raw data'!AF159='Real results'!D159),2,0),0),0),0)</f>
        <v>0</v>
      </c>
      <c r="AG163" s="34">
        <f>IFERROR(IF(AND(ISNUMBER('Real results'!C159),ISNUMBER('Real results'!D159),ISNUMBER('Raw data'!AG159),ISNUMBER('Raw data'!AH159)),IF(SIGN('Raw data'!AG159-'Raw data'!AH159)=SIGN('Real results'!C159-'Real results'!D159),3+IF(AND('Raw data'!AG159='Real results'!C159,'Raw data'!AH159='Real results'!D159),2,0),0),0),0)</f>
        <v>0</v>
      </c>
      <c r="AI163" s="34">
        <f>IFERROR(IF(AND(ISNUMBER('Real results'!C159),ISNUMBER('Real results'!D159),ISNUMBER('Raw data'!AI159),ISNUMBER('Raw data'!AJ159)),IF(SIGN('Raw data'!AI159-'Raw data'!AJ159)=SIGN('Real results'!C159-'Real results'!D159),3+IF(AND('Raw data'!AI159='Real results'!C159,'Raw data'!AJ159='Real results'!D159),2,0),0),0),0)</f>
        <v>0</v>
      </c>
      <c r="AK163" s="34">
        <f>IFERROR(IF(AND(ISNUMBER('Real results'!C159),ISNUMBER('Real results'!D159),ISNUMBER('Raw data'!AK159),ISNUMBER('Raw data'!AL159)),IF(SIGN('Raw data'!AK159-'Raw data'!AL159)=SIGN('Real results'!C159-'Real results'!D159),3+IF(AND('Raw data'!AK159='Real results'!C159,'Raw data'!AL159='Real results'!D159),2,0),0),0),0)</f>
        <v>0</v>
      </c>
      <c r="AM163" s="34">
        <f>IFERROR(IF(AND(ISNUMBER('Real results'!C159),ISNUMBER('Real results'!D159),ISNUMBER('Raw data'!AM159),ISNUMBER('Raw data'!AN159)),IF(SIGN('Raw data'!AM159-'Raw data'!AN159)=SIGN('Real results'!C159-'Real results'!D159),3+IF(AND('Raw data'!AM159='Real results'!C159,'Raw data'!AN159='Real results'!D159),2,0),0),0),0)</f>
        <v>0</v>
      </c>
      <c r="AO163" s="34">
        <f>IFERROR(IF(AND(ISNUMBER('Real results'!C159),ISNUMBER('Real results'!D159),ISNUMBER('Raw data'!AO159),ISNUMBER('Raw data'!AP159)),IF(SIGN('Raw data'!AO159-'Raw data'!AP159)=SIGN('Real results'!C159-'Real results'!D159),3+IF(AND('Raw data'!AO159='Real results'!C159,'Raw data'!AP159='Real results'!D159),2,0),0),0),0)</f>
        <v>0</v>
      </c>
      <c r="AQ163" s="34">
        <f>IFERROR(IF(AND(ISNUMBER('Real results'!C159),ISNUMBER('Real results'!D159),ISNUMBER('Raw data'!AQ159),ISNUMBER('Raw data'!AR159)),IF(SIGN('Raw data'!AQ159-'Raw data'!AR159)=SIGN('Real results'!C159-'Real results'!D159),3+IF(AND('Raw data'!AQ159='Real results'!C159,'Raw data'!AR159='Real results'!D159),2,0),0),0),0)</f>
        <v>0</v>
      </c>
      <c r="AS163" s="34">
        <f>IFERROR(IF(AND(ISNUMBER('Real results'!C159),ISNUMBER('Real results'!D159),ISNUMBER('Raw data'!AS159),ISNUMBER('Raw data'!AT159)),IF(SIGN('Raw data'!AS159-'Raw data'!AT159)=SIGN('Real results'!C159-'Real results'!D159),3+IF(AND('Raw data'!AS159='Real results'!C159,'Raw data'!AT159='Real results'!D159),2,0),0),0),0)</f>
        <v>0</v>
      </c>
      <c r="AU163" s="34">
        <f>IFERROR(IF(AND(ISNUMBER('Real results'!C159),ISNUMBER('Real results'!D159),ISNUMBER('Raw data'!AU159),ISNUMBER('Raw data'!AV159)),IF(SIGN('Raw data'!AU159-'Raw data'!AV159)=SIGN('Real results'!C159-'Real results'!D159),3+IF(AND('Raw data'!AU159='Real results'!C159,'Raw data'!AV159='Real results'!D159),2,0),0),0),0)</f>
        <v>0</v>
      </c>
      <c r="AW163" s="34">
        <f>IFERROR(IF(AND(ISNUMBER('Real results'!C159),ISNUMBER('Real results'!D159),ISNUMBER('Raw data'!AW159),ISNUMBER('Raw data'!AX159)),IF(SIGN('Raw data'!AW159-'Raw data'!AX159)=SIGN('Real results'!C159-'Real results'!D159),3+IF(AND('Raw data'!AW159='Real results'!C159,'Raw data'!AX159='Real results'!D159),2,0),0),0),0)</f>
        <v>0</v>
      </c>
      <c r="AY163" s="34">
        <f>IFERROR(IF(AND(ISNUMBER('Real results'!C159),ISNUMBER('Real results'!D159),ISNUMBER('Raw data'!AY159),ISNUMBER('Raw data'!AZ159)),IF(SIGN('Raw data'!AY159-'Raw data'!AZ159)=SIGN('Real results'!C159-'Real results'!D159),3+IF(AND('Raw data'!AY159='Real results'!C159,'Raw data'!AZ159='Real results'!D159),2,0),0),0),0)</f>
        <v>0</v>
      </c>
      <c r="BA163" s="34">
        <f>IFERROR(IF(AND(ISNUMBER('Real results'!C159),ISNUMBER('Real results'!D159),ISNUMBER('Raw data'!BA159),ISNUMBER('Raw data'!BB159)),IF(SIGN('Raw data'!BA159-'Raw data'!BB159)=SIGN('Real results'!C159-'Real results'!D159),3+IF(AND('Raw data'!BA159='Real results'!C159,'Raw data'!BB159='Real results'!D159),2,0),0),0),0)</f>
        <v>0</v>
      </c>
      <c r="BC163" s="34">
        <f>IFERROR(IF(AND(ISNUMBER('Real results'!C159),ISNUMBER('Real results'!D159),ISNUMBER('Raw data'!BC159),ISNUMBER('Raw data'!BD159)),IF(SIGN('Raw data'!BC159-'Raw data'!BD159)=SIGN('Real results'!C159-'Real results'!D159),3+IF(AND('Raw data'!BC159='Real results'!C159,'Raw data'!BD159='Real results'!D159),2,0),0),0),0)</f>
        <v>0</v>
      </c>
      <c r="BE163" s="34">
        <f>IFERROR(IF(AND(ISNUMBER('Real results'!C159),ISNUMBER('Real results'!D159),ISNUMBER('Raw data'!BE159),ISNUMBER('Raw data'!BF159)),IF(SIGN('Raw data'!BE159-'Raw data'!BF159)=SIGN('Real results'!C159-'Real results'!D159),3+IF(AND('Raw data'!BE159='Real results'!C159,'Raw data'!BF159='Real results'!D159),2,0),0),0),0)</f>
        <v>0</v>
      </c>
      <c r="BG163" s="34">
        <f>IFERROR(IF(AND(ISNUMBER('Real results'!C159),ISNUMBER('Real results'!D159),ISNUMBER('Raw data'!BG159),ISNUMBER('Raw data'!BH159)),IF(SIGN('Raw data'!BG159-'Raw data'!BH159)=SIGN('Real results'!C159-'Real results'!D159),3+IF(AND('Raw data'!BG159='Real results'!C159,'Raw data'!BH159='Real results'!D159),2,0),0),0),0)</f>
        <v>0</v>
      </c>
      <c r="BI163" s="34">
        <f>IFERROR(IF(AND(ISNUMBER('Real results'!C159),ISNUMBER('Real results'!D159),ISNUMBER('Raw data'!BI159),ISNUMBER('Raw data'!BJ159)),IF(SIGN('Raw data'!BI159-'Raw data'!BJ159)=SIGN('Real results'!C159-'Real results'!D159),3+IF(AND('Raw data'!BI159='Real results'!C159,'Raw data'!BJ159='Real results'!D159),2,0),0),0),0)</f>
        <v>0</v>
      </c>
    </row>
    <row r="164" ht="18.0" customHeight="1">
      <c r="B164" s="12" t="s">
        <v>420</v>
      </c>
      <c r="C164" s="34">
        <v>0.0</v>
      </c>
      <c r="E164" s="34">
        <v>0.0</v>
      </c>
      <c r="G164" s="34">
        <v>0.0</v>
      </c>
      <c r="I164" s="34">
        <v>0.0</v>
      </c>
      <c r="K164" s="34">
        <v>0.0</v>
      </c>
      <c r="M164" s="34">
        <v>0.0</v>
      </c>
      <c r="O164" s="34">
        <v>0.0</v>
      </c>
      <c r="Q164" s="34">
        <v>0.0</v>
      </c>
      <c r="S164" s="34">
        <v>0.0</v>
      </c>
      <c r="U164" s="34">
        <v>0.0</v>
      </c>
      <c r="W164" s="34">
        <v>0.0</v>
      </c>
      <c r="Y164" s="34">
        <v>0.0</v>
      </c>
      <c r="AA164" s="34">
        <v>0.0</v>
      </c>
      <c r="AC164" s="34">
        <v>0.0</v>
      </c>
      <c r="AE164" s="34">
        <v>0.0</v>
      </c>
      <c r="AG164" s="34">
        <v>0.0</v>
      </c>
      <c r="AI164" s="34">
        <v>0.0</v>
      </c>
      <c r="AK164" s="34">
        <v>0.0</v>
      </c>
      <c r="AM164" s="34">
        <v>0.0</v>
      </c>
      <c r="AO164" s="34">
        <v>0.0</v>
      </c>
      <c r="AQ164" s="34">
        <v>0.0</v>
      </c>
      <c r="AS164" s="34">
        <v>0.0</v>
      </c>
      <c r="AU164" s="34">
        <v>0.0</v>
      </c>
      <c r="AW164" s="34">
        <v>0.0</v>
      </c>
      <c r="AY164" s="34">
        <v>0.0</v>
      </c>
      <c r="BA164" s="34">
        <v>0.0</v>
      </c>
      <c r="BC164" s="34">
        <v>0.0</v>
      </c>
      <c r="BE164" s="34">
        <v>0.0</v>
      </c>
      <c r="BG164" s="34">
        <v>0.0</v>
      </c>
      <c r="BI164" s="34">
        <v>0.0</v>
      </c>
    </row>
    <row r="165" ht="18.0" customHeight="1">
      <c r="B165" s="12" t="s">
        <v>421</v>
      </c>
      <c r="C165" s="34">
        <f>IFERROR(IF(AND('Real results'!C161&lt;&gt;"",'Raw data'!C161&lt;&gt;"",UPPER(TRIM('Real results'!C161))=UPPER(TRIM('Raw data'!C161))),1,0),0)</f>
        <v>0</v>
      </c>
      <c r="E165" s="34">
        <f>IFERROR(IF(AND('Real results'!C161&lt;&gt;"",'Raw data'!E161&lt;&gt;"",UPPER(TRIM('Real results'!C161))=UPPER(TRIM('Raw data'!E161))),1,0),0)</f>
        <v>0</v>
      </c>
      <c r="G165" s="34">
        <f>IFERROR(IF(AND('Real results'!C161&lt;&gt;"",'Raw data'!G161&lt;&gt;"",UPPER(TRIM('Real results'!C161))=UPPER(TRIM('Raw data'!G161))),1,0),0)</f>
        <v>0</v>
      </c>
      <c r="I165" s="34">
        <f>IFERROR(IF(AND('Real results'!C161&lt;&gt;"",'Raw data'!I161&lt;&gt;"",UPPER(TRIM('Real results'!C161))=UPPER(TRIM('Raw data'!I161))),1,0),0)</f>
        <v>0</v>
      </c>
      <c r="K165" s="34">
        <f>IFERROR(IF(AND('Real results'!C161&lt;&gt;"",'Raw data'!K161&lt;&gt;"",UPPER(TRIM('Real results'!C161))=UPPER(TRIM('Raw data'!K161))),1,0),0)</f>
        <v>0</v>
      </c>
      <c r="M165" s="34">
        <f>IFERROR(IF(AND('Real results'!C161&lt;&gt;"",'Raw data'!M161&lt;&gt;"",UPPER(TRIM('Real results'!C161))=UPPER(TRIM('Raw data'!M161))),1,0),0)</f>
        <v>0</v>
      </c>
      <c r="O165" s="34">
        <f>IFERROR(IF(AND('Real results'!C161&lt;&gt;"",'Raw data'!O161&lt;&gt;"",UPPER(TRIM('Real results'!C161))=UPPER(TRIM('Raw data'!O161))),1,0),0)</f>
        <v>0</v>
      </c>
      <c r="Q165" s="34">
        <f>IFERROR(IF(AND('Real results'!C161&lt;&gt;"",'Raw data'!Q161&lt;&gt;"",UPPER(TRIM('Real results'!C161))=UPPER(TRIM('Raw data'!Q161))),1,0),0)</f>
        <v>0</v>
      </c>
      <c r="S165" s="34">
        <f>IFERROR(IF(AND('Real results'!C161&lt;&gt;"",'Raw data'!S161&lt;&gt;"",UPPER(TRIM('Real results'!C161))=UPPER(TRIM('Raw data'!S161))),1,0),0)</f>
        <v>0</v>
      </c>
      <c r="U165" s="34">
        <f>IFERROR(IF(AND('Real results'!C161&lt;&gt;"",'Raw data'!U161&lt;&gt;"",UPPER(TRIM('Real results'!C161))=UPPER(TRIM('Raw data'!U161))),1,0),0)</f>
        <v>0</v>
      </c>
      <c r="W165" s="34">
        <f>IFERROR(IF(AND('Real results'!C161&lt;&gt;"",'Raw data'!W161&lt;&gt;"",UPPER(TRIM('Real results'!C161))=UPPER(TRIM('Raw data'!W161))),1,0),0)</f>
        <v>0</v>
      </c>
      <c r="Y165" s="34">
        <f>IFERROR(IF(AND('Real results'!C161&lt;&gt;"",'Raw data'!Y161&lt;&gt;"",UPPER(TRIM('Real results'!C161))=UPPER(TRIM('Raw data'!Y161))),1,0),0)</f>
        <v>0</v>
      </c>
      <c r="AA165" s="34">
        <f>IFERROR(IF(AND('Real results'!C161&lt;&gt;"",'Raw data'!AA161&lt;&gt;"",UPPER(TRIM('Real results'!C161))=UPPER(TRIM('Raw data'!AA161))),1,0),0)</f>
        <v>0</v>
      </c>
      <c r="AC165" s="34">
        <f>IFERROR(IF(AND('Real results'!C161&lt;&gt;"",'Raw data'!AC161&lt;&gt;"",UPPER(TRIM('Real results'!C161))=UPPER(TRIM('Raw data'!AC161))),1,0),0)</f>
        <v>0</v>
      </c>
      <c r="AE165" s="34">
        <f>IFERROR(IF(AND('Real results'!C161&lt;&gt;"",'Raw data'!AE161&lt;&gt;"",UPPER(TRIM('Real results'!C161))=UPPER(TRIM('Raw data'!AE161))),1,0),0)</f>
        <v>0</v>
      </c>
      <c r="AG165" s="34">
        <f>IFERROR(IF(AND('Real results'!C161&lt;&gt;"",'Raw data'!AG161&lt;&gt;"",UPPER(TRIM('Real results'!C161))=UPPER(TRIM('Raw data'!AG161))),1,0),0)</f>
        <v>0</v>
      </c>
      <c r="AI165" s="34">
        <f>IFERROR(IF(AND('Real results'!C161&lt;&gt;"",'Raw data'!AI161&lt;&gt;"",UPPER(TRIM('Real results'!C161))=UPPER(TRIM('Raw data'!AI161))),1,0),0)</f>
        <v>0</v>
      </c>
      <c r="AK165" s="34">
        <f>IFERROR(IF(AND('Real results'!C161&lt;&gt;"",'Raw data'!AK161&lt;&gt;"",UPPER(TRIM('Real results'!C161))=UPPER(TRIM('Raw data'!AK161))),1,0),0)</f>
        <v>0</v>
      </c>
      <c r="AM165" s="34">
        <f>IFERROR(IF(AND('Real results'!C161&lt;&gt;"",'Raw data'!AM161&lt;&gt;"",UPPER(TRIM('Real results'!C161))=UPPER(TRIM('Raw data'!AM161))),1,0),0)</f>
        <v>0</v>
      </c>
      <c r="AO165" s="34">
        <f>IFERROR(IF(AND('Real results'!C161&lt;&gt;"",'Raw data'!AO161&lt;&gt;"",UPPER(TRIM('Real results'!C161))=UPPER(TRIM('Raw data'!AO161))),1,0),0)</f>
        <v>0</v>
      </c>
      <c r="AQ165" s="34">
        <f>IFERROR(IF(AND('Real results'!C161&lt;&gt;"",'Raw data'!AQ161&lt;&gt;"",UPPER(TRIM('Real results'!C161))=UPPER(TRIM('Raw data'!AQ161))),1,0),0)</f>
        <v>0</v>
      </c>
      <c r="AS165" s="34">
        <f>IFERROR(IF(AND('Real results'!C161&lt;&gt;"",'Raw data'!AS161&lt;&gt;"",UPPER(TRIM('Real results'!C161))=UPPER(TRIM('Raw data'!AS161))),1,0),0)</f>
        <v>0</v>
      </c>
      <c r="AU165" s="34">
        <f>IFERROR(IF(AND('Real results'!C161&lt;&gt;"",'Raw data'!AU161&lt;&gt;"",UPPER(TRIM('Real results'!C161))=UPPER(TRIM('Raw data'!AU161))),1,0),0)</f>
        <v>0</v>
      </c>
      <c r="AW165" s="34">
        <f>IFERROR(IF(AND('Real results'!C161&lt;&gt;"",'Raw data'!AW161&lt;&gt;"",UPPER(TRIM('Real results'!C161))=UPPER(TRIM('Raw data'!AW161))),1,0),0)</f>
        <v>0</v>
      </c>
      <c r="AY165" s="34">
        <f>IFERROR(IF(AND('Real results'!C161&lt;&gt;"",'Raw data'!AY161&lt;&gt;"",UPPER(TRIM('Real results'!C161))=UPPER(TRIM('Raw data'!AY161))),1,0),0)</f>
        <v>0</v>
      </c>
      <c r="BA165" s="34">
        <f>IFERROR(IF(AND('Real results'!C161&lt;&gt;"",'Raw data'!BA161&lt;&gt;"",UPPER(TRIM('Real results'!C161))=UPPER(TRIM('Raw data'!BA161))),1,0),0)</f>
        <v>0</v>
      </c>
      <c r="BC165" s="34">
        <f>IFERROR(IF(AND('Real results'!C161&lt;&gt;"",'Raw data'!BC161&lt;&gt;"",UPPER(TRIM('Real results'!C161))=UPPER(TRIM('Raw data'!BC161))),1,0),0)</f>
        <v>0</v>
      </c>
      <c r="BE165" s="34">
        <f>IFERROR(IF(AND('Real results'!C161&lt;&gt;"",'Raw data'!BE161&lt;&gt;"",UPPER(TRIM('Real results'!C161))=UPPER(TRIM('Raw data'!BE161))),1,0),0)</f>
        <v>0</v>
      </c>
      <c r="BG165" s="34">
        <f>IFERROR(IF(AND('Real results'!C161&lt;&gt;"",'Raw data'!BG161&lt;&gt;"",UPPER(TRIM('Real results'!C161))=UPPER(TRIM('Raw data'!BG161))),1,0),0)</f>
        <v>0</v>
      </c>
      <c r="BI165" s="34">
        <f>IFERROR(IF(AND('Real results'!C161&lt;&gt;"",'Raw data'!BI161&lt;&gt;"",UPPER(TRIM('Real results'!C161))=UPPER(TRIM('Raw data'!BI161))),1,0),0)</f>
        <v>0</v>
      </c>
    </row>
    <row r="166" ht="18.0" customHeight="1">
      <c r="B166" s="12" t="s">
        <v>422</v>
      </c>
      <c r="C166" s="34">
        <f>IFERROR(IF(AND(ISNUMBER('Real results'!C162),ISNUMBER('Real results'!D162),ISNUMBER('Raw data'!C162),ISNUMBER('Raw data'!D162)),IF(SIGN('Raw data'!C162-'Raw data'!D162)=SIGN('Real results'!C162-'Real results'!D162),3+IF(AND('Raw data'!C162='Real results'!C162,'Raw data'!D162='Real results'!D162),2,0),0),0),0)</f>
        <v>0</v>
      </c>
      <c r="E166" s="34">
        <f>IFERROR(IF(AND(ISNUMBER('Real results'!C162),ISNUMBER('Real results'!D162),ISNUMBER('Raw data'!E162),ISNUMBER('Raw data'!F162)),IF(SIGN('Raw data'!E162-'Raw data'!F162)=SIGN('Real results'!C162-'Real results'!D162),3+IF(AND('Raw data'!E162='Real results'!C162,'Raw data'!F162='Real results'!D162),2,0),0),0),0)</f>
        <v>0</v>
      </c>
      <c r="G166" s="34">
        <f>IFERROR(IF(AND(ISNUMBER('Real results'!C162),ISNUMBER('Real results'!D162),ISNUMBER('Raw data'!G162),ISNUMBER('Raw data'!H162)),IF(SIGN('Raw data'!G162-'Raw data'!H162)=SIGN('Real results'!C162-'Real results'!D162),3+IF(AND('Raw data'!G162='Real results'!C162,'Raw data'!H162='Real results'!D162),2,0),0),0),0)</f>
        <v>0</v>
      </c>
      <c r="I166" s="34">
        <f>IFERROR(IF(AND(ISNUMBER('Real results'!C162),ISNUMBER('Real results'!D162),ISNUMBER('Raw data'!I162),ISNUMBER('Raw data'!J162)),IF(SIGN('Raw data'!I162-'Raw data'!J162)=SIGN('Real results'!C162-'Real results'!D162),3+IF(AND('Raw data'!I162='Real results'!C162,'Raw data'!J162='Real results'!D162),2,0),0),0),0)</f>
        <v>0</v>
      </c>
      <c r="K166" s="34">
        <f>IFERROR(IF(AND(ISNUMBER('Real results'!C162),ISNUMBER('Real results'!D162),ISNUMBER('Raw data'!K162),ISNUMBER('Raw data'!L162)),IF(SIGN('Raw data'!K162-'Raw data'!L162)=SIGN('Real results'!C162-'Real results'!D162),3+IF(AND('Raw data'!K162='Real results'!C162,'Raw data'!L162='Real results'!D162),2,0),0),0),0)</f>
        <v>0</v>
      </c>
      <c r="M166" s="34">
        <f>IFERROR(IF(AND(ISNUMBER('Real results'!C162),ISNUMBER('Real results'!D162),ISNUMBER('Raw data'!M162),ISNUMBER('Raw data'!N162)),IF(SIGN('Raw data'!M162-'Raw data'!N162)=SIGN('Real results'!C162-'Real results'!D162),3+IF(AND('Raw data'!M162='Real results'!C162,'Raw data'!N162='Real results'!D162),2,0),0),0),0)</f>
        <v>0</v>
      </c>
      <c r="O166" s="34">
        <f>IFERROR(IF(AND(ISNUMBER('Real results'!C162),ISNUMBER('Real results'!D162),ISNUMBER('Raw data'!O162),ISNUMBER('Raw data'!P162)),IF(SIGN('Raw data'!O162-'Raw data'!P162)=SIGN('Real results'!C162-'Real results'!D162),3+IF(AND('Raw data'!O162='Real results'!C162,'Raw data'!P162='Real results'!D162),2,0),0),0),0)</f>
        <v>0</v>
      </c>
      <c r="Q166" s="34">
        <f>IFERROR(IF(AND(ISNUMBER('Real results'!C162),ISNUMBER('Real results'!D162),ISNUMBER('Raw data'!Q162),ISNUMBER('Raw data'!R162)),IF(SIGN('Raw data'!Q162-'Raw data'!R162)=SIGN('Real results'!C162-'Real results'!D162),3+IF(AND('Raw data'!Q162='Real results'!C162,'Raw data'!R162='Real results'!D162),2,0),0),0),0)</f>
        <v>0</v>
      </c>
      <c r="S166" s="34">
        <f>IFERROR(IF(AND(ISNUMBER('Real results'!C162),ISNUMBER('Real results'!D162),ISNUMBER('Raw data'!S162),ISNUMBER('Raw data'!T162)),IF(SIGN('Raw data'!S162-'Raw data'!T162)=SIGN('Real results'!C162-'Real results'!D162),3+IF(AND('Raw data'!S162='Real results'!C162,'Raw data'!T162='Real results'!D162),2,0),0),0),0)</f>
        <v>0</v>
      </c>
      <c r="U166" s="34">
        <f>IFERROR(IF(AND(ISNUMBER('Real results'!C162),ISNUMBER('Real results'!D162),ISNUMBER('Raw data'!U162),ISNUMBER('Raw data'!V162)),IF(SIGN('Raw data'!U162-'Raw data'!V162)=SIGN('Real results'!C162-'Real results'!D162),3+IF(AND('Raw data'!U162='Real results'!C162,'Raw data'!V162='Real results'!D162),2,0),0),0),0)</f>
        <v>0</v>
      </c>
      <c r="W166" s="34">
        <f>IFERROR(IF(AND(ISNUMBER('Real results'!C162),ISNUMBER('Real results'!D162),ISNUMBER('Raw data'!W162),ISNUMBER('Raw data'!X162)),IF(SIGN('Raw data'!W162-'Raw data'!X162)=SIGN('Real results'!C162-'Real results'!D162),3+IF(AND('Raw data'!W162='Real results'!C162,'Raw data'!X162='Real results'!D162),2,0),0),0),0)</f>
        <v>0</v>
      </c>
      <c r="Y166" s="34">
        <f>IFERROR(IF(AND(ISNUMBER('Real results'!C162),ISNUMBER('Real results'!D162),ISNUMBER('Raw data'!Y162),ISNUMBER('Raw data'!Z162)),IF(SIGN('Raw data'!Y162-'Raw data'!Z162)=SIGN('Real results'!C162-'Real results'!D162),3+IF(AND('Raw data'!Y162='Real results'!C162,'Raw data'!Z162='Real results'!D162),2,0),0),0),0)</f>
        <v>0</v>
      </c>
      <c r="AA166" s="34">
        <f>IFERROR(IF(AND(ISNUMBER('Real results'!C162),ISNUMBER('Real results'!D162),ISNUMBER('Raw data'!AA162),ISNUMBER('Raw data'!AB162)),IF(SIGN('Raw data'!AA162-'Raw data'!AB162)=SIGN('Real results'!C162-'Real results'!D162),3+IF(AND('Raw data'!AA162='Real results'!C162,'Raw data'!AB162='Real results'!D162),2,0),0),0),0)</f>
        <v>0</v>
      </c>
      <c r="AC166" s="34">
        <f>IFERROR(IF(AND(ISNUMBER('Real results'!C162),ISNUMBER('Real results'!D162),ISNUMBER('Raw data'!AC162),ISNUMBER('Raw data'!AD162)),IF(SIGN('Raw data'!AC162-'Raw data'!AD162)=SIGN('Real results'!C162-'Real results'!D162),3+IF(AND('Raw data'!AC162='Real results'!C162,'Raw data'!AD162='Real results'!D162),2,0),0),0),0)</f>
        <v>0</v>
      </c>
      <c r="AE166" s="34">
        <f>IFERROR(IF(AND(ISNUMBER('Real results'!C162),ISNUMBER('Real results'!D162),ISNUMBER('Raw data'!AE162),ISNUMBER('Raw data'!AF162)),IF(SIGN('Raw data'!AE162-'Raw data'!AF162)=SIGN('Real results'!C162-'Real results'!D162),3+IF(AND('Raw data'!AE162='Real results'!C162,'Raw data'!AF162='Real results'!D162),2,0),0),0),0)</f>
        <v>0</v>
      </c>
      <c r="AG166" s="34">
        <f>IFERROR(IF(AND(ISNUMBER('Real results'!C162),ISNUMBER('Real results'!D162),ISNUMBER('Raw data'!AG162),ISNUMBER('Raw data'!AH162)),IF(SIGN('Raw data'!AG162-'Raw data'!AH162)=SIGN('Real results'!C162-'Real results'!D162),3+IF(AND('Raw data'!AG162='Real results'!C162,'Raw data'!AH162='Real results'!D162),2,0),0),0),0)</f>
        <v>0</v>
      </c>
      <c r="AI166" s="34">
        <f>IFERROR(IF(AND(ISNUMBER('Real results'!C162),ISNUMBER('Real results'!D162),ISNUMBER('Raw data'!AI162),ISNUMBER('Raw data'!AJ162)),IF(SIGN('Raw data'!AI162-'Raw data'!AJ162)=SIGN('Real results'!C162-'Real results'!D162),3+IF(AND('Raw data'!AI162='Real results'!C162,'Raw data'!AJ162='Real results'!D162),2,0),0),0),0)</f>
        <v>0</v>
      </c>
      <c r="AK166" s="34">
        <f>IFERROR(IF(AND(ISNUMBER('Real results'!C162),ISNUMBER('Real results'!D162),ISNUMBER('Raw data'!AK162),ISNUMBER('Raw data'!AL162)),IF(SIGN('Raw data'!AK162-'Raw data'!AL162)=SIGN('Real results'!C162-'Real results'!D162),3+IF(AND('Raw data'!AK162='Real results'!C162,'Raw data'!AL162='Real results'!D162),2,0),0),0),0)</f>
        <v>0</v>
      </c>
      <c r="AM166" s="34">
        <f>IFERROR(IF(AND(ISNUMBER('Real results'!C162),ISNUMBER('Real results'!D162),ISNUMBER('Raw data'!AM162),ISNUMBER('Raw data'!AN162)),IF(SIGN('Raw data'!AM162-'Raw data'!AN162)=SIGN('Real results'!C162-'Real results'!D162),3+IF(AND('Raw data'!AM162='Real results'!C162,'Raw data'!AN162='Real results'!D162),2,0),0),0),0)</f>
        <v>0</v>
      </c>
      <c r="AO166" s="34">
        <f>IFERROR(IF(AND(ISNUMBER('Real results'!C162),ISNUMBER('Real results'!D162),ISNUMBER('Raw data'!AO162),ISNUMBER('Raw data'!AP162)),IF(SIGN('Raw data'!AO162-'Raw data'!AP162)=SIGN('Real results'!C162-'Real results'!D162),3+IF(AND('Raw data'!AO162='Real results'!C162,'Raw data'!AP162='Real results'!D162),2,0),0),0),0)</f>
        <v>0</v>
      </c>
      <c r="AQ166" s="34">
        <f>IFERROR(IF(AND(ISNUMBER('Real results'!C162),ISNUMBER('Real results'!D162),ISNUMBER('Raw data'!AQ162),ISNUMBER('Raw data'!AR162)),IF(SIGN('Raw data'!AQ162-'Raw data'!AR162)=SIGN('Real results'!C162-'Real results'!D162),3+IF(AND('Raw data'!AQ162='Real results'!C162,'Raw data'!AR162='Real results'!D162),2,0),0),0),0)</f>
        <v>0</v>
      </c>
      <c r="AS166" s="34">
        <f>IFERROR(IF(AND(ISNUMBER('Real results'!C162),ISNUMBER('Real results'!D162),ISNUMBER('Raw data'!AS162),ISNUMBER('Raw data'!AT162)),IF(SIGN('Raw data'!AS162-'Raw data'!AT162)=SIGN('Real results'!C162-'Real results'!D162),3+IF(AND('Raw data'!AS162='Real results'!C162,'Raw data'!AT162='Real results'!D162),2,0),0),0),0)</f>
        <v>0</v>
      </c>
      <c r="AU166" s="34">
        <f>IFERROR(IF(AND(ISNUMBER('Real results'!C162),ISNUMBER('Real results'!D162),ISNUMBER('Raw data'!AU162),ISNUMBER('Raw data'!AV162)),IF(SIGN('Raw data'!AU162-'Raw data'!AV162)=SIGN('Real results'!C162-'Real results'!D162),3+IF(AND('Raw data'!AU162='Real results'!C162,'Raw data'!AV162='Real results'!D162),2,0),0),0),0)</f>
        <v>0</v>
      </c>
      <c r="AW166" s="34">
        <f>IFERROR(IF(AND(ISNUMBER('Real results'!C162),ISNUMBER('Real results'!D162),ISNUMBER('Raw data'!AW162),ISNUMBER('Raw data'!AX162)),IF(SIGN('Raw data'!AW162-'Raw data'!AX162)=SIGN('Real results'!C162-'Real results'!D162),3+IF(AND('Raw data'!AW162='Real results'!C162,'Raw data'!AX162='Real results'!D162),2,0),0),0),0)</f>
        <v>0</v>
      </c>
      <c r="AY166" s="34">
        <f>IFERROR(IF(AND(ISNUMBER('Real results'!C162),ISNUMBER('Real results'!D162),ISNUMBER('Raw data'!AY162),ISNUMBER('Raw data'!AZ162)),IF(SIGN('Raw data'!AY162-'Raw data'!AZ162)=SIGN('Real results'!C162-'Real results'!D162),3+IF(AND('Raw data'!AY162='Real results'!C162,'Raw data'!AZ162='Real results'!D162),2,0),0),0),0)</f>
        <v>0</v>
      </c>
      <c r="BA166" s="34">
        <f>IFERROR(IF(AND(ISNUMBER('Real results'!C162),ISNUMBER('Real results'!D162),ISNUMBER('Raw data'!BA162),ISNUMBER('Raw data'!BB162)),IF(SIGN('Raw data'!BA162-'Raw data'!BB162)=SIGN('Real results'!C162-'Real results'!D162),3+IF(AND('Raw data'!BA162='Real results'!C162,'Raw data'!BB162='Real results'!D162),2,0),0),0),0)</f>
        <v>0</v>
      </c>
      <c r="BC166" s="34">
        <f>IFERROR(IF(AND(ISNUMBER('Real results'!C162),ISNUMBER('Real results'!D162),ISNUMBER('Raw data'!BC162),ISNUMBER('Raw data'!BD162)),IF(SIGN('Raw data'!BC162-'Raw data'!BD162)=SIGN('Real results'!C162-'Real results'!D162),3+IF(AND('Raw data'!BC162='Real results'!C162,'Raw data'!BD162='Real results'!D162),2,0),0),0),0)</f>
        <v>0</v>
      </c>
      <c r="BE166" s="34">
        <f>IFERROR(IF(AND(ISNUMBER('Real results'!C162),ISNUMBER('Real results'!D162),ISNUMBER('Raw data'!BE162),ISNUMBER('Raw data'!BF162)),IF(SIGN('Raw data'!BE162-'Raw data'!BF162)=SIGN('Real results'!C162-'Real results'!D162),3+IF(AND('Raw data'!BE162='Real results'!C162,'Raw data'!BF162='Real results'!D162),2,0),0),0),0)</f>
        <v>0</v>
      </c>
      <c r="BG166" s="34">
        <f>IFERROR(IF(AND(ISNUMBER('Real results'!C162),ISNUMBER('Real results'!D162),ISNUMBER('Raw data'!BG162),ISNUMBER('Raw data'!BH162)),IF(SIGN('Raw data'!BG162-'Raw data'!BH162)=SIGN('Real results'!C162-'Real results'!D162),3+IF(AND('Raw data'!BG162='Real results'!C162,'Raw data'!BH162='Real results'!D162),2,0),0),0),0)</f>
        <v>0</v>
      </c>
      <c r="BI166" s="34">
        <f>IFERROR(IF(AND(ISNUMBER('Real results'!C162),ISNUMBER('Real results'!D162),ISNUMBER('Raw data'!BI162),ISNUMBER('Raw data'!BJ162)),IF(SIGN('Raw data'!BI162-'Raw data'!BJ162)=SIGN('Real results'!C162-'Real results'!D162),3+IF(AND('Raw data'!BI162='Real results'!C162,'Raw data'!BJ162='Real results'!D162),2,0),0),0),0)</f>
        <v>0</v>
      </c>
    </row>
    <row r="167" ht="18.0" customHeight="1">
      <c r="B167" s="12" t="s">
        <v>423</v>
      </c>
      <c r="C167" s="34">
        <v>0.0</v>
      </c>
      <c r="E167" s="34">
        <v>0.0</v>
      </c>
      <c r="G167" s="34">
        <v>0.0</v>
      </c>
      <c r="I167" s="34">
        <v>0.0</v>
      </c>
      <c r="K167" s="34">
        <v>0.0</v>
      </c>
      <c r="M167" s="34">
        <v>0.0</v>
      </c>
      <c r="O167" s="34">
        <v>0.0</v>
      </c>
      <c r="Q167" s="34">
        <v>0.0</v>
      </c>
      <c r="S167" s="34">
        <v>0.0</v>
      </c>
      <c r="U167" s="34">
        <v>0.0</v>
      </c>
      <c r="W167" s="34">
        <v>0.0</v>
      </c>
      <c r="Y167" s="34">
        <v>0.0</v>
      </c>
      <c r="AA167" s="34">
        <v>0.0</v>
      </c>
      <c r="AC167" s="34">
        <v>0.0</v>
      </c>
      <c r="AE167" s="34">
        <v>0.0</v>
      </c>
      <c r="AG167" s="34">
        <v>0.0</v>
      </c>
      <c r="AI167" s="34">
        <v>0.0</v>
      </c>
      <c r="AK167" s="34">
        <v>0.0</v>
      </c>
      <c r="AM167" s="34">
        <v>0.0</v>
      </c>
      <c r="AO167" s="34">
        <v>0.0</v>
      </c>
      <c r="AQ167" s="34">
        <v>0.0</v>
      </c>
      <c r="AS167" s="34">
        <v>0.0</v>
      </c>
      <c r="AU167" s="34">
        <v>0.0</v>
      </c>
      <c r="AW167" s="34">
        <v>0.0</v>
      </c>
      <c r="AY167" s="34">
        <v>0.0</v>
      </c>
      <c r="BA167" s="34">
        <v>0.0</v>
      </c>
      <c r="BC167" s="34">
        <v>0.0</v>
      </c>
      <c r="BE167" s="34">
        <v>0.0</v>
      </c>
      <c r="BG167" s="34">
        <v>0.0</v>
      </c>
      <c r="BI167" s="34">
        <v>0.0</v>
      </c>
    </row>
    <row r="168" ht="18.0" customHeight="1">
      <c r="B168" s="12" t="s">
        <v>424</v>
      </c>
      <c r="C168" s="34">
        <f>IFERROR(IF(AND('Real results'!C164&lt;&gt;"",'Raw data'!C164&lt;&gt;"",UPPER(TRIM('Real results'!C164))=UPPER(TRIM('Raw data'!C164))),1,0),0)</f>
        <v>0</v>
      </c>
      <c r="E168" s="34">
        <f>IFERROR(IF(AND('Real results'!C164&lt;&gt;"",'Raw data'!E164&lt;&gt;"",UPPER(TRIM('Real results'!C164))=UPPER(TRIM('Raw data'!E164))),1,0),0)</f>
        <v>0</v>
      </c>
      <c r="G168" s="34">
        <f>IFERROR(IF(AND('Real results'!C164&lt;&gt;"",'Raw data'!G164&lt;&gt;"",UPPER(TRIM('Real results'!C164))=UPPER(TRIM('Raw data'!G164))),1,0),0)</f>
        <v>0</v>
      </c>
      <c r="I168" s="34">
        <f>IFERROR(IF(AND('Real results'!C164&lt;&gt;"",'Raw data'!I164&lt;&gt;"",UPPER(TRIM('Real results'!C164))=UPPER(TRIM('Raw data'!I164))),1,0),0)</f>
        <v>0</v>
      </c>
      <c r="K168" s="34">
        <f>IFERROR(IF(AND('Real results'!C164&lt;&gt;"",'Raw data'!K164&lt;&gt;"",UPPER(TRIM('Real results'!C164))=UPPER(TRIM('Raw data'!K164))),1,0),0)</f>
        <v>0</v>
      </c>
      <c r="M168" s="34">
        <f>IFERROR(IF(AND('Real results'!C164&lt;&gt;"",'Raw data'!M164&lt;&gt;"",UPPER(TRIM('Real results'!C164))=UPPER(TRIM('Raw data'!M164))),1,0),0)</f>
        <v>0</v>
      </c>
      <c r="O168" s="34">
        <f>IFERROR(IF(AND('Real results'!C164&lt;&gt;"",'Raw data'!O164&lt;&gt;"",UPPER(TRIM('Real results'!C164))=UPPER(TRIM('Raw data'!O164))),1,0),0)</f>
        <v>0</v>
      </c>
      <c r="Q168" s="34">
        <f>IFERROR(IF(AND('Real results'!C164&lt;&gt;"",'Raw data'!Q164&lt;&gt;"",UPPER(TRIM('Real results'!C164))=UPPER(TRIM('Raw data'!Q164))),1,0),0)</f>
        <v>0</v>
      </c>
      <c r="S168" s="34">
        <f>IFERROR(IF(AND('Real results'!C164&lt;&gt;"",'Raw data'!S164&lt;&gt;"",UPPER(TRIM('Real results'!C164))=UPPER(TRIM('Raw data'!S164))),1,0),0)</f>
        <v>0</v>
      </c>
      <c r="U168" s="34">
        <f>IFERROR(IF(AND('Real results'!C164&lt;&gt;"",'Raw data'!U164&lt;&gt;"",UPPER(TRIM('Real results'!C164))=UPPER(TRIM('Raw data'!U164))),1,0),0)</f>
        <v>0</v>
      </c>
      <c r="W168" s="34">
        <f>IFERROR(IF(AND('Real results'!C164&lt;&gt;"",'Raw data'!W164&lt;&gt;"",UPPER(TRIM('Real results'!C164))=UPPER(TRIM('Raw data'!W164))),1,0),0)</f>
        <v>0</v>
      </c>
      <c r="Y168" s="34">
        <f>IFERROR(IF(AND('Real results'!C164&lt;&gt;"",'Raw data'!Y164&lt;&gt;"",UPPER(TRIM('Real results'!C164))=UPPER(TRIM('Raw data'!Y164))),1,0),0)</f>
        <v>0</v>
      </c>
      <c r="AA168" s="34">
        <f>IFERROR(IF(AND('Real results'!C164&lt;&gt;"",'Raw data'!AA164&lt;&gt;"",UPPER(TRIM('Real results'!C164))=UPPER(TRIM('Raw data'!AA164))),1,0),0)</f>
        <v>0</v>
      </c>
      <c r="AC168" s="34">
        <f>IFERROR(IF(AND('Real results'!C164&lt;&gt;"",'Raw data'!AC164&lt;&gt;"",UPPER(TRIM('Real results'!C164))=UPPER(TRIM('Raw data'!AC164))),1,0),0)</f>
        <v>0</v>
      </c>
      <c r="AE168" s="34">
        <f>IFERROR(IF(AND('Real results'!C164&lt;&gt;"",'Raw data'!AE164&lt;&gt;"",UPPER(TRIM('Real results'!C164))=UPPER(TRIM('Raw data'!AE164))),1,0),0)</f>
        <v>0</v>
      </c>
      <c r="AG168" s="34">
        <f>IFERROR(IF(AND('Real results'!C164&lt;&gt;"",'Raw data'!AG164&lt;&gt;"",UPPER(TRIM('Real results'!C164))=UPPER(TRIM('Raw data'!AG164))),1,0),0)</f>
        <v>0</v>
      </c>
      <c r="AI168" s="34">
        <f>IFERROR(IF(AND('Real results'!C164&lt;&gt;"",'Raw data'!AI164&lt;&gt;"",UPPER(TRIM('Real results'!C164))=UPPER(TRIM('Raw data'!AI164))),1,0),0)</f>
        <v>0</v>
      </c>
      <c r="AK168" s="34">
        <f>IFERROR(IF(AND('Real results'!C164&lt;&gt;"",'Raw data'!AK164&lt;&gt;"",UPPER(TRIM('Real results'!C164))=UPPER(TRIM('Raw data'!AK164))),1,0),0)</f>
        <v>0</v>
      </c>
      <c r="AM168" s="34">
        <f>IFERROR(IF(AND('Real results'!C164&lt;&gt;"",'Raw data'!AM164&lt;&gt;"",UPPER(TRIM('Real results'!C164))=UPPER(TRIM('Raw data'!AM164))),1,0),0)</f>
        <v>0</v>
      </c>
      <c r="AO168" s="34">
        <f>IFERROR(IF(AND('Real results'!C164&lt;&gt;"",'Raw data'!AO164&lt;&gt;"",UPPER(TRIM('Real results'!C164))=UPPER(TRIM('Raw data'!AO164))),1,0),0)</f>
        <v>0</v>
      </c>
      <c r="AQ168" s="34">
        <f>IFERROR(IF(AND('Real results'!C164&lt;&gt;"",'Raw data'!AQ164&lt;&gt;"",UPPER(TRIM('Real results'!C164))=UPPER(TRIM('Raw data'!AQ164))),1,0),0)</f>
        <v>0</v>
      </c>
      <c r="AS168" s="34">
        <f>IFERROR(IF(AND('Real results'!C164&lt;&gt;"",'Raw data'!AS164&lt;&gt;"",UPPER(TRIM('Real results'!C164))=UPPER(TRIM('Raw data'!AS164))),1,0),0)</f>
        <v>0</v>
      </c>
      <c r="AU168" s="34">
        <f>IFERROR(IF(AND('Real results'!C164&lt;&gt;"",'Raw data'!AU164&lt;&gt;"",UPPER(TRIM('Real results'!C164))=UPPER(TRIM('Raw data'!AU164))),1,0),0)</f>
        <v>0</v>
      </c>
      <c r="AW168" s="34">
        <f>IFERROR(IF(AND('Real results'!C164&lt;&gt;"",'Raw data'!AW164&lt;&gt;"",UPPER(TRIM('Real results'!C164))=UPPER(TRIM('Raw data'!AW164))),1,0),0)</f>
        <v>0</v>
      </c>
      <c r="AY168" s="34">
        <f>IFERROR(IF(AND('Real results'!C164&lt;&gt;"",'Raw data'!AY164&lt;&gt;"",UPPER(TRIM('Real results'!C164))=UPPER(TRIM('Raw data'!AY164))),1,0),0)</f>
        <v>0</v>
      </c>
      <c r="BA168" s="34">
        <f>IFERROR(IF(AND('Real results'!C164&lt;&gt;"",'Raw data'!BA164&lt;&gt;"",UPPER(TRIM('Real results'!C164))=UPPER(TRIM('Raw data'!BA164))),1,0),0)</f>
        <v>0</v>
      </c>
      <c r="BC168" s="34">
        <f>IFERROR(IF(AND('Real results'!C164&lt;&gt;"",'Raw data'!BC164&lt;&gt;"",UPPER(TRIM('Real results'!C164))=UPPER(TRIM('Raw data'!BC164))),1,0),0)</f>
        <v>0</v>
      </c>
      <c r="BE168" s="34">
        <f>IFERROR(IF(AND('Real results'!C164&lt;&gt;"",'Raw data'!BE164&lt;&gt;"",UPPER(TRIM('Real results'!C164))=UPPER(TRIM('Raw data'!BE164))),1,0),0)</f>
        <v>0</v>
      </c>
      <c r="BG168" s="34">
        <f>IFERROR(IF(AND('Real results'!C164&lt;&gt;"",'Raw data'!BG164&lt;&gt;"",UPPER(TRIM('Real results'!C164))=UPPER(TRIM('Raw data'!BG164))),1,0),0)</f>
        <v>0</v>
      </c>
      <c r="BI168" s="34">
        <f>IFERROR(IF(AND('Real results'!C164&lt;&gt;"",'Raw data'!BI164&lt;&gt;"",UPPER(TRIM('Real results'!C164))=UPPER(TRIM('Raw data'!BI164))),1,0),0)</f>
        <v>0</v>
      </c>
    </row>
    <row r="169" ht="18.0" customHeight="1">
      <c r="B169" s="12" t="s">
        <v>425</v>
      </c>
      <c r="C169" s="34">
        <f>IFERROR(IF(AND(ISNUMBER('Real results'!C165),ISNUMBER('Real results'!D165),ISNUMBER('Raw data'!C165),ISNUMBER('Raw data'!D165)),IF(SIGN('Raw data'!C165-'Raw data'!D165)=SIGN('Real results'!C165-'Real results'!D165),3+IF(AND('Raw data'!C165='Real results'!C165,'Raw data'!D165='Real results'!D165),2,0),0),0),0)</f>
        <v>0</v>
      </c>
      <c r="E169" s="34">
        <f>IFERROR(IF(AND(ISNUMBER('Real results'!C165),ISNUMBER('Real results'!D165),ISNUMBER('Raw data'!E165),ISNUMBER('Raw data'!F165)),IF(SIGN('Raw data'!E165-'Raw data'!F165)=SIGN('Real results'!C165-'Real results'!D165),3+IF(AND('Raw data'!E165='Real results'!C165,'Raw data'!F165='Real results'!D165),2,0),0),0),0)</f>
        <v>0</v>
      </c>
      <c r="G169" s="34">
        <f>IFERROR(IF(AND(ISNUMBER('Real results'!C165),ISNUMBER('Real results'!D165),ISNUMBER('Raw data'!G165),ISNUMBER('Raw data'!H165)),IF(SIGN('Raw data'!G165-'Raw data'!H165)=SIGN('Real results'!C165-'Real results'!D165),3+IF(AND('Raw data'!G165='Real results'!C165,'Raw data'!H165='Real results'!D165),2,0),0),0),0)</f>
        <v>0</v>
      </c>
      <c r="I169" s="34">
        <f>IFERROR(IF(AND(ISNUMBER('Real results'!C165),ISNUMBER('Real results'!D165),ISNUMBER('Raw data'!I165),ISNUMBER('Raw data'!J165)),IF(SIGN('Raw data'!I165-'Raw data'!J165)=SIGN('Real results'!C165-'Real results'!D165),3+IF(AND('Raw data'!I165='Real results'!C165,'Raw data'!J165='Real results'!D165),2,0),0),0),0)</f>
        <v>0</v>
      </c>
      <c r="K169" s="34">
        <f>IFERROR(IF(AND(ISNUMBER('Real results'!C165),ISNUMBER('Real results'!D165),ISNUMBER('Raw data'!K165),ISNUMBER('Raw data'!L165)),IF(SIGN('Raw data'!K165-'Raw data'!L165)=SIGN('Real results'!C165-'Real results'!D165),3+IF(AND('Raw data'!K165='Real results'!C165,'Raw data'!L165='Real results'!D165),2,0),0),0),0)</f>
        <v>0</v>
      </c>
      <c r="M169" s="34">
        <f>IFERROR(IF(AND(ISNUMBER('Real results'!C165),ISNUMBER('Real results'!D165),ISNUMBER('Raw data'!M165),ISNUMBER('Raw data'!N165)),IF(SIGN('Raw data'!M165-'Raw data'!N165)=SIGN('Real results'!C165-'Real results'!D165),3+IF(AND('Raw data'!M165='Real results'!C165,'Raw data'!N165='Real results'!D165),2,0),0),0),0)</f>
        <v>0</v>
      </c>
      <c r="O169" s="34">
        <f>IFERROR(IF(AND(ISNUMBER('Real results'!C165),ISNUMBER('Real results'!D165),ISNUMBER('Raw data'!O165),ISNUMBER('Raw data'!P165)),IF(SIGN('Raw data'!O165-'Raw data'!P165)=SIGN('Real results'!C165-'Real results'!D165),3+IF(AND('Raw data'!O165='Real results'!C165,'Raw data'!P165='Real results'!D165),2,0),0),0),0)</f>
        <v>0</v>
      </c>
      <c r="Q169" s="34">
        <f>IFERROR(IF(AND(ISNUMBER('Real results'!C165),ISNUMBER('Real results'!D165),ISNUMBER('Raw data'!Q165),ISNUMBER('Raw data'!R165)),IF(SIGN('Raw data'!Q165-'Raw data'!R165)=SIGN('Real results'!C165-'Real results'!D165),3+IF(AND('Raw data'!Q165='Real results'!C165,'Raw data'!R165='Real results'!D165),2,0),0),0),0)</f>
        <v>0</v>
      </c>
      <c r="S169" s="34">
        <f>IFERROR(IF(AND(ISNUMBER('Real results'!C165),ISNUMBER('Real results'!D165),ISNUMBER('Raw data'!S165),ISNUMBER('Raw data'!T165)),IF(SIGN('Raw data'!S165-'Raw data'!T165)=SIGN('Real results'!C165-'Real results'!D165),3+IF(AND('Raw data'!S165='Real results'!C165,'Raw data'!T165='Real results'!D165),2,0),0),0),0)</f>
        <v>0</v>
      </c>
      <c r="U169" s="34">
        <f>IFERROR(IF(AND(ISNUMBER('Real results'!C165),ISNUMBER('Real results'!D165),ISNUMBER('Raw data'!U165),ISNUMBER('Raw data'!V165)),IF(SIGN('Raw data'!U165-'Raw data'!V165)=SIGN('Real results'!C165-'Real results'!D165),3+IF(AND('Raw data'!U165='Real results'!C165,'Raw data'!V165='Real results'!D165),2,0),0),0),0)</f>
        <v>0</v>
      </c>
      <c r="W169" s="34">
        <f>IFERROR(IF(AND(ISNUMBER('Real results'!C165),ISNUMBER('Real results'!D165),ISNUMBER('Raw data'!W165),ISNUMBER('Raw data'!X165)),IF(SIGN('Raw data'!W165-'Raw data'!X165)=SIGN('Real results'!C165-'Real results'!D165),3+IF(AND('Raw data'!W165='Real results'!C165,'Raw data'!X165='Real results'!D165),2,0),0),0),0)</f>
        <v>0</v>
      </c>
      <c r="Y169" s="34">
        <f>IFERROR(IF(AND(ISNUMBER('Real results'!C165),ISNUMBER('Real results'!D165),ISNUMBER('Raw data'!Y165),ISNUMBER('Raw data'!Z165)),IF(SIGN('Raw data'!Y165-'Raw data'!Z165)=SIGN('Real results'!C165-'Real results'!D165),3+IF(AND('Raw data'!Y165='Real results'!C165,'Raw data'!Z165='Real results'!D165),2,0),0),0),0)</f>
        <v>0</v>
      </c>
      <c r="AA169" s="34">
        <f>IFERROR(IF(AND(ISNUMBER('Real results'!C165),ISNUMBER('Real results'!D165),ISNUMBER('Raw data'!AA165),ISNUMBER('Raw data'!AB165)),IF(SIGN('Raw data'!AA165-'Raw data'!AB165)=SIGN('Real results'!C165-'Real results'!D165),3+IF(AND('Raw data'!AA165='Real results'!C165,'Raw data'!AB165='Real results'!D165),2,0),0),0),0)</f>
        <v>0</v>
      </c>
      <c r="AC169" s="34">
        <f>IFERROR(IF(AND(ISNUMBER('Real results'!C165),ISNUMBER('Real results'!D165),ISNUMBER('Raw data'!AC165),ISNUMBER('Raw data'!AD165)),IF(SIGN('Raw data'!AC165-'Raw data'!AD165)=SIGN('Real results'!C165-'Real results'!D165),3+IF(AND('Raw data'!AC165='Real results'!C165,'Raw data'!AD165='Real results'!D165),2,0),0),0),0)</f>
        <v>0</v>
      </c>
      <c r="AE169" s="34">
        <f>IFERROR(IF(AND(ISNUMBER('Real results'!C165),ISNUMBER('Real results'!D165),ISNUMBER('Raw data'!AE165),ISNUMBER('Raw data'!AF165)),IF(SIGN('Raw data'!AE165-'Raw data'!AF165)=SIGN('Real results'!C165-'Real results'!D165),3+IF(AND('Raw data'!AE165='Real results'!C165,'Raw data'!AF165='Real results'!D165),2,0),0),0),0)</f>
        <v>0</v>
      </c>
      <c r="AG169" s="34">
        <f>IFERROR(IF(AND(ISNUMBER('Real results'!C165),ISNUMBER('Real results'!D165),ISNUMBER('Raw data'!AG165),ISNUMBER('Raw data'!AH165)),IF(SIGN('Raw data'!AG165-'Raw data'!AH165)=SIGN('Real results'!C165-'Real results'!D165),3+IF(AND('Raw data'!AG165='Real results'!C165,'Raw data'!AH165='Real results'!D165),2,0),0),0),0)</f>
        <v>0</v>
      </c>
      <c r="AI169" s="34">
        <f>IFERROR(IF(AND(ISNUMBER('Real results'!C165),ISNUMBER('Real results'!D165),ISNUMBER('Raw data'!AI165),ISNUMBER('Raw data'!AJ165)),IF(SIGN('Raw data'!AI165-'Raw data'!AJ165)=SIGN('Real results'!C165-'Real results'!D165),3+IF(AND('Raw data'!AI165='Real results'!C165,'Raw data'!AJ165='Real results'!D165),2,0),0),0),0)</f>
        <v>0</v>
      </c>
      <c r="AK169" s="34">
        <f>IFERROR(IF(AND(ISNUMBER('Real results'!C165),ISNUMBER('Real results'!D165),ISNUMBER('Raw data'!AK165),ISNUMBER('Raw data'!AL165)),IF(SIGN('Raw data'!AK165-'Raw data'!AL165)=SIGN('Real results'!C165-'Real results'!D165),3+IF(AND('Raw data'!AK165='Real results'!C165,'Raw data'!AL165='Real results'!D165),2,0),0),0),0)</f>
        <v>0</v>
      </c>
      <c r="AM169" s="34">
        <f>IFERROR(IF(AND(ISNUMBER('Real results'!C165),ISNUMBER('Real results'!D165),ISNUMBER('Raw data'!AM165),ISNUMBER('Raw data'!AN165)),IF(SIGN('Raw data'!AM165-'Raw data'!AN165)=SIGN('Real results'!C165-'Real results'!D165),3+IF(AND('Raw data'!AM165='Real results'!C165,'Raw data'!AN165='Real results'!D165),2,0),0),0),0)</f>
        <v>0</v>
      </c>
      <c r="AO169" s="34">
        <f>IFERROR(IF(AND(ISNUMBER('Real results'!C165),ISNUMBER('Real results'!D165),ISNUMBER('Raw data'!AO165),ISNUMBER('Raw data'!AP165)),IF(SIGN('Raw data'!AO165-'Raw data'!AP165)=SIGN('Real results'!C165-'Real results'!D165),3+IF(AND('Raw data'!AO165='Real results'!C165,'Raw data'!AP165='Real results'!D165),2,0),0),0),0)</f>
        <v>0</v>
      </c>
      <c r="AQ169" s="34">
        <f>IFERROR(IF(AND(ISNUMBER('Real results'!C165),ISNUMBER('Real results'!D165),ISNUMBER('Raw data'!AQ165),ISNUMBER('Raw data'!AR165)),IF(SIGN('Raw data'!AQ165-'Raw data'!AR165)=SIGN('Real results'!C165-'Real results'!D165),3+IF(AND('Raw data'!AQ165='Real results'!C165,'Raw data'!AR165='Real results'!D165),2,0),0),0),0)</f>
        <v>0</v>
      </c>
      <c r="AS169" s="34">
        <f>IFERROR(IF(AND(ISNUMBER('Real results'!C165),ISNUMBER('Real results'!D165),ISNUMBER('Raw data'!AS165),ISNUMBER('Raw data'!AT165)),IF(SIGN('Raw data'!AS165-'Raw data'!AT165)=SIGN('Real results'!C165-'Real results'!D165),3+IF(AND('Raw data'!AS165='Real results'!C165,'Raw data'!AT165='Real results'!D165),2,0),0),0),0)</f>
        <v>0</v>
      </c>
      <c r="AU169" s="34">
        <f>IFERROR(IF(AND(ISNUMBER('Real results'!C165),ISNUMBER('Real results'!D165),ISNUMBER('Raw data'!AU165),ISNUMBER('Raw data'!AV165)),IF(SIGN('Raw data'!AU165-'Raw data'!AV165)=SIGN('Real results'!C165-'Real results'!D165),3+IF(AND('Raw data'!AU165='Real results'!C165,'Raw data'!AV165='Real results'!D165),2,0),0),0),0)</f>
        <v>0</v>
      </c>
      <c r="AW169" s="34">
        <f>IFERROR(IF(AND(ISNUMBER('Real results'!C165),ISNUMBER('Real results'!D165),ISNUMBER('Raw data'!AW165),ISNUMBER('Raw data'!AX165)),IF(SIGN('Raw data'!AW165-'Raw data'!AX165)=SIGN('Real results'!C165-'Real results'!D165),3+IF(AND('Raw data'!AW165='Real results'!C165,'Raw data'!AX165='Real results'!D165),2,0),0),0),0)</f>
        <v>0</v>
      </c>
      <c r="AY169" s="34">
        <f>IFERROR(IF(AND(ISNUMBER('Real results'!C165),ISNUMBER('Real results'!D165),ISNUMBER('Raw data'!AY165),ISNUMBER('Raw data'!AZ165)),IF(SIGN('Raw data'!AY165-'Raw data'!AZ165)=SIGN('Real results'!C165-'Real results'!D165),3+IF(AND('Raw data'!AY165='Real results'!C165,'Raw data'!AZ165='Real results'!D165),2,0),0),0),0)</f>
        <v>0</v>
      </c>
      <c r="BA169" s="34">
        <f>IFERROR(IF(AND(ISNUMBER('Real results'!C165),ISNUMBER('Real results'!D165),ISNUMBER('Raw data'!BA165),ISNUMBER('Raw data'!BB165)),IF(SIGN('Raw data'!BA165-'Raw data'!BB165)=SIGN('Real results'!C165-'Real results'!D165),3+IF(AND('Raw data'!BA165='Real results'!C165,'Raw data'!BB165='Real results'!D165),2,0),0),0),0)</f>
        <v>0</v>
      </c>
      <c r="BC169" s="34">
        <f>IFERROR(IF(AND(ISNUMBER('Real results'!C165),ISNUMBER('Real results'!D165),ISNUMBER('Raw data'!BC165),ISNUMBER('Raw data'!BD165)),IF(SIGN('Raw data'!BC165-'Raw data'!BD165)=SIGN('Real results'!C165-'Real results'!D165),3+IF(AND('Raw data'!BC165='Real results'!C165,'Raw data'!BD165='Real results'!D165),2,0),0),0),0)</f>
        <v>0</v>
      </c>
      <c r="BE169" s="34">
        <f>IFERROR(IF(AND(ISNUMBER('Real results'!C165),ISNUMBER('Real results'!D165),ISNUMBER('Raw data'!BE165),ISNUMBER('Raw data'!BF165)),IF(SIGN('Raw data'!BE165-'Raw data'!BF165)=SIGN('Real results'!C165-'Real results'!D165),3+IF(AND('Raw data'!BE165='Real results'!C165,'Raw data'!BF165='Real results'!D165),2,0),0),0),0)</f>
        <v>0</v>
      </c>
      <c r="BG169" s="34">
        <f>IFERROR(IF(AND(ISNUMBER('Real results'!C165),ISNUMBER('Real results'!D165),ISNUMBER('Raw data'!BG165),ISNUMBER('Raw data'!BH165)),IF(SIGN('Raw data'!BG165-'Raw data'!BH165)=SIGN('Real results'!C165-'Real results'!D165),3+IF(AND('Raw data'!BG165='Real results'!C165,'Raw data'!BH165='Real results'!D165),2,0),0),0),0)</f>
        <v>0</v>
      </c>
      <c r="BI169" s="34">
        <f>IFERROR(IF(AND(ISNUMBER('Real results'!C165),ISNUMBER('Real results'!D165),ISNUMBER('Raw data'!BI165),ISNUMBER('Raw data'!BJ165)),IF(SIGN('Raw data'!BI165-'Raw data'!BJ165)=SIGN('Real results'!C165-'Real results'!D165),3+IF(AND('Raw data'!BI165='Real results'!C165,'Raw data'!BJ165='Real results'!D165),2,0),0),0),0)</f>
        <v>0</v>
      </c>
    </row>
    <row r="170" ht="18.0" customHeight="1">
      <c r="B170" s="12" t="s">
        <v>426</v>
      </c>
      <c r="C170" s="34">
        <v>0.0</v>
      </c>
      <c r="E170" s="34">
        <v>0.0</v>
      </c>
      <c r="G170" s="34">
        <v>0.0</v>
      </c>
      <c r="I170" s="34">
        <v>0.0</v>
      </c>
      <c r="K170" s="34">
        <v>0.0</v>
      </c>
      <c r="M170" s="34">
        <v>0.0</v>
      </c>
      <c r="O170" s="34">
        <v>0.0</v>
      </c>
      <c r="Q170" s="34">
        <v>0.0</v>
      </c>
      <c r="S170" s="34">
        <v>0.0</v>
      </c>
      <c r="U170" s="34">
        <v>0.0</v>
      </c>
      <c r="W170" s="34">
        <v>0.0</v>
      </c>
      <c r="Y170" s="34">
        <v>0.0</v>
      </c>
      <c r="AA170" s="34">
        <v>0.0</v>
      </c>
      <c r="AC170" s="34">
        <v>0.0</v>
      </c>
      <c r="AE170" s="34">
        <v>0.0</v>
      </c>
      <c r="AG170" s="34">
        <v>0.0</v>
      </c>
      <c r="AI170" s="34">
        <v>0.0</v>
      </c>
      <c r="AK170" s="34">
        <v>0.0</v>
      </c>
      <c r="AM170" s="34">
        <v>0.0</v>
      </c>
      <c r="AO170" s="34">
        <v>0.0</v>
      </c>
      <c r="AQ170" s="34">
        <v>0.0</v>
      </c>
      <c r="AS170" s="34">
        <v>0.0</v>
      </c>
      <c r="AU170" s="34">
        <v>0.0</v>
      </c>
      <c r="AW170" s="34">
        <v>0.0</v>
      </c>
      <c r="AY170" s="34">
        <v>0.0</v>
      </c>
      <c r="BA170" s="34">
        <v>0.0</v>
      </c>
      <c r="BC170" s="34">
        <v>0.0</v>
      </c>
      <c r="BE170" s="34">
        <v>0.0</v>
      </c>
      <c r="BG170" s="34">
        <v>0.0</v>
      </c>
      <c r="BI170" s="34">
        <v>0.0</v>
      </c>
    </row>
    <row r="171" ht="18.0" customHeight="1">
      <c r="B171" s="12" t="s">
        <v>427</v>
      </c>
      <c r="C171" s="34">
        <f>IFERROR(IF(AND('Real results'!C167&lt;&gt;"",'Raw data'!C167&lt;&gt;"",UPPER(TRIM('Real results'!C167))=UPPER(TRIM('Raw data'!C167))),1,0),0)</f>
        <v>0</v>
      </c>
      <c r="E171" s="34">
        <f>IFERROR(IF(AND('Real results'!C167&lt;&gt;"",'Raw data'!E167&lt;&gt;"",UPPER(TRIM('Real results'!C167))=UPPER(TRIM('Raw data'!E167))),1,0),0)</f>
        <v>0</v>
      </c>
      <c r="G171" s="34">
        <f>IFERROR(IF(AND('Real results'!C167&lt;&gt;"",'Raw data'!G167&lt;&gt;"",UPPER(TRIM('Real results'!C167))=UPPER(TRIM('Raw data'!G167))),1,0),0)</f>
        <v>0</v>
      </c>
      <c r="I171" s="34">
        <f>IFERROR(IF(AND('Real results'!C167&lt;&gt;"",'Raw data'!I167&lt;&gt;"",UPPER(TRIM('Real results'!C167))=UPPER(TRIM('Raw data'!I167))),1,0),0)</f>
        <v>0</v>
      </c>
      <c r="K171" s="34">
        <f>IFERROR(IF(AND('Real results'!C167&lt;&gt;"",'Raw data'!K167&lt;&gt;"",UPPER(TRIM('Real results'!C167))=UPPER(TRIM('Raw data'!K167))),1,0),0)</f>
        <v>0</v>
      </c>
      <c r="M171" s="34">
        <f>IFERROR(IF(AND('Real results'!C167&lt;&gt;"",'Raw data'!M167&lt;&gt;"",UPPER(TRIM('Real results'!C167))=UPPER(TRIM('Raw data'!M167))),1,0),0)</f>
        <v>0</v>
      </c>
      <c r="O171" s="34">
        <f>IFERROR(IF(AND('Real results'!C167&lt;&gt;"",'Raw data'!O167&lt;&gt;"",UPPER(TRIM('Real results'!C167))=UPPER(TRIM('Raw data'!O167))),1,0),0)</f>
        <v>0</v>
      </c>
      <c r="Q171" s="34">
        <f>IFERROR(IF(AND('Real results'!C167&lt;&gt;"",'Raw data'!Q167&lt;&gt;"",UPPER(TRIM('Real results'!C167))=UPPER(TRIM('Raw data'!Q167))),1,0),0)</f>
        <v>0</v>
      </c>
      <c r="S171" s="34">
        <f>IFERROR(IF(AND('Real results'!C167&lt;&gt;"",'Raw data'!S167&lt;&gt;"",UPPER(TRIM('Real results'!C167))=UPPER(TRIM('Raw data'!S167))),1,0),0)</f>
        <v>0</v>
      </c>
      <c r="U171" s="34">
        <f>IFERROR(IF(AND('Real results'!C167&lt;&gt;"",'Raw data'!U167&lt;&gt;"",UPPER(TRIM('Real results'!C167))=UPPER(TRIM('Raw data'!U167))),1,0),0)</f>
        <v>0</v>
      </c>
      <c r="W171" s="34">
        <f>IFERROR(IF(AND('Real results'!C167&lt;&gt;"",'Raw data'!W167&lt;&gt;"",UPPER(TRIM('Real results'!C167))=UPPER(TRIM('Raw data'!W167))),1,0),0)</f>
        <v>0</v>
      </c>
      <c r="Y171" s="34">
        <f>IFERROR(IF(AND('Real results'!C167&lt;&gt;"",'Raw data'!Y167&lt;&gt;"",UPPER(TRIM('Real results'!C167))=UPPER(TRIM('Raw data'!Y167))),1,0),0)</f>
        <v>0</v>
      </c>
      <c r="AA171" s="34">
        <f>IFERROR(IF(AND('Real results'!C167&lt;&gt;"",'Raw data'!AA167&lt;&gt;"",UPPER(TRIM('Real results'!C167))=UPPER(TRIM('Raw data'!AA167))),1,0),0)</f>
        <v>0</v>
      </c>
      <c r="AC171" s="34">
        <f>IFERROR(IF(AND('Real results'!C167&lt;&gt;"",'Raw data'!AC167&lt;&gt;"",UPPER(TRIM('Real results'!C167))=UPPER(TRIM('Raw data'!AC167))),1,0),0)</f>
        <v>0</v>
      </c>
      <c r="AE171" s="34">
        <f>IFERROR(IF(AND('Real results'!C167&lt;&gt;"",'Raw data'!AE167&lt;&gt;"",UPPER(TRIM('Real results'!C167))=UPPER(TRIM('Raw data'!AE167))),1,0),0)</f>
        <v>0</v>
      </c>
      <c r="AG171" s="34">
        <f>IFERROR(IF(AND('Real results'!C167&lt;&gt;"",'Raw data'!AG167&lt;&gt;"",UPPER(TRIM('Real results'!C167))=UPPER(TRIM('Raw data'!AG167))),1,0),0)</f>
        <v>0</v>
      </c>
      <c r="AI171" s="34">
        <f>IFERROR(IF(AND('Real results'!C167&lt;&gt;"",'Raw data'!AI167&lt;&gt;"",UPPER(TRIM('Real results'!C167))=UPPER(TRIM('Raw data'!AI167))),1,0),0)</f>
        <v>0</v>
      </c>
      <c r="AK171" s="34">
        <f>IFERROR(IF(AND('Real results'!C167&lt;&gt;"",'Raw data'!AK167&lt;&gt;"",UPPER(TRIM('Real results'!C167))=UPPER(TRIM('Raw data'!AK167))),1,0),0)</f>
        <v>0</v>
      </c>
      <c r="AM171" s="34">
        <f>IFERROR(IF(AND('Real results'!C167&lt;&gt;"",'Raw data'!AM167&lt;&gt;"",UPPER(TRIM('Real results'!C167))=UPPER(TRIM('Raw data'!AM167))),1,0),0)</f>
        <v>0</v>
      </c>
      <c r="AO171" s="34">
        <f>IFERROR(IF(AND('Real results'!C167&lt;&gt;"",'Raw data'!AO167&lt;&gt;"",UPPER(TRIM('Real results'!C167))=UPPER(TRIM('Raw data'!AO167))),1,0),0)</f>
        <v>0</v>
      </c>
      <c r="AQ171" s="34">
        <f>IFERROR(IF(AND('Real results'!C167&lt;&gt;"",'Raw data'!AQ167&lt;&gt;"",UPPER(TRIM('Real results'!C167))=UPPER(TRIM('Raw data'!AQ167))),1,0),0)</f>
        <v>0</v>
      </c>
      <c r="AS171" s="34">
        <f>IFERROR(IF(AND('Real results'!C167&lt;&gt;"",'Raw data'!AS167&lt;&gt;"",UPPER(TRIM('Real results'!C167))=UPPER(TRIM('Raw data'!AS167))),1,0),0)</f>
        <v>0</v>
      </c>
      <c r="AU171" s="34">
        <f>IFERROR(IF(AND('Real results'!C167&lt;&gt;"",'Raw data'!AU167&lt;&gt;"",UPPER(TRIM('Real results'!C167))=UPPER(TRIM('Raw data'!AU167))),1,0),0)</f>
        <v>0</v>
      </c>
      <c r="AW171" s="34">
        <f>IFERROR(IF(AND('Real results'!C167&lt;&gt;"",'Raw data'!AW167&lt;&gt;"",UPPER(TRIM('Real results'!C167))=UPPER(TRIM('Raw data'!AW167))),1,0),0)</f>
        <v>0</v>
      </c>
      <c r="AY171" s="34">
        <f>IFERROR(IF(AND('Real results'!C167&lt;&gt;"",'Raw data'!AY167&lt;&gt;"",UPPER(TRIM('Real results'!C167))=UPPER(TRIM('Raw data'!AY167))),1,0),0)</f>
        <v>0</v>
      </c>
      <c r="BA171" s="34">
        <f>IFERROR(IF(AND('Real results'!C167&lt;&gt;"",'Raw data'!BA167&lt;&gt;"",UPPER(TRIM('Real results'!C167))=UPPER(TRIM('Raw data'!BA167))),1,0),0)</f>
        <v>0</v>
      </c>
      <c r="BC171" s="34">
        <f>IFERROR(IF(AND('Real results'!C167&lt;&gt;"",'Raw data'!BC167&lt;&gt;"",UPPER(TRIM('Real results'!C167))=UPPER(TRIM('Raw data'!BC167))),1,0),0)</f>
        <v>0</v>
      </c>
      <c r="BE171" s="34">
        <f>IFERROR(IF(AND('Real results'!C167&lt;&gt;"",'Raw data'!BE167&lt;&gt;"",UPPER(TRIM('Real results'!C167))=UPPER(TRIM('Raw data'!BE167))),1,0),0)</f>
        <v>0</v>
      </c>
      <c r="BG171" s="34">
        <f>IFERROR(IF(AND('Real results'!C167&lt;&gt;"",'Raw data'!BG167&lt;&gt;"",UPPER(TRIM('Real results'!C167))=UPPER(TRIM('Raw data'!BG167))),1,0),0)</f>
        <v>0</v>
      </c>
      <c r="BI171" s="34">
        <f>IFERROR(IF(AND('Real results'!C167&lt;&gt;"",'Raw data'!BI167&lt;&gt;"",UPPER(TRIM('Real results'!C167))=UPPER(TRIM('Raw data'!BI167))),1,0),0)</f>
        <v>0</v>
      </c>
    </row>
    <row r="172" ht="18.0" customHeight="1">
      <c r="B172" s="12" t="s">
        <v>428</v>
      </c>
      <c r="C172" s="34">
        <f>IFERROR(IF(AND(ISNUMBER('Real results'!C168),ISNUMBER('Real results'!D168),ISNUMBER('Raw data'!C168),ISNUMBER('Raw data'!D168)),IF(SIGN('Raw data'!C168-'Raw data'!D168)=SIGN('Real results'!C168-'Real results'!D168),3+IF(AND('Raw data'!C168='Real results'!C168,'Raw data'!D168='Real results'!D168),2,0),0),0),0)</f>
        <v>0</v>
      </c>
      <c r="E172" s="34">
        <f>IFERROR(IF(AND(ISNUMBER('Real results'!C168),ISNUMBER('Real results'!D168),ISNUMBER('Raw data'!E168),ISNUMBER('Raw data'!F168)),IF(SIGN('Raw data'!E168-'Raw data'!F168)=SIGN('Real results'!C168-'Real results'!D168),3+IF(AND('Raw data'!E168='Real results'!C168,'Raw data'!F168='Real results'!D168),2,0),0),0),0)</f>
        <v>0</v>
      </c>
      <c r="G172" s="34">
        <f>IFERROR(IF(AND(ISNUMBER('Real results'!C168),ISNUMBER('Real results'!D168),ISNUMBER('Raw data'!G168),ISNUMBER('Raw data'!H168)),IF(SIGN('Raw data'!G168-'Raw data'!H168)=SIGN('Real results'!C168-'Real results'!D168),3+IF(AND('Raw data'!G168='Real results'!C168,'Raw data'!H168='Real results'!D168),2,0),0),0),0)</f>
        <v>0</v>
      </c>
      <c r="I172" s="34">
        <f>IFERROR(IF(AND(ISNUMBER('Real results'!C168),ISNUMBER('Real results'!D168),ISNUMBER('Raw data'!I168),ISNUMBER('Raw data'!J168)),IF(SIGN('Raw data'!I168-'Raw data'!J168)=SIGN('Real results'!C168-'Real results'!D168),3+IF(AND('Raw data'!I168='Real results'!C168,'Raw data'!J168='Real results'!D168),2,0),0),0),0)</f>
        <v>0</v>
      </c>
      <c r="K172" s="34">
        <f>IFERROR(IF(AND(ISNUMBER('Real results'!C168),ISNUMBER('Real results'!D168),ISNUMBER('Raw data'!K168),ISNUMBER('Raw data'!L168)),IF(SIGN('Raw data'!K168-'Raw data'!L168)=SIGN('Real results'!C168-'Real results'!D168),3+IF(AND('Raw data'!K168='Real results'!C168,'Raw data'!L168='Real results'!D168),2,0),0),0),0)</f>
        <v>0</v>
      </c>
      <c r="M172" s="34">
        <f>IFERROR(IF(AND(ISNUMBER('Real results'!C168),ISNUMBER('Real results'!D168),ISNUMBER('Raw data'!M168),ISNUMBER('Raw data'!N168)),IF(SIGN('Raw data'!M168-'Raw data'!N168)=SIGN('Real results'!C168-'Real results'!D168),3+IF(AND('Raw data'!M168='Real results'!C168,'Raw data'!N168='Real results'!D168),2,0),0),0),0)</f>
        <v>0</v>
      </c>
      <c r="O172" s="34">
        <f>IFERROR(IF(AND(ISNUMBER('Real results'!C168),ISNUMBER('Real results'!D168),ISNUMBER('Raw data'!O168),ISNUMBER('Raw data'!P168)),IF(SIGN('Raw data'!O168-'Raw data'!P168)=SIGN('Real results'!C168-'Real results'!D168),3+IF(AND('Raw data'!O168='Real results'!C168,'Raw data'!P168='Real results'!D168),2,0),0),0),0)</f>
        <v>0</v>
      </c>
      <c r="Q172" s="34">
        <f>IFERROR(IF(AND(ISNUMBER('Real results'!C168),ISNUMBER('Real results'!D168),ISNUMBER('Raw data'!Q168),ISNUMBER('Raw data'!R168)),IF(SIGN('Raw data'!Q168-'Raw data'!R168)=SIGN('Real results'!C168-'Real results'!D168),3+IF(AND('Raw data'!Q168='Real results'!C168,'Raw data'!R168='Real results'!D168),2,0),0),0),0)</f>
        <v>0</v>
      </c>
      <c r="S172" s="34">
        <f>IFERROR(IF(AND(ISNUMBER('Real results'!C168),ISNUMBER('Real results'!D168),ISNUMBER('Raw data'!S168),ISNUMBER('Raw data'!T168)),IF(SIGN('Raw data'!S168-'Raw data'!T168)=SIGN('Real results'!C168-'Real results'!D168),3+IF(AND('Raw data'!S168='Real results'!C168,'Raw data'!T168='Real results'!D168),2,0),0),0),0)</f>
        <v>0</v>
      </c>
      <c r="U172" s="34">
        <f>IFERROR(IF(AND(ISNUMBER('Real results'!C168),ISNUMBER('Real results'!D168),ISNUMBER('Raw data'!U168),ISNUMBER('Raw data'!V168)),IF(SIGN('Raw data'!U168-'Raw data'!V168)=SIGN('Real results'!C168-'Real results'!D168),3+IF(AND('Raw data'!U168='Real results'!C168,'Raw data'!V168='Real results'!D168),2,0),0),0),0)</f>
        <v>0</v>
      </c>
      <c r="W172" s="34">
        <f>IFERROR(IF(AND(ISNUMBER('Real results'!C168),ISNUMBER('Real results'!D168),ISNUMBER('Raw data'!W168),ISNUMBER('Raw data'!X168)),IF(SIGN('Raw data'!W168-'Raw data'!X168)=SIGN('Real results'!C168-'Real results'!D168),3+IF(AND('Raw data'!W168='Real results'!C168,'Raw data'!X168='Real results'!D168),2,0),0),0),0)</f>
        <v>0</v>
      </c>
      <c r="Y172" s="34">
        <f>IFERROR(IF(AND(ISNUMBER('Real results'!C168),ISNUMBER('Real results'!D168),ISNUMBER('Raw data'!Y168),ISNUMBER('Raw data'!Z168)),IF(SIGN('Raw data'!Y168-'Raw data'!Z168)=SIGN('Real results'!C168-'Real results'!D168),3+IF(AND('Raw data'!Y168='Real results'!C168,'Raw data'!Z168='Real results'!D168),2,0),0),0),0)</f>
        <v>0</v>
      </c>
      <c r="AA172" s="34">
        <f>IFERROR(IF(AND(ISNUMBER('Real results'!C168),ISNUMBER('Real results'!D168),ISNUMBER('Raw data'!AA168),ISNUMBER('Raw data'!AB168)),IF(SIGN('Raw data'!AA168-'Raw data'!AB168)=SIGN('Real results'!C168-'Real results'!D168),3+IF(AND('Raw data'!AA168='Real results'!C168,'Raw data'!AB168='Real results'!D168),2,0),0),0),0)</f>
        <v>0</v>
      </c>
      <c r="AC172" s="34">
        <f>IFERROR(IF(AND(ISNUMBER('Real results'!C168),ISNUMBER('Real results'!D168),ISNUMBER('Raw data'!AC168),ISNUMBER('Raw data'!AD168)),IF(SIGN('Raw data'!AC168-'Raw data'!AD168)=SIGN('Real results'!C168-'Real results'!D168),3+IF(AND('Raw data'!AC168='Real results'!C168,'Raw data'!AD168='Real results'!D168),2,0),0),0),0)</f>
        <v>0</v>
      </c>
      <c r="AE172" s="34">
        <f>IFERROR(IF(AND(ISNUMBER('Real results'!C168),ISNUMBER('Real results'!D168),ISNUMBER('Raw data'!AE168),ISNUMBER('Raw data'!AF168)),IF(SIGN('Raw data'!AE168-'Raw data'!AF168)=SIGN('Real results'!C168-'Real results'!D168),3+IF(AND('Raw data'!AE168='Real results'!C168,'Raw data'!AF168='Real results'!D168),2,0),0),0),0)</f>
        <v>0</v>
      </c>
      <c r="AG172" s="34">
        <f>IFERROR(IF(AND(ISNUMBER('Real results'!C168),ISNUMBER('Real results'!D168),ISNUMBER('Raw data'!AG168),ISNUMBER('Raw data'!AH168)),IF(SIGN('Raw data'!AG168-'Raw data'!AH168)=SIGN('Real results'!C168-'Real results'!D168),3+IF(AND('Raw data'!AG168='Real results'!C168,'Raw data'!AH168='Real results'!D168),2,0),0),0),0)</f>
        <v>0</v>
      </c>
      <c r="AI172" s="34">
        <f>IFERROR(IF(AND(ISNUMBER('Real results'!C168),ISNUMBER('Real results'!D168),ISNUMBER('Raw data'!AI168),ISNUMBER('Raw data'!AJ168)),IF(SIGN('Raw data'!AI168-'Raw data'!AJ168)=SIGN('Real results'!C168-'Real results'!D168),3+IF(AND('Raw data'!AI168='Real results'!C168,'Raw data'!AJ168='Real results'!D168),2,0),0),0),0)</f>
        <v>0</v>
      </c>
      <c r="AK172" s="34">
        <f>IFERROR(IF(AND(ISNUMBER('Real results'!C168),ISNUMBER('Real results'!D168),ISNUMBER('Raw data'!AK168),ISNUMBER('Raw data'!AL168)),IF(SIGN('Raw data'!AK168-'Raw data'!AL168)=SIGN('Real results'!C168-'Real results'!D168),3+IF(AND('Raw data'!AK168='Real results'!C168,'Raw data'!AL168='Real results'!D168),2,0),0),0),0)</f>
        <v>0</v>
      </c>
      <c r="AM172" s="34">
        <f>IFERROR(IF(AND(ISNUMBER('Real results'!C168),ISNUMBER('Real results'!D168),ISNUMBER('Raw data'!AM168),ISNUMBER('Raw data'!AN168)),IF(SIGN('Raw data'!AM168-'Raw data'!AN168)=SIGN('Real results'!C168-'Real results'!D168),3+IF(AND('Raw data'!AM168='Real results'!C168,'Raw data'!AN168='Real results'!D168),2,0),0),0),0)</f>
        <v>0</v>
      </c>
      <c r="AO172" s="34">
        <f>IFERROR(IF(AND(ISNUMBER('Real results'!C168),ISNUMBER('Real results'!D168),ISNUMBER('Raw data'!AO168),ISNUMBER('Raw data'!AP168)),IF(SIGN('Raw data'!AO168-'Raw data'!AP168)=SIGN('Real results'!C168-'Real results'!D168),3+IF(AND('Raw data'!AO168='Real results'!C168,'Raw data'!AP168='Real results'!D168),2,0),0),0),0)</f>
        <v>0</v>
      </c>
      <c r="AQ172" s="34">
        <f>IFERROR(IF(AND(ISNUMBER('Real results'!C168),ISNUMBER('Real results'!D168),ISNUMBER('Raw data'!AQ168),ISNUMBER('Raw data'!AR168)),IF(SIGN('Raw data'!AQ168-'Raw data'!AR168)=SIGN('Real results'!C168-'Real results'!D168),3+IF(AND('Raw data'!AQ168='Real results'!C168,'Raw data'!AR168='Real results'!D168),2,0),0),0),0)</f>
        <v>0</v>
      </c>
      <c r="AS172" s="34">
        <f>IFERROR(IF(AND(ISNUMBER('Real results'!C168),ISNUMBER('Real results'!D168),ISNUMBER('Raw data'!AS168),ISNUMBER('Raw data'!AT168)),IF(SIGN('Raw data'!AS168-'Raw data'!AT168)=SIGN('Real results'!C168-'Real results'!D168),3+IF(AND('Raw data'!AS168='Real results'!C168,'Raw data'!AT168='Real results'!D168),2,0),0),0),0)</f>
        <v>0</v>
      </c>
      <c r="AU172" s="34">
        <f>IFERROR(IF(AND(ISNUMBER('Real results'!C168),ISNUMBER('Real results'!D168),ISNUMBER('Raw data'!AU168),ISNUMBER('Raw data'!AV168)),IF(SIGN('Raw data'!AU168-'Raw data'!AV168)=SIGN('Real results'!C168-'Real results'!D168),3+IF(AND('Raw data'!AU168='Real results'!C168,'Raw data'!AV168='Real results'!D168),2,0),0),0),0)</f>
        <v>0</v>
      </c>
      <c r="AW172" s="34">
        <f>IFERROR(IF(AND(ISNUMBER('Real results'!C168),ISNUMBER('Real results'!D168),ISNUMBER('Raw data'!AW168),ISNUMBER('Raw data'!AX168)),IF(SIGN('Raw data'!AW168-'Raw data'!AX168)=SIGN('Real results'!C168-'Real results'!D168),3+IF(AND('Raw data'!AW168='Real results'!C168,'Raw data'!AX168='Real results'!D168),2,0),0),0),0)</f>
        <v>0</v>
      </c>
      <c r="AY172" s="34">
        <f>IFERROR(IF(AND(ISNUMBER('Real results'!C168),ISNUMBER('Real results'!D168),ISNUMBER('Raw data'!AY168),ISNUMBER('Raw data'!AZ168)),IF(SIGN('Raw data'!AY168-'Raw data'!AZ168)=SIGN('Real results'!C168-'Real results'!D168),3+IF(AND('Raw data'!AY168='Real results'!C168,'Raw data'!AZ168='Real results'!D168),2,0),0),0),0)</f>
        <v>0</v>
      </c>
      <c r="BA172" s="34">
        <f>IFERROR(IF(AND(ISNUMBER('Real results'!C168),ISNUMBER('Real results'!D168),ISNUMBER('Raw data'!BA168),ISNUMBER('Raw data'!BB168)),IF(SIGN('Raw data'!BA168-'Raw data'!BB168)=SIGN('Real results'!C168-'Real results'!D168),3+IF(AND('Raw data'!BA168='Real results'!C168,'Raw data'!BB168='Real results'!D168),2,0),0),0),0)</f>
        <v>0</v>
      </c>
      <c r="BC172" s="34">
        <f>IFERROR(IF(AND(ISNUMBER('Real results'!C168),ISNUMBER('Real results'!D168),ISNUMBER('Raw data'!BC168),ISNUMBER('Raw data'!BD168)),IF(SIGN('Raw data'!BC168-'Raw data'!BD168)=SIGN('Real results'!C168-'Real results'!D168),3+IF(AND('Raw data'!BC168='Real results'!C168,'Raw data'!BD168='Real results'!D168),2,0),0),0),0)</f>
        <v>0</v>
      </c>
      <c r="BE172" s="34">
        <f>IFERROR(IF(AND(ISNUMBER('Real results'!C168),ISNUMBER('Real results'!D168),ISNUMBER('Raw data'!BE168),ISNUMBER('Raw data'!BF168)),IF(SIGN('Raw data'!BE168-'Raw data'!BF168)=SIGN('Real results'!C168-'Real results'!D168),3+IF(AND('Raw data'!BE168='Real results'!C168,'Raw data'!BF168='Real results'!D168),2,0),0),0),0)</f>
        <v>0</v>
      </c>
      <c r="BG172" s="34">
        <f>IFERROR(IF(AND(ISNUMBER('Real results'!C168),ISNUMBER('Real results'!D168),ISNUMBER('Raw data'!BG168),ISNUMBER('Raw data'!BH168)),IF(SIGN('Raw data'!BG168-'Raw data'!BH168)=SIGN('Real results'!C168-'Real results'!D168),3+IF(AND('Raw data'!BG168='Real results'!C168,'Raw data'!BH168='Real results'!D168),2,0),0),0),0)</f>
        <v>0</v>
      </c>
      <c r="BI172" s="34">
        <f>IFERROR(IF(AND(ISNUMBER('Real results'!C168),ISNUMBER('Real results'!D168),ISNUMBER('Raw data'!BI168),ISNUMBER('Raw data'!BJ168)),IF(SIGN('Raw data'!BI168-'Raw data'!BJ168)=SIGN('Real results'!C168-'Real results'!D168),3+IF(AND('Raw data'!BI168='Real results'!C168,'Raw data'!BJ168='Real results'!D168),2,0),0),0),0)</f>
        <v>0</v>
      </c>
    </row>
    <row r="173" ht="18.0" customHeight="1">
      <c r="B173" s="12" t="s">
        <v>429</v>
      </c>
      <c r="C173" s="34">
        <v>0.0</v>
      </c>
      <c r="E173" s="34">
        <v>0.0</v>
      </c>
      <c r="G173" s="34">
        <v>0.0</v>
      </c>
      <c r="I173" s="34">
        <v>0.0</v>
      </c>
      <c r="K173" s="34">
        <v>0.0</v>
      </c>
      <c r="M173" s="34">
        <v>0.0</v>
      </c>
      <c r="O173" s="34">
        <v>0.0</v>
      </c>
      <c r="Q173" s="34">
        <v>0.0</v>
      </c>
      <c r="S173" s="34">
        <v>0.0</v>
      </c>
      <c r="U173" s="34">
        <v>0.0</v>
      </c>
      <c r="W173" s="34">
        <v>0.0</v>
      </c>
      <c r="Y173" s="34">
        <v>0.0</v>
      </c>
      <c r="AA173" s="34">
        <v>0.0</v>
      </c>
      <c r="AC173" s="34">
        <v>0.0</v>
      </c>
      <c r="AE173" s="34">
        <v>0.0</v>
      </c>
      <c r="AG173" s="34">
        <v>0.0</v>
      </c>
      <c r="AI173" s="34">
        <v>0.0</v>
      </c>
      <c r="AK173" s="34">
        <v>0.0</v>
      </c>
      <c r="AM173" s="34">
        <v>0.0</v>
      </c>
      <c r="AO173" s="34">
        <v>0.0</v>
      </c>
      <c r="AQ173" s="34">
        <v>0.0</v>
      </c>
      <c r="AS173" s="34">
        <v>0.0</v>
      </c>
      <c r="AU173" s="34">
        <v>0.0</v>
      </c>
      <c r="AW173" s="34">
        <v>0.0</v>
      </c>
      <c r="AY173" s="34">
        <v>0.0</v>
      </c>
      <c r="BA173" s="34">
        <v>0.0</v>
      </c>
      <c r="BC173" s="34">
        <v>0.0</v>
      </c>
      <c r="BE173" s="34">
        <v>0.0</v>
      </c>
      <c r="BG173" s="34">
        <v>0.0</v>
      </c>
      <c r="BI173" s="34">
        <v>0.0</v>
      </c>
    </row>
    <row r="174" ht="18.0" customHeight="1">
      <c r="B174" s="12" t="s">
        <v>430</v>
      </c>
      <c r="C174" s="34">
        <f>IFERROR(IF(AND('Real results'!C170&lt;&gt;"",'Raw data'!C170&lt;&gt;"",UPPER(TRIM('Real results'!C170))=UPPER(TRIM('Raw data'!C170))),1,0),0)</f>
        <v>0</v>
      </c>
      <c r="E174" s="34">
        <f>IFERROR(IF(AND('Real results'!C170&lt;&gt;"",'Raw data'!E170&lt;&gt;"",UPPER(TRIM('Real results'!C170))=UPPER(TRIM('Raw data'!E170))),1,0),0)</f>
        <v>0</v>
      </c>
      <c r="G174" s="34">
        <f>IFERROR(IF(AND('Real results'!C170&lt;&gt;"",'Raw data'!G170&lt;&gt;"",UPPER(TRIM('Real results'!C170))=UPPER(TRIM('Raw data'!G170))),1,0),0)</f>
        <v>0</v>
      </c>
      <c r="I174" s="34">
        <f>IFERROR(IF(AND('Real results'!C170&lt;&gt;"",'Raw data'!I170&lt;&gt;"",UPPER(TRIM('Real results'!C170))=UPPER(TRIM('Raw data'!I170))),1,0),0)</f>
        <v>0</v>
      </c>
      <c r="K174" s="34">
        <f>IFERROR(IF(AND('Real results'!C170&lt;&gt;"",'Raw data'!K170&lt;&gt;"",UPPER(TRIM('Real results'!C170))=UPPER(TRIM('Raw data'!K170))),1,0),0)</f>
        <v>0</v>
      </c>
      <c r="M174" s="34">
        <f>IFERROR(IF(AND('Real results'!C170&lt;&gt;"",'Raw data'!M170&lt;&gt;"",UPPER(TRIM('Real results'!C170))=UPPER(TRIM('Raw data'!M170))),1,0),0)</f>
        <v>0</v>
      </c>
      <c r="O174" s="34">
        <f>IFERROR(IF(AND('Real results'!C170&lt;&gt;"",'Raw data'!O170&lt;&gt;"",UPPER(TRIM('Real results'!C170))=UPPER(TRIM('Raw data'!O170))),1,0),0)</f>
        <v>0</v>
      </c>
      <c r="Q174" s="34">
        <f>IFERROR(IF(AND('Real results'!C170&lt;&gt;"",'Raw data'!Q170&lt;&gt;"",UPPER(TRIM('Real results'!C170))=UPPER(TRIM('Raw data'!Q170))),1,0),0)</f>
        <v>0</v>
      </c>
      <c r="S174" s="34">
        <f>IFERROR(IF(AND('Real results'!C170&lt;&gt;"",'Raw data'!S170&lt;&gt;"",UPPER(TRIM('Real results'!C170))=UPPER(TRIM('Raw data'!S170))),1,0),0)</f>
        <v>0</v>
      </c>
      <c r="U174" s="34">
        <f>IFERROR(IF(AND('Real results'!C170&lt;&gt;"",'Raw data'!U170&lt;&gt;"",UPPER(TRIM('Real results'!C170))=UPPER(TRIM('Raw data'!U170))),1,0),0)</f>
        <v>0</v>
      </c>
      <c r="W174" s="34">
        <f>IFERROR(IF(AND('Real results'!C170&lt;&gt;"",'Raw data'!W170&lt;&gt;"",UPPER(TRIM('Real results'!C170))=UPPER(TRIM('Raw data'!W170))),1,0),0)</f>
        <v>0</v>
      </c>
      <c r="Y174" s="34">
        <f>IFERROR(IF(AND('Real results'!C170&lt;&gt;"",'Raw data'!Y170&lt;&gt;"",UPPER(TRIM('Real results'!C170))=UPPER(TRIM('Raw data'!Y170))),1,0),0)</f>
        <v>0</v>
      </c>
      <c r="AA174" s="34">
        <f>IFERROR(IF(AND('Real results'!C170&lt;&gt;"",'Raw data'!AA170&lt;&gt;"",UPPER(TRIM('Real results'!C170))=UPPER(TRIM('Raw data'!AA170))),1,0),0)</f>
        <v>0</v>
      </c>
      <c r="AC174" s="34">
        <f>IFERROR(IF(AND('Real results'!C170&lt;&gt;"",'Raw data'!AC170&lt;&gt;"",UPPER(TRIM('Real results'!C170))=UPPER(TRIM('Raw data'!AC170))),1,0),0)</f>
        <v>0</v>
      </c>
      <c r="AE174" s="34">
        <f>IFERROR(IF(AND('Real results'!C170&lt;&gt;"",'Raw data'!AE170&lt;&gt;"",UPPER(TRIM('Real results'!C170))=UPPER(TRIM('Raw data'!AE170))),1,0),0)</f>
        <v>0</v>
      </c>
      <c r="AG174" s="34">
        <f>IFERROR(IF(AND('Real results'!C170&lt;&gt;"",'Raw data'!AG170&lt;&gt;"",UPPER(TRIM('Real results'!C170))=UPPER(TRIM('Raw data'!AG170))),1,0),0)</f>
        <v>0</v>
      </c>
      <c r="AI174" s="34">
        <f>IFERROR(IF(AND('Real results'!C170&lt;&gt;"",'Raw data'!AI170&lt;&gt;"",UPPER(TRIM('Real results'!C170))=UPPER(TRIM('Raw data'!AI170))),1,0),0)</f>
        <v>0</v>
      </c>
      <c r="AK174" s="34">
        <f>IFERROR(IF(AND('Real results'!C170&lt;&gt;"",'Raw data'!AK170&lt;&gt;"",UPPER(TRIM('Real results'!C170))=UPPER(TRIM('Raw data'!AK170))),1,0),0)</f>
        <v>0</v>
      </c>
      <c r="AM174" s="34">
        <f>IFERROR(IF(AND('Real results'!C170&lt;&gt;"",'Raw data'!AM170&lt;&gt;"",UPPER(TRIM('Real results'!C170))=UPPER(TRIM('Raw data'!AM170))),1,0),0)</f>
        <v>0</v>
      </c>
      <c r="AO174" s="34">
        <f>IFERROR(IF(AND('Real results'!C170&lt;&gt;"",'Raw data'!AO170&lt;&gt;"",UPPER(TRIM('Real results'!C170))=UPPER(TRIM('Raw data'!AO170))),1,0),0)</f>
        <v>0</v>
      </c>
      <c r="AQ174" s="34">
        <f>IFERROR(IF(AND('Real results'!C170&lt;&gt;"",'Raw data'!AQ170&lt;&gt;"",UPPER(TRIM('Real results'!C170))=UPPER(TRIM('Raw data'!AQ170))),1,0),0)</f>
        <v>0</v>
      </c>
      <c r="AS174" s="34">
        <f>IFERROR(IF(AND('Real results'!C170&lt;&gt;"",'Raw data'!AS170&lt;&gt;"",UPPER(TRIM('Real results'!C170))=UPPER(TRIM('Raw data'!AS170))),1,0),0)</f>
        <v>0</v>
      </c>
      <c r="AU174" s="34">
        <f>IFERROR(IF(AND('Real results'!C170&lt;&gt;"",'Raw data'!AU170&lt;&gt;"",UPPER(TRIM('Real results'!C170))=UPPER(TRIM('Raw data'!AU170))),1,0),0)</f>
        <v>0</v>
      </c>
      <c r="AW174" s="34">
        <f>IFERROR(IF(AND('Real results'!C170&lt;&gt;"",'Raw data'!AW170&lt;&gt;"",UPPER(TRIM('Real results'!C170))=UPPER(TRIM('Raw data'!AW170))),1,0),0)</f>
        <v>0</v>
      </c>
      <c r="AY174" s="34">
        <f>IFERROR(IF(AND('Real results'!C170&lt;&gt;"",'Raw data'!AY170&lt;&gt;"",UPPER(TRIM('Real results'!C170))=UPPER(TRIM('Raw data'!AY170))),1,0),0)</f>
        <v>0</v>
      </c>
      <c r="BA174" s="34">
        <f>IFERROR(IF(AND('Real results'!C170&lt;&gt;"",'Raw data'!BA170&lt;&gt;"",UPPER(TRIM('Real results'!C170))=UPPER(TRIM('Raw data'!BA170))),1,0),0)</f>
        <v>0</v>
      </c>
      <c r="BC174" s="34">
        <f>IFERROR(IF(AND('Real results'!C170&lt;&gt;"",'Raw data'!BC170&lt;&gt;"",UPPER(TRIM('Real results'!C170))=UPPER(TRIM('Raw data'!BC170))),1,0),0)</f>
        <v>0</v>
      </c>
      <c r="BE174" s="34">
        <f>IFERROR(IF(AND('Real results'!C170&lt;&gt;"",'Raw data'!BE170&lt;&gt;"",UPPER(TRIM('Real results'!C170))=UPPER(TRIM('Raw data'!BE170))),1,0),0)</f>
        <v>0</v>
      </c>
      <c r="BG174" s="34">
        <f>IFERROR(IF(AND('Real results'!C170&lt;&gt;"",'Raw data'!BG170&lt;&gt;"",UPPER(TRIM('Real results'!C170))=UPPER(TRIM('Raw data'!BG170))),1,0),0)</f>
        <v>0</v>
      </c>
      <c r="BI174" s="34">
        <f>IFERROR(IF(AND('Real results'!C170&lt;&gt;"",'Raw data'!BI170&lt;&gt;"",UPPER(TRIM('Real results'!C170))=UPPER(TRIM('Raw data'!BI170))),1,0),0)</f>
        <v>0</v>
      </c>
    </row>
    <row r="175" ht="18.0" customHeight="1">
      <c r="B175" s="12" t="s">
        <v>431</v>
      </c>
      <c r="C175" s="34">
        <f>IFERROR(IF(AND(ISNUMBER('Real results'!C171),ISNUMBER('Real results'!D171),ISNUMBER('Raw data'!C171),ISNUMBER('Raw data'!D171)),IF(SIGN('Raw data'!C171-'Raw data'!D171)=SIGN('Real results'!C171-'Real results'!D171),3+IF(AND('Raw data'!C171='Real results'!C171,'Raw data'!D171='Real results'!D171),2,0),0),0),0)</f>
        <v>0</v>
      </c>
      <c r="E175" s="34">
        <f>IFERROR(IF(AND(ISNUMBER('Real results'!C171),ISNUMBER('Real results'!D171),ISNUMBER('Raw data'!E171),ISNUMBER('Raw data'!F171)),IF(SIGN('Raw data'!E171-'Raw data'!F171)=SIGN('Real results'!C171-'Real results'!D171),3+IF(AND('Raw data'!E171='Real results'!C171,'Raw data'!F171='Real results'!D171),2,0),0),0),0)</f>
        <v>0</v>
      </c>
      <c r="G175" s="34">
        <f>IFERROR(IF(AND(ISNUMBER('Real results'!C171),ISNUMBER('Real results'!D171),ISNUMBER('Raw data'!G171),ISNUMBER('Raw data'!H171)),IF(SIGN('Raw data'!G171-'Raw data'!H171)=SIGN('Real results'!C171-'Real results'!D171),3+IF(AND('Raw data'!G171='Real results'!C171,'Raw data'!H171='Real results'!D171),2,0),0),0),0)</f>
        <v>0</v>
      </c>
      <c r="I175" s="34">
        <f>IFERROR(IF(AND(ISNUMBER('Real results'!C171),ISNUMBER('Real results'!D171),ISNUMBER('Raw data'!I171),ISNUMBER('Raw data'!J171)),IF(SIGN('Raw data'!I171-'Raw data'!J171)=SIGN('Real results'!C171-'Real results'!D171),3+IF(AND('Raw data'!I171='Real results'!C171,'Raw data'!J171='Real results'!D171),2,0),0),0),0)</f>
        <v>0</v>
      </c>
      <c r="K175" s="34">
        <f>IFERROR(IF(AND(ISNUMBER('Real results'!C171),ISNUMBER('Real results'!D171),ISNUMBER('Raw data'!K171),ISNUMBER('Raw data'!L171)),IF(SIGN('Raw data'!K171-'Raw data'!L171)=SIGN('Real results'!C171-'Real results'!D171),3+IF(AND('Raw data'!K171='Real results'!C171,'Raw data'!L171='Real results'!D171),2,0),0),0),0)</f>
        <v>0</v>
      </c>
      <c r="M175" s="34">
        <f>IFERROR(IF(AND(ISNUMBER('Real results'!C171),ISNUMBER('Real results'!D171),ISNUMBER('Raw data'!M171),ISNUMBER('Raw data'!N171)),IF(SIGN('Raw data'!M171-'Raw data'!N171)=SIGN('Real results'!C171-'Real results'!D171),3+IF(AND('Raw data'!M171='Real results'!C171,'Raw data'!N171='Real results'!D171),2,0),0),0),0)</f>
        <v>0</v>
      </c>
      <c r="O175" s="34">
        <f>IFERROR(IF(AND(ISNUMBER('Real results'!C171),ISNUMBER('Real results'!D171),ISNUMBER('Raw data'!O171),ISNUMBER('Raw data'!P171)),IF(SIGN('Raw data'!O171-'Raw data'!P171)=SIGN('Real results'!C171-'Real results'!D171),3+IF(AND('Raw data'!O171='Real results'!C171,'Raw data'!P171='Real results'!D171),2,0),0),0),0)</f>
        <v>0</v>
      </c>
      <c r="Q175" s="34">
        <f>IFERROR(IF(AND(ISNUMBER('Real results'!C171),ISNUMBER('Real results'!D171),ISNUMBER('Raw data'!Q171),ISNUMBER('Raw data'!R171)),IF(SIGN('Raw data'!Q171-'Raw data'!R171)=SIGN('Real results'!C171-'Real results'!D171),3+IF(AND('Raw data'!Q171='Real results'!C171,'Raw data'!R171='Real results'!D171),2,0),0),0),0)</f>
        <v>0</v>
      </c>
      <c r="S175" s="34">
        <f>IFERROR(IF(AND(ISNUMBER('Real results'!C171),ISNUMBER('Real results'!D171),ISNUMBER('Raw data'!S171),ISNUMBER('Raw data'!T171)),IF(SIGN('Raw data'!S171-'Raw data'!T171)=SIGN('Real results'!C171-'Real results'!D171),3+IF(AND('Raw data'!S171='Real results'!C171,'Raw data'!T171='Real results'!D171),2,0),0),0),0)</f>
        <v>0</v>
      </c>
      <c r="U175" s="34">
        <f>IFERROR(IF(AND(ISNUMBER('Real results'!C171),ISNUMBER('Real results'!D171),ISNUMBER('Raw data'!U171),ISNUMBER('Raw data'!V171)),IF(SIGN('Raw data'!U171-'Raw data'!V171)=SIGN('Real results'!C171-'Real results'!D171),3+IF(AND('Raw data'!U171='Real results'!C171,'Raw data'!V171='Real results'!D171),2,0),0),0),0)</f>
        <v>0</v>
      </c>
      <c r="W175" s="34">
        <f>IFERROR(IF(AND(ISNUMBER('Real results'!C171),ISNUMBER('Real results'!D171),ISNUMBER('Raw data'!W171),ISNUMBER('Raw data'!X171)),IF(SIGN('Raw data'!W171-'Raw data'!X171)=SIGN('Real results'!C171-'Real results'!D171),3+IF(AND('Raw data'!W171='Real results'!C171,'Raw data'!X171='Real results'!D171),2,0),0),0),0)</f>
        <v>0</v>
      </c>
      <c r="Y175" s="34">
        <f>IFERROR(IF(AND(ISNUMBER('Real results'!C171),ISNUMBER('Real results'!D171),ISNUMBER('Raw data'!Y171),ISNUMBER('Raw data'!Z171)),IF(SIGN('Raw data'!Y171-'Raw data'!Z171)=SIGN('Real results'!C171-'Real results'!D171),3+IF(AND('Raw data'!Y171='Real results'!C171,'Raw data'!Z171='Real results'!D171),2,0),0),0),0)</f>
        <v>0</v>
      </c>
      <c r="AA175" s="34">
        <f>IFERROR(IF(AND(ISNUMBER('Real results'!C171),ISNUMBER('Real results'!D171),ISNUMBER('Raw data'!AA171),ISNUMBER('Raw data'!AB171)),IF(SIGN('Raw data'!AA171-'Raw data'!AB171)=SIGN('Real results'!C171-'Real results'!D171),3+IF(AND('Raw data'!AA171='Real results'!C171,'Raw data'!AB171='Real results'!D171),2,0),0),0),0)</f>
        <v>0</v>
      </c>
      <c r="AC175" s="34">
        <f>IFERROR(IF(AND(ISNUMBER('Real results'!C171),ISNUMBER('Real results'!D171),ISNUMBER('Raw data'!AC171),ISNUMBER('Raw data'!AD171)),IF(SIGN('Raw data'!AC171-'Raw data'!AD171)=SIGN('Real results'!C171-'Real results'!D171),3+IF(AND('Raw data'!AC171='Real results'!C171,'Raw data'!AD171='Real results'!D171),2,0),0),0),0)</f>
        <v>0</v>
      </c>
      <c r="AE175" s="34">
        <f>IFERROR(IF(AND(ISNUMBER('Real results'!C171),ISNUMBER('Real results'!D171),ISNUMBER('Raw data'!AE171),ISNUMBER('Raw data'!AF171)),IF(SIGN('Raw data'!AE171-'Raw data'!AF171)=SIGN('Real results'!C171-'Real results'!D171),3+IF(AND('Raw data'!AE171='Real results'!C171,'Raw data'!AF171='Real results'!D171),2,0),0),0),0)</f>
        <v>0</v>
      </c>
      <c r="AG175" s="34">
        <f>IFERROR(IF(AND(ISNUMBER('Real results'!C171),ISNUMBER('Real results'!D171),ISNUMBER('Raw data'!AG171),ISNUMBER('Raw data'!AH171)),IF(SIGN('Raw data'!AG171-'Raw data'!AH171)=SIGN('Real results'!C171-'Real results'!D171),3+IF(AND('Raw data'!AG171='Real results'!C171,'Raw data'!AH171='Real results'!D171),2,0),0),0),0)</f>
        <v>0</v>
      </c>
      <c r="AI175" s="34">
        <f>IFERROR(IF(AND(ISNUMBER('Real results'!C171),ISNUMBER('Real results'!D171),ISNUMBER('Raw data'!AI171),ISNUMBER('Raw data'!AJ171)),IF(SIGN('Raw data'!AI171-'Raw data'!AJ171)=SIGN('Real results'!C171-'Real results'!D171),3+IF(AND('Raw data'!AI171='Real results'!C171,'Raw data'!AJ171='Real results'!D171),2,0),0),0),0)</f>
        <v>0</v>
      </c>
      <c r="AK175" s="34">
        <f>IFERROR(IF(AND(ISNUMBER('Real results'!C171),ISNUMBER('Real results'!D171),ISNUMBER('Raw data'!AK171),ISNUMBER('Raw data'!AL171)),IF(SIGN('Raw data'!AK171-'Raw data'!AL171)=SIGN('Real results'!C171-'Real results'!D171),3+IF(AND('Raw data'!AK171='Real results'!C171,'Raw data'!AL171='Real results'!D171),2,0),0),0),0)</f>
        <v>0</v>
      </c>
      <c r="AM175" s="34">
        <f>IFERROR(IF(AND(ISNUMBER('Real results'!C171),ISNUMBER('Real results'!D171),ISNUMBER('Raw data'!AM171),ISNUMBER('Raw data'!AN171)),IF(SIGN('Raw data'!AM171-'Raw data'!AN171)=SIGN('Real results'!C171-'Real results'!D171),3+IF(AND('Raw data'!AM171='Real results'!C171,'Raw data'!AN171='Real results'!D171),2,0),0),0),0)</f>
        <v>0</v>
      </c>
      <c r="AO175" s="34">
        <f>IFERROR(IF(AND(ISNUMBER('Real results'!C171),ISNUMBER('Real results'!D171),ISNUMBER('Raw data'!AO171),ISNUMBER('Raw data'!AP171)),IF(SIGN('Raw data'!AO171-'Raw data'!AP171)=SIGN('Real results'!C171-'Real results'!D171),3+IF(AND('Raw data'!AO171='Real results'!C171,'Raw data'!AP171='Real results'!D171),2,0),0),0),0)</f>
        <v>0</v>
      </c>
      <c r="AQ175" s="34">
        <f>IFERROR(IF(AND(ISNUMBER('Real results'!C171),ISNUMBER('Real results'!D171),ISNUMBER('Raw data'!AQ171),ISNUMBER('Raw data'!AR171)),IF(SIGN('Raw data'!AQ171-'Raw data'!AR171)=SIGN('Real results'!C171-'Real results'!D171),3+IF(AND('Raw data'!AQ171='Real results'!C171,'Raw data'!AR171='Real results'!D171),2,0),0),0),0)</f>
        <v>0</v>
      </c>
      <c r="AS175" s="34">
        <f>IFERROR(IF(AND(ISNUMBER('Real results'!C171),ISNUMBER('Real results'!D171),ISNUMBER('Raw data'!AS171),ISNUMBER('Raw data'!AT171)),IF(SIGN('Raw data'!AS171-'Raw data'!AT171)=SIGN('Real results'!C171-'Real results'!D171),3+IF(AND('Raw data'!AS171='Real results'!C171,'Raw data'!AT171='Real results'!D171),2,0),0),0),0)</f>
        <v>0</v>
      </c>
      <c r="AU175" s="34">
        <f>IFERROR(IF(AND(ISNUMBER('Real results'!C171),ISNUMBER('Real results'!D171),ISNUMBER('Raw data'!AU171),ISNUMBER('Raw data'!AV171)),IF(SIGN('Raw data'!AU171-'Raw data'!AV171)=SIGN('Real results'!C171-'Real results'!D171),3+IF(AND('Raw data'!AU171='Real results'!C171,'Raw data'!AV171='Real results'!D171),2,0),0),0),0)</f>
        <v>0</v>
      </c>
      <c r="AW175" s="34">
        <f>IFERROR(IF(AND(ISNUMBER('Real results'!C171),ISNUMBER('Real results'!D171),ISNUMBER('Raw data'!AW171),ISNUMBER('Raw data'!AX171)),IF(SIGN('Raw data'!AW171-'Raw data'!AX171)=SIGN('Real results'!C171-'Real results'!D171),3+IF(AND('Raw data'!AW171='Real results'!C171,'Raw data'!AX171='Real results'!D171),2,0),0),0),0)</f>
        <v>0</v>
      </c>
      <c r="AY175" s="34">
        <f>IFERROR(IF(AND(ISNUMBER('Real results'!C171),ISNUMBER('Real results'!D171),ISNUMBER('Raw data'!AY171),ISNUMBER('Raw data'!AZ171)),IF(SIGN('Raw data'!AY171-'Raw data'!AZ171)=SIGN('Real results'!C171-'Real results'!D171),3+IF(AND('Raw data'!AY171='Real results'!C171,'Raw data'!AZ171='Real results'!D171),2,0),0),0),0)</f>
        <v>0</v>
      </c>
      <c r="BA175" s="34">
        <f>IFERROR(IF(AND(ISNUMBER('Real results'!C171),ISNUMBER('Real results'!D171),ISNUMBER('Raw data'!BA171),ISNUMBER('Raw data'!BB171)),IF(SIGN('Raw data'!BA171-'Raw data'!BB171)=SIGN('Real results'!C171-'Real results'!D171),3+IF(AND('Raw data'!BA171='Real results'!C171,'Raw data'!BB171='Real results'!D171),2,0),0),0),0)</f>
        <v>0</v>
      </c>
      <c r="BC175" s="34">
        <f>IFERROR(IF(AND(ISNUMBER('Real results'!C171),ISNUMBER('Real results'!D171),ISNUMBER('Raw data'!BC171),ISNUMBER('Raw data'!BD171)),IF(SIGN('Raw data'!BC171-'Raw data'!BD171)=SIGN('Real results'!C171-'Real results'!D171),3+IF(AND('Raw data'!BC171='Real results'!C171,'Raw data'!BD171='Real results'!D171),2,0),0),0),0)</f>
        <v>0</v>
      </c>
      <c r="BE175" s="34">
        <f>IFERROR(IF(AND(ISNUMBER('Real results'!C171),ISNUMBER('Real results'!D171),ISNUMBER('Raw data'!BE171),ISNUMBER('Raw data'!BF171)),IF(SIGN('Raw data'!BE171-'Raw data'!BF171)=SIGN('Real results'!C171-'Real results'!D171),3+IF(AND('Raw data'!BE171='Real results'!C171,'Raw data'!BF171='Real results'!D171),2,0),0),0),0)</f>
        <v>0</v>
      </c>
      <c r="BG175" s="34">
        <f>IFERROR(IF(AND(ISNUMBER('Real results'!C171),ISNUMBER('Real results'!D171),ISNUMBER('Raw data'!BG171),ISNUMBER('Raw data'!BH171)),IF(SIGN('Raw data'!BG171-'Raw data'!BH171)=SIGN('Real results'!C171-'Real results'!D171),3+IF(AND('Raw data'!BG171='Real results'!C171,'Raw data'!BH171='Real results'!D171),2,0),0),0),0)</f>
        <v>0</v>
      </c>
      <c r="BI175" s="34">
        <f>IFERROR(IF(AND(ISNUMBER('Real results'!C171),ISNUMBER('Real results'!D171),ISNUMBER('Raw data'!BI171),ISNUMBER('Raw data'!BJ171)),IF(SIGN('Raw data'!BI171-'Raw data'!BJ171)=SIGN('Real results'!C171-'Real results'!D171),3+IF(AND('Raw data'!BI171='Real results'!C171,'Raw data'!BJ171='Real results'!D171),2,0),0),0),0)</f>
        <v>0</v>
      </c>
    </row>
    <row r="176" ht="18.0" customHeight="1">
      <c r="B176" s="12" t="s">
        <v>432</v>
      </c>
      <c r="C176" s="34">
        <v>0.0</v>
      </c>
      <c r="E176" s="34">
        <v>0.0</v>
      </c>
      <c r="G176" s="34">
        <v>0.0</v>
      </c>
      <c r="I176" s="34">
        <v>0.0</v>
      </c>
      <c r="K176" s="34">
        <v>0.0</v>
      </c>
      <c r="M176" s="34">
        <v>0.0</v>
      </c>
      <c r="O176" s="34">
        <v>0.0</v>
      </c>
      <c r="Q176" s="34">
        <v>0.0</v>
      </c>
      <c r="S176" s="34">
        <v>0.0</v>
      </c>
      <c r="U176" s="34">
        <v>0.0</v>
      </c>
      <c r="W176" s="34">
        <v>0.0</v>
      </c>
      <c r="Y176" s="34">
        <v>0.0</v>
      </c>
      <c r="AA176" s="34">
        <v>0.0</v>
      </c>
      <c r="AC176" s="34">
        <v>0.0</v>
      </c>
      <c r="AE176" s="34">
        <v>0.0</v>
      </c>
      <c r="AG176" s="34">
        <v>0.0</v>
      </c>
      <c r="AI176" s="34">
        <v>0.0</v>
      </c>
      <c r="AK176" s="34">
        <v>0.0</v>
      </c>
      <c r="AM176" s="34">
        <v>0.0</v>
      </c>
      <c r="AO176" s="34">
        <v>0.0</v>
      </c>
      <c r="AQ176" s="34">
        <v>0.0</v>
      </c>
      <c r="AS176" s="34">
        <v>0.0</v>
      </c>
      <c r="AU176" s="34">
        <v>0.0</v>
      </c>
      <c r="AW176" s="34">
        <v>0.0</v>
      </c>
      <c r="AY176" s="34">
        <v>0.0</v>
      </c>
      <c r="BA176" s="34">
        <v>0.0</v>
      </c>
      <c r="BC176" s="34">
        <v>0.0</v>
      </c>
      <c r="BE176" s="34">
        <v>0.0</v>
      </c>
      <c r="BG176" s="34">
        <v>0.0</v>
      </c>
      <c r="BI176" s="34">
        <v>0.0</v>
      </c>
    </row>
    <row r="177" ht="18.0" customHeight="1">
      <c r="B177" s="12" t="s">
        <v>433</v>
      </c>
      <c r="C177" s="34">
        <f>IFERROR(IF(AND('Real results'!C173&lt;&gt;"",'Raw data'!C173&lt;&gt;"",UPPER(TRIM('Real results'!C173))=UPPER(TRIM('Raw data'!C173))),1,0),0)</f>
        <v>0</v>
      </c>
      <c r="E177" s="34">
        <f>IFERROR(IF(AND('Real results'!C173&lt;&gt;"",'Raw data'!E173&lt;&gt;"",UPPER(TRIM('Real results'!C173))=UPPER(TRIM('Raw data'!E173))),1,0),0)</f>
        <v>0</v>
      </c>
      <c r="G177" s="34">
        <f>IFERROR(IF(AND('Real results'!C173&lt;&gt;"",'Raw data'!G173&lt;&gt;"",UPPER(TRIM('Real results'!C173))=UPPER(TRIM('Raw data'!G173))),1,0),0)</f>
        <v>0</v>
      </c>
      <c r="I177" s="34">
        <f>IFERROR(IF(AND('Real results'!C173&lt;&gt;"",'Raw data'!I173&lt;&gt;"",UPPER(TRIM('Real results'!C173))=UPPER(TRIM('Raw data'!I173))),1,0),0)</f>
        <v>0</v>
      </c>
      <c r="K177" s="34">
        <f>IFERROR(IF(AND('Real results'!C173&lt;&gt;"",'Raw data'!K173&lt;&gt;"",UPPER(TRIM('Real results'!C173))=UPPER(TRIM('Raw data'!K173))),1,0),0)</f>
        <v>0</v>
      </c>
      <c r="M177" s="34">
        <f>IFERROR(IF(AND('Real results'!C173&lt;&gt;"",'Raw data'!M173&lt;&gt;"",UPPER(TRIM('Real results'!C173))=UPPER(TRIM('Raw data'!M173))),1,0),0)</f>
        <v>0</v>
      </c>
      <c r="O177" s="34">
        <f>IFERROR(IF(AND('Real results'!C173&lt;&gt;"",'Raw data'!O173&lt;&gt;"",UPPER(TRIM('Real results'!C173))=UPPER(TRIM('Raw data'!O173))),1,0),0)</f>
        <v>0</v>
      </c>
      <c r="Q177" s="34">
        <f>IFERROR(IF(AND('Real results'!C173&lt;&gt;"",'Raw data'!Q173&lt;&gt;"",UPPER(TRIM('Real results'!C173))=UPPER(TRIM('Raw data'!Q173))),1,0),0)</f>
        <v>0</v>
      </c>
      <c r="S177" s="34">
        <f>IFERROR(IF(AND('Real results'!C173&lt;&gt;"",'Raw data'!S173&lt;&gt;"",UPPER(TRIM('Real results'!C173))=UPPER(TRIM('Raw data'!S173))),1,0),0)</f>
        <v>0</v>
      </c>
      <c r="U177" s="34">
        <f>IFERROR(IF(AND('Real results'!C173&lt;&gt;"",'Raw data'!U173&lt;&gt;"",UPPER(TRIM('Real results'!C173))=UPPER(TRIM('Raw data'!U173))),1,0),0)</f>
        <v>0</v>
      </c>
      <c r="W177" s="34">
        <f>IFERROR(IF(AND('Real results'!C173&lt;&gt;"",'Raw data'!W173&lt;&gt;"",UPPER(TRIM('Real results'!C173))=UPPER(TRIM('Raw data'!W173))),1,0),0)</f>
        <v>0</v>
      </c>
      <c r="Y177" s="34">
        <f>IFERROR(IF(AND('Real results'!C173&lt;&gt;"",'Raw data'!Y173&lt;&gt;"",UPPER(TRIM('Real results'!C173))=UPPER(TRIM('Raw data'!Y173))),1,0),0)</f>
        <v>0</v>
      </c>
      <c r="AA177" s="34">
        <f>IFERROR(IF(AND('Real results'!C173&lt;&gt;"",'Raw data'!AA173&lt;&gt;"",UPPER(TRIM('Real results'!C173))=UPPER(TRIM('Raw data'!AA173))),1,0),0)</f>
        <v>0</v>
      </c>
      <c r="AC177" s="34">
        <f>IFERROR(IF(AND('Real results'!C173&lt;&gt;"",'Raw data'!AC173&lt;&gt;"",UPPER(TRIM('Real results'!C173))=UPPER(TRIM('Raw data'!AC173))),1,0),0)</f>
        <v>0</v>
      </c>
      <c r="AE177" s="34">
        <f>IFERROR(IF(AND('Real results'!C173&lt;&gt;"",'Raw data'!AE173&lt;&gt;"",UPPER(TRIM('Real results'!C173))=UPPER(TRIM('Raw data'!AE173))),1,0),0)</f>
        <v>0</v>
      </c>
      <c r="AG177" s="34">
        <f>IFERROR(IF(AND('Real results'!C173&lt;&gt;"",'Raw data'!AG173&lt;&gt;"",UPPER(TRIM('Real results'!C173))=UPPER(TRIM('Raw data'!AG173))),1,0),0)</f>
        <v>0</v>
      </c>
      <c r="AI177" s="34">
        <f>IFERROR(IF(AND('Real results'!C173&lt;&gt;"",'Raw data'!AI173&lt;&gt;"",UPPER(TRIM('Real results'!C173))=UPPER(TRIM('Raw data'!AI173))),1,0),0)</f>
        <v>0</v>
      </c>
      <c r="AK177" s="34">
        <f>IFERROR(IF(AND('Real results'!C173&lt;&gt;"",'Raw data'!AK173&lt;&gt;"",UPPER(TRIM('Real results'!C173))=UPPER(TRIM('Raw data'!AK173))),1,0),0)</f>
        <v>0</v>
      </c>
      <c r="AM177" s="34">
        <f>IFERROR(IF(AND('Real results'!C173&lt;&gt;"",'Raw data'!AM173&lt;&gt;"",UPPER(TRIM('Real results'!C173))=UPPER(TRIM('Raw data'!AM173))),1,0),0)</f>
        <v>0</v>
      </c>
      <c r="AO177" s="34">
        <f>IFERROR(IF(AND('Real results'!C173&lt;&gt;"",'Raw data'!AO173&lt;&gt;"",UPPER(TRIM('Real results'!C173))=UPPER(TRIM('Raw data'!AO173))),1,0),0)</f>
        <v>0</v>
      </c>
      <c r="AQ177" s="34">
        <f>IFERROR(IF(AND('Real results'!C173&lt;&gt;"",'Raw data'!AQ173&lt;&gt;"",UPPER(TRIM('Real results'!C173))=UPPER(TRIM('Raw data'!AQ173))),1,0),0)</f>
        <v>0</v>
      </c>
      <c r="AS177" s="34">
        <f>IFERROR(IF(AND('Real results'!C173&lt;&gt;"",'Raw data'!AS173&lt;&gt;"",UPPER(TRIM('Real results'!C173))=UPPER(TRIM('Raw data'!AS173))),1,0),0)</f>
        <v>0</v>
      </c>
      <c r="AU177" s="34">
        <f>IFERROR(IF(AND('Real results'!C173&lt;&gt;"",'Raw data'!AU173&lt;&gt;"",UPPER(TRIM('Real results'!C173))=UPPER(TRIM('Raw data'!AU173))),1,0),0)</f>
        <v>0</v>
      </c>
      <c r="AW177" s="34">
        <f>IFERROR(IF(AND('Real results'!C173&lt;&gt;"",'Raw data'!AW173&lt;&gt;"",UPPER(TRIM('Real results'!C173))=UPPER(TRIM('Raw data'!AW173))),1,0),0)</f>
        <v>0</v>
      </c>
      <c r="AY177" s="34">
        <f>IFERROR(IF(AND('Real results'!C173&lt;&gt;"",'Raw data'!AY173&lt;&gt;"",UPPER(TRIM('Real results'!C173))=UPPER(TRIM('Raw data'!AY173))),1,0),0)</f>
        <v>0</v>
      </c>
      <c r="BA177" s="34">
        <f>IFERROR(IF(AND('Real results'!C173&lt;&gt;"",'Raw data'!BA173&lt;&gt;"",UPPER(TRIM('Real results'!C173))=UPPER(TRIM('Raw data'!BA173))),1,0),0)</f>
        <v>0</v>
      </c>
      <c r="BC177" s="34">
        <f>IFERROR(IF(AND('Real results'!C173&lt;&gt;"",'Raw data'!BC173&lt;&gt;"",UPPER(TRIM('Real results'!C173))=UPPER(TRIM('Raw data'!BC173))),1,0),0)</f>
        <v>0</v>
      </c>
      <c r="BE177" s="34">
        <f>IFERROR(IF(AND('Real results'!C173&lt;&gt;"",'Raw data'!BE173&lt;&gt;"",UPPER(TRIM('Real results'!C173))=UPPER(TRIM('Raw data'!BE173))),1,0),0)</f>
        <v>0</v>
      </c>
      <c r="BG177" s="34">
        <f>IFERROR(IF(AND('Real results'!C173&lt;&gt;"",'Raw data'!BG173&lt;&gt;"",UPPER(TRIM('Real results'!C173))=UPPER(TRIM('Raw data'!BG173))),1,0),0)</f>
        <v>0</v>
      </c>
      <c r="BI177" s="34">
        <f>IFERROR(IF(AND('Real results'!C173&lt;&gt;"",'Raw data'!BI173&lt;&gt;"",UPPER(TRIM('Real results'!C173))=UPPER(TRIM('Raw data'!BI173))),1,0),0)</f>
        <v>0</v>
      </c>
    </row>
    <row r="178" ht="21.75" customHeight="1">
      <c r="B178" s="35" t="s">
        <v>434</v>
      </c>
      <c r="C178" s="36">
        <f>SUM(C130:C177)</f>
        <v>0</v>
      </c>
      <c r="E178" s="36">
        <f>SUM(E130:E177)</f>
        <v>0</v>
      </c>
      <c r="G178" s="36">
        <f>SUM(G130:G177)</f>
        <v>0</v>
      </c>
      <c r="I178" s="36">
        <f>SUM(I130:I177)</f>
        <v>0</v>
      </c>
      <c r="K178" s="36">
        <f>SUM(K130:K177)</f>
        <v>0</v>
      </c>
      <c r="M178" s="36">
        <f>SUM(M130:M177)</f>
        <v>0</v>
      </c>
      <c r="O178" s="36">
        <f>SUM(O130:O177)</f>
        <v>0</v>
      </c>
      <c r="Q178" s="36">
        <f>SUM(Q130:Q177)</f>
        <v>0</v>
      </c>
      <c r="S178" s="36">
        <f>SUM(S130:S177)</f>
        <v>0</v>
      </c>
      <c r="U178" s="36">
        <f>SUM(U130:U177)</f>
        <v>0</v>
      </c>
      <c r="W178" s="36">
        <f>SUM(W130:W177)</f>
        <v>0</v>
      </c>
      <c r="Y178" s="36">
        <f>SUM(Y130:Y177)</f>
        <v>0</v>
      </c>
      <c r="AA178" s="36">
        <f>SUM(AA130:AA177)</f>
        <v>0</v>
      </c>
      <c r="AC178" s="36">
        <f>SUM(AC130:AC177)</f>
        <v>0</v>
      </c>
      <c r="AE178" s="36">
        <f>SUM(AE130:AE177)</f>
        <v>0</v>
      </c>
      <c r="AG178" s="36">
        <f>SUM(AG130:AG177)</f>
        <v>0</v>
      </c>
      <c r="AI178" s="36">
        <f>SUM(AI130:AI177)</f>
        <v>0</v>
      </c>
      <c r="AK178" s="36">
        <f>SUM(AK130:AK177)</f>
        <v>0</v>
      </c>
      <c r="AM178" s="36">
        <f>SUM(AM130:AM177)</f>
        <v>0</v>
      </c>
      <c r="AO178" s="36">
        <f>SUM(AO130:AO177)</f>
        <v>0</v>
      </c>
      <c r="AQ178" s="36">
        <f>SUM(AQ130:AQ177)</f>
        <v>0</v>
      </c>
      <c r="AS178" s="36">
        <f>SUM(AS130:AS177)</f>
        <v>0</v>
      </c>
      <c r="AU178" s="36">
        <f>SUM(AU130:AU177)</f>
        <v>0</v>
      </c>
      <c r="AW178" s="36">
        <f>SUM(AW130:AW177)</f>
        <v>0</v>
      </c>
      <c r="AY178" s="36">
        <f>SUM(AY130:AY177)</f>
        <v>0</v>
      </c>
      <c r="BA178" s="36">
        <f>SUM(BA130:BA177)</f>
        <v>0</v>
      </c>
      <c r="BC178" s="36">
        <f>SUM(BC130:BC177)</f>
        <v>0</v>
      </c>
      <c r="BE178" s="36">
        <f>SUM(BE130:BE177)</f>
        <v>0</v>
      </c>
      <c r="BG178" s="36">
        <f>SUM(BG130:BG177)</f>
        <v>0</v>
      </c>
      <c r="BI178" s="36">
        <f>SUM(BI130:BI177)</f>
        <v>0</v>
      </c>
    </row>
    <row r="179" ht="19.5" customHeight="1">
      <c r="B179" s="33" t="s">
        <v>435</v>
      </c>
      <c r="C179" s="11"/>
      <c r="E179" s="11"/>
      <c r="G179" s="11"/>
      <c r="I179" s="11"/>
      <c r="K179" s="11"/>
      <c r="M179" s="11"/>
      <c r="O179" s="11"/>
      <c r="Q179" s="11"/>
      <c r="S179" s="11"/>
      <c r="U179" s="11"/>
      <c r="W179" s="11"/>
      <c r="Y179" s="11"/>
      <c r="AA179" s="11"/>
      <c r="AC179" s="11"/>
      <c r="AE179" s="11"/>
      <c r="AG179" s="11"/>
      <c r="AI179" s="11"/>
      <c r="AK179" s="11"/>
      <c r="AM179" s="11"/>
      <c r="AO179" s="11"/>
      <c r="AQ179" s="11"/>
      <c r="AS179" s="11"/>
      <c r="AU179" s="11"/>
      <c r="AW179" s="11"/>
      <c r="AY179" s="11"/>
      <c r="BA179" s="11"/>
      <c r="BC179" s="11"/>
      <c r="BE179" s="11"/>
      <c r="BG179" s="11"/>
      <c r="BI179" s="11"/>
    </row>
    <row r="180" ht="18.0" customHeight="1">
      <c r="B180" s="12" t="s">
        <v>436</v>
      </c>
      <c r="C180" s="34">
        <f>IFERROR(IF(AND(ISNUMBER('Real results'!C175),ISNUMBER('Real results'!D175),ISNUMBER('Raw data'!C175),ISNUMBER('Raw data'!D175)),IF(SIGN('Raw data'!C175-'Raw data'!D175)=SIGN('Real results'!C175-'Real results'!D175),3+IF(AND('Raw data'!C175='Real results'!C175,'Raw data'!D175='Real results'!D175),2,0),0),0),0)</f>
        <v>0</v>
      </c>
      <c r="E180" s="34">
        <f>IFERROR(IF(AND(ISNUMBER('Real results'!C175),ISNUMBER('Real results'!D175),ISNUMBER('Raw data'!E175),ISNUMBER('Raw data'!F175)),IF(SIGN('Raw data'!E175-'Raw data'!F175)=SIGN('Real results'!C175-'Real results'!D175),3+IF(AND('Raw data'!E175='Real results'!C175,'Raw data'!F175='Real results'!D175),2,0),0),0),0)</f>
        <v>0</v>
      </c>
      <c r="G180" s="34">
        <f>IFERROR(IF(AND(ISNUMBER('Real results'!C175),ISNUMBER('Real results'!D175),ISNUMBER('Raw data'!G175),ISNUMBER('Raw data'!H175)),IF(SIGN('Raw data'!G175-'Raw data'!H175)=SIGN('Real results'!C175-'Real results'!D175),3+IF(AND('Raw data'!G175='Real results'!C175,'Raw data'!H175='Real results'!D175),2,0),0),0),0)</f>
        <v>0</v>
      </c>
      <c r="I180" s="34">
        <f>IFERROR(IF(AND(ISNUMBER('Real results'!C175),ISNUMBER('Real results'!D175),ISNUMBER('Raw data'!I175),ISNUMBER('Raw data'!J175)),IF(SIGN('Raw data'!I175-'Raw data'!J175)=SIGN('Real results'!C175-'Real results'!D175),3+IF(AND('Raw data'!I175='Real results'!C175,'Raw data'!J175='Real results'!D175),2,0),0),0),0)</f>
        <v>0</v>
      </c>
      <c r="K180" s="34">
        <f>IFERROR(IF(AND(ISNUMBER('Real results'!C175),ISNUMBER('Real results'!D175),ISNUMBER('Raw data'!K175),ISNUMBER('Raw data'!L175)),IF(SIGN('Raw data'!K175-'Raw data'!L175)=SIGN('Real results'!C175-'Real results'!D175),3+IF(AND('Raw data'!K175='Real results'!C175,'Raw data'!L175='Real results'!D175),2,0),0),0),0)</f>
        <v>0</v>
      </c>
      <c r="M180" s="34">
        <f>IFERROR(IF(AND(ISNUMBER('Real results'!C175),ISNUMBER('Real results'!D175),ISNUMBER('Raw data'!M175),ISNUMBER('Raw data'!N175)),IF(SIGN('Raw data'!M175-'Raw data'!N175)=SIGN('Real results'!C175-'Real results'!D175),3+IF(AND('Raw data'!M175='Real results'!C175,'Raw data'!N175='Real results'!D175),2,0),0),0),0)</f>
        <v>0</v>
      </c>
      <c r="O180" s="34">
        <f>IFERROR(IF(AND(ISNUMBER('Real results'!C175),ISNUMBER('Real results'!D175),ISNUMBER('Raw data'!O175),ISNUMBER('Raw data'!P175)),IF(SIGN('Raw data'!O175-'Raw data'!P175)=SIGN('Real results'!C175-'Real results'!D175),3+IF(AND('Raw data'!O175='Real results'!C175,'Raw data'!P175='Real results'!D175),2,0),0),0),0)</f>
        <v>0</v>
      </c>
      <c r="Q180" s="34">
        <f>IFERROR(IF(AND(ISNUMBER('Real results'!C175),ISNUMBER('Real results'!D175),ISNUMBER('Raw data'!Q175),ISNUMBER('Raw data'!R175)),IF(SIGN('Raw data'!Q175-'Raw data'!R175)=SIGN('Real results'!C175-'Real results'!D175),3+IF(AND('Raw data'!Q175='Real results'!C175,'Raw data'!R175='Real results'!D175),2,0),0),0),0)</f>
        <v>0</v>
      </c>
      <c r="S180" s="34">
        <f>IFERROR(IF(AND(ISNUMBER('Real results'!C175),ISNUMBER('Real results'!D175),ISNUMBER('Raw data'!S175),ISNUMBER('Raw data'!T175)),IF(SIGN('Raw data'!S175-'Raw data'!T175)=SIGN('Real results'!C175-'Real results'!D175),3+IF(AND('Raw data'!S175='Real results'!C175,'Raw data'!T175='Real results'!D175),2,0),0),0),0)</f>
        <v>0</v>
      </c>
      <c r="U180" s="34">
        <f>IFERROR(IF(AND(ISNUMBER('Real results'!C175),ISNUMBER('Real results'!D175),ISNUMBER('Raw data'!U175),ISNUMBER('Raw data'!V175)),IF(SIGN('Raw data'!U175-'Raw data'!V175)=SIGN('Real results'!C175-'Real results'!D175),3+IF(AND('Raw data'!U175='Real results'!C175,'Raw data'!V175='Real results'!D175),2,0),0),0),0)</f>
        <v>0</v>
      </c>
      <c r="W180" s="34">
        <f>IFERROR(IF(AND(ISNUMBER('Real results'!C175),ISNUMBER('Real results'!D175),ISNUMBER('Raw data'!W175),ISNUMBER('Raw data'!X175)),IF(SIGN('Raw data'!W175-'Raw data'!X175)=SIGN('Real results'!C175-'Real results'!D175),3+IF(AND('Raw data'!W175='Real results'!C175,'Raw data'!X175='Real results'!D175),2,0),0),0),0)</f>
        <v>0</v>
      </c>
      <c r="Y180" s="34">
        <f>IFERROR(IF(AND(ISNUMBER('Real results'!C175),ISNUMBER('Real results'!D175),ISNUMBER('Raw data'!Y175),ISNUMBER('Raw data'!Z175)),IF(SIGN('Raw data'!Y175-'Raw data'!Z175)=SIGN('Real results'!C175-'Real results'!D175),3+IF(AND('Raw data'!Y175='Real results'!C175,'Raw data'!Z175='Real results'!D175),2,0),0),0),0)</f>
        <v>0</v>
      </c>
      <c r="AA180" s="34">
        <f>IFERROR(IF(AND(ISNUMBER('Real results'!C175),ISNUMBER('Real results'!D175),ISNUMBER('Raw data'!AA175),ISNUMBER('Raw data'!AB175)),IF(SIGN('Raw data'!AA175-'Raw data'!AB175)=SIGN('Real results'!C175-'Real results'!D175),3+IF(AND('Raw data'!AA175='Real results'!C175,'Raw data'!AB175='Real results'!D175),2,0),0),0),0)</f>
        <v>0</v>
      </c>
      <c r="AC180" s="34">
        <f>IFERROR(IF(AND(ISNUMBER('Real results'!C175),ISNUMBER('Real results'!D175),ISNUMBER('Raw data'!AC175),ISNUMBER('Raw data'!AD175)),IF(SIGN('Raw data'!AC175-'Raw data'!AD175)=SIGN('Real results'!C175-'Real results'!D175),3+IF(AND('Raw data'!AC175='Real results'!C175,'Raw data'!AD175='Real results'!D175),2,0),0),0),0)</f>
        <v>0</v>
      </c>
      <c r="AE180" s="34">
        <f>IFERROR(IF(AND(ISNUMBER('Real results'!C175),ISNUMBER('Real results'!D175),ISNUMBER('Raw data'!AE175),ISNUMBER('Raw data'!AF175)),IF(SIGN('Raw data'!AE175-'Raw data'!AF175)=SIGN('Real results'!C175-'Real results'!D175),3+IF(AND('Raw data'!AE175='Real results'!C175,'Raw data'!AF175='Real results'!D175),2,0),0),0),0)</f>
        <v>0</v>
      </c>
      <c r="AG180" s="34">
        <f>IFERROR(IF(AND(ISNUMBER('Real results'!C175),ISNUMBER('Real results'!D175),ISNUMBER('Raw data'!AG175),ISNUMBER('Raw data'!AH175)),IF(SIGN('Raw data'!AG175-'Raw data'!AH175)=SIGN('Real results'!C175-'Real results'!D175),3+IF(AND('Raw data'!AG175='Real results'!C175,'Raw data'!AH175='Real results'!D175),2,0),0),0),0)</f>
        <v>0</v>
      </c>
      <c r="AI180" s="34">
        <f>IFERROR(IF(AND(ISNUMBER('Real results'!C175),ISNUMBER('Real results'!D175),ISNUMBER('Raw data'!AI175),ISNUMBER('Raw data'!AJ175)),IF(SIGN('Raw data'!AI175-'Raw data'!AJ175)=SIGN('Real results'!C175-'Real results'!D175),3+IF(AND('Raw data'!AI175='Real results'!C175,'Raw data'!AJ175='Real results'!D175),2,0),0),0),0)</f>
        <v>0</v>
      </c>
      <c r="AK180" s="34">
        <f>IFERROR(IF(AND(ISNUMBER('Real results'!C175),ISNUMBER('Real results'!D175),ISNUMBER('Raw data'!AK175),ISNUMBER('Raw data'!AL175)),IF(SIGN('Raw data'!AK175-'Raw data'!AL175)=SIGN('Real results'!C175-'Real results'!D175),3+IF(AND('Raw data'!AK175='Real results'!C175,'Raw data'!AL175='Real results'!D175),2,0),0),0),0)</f>
        <v>0</v>
      </c>
      <c r="AM180" s="34">
        <f>IFERROR(IF(AND(ISNUMBER('Real results'!C175),ISNUMBER('Real results'!D175),ISNUMBER('Raw data'!AM175),ISNUMBER('Raw data'!AN175)),IF(SIGN('Raw data'!AM175-'Raw data'!AN175)=SIGN('Real results'!C175-'Real results'!D175),3+IF(AND('Raw data'!AM175='Real results'!C175,'Raw data'!AN175='Real results'!D175),2,0),0),0),0)</f>
        <v>0</v>
      </c>
      <c r="AO180" s="34">
        <f>IFERROR(IF(AND(ISNUMBER('Real results'!C175),ISNUMBER('Real results'!D175),ISNUMBER('Raw data'!AO175),ISNUMBER('Raw data'!AP175)),IF(SIGN('Raw data'!AO175-'Raw data'!AP175)=SIGN('Real results'!C175-'Real results'!D175),3+IF(AND('Raw data'!AO175='Real results'!C175,'Raw data'!AP175='Real results'!D175),2,0),0),0),0)</f>
        <v>0</v>
      </c>
      <c r="AQ180" s="34">
        <f>IFERROR(IF(AND(ISNUMBER('Real results'!C175),ISNUMBER('Real results'!D175),ISNUMBER('Raw data'!AQ175),ISNUMBER('Raw data'!AR175)),IF(SIGN('Raw data'!AQ175-'Raw data'!AR175)=SIGN('Real results'!C175-'Real results'!D175),3+IF(AND('Raw data'!AQ175='Real results'!C175,'Raw data'!AR175='Real results'!D175),2,0),0),0),0)</f>
        <v>0</v>
      </c>
      <c r="AS180" s="34">
        <f>IFERROR(IF(AND(ISNUMBER('Real results'!C175),ISNUMBER('Real results'!D175),ISNUMBER('Raw data'!AS175),ISNUMBER('Raw data'!AT175)),IF(SIGN('Raw data'!AS175-'Raw data'!AT175)=SIGN('Real results'!C175-'Real results'!D175),3+IF(AND('Raw data'!AS175='Real results'!C175,'Raw data'!AT175='Real results'!D175),2,0),0),0),0)</f>
        <v>0</v>
      </c>
      <c r="AU180" s="34">
        <f>IFERROR(IF(AND(ISNUMBER('Real results'!C175),ISNUMBER('Real results'!D175),ISNUMBER('Raw data'!AU175),ISNUMBER('Raw data'!AV175)),IF(SIGN('Raw data'!AU175-'Raw data'!AV175)=SIGN('Real results'!C175-'Real results'!D175),3+IF(AND('Raw data'!AU175='Real results'!C175,'Raw data'!AV175='Real results'!D175),2,0),0),0),0)</f>
        <v>0</v>
      </c>
      <c r="AW180" s="34">
        <f>IFERROR(IF(AND(ISNUMBER('Real results'!C175),ISNUMBER('Real results'!D175),ISNUMBER('Raw data'!AW175),ISNUMBER('Raw data'!AX175)),IF(SIGN('Raw data'!AW175-'Raw data'!AX175)=SIGN('Real results'!C175-'Real results'!D175),3+IF(AND('Raw data'!AW175='Real results'!C175,'Raw data'!AX175='Real results'!D175),2,0),0),0),0)</f>
        <v>0</v>
      </c>
      <c r="AY180" s="34">
        <f>IFERROR(IF(AND(ISNUMBER('Real results'!C175),ISNUMBER('Real results'!D175),ISNUMBER('Raw data'!AY175),ISNUMBER('Raw data'!AZ175)),IF(SIGN('Raw data'!AY175-'Raw data'!AZ175)=SIGN('Real results'!C175-'Real results'!D175),3+IF(AND('Raw data'!AY175='Real results'!C175,'Raw data'!AZ175='Real results'!D175),2,0),0),0),0)</f>
        <v>0</v>
      </c>
      <c r="BA180" s="34">
        <f>IFERROR(IF(AND(ISNUMBER('Real results'!C175),ISNUMBER('Real results'!D175),ISNUMBER('Raw data'!BA175),ISNUMBER('Raw data'!BB175)),IF(SIGN('Raw data'!BA175-'Raw data'!BB175)=SIGN('Real results'!C175-'Real results'!D175),3+IF(AND('Raw data'!BA175='Real results'!C175,'Raw data'!BB175='Real results'!D175),2,0),0),0),0)</f>
        <v>0</v>
      </c>
      <c r="BC180" s="34">
        <f>IFERROR(IF(AND(ISNUMBER('Real results'!C175),ISNUMBER('Real results'!D175),ISNUMBER('Raw data'!BC175),ISNUMBER('Raw data'!BD175)),IF(SIGN('Raw data'!BC175-'Raw data'!BD175)=SIGN('Real results'!C175-'Real results'!D175),3+IF(AND('Raw data'!BC175='Real results'!C175,'Raw data'!BD175='Real results'!D175),2,0),0),0),0)</f>
        <v>0</v>
      </c>
      <c r="BE180" s="34">
        <f>IFERROR(IF(AND(ISNUMBER('Real results'!C175),ISNUMBER('Real results'!D175),ISNUMBER('Raw data'!BE175),ISNUMBER('Raw data'!BF175)),IF(SIGN('Raw data'!BE175-'Raw data'!BF175)=SIGN('Real results'!C175-'Real results'!D175),3+IF(AND('Raw data'!BE175='Real results'!C175,'Raw data'!BF175='Real results'!D175),2,0),0),0),0)</f>
        <v>0</v>
      </c>
      <c r="BG180" s="34">
        <f>IFERROR(IF(AND(ISNUMBER('Real results'!C175),ISNUMBER('Real results'!D175),ISNUMBER('Raw data'!BG175),ISNUMBER('Raw data'!BH175)),IF(SIGN('Raw data'!BG175-'Raw data'!BH175)=SIGN('Real results'!C175-'Real results'!D175),3+IF(AND('Raw data'!BG175='Real results'!C175,'Raw data'!BH175='Real results'!D175),2,0),0),0),0)</f>
        <v>0</v>
      </c>
      <c r="BI180" s="34">
        <f>IFERROR(IF(AND(ISNUMBER('Real results'!C175),ISNUMBER('Real results'!D175),ISNUMBER('Raw data'!BI175),ISNUMBER('Raw data'!BJ175)),IF(SIGN('Raw data'!BI175-'Raw data'!BJ175)=SIGN('Real results'!C175-'Real results'!D175),3+IF(AND('Raw data'!BI175='Real results'!C175,'Raw data'!BJ175='Real results'!D175),2,0),0),0),0)</f>
        <v>0</v>
      </c>
    </row>
    <row r="181" ht="18.0" customHeight="1">
      <c r="B181" s="12" t="s">
        <v>437</v>
      </c>
      <c r="C181" s="34">
        <v>0.0</v>
      </c>
      <c r="E181" s="34">
        <v>0.0</v>
      </c>
      <c r="G181" s="34">
        <v>0.0</v>
      </c>
      <c r="I181" s="34">
        <v>0.0</v>
      </c>
      <c r="K181" s="34">
        <v>0.0</v>
      </c>
      <c r="M181" s="34">
        <v>0.0</v>
      </c>
      <c r="O181" s="34">
        <v>0.0</v>
      </c>
      <c r="Q181" s="34">
        <v>0.0</v>
      </c>
      <c r="S181" s="34">
        <v>0.0</v>
      </c>
      <c r="U181" s="34">
        <v>0.0</v>
      </c>
      <c r="W181" s="34">
        <v>0.0</v>
      </c>
      <c r="Y181" s="34">
        <v>0.0</v>
      </c>
      <c r="AA181" s="34">
        <v>0.0</v>
      </c>
      <c r="AC181" s="34">
        <v>0.0</v>
      </c>
      <c r="AE181" s="34">
        <v>0.0</v>
      </c>
      <c r="AG181" s="34">
        <v>0.0</v>
      </c>
      <c r="AI181" s="34">
        <v>0.0</v>
      </c>
      <c r="AK181" s="34">
        <v>0.0</v>
      </c>
      <c r="AM181" s="34">
        <v>0.0</v>
      </c>
      <c r="AO181" s="34">
        <v>0.0</v>
      </c>
      <c r="AQ181" s="34">
        <v>0.0</v>
      </c>
      <c r="AS181" s="34">
        <v>0.0</v>
      </c>
      <c r="AU181" s="34">
        <v>0.0</v>
      </c>
      <c r="AW181" s="34">
        <v>0.0</v>
      </c>
      <c r="AY181" s="34">
        <v>0.0</v>
      </c>
      <c r="BA181" s="34">
        <v>0.0</v>
      </c>
      <c r="BC181" s="34">
        <v>0.0</v>
      </c>
      <c r="BE181" s="34">
        <v>0.0</v>
      </c>
      <c r="BG181" s="34">
        <v>0.0</v>
      </c>
      <c r="BI181" s="34">
        <v>0.0</v>
      </c>
    </row>
    <row r="182" ht="18.0" customHeight="1">
      <c r="B182" s="12" t="s">
        <v>438</v>
      </c>
      <c r="C182" s="34">
        <f>IFERROR(IF(AND('Real results'!C177&lt;&gt;"",'Raw data'!C177&lt;&gt;"",UPPER(TRIM('Real results'!C177))=UPPER(TRIM('Raw data'!C177))),2,0),0)</f>
        <v>0</v>
      </c>
      <c r="E182" s="34">
        <f>IFERROR(IF(AND('Real results'!C177&lt;&gt;"",'Raw data'!E177&lt;&gt;"",UPPER(TRIM('Real results'!C177))=UPPER(TRIM('Raw data'!E177))),2,0),0)</f>
        <v>0</v>
      </c>
      <c r="G182" s="34">
        <f>IFERROR(IF(AND('Real results'!C177&lt;&gt;"",'Raw data'!G177&lt;&gt;"",UPPER(TRIM('Real results'!C177))=UPPER(TRIM('Raw data'!G177))),2,0),0)</f>
        <v>0</v>
      </c>
      <c r="I182" s="34">
        <f>IFERROR(IF(AND('Real results'!C177&lt;&gt;"",'Raw data'!I177&lt;&gt;"",UPPER(TRIM('Real results'!C177))=UPPER(TRIM('Raw data'!I177))),2,0),0)</f>
        <v>0</v>
      </c>
      <c r="K182" s="34">
        <f>IFERROR(IF(AND('Real results'!C177&lt;&gt;"",'Raw data'!K177&lt;&gt;"",UPPER(TRIM('Real results'!C177))=UPPER(TRIM('Raw data'!K177))),2,0),0)</f>
        <v>0</v>
      </c>
      <c r="M182" s="34">
        <f>IFERROR(IF(AND('Real results'!C177&lt;&gt;"",'Raw data'!M177&lt;&gt;"",UPPER(TRIM('Real results'!C177))=UPPER(TRIM('Raw data'!M177))),2,0),0)</f>
        <v>0</v>
      </c>
      <c r="O182" s="34">
        <f>IFERROR(IF(AND('Real results'!C177&lt;&gt;"",'Raw data'!O177&lt;&gt;"",UPPER(TRIM('Real results'!C177))=UPPER(TRIM('Raw data'!O177))),2,0),0)</f>
        <v>0</v>
      </c>
      <c r="Q182" s="34">
        <f>IFERROR(IF(AND('Real results'!C177&lt;&gt;"",'Raw data'!Q177&lt;&gt;"",UPPER(TRIM('Real results'!C177))=UPPER(TRIM('Raw data'!Q177))),2,0),0)</f>
        <v>0</v>
      </c>
      <c r="S182" s="34">
        <f>IFERROR(IF(AND('Real results'!C177&lt;&gt;"",'Raw data'!S177&lt;&gt;"",UPPER(TRIM('Real results'!C177))=UPPER(TRIM('Raw data'!S177))),2,0),0)</f>
        <v>0</v>
      </c>
      <c r="U182" s="34">
        <f>IFERROR(IF(AND('Real results'!C177&lt;&gt;"",'Raw data'!U177&lt;&gt;"",UPPER(TRIM('Real results'!C177))=UPPER(TRIM('Raw data'!U177))),2,0),0)</f>
        <v>0</v>
      </c>
      <c r="W182" s="34">
        <f>IFERROR(IF(AND('Real results'!C177&lt;&gt;"",'Raw data'!W177&lt;&gt;"",UPPER(TRIM('Real results'!C177))=UPPER(TRIM('Raw data'!W177))),2,0),0)</f>
        <v>0</v>
      </c>
      <c r="Y182" s="34">
        <f>IFERROR(IF(AND('Real results'!C177&lt;&gt;"",'Raw data'!Y177&lt;&gt;"",UPPER(TRIM('Real results'!C177))=UPPER(TRIM('Raw data'!Y177))),2,0),0)</f>
        <v>0</v>
      </c>
      <c r="AA182" s="34">
        <f>IFERROR(IF(AND('Real results'!C177&lt;&gt;"",'Raw data'!AA177&lt;&gt;"",UPPER(TRIM('Real results'!C177))=UPPER(TRIM('Raw data'!AA177))),2,0),0)</f>
        <v>0</v>
      </c>
      <c r="AC182" s="34">
        <f>IFERROR(IF(AND('Real results'!C177&lt;&gt;"",'Raw data'!AC177&lt;&gt;"",UPPER(TRIM('Real results'!C177))=UPPER(TRIM('Raw data'!AC177))),2,0),0)</f>
        <v>0</v>
      </c>
      <c r="AE182" s="34">
        <f>IFERROR(IF(AND('Real results'!C177&lt;&gt;"",'Raw data'!AE177&lt;&gt;"",UPPER(TRIM('Real results'!C177))=UPPER(TRIM('Raw data'!AE177))),2,0),0)</f>
        <v>0</v>
      </c>
      <c r="AG182" s="34">
        <f>IFERROR(IF(AND('Real results'!C177&lt;&gt;"",'Raw data'!AG177&lt;&gt;"",UPPER(TRIM('Real results'!C177))=UPPER(TRIM('Raw data'!AG177))),2,0),0)</f>
        <v>0</v>
      </c>
      <c r="AI182" s="34">
        <f>IFERROR(IF(AND('Real results'!C177&lt;&gt;"",'Raw data'!AI177&lt;&gt;"",UPPER(TRIM('Real results'!C177))=UPPER(TRIM('Raw data'!AI177))),2,0),0)</f>
        <v>0</v>
      </c>
      <c r="AK182" s="34">
        <f>IFERROR(IF(AND('Real results'!C177&lt;&gt;"",'Raw data'!AK177&lt;&gt;"",UPPER(TRIM('Real results'!C177))=UPPER(TRIM('Raw data'!AK177))),2,0),0)</f>
        <v>0</v>
      </c>
      <c r="AM182" s="34">
        <f>IFERROR(IF(AND('Real results'!C177&lt;&gt;"",'Raw data'!AM177&lt;&gt;"",UPPER(TRIM('Real results'!C177))=UPPER(TRIM('Raw data'!AM177))),2,0),0)</f>
        <v>0</v>
      </c>
      <c r="AO182" s="34">
        <f>IFERROR(IF(AND('Real results'!C177&lt;&gt;"",'Raw data'!AO177&lt;&gt;"",UPPER(TRIM('Real results'!C177))=UPPER(TRIM('Raw data'!AO177))),2,0),0)</f>
        <v>0</v>
      </c>
      <c r="AQ182" s="34">
        <f>IFERROR(IF(AND('Real results'!C177&lt;&gt;"",'Raw data'!AQ177&lt;&gt;"",UPPER(TRIM('Real results'!C177))=UPPER(TRIM('Raw data'!AQ177))),2,0),0)</f>
        <v>0</v>
      </c>
      <c r="AS182" s="34">
        <f>IFERROR(IF(AND('Real results'!C177&lt;&gt;"",'Raw data'!AS177&lt;&gt;"",UPPER(TRIM('Real results'!C177))=UPPER(TRIM('Raw data'!AS177))),2,0),0)</f>
        <v>0</v>
      </c>
      <c r="AU182" s="34">
        <f>IFERROR(IF(AND('Real results'!C177&lt;&gt;"",'Raw data'!AU177&lt;&gt;"",UPPER(TRIM('Real results'!C177))=UPPER(TRIM('Raw data'!AU177))),2,0),0)</f>
        <v>0</v>
      </c>
      <c r="AW182" s="34">
        <f>IFERROR(IF(AND('Real results'!C177&lt;&gt;"",'Raw data'!AW177&lt;&gt;"",UPPER(TRIM('Real results'!C177))=UPPER(TRIM('Raw data'!AW177))),2,0),0)</f>
        <v>0</v>
      </c>
      <c r="AY182" s="34">
        <f>IFERROR(IF(AND('Real results'!C177&lt;&gt;"",'Raw data'!AY177&lt;&gt;"",UPPER(TRIM('Real results'!C177))=UPPER(TRIM('Raw data'!AY177))),2,0),0)</f>
        <v>0</v>
      </c>
      <c r="BA182" s="34">
        <f>IFERROR(IF(AND('Real results'!C177&lt;&gt;"",'Raw data'!BA177&lt;&gt;"",UPPER(TRIM('Real results'!C177))=UPPER(TRIM('Raw data'!BA177))),2,0),0)</f>
        <v>0</v>
      </c>
      <c r="BC182" s="34">
        <f>IFERROR(IF(AND('Real results'!C177&lt;&gt;"",'Raw data'!BC177&lt;&gt;"",UPPER(TRIM('Real results'!C177))=UPPER(TRIM('Raw data'!BC177))),2,0),0)</f>
        <v>0</v>
      </c>
      <c r="BE182" s="34">
        <f>IFERROR(IF(AND('Real results'!C177&lt;&gt;"",'Raw data'!BE177&lt;&gt;"",UPPER(TRIM('Real results'!C177))=UPPER(TRIM('Raw data'!BE177))),2,0),0)</f>
        <v>0</v>
      </c>
      <c r="BG182" s="34">
        <f>IFERROR(IF(AND('Real results'!C177&lt;&gt;"",'Raw data'!BG177&lt;&gt;"",UPPER(TRIM('Real results'!C177))=UPPER(TRIM('Raw data'!BG177))),2,0),0)</f>
        <v>0</v>
      </c>
      <c r="BI182" s="34">
        <f>IFERROR(IF(AND('Real results'!C177&lt;&gt;"",'Raw data'!BI177&lt;&gt;"",UPPER(TRIM('Real results'!C177))=UPPER(TRIM('Raw data'!BI177))),2,0),0)</f>
        <v>0</v>
      </c>
    </row>
    <row r="183" ht="18.0" customHeight="1">
      <c r="B183" s="12" t="s">
        <v>439</v>
      </c>
      <c r="C183" s="34">
        <f>IFERROR(IF(AND(ISNUMBER('Real results'!C178),ISNUMBER('Real results'!D178),ISNUMBER('Raw data'!C178),ISNUMBER('Raw data'!D178)),IF(SIGN('Raw data'!C178-'Raw data'!D178)=SIGN('Real results'!C178-'Real results'!D178),3+IF(AND('Raw data'!C178='Real results'!C178,'Raw data'!D178='Real results'!D178),2,0),0),0),0)</f>
        <v>0</v>
      </c>
      <c r="E183" s="34">
        <f>IFERROR(IF(AND(ISNUMBER('Real results'!C178),ISNUMBER('Real results'!D178),ISNUMBER('Raw data'!E178),ISNUMBER('Raw data'!F178)),IF(SIGN('Raw data'!E178-'Raw data'!F178)=SIGN('Real results'!C178-'Real results'!D178),3+IF(AND('Raw data'!E178='Real results'!C178,'Raw data'!F178='Real results'!D178),2,0),0),0),0)</f>
        <v>0</v>
      </c>
      <c r="G183" s="34">
        <f>IFERROR(IF(AND(ISNUMBER('Real results'!C178),ISNUMBER('Real results'!D178),ISNUMBER('Raw data'!G178),ISNUMBER('Raw data'!H178)),IF(SIGN('Raw data'!G178-'Raw data'!H178)=SIGN('Real results'!C178-'Real results'!D178),3+IF(AND('Raw data'!G178='Real results'!C178,'Raw data'!H178='Real results'!D178),2,0),0),0),0)</f>
        <v>0</v>
      </c>
      <c r="I183" s="34">
        <f>IFERROR(IF(AND(ISNUMBER('Real results'!C178),ISNUMBER('Real results'!D178),ISNUMBER('Raw data'!I178),ISNUMBER('Raw data'!J178)),IF(SIGN('Raw data'!I178-'Raw data'!J178)=SIGN('Real results'!C178-'Real results'!D178),3+IF(AND('Raw data'!I178='Real results'!C178,'Raw data'!J178='Real results'!D178),2,0),0),0),0)</f>
        <v>0</v>
      </c>
      <c r="K183" s="34">
        <f>IFERROR(IF(AND(ISNUMBER('Real results'!C178),ISNUMBER('Real results'!D178),ISNUMBER('Raw data'!K178),ISNUMBER('Raw data'!L178)),IF(SIGN('Raw data'!K178-'Raw data'!L178)=SIGN('Real results'!C178-'Real results'!D178),3+IF(AND('Raw data'!K178='Real results'!C178,'Raw data'!L178='Real results'!D178),2,0),0),0),0)</f>
        <v>0</v>
      </c>
      <c r="M183" s="34">
        <f>IFERROR(IF(AND(ISNUMBER('Real results'!C178),ISNUMBER('Real results'!D178),ISNUMBER('Raw data'!M178),ISNUMBER('Raw data'!N178)),IF(SIGN('Raw data'!M178-'Raw data'!N178)=SIGN('Real results'!C178-'Real results'!D178),3+IF(AND('Raw data'!M178='Real results'!C178,'Raw data'!N178='Real results'!D178),2,0),0),0),0)</f>
        <v>0</v>
      </c>
      <c r="O183" s="34">
        <f>IFERROR(IF(AND(ISNUMBER('Real results'!C178),ISNUMBER('Real results'!D178),ISNUMBER('Raw data'!O178),ISNUMBER('Raw data'!P178)),IF(SIGN('Raw data'!O178-'Raw data'!P178)=SIGN('Real results'!C178-'Real results'!D178),3+IF(AND('Raw data'!O178='Real results'!C178,'Raw data'!P178='Real results'!D178),2,0),0),0),0)</f>
        <v>0</v>
      </c>
      <c r="Q183" s="34">
        <f>IFERROR(IF(AND(ISNUMBER('Real results'!C178),ISNUMBER('Real results'!D178),ISNUMBER('Raw data'!Q178),ISNUMBER('Raw data'!R178)),IF(SIGN('Raw data'!Q178-'Raw data'!R178)=SIGN('Real results'!C178-'Real results'!D178),3+IF(AND('Raw data'!Q178='Real results'!C178,'Raw data'!R178='Real results'!D178),2,0),0),0),0)</f>
        <v>0</v>
      </c>
      <c r="S183" s="34">
        <f>IFERROR(IF(AND(ISNUMBER('Real results'!C178),ISNUMBER('Real results'!D178),ISNUMBER('Raw data'!S178),ISNUMBER('Raw data'!T178)),IF(SIGN('Raw data'!S178-'Raw data'!T178)=SIGN('Real results'!C178-'Real results'!D178),3+IF(AND('Raw data'!S178='Real results'!C178,'Raw data'!T178='Real results'!D178),2,0),0),0),0)</f>
        <v>0</v>
      </c>
      <c r="U183" s="34">
        <f>IFERROR(IF(AND(ISNUMBER('Real results'!C178),ISNUMBER('Real results'!D178),ISNUMBER('Raw data'!U178),ISNUMBER('Raw data'!V178)),IF(SIGN('Raw data'!U178-'Raw data'!V178)=SIGN('Real results'!C178-'Real results'!D178),3+IF(AND('Raw data'!U178='Real results'!C178,'Raw data'!V178='Real results'!D178),2,0),0),0),0)</f>
        <v>0</v>
      </c>
      <c r="W183" s="34">
        <f>IFERROR(IF(AND(ISNUMBER('Real results'!C178),ISNUMBER('Real results'!D178),ISNUMBER('Raw data'!W178),ISNUMBER('Raw data'!X178)),IF(SIGN('Raw data'!W178-'Raw data'!X178)=SIGN('Real results'!C178-'Real results'!D178),3+IF(AND('Raw data'!W178='Real results'!C178,'Raw data'!X178='Real results'!D178),2,0),0),0),0)</f>
        <v>0</v>
      </c>
      <c r="Y183" s="34">
        <f>IFERROR(IF(AND(ISNUMBER('Real results'!C178),ISNUMBER('Real results'!D178),ISNUMBER('Raw data'!Y178),ISNUMBER('Raw data'!Z178)),IF(SIGN('Raw data'!Y178-'Raw data'!Z178)=SIGN('Real results'!C178-'Real results'!D178),3+IF(AND('Raw data'!Y178='Real results'!C178,'Raw data'!Z178='Real results'!D178),2,0),0),0),0)</f>
        <v>0</v>
      </c>
      <c r="AA183" s="34">
        <f>IFERROR(IF(AND(ISNUMBER('Real results'!C178),ISNUMBER('Real results'!D178),ISNUMBER('Raw data'!AA178),ISNUMBER('Raw data'!AB178)),IF(SIGN('Raw data'!AA178-'Raw data'!AB178)=SIGN('Real results'!C178-'Real results'!D178),3+IF(AND('Raw data'!AA178='Real results'!C178,'Raw data'!AB178='Real results'!D178),2,0),0),0),0)</f>
        <v>0</v>
      </c>
      <c r="AC183" s="34">
        <f>IFERROR(IF(AND(ISNUMBER('Real results'!C178),ISNUMBER('Real results'!D178),ISNUMBER('Raw data'!AC178),ISNUMBER('Raw data'!AD178)),IF(SIGN('Raw data'!AC178-'Raw data'!AD178)=SIGN('Real results'!C178-'Real results'!D178),3+IF(AND('Raw data'!AC178='Real results'!C178,'Raw data'!AD178='Real results'!D178),2,0),0),0),0)</f>
        <v>0</v>
      </c>
      <c r="AE183" s="34">
        <f>IFERROR(IF(AND(ISNUMBER('Real results'!C178),ISNUMBER('Real results'!D178),ISNUMBER('Raw data'!AE178),ISNUMBER('Raw data'!AF178)),IF(SIGN('Raw data'!AE178-'Raw data'!AF178)=SIGN('Real results'!C178-'Real results'!D178),3+IF(AND('Raw data'!AE178='Real results'!C178,'Raw data'!AF178='Real results'!D178),2,0),0),0),0)</f>
        <v>0</v>
      </c>
      <c r="AG183" s="34">
        <f>IFERROR(IF(AND(ISNUMBER('Real results'!C178),ISNUMBER('Real results'!D178),ISNUMBER('Raw data'!AG178),ISNUMBER('Raw data'!AH178)),IF(SIGN('Raw data'!AG178-'Raw data'!AH178)=SIGN('Real results'!C178-'Real results'!D178),3+IF(AND('Raw data'!AG178='Real results'!C178,'Raw data'!AH178='Real results'!D178),2,0),0),0),0)</f>
        <v>0</v>
      </c>
      <c r="AI183" s="34">
        <f>IFERROR(IF(AND(ISNUMBER('Real results'!C178),ISNUMBER('Real results'!D178),ISNUMBER('Raw data'!AI178),ISNUMBER('Raw data'!AJ178)),IF(SIGN('Raw data'!AI178-'Raw data'!AJ178)=SIGN('Real results'!C178-'Real results'!D178),3+IF(AND('Raw data'!AI178='Real results'!C178,'Raw data'!AJ178='Real results'!D178),2,0),0),0),0)</f>
        <v>0</v>
      </c>
      <c r="AK183" s="34">
        <f>IFERROR(IF(AND(ISNUMBER('Real results'!C178),ISNUMBER('Real results'!D178),ISNUMBER('Raw data'!AK178),ISNUMBER('Raw data'!AL178)),IF(SIGN('Raw data'!AK178-'Raw data'!AL178)=SIGN('Real results'!C178-'Real results'!D178),3+IF(AND('Raw data'!AK178='Real results'!C178,'Raw data'!AL178='Real results'!D178),2,0),0),0),0)</f>
        <v>0</v>
      </c>
      <c r="AM183" s="34">
        <f>IFERROR(IF(AND(ISNUMBER('Real results'!C178),ISNUMBER('Real results'!D178),ISNUMBER('Raw data'!AM178),ISNUMBER('Raw data'!AN178)),IF(SIGN('Raw data'!AM178-'Raw data'!AN178)=SIGN('Real results'!C178-'Real results'!D178),3+IF(AND('Raw data'!AM178='Real results'!C178,'Raw data'!AN178='Real results'!D178),2,0),0),0),0)</f>
        <v>0</v>
      </c>
      <c r="AO183" s="34">
        <f>IFERROR(IF(AND(ISNUMBER('Real results'!C178),ISNUMBER('Real results'!D178),ISNUMBER('Raw data'!AO178),ISNUMBER('Raw data'!AP178)),IF(SIGN('Raw data'!AO178-'Raw data'!AP178)=SIGN('Real results'!C178-'Real results'!D178),3+IF(AND('Raw data'!AO178='Real results'!C178,'Raw data'!AP178='Real results'!D178),2,0),0),0),0)</f>
        <v>0</v>
      </c>
      <c r="AQ183" s="34">
        <f>IFERROR(IF(AND(ISNUMBER('Real results'!C178),ISNUMBER('Real results'!D178),ISNUMBER('Raw data'!AQ178),ISNUMBER('Raw data'!AR178)),IF(SIGN('Raw data'!AQ178-'Raw data'!AR178)=SIGN('Real results'!C178-'Real results'!D178),3+IF(AND('Raw data'!AQ178='Real results'!C178,'Raw data'!AR178='Real results'!D178),2,0),0),0),0)</f>
        <v>0</v>
      </c>
      <c r="AS183" s="34">
        <f>IFERROR(IF(AND(ISNUMBER('Real results'!C178),ISNUMBER('Real results'!D178),ISNUMBER('Raw data'!AS178),ISNUMBER('Raw data'!AT178)),IF(SIGN('Raw data'!AS178-'Raw data'!AT178)=SIGN('Real results'!C178-'Real results'!D178),3+IF(AND('Raw data'!AS178='Real results'!C178,'Raw data'!AT178='Real results'!D178),2,0),0),0),0)</f>
        <v>0</v>
      </c>
      <c r="AU183" s="34">
        <f>IFERROR(IF(AND(ISNUMBER('Real results'!C178),ISNUMBER('Real results'!D178),ISNUMBER('Raw data'!AU178),ISNUMBER('Raw data'!AV178)),IF(SIGN('Raw data'!AU178-'Raw data'!AV178)=SIGN('Real results'!C178-'Real results'!D178),3+IF(AND('Raw data'!AU178='Real results'!C178,'Raw data'!AV178='Real results'!D178),2,0),0),0),0)</f>
        <v>0</v>
      </c>
      <c r="AW183" s="34">
        <f>IFERROR(IF(AND(ISNUMBER('Real results'!C178),ISNUMBER('Real results'!D178),ISNUMBER('Raw data'!AW178),ISNUMBER('Raw data'!AX178)),IF(SIGN('Raw data'!AW178-'Raw data'!AX178)=SIGN('Real results'!C178-'Real results'!D178),3+IF(AND('Raw data'!AW178='Real results'!C178,'Raw data'!AX178='Real results'!D178),2,0),0),0),0)</f>
        <v>0</v>
      </c>
      <c r="AY183" s="34">
        <f>IFERROR(IF(AND(ISNUMBER('Real results'!C178),ISNUMBER('Real results'!D178),ISNUMBER('Raw data'!AY178),ISNUMBER('Raw data'!AZ178)),IF(SIGN('Raw data'!AY178-'Raw data'!AZ178)=SIGN('Real results'!C178-'Real results'!D178),3+IF(AND('Raw data'!AY178='Real results'!C178,'Raw data'!AZ178='Real results'!D178),2,0),0),0),0)</f>
        <v>0</v>
      </c>
      <c r="BA183" s="34">
        <f>IFERROR(IF(AND(ISNUMBER('Real results'!C178),ISNUMBER('Real results'!D178),ISNUMBER('Raw data'!BA178),ISNUMBER('Raw data'!BB178)),IF(SIGN('Raw data'!BA178-'Raw data'!BB178)=SIGN('Real results'!C178-'Real results'!D178),3+IF(AND('Raw data'!BA178='Real results'!C178,'Raw data'!BB178='Real results'!D178),2,0),0),0),0)</f>
        <v>0</v>
      </c>
      <c r="BC183" s="34">
        <f>IFERROR(IF(AND(ISNUMBER('Real results'!C178),ISNUMBER('Real results'!D178),ISNUMBER('Raw data'!BC178),ISNUMBER('Raw data'!BD178)),IF(SIGN('Raw data'!BC178-'Raw data'!BD178)=SIGN('Real results'!C178-'Real results'!D178),3+IF(AND('Raw data'!BC178='Real results'!C178,'Raw data'!BD178='Real results'!D178),2,0),0),0),0)</f>
        <v>0</v>
      </c>
      <c r="BE183" s="34">
        <f>IFERROR(IF(AND(ISNUMBER('Real results'!C178),ISNUMBER('Real results'!D178),ISNUMBER('Raw data'!BE178),ISNUMBER('Raw data'!BF178)),IF(SIGN('Raw data'!BE178-'Raw data'!BF178)=SIGN('Real results'!C178-'Real results'!D178),3+IF(AND('Raw data'!BE178='Real results'!C178,'Raw data'!BF178='Real results'!D178),2,0),0),0),0)</f>
        <v>0</v>
      </c>
      <c r="BG183" s="34">
        <f>IFERROR(IF(AND(ISNUMBER('Real results'!C178),ISNUMBER('Real results'!D178),ISNUMBER('Raw data'!BG178),ISNUMBER('Raw data'!BH178)),IF(SIGN('Raw data'!BG178-'Raw data'!BH178)=SIGN('Real results'!C178-'Real results'!D178),3+IF(AND('Raw data'!BG178='Real results'!C178,'Raw data'!BH178='Real results'!D178),2,0),0),0),0)</f>
        <v>0</v>
      </c>
      <c r="BI183" s="34">
        <f>IFERROR(IF(AND(ISNUMBER('Real results'!C178),ISNUMBER('Real results'!D178),ISNUMBER('Raw data'!BI178),ISNUMBER('Raw data'!BJ178)),IF(SIGN('Raw data'!BI178-'Raw data'!BJ178)=SIGN('Real results'!C178-'Real results'!D178),3+IF(AND('Raw data'!BI178='Real results'!C178,'Raw data'!BJ178='Real results'!D178),2,0),0),0),0)</f>
        <v>0</v>
      </c>
    </row>
    <row r="184" ht="18.0" customHeight="1">
      <c r="B184" s="12" t="s">
        <v>440</v>
      </c>
      <c r="C184" s="34">
        <v>0.0</v>
      </c>
      <c r="E184" s="34">
        <v>0.0</v>
      </c>
      <c r="G184" s="34">
        <v>0.0</v>
      </c>
      <c r="I184" s="34">
        <v>0.0</v>
      </c>
      <c r="K184" s="34">
        <v>0.0</v>
      </c>
      <c r="M184" s="34">
        <v>0.0</v>
      </c>
      <c r="O184" s="34">
        <v>0.0</v>
      </c>
      <c r="Q184" s="34">
        <v>0.0</v>
      </c>
      <c r="S184" s="34">
        <v>0.0</v>
      </c>
      <c r="U184" s="34">
        <v>0.0</v>
      </c>
      <c r="W184" s="34">
        <v>0.0</v>
      </c>
      <c r="Y184" s="34">
        <v>0.0</v>
      </c>
      <c r="AA184" s="34">
        <v>0.0</v>
      </c>
      <c r="AC184" s="34">
        <v>0.0</v>
      </c>
      <c r="AE184" s="34">
        <v>0.0</v>
      </c>
      <c r="AG184" s="34">
        <v>0.0</v>
      </c>
      <c r="AI184" s="34">
        <v>0.0</v>
      </c>
      <c r="AK184" s="34">
        <v>0.0</v>
      </c>
      <c r="AM184" s="34">
        <v>0.0</v>
      </c>
      <c r="AO184" s="34">
        <v>0.0</v>
      </c>
      <c r="AQ184" s="34">
        <v>0.0</v>
      </c>
      <c r="AS184" s="34">
        <v>0.0</v>
      </c>
      <c r="AU184" s="34">
        <v>0.0</v>
      </c>
      <c r="AW184" s="34">
        <v>0.0</v>
      </c>
      <c r="AY184" s="34">
        <v>0.0</v>
      </c>
      <c r="BA184" s="34">
        <v>0.0</v>
      </c>
      <c r="BC184" s="34">
        <v>0.0</v>
      </c>
      <c r="BE184" s="34">
        <v>0.0</v>
      </c>
      <c r="BG184" s="34">
        <v>0.0</v>
      </c>
      <c r="BI184" s="34">
        <v>0.0</v>
      </c>
    </row>
    <row r="185" ht="18.0" customHeight="1">
      <c r="B185" s="12" t="s">
        <v>441</v>
      </c>
      <c r="C185" s="34">
        <f>IFERROR(IF(AND('Real results'!C180&lt;&gt;"",'Raw data'!C180&lt;&gt;"",UPPER(TRIM('Real results'!C180))=UPPER(TRIM('Raw data'!C180))),2,0),0)</f>
        <v>0</v>
      </c>
      <c r="E185" s="34">
        <f>IFERROR(IF(AND('Real results'!C180&lt;&gt;"",'Raw data'!E180&lt;&gt;"",UPPER(TRIM('Real results'!C180))=UPPER(TRIM('Raw data'!E180))),2,0),0)</f>
        <v>0</v>
      </c>
      <c r="G185" s="34">
        <f>IFERROR(IF(AND('Real results'!C180&lt;&gt;"",'Raw data'!G180&lt;&gt;"",UPPER(TRIM('Real results'!C180))=UPPER(TRIM('Raw data'!G180))),2,0),0)</f>
        <v>0</v>
      </c>
      <c r="I185" s="34">
        <f>IFERROR(IF(AND('Real results'!C180&lt;&gt;"",'Raw data'!I180&lt;&gt;"",UPPER(TRIM('Real results'!C180))=UPPER(TRIM('Raw data'!I180))),2,0),0)</f>
        <v>0</v>
      </c>
      <c r="K185" s="34">
        <f>IFERROR(IF(AND('Real results'!C180&lt;&gt;"",'Raw data'!K180&lt;&gt;"",UPPER(TRIM('Real results'!C180))=UPPER(TRIM('Raw data'!K180))),2,0),0)</f>
        <v>0</v>
      </c>
      <c r="M185" s="34">
        <f>IFERROR(IF(AND('Real results'!C180&lt;&gt;"",'Raw data'!M180&lt;&gt;"",UPPER(TRIM('Real results'!C180))=UPPER(TRIM('Raw data'!M180))),2,0),0)</f>
        <v>0</v>
      </c>
      <c r="O185" s="34">
        <f>IFERROR(IF(AND('Real results'!C180&lt;&gt;"",'Raw data'!O180&lt;&gt;"",UPPER(TRIM('Real results'!C180))=UPPER(TRIM('Raw data'!O180))),2,0),0)</f>
        <v>0</v>
      </c>
      <c r="Q185" s="34">
        <f>IFERROR(IF(AND('Real results'!C180&lt;&gt;"",'Raw data'!Q180&lt;&gt;"",UPPER(TRIM('Real results'!C180))=UPPER(TRIM('Raw data'!Q180))),2,0),0)</f>
        <v>0</v>
      </c>
      <c r="S185" s="34">
        <f>IFERROR(IF(AND('Real results'!C180&lt;&gt;"",'Raw data'!S180&lt;&gt;"",UPPER(TRIM('Real results'!C180))=UPPER(TRIM('Raw data'!S180))),2,0),0)</f>
        <v>0</v>
      </c>
      <c r="U185" s="34">
        <f>IFERROR(IF(AND('Real results'!C180&lt;&gt;"",'Raw data'!U180&lt;&gt;"",UPPER(TRIM('Real results'!C180))=UPPER(TRIM('Raw data'!U180))),2,0),0)</f>
        <v>0</v>
      </c>
      <c r="W185" s="34">
        <f>IFERROR(IF(AND('Real results'!C180&lt;&gt;"",'Raw data'!W180&lt;&gt;"",UPPER(TRIM('Real results'!C180))=UPPER(TRIM('Raw data'!W180))),2,0),0)</f>
        <v>0</v>
      </c>
      <c r="Y185" s="34">
        <f>IFERROR(IF(AND('Real results'!C180&lt;&gt;"",'Raw data'!Y180&lt;&gt;"",UPPER(TRIM('Real results'!C180))=UPPER(TRIM('Raw data'!Y180))),2,0),0)</f>
        <v>0</v>
      </c>
      <c r="AA185" s="34">
        <f>IFERROR(IF(AND('Real results'!C180&lt;&gt;"",'Raw data'!AA180&lt;&gt;"",UPPER(TRIM('Real results'!C180))=UPPER(TRIM('Raw data'!AA180))),2,0),0)</f>
        <v>0</v>
      </c>
      <c r="AC185" s="34">
        <f>IFERROR(IF(AND('Real results'!C180&lt;&gt;"",'Raw data'!AC180&lt;&gt;"",UPPER(TRIM('Real results'!C180))=UPPER(TRIM('Raw data'!AC180))),2,0),0)</f>
        <v>0</v>
      </c>
      <c r="AE185" s="34">
        <f>IFERROR(IF(AND('Real results'!C180&lt;&gt;"",'Raw data'!AE180&lt;&gt;"",UPPER(TRIM('Real results'!C180))=UPPER(TRIM('Raw data'!AE180))),2,0),0)</f>
        <v>0</v>
      </c>
      <c r="AG185" s="34">
        <f>IFERROR(IF(AND('Real results'!C180&lt;&gt;"",'Raw data'!AG180&lt;&gt;"",UPPER(TRIM('Real results'!C180))=UPPER(TRIM('Raw data'!AG180))),2,0),0)</f>
        <v>0</v>
      </c>
      <c r="AI185" s="34">
        <f>IFERROR(IF(AND('Real results'!C180&lt;&gt;"",'Raw data'!AI180&lt;&gt;"",UPPER(TRIM('Real results'!C180))=UPPER(TRIM('Raw data'!AI180))),2,0),0)</f>
        <v>0</v>
      </c>
      <c r="AK185" s="34">
        <f>IFERROR(IF(AND('Real results'!C180&lt;&gt;"",'Raw data'!AK180&lt;&gt;"",UPPER(TRIM('Real results'!C180))=UPPER(TRIM('Raw data'!AK180))),2,0),0)</f>
        <v>0</v>
      </c>
      <c r="AM185" s="34">
        <f>IFERROR(IF(AND('Real results'!C180&lt;&gt;"",'Raw data'!AM180&lt;&gt;"",UPPER(TRIM('Real results'!C180))=UPPER(TRIM('Raw data'!AM180))),2,0),0)</f>
        <v>0</v>
      </c>
      <c r="AO185" s="34">
        <f>IFERROR(IF(AND('Real results'!C180&lt;&gt;"",'Raw data'!AO180&lt;&gt;"",UPPER(TRIM('Real results'!C180))=UPPER(TRIM('Raw data'!AO180))),2,0),0)</f>
        <v>0</v>
      </c>
      <c r="AQ185" s="34">
        <f>IFERROR(IF(AND('Real results'!C180&lt;&gt;"",'Raw data'!AQ180&lt;&gt;"",UPPER(TRIM('Real results'!C180))=UPPER(TRIM('Raw data'!AQ180))),2,0),0)</f>
        <v>0</v>
      </c>
      <c r="AS185" s="34">
        <f>IFERROR(IF(AND('Real results'!C180&lt;&gt;"",'Raw data'!AS180&lt;&gt;"",UPPER(TRIM('Real results'!C180))=UPPER(TRIM('Raw data'!AS180))),2,0),0)</f>
        <v>0</v>
      </c>
      <c r="AU185" s="34">
        <f>IFERROR(IF(AND('Real results'!C180&lt;&gt;"",'Raw data'!AU180&lt;&gt;"",UPPER(TRIM('Real results'!C180))=UPPER(TRIM('Raw data'!AU180))),2,0),0)</f>
        <v>0</v>
      </c>
      <c r="AW185" s="34">
        <f>IFERROR(IF(AND('Real results'!C180&lt;&gt;"",'Raw data'!AW180&lt;&gt;"",UPPER(TRIM('Real results'!C180))=UPPER(TRIM('Raw data'!AW180))),2,0),0)</f>
        <v>0</v>
      </c>
      <c r="AY185" s="34">
        <f>IFERROR(IF(AND('Real results'!C180&lt;&gt;"",'Raw data'!AY180&lt;&gt;"",UPPER(TRIM('Real results'!C180))=UPPER(TRIM('Raw data'!AY180))),2,0),0)</f>
        <v>0</v>
      </c>
      <c r="BA185" s="34">
        <f>IFERROR(IF(AND('Real results'!C180&lt;&gt;"",'Raw data'!BA180&lt;&gt;"",UPPER(TRIM('Real results'!C180))=UPPER(TRIM('Raw data'!BA180))),2,0),0)</f>
        <v>0</v>
      </c>
      <c r="BC185" s="34">
        <f>IFERROR(IF(AND('Real results'!C180&lt;&gt;"",'Raw data'!BC180&lt;&gt;"",UPPER(TRIM('Real results'!C180))=UPPER(TRIM('Raw data'!BC180))),2,0),0)</f>
        <v>0</v>
      </c>
      <c r="BE185" s="34">
        <f>IFERROR(IF(AND('Real results'!C180&lt;&gt;"",'Raw data'!BE180&lt;&gt;"",UPPER(TRIM('Real results'!C180))=UPPER(TRIM('Raw data'!BE180))),2,0),0)</f>
        <v>0</v>
      </c>
      <c r="BG185" s="34">
        <f>IFERROR(IF(AND('Real results'!C180&lt;&gt;"",'Raw data'!BG180&lt;&gt;"",UPPER(TRIM('Real results'!C180))=UPPER(TRIM('Raw data'!BG180))),2,0),0)</f>
        <v>0</v>
      </c>
      <c r="BI185" s="34">
        <f>IFERROR(IF(AND('Real results'!C180&lt;&gt;"",'Raw data'!BI180&lt;&gt;"",UPPER(TRIM('Real results'!C180))=UPPER(TRIM('Raw data'!BI180))),2,0),0)</f>
        <v>0</v>
      </c>
    </row>
    <row r="186" ht="18.0" customHeight="1">
      <c r="B186" s="12" t="s">
        <v>442</v>
      </c>
      <c r="C186" s="34">
        <f>IFERROR(IF(AND(ISNUMBER('Real results'!C181),ISNUMBER('Real results'!D181),ISNUMBER('Raw data'!C181),ISNUMBER('Raw data'!D181)),IF(SIGN('Raw data'!C181-'Raw data'!D181)=SIGN('Real results'!C181-'Real results'!D181),3+IF(AND('Raw data'!C181='Real results'!C181,'Raw data'!D181='Real results'!D181),2,0),0),0),0)</f>
        <v>0</v>
      </c>
      <c r="E186" s="34">
        <f>IFERROR(IF(AND(ISNUMBER('Real results'!C181),ISNUMBER('Real results'!D181),ISNUMBER('Raw data'!E181),ISNUMBER('Raw data'!F181)),IF(SIGN('Raw data'!E181-'Raw data'!F181)=SIGN('Real results'!C181-'Real results'!D181),3+IF(AND('Raw data'!E181='Real results'!C181,'Raw data'!F181='Real results'!D181),2,0),0),0),0)</f>
        <v>0</v>
      </c>
      <c r="G186" s="34">
        <f>IFERROR(IF(AND(ISNUMBER('Real results'!C181),ISNUMBER('Real results'!D181),ISNUMBER('Raw data'!G181),ISNUMBER('Raw data'!H181)),IF(SIGN('Raw data'!G181-'Raw data'!H181)=SIGN('Real results'!C181-'Real results'!D181),3+IF(AND('Raw data'!G181='Real results'!C181,'Raw data'!H181='Real results'!D181),2,0),0),0),0)</f>
        <v>0</v>
      </c>
      <c r="I186" s="34">
        <f>IFERROR(IF(AND(ISNUMBER('Real results'!C181),ISNUMBER('Real results'!D181),ISNUMBER('Raw data'!I181),ISNUMBER('Raw data'!J181)),IF(SIGN('Raw data'!I181-'Raw data'!J181)=SIGN('Real results'!C181-'Real results'!D181),3+IF(AND('Raw data'!I181='Real results'!C181,'Raw data'!J181='Real results'!D181),2,0),0),0),0)</f>
        <v>0</v>
      </c>
      <c r="K186" s="34">
        <f>IFERROR(IF(AND(ISNUMBER('Real results'!C181),ISNUMBER('Real results'!D181),ISNUMBER('Raw data'!K181),ISNUMBER('Raw data'!L181)),IF(SIGN('Raw data'!K181-'Raw data'!L181)=SIGN('Real results'!C181-'Real results'!D181),3+IF(AND('Raw data'!K181='Real results'!C181,'Raw data'!L181='Real results'!D181),2,0),0),0),0)</f>
        <v>0</v>
      </c>
      <c r="M186" s="34">
        <f>IFERROR(IF(AND(ISNUMBER('Real results'!C181),ISNUMBER('Real results'!D181),ISNUMBER('Raw data'!M181),ISNUMBER('Raw data'!N181)),IF(SIGN('Raw data'!M181-'Raw data'!N181)=SIGN('Real results'!C181-'Real results'!D181),3+IF(AND('Raw data'!M181='Real results'!C181,'Raw data'!N181='Real results'!D181),2,0),0),0),0)</f>
        <v>0</v>
      </c>
      <c r="O186" s="34">
        <f>IFERROR(IF(AND(ISNUMBER('Real results'!C181),ISNUMBER('Real results'!D181),ISNUMBER('Raw data'!O181),ISNUMBER('Raw data'!P181)),IF(SIGN('Raw data'!O181-'Raw data'!P181)=SIGN('Real results'!C181-'Real results'!D181),3+IF(AND('Raw data'!O181='Real results'!C181,'Raw data'!P181='Real results'!D181),2,0),0),0),0)</f>
        <v>0</v>
      </c>
      <c r="Q186" s="34">
        <f>IFERROR(IF(AND(ISNUMBER('Real results'!C181),ISNUMBER('Real results'!D181),ISNUMBER('Raw data'!Q181),ISNUMBER('Raw data'!R181)),IF(SIGN('Raw data'!Q181-'Raw data'!R181)=SIGN('Real results'!C181-'Real results'!D181),3+IF(AND('Raw data'!Q181='Real results'!C181,'Raw data'!R181='Real results'!D181),2,0),0),0),0)</f>
        <v>0</v>
      </c>
      <c r="S186" s="34">
        <f>IFERROR(IF(AND(ISNUMBER('Real results'!C181),ISNUMBER('Real results'!D181),ISNUMBER('Raw data'!S181),ISNUMBER('Raw data'!T181)),IF(SIGN('Raw data'!S181-'Raw data'!T181)=SIGN('Real results'!C181-'Real results'!D181),3+IF(AND('Raw data'!S181='Real results'!C181,'Raw data'!T181='Real results'!D181),2,0),0),0),0)</f>
        <v>0</v>
      </c>
      <c r="U186" s="34">
        <f>IFERROR(IF(AND(ISNUMBER('Real results'!C181),ISNUMBER('Real results'!D181),ISNUMBER('Raw data'!U181),ISNUMBER('Raw data'!V181)),IF(SIGN('Raw data'!U181-'Raw data'!V181)=SIGN('Real results'!C181-'Real results'!D181),3+IF(AND('Raw data'!U181='Real results'!C181,'Raw data'!V181='Real results'!D181),2,0),0),0),0)</f>
        <v>0</v>
      </c>
      <c r="W186" s="34">
        <f>IFERROR(IF(AND(ISNUMBER('Real results'!C181),ISNUMBER('Real results'!D181),ISNUMBER('Raw data'!W181),ISNUMBER('Raw data'!X181)),IF(SIGN('Raw data'!W181-'Raw data'!X181)=SIGN('Real results'!C181-'Real results'!D181),3+IF(AND('Raw data'!W181='Real results'!C181,'Raw data'!X181='Real results'!D181),2,0),0),0),0)</f>
        <v>0</v>
      </c>
      <c r="Y186" s="34">
        <f>IFERROR(IF(AND(ISNUMBER('Real results'!C181),ISNUMBER('Real results'!D181),ISNUMBER('Raw data'!Y181),ISNUMBER('Raw data'!Z181)),IF(SIGN('Raw data'!Y181-'Raw data'!Z181)=SIGN('Real results'!C181-'Real results'!D181),3+IF(AND('Raw data'!Y181='Real results'!C181,'Raw data'!Z181='Real results'!D181),2,0),0),0),0)</f>
        <v>0</v>
      </c>
      <c r="AA186" s="34">
        <f>IFERROR(IF(AND(ISNUMBER('Real results'!C181),ISNUMBER('Real results'!D181),ISNUMBER('Raw data'!AA181),ISNUMBER('Raw data'!AB181)),IF(SIGN('Raw data'!AA181-'Raw data'!AB181)=SIGN('Real results'!C181-'Real results'!D181),3+IF(AND('Raw data'!AA181='Real results'!C181,'Raw data'!AB181='Real results'!D181),2,0),0),0),0)</f>
        <v>0</v>
      </c>
      <c r="AC186" s="34">
        <f>IFERROR(IF(AND(ISNUMBER('Real results'!C181),ISNUMBER('Real results'!D181),ISNUMBER('Raw data'!AC181),ISNUMBER('Raw data'!AD181)),IF(SIGN('Raw data'!AC181-'Raw data'!AD181)=SIGN('Real results'!C181-'Real results'!D181),3+IF(AND('Raw data'!AC181='Real results'!C181,'Raw data'!AD181='Real results'!D181),2,0),0),0),0)</f>
        <v>0</v>
      </c>
      <c r="AE186" s="34">
        <f>IFERROR(IF(AND(ISNUMBER('Real results'!C181),ISNUMBER('Real results'!D181),ISNUMBER('Raw data'!AE181),ISNUMBER('Raw data'!AF181)),IF(SIGN('Raw data'!AE181-'Raw data'!AF181)=SIGN('Real results'!C181-'Real results'!D181),3+IF(AND('Raw data'!AE181='Real results'!C181,'Raw data'!AF181='Real results'!D181),2,0),0),0),0)</f>
        <v>0</v>
      </c>
      <c r="AG186" s="34">
        <f>IFERROR(IF(AND(ISNUMBER('Real results'!C181),ISNUMBER('Real results'!D181),ISNUMBER('Raw data'!AG181),ISNUMBER('Raw data'!AH181)),IF(SIGN('Raw data'!AG181-'Raw data'!AH181)=SIGN('Real results'!C181-'Real results'!D181),3+IF(AND('Raw data'!AG181='Real results'!C181,'Raw data'!AH181='Real results'!D181),2,0),0),0),0)</f>
        <v>0</v>
      </c>
      <c r="AI186" s="34">
        <f>IFERROR(IF(AND(ISNUMBER('Real results'!C181),ISNUMBER('Real results'!D181),ISNUMBER('Raw data'!AI181),ISNUMBER('Raw data'!AJ181)),IF(SIGN('Raw data'!AI181-'Raw data'!AJ181)=SIGN('Real results'!C181-'Real results'!D181),3+IF(AND('Raw data'!AI181='Real results'!C181,'Raw data'!AJ181='Real results'!D181),2,0),0),0),0)</f>
        <v>0</v>
      </c>
      <c r="AK186" s="34">
        <f>IFERROR(IF(AND(ISNUMBER('Real results'!C181),ISNUMBER('Real results'!D181),ISNUMBER('Raw data'!AK181),ISNUMBER('Raw data'!AL181)),IF(SIGN('Raw data'!AK181-'Raw data'!AL181)=SIGN('Real results'!C181-'Real results'!D181),3+IF(AND('Raw data'!AK181='Real results'!C181,'Raw data'!AL181='Real results'!D181),2,0),0),0),0)</f>
        <v>0</v>
      </c>
      <c r="AM186" s="34">
        <f>IFERROR(IF(AND(ISNUMBER('Real results'!C181),ISNUMBER('Real results'!D181),ISNUMBER('Raw data'!AM181),ISNUMBER('Raw data'!AN181)),IF(SIGN('Raw data'!AM181-'Raw data'!AN181)=SIGN('Real results'!C181-'Real results'!D181),3+IF(AND('Raw data'!AM181='Real results'!C181,'Raw data'!AN181='Real results'!D181),2,0),0),0),0)</f>
        <v>0</v>
      </c>
      <c r="AO186" s="34">
        <f>IFERROR(IF(AND(ISNUMBER('Real results'!C181),ISNUMBER('Real results'!D181),ISNUMBER('Raw data'!AO181),ISNUMBER('Raw data'!AP181)),IF(SIGN('Raw data'!AO181-'Raw data'!AP181)=SIGN('Real results'!C181-'Real results'!D181),3+IF(AND('Raw data'!AO181='Real results'!C181,'Raw data'!AP181='Real results'!D181),2,0),0),0),0)</f>
        <v>0</v>
      </c>
      <c r="AQ186" s="34">
        <f>IFERROR(IF(AND(ISNUMBER('Real results'!C181),ISNUMBER('Real results'!D181),ISNUMBER('Raw data'!AQ181),ISNUMBER('Raw data'!AR181)),IF(SIGN('Raw data'!AQ181-'Raw data'!AR181)=SIGN('Real results'!C181-'Real results'!D181),3+IF(AND('Raw data'!AQ181='Real results'!C181,'Raw data'!AR181='Real results'!D181),2,0),0),0),0)</f>
        <v>0</v>
      </c>
      <c r="AS186" s="34">
        <f>IFERROR(IF(AND(ISNUMBER('Real results'!C181),ISNUMBER('Real results'!D181),ISNUMBER('Raw data'!AS181),ISNUMBER('Raw data'!AT181)),IF(SIGN('Raw data'!AS181-'Raw data'!AT181)=SIGN('Real results'!C181-'Real results'!D181),3+IF(AND('Raw data'!AS181='Real results'!C181,'Raw data'!AT181='Real results'!D181),2,0),0),0),0)</f>
        <v>0</v>
      </c>
      <c r="AU186" s="34">
        <f>IFERROR(IF(AND(ISNUMBER('Real results'!C181),ISNUMBER('Real results'!D181),ISNUMBER('Raw data'!AU181),ISNUMBER('Raw data'!AV181)),IF(SIGN('Raw data'!AU181-'Raw data'!AV181)=SIGN('Real results'!C181-'Real results'!D181),3+IF(AND('Raw data'!AU181='Real results'!C181,'Raw data'!AV181='Real results'!D181),2,0),0),0),0)</f>
        <v>0</v>
      </c>
      <c r="AW186" s="34">
        <f>IFERROR(IF(AND(ISNUMBER('Real results'!C181),ISNUMBER('Real results'!D181),ISNUMBER('Raw data'!AW181),ISNUMBER('Raw data'!AX181)),IF(SIGN('Raw data'!AW181-'Raw data'!AX181)=SIGN('Real results'!C181-'Real results'!D181),3+IF(AND('Raw data'!AW181='Real results'!C181,'Raw data'!AX181='Real results'!D181),2,0),0),0),0)</f>
        <v>0</v>
      </c>
      <c r="AY186" s="34">
        <f>IFERROR(IF(AND(ISNUMBER('Real results'!C181),ISNUMBER('Real results'!D181),ISNUMBER('Raw data'!AY181),ISNUMBER('Raw data'!AZ181)),IF(SIGN('Raw data'!AY181-'Raw data'!AZ181)=SIGN('Real results'!C181-'Real results'!D181),3+IF(AND('Raw data'!AY181='Real results'!C181,'Raw data'!AZ181='Real results'!D181),2,0),0),0),0)</f>
        <v>0</v>
      </c>
      <c r="BA186" s="34">
        <f>IFERROR(IF(AND(ISNUMBER('Real results'!C181),ISNUMBER('Real results'!D181),ISNUMBER('Raw data'!BA181),ISNUMBER('Raw data'!BB181)),IF(SIGN('Raw data'!BA181-'Raw data'!BB181)=SIGN('Real results'!C181-'Real results'!D181),3+IF(AND('Raw data'!BA181='Real results'!C181,'Raw data'!BB181='Real results'!D181),2,0),0),0),0)</f>
        <v>0</v>
      </c>
      <c r="BC186" s="34">
        <f>IFERROR(IF(AND(ISNUMBER('Real results'!C181),ISNUMBER('Real results'!D181),ISNUMBER('Raw data'!BC181),ISNUMBER('Raw data'!BD181)),IF(SIGN('Raw data'!BC181-'Raw data'!BD181)=SIGN('Real results'!C181-'Real results'!D181),3+IF(AND('Raw data'!BC181='Real results'!C181,'Raw data'!BD181='Real results'!D181),2,0),0),0),0)</f>
        <v>0</v>
      </c>
      <c r="BE186" s="34">
        <f>IFERROR(IF(AND(ISNUMBER('Real results'!C181),ISNUMBER('Real results'!D181),ISNUMBER('Raw data'!BE181),ISNUMBER('Raw data'!BF181)),IF(SIGN('Raw data'!BE181-'Raw data'!BF181)=SIGN('Real results'!C181-'Real results'!D181),3+IF(AND('Raw data'!BE181='Real results'!C181,'Raw data'!BF181='Real results'!D181),2,0),0),0),0)</f>
        <v>0</v>
      </c>
      <c r="BG186" s="34">
        <f>IFERROR(IF(AND(ISNUMBER('Real results'!C181),ISNUMBER('Real results'!D181),ISNUMBER('Raw data'!BG181),ISNUMBER('Raw data'!BH181)),IF(SIGN('Raw data'!BG181-'Raw data'!BH181)=SIGN('Real results'!C181-'Real results'!D181),3+IF(AND('Raw data'!BG181='Real results'!C181,'Raw data'!BH181='Real results'!D181),2,0),0),0),0)</f>
        <v>0</v>
      </c>
      <c r="BI186" s="34">
        <f>IFERROR(IF(AND(ISNUMBER('Real results'!C181),ISNUMBER('Real results'!D181),ISNUMBER('Raw data'!BI181),ISNUMBER('Raw data'!BJ181)),IF(SIGN('Raw data'!BI181-'Raw data'!BJ181)=SIGN('Real results'!C181-'Real results'!D181),3+IF(AND('Raw data'!BI181='Real results'!C181,'Raw data'!BJ181='Real results'!D181),2,0),0),0),0)</f>
        <v>0</v>
      </c>
    </row>
    <row r="187" ht="18.0" customHeight="1">
      <c r="B187" s="12" t="s">
        <v>443</v>
      </c>
      <c r="C187" s="34">
        <v>0.0</v>
      </c>
      <c r="E187" s="34">
        <v>0.0</v>
      </c>
      <c r="G187" s="34">
        <v>0.0</v>
      </c>
      <c r="I187" s="34">
        <v>0.0</v>
      </c>
      <c r="K187" s="34">
        <v>0.0</v>
      </c>
      <c r="M187" s="34">
        <v>0.0</v>
      </c>
      <c r="O187" s="34">
        <v>0.0</v>
      </c>
      <c r="Q187" s="34">
        <v>0.0</v>
      </c>
      <c r="S187" s="34">
        <v>0.0</v>
      </c>
      <c r="U187" s="34">
        <v>0.0</v>
      </c>
      <c r="W187" s="34">
        <v>0.0</v>
      </c>
      <c r="Y187" s="34">
        <v>0.0</v>
      </c>
      <c r="AA187" s="34">
        <v>0.0</v>
      </c>
      <c r="AC187" s="34">
        <v>0.0</v>
      </c>
      <c r="AE187" s="34">
        <v>0.0</v>
      </c>
      <c r="AG187" s="34">
        <v>0.0</v>
      </c>
      <c r="AI187" s="34">
        <v>0.0</v>
      </c>
      <c r="AK187" s="34">
        <v>0.0</v>
      </c>
      <c r="AM187" s="34">
        <v>0.0</v>
      </c>
      <c r="AO187" s="34">
        <v>0.0</v>
      </c>
      <c r="AQ187" s="34">
        <v>0.0</v>
      </c>
      <c r="AS187" s="34">
        <v>0.0</v>
      </c>
      <c r="AU187" s="34">
        <v>0.0</v>
      </c>
      <c r="AW187" s="34">
        <v>0.0</v>
      </c>
      <c r="AY187" s="34">
        <v>0.0</v>
      </c>
      <c r="BA187" s="34">
        <v>0.0</v>
      </c>
      <c r="BC187" s="34">
        <v>0.0</v>
      </c>
      <c r="BE187" s="34">
        <v>0.0</v>
      </c>
      <c r="BG187" s="34">
        <v>0.0</v>
      </c>
      <c r="BI187" s="34">
        <v>0.0</v>
      </c>
    </row>
    <row r="188" ht="18.0" customHeight="1">
      <c r="B188" s="12" t="s">
        <v>444</v>
      </c>
      <c r="C188" s="34">
        <f>IFERROR(IF(AND('Real results'!C183&lt;&gt;"",'Raw data'!C183&lt;&gt;"",UPPER(TRIM('Real results'!C183))=UPPER(TRIM('Raw data'!C183))),2,0),0)</f>
        <v>0</v>
      </c>
      <c r="E188" s="34">
        <f>IFERROR(IF(AND('Real results'!C183&lt;&gt;"",'Raw data'!E183&lt;&gt;"",UPPER(TRIM('Real results'!C183))=UPPER(TRIM('Raw data'!E183))),2,0),0)</f>
        <v>0</v>
      </c>
      <c r="G188" s="34">
        <f>IFERROR(IF(AND('Real results'!C183&lt;&gt;"",'Raw data'!G183&lt;&gt;"",UPPER(TRIM('Real results'!C183))=UPPER(TRIM('Raw data'!G183))),2,0),0)</f>
        <v>0</v>
      </c>
      <c r="I188" s="34">
        <f>IFERROR(IF(AND('Real results'!C183&lt;&gt;"",'Raw data'!I183&lt;&gt;"",UPPER(TRIM('Real results'!C183))=UPPER(TRIM('Raw data'!I183))),2,0),0)</f>
        <v>0</v>
      </c>
      <c r="K188" s="34">
        <f>IFERROR(IF(AND('Real results'!C183&lt;&gt;"",'Raw data'!K183&lt;&gt;"",UPPER(TRIM('Real results'!C183))=UPPER(TRIM('Raw data'!K183))),2,0),0)</f>
        <v>0</v>
      </c>
      <c r="M188" s="34">
        <f>IFERROR(IF(AND('Real results'!C183&lt;&gt;"",'Raw data'!M183&lt;&gt;"",UPPER(TRIM('Real results'!C183))=UPPER(TRIM('Raw data'!M183))),2,0),0)</f>
        <v>0</v>
      </c>
      <c r="O188" s="34">
        <f>IFERROR(IF(AND('Real results'!C183&lt;&gt;"",'Raw data'!O183&lt;&gt;"",UPPER(TRIM('Real results'!C183))=UPPER(TRIM('Raw data'!O183))),2,0),0)</f>
        <v>0</v>
      </c>
      <c r="Q188" s="34">
        <f>IFERROR(IF(AND('Real results'!C183&lt;&gt;"",'Raw data'!Q183&lt;&gt;"",UPPER(TRIM('Real results'!C183))=UPPER(TRIM('Raw data'!Q183))),2,0),0)</f>
        <v>0</v>
      </c>
      <c r="S188" s="34">
        <f>IFERROR(IF(AND('Real results'!C183&lt;&gt;"",'Raw data'!S183&lt;&gt;"",UPPER(TRIM('Real results'!C183))=UPPER(TRIM('Raw data'!S183))),2,0),0)</f>
        <v>0</v>
      </c>
      <c r="U188" s="34">
        <f>IFERROR(IF(AND('Real results'!C183&lt;&gt;"",'Raw data'!U183&lt;&gt;"",UPPER(TRIM('Real results'!C183))=UPPER(TRIM('Raw data'!U183))),2,0),0)</f>
        <v>0</v>
      </c>
      <c r="W188" s="34">
        <f>IFERROR(IF(AND('Real results'!C183&lt;&gt;"",'Raw data'!W183&lt;&gt;"",UPPER(TRIM('Real results'!C183))=UPPER(TRIM('Raw data'!W183))),2,0),0)</f>
        <v>0</v>
      </c>
      <c r="Y188" s="34">
        <f>IFERROR(IF(AND('Real results'!C183&lt;&gt;"",'Raw data'!Y183&lt;&gt;"",UPPER(TRIM('Real results'!C183))=UPPER(TRIM('Raw data'!Y183))),2,0),0)</f>
        <v>0</v>
      </c>
      <c r="AA188" s="34">
        <f>IFERROR(IF(AND('Real results'!C183&lt;&gt;"",'Raw data'!AA183&lt;&gt;"",UPPER(TRIM('Real results'!C183))=UPPER(TRIM('Raw data'!AA183))),2,0),0)</f>
        <v>0</v>
      </c>
      <c r="AC188" s="34">
        <f>IFERROR(IF(AND('Real results'!C183&lt;&gt;"",'Raw data'!AC183&lt;&gt;"",UPPER(TRIM('Real results'!C183))=UPPER(TRIM('Raw data'!AC183))),2,0),0)</f>
        <v>0</v>
      </c>
      <c r="AE188" s="34">
        <f>IFERROR(IF(AND('Real results'!C183&lt;&gt;"",'Raw data'!AE183&lt;&gt;"",UPPER(TRIM('Real results'!C183))=UPPER(TRIM('Raw data'!AE183))),2,0),0)</f>
        <v>0</v>
      </c>
      <c r="AG188" s="34">
        <f>IFERROR(IF(AND('Real results'!C183&lt;&gt;"",'Raw data'!AG183&lt;&gt;"",UPPER(TRIM('Real results'!C183))=UPPER(TRIM('Raw data'!AG183))),2,0),0)</f>
        <v>0</v>
      </c>
      <c r="AI188" s="34">
        <f>IFERROR(IF(AND('Real results'!C183&lt;&gt;"",'Raw data'!AI183&lt;&gt;"",UPPER(TRIM('Real results'!C183))=UPPER(TRIM('Raw data'!AI183))),2,0),0)</f>
        <v>0</v>
      </c>
      <c r="AK188" s="34">
        <f>IFERROR(IF(AND('Real results'!C183&lt;&gt;"",'Raw data'!AK183&lt;&gt;"",UPPER(TRIM('Real results'!C183))=UPPER(TRIM('Raw data'!AK183))),2,0),0)</f>
        <v>0</v>
      </c>
      <c r="AM188" s="34">
        <f>IFERROR(IF(AND('Real results'!C183&lt;&gt;"",'Raw data'!AM183&lt;&gt;"",UPPER(TRIM('Real results'!C183))=UPPER(TRIM('Raw data'!AM183))),2,0),0)</f>
        <v>0</v>
      </c>
      <c r="AO188" s="34">
        <f>IFERROR(IF(AND('Real results'!C183&lt;&gt;"",'Raw data'!AO183&lt;&gt;"",UPPER(TRIM('Real results'!C183))=UPPER(TRIM('Raw data'!AO183))),2,0),0)</f>
        <v>0</v>
      </c>
      <c r="AQ188" s="34">
        <f>IFERROR(IF(AND('Real results'!C183&lt;&gt;"",'Raw data'!AQ183&lt;&gt;"",UPPER(TRIM('Real results'!C183))=UPPER(TRIM('Raw data'!AQ183))),2,0),0)</f>
        <v>0</v>
      </c>
      <c r="AS188" s="34">
        <f>IFERROR(IF(AND('Real results'!C183&lt;&gt;"",'Raw data'!AS183&lt;&gt;"",UPPER(TRIM('Real results'!C183))=UPPER(TRIM('Raw data'!AS183))),2,0),0)</f>
        <v>0</v>
      </c>
      <c r="AU188" s="34">
        <f>IFERROR(IF(AND('Real results'!C183&lt;&gt;"",'Raw data'!AU183&lt;&gt;"",UPPER(TRIM('Real results'!C183))=UPPER(TRIM('Raw data'!AU183))),2,0),0)</f>
        <v>0</v>
      </c>
      <c r="AW188" s="34">
        <f>IFERROR(IF(AND('Real results'!C183&lt;&gt;"",'Raw data'!AW183&lt;&gt;"",UPPER(TRIM('Real results'!C183))=UPPER(TRIM('Raw data'!AW183))),2,0),0)</f>
        <v>0</v>
      </c>
      <c r="AY188" s="34">
        <f>IFERROR(IF(AND('Real results'!C183&lt;&gt;"",'Raw data'!AY183&lt;&gt;"",UPPER(TRIM('Real results'!C183))=UPPER(TRIM('Raw data'!AY183))),2,0),0)</f>
        <v>0</v>
      </c>
      <c r="BA188" s="34">
        <f>IFERROR(IF(AND('Real results'!C183&lt;&gt;"",'Raw data'!BA183&lt;&gt;"",UPPER(TRIM('Real results'!C183))=UPPER(TRIM('Raw data'!BA183))),2,0),0)</f>
        <v>0</v>
      </c>
      <c r="BC188" s="34">
        <f>IFERROR(IF(AND('Real results'!C183&lt;&gt;"",'Raw data'!BC183&lt;&gt;"",UPPER(TRIM('Real results'!C183))=UPPER(TRIM('Raw data'!BC183))),2,0),0)</f>
        <v>0</v>
      </c>
      <c r="BE188" s="34">
        <f>IFERROR(IF(AND('Real results'!C183&lt;&gt;"",'Raw data'!BE183&lt;&gt;"",UPPER(TRIM('Real results'!C183))=UPPER(TRIM('Raw data'!BE183))),2,0),0)</f>
        <v>0</v>
      </c>
      <c r="BG188" s="34">
        <f>IFERROR(IF(AND('Real results'!C183&lt;&gt;"",'Raw data'!BG183&lt;&gt;"",UPPER(TRIM('Real results'!C183))=UPPER(TRIM('Raw data'!BG183))),2,0),0)</f>
        <v>0</v>
      </c>
      <c r="BI188" s="34">
        <f>IFERROR(IF(AND('Real results'!C183&lt;&gt;"",'Raw data'!BI183&lt;&gt;"",UPPER(TRIM('Real results'!C183))=UPPER(TRIM('Raw data'!BI183))),2,0),0)</f>
        <v>0</v>
      </c>
    </row>
    <row r="189" ht="18.0" customHeight="1">
      <c r="B189" s="12" t="s">
        <v>445</v>
      </c>
      <c r="C189" s="34">
        <f>IFERROR(IF(AND(ISNUMBER('Real results'!C184),ISNUMBER('Real results'!D184),ISNUMBER('Raw data'!C184),ISNUMBER('Raw data'!D184)),IF(SIGN('Raw data'!C184-'Raw data'!D184)=SIGN('Real results'!C184-'Real results'!D184),3+IF(AND('Raw data'!C184='Real results'!C184,'Raw data'!D184='Real results'!D184),2,0),0),0),0)</f>
        <v>0</v>
      </c>
      <c r="E189" s="34">
        <f>IFERROR(IF(AND(ISNUMBER('Real results'!C184),ISNUMBER('Real results'!D184),ISNUMBER('Raw data'!E184),ISNUMBER('Raw data'!F184)),IF(SIGN('Raw data'!E184-'Raw data'!F184)=SIGN('Real results'!C184-'Real results'!D184),3+IF(AND('Raw data'!E184='Real results'!C184,'Raw data'!F184='Real results'!D184),2,0),0),0),0)</f>
        <v>0</v>
      </c>
      <c r="G189" s="34">
        <f>IFERROR(IF(AND(ISNUMBER('Real results'!C184),ISNUMBER('Real results'!D184),ISNUMBER('Raw data'!G184),ISNUMBER('Raw data'!H184)),IF(SIGN('Raw data'!G184-'Raw data'!H184)=SIGN('Real results'!C184-'Real results'!D184),3+IF(AND('Raw data'!G184='Real results'!C184,'Raw data'!H184='Real results'!D184),2,0),0),0),0)</f>
        <v>0</v>
      </c>
      <c r="I189" s="34">
        <f>IFERROR(IF(AND(ISNUMBER('Real results'!C184),ISNUMBER('Real results'!D184),ISNUMBER('Raw data'!I184),ISNUMBER('Raw data'!J184)),IF(SIGN('Raw data'!I184-'Raw data'!J184)=SIGN('Real results'!C184-'Real results'!D184),3+IF(AND('Raw data'!I184='Real results'!C184,'Raw data'!J184='Real results'!D184),2,0),0),0),0)</f>
        <v>0</v>
      </c>
      <c r="K189" s="34">
        <f>IFERROR(IF(AND(ISNUMBER('Real results'!C184),ISNUMBER('Real results'!D184),ISNUMBER('Raw data'!K184),ISNUMBER('Raw data'!L184)),IF(SIGN('Raw data'!K184-'Raw data'!L184)=SIGN('Real results'!C184-'Real results'!D184),3+IF(AND('Raw data'!K184='Real results'!C184,'Raw data'!L184='Real results'!D184),2,0),0),0),0)</f>
        <v>0</v>
      </c>
      <c r="M189" s="34">
        <f>IFERROR(IF(AND(ISNUMBER('Real results'!C184),ISNUMBER('Real results'!D184),ISNUMBER('Raw data'!M184),ISNUMBER('Raw data'!N184)),IF(SIGN('Raw data'!M184-'Raw data'!N184)=SIGN('Real results'!C184-'Real results'!D184),3+IF(AND('Raw data'!M184='Real results'!C184,'Raw data'!N184='Real results'!D184),2,0),0),0),0)</f>
        <v>0</v>
      </c>
      <c r="O189" s="34">
        <f>IFERROR(IF(AND(ISNUMBER('Real results'!C184),ISNUMBER('Real results'!D184),ISNUMBER('Raw data'!O184),ISNUMBER('Raw data'!P184)),IF(SIGN('Raw data'!O184-'Raw data'!P184)=SIGN('Real results'!C184-'Real results'!D184),3+IF(AND('Raw data'!O184='Real results'!C184,'Raw data'!P184='Real results'!D184),2,0),0),0),0)</f>
        <v>0</v>
      </c>
      <c r="Q189" s="34">
        <f>IFERROR(IF(AND(ISNUMBER('Real results'!C184),ISNUMBER('Real results'!D184),ISNUMBER('Raw data'!Q184),ISNUMBER('Raw data'!R184)),IF(SIGN('Raw data'!Q184-'Raw data'!R184)=SIGN('Real results'!C184-'Real results'!D184),3+IF(AND('Raw data'!Q184='Real results'!C184,'Raw data'!R184='Real results'!D184),2,0),0),0),0)</f>
        <v>0</v>
      </c>
      <c r="S189" s="34">
        <f>IFERROR(IF(AND(ISNUMBER('Real results'!C184),ISNUMBER('Real results'!D184),ISNUMBER('Raw data'!S184),ISNUMBER('Raw data'!T184)),IF(SIGN('Raw data'!S184-'Raw data'!T184)=SIGN('Real results'!C184-'Real results'!D184),3+IF(AND('Raw data'!S184='Real results'!C184,'Raw data'!T184='Real results'!D184),2,0),0),0),0)</f>
        <v>0</v>
      </c>
      <c r="U189" s="34">
        <f>IFERROR(IF(AND(ISNUMBER('Real results'!C184),ISNUMBER('Real results'!D184),ISNUMBER('Raw data'!U184),ISNUMBER('Raw data'!V184)),IF(SIGN('Raw data'!U184-'Raw data'!V184)=SIGN('Real results'!C184-'Real results'!D184),3+IF(AND('Raw data'!U184='Real results'!C184,'Raw data'!V184='Real results'!D184),2,0),0),0),0)</f>
        <v>0</v>
      </c>
      <c r="W189" s="34">
        <f>IFERROR(IF(AND(ISNUMBER('Real results'!C184),ISNUMBER('Real results'!D184),ISNUMBER('Raw data'!W184),ISNUMBER('Raw data'!X184)),IF(SIGN('Raw data'!W184-'Raw data'!X184)=SIGN('Real results'!C184-'Real results'!D184),3+IF(AND('Raw data'!W184='Real results'!C184,'Raw data'!X184='Real results'!D184),2,0),0),0),0)</f>
        <v>0</v>
      </c>
      <c r="Y189" s="34">
        <f>IFERROR(IF(AND(ISNUMBER('Real results'!C184),ISNUMBER('Real results'!D184),ISNUMBER('Raw data'!Y184),ISNUMBER('Raw data'!Z184)),IF(SIGN('Raw data'!Y184-'Raw data'!Z184)=SIGN('Real results'!C184-'Real results'!D184),3+IF(AND('Raw data'!Y184='Real results'!C184,'Raw data'!Z184='Real results'!D184),2,0),0),0),0)</f>
        <v>0</v>
      </c>
      <c r="AA189" s="34">
        <f>IFERROR(IF(AND(ISNUMBER('Real results'!C184),ISNUMBER('Real results'!D184),ISNUMBER('Raw data'!AA184),ISNUMBER('Raw data'!AB184)),IF(SIGN('Raw data'!AA184-'Raw data'!AB184)=SIGN('Real results'!C184-'Real results'!D184),3+IF(AND('Raw data'!AA184='Real results'!C184,'Raw data'!AB184='Real results'!D184),2,0),0),0),0)</f>
        <v>0</v>
      </c>
      <c r="AC189" s="34">
        <f>IFERROR(IF(AND(ISNUMBER('Real results'!C184),ISNUMBER('Real results'!D184),ISNUMBER('Raw data'!AC184),ISNUMBER('Raw data'!AD184)),IF(SIGN('Raw data'!AC184-'Raw data'!AD184)=SIGN('Real results'!C184-'Real results'!D184),3+IF(AND('Raw data'!AC184='Real results'!C184,'Raw data'!AD184='Real results'!D184),2,0),0),0),0)</f>
        <v>0</v>
      </c>
      <c r="AE189" s="34">
        <f>IFERROR(IF(AND(ISNUMBER('Real results'!C184),ISNUMBER('Real results'!D184),ISNUMBER('Raw data'!AE184),ISNUMBER('Raw data'!AF184)),IF(SIGN('Raw data'!AE184-'Raw data'!AF184)=SIGN('Real results'!C184-'Real results'!D184),3+IF(AND('Raw data'!AE184='Real results'!C184,'Raw data'!AF184='Real results'!D184),2,0),0),0),0)</f>
        <v>0</v>
      </c>
      <c r="AG189" s="34">
        <f>IFERROR(IF(AND(ISNUMBER('Real results'!C184),ISNUMBER('Real results'!D184),ISNUMBER('Raw data'!AG184),ISNUMBER('Raw data'!AH184)),IF(SIGN('Raw data'!AG184-'Raw data'!AH184)=SIGN('Real results'!C184-'Real results'!D184),3+IF(AND('Raw data'!AG184='Real results'!C184,'Raw data'!AH184='Real results'!D184),2,0),0),0),0)</f>
        <v>0</v>
      </c>
      <c r="AI189" s="34">
        <f>IFERROR(IF(AND(ISNUMBER('Real results'!C184),ISNUMBER('Real results'!D184),ISNUMBER('Raw data'!AI184),ISNUMBER('Raw data'!AJ184)),IF(SIGN('Raw data'!AI184-'Raw data'!AJ184)=SIGN('Real results'!C184-'Real results'!D184),3+IF(AND('Raw data'!AI184='Real results'!C184,'Raw data'!AJ184='Real results'!D184),2,0),0),0),0)</f>
        <v>0</v>
      </c>
      <c r="AK189" s="34">
        <f>IFERROR(IF(AND(ISNUMBER('Real results'!C184),ISNUMBER('Real results'!D184),ISNUMBER('Raw data'!AK184),ISNUMBER('Raw data'!AL184)),IF(SIGN('Raw data'!AK184-'Raw data'!AL184)=SIGN('Real results'!C184-'Real results'!D184),3+IF(AND('Raw data'!AK184='Real results'!C184,'Raw data'!AL184='Real results'!D184),2,0),0),0),0)</f>
        <v>0</v>
      </c>
      <c r="AM189" s="34">
        <f>IFERROR(IF(AND(ISNUMBER('Real results'!C184),ISNUMBER('Real results'!D184),ISNUMBER('Raw data'!AM184),ISNUMBER('Raw data'!AN184)),IF(SIGN('Raw data'!AM184-'Raw data'!AN184)=SIGN('Real results'!C184-'Real results'!D184),3+IF(AND('Raw data'!AM184='Real results'!C184,'Raw data'!AN184='Real results'!D184),2,0),0),0),0)</f>
        <v>0</v>
      </c>
      <c r="AO189" s="34">
        <f>IFERROR(IF(AND(ISNUMBER('Real results'!C184),ISNUMBER('Real results'!D184),ISNUMBER('Raw data'!AO184),ISNUMBER('Raw data'!AP184)),IF(SIGN('Raw data'!AO184-'Raw data'!AP184)=SIGN('Real results'!C184-'Real results'!D184),3+IF(AND('Raw data'!AO184='Real results'!C184,'Raw data'!AP184='Real results'!D184),2,0),0),0),0)</f>
        <v>0</v>
      </c>
      <c r="AQ189" s="34">
        <f>IFERROR(IF(AND(ISNUMBER('Real results'!C184),ISNUMBER('Real results'!D184),ISNUMBER('Raw data'!AQ184),ISNUMBER('Raw data'!AR184)),IF(SIGN('Raw data'!AQ184-'Raw data'!AR184)=SIGN('Real results'!C184-'Real results'!D184),3+IF(AND('Raw data'!AQ184='Real results'!C184,'Raw data'!AR184='Real results'!D184),2,0),0),0),0)</f>
        <v>0</v>
      </c>
      <c r="AS189" s="34">
        <f>IFERROR(IF(AND(ISNUMBER('Real results'!C184),ISNUMBER('Real results'!D184),ISNUMBER('Raw data'!AS184),ISNUMBER('Raw data'!AT184)),IF(SIGN('Raw data'!AS184-'Raw data'!AT184)=SIGN('Real results'!C184-'Real results'!D184),3+IF(AND('Raw data'!AS184='Real results'!C184,'Raw data'!AT184='Real results'!D184),2,0),0),0),0)</f>
        <v>0</v>
      </c>
      <c r="AU189" s="34">
        <f>IFERROR(IF(AND(ISNUMBER('Real results'!C184),ISNUMBER('Real results'!D184),ISNUMBER('Raw data'!AU184),ISNUMBER('Raw data'!AV184)),IF(SIGN('Raw data'!AU184-'Raw data'!AV184)=SIGN('Real results'!C184-'Real results'!D184),3+IF(AND('Raw data'!AU184='Real results'!C184,'Raw data'!AV184='Real results'!D184),2,0),0),0),0)</f>
        <v>0</v>
      </c>
      <c r="AW189" s="34">
        <f>IFERROR(IF(AND(ISNUMBER('Real results'!C184),ISNUMBER('Real results'!D184),ISNUMBER('Raw data'!AW184),ISNUMBER('Raw data'!AX184)),IF(SIGN('Raw data'!AW184-'Raw data'!AX184)=SIGN('Real results'!C184-'Real results'!D184),3+IF(AND('Raw data'!AW184='Real results'!C184,'Raw data'!AX184='Real results'!D184),2,0),0),0),0)</f>
        <v>0</v>
      </c>
      <c r="AY189" s="34">
        <f>IFERROR(IF(AND(ISNUMBER('Real results'!C184),ISNUMBER('Real results'!D184),ISNUMBER('Raw data'!AY184),ISNUMBER('Raw data'!AZ184)),IF(SIGN('Raw data'!AY184-'Raw data'!AZ184)=SIGN('Real results'!C184-'Real results'!D184),3+IF(AND('Raw data'!AY184='Real results'!C184,'Raw data'!AZ184='Real results'!D184),2,0),0),0),0)</f>
        <v>0</v>
      </c>
      <c r="BA189" s="34">
        <f>IFERROR(IF(AND(ISNUMBER('Real results'!C184),ISNUMBER('Real results'!D184),ISNUMBER('Raw data'!BA184),ISNUMBER('Raw data'!BB184)),IF(SIGN('Raw data'!BA184-'Raw data'!BB184)=SIGN('Real results'!C184-'Real results'!D184),3+IF(AND('Raw data'!BA184='Real results'!C184,'Raw data'!BB184='Real results'!D184),2,0),0),0),0)</f>
        <v>0</v>
      </c>
      <c r="BC189" s="34">
        <f>IFERROR(IF(AND(ISNUMBER('Real results'!C184),ISNUMBER('Real results'!D184),ISNUMBER('Raw data'!BC184),ISNUMBER('Raw data'!BD184)),IF(SIGN('Raw data'!BC184-'Raw data'!BD184)=SIGN('Real results'!C184-'Real results'!D184),3+IF(AND('Raw data'!BC184='Real results'!C184,'Raw data'!BD184='Real results'!D184),2,0),0),0),0)</f>
        <v>0</v>
      </c>
      <c r="BE189" s="34">
        <f>IFERROR(IF(AND(ISNUMBER('Real results'!C184),ISNUMBER('Real results'!D184),ISNUMBER('Raw data'!BE184),ISNUMBER('Raw data'!BF184)),IF(SIGN('Raw data'!BE184-'Raw data'!BF184)=SIGN('Real results'!C184-'Real results'!D184),3+IF(AND('Raw data'!BE184='Real results'!C184,'Raw data'!BF184='Real results'!D184),2,0),0),0),0)</f>
        <v>0</v>
      </c>
      <c r="BG189" s="34">
        <f>IFERROR(IF(AND(ISNUMBER('Real results'!C184),ISNUMBER('Real results'!D184),ISNUMBER('Raw data'!BG184),ISNUMBER('Raw data'!BH184)),IF(SIGN('Raw data'!BG184-'Raw data'!BH184)=SIGN('Real results'!C184-'Real results'!D184),3+IF(AND('Raw data'!BG184='Real results'!C184,'Raw data'!BH184='Real results'!D184),2,0),0),0),0)</f>
        <v>0</v>
      </c>
      <c r="BI189" s="34">
        <f>IFERROR(IF(AND(ISNUMBER('Real results'!C184),ISNUMBER('Real results'!D184),ISNUMBER('Raw data'!BI184),ISNUMBER('Raw data'!BJ184)),IF(SIGN('Raw data'!BI184-'Raw data'!BJ184)=SIGN('Real results'!C184-'Real results'!D184),3+IF(AND('Raw data'!BI184='Real results'!C184,'Raw data'!BJ184='Real results'!D184),2,0),0),0),0)</f>
        <v>0</v>
      </c>
    </row>
    <row r="190" ht="18.0" customHeight="1">
      <c r="B190" s="12" t="s">
        <v>446</v>
      </c>
      <c r="C190" s="34">
        <v>0.0</v>
      </c>
      <c r="E190" s="34">
        <v>0.0</v>
      </c>
      <c r="G190" s="34">
        <v>0.0</v>
      </c>
      <c r="I190" s="34">
        <v>0.0</v>
      </c>
      <c r="K190" s="34">
        <v>0.0</v>
      </c>
      <c r="M190" s="34">
        <v>0.0</v>
      </c>
      <c r="O190" s="34">
        <v>0.0</v>
      </c>
      <c r="Q190" s="34">
        <v>0.0</v>
      </c>
      <c r="S190" s="34">
        <v>0.0</v>
      </c>
      <c r="U190" s="34">
        <v>0.0</v>
      </c>
      <c r="W190" s="34">
        <v>0.0</v>
      </c>
      <c r="Y190" s="34">
        <v>0.0</v>
      </c>
      <c r="AA190" s="34">
        <v>0.0</v>
      </c>
      <c r="AC190" s="34">
        <v>0.0</v>
      </c>
      <c r="AE190" s="34">
        <v>0.0</v>
      </c>
      <c r="AG190" s="34">
        <v>0.0</v>
      </c>
      <c r="AI190" s="34">
        <v>0.0</v>
      </c>
      <c r="AK190" s="34">
        <v>0.0</v>
      </c>
      <c r="AM190" s="34">
        <v>0.0</v>
      </c>
      <c r="AO190" s="34">
        <v>0.0</v>
      </c>
      <c r="AQ190" s="34">
        <v>0.0</v>
      </c>
      <c r="AS190" s="34">
        <v>0.0</v>
      </c>
      <c r="AU190" s="34">
        <v>0.0</v>
      </c>
      <c r="AW190" s="34">
        <v>0.0</v>
      </c>
      <c r="AY190" s="34">
        <v>0.0</v>
      </c>
      <c r="BA190" s="34">
        <v>0.0</v>
      </c>
      <c r="BC190" s="34">
        <v>0.0</v>
      </c>
      <c r="BE190" s="34">
        <v>0.0</v>
      </c>
      <c r="BG190" s="34">
        <v>0.0</v>
      </c>
      <c r="BI190" s="34">
        <v>0.0</v>
      </c>
    </row>
    <row r="191" ht="18.0" customHeight="1">
      <c r="B191" s="12" t="s">
        <v>447</v>
      </c>
      <c r="C191" s="34">
        <f>IFERROR(IF(AND('Real results'!C186&lt;&gt;"",'Raw data'!C186&lt;&gt;"",UPPER(TRIM('Real results'!C186))=UPPER(TRIM('Raw data'!C186))),2,0),0)</f>
        <v>0</v>
      </c>
      <c r="E191" s="34">
        <f>IFERROR(IF(AND('Real results'!C186&lt;&gt;"",'Raw data'!E186&lt;&gt;"",UPPER(TRIM('Real results'!C186))=UPPER(TRIM('Raw data'!E186))),2,0),0)</f>
        <v>0</v>
      </c>
      <c r="G191" s="34">
        <f>IFERROR(IF(AND('Real results'!C186&lt;&gt;"",'Raw data'!G186&lt;&gt;"",UPPER(TRIM('Real results'!C186))=UPPER(TRIM('Raw data'!G186))),2,0),0)</f>
        <v>0</v>
      </c>
      <c r="I191" s="34">
        <f>IFERROR(IF(AND('Real results'!C186&lt;&gt;"",'Raw data'!I186&lt;&gt;"",UPPER(TRIM('Real results'!C186))=UPPER(TRIM('Raw data'!I186))),2,0),0)</f>
        <v>0</v>
      </c>
      <c r="K191" s="34">
        <f>IFERROR(IF(AND('Real results'!C186&lt;&gt;"",'Raw data'!K186&lt;&gt;"",UPPER(TRIM('Real results'!C186))=UPPER(TRIM('Raw data'!K186))),2,0),0)</f>
        <v>0</v>
      </c>
      <c r="M191" s="34">
        <f>IFERROR(IF(AND('Real results'!C186&lt;&gt;"",'Raw data'!M186&lt;&gt;"",UPPER(TRIM('Real results'!C186))=UPPER(TRIM('Raw data'!M186))),2,0),0)</f>
        <v>0</v>
      </c>
      <c r="O191" s="34">
        <f>IFERROR(IF(AND('Real results'!C186&lt;&gt;"",'Raw data'!O186&lt;&gt;"",UPPER(TRIM('Real results'!C186))=UPPER(TRIM('Raw data'!O186))),2,0),0)</f>
        <v>0</v>
      </c>
      <c r="Q191" s="34">
        <f>IFERROR(IF(AND('Real results'!C186&lt;&gt;"",'Raw data'!Q186&lt;&gt;"",UPPER(TRIM('Real results'!C186))=UPPER(TRIM('Raw data'!Q186))),2,0),0)</f>
        <v>0</v>
      </c>
      <c r="S191" s="34">
        <f>IFERROR(IF(AND('Real results'!C186&lt;&gt;"",'Raw data'!S186&lt;&gt;"",UPPER(TRIM('Real results'!C186))=UPPER(TRIM('Raw data'!S186))),2,0),0)</f>
        <v>0</v>
      </c>
      <c r="U191" s="34">
        <f>IFERROR(IF(AND('Real results'!C186&lt;&gt;"",'Raw data'!U186&lt;&gt;"",UPPER(TRIM('Real results'!C186))=UPPER(TRIM('Raw data'!U186))),2,0),0)</f>
        <v>0</v>
      </c>
      <c r="W191" s="34">
        <f>IFERROR(IF(AND('Real results'!C186&lt;&gt;"",'Raw data'!W186&lt;&gt;"",UPPER(TRIM('Real results'!C186))=UPPER(TRIM('Raw data'!W186))),2,0),0)</f>
        <v>0</v>
      </c>
      <c r="Y191" s="34">
        <f>IFERROR(IF(AND('Real results'!C186&lt;&gt;"",'Raw data'!Y186&lt;&gt;"",UPPER(TRIM('Real results'!C186))=UPPER(TRIM('Raw data'!Y186))),2,0),0)</f>
        <v>0</v>
      </c>
      <c r="AA191" s="34">
        <f>IFERROR(IF(AND('Real results'!C186&lt;&gt;"",'Raw data'!AA186&lt;&gt;"",UPPER(TRIM('Real results'!C186))=UPPER(TRIM('Raw data'!AA186))),2,0),0)</f>
        <v>0</v>
      </c>
      <c r="AC191" s="34">
        <f>IFERROR(IF(AND('Real results'!C186&lt;&gt;"",'Raw data'!AC186&lt;&gt;"",UPPER(TRIM('Real results'!C186))=UPPER(TRIM('Raw data'!AC186))),2,0),0)</f>
        <v>0</v>
      </c>
      <c r="AE191" s="34">
        <f>IFERROR(IF(AND('Real results'!C186&lt;&gt;"",'Raw data'!AE186&lt;&gt;"",UPPER(TRIM('Real results'!C186))=UPPER(TRIM('Raw data'!AE186))),2,0),0)</f>
        <v>0</v>
      </c>
      <c r="AG191" s="34">
        <f>IFERROR(IF(AND('Real results'!C186&lt;&gt;"",'Raw data'!AG186&lt;&gt;"",UPPER(TRIM('Real results'!C186))=UPPER(TRIM('Raw data'!AG186))),2,0),0)</f>
        <v>0</v>
      </c>
      <c r="AI191" s="34">
        <f>IFERROR(IF(AND('Real results'!C186&lt;&gt;"",'Raw data'!AI186&lt;&gt;"",UPPER(TRIM('Real results'!C186))=UPPER(TRIM('Raw data'!AI186))),2,0),0)</f>
        <v>0</v>
      </c>
      <c r="AK191" s="34">
        <f>IFERROR(IF(AND('Real results'!C186&lt;&gt;"",'Raw data'!AK186&lt;&gt;"",UPPER(TRIM('Real results'!C186))=UPPER(TRIM('Raw data'!AK186))),2,0),0)</f>
        <v>0</v>
      </c>
      <c r="AM191" s="34">
        <f>IFERROR(IF(AND('Real results'!C186&lt;&gt;"",'Raw data'!AM186&lt;&gt;"",UPPER(TRIM('Real results'!C186))=UPPER(TRIM('Raw data'!AM186))),2,0),0)</f>
        <v>0</v>
      </c>
      <c r="AO191" s="34">
        <f>IFERROR(IF(AND('Real results'!C186&lt;&gt;"",'Raw data'!AO186&lt;&gt;"",UPPER(TRIM('Real results'!C186))=UPPER(TRIM('Raw data'!AO186))),2,0),0)</f>
        <v>0</v>
      </c>
      <c r="AQ191" s="34">
        <f>IFERROR(IF(AND('Real results'!C186&lt;&gt;"",'Raw data'!AQ186&lt;&gt;"",UPPER(TRIM('Real results'!C186))=UPPER(TRIM('Raw data'!AQ186))),2,0),0)</f>
        <v>0</v>
      </c>
      <c r="AS191" s="34">
        <f>IFERROR(IF(AND('Real results'!C186&lt;&gt;"",'Raw data'!AS186&lt;&gt;"",UPPER(TRIM('Real results'!C186))=UPPER(TRIM('Raw data'!AS186))),2,0),0)</f>
        <v>0</v>
      </c>
      <c r="AU191" s="34">
        <f>IFERROR(IF(AND('Real results'!C186&lt;&gt;"",'Raw data'!AU186&lt;&gt;"",UPPER(TRIM('Real results'!C186))=UPPER(TRIM('Raw data'!AU186))),2,0),0)</f>
        <v>0</v>
      </c>
      <c r="AW191" s="34">
        <f>IFERROR(IF(AND('Real results'!C186&lt;&gt;"",'Raw data'!AW186&lt;&gt;"",UPPER(TRIM('Real results'!C186))=UPPER(TRIM('Raw data'!AW186))),2,0),0)</f>
        <v>0</v>
      </c>
      <c r="AY191" s="34">
        <f>IFERROR(IF(AND('Real results'!C186&lt;&gt;"",'Raw data'!AY186&lt;&gt;"",UPPER(TRIM('Real results'!C186))=UPPER(TRIM('Raw data'!AY186))),2,0),0)</f>
        <v>0</v>
      </c>
      <c r="BA191" s="34">
        <f>IFERROR(IF(AND('Real results'!C186&lt;&gt;"",'Raw data'!BA186&lt;&gt;"",UPPER(TRIM('Real results'!C186))=UPPER(TRIM('Raw data'!BA186))),2,0),0)</f>
        <v>0</v>
      </c>
      <c r="BC191" s="34">
        <f>IFERROR(IF(AND('Real results'!C186&lt;&gt;"",'Raw data'!BC186&lt;&gt;"",UPPER(TRIM('Real results'!C186))=UPPER(TRIM('Raw data'!BC186))),2,0),0)</f>
        <v>0</v>
      </c>
      <c r="BE191" s="34">
        <f>IFERROR(IF(AND('Real results'!C186&lt;&gt;"",'Raw data'!BE186&lt;&gt;"",UPPER(TRIM('Real results'!C186))=UPPER(TRIM('Raw data'!BE186))),2,0),0)</f>
        <v>0</v>
      </c>
      <c r="BG191" s="34">
        <f>IFERROR(IF(AND('Real results'!C186&lt;&gt;"",'Raw data'!BG186&lt;&gt;"",UPPER(TRIM('Real results'!C186))=UPPER(TRIM('Raw data'!BG186))),2,0),0)</f>
        <v>0</v>
      </c>
      <c r="BI191" s="34">
        <f>IFERROR(IF(AND('Real results'!C186&lt;&gt;"",'Raw data'!BI186&lt;&gt;"",UPPER(TRIM('Real results'!C186))=UPPER(TRIM('Raw data'!BI186))),2,0),0)</f>
        <v>0</v>
      </c>
    </row>
    <row r="192" ht="18.0" customHeight="1">
      <c r="B192" s="12" t="s">
        <v>448</v>
      </c>
      <c r="C192" s="34">
        <f>IFERROR(IF(AND(ISNUMBER('Real results'!C187),ISNUMBER('Real results'!D187),ISNUMBER('Raw data'!C187),ISNUMBER('Raw data'!D187)),IF(SIGN('Raw data'!C187-'Raw data'!D187)=SIGN('Real results'!C187-'Real results'!D187),3+IF(AND('Raw data'!C187='Real results'!C187,'Raw data'!D187='Real results'!D187),2,0),0),0),0)</f>
        <v>0</v>
      </c>
      <c r="E192" s="34">
        <f>IFERROR(IF(AND(ISNUMBER('Real results'!C187),ISNUMBER('Real results'!D187),ISNUMBER('Raw data'!E187),ISNUMBER('Raw data'!F187)),IF(SIGN('Raw data'!E187-'Raw data'!F187)=SIGN('Real results'!C187-'Real results'!D187),3+IF(AND('Raw data'!E187='Real results'!C187,'Raw data'!F187='Real results'!D187),2,0),0),0),0)</f>
        <v>0</v>
      </c>
      <c r="G192" s="34">
        <f>IFERROR(IF(AND(ISNUMBER('Real results'!C187),ISNUMBER('Real results'!D187),ISNUMBER('Raw data'!G187),ISNUMBER('Raw data'!H187)),IF(SIGN('Raw data'!G187-'Raw data'!H187)=SIGN('Real results'!C187-'Real results'!D187),3+IF(AND('Raw data'!G187='Real results'!C187,'Raw data'!H187='Real results'!D187),2,0),0),0),0)</f>
        <v>0</v>
      </c>
      <c r="I192" s="34">
        <f>IFERROR(IF(AND(ISNUMBER('Real results'!C187),ISNUMBER('Real results'!D187),ISNUMBER('Raw data'!I187),ISNUMBER('Raw data'!J187)),IF(SIGN('Raw data'!I187-'Raw data'!J187)=SIGN('Real results'!C187-'Real results'!D187),3+IF(AND('Raw data'!I187='Real results'!C187,'Raw data'!J187='Real results'!D187),2,0),0),0),0)</f>
        <v>0</v>
      </c>
      <c r="K192" s="34">
        <f>IFERROR(IF(AND(ISNUMBER('Real results'!C187),ISNUMBER('Real results'!D187),ISNUMBER('Raw data'!K187),ISNUMBER('Raw data'!L187)),IF(SIGN('Raw data'!K187-'Raw data'!L187)=SIGN('Real results'!C187-'Real results'!D187),3+IF(AND('Raw data'!K187='Real results'!C187,'Raw data'!L187='Real results'!D187),2,0),0),0),0)</f>
        <v>0</v>
      </c>
      <c r="M192" s="34">
        <f>IFERROR(IF(AND(ISNUMBER('Real results'!C187),ISNUMBER('Real results'!D187),ISNUMBER('Raw data'!M187),ISNUMBER('Raw data'!N187)),IF(SIGN('Raw data'!M187-'Raw data'!N187)=SIGN('Real results'!C187-'Real results'!D187),3+IF(AND('Raw data'!M187='Real results'!C187,'Raw data'!N187='Real results'!D187),2,0),0),0),0)</f>
        <v>0</v>
      </c>
      <c r="O192" s="34">
        <f>IFERROR(IF(AND(ISNUMBER('Real results'!C187),ISNUMBER('Real results'!D187),ISNUMBER('Raw data'!O187),ISNUMBER('Raw data'!P187)),IF(SIGN('Raw data'!O187-'Raw data'!P187)=SIGN('Real results'!C187-'Real results'!D187),3+IF(AND('Raw data'!O187='Real results'!C187,'Raw data'!P187='Real results'!D187),2,0),0),0),0)</f>
        <v>0</v>
      </c>
      <c r="Q192" s="34">
        <f>IFERROR(IF(AND(ISNUMBER('Real results'!C187),ISNUMBER('Real results'!D187),ISNUMBER('Raw data'!Q187),ISNUMBER('Raw data'!R187)),IF(SIGN('Raw data'!Q187-'Raw data'!R187)=SIGN('Real results'!C187-'Real results'!D187),3+IF(AND('Raw data'!Q187='Real results'!C187,'Raw data'!R187='Real results'!D187),2,0),0),0),0)</f>
        <v>0</v>
      </c>
      <c r="S192" s="34">
        <f>IFERROR(IF(AND(ISNUMBER('Real results'!C187),ISNUMBER('Real results'!D187),ISNUMBER('Raw data'!S187),ISNUMBER('Raw data'!T187)),IF(SIGN('Raw data'!S187-'Raw data'!T187)=SIGN('Real results'!C187-'Real results'!D187),3+IF(AND('Raw data'!S187='Real results'!C187,'Raw data'!T187='Real results'!D187),2,0),0),0),0)</f>
        <v>0</v>
      </c>
      <c r="U192" s="34">
        <f>IFERROR(IF(AND(ISNUMBER('Real results'!C187),ISNUMBER('Real results'!D187),ISNUMBER('Raw data'!U187),ISNUMBER('Raw data'!V187)),IF(SIGN('Raw data'!U187-'Raw data'!V187)=SIGN('Real results'!C187-'Real results'!D187),3+IF(AND('Raw data'!U187='Real results'!C187,'Raw data'!V187='Real results'!D187),2,0),0),0),0)</f>
        <v>0</v>
      </c>
      <c r="W192" s="34">
        <f>IFERROR(IF(AND(ISNUMBER('Real results'!C187),ISNUMBER('Real results'!D187),ISNUMBER('Raw data'!W187),ISNUMBER('Raw data'!X187)),IF(SIGN('Raw data'!W187-'Raw data'!X187)=SIGN('Real results'!C187-'Real results'!D187),3+IF(AND('Raw data'!W187='Real results'!C187,'Raw data'!X187='Real results'!D187),2,0),0),0),0)</f>
        <v>0</v>
      </c>
      <c r="Y192" s="34">
        <f>IFERROR(IF(AND(ISNUMBER('Real results'!C187),ISNUMBER('Real results'!D187),ISNUMBER('Raw data'!Y187),ISNUMBER('Raw data'!Z187)),IF(SIGN('Raw data'!Y187-'Raw data'!Z187)=SIGN('Real results'!C187-'Real results'!D187),3+IF(AND('Raw data'!Y187='Real results'!C187,'Raw data'!Z187='Real results'!D187),2,0),0),0),0)</f>
        <v>0</v>
      </c>
      <c r="AA192" s="34">
        <f>IFERROR(IF(AND(ISNUMBER('Real results'!C187),ISNUMBER('Real results'!D187),ISNUMBER('Raw data'!AA187),ISNUMBER('Raw data'!AB187)),IF(SIGN('Raw data'!AA187-'Raw data'!AB187)=SIGN('Real results'!C187-'Real results'!D187),3+IF(AND('Raw data'!AA187='Real results'!C187,'Raw data'!AB187='Real results'!D187),2,0),0),0),0)</f>
        <v>0</v>
      </c>
      <c r="AC192" s="34">
        <f>IFERROR(IF(AND(ISNUMBER('Real results'!C187),ISNUMBER('Real results'!D187),ISNUMBER('Raw data'!AC187),ISNUMBER('Raw data'!AD187)),IF(SIGN('Raw data'!AC187-'Raw data'!AD187)=SIGN('Real results'!C187-'Real results'!D187),3+IF(AND('Raw data'!AC187='Real results'!C187,'Raw data'!AD187='Real results'!D187),2,0),0),0),0)</f>
        <v>0</v>
      </c>
      <c r="AE192" s="34">
        <f>IFERROR(IF(AND(ISNUMBER('Real results'!C187),ISNUMBER('Real results'!D187),ISNUMBER('Raw data'!AE187),ISNUMBER('Raw data'!AF187)),IF(SIGN('Raw data'!AE187-'Raw data'!AF187)=SIGN('Real results'!C187-'Real results'!D187),3+IF(AND('Raw data'!AE187='Real results'!C187,'Raw data'!AF187='Real results'!D187),2,0),0),0),0)</f>
        <v>0</v>
      </c>
      <c r="AG192" s="34">
        <f>IFERROR(IF(AND(ISNUMBER('Real results'!C187),ISNUMBER('Real results'!D187),ISNUMBER('Raw data'!AG187),ISNUMBER('Raw data'!AH187)),IF(SIGN('Raw data'!AG187-'Raw data'!AH187)=SIGN('Real results'!C187-'Real results'!D187),3+IF(AND('Raw data'!AG187='Real results'!C187,'Raw data'!AH187='Real results'!D187),2,0),0),0),0)</f>
        <v>0</v>
      </c>
      <c r="AI192" s="34">
        <f>IFERROR(IF(AND(ISNUMBER('Real results'!C187),ISNUMBER('Real results'!D187),ISNUMBER('Raw data'!AI187),ISNUMBER('Raw data'!AJ187)),IF(SIGN('Raw data'!AI187-'Raw data'!AJ187)=SIGN('Real results'!C187-'Real results'!D187),3+IF(AND('Raw data'!AI187='Real results'!C187,'Raw data'!AJ187='Real results'!D187),2,0),0),0),0)</f>
        <v>0</v>
      </c>
      <c r="AK192" s="34">
        <f>IFERROR(IF(AND(ISNUMBER('Real results'!C187),ISNUMBER('Real results'!D187),ISNUMBER('Raw data'!AK187),ISNUMBER('Raw data'!AL187)),IF(SIGN('Raw data'!AK187-'Raw data'!AL187)=SIGN('Real results'!C187-'Real results'!D187),3+IF(AND('Raw data'!AK187='Real results'!C187,'Raw data'!AL187='Real results'!D187),2,0),0),0),0)</f>
        <v>0</v>
      </c>
      <c r="AM192" s="34">
        <f>IFERROR(IF(AND(ISNUMBER('Real results'!C187),ISNUMBER('Real results'!D187),ISNUMBER('Raw data'!AM187),ISNUMBER('Raw data'!AN187)),IF(SIGN('Raw data'!AM187-'Raw data'!AN187)=SIGN('Real results'!C187-'Real results'!D187),3+IF(AND('Raw data'!AM187='Real results'!C187,'Raw data'!AN187='Real results'!D187),2,0),0),0),0)</f>
        <v>0</v>
      </c>
      <c r="AO192" s="34">
        <f>IFERROR(IF(AND(ISNUMBER('Real results'!C187),ISNUMBER('Real results'!D187),ISNUMBER('Raw data'!AO187),ISNUMBER('Raw data'!AP187)),IF(SIGN('Raw data'!AO187-'Raw data'!AP187)=SIGN('Real results'!C187-'Real results'!D187),3+IF(AND('Raw data'!AO187='Real results'!C187,'Raw data'!AP187='Real results'!D187),2,0),0),0),0)</f>
        <v>0</v>
      </c>
      <c r="AQ192" s="34">
        <f>IFERROR(IF(AND(ISNUMBER('Real results'!C187),ISNUMBER('Real results'!D187),ISNUMBER('Raw data'!AQ187),ISNUMBER('Raw data'!AR187)),IF(SIGN('Raw data'!AQ187-'Raw data'!AR187)=SIGN('Real results'!C187-'Real results'!D187),3+IF(AND('Raw data'!AQ187='Real results'!C187,'Raw data'!AR187='Real results'!D187),2,0),0),0),0)</f>
        <v>0</v>
      </c>
      <c r="AS192" s="34">
        <f>IFERROR(IF(AND(ISNUMBER('Real results'!C187),ISNUMBER('Real results'!D187),ISNUMBER('Raw data'!AS187),ISNUMBER('Raw data'!AT187)),IF(SIGN('Raw data'!AS187-'Raw data'!AT187)=SIGN('Real results'!C187-'Real results'!D187),3+IF(AND('Raw data'!AS187='Real results'!C187,'Raw data'!AT187='Real results'!D187),2,0),0),0),0)</f>
        <v>0</v>
      </c>
      <c r="AU192" s="34">
        <f>IFERROR(IF(AND(ISNUMBER('Real results'!C187),ISNUMBER('Real results'!D187),ISNUMBER('Raw data'!AU187),ISNUMBER('Raw data'!AV187)),IF(SIGN('Raw data'!AU187-'Raw data'!AV187)=SIGN('Real results'!C187-'Real results'!D187),3+IF(AND('Raw data'!AU187='Real results'!C187,'Raw data'!AV187='Real results'!D187),2,0),0),0),0)</f>
        <v>0</v>
      </c>
      <c r="AW192" s="34">
        <f>IFERROR(IF(AND(ISNUMBER('Real results'!C187),ISNUMBER('Real results'!D187),ISNUMBER('Raw data'!AW187),ISNUMBER('Raw data'!AX187)),IF(SIGN('Raw data'!AW187-'Raw data'!AX187)=SIGN('Real results'!C187-'Real results'!D187),3+IF(AND('Raw data'!AW187='Real results'!C187,'Raw data'!AX187='Real results'!D187),2,0),0),0),0)</f>
        <v>0</v>
      </c>
      <c r="AY192" s="34">
        <f>IFERROR(IF(AND(ISNUMBER('Real results'!C187),ISNUMBER('Real results'!D187),ISNUMBER('Raw data'!AY187),ISNUMBER('Raw data'!AZ187)),IF(SIGN('Raw data'!AY187-'Raw data'!AZ187)=SIGN('Real results'!C187-'Real results'!D187),3+IF(AND('Raw data'!AY187='Real results'!C187,'Raw data'!AZ187='Real results'!D187),2,0),0),0),0)</f>
        <v>0</v>
      </c>
      <c r="BA192" s="34">
        <f>IFERROR(IF(AND(ISNUMBER('Real results'!C187),ISNUMBER('Real results'!D187),ISNUMBER('Raw data'!BA187),ISNUMBER('Raw data'!BB187)),IF(SIGN('Raw data'!BA187-'Raw data'!BB187)=SIGN('Real results'!C187-'Real results'!D187),3+IF(AND('Raw data'!BA187='Real results'!C187,'Raw data'!BB187='Real results'!D187),2,0),0),0),0)</f>
        <v>0</v>
      </c>
      <c r="BC192" s="34">
        <f>IFERROR(IF(AND(ISNUMBER('Real results'!C187),ISNUMBER('Real results'!D187),ISNUMBER('Raw data'!BC187),ISNUMBER('Raw data'!BD187)),IF(SIGN('Raw data'!BC187-'Raw data'!BD187)=SIGN('Real results'!C187-'Real results'!D187),3+IF(AND('Raw data'!BC187='Real results'!C187,'Raw data'!BD187='Real results'!D187),2,0),0),0),0)</f>
        <v>0</v>
      </c>
      <c r="BE192" s="34">
        <f>IFERROR(IF(AND(ISNUMBER('Real results'!C187),ISNUMBER('Real results'!D187),ISNUMBER('Raw data'!BE187),ISNUMBER('Raw data'!BF187)),IF(SIGN('Raw data'!BE187-'Raw data'!BF187)=SIGN('Real results'!C187-'Real results'!D187),3+IF(AND('Raw data'!BE187='Real results'!C187,'Raw data'!BF187='Real results'!D187),2,0),0),0),0)</f>
        <v>0</v>
      </c>
      <c r="BG192" s="34">
        <f>IFERROR(IF(AND(ISNUMBER('Real results'!C187),ISNUMBER('Real results'!D187),ISNUMBER('Raw data'!BG187),ISNUMBER('Raw data'!BH187)),IF(SIGN('Raw data'!BG187-'Raw data'!BH187)=SIGN('Real results'!C187-'Real results'!D187),3+IF(AND('Raw data'!BG187='Real results'!C187,'Raw data'!BH187='Real results'!D187),2,0),0),0),0)</f>
        <v>0</v>
      </c>
      <c r="BI192" s="34">
        <f>IFERROR(IF(AND(ISNUMBER('Real results'!C187),ISNUMBER('Real results'!D187),ISNUMBER('Raw data'!BI187),ISNUMBER('Raw data'!BJ187)),IF(SIGN('Raw data'!BI187-'Raw data'!BJ187)=SIGN('Real results'!C187-'Real results'!D187),3+IF(AND('Raw data'!BI187='Real results'!C187,'Raw data'!BJ187='Real results'!D187),2,0),0),0),0)</f>
        <v>0</v>
      </c>
    </row>
    <row r="193" ht="18.0" customHeight="1">
      <c r="B193" s="12" t="s">
        <v>449</v>
      </c>
      <c r="C193" s="34">
        <v>0.0</v>
      </c>
      <c r="E193" s="34">
        <v>0.0</v>
      </c>
      <c r="G193" s="34">
        <v>0.0</v>
      </c>
      <c r="I193" s="34">
        <v>0.0</v>
      </c>
      <c r="K193" s="34">
        <v>0.0</v>
      </c>
      <c r="M193" s="34">
        <v>0.0</v>
      </c>
      <c r="O193" s="34">
        <v>0.0</v>
      </c>
      <c r="Q193" s="34">
        <v>0.0</v>
      </c>
      <c r="S193" s="34">
        <v>0.0</v>
      </c>
      <c r="U193" s="34">
        <v>0.0</v>
      </c>
      <c r="W193" s="34">
        <v>0.0</v>
      </c>
      <c r="Y193" s="34">
        <v>0.0</v>
      </c>
      <c r="AA193" s="34">
        <v>0.0</v>
      </c>
      <c r="AC193" s="34">
        <v>0.0</v>
      </c>
      <c r="AE193" s="34">
        <v>0.0</v>
      </c>
      <c r="AG193" s="34">
        <v>0.0</v>
      </c>
      <c r="AI193" s="34">
        <v>0.0</v>
      </c>
      <c r="AK193" s="34">
        <v>0.0</v>
      </c>
      <c r="AM193" s="34">
        <v>0.0</v>
      </c>
      <c r="AO193" s="34">
        <v>0.0</v>
      </c>
      <c r="AQ193" s="34">
        <v>0.0</v>
      </c>
      <c r="AS193" s="34">
        <v>0.0</v>
      </c>
      <c r="AU193" s="34">
        <v>0.0</v>
      </c>
      <c r="AW193" s="34">
        <v>0.0</v>
      </c>
      <c r="AY193" s="34">
        <v>0.0</v>
      </c>
      <c r="BA193" s="34">
        <v>0.0</v>
      </c>
      <c r="BC193" s="34">
        <v>0.0</v>
      </c>
      <c r="BE193" s="34">
        <v>0.0</v>
      </c>
      <c r="BG193" s="34">
        <v>0.0</v>
      </c>
      <c r="BI193" s="34">
        <v>0.0</v>
      </c>
    </row>
    <row r="194" ht="18.0" customHeight="1">
      <c r="B194" s="12" t="s">
        <v>450</v>
      </c>
      <c r="C194" s="34">
        <f>IFERROR(IF(AND('Real results'!C189&lt;&gt;"",'Raw data'!C189&lt;&gt;"",UPPER(TRIM('Real results'!C189))=UPPER(TRIM('Raw data'!C189))),2,0),0)</f>
        <v>0</v>
      </c>
      <c r="E194" s="34">
        <f>IFERROR(IF(AND('Real results'!C189&lt;&gt;"",'Raw data'!E189&lt;&gt;"",UPPER(TRIM('Real results'!C189))=UPPER(TRIM('Raw data'!E189))),2,0),0)</f>
        <v>0</v>
      </c>
      <c r="G194" s="34">
        <f>IFERROR(IF(AND('Real results'!C189&lt;&gt;"",'Raw data'!G189&lt;&gt;"",UPPER(TRIM('Real results'!C189))=UPPER(TRIM('Raw data'!G189))),2,0),0)</f>
        <v>0</v>
      </c>
      <c r="I194" s="34">
        <f>IFERROR(IF(AND('Real results'!C189&lt;&gt;"",'Raw data'!I189&lt;&gt;"",UPPER(TRIM('Real results'!C189))=UPPER(TRIM('Raw data'!I189))),2,0),0)</f>
        <v>0</v>
      </c>
      <c r="K194" s="34">
        <f>IFERROR(IF(AND('Real results'!C189&lt;&gt;"",'Raw data'!K189&lt;&gt;"",UPPER(TRIM('Real results'!C189))=UPPER(TRIM('Raw data'!K189))),2,0),0)</f>
        <v>0</v>
      </c>
      <c r="M194" s="34">
        <f>IFERROR(IF(AND('Real results'!C189&lt;&gt;"",'Raw data'!M189&lt;&gt;"",UPPER(TRIM('Real results'!C189))=UPPER(TRIM('Raw data'!M189))),2,0),0)</f>
        <v>0</v>
      </c>
      <c r="O194" s="34">
        <f>IFERROR(IF(AND('Real results'!C189&lt;&gt;"",'Raw data'!O189&lt;&gt;"",UPPER(TRIM('Real results'!C189))=UPPER(TRIM('Raw data'!O189))),2,0),0)</f>
        <v>0</v>
      </c>
      <c r="Q194" s="34">
        <f>IFERROR(IF(AND('Real results'!C189&lt;&gt;"",'Raw data'!Q189&lt;&gt;"",UPPER(TRIM('Real results'!C189))=UPPER(TRIM('Raw data'!Q189))),2,0),0)</f>
        <v>0</v>
      </c>
      <c r="S194" s="34">
        <f>IFERROR(IF(AND('Real results'!C189&lt;&gt;"",'Raw data'!S189&lt;&gt;"",UPPER(TRIM('Real results'!C189))=UPPER(TRIM('Raw data'!S189))),2,0),0)</f>
        <v>0</v>
      </c>
      <c r="U194" s="34">
        <f>IFERROR(IF(AND('Real results'!C189&lt;&gt;"",'Raw data'!U189&lt;&gt;"",UPPER(TRIM('Real results'!C189))=UPPER(TRIM('Raw data'!U189))),2,0),0)</f>
        <v>0</v>
      </c>
      <c r="W194" s="34">
        <f>IFERROR(IF(AND('Real results'!C189&lt;&gt;"",'Raw data'!W189&lt;&gt;"",UPPER(TRIM('Real results'!C189))=UPPER(TRIM('Raw data'!W189))),2,0),0)</f>
        <v>0</v>
      </c>
      <c r="Y194" s="34">
        <f>IFERROR(IF(AND('Real results'!C189&lt;&gt;"",'Raw data'!Y189&lt;&gt;"",UPPER(TRIM('Real results'!C189))=UPPER(TRIM('Raw data'!Y189))),2,0),0)</f>
        <v>0</v>
      </c>
      <c r="AA194" s="34">
        <f>IFERROR(IF(AND('Real results'!C189&lt;&gt;"",'Raw data'!AA189&lt;&gt;"",UPPER(TRIM('Real results'!C189))=UPPER(TRIM('Raw data'!AA189))),2,0),0)</f>
        <v>0</v>
      </c>
      <c r="AC194" s="34">
        <f>IFERROR(IF(AND('Real results'!C189&lt;&gt;"",'Raw data'!AC189&lt;&gt;"",UPPER(TRIM('Real results'!C189))=UPPER(TRIM('Raw data'!AC189))),2,0),0)</f>
        <v>0</v>
      </c>
      <c r="AE194" s="34">
        <f>IFERROR(IF(AND('Real results'!C189&lt;&gt;"",'Raw data'!AE189&lt;&gt;"",UPPER(TRIM('Real results'!C189))=UPPER(TRIM('Raw data'!AE189))),2,0),0)</f>
        <v>0</v>
      </c>
      <c r="AG194" s="34">
        <f>IFERROR(IF(AND('Real results'!C189&lt;&gt;"",'Raw data'!AG189&lt;&gt;"",UPPER(TRIM('Real results'!C189))=UPPER(TRIM('Raw data'!AG189))),2,0),0)</f>
        <v>0</v>
      </c>
      <c r="AI194" s="34">
        <f>IFERROR(IF(AND('Real results'!C189&lt;&gt;"",'Raw data'!AI189&lt;&gt;"",UPPER(TRIM('Real results'!C189))=UPPER(TRIM('Raw data'!AI189))),2,0),0)</f>
        <v>0</v>
      </c>
      <c r="AK194" s="34">
        <f>IFERROR(IF(AND('Real results'!C189&lt;&gt;"",'Raw data'!AK189&lt;&gt;"",UPPER(TRIM('Real results'!C189))=UPPER(TRIM('Raw data'!AK189))),2,0),0)</f>
        <v>0</v>
      </c>
      <c r="AM194" s="34">
        <f>IFERROR(IF(AND('Real results'!C189&lt;&gt;"",'Raw data'!AM189&lt;&gt;"",UPPER(TRIM('Real results'!C189))=UPPER(TRIM('Raw data'!AM189))),2,0),0)</f>
        <v>0</v>
      </c>
      <c r="AO194" s="34">
        <f>IFERROR(IF(AND('Real results'!C189&lt;&gt;"",'Raw data'!AO189&lt;&gt;"",UPPER(TRIM('Real results'!C189))=UPPER(TRIM('Raw data'!AO189))),2,0),0)</f>
        <v>0</v>
      </c>
      <c r="AQ194" s="34">
        <f>IFERROR(IF(AND('Real results'!C189&lt;&gt;"",'Raw data'!AQ189&lt;&gt;"",UPPER(TRIM('Real results'!C189))=UPPER(TRIM('Raw data'!AQ189))),2,0),0)</f>
        <v>0</v>
      </c>
      <c r="AS194" s="34">
        <f>IFERROR(IF(AND('Real results'!C189&lt;&gt;"",'Raw data'!AS189&lt;&gt;"",UPPER(TRIM('Real results'!C189))=UPPER(TRIM('Raw data'!AS189))),2,0),0)</f>
        <v>0</v>
      </c>
      <c r="AU194" s="34">
        <f>IFERROR(IF(AND('Real results'!C189&lt;&gt;"",'Raw data'!AU189&lt;&gt;"",UPPER(TRIM('Real results'!C189))=UPPER(TRIM('Raw data'!AU189))),2,0),0)</f>
        <v>0</v>
      </c>
      <c r="AW194" s="34">
        <f>IFERROR(IF(AND('Real results'!C189&lt;&gt;"",'Raw data'!AW189&lt;&gt;"",UPPER(TRIM('Real results'!C189))=UPPER(TRIM('Raw data'!AW189))),2,0),0)</f>
        <v>0</v>
      </c>
      <c r="AY194" s="34">
        <f>IFERROR(IF(AND('Real results'!C189&lt;&gt;"",'Raw data'!AY189&lt;&gt;"",UPPER(TRIM('Real results'!C189))=UPPER(TRIM('Raw data'!AY189))),2,0),0)</f>
        <v>0</v>
      </c>
      <c r="BA194" s="34">
        <f>IFERROR(IF(AND('Real results'!C189&lt;&gt;"",'Raw data'!BA189&lt;&gt;"",UPPER(TRIM('Real results'!C189))=UPPER(TRIM('Raw data'!BA189))),2,0),0)</f>
        <v>0</v>
      </c>
      <c r="BC194" s="34">
        <f>IFERROR(IF(AND('Real results'!C189&lt;&gt;"",'Raw data'!BC189&lt;&gt;"",UPPER(TRIM('Real results'!C189))=UPPER(TRIM('Raw data'!BC189))),2,0),0)</f>
        <v>0</v>
      </c>
      <c r="BE194" s="34">
        <f>IFERROR(IF(AND('Real results'!C189&lt;&gt;"",'Raw data'!BE189&lt;&gt;"",UPPER(TRIM('Real results'!C189))=UPPER(TRIM('Raw data'!BE189))),2,0),0)</f>
        <v>0</v>
      </c>
      <c r="BG194" s="34">
        <f>IFERROR(IF(AND('Real results'!C189&lt;&gt;"",'Raw data'!BG189&lt;&gt;"",UPPER(TRIM('Real results'!C189))=UPPER(TRIM('Raw data'!BG189))),2,0),0)</f>
        <v>0</v>
      </c>
      <c r="BI194" s="34">
        <f>IFERROR(IF(AND('Real results'!C189&lt;&gt;"",'Raw data'!BI189&lt;&gt;"",UPPER(TRIM('Real results'!C189))=UPPER(TRIM('Raw data'!BI189))),2,0),0)</f>
        <v>0</v>
      </c>
    </row>
    <row r="195" ht="18.0" customHeight="1">
      <c r="B195" s="12" t="s">
        <v>451</v>
      </c>
      <c r="C195" s="34">
        <f>IFERROR(IF(AND(ISNUMBER('Real results'!C190),ISNUMBER('Real results'!D190),ISNUMBER('Raw data'!C190),ISNUMBER('Raw data'!D190)),IF(SIGN('Raw data'!C190-'Raw data'!D190)=SIGN('Real results'!C190-'Real results'!D190),3+IF(AND('Raw data'!C190='Real results'!C190,'Raw data'!D190='Real results'!D190),2,0),0),0),0)</f>
        <v>0</v>
      </c>
      <c r="E195" s="34">
        <f>IFERROR(IF(AND(ISNUMBER('Real results'!C190),ISNUMBER('Real results'!D190),ISNUMBER('Raw data'!E190),ISNUMBER('Raw data'!F190)),IF(SIGN('Raw data'!E190-'Raw data'!F190)=SIGN('Real results'!C190-'Real results'!D190),3+IF(AND('Raw data'!E190='Real results'!C190,'Raw data'!F190='Real results'!D190),2,0),0),0),0)</f>
        <v>0</v>
      </c>
      <c r="G195" s="34">
        <f>IFERROR(IF(AND(ISNUMBER('Real results'!C190),ISNUMBER('Real results'!D190),ISNUMBER('Raw data'!G190),ISNUMBER('Raw data'!H190)),IF(SIGN('Raw data'!G190-'Raw data'!H190)=SIGN('Real results'!C190-'Real results'!D190),3+IF(AND('Raw data'!G190='Real results'!C190,'Raw data'!H190='Real results'!D190),2,0),0),0),0)</f>
        <v>0</v>
      </c>
      <c r="I195" s="34">
        <f>IFERROR(IF(AND(ISNUMBER('Real results'!C190),ISNUMBER('Real results'!D190),ISNUMBER('Raw data'!I190),ISNUMBER('Raw data'!J190)),IF(SIGN('Raw data'!I190-'Raw data'!J190)=SIGN('Real results'!C190-'Real results'!D190),3+IF(AND('Raw data'!I190='Real results'!C190,'Raw data'!J190='Real results'!D190),2,0),0),0),0)</f>
        <v>0</v>
      </c>
      <c r="K195" s="34">
        <f>IFERROR(IF(AND(ISNUMBER('Real results'!C190),ISNUMBER('Real results'!D190),ISNUMBER('Raw data'!K190),ISNUMBER('Raw data'!L190)),IF(SIGN('Raw data'!K190-'Raw data'!L190)=SIGN('Real results'!C190-'Real results'!D190),3+IF(AND('Raw data'!K190='Real results'!C190,'Raw data'!L190='Real results'!D190),2,0),0),0),0)</f>
        <v>0</v>
      </c>
      <c r="M195" s="34">
        <f>IFERROR(IF(AND(ISNUMBER('Real results'!C190),ISNUMBER('Real results'!D190),ISNUMBER('Raw data'!M190),ISNUMBER('Raw data'!N190)),IF(SIGN('Raw data'!M190-'Raw data'!N190)=SIGN('Real results'!C190-'Real results'!D190),3+IF(AND('Raw data'!M190='Real results'!C190,'Raw data'!N190='Real results'!D190),2,0),0),0),0)</f>
        <v>0</v>
      </c>
      <c r="O195" s="34">
        <f>IFERROR(IF(AND(ISNUMBER('Real results'!C190),ISNUMBER('Real results'!D190),ISNUMBER('Raw data'!O190),ISNUMBER('Raw data'!P190)),IF(SIGN('Raw data'!O190-'Raw data'!P190)=SIGN('Real results'!C190-'Real results'!D190),3+IF(AND('Raw data'!O190='Real results'!C190,'Raw data'!P190='Real results'!D190),2,0),0),0),0)</f>
        <v>0</v>
      </c>
      <c r="Q195" s="34">
        <f>IFERROR(IF(AND(ISNUMBER('Real results'!C190),ISNUMBER('Real results'!D190),ISNUMBER('Raw data'!Q190),ISNUMBER('Raw data'!R190)),IF(SIGN('Raw data'!Q190-'Raw data'!R190)=SIGN('Real results'!C190-'Real results'!D190),3+IF(AND('Raw data'!Q190='Real results'!C190,'Raw data'!R190='Real results'!D190),2,0),0),0),0)</f>
        <v>0</v>
      </c>
      <c r="S195" s="34">
        <f>IFERROR(IF(AND(ISNUMBER('Real results'!C190),ISNUMBER('Real results'!D190),ISNUMBER('Raw data'!S190),ISNUMBER('Raw data'!T190)),IF(SIGN('Raw data'!S190-'Raw data'!T190)=SIGN('Real results'!C190-'Real results'!D190),3+IF(AND('Raw data'!S190='Real results'!C190,'Raw data'!T190='Real results'!D190),2,0),0),0),0)</f>
        <v>0</v>
      </c>
      <c r="U195" s="34">
        <f>IFERROR(IF(AND(ISNUMBER('Real results'!C190),ISNUMBER('Real results'!D190),ISNUMBER('Raw data'!U190),ISNUMBER('Raw data'!V190)),IF(SIGN('Raw data'!U190-'Raw data'!V190)=SIGN('Real results'!C190-'Real results'!D190),3+IF(AND('Raw data'!U190='Real results'!C190,'Raw data'!V190='Real results'!D190),2,0),0),0),0)</f>
        <v>0</v>
      </c>
      <c r="W195" s="34">
        <f>IFERROR(IF(AND(ISNUMBER('Real results'!C190),ISNUMBER('Real results'!D190),ISNUMBER('Raw data'!W190),ISNUMBER('Raw data'!X190)),IF(SIGN('Raw data'!W190-'Raw data'!X190)=SIGN('Real results'!C190-'Real results'!D190),3+IF(AND('Raw data'!W190='Real results'!C190,'Raw data'!X190='Real results'!D190),2,0),0),0),0)</f>
        <v>0</v>
      </c>
      <c r="Y195" s="34">
        <f>IFERROR(IF(AND(ISNUMBER('Real results'!C190),ISNUMBER('Real results'!D190),ISNUMBER('Raw data'!Y190),ISNUMBER('Raw data'!Z190)),IF(SIGN('Raw data'!Y190-'Raw data'!Z190)=SIGN('Real results'!C190-'Real results'!D190),3+IF(AND('Raw data'!Y190='Real results'!C190,'Raw data'!Z190='Real results'!D190),2,0),0),0),0)</f>
        <v>0</v>
      </c>
      <c r="AA195" s="34">
        <f>IFERROR(IF(AND(ISNUMBER('Real results'!C190),ISNUMBER('Real results'!D190),ISNUMBER('Raw data'!AA190),ISNUMBER('Raw data'!AB190)),IF(SIGN('Raw data'!AA190-'Raw data'!AB190)=SIGN('Real results'!C190-'Real results'!D190),3+IF(AND('Raw data'!AA190='Real results'!C190,'Raw data'!AB190='Real results'!D190),2,0),0),0),0)</f>
        <v>0</v>
      </c>
      <c r="AC195" s="34">
        <f>IFERROR(IF(AND(ISNUMBER('Real results'!C190),ISNUMBER('Real results'!D190),ISNUMBER('Raw data'!AC190),ISNUMBER('Raw data'!AD190)),IF(SIGN('Raw data'!AC190-'Raw data'!AD190)=SIGN('Real results'!C190-'Real results'!D190),3+IF(AND('Raw data'!AC190='Real results'!C190,'Raw data'!AD190='Real results'!D190),2,0),0),0),0)</f>
        <v>0</v>
      </c>
      <c r="AE195" s="34">
        <f>IFERROR(IF(AND(ISNUMBER('Real results'!C190),ISNUMBER('Real results'!D190),ISNUMBER('Raw data'!AE190),ISNUMBER('Raw data'!AF190)),IF(SIGN('Raw data'!AE190-'Raw data'!AF190)=SIGN('Real results'!C190-'Real results'!D190),3+IF(AND('Raw data'!AE190='Real results'!C190,'Raw data'!AF190='Real results'!D190),2,0),0),0),0)</f>
        <v>0</v>
      </c>
      <c r="AG195" s="34">
        <f>IFERROR(IF(AND(ISNUMBER('Real results'!C190),ISNUMBER('Real results'!D190),ISNUMBER('Raw data'!AG190),ISNUMBER('Raw data'!AH190)),IF(SIGN('Raw data'!AG190-'Raw data'!AH190)=SIGN('Real results'!C190-'Real results'!D190),3+IF(AND('Raw data'!AG190='Real results'!C190,'Raw data'!AH190='Real results'!D190),2,0),0),0),0)</f>
        <v>0</v>
      </c>
      <c r="AI195" s="34">
        <f>IFERROR(IF(AND(ISNUMBER('Real results'!C190),ISNUMBER('Real results'!D190),ISNUMBER('Raw data'!AI190),ISNUMBER('Raw data'!AJ190)),IF(SIGN('Raw data'!AI190-'Raw data'!AJ190)=SIGN('Real results'!C190-'Real results'!D190),3+IF(AND('Raw data'!AI190='Real results'!C190,'Raw data'!AJ190='Real results'!D190),2,0),0),0),0)</f>
        <v>0</v>
      </c>
      <c r="AK195" s="34">
        <f>IFERROR(IF(AND(ISNUMBER('Real results'!C190),ISNUMBER('Real results'!D190),ISNUMBER('Raw data'!AK190),ISNUMBER('Raw data'!AL190)),IF(SIGN('Raw data'!AK190-'Raw data'!AL190)=SIGN('Real results'!C190-'Real results'!D190),3+IF(AND('Raw data'!AK190='Real results'!C190,'Raw data'!AL190='Real results'!D190),2,0),0),0),0)</f>
        <v>0</v>
      </c>
      <c r="AM195" s="34">
        <f>IFERROR(IF(AND(ISNUMBER('Real results'!C190),ISNUMBER('Real results'!D190),ISNUMBER('Raw data'!AM190),ISNUMBER('Raw data'!AN190)),IF(SIGN('Raw data'!AM190-'Raw data'!AN190)=SIGN('Real results'!C190-'Real results'!D190),3+IF(AND('Raw data'!AM190='Real results'!C190,'Raw data'!AN190='Real results'!D190),2,0),0),0),0)</f>
        <v>0</v>
      </c>
      <c r="AO195" s="34">
        <f>IFERROR(IF(AND(ISNUMBER('Real results'!C190),ISNUMBER('Real results'!D190),ISNUMBER('Raw data'!AO190),ISNUMBER('Raw data'!AP190)),IF(SIGN('Raw data'!AO190-'Raw data'!AP190)=SIGN('Real results'!C190-'Real results'!D190),3+IF(AND('Raw data'!AO190='Real results'!C190,'Raw data'!AP190='Real results'!D190),2,0),0),0),0)</f>
        <v>0</v>
      </c>
      <c r="AQ195" s="34">
        <f>IFERROR(IF(AND(ISNUMBER('Real results'!C190),ISNUMBER('Real results'!D190),ISNUMBER('Raw data'!AQ190),ISNUMBER('Raw data'!AR190)),IF(SIGN('Raw data'!AQ190-'Raw data'!AR190)=SIGN('Real results'!C190-'Real results'!D190),3+IF(AND('Raw data'!AQ190='Real results'!C190,'Raw data'!AR190='Real results'!D190),2,0),0),0),0)</f>
        <v>0</v>
      </c>
      <c r="AS195" s="34">
        <f>IFERROR(IF(AND(ISNUMBER('Real results'!C190),ISNUMBER('Real results'!D190),ISNUMBER('Raw data'!AS190),ISNUMBER('Raw data'!AT190)),IF(SIGN('Raw data'!AS190-'Raw data'!AT190)=SIGN('Real results'!C190-'Real results'!D190),3+IF(AND('Raw data'!AS190='Real results'!C190,'Raw data'!AT190='Real results'!D190),2,0),0),0),0)</f>
        <v>0</v>
      </c>
      <c r="AU195" s="34">
        <f>IFERROR(IF(AND(ISNUMBER('Real results'!C190),ISNUMBER('Real results'!D190),ISNUMBER('Raw data'!AU190),ISNUMBER('Raw data'!AV190)),IF(SIGN('Raw data'!AU190-'Raw data'!AV190)=SIGN('Real results'!C190-'Real results'!D190),3+IF(AND('Raw data'!AU190='Real results'!C190,'Raw data'!AV190='Real results'!D190),2,0),0),0),0)</f>
        <v>0</v>
      </c>
      <c r="AW195" s="34">
        <f>IFERROR(IF(AND(ISNUMBER('Real results'!C190),ISNUMBER('Real results'!D190),ISNUMBER('Raw data'!AW190),ISNUMBER('Raw data'!AX190)),IF(SIGN('Raw data'!AW190-'Raw data'!AX190)=SIGN('Real results'!C190-'Real results'!D190),3+IF(AND('Raw data'!AW190='Real results'!C190,'Raw data'!AX190='Real results'!D190),2,0),0),0),0)</f>
        <v>0</v>
      </c>
      <c r="AY195" s="34">
        <f>IFERROR(IF(AND(ISNUMBER('Real results'!C190),ISNUMBER('Real results'!D190),ISNUMBER('Raw data'!AY190),ISNUMBER('Raw data'!AZ190)),IF(SIGN('Raw data'!AY190-'Raw data'!AZ190)=SIGN('Real results'!C190-'Real results'!D190),3+IF(AND('Raw data'!AY190='Real results'!C190,'Raw data'!AZ190='Real results'!D190),2,0),0),0),0)</f>
        <v>0</v>
      </c>
      <c r="BA195" s="34">
        <f>IFERROR(IF(AND(ISNUMBER('Real results'!C190),ISNUMBER('Real results'!D190),ISNUMBER('Raw data'!BA190),ISNUMBER('Raw data'!BB190)),IF(SIGN('Raw data'!BA190-'Raw data'!BB190)=SIGN('Real results'!C190-'Real results'!D190),3+IF(AND('Raw data'!BA190='Real results'!C190,'Raw data'!BB190='Real results'!D190),2,0),0),0),0)</f>
        <v>0</v>
      </c>
      <c r="BC195" s="34">
        <f>IFERROR(IF(AND(ISNUMBER('Real results'!C190),ISNUMBER('Real results'!D190),ISNUMBER('Raw data'!BC190),ISNUMBER('Raw data'!BD190)),IF(SIGN('Raw data'!BC190-'Raw data'!BD190)=SIGN('Real results'!C190-'Real results'!D190),3+IF(AND('Raw data'!BC190='Real results'!C190,'Raw data'!BD190='Real results'!D190),2,0),0),0),0)</f>
        <v>0</v>
      </c>
      <c r="BE195" s="34">
        <f>IFERROR(IF(AND(ISNUMBER('Real results'!C190),ISNUMBER('Real results'!D190),ISNUMBER('Raw data'!BE190),ISNUMBER('Raw data'!BF190)),IF(SIGN('Raw data'!BE190-'Raw data'!BF190)=SIGN('Real results'!C190-'Real results'!D190),3+IF(AND('Raw data'!BE190='Real results'!C190,'Raw data'!BF190='Real results'!D190),2,0),0),0),0)</f>
        <v>0</v>
      </c>
      <c r="BG195" s="34">
        <f>IFERROR(IF(AND(ISNUMBER('Real results'!C190),ISNUMBER('Real results'!D190),ISNUMBER('Raw data'!BG190),ISNUMBER('Raw data'!BH190)),IF(SIGN('Raw data'!BG190-'Raw data'!BH190)=SIGN('Real results'!C190-'Real results'!D190),3+IF(AND('Raw data'!BG190='Real results'!C190,'Raw data'!BH190='Real results'!D190),2,0),0),0),0)</f>
        <v>0</v>
      </c>
      <c r="BI195" s="34">
        <f>IFERROR(IF(AND(ISNUMBER('Real results'!C190),ISNUMBER('Real results'!D190),ISNUMBER('Raw data'!BI190),ISNUMBER('Raw data'!BJ190)),IF(SIGN('Raw data'!BI190-'Raw data'!BJ190)=SIGN('Real results'!C190-'Real results'!D190),3+IF(AND('Raw data'!BI190='Real results'!C190,'Raw data'!BJ190='Real results'!D190),2,0),0),0),0)</f>
        <v>0</v>
      </c>
    </row>
    <row r="196" ht="18.0" customHeight="1">
      <c r="B196" s="12" t="s">
        <v>452</v>
      </c>
      <c r="C196" s="34">
        <v>0.0</v>
      </c>
      <c r="E196" s="34">
        <v>0.0</v>
      </c>
      <c r="G196" s="34">
        <v>0.0</v>
      </c>
      <c r="I196" s="34">
        <v>0.0</v>
      </c>
      <c r="K196" s="34">
        <v>0.0</v>
      </c>
      <c r="M196" s="34">
        <v>0.0</v>
      </c>
      <c r="O196" s="34">
        <v>0.0</v>
      </c>
      <c r="Q196" s="34">
        <v>0.0</v>
      </c>
      <c r="S196" s="34">
        <v>0.0</v>
      </c>
      <c r="U196" s="34">
        <v>0.0</v>
      </c>
      <c r="W196" s="34">
        <v>0.0</v>
      </c>
      <c r="Y196" s="34">
        <v>0.0</v>
      </c>
      <c r="AA196" s="34">
        <v>0.0</v>
      </c>
      <c r="AC196" s="34">
        <v>0.0</v>
      </c>
      <c r="AE196" s="34">
        <v>0.0</v>
      </c>
      <c r="AG196" s="34">
        <v>0.0</v>
      </c>
      <c r="AI196" s="34">
        <v>0.0</v>
      </c>
      <c r="AK196" s="34">
        <v>0.0</v>
      </c>
      <c r="AM196" s="34">
        <v>0.0</v>
      </c>
      <c r="AO196" s="34">
        <v>0.0</v>
      </c>
      <c r="AQ196" s="34">
        <v>0.0</v>
      </c>
      <c r="AS196" s="34">
        <v>0.0</v>
      </c>
      <c r="AU196" s="34">
        <v>0.0</v>
      </c>
      <c r="AW196" s="34">
        <v>0.0</v>
      </c>
      <c r="AY196" s="34">
        <v>0.0</v>
      </c>
      <c r="BA196" s="34">
        <v>0.0</v>
      </c>
      <c r="BC196" s="34">
        <v>0.0</v>
      </c>
      <c r="BE196" s="34">
        <v>0.0</v>
      </c>
      <c r="BG196" s="34">
        <v>0.0</v>
      </c>
      <c r="BI196" s="34">
        <v>0.0</v>
      </c>
    </row>
    <row r="197" ht="18.0" customHeight="1">
      <c r="B197" s="12" t="s">
        <v>453</v>
      </c>
      <c r="C197" s="34">
        <f>IFERROR(IF(AND('Real results'!C192&lt;&gt;"",'Raw data'!C192&lt;&gt;"",UPPER(TRIM('Real results'!C192))=UPPER(TRIM('Raw data'!C192))),2,0),0)</f>
        <v>0</v>
      </c>
      <c r="E197" s="34">
        <f>IFERROR(IF(AND('Real results'!C192&lt;&gt;"",'Raw data'!E192&lt;&gt;"",UPPER(TRIM('Real results'!C192))=UPPER(TRIM('Raw data'!E192))),2,0),0)</f>
        <v>0</v>
      </c>
      <c r="G197" s="34">
        <f>IFERROR(IF(AND('Real results'!C192&lt;&gt;"",'Raw data'!G192&lt;&gt;"",UPPER(TRIM('Real results'!C192))=UPPER(TRIM('Raw data'!G192))),2,0),0)</f>
        <v>0</v>
      </c>
      <c r="I197" s="34">
        <f>IFERROR(IF(AND('Real results'!C192&lt;&gt;"",'Raw data'!I192&lt;&gt;"",UPPER(TRIM('Real results'!C192))=UPPER(TRIM('Raw data'!I192))),2,0),0)</f>
        <v>0</v>
      </c>
      <c r="K197" s="34">
        <f>IFERROR(IF(AND('Real results'!C192&lt;&gt;"",'Raw data'!K192&lt;&gt;"",UPPER(TRIM('Real results'!C192))=UPPER(TRIM('Raw data'!K192))),2,0),0)</f>
        <v>0</v>
      </c>
      <c r="M197" s="34">
        <f>IFERROR(IF(AND('Real results'!C192&lt;&gt;"",'Raw data'!M192&lt;&gt;"",UPPER(TRIM('Real results'!C192))=UPPER(TRIM('Raw data'!M192))),2,0),0)</f>
        <v>0</v>
      </c>
      <c r="O197" s="34">
        <f>IFERROR(IF(AND('Real results'!C192&lt;&gt;"",'Raw data'!O192&lt;&gt;"",UPPER(TRIM('Real results'!C192))=UPPER(TRIM('Raw data'!O192))),2,0),0)</f>
        <v>0</v>
      </c>
      <c r="Q197" s="34">
        <f>IFERROR(IF(AND('Real results'!C192&lt;&gt;"",'Raw data'!Q192&lt;&gt;"",UPPER(TRIM('Real results'!C192))=UPPER(TRIM('Raw data'!Q192))),2,0),0)</f>
        <v>0</v>
      </c>
      <c r="S197" s="34">
        <f>IFERROR(IF(AND('Real results'!C192&lt;&gt;"",'Raw data'!S192&lt;&gt;"",UPPER(TRIM('Real results'!C192))=UPPER(TRIM('Raw data'!S192))),2,0),0)</f>
        <v>0</v>
      </c>
      <c r="U197" s="34">
        <f>IFERROR(IF(AND('Real results'!C192&lt;&gt;"",'Raw data'!U192&lt;&gt;"",UPPER(TRIM('Real results'!C192))=UPPER(TRIM('Raw data'!U192))),2,0),0)</f>
        <v>0</v>
      </c>
      <c r="W197" s="34">
        <f>IFERROR(IF(AND('Real results'!C192&lt;&gt;"",'Raw data'!W192&lt;&gt;"",UPPER(TRIM('Real results'!C192))=UPPER(TRIM('Raw data'!W192))),2,0),0)</f>
        <v>0</v>
      </c>
      <c r="Y197" s="34">
        <f>IFERROR(IF(AND('Real results'!C192&lt;&gt;"",'Raw data'!Y192&lt;&gt;"",UPPER(TRIM('Real results'!C192))=UPPER(TRIM('Raw data'!Y192))),2,0),0)</f>
        <v>0</v>
      </c>
      <c r="AA197" s="34">
        <f>IFERROR(IF(AND('Real results'!C192&lt;&gt;"",'Raw data'!AA192&lt;&gt;"",UPPER(TRIM('Real results'!C192))=UPPER(TRIM('Raw data'!AA192))),2,0),0)</f>
        <v>0</v>
      </c>
      <c r="AC197" s="34">
        <f>IFERROR(IF(AND('Real results'!C192&lt;&gt;"",'Raw data'!AC192&lt;&gt;"",UPPER(TRIM('Real results'!C192))=UPPER(TRIM('Raw data'!AC192))),2,0),0)</f>
        <v>0</v>
      </c>
      <c r="AE197" s="34">
        <f>IFERROR(IF(AND('Real results'!C192&lt;&gt;"",'Raw data'!AE192&lt;&gt;"",UPPER(TRIM('Real results'!C192))=UPPER(TRIM('Raw data'!AE192))),2,0),0)</f>
        <v>0</v>
      </c>
      <c r="AG197" s="34">
        <f>IFERROR(IF(AND('Real results'!C192&lt;&gt;"",'Raw data'!AG192&lt;&gt;"",UPPER(TRIM('Real results'!C192))=UPPER(TRIM('Raw data'!AG192))),2,0),0)</f>
        <v>0</v>
      </c>
      <c r="AI197" s="34">
        <f>IFERROR(IF(AND('Real results'!C192&lt;&gt;"",'Raw data'!AI192&lt;&gt;"",UPPER(TRIM('Real results'!C192))=UPPER(TRIM('Raw data'!AI192))),2,0),0)</f>
        <v>0</v>
      </c>
      <c r="AK197" s="34">
        <f>IFERROR(IF(AND('Real results'!C192&lt;&gt;"",'Raw data'!AK192&lt;&gt;"",UPPER(TRIM('Real results'!C192))=UPPER(TRIM('Raw data'!AK192))),2,0),0)</f>
        <v>0</v>
      </c>
      <c r="AM197" s="34">
        <f>IFERROR(IF(AND('Real results'!C192&lt;&gt;"",'Raw data'!AM192&lt;&gt;"",UPPER(TRIM('Real results'!C192))=UPPER(TRIM('Raw data'!AM192))),2,0),0)</f>
        <v>0</v>
      </c>
      <c r="AO197" s="34">
        <f>IFERROR(IF(AND('Real results'!C192&lt;&gt;"",'Raw data'!AO192&lt;&gt;"",UPPER(TRIM('Real results'!C192))=UPPER(TRIM('Raw data'!AO192))),2,0),0)</f>
        <v>0</v>
      </c>
      <c r="AQ197" s="34">
        <f>IFERROR(IF(AND('Real results'!C192&lt;&gt;"",'Raw data'!AQ192&lt;&gt;"",UPPER(TRIM('Real results'!C192))=UPPER(TRIM('Raw data'!AQ192))),2,0),0)</f>
        <v>0</v>
      </c>
      <c r="AS197" s="34">
        <f>IFERROR(IF(AND('Real results'!C192&lt;&gt;"",'Raw data'!AS192&lt;&gt;"",UPPER(TRIM('Real results'!C192))=UPPER(TRIM('Raw data'!AS192))),2,0),0)</f>
        <v>0</v>
      </c>
      <c r="AU197" s="34">
        <f>IFERROR(IF(AND('Real results'!C192&lt;&gt;"",'Raw data'!AU192&lt;&gt;"",UPPER(TRIM('Real results'!C192))=UPPER(TRIM('Raw data'!AU192))),2,0),0)</f>
        <v>0</v>
      </c>
      <c r="AW197" s="34">
        <f>IFERROR(IF(AND('Real results'!C192&lt;&gt;"",'Raw data'!AW192&lt;&gt;"",UPPER(TRIM('Real results'!C192))=UPPER(TRIM('Raw data'!AW192))),2,0),0)</f>
        <v>0</v>
      </c>
      <c r="AY197" s="34">
        <f>IFERROR(IF(AND('Real results'!C192&lt;&gt;"",'Raw data'!AY192&lt;&gt;"",UPPER(TRIM('Real results'!C192))=UPPER(TRIM('Raw data'!AY192))),2,0),0)</f>
        <v>0</v>
      </c>
      <c r="BA197" s="34">
        <f>IFERROR(IF(AND('Real results'!C192&lt;&gt;"",'Raw data'!BA192&lt;&gt;"",UPPER(TRIM('Real results'!C192))=UPPER(TRIM('Raw data'!BA192))),2,0),0)</f>
        <v>0</v>
      </c>
      <c r="BC197" s="34">
        <f>IFERROR(IF(AND('Real results'!C192&lt;&gt;"",'Raw data'!BC192&lt;&gt;"",UPPER(TRIM('Real results'!C192))=UPPER(TRIM('Raw data'!BC192))),2,0),0)</f>
        <v>0</v>
      </c>
      <c r="BE197" s="34">
        <f>IFERROR(IF(AND('Real results'!C192&lt;&gt;"",'Raw data'!BE192&lt;&gt;"",UPPER(TRIM('Real results'!C192))=UPPER(TRIM('Raw data'!BE192))),2,0),0)</f>
        <v>0</v>
      </c>
      <c r="BG197" s="34">
        <f>IFERROR(IF(AND('Real results'!C192&lt;&gt;"",'Raw data'!BG192&lt;&gt;"",UPPER(TRIM('Real results'!C192))=UPPER(TRIM('Raw data'!BG192))),2,0),0)</f>
        <v>0</v>
      </c>
      <c r="BI197" s="34">
        <f>IFERROR(IF(AND('Real results'!C192&lt;&gt;"",'Raw data'!BI192&lt;&gt;"",UPPER(TRIM('Real results'!C192))=UPPER(TRIM('Raw data'!BI192))),2,0),0)</f>
        <v>0</v>
      </c>
    </row>
    <row r="198" ht="18.0" customHeight="1">
      <c r="B198" s="12" t="s">
        <v>454</v>
      </c>
      <c r="C198" s="34">
        <f>IFERROR(IF(AND(ISNUMBER('Real results'!C193),ISNUMBER('Real results'!D193),ISNUMBER('Raw data'!C193),ISNUMBER('Raw data'!D193)),IF(SIGN('Raw data'!C193-'Raw data'!D193)=SIGN('Real results'!C193-'Real results'!D193),3+IF(AND('Raw data'!C193='Real results'!C193,'Raw data'!D193='Real results'!D193),2,0),0),0),0)</f>
        <v>0</v>
      </c>
      <c r="E198" s="34">
        <f>IFERROR(IF(AND(ISNUMBER('Real results'!C193),ISNUMBER('Real results'!D193),ISNUMBER('Raw data'!E193),ISNUMBER('Raw data'!F193)),IF(SIGN('Raw data'!E193-'Raw data'!F193)=SIGN('Real results'!C193-'Real results'!D193),3+IF(AND('Raw data'!E193='Real results'!C193,'Raw data'!F193='Real results'!D193),2,0),0),0),0)</f>
        <v>0</v>
      </c>
      <c r="G198" s="34">
        <f>IFERROR(IF(AND(ISNUMBER('Real results'!C193),ISNUMBER('Real results'!D193),ISNUMBER('Raw data'!G193),ISNUMBER('Raw data'!H193)),IF(SIGN('Raw data'!G193-'Raw data'!H193)=SIGN('Real results'!C193-'Real results'!D193),3+IF(AND('Raw data'!G193='Real results'!C193,'Raw data'!H193='Real results'!D193),2,0),0),0),0)</f>
        <v>0</v>
      </c>
      <c r="I198" s="34">
        <f>IFERROR(IF(AND(ISNUMBER('Real results'!C193),ISNUMBER('Real results'!D193),ISNUMBER('Raw data'!I193),ISNUMBER('Raw data'!J193)),IF(SIGN('Raw data'!I193-'Raw data'!J193)=SIGN('Real results'!C193-'Real results'!D193),3+IF(AND('Raw data'!I193='Real results'!C193,'Raw data'!J193='Real results'!D193),2,0),0),0),0)</f>
        <v>0</v>
      </c>
      <c r="K198" s="34">
        <f>IFERROR(IF(AND(ISNUMBER('Real results'!C193),ISNUMBER('Real results'!D193),ISNUMBER('Raw data'!K193),ISNUMBER('Raw data'!L193)),IF(SIGN('Raw data'!K193-'Raw data'!L193)=SIGN('Real results'!C193-'Real results'!D193),3+IF(AND('Raw data'!K193='Real results'!C193,'Raw data'!L193='Real results'!D193),2,0),0),0),0)</f>
        <v>0</v>
      </c>
      <c r="M198" s="34">
        <f>IFERROR(IF(AND(ISNUMBER('Real results'!C193),ISNUMBER('Real results'!D193),ISNUMBER('Raw data'!M193),ISNUMBER('Raw data'!N193)),IF(SIGN('Raw data'!M193-'Raw data'!N193)=SIGN('Real results'!C193-'Real results'!D193),3+IF(AND('Raw data'!M193='Real results'!C193,'Raw data'!N193='Real results'!D193),2,0),0),0),0)</f>
        <v>0</v>
      </c>
      <c r="O198" s="34">
        <f>IFERROR(IF(AND(ISNUMBER('Real results'!C193),ISNUMBER('Real results'!D193),ISNUMBER('Raw data'!O193),ISNUMBER('Raw data'!P193)),IF(SIGN('Raw data'!O193-'Raw data'!P193)=SIGN('Real results'!C193-'Real results'!D193),3+IF(AND('Raw data'!O193='Real results'!C193,'Raw data'!P193='Real results'!D193),2,0),0),0),0)</f>
        <v>0</v>
      </c>
      <c r="Q198" s="34">
        <f>IFERROR(IF(AND(ISNUMBER('Real results'!C193),ISNUMBER('Real results'!D193),ISNUMBER('Raw data'!Q193),ISNUMBER('Raw data'!R193)),IF(SIGN('Raw data'!Q193-'Raw data'!R193)=SIGN('Real results'!C193-'Real results'!D193),3+IF(AND('Raw data'!Q193='Real results'!C193,'Raw data'!R193='Real results'!D193),2,0),0),0),0)</f>
        <v>0</v>
      </c>
      <c r="S198" s="34">
        <f>IFERROR(IF(AND(ISNUMBER('Real results'!C193),ISNUMBER('Real results'!D193),ISNUMBER('Raw data'!S193),ISNUMBER('Raw data'!T193)),IF(SIGN('Raw data'!S193-'Raw data'!T193)=SIGN('Real results'!C193-'Real results'!D193),3+IF(AND('Raw data'!S193='Real results'!C193,'Raw data'!T193='Real results'!D193),2,0),0),0),0)</f>
        <v>0</v>
      </c>
      <c r="U198" s="34">
        <f>IFERROR(IF(AND(ISNUMBER('Real results'!C193),ISNUMBER('Real results'!D193),ISNUMBER('Raw data'!U193),ISNUMBER('Raw data'!V193)),IF(SIGN('Raw data'!U193-'Raw data'!V193)=SIGN('Real results'!C193-'Real results'!D193),3+IF(AND('Raw data'!U193='Real results'!C193,'Raw data'!V193='Real results'!D193),2,0),0),0),0)</f>
        <v>0</v>
      </c>
      <c r="W198" s="34">
        <f>IFERROR(IF(AND(ISNUMBER('Real results'!C193),ISNUMBER('Real results'!D193),ISNUMBER('Raw data'!W193),ISNUMBER('Raw data'!X193)),IF(SIGN('Raw data'!W193-'Raw data'!X193)=SIGN('Real results'!C193-'Real results'!D193),3+IF(AND('Raw data'!W193='Real results'!C193,'Raw data'!X193='Real results'!D193),2,0),0),0),0)</f>
        <v>0</v>
      </c>
      <c r="Y198" s="34">
        <f>IFERROR(IF(AND(ISNUMBER('Real results'!C193),ISNUMBER('Real results'!D193),ISNUMBER('Raw data'!Y193),ISNUMBER('Raw data'!Z193)),IF(SIGN('Raw data'!Y193-'Raw data'!Z193)=SIGN('Real results'!C193-'Real results'!D193),3+IF(AND('Raw data'!Y193='Real results'!C193,'Raw data'!Z193='Real results'!D193),2,0),0),0),0)</f>
        <v>0</v>
      </c>
      <c r="AA198" s="34">
        <f>IFERROR(IF(AND(ISNUMBER('Real results'!C193),ISNUMBER('Real results'!D193),ISNUMBER('Raw data'!AA193),ISNUMBER('Raw data'!AB193)),IF(SIGN('Raw data'!AA193-'Raw data'!AB193)=SIGN('Real results'!C193-'Real results'!D193),3+IF(AND('Raw data'!AA193='Real results'!C193,'Raw data'!AB193='Real results'!D193),2,0),0),0),0)</f>
        <v>0</v>
      </c>
      <c r="AC198" s="34">
        <f>IFERROR(IF(AND(ISNUMBER('Real results'!C193),ISNUMBER('Real results'!D193),ISNUMBER('Raw data'!AC193),ISNUMBER('Raw data'!AD193)),IF(SIGN('Raw data'!AC193-'Raw data'!AD193)=SIGN('Real results'!C193-'Real results'!D193),3+IF(AND('Raw data'!AC193='Real results'!C193,'Raw data'!AD193='Real results'!D193),2,0),0),0),0)</f>
        <v>0</v>
      </c>
      <c r="AE198" s="34">
        <f>IFERROR(IF(AND(ISNUMBER('Real results'!C193),ISNUMBER('Real results'!D193),ISNUMBER('Raw data'!AE193),ISNUMBER('Raw data'!AF193)),IF(SIGN('Raw data'!AE193-'Raw data'!AF193)=SIGN('Real results'!C193-'Real results'!D193),3+IF(AND('Raw data'!AE193='Real results'!C193,'Raw data'!AF193='Real results'!D193),2,0),0),0),0)</f>
        <v>0</v>
      </c>
      <c r="AG198" s="34">
        <f>IFERROR(IF(AND(ISNUMBER('Real results'!C193),ISNUMBER('Real results'!D193),ISNUMBER('Raw data'!AG193),ISNUMBER('Raw data'!AH193)),IF(SIGN('Raw data'!AG193-'Raw data'!AH193)=SIGN('Real results'!C193-'Real results'!D193),3+IF(AND('Raw data'!AG193='Real results'!C193,'Raw data'!AH193='Real results'!D193),2,0),0),0),0)</f>
        <v>0</v>
      </c>
      <c r="AI198" s="34">
        <f>IFERROR(IF(AND(ISNUMBER('Real results'!C193),ISNUMBER('Real results'!D193),ISNUMBER('Raw data'!AI193),ISNUMBER('Raw data'!AJ193)),IF(SIGN('Raw data'!AI193-'Raw data'!AJ193)=SIGN('Real results'!C193-'Real results'!D193),3+IF(AND('Raw data'!AI193='Real results'!C193,'Raw data'!AJ193='Real results'!D193),2,0),0),0),0)</f>
        <v>0</v>
      </c>
      <c r="AK198" s="34">
        <f>IFERROR(IF(AND(ISNUMBER('Real results'!C193),ISNUMBER('Real results'!D193),ISNUMBER('Raw data'!AK193),ISNUMBER('Raw data'!AL193)),IF(SIGN('Raw data'!AK193-'Raw data'!AL193)=SIGN('Real results'!C193-'Real results'!D193),3+IF(AND('Raw data'!AK193='Real results'!C193,'Raw data'!AL193='Real results'!D193),2,0),0),0),0)</f>
        <v>0</v>
      </c>
      <c r="AM198" s="34">
        <f>IFERROR(IF(AND(ISNUMBER('Real results'!C193),ISNUMBER('Real results'!D193),ISNUMBER('Raw data'!AM193),ISNUMBER('Raw data'!AN193)),IF(SIGN('Raw data'!AM193-'Raw data'!AN193)=SIGN('Real results'!C193-'Real results'!D193),3+IF(AND('Raw data'!AM193='Real results'!C193,'Raw data'!AN193='Real results'!D193),2,0),0),0),0)</f>
        <v>0</v>
      </c>
      <c r="AO198" s="34">
        <f>IFERROR(IF(AND(ISNUMBER('Real results'!C193),ISNUMBER('Real results'!D193),ISNUMBER('Raw data'!AO193),ISNUMBER('Raw data'!AP193)),IF(SIGN('Raw data'!AO193-'Raw data'!AP193)=SIGN('Real results'!C193-'Real results'!D193),3+IF(AND('Raw data'!AO193='Real results'!C193,'Raw data'!AP193='Real results'!D193),2,0),0),0),0)</f>
        <v>0</v>
      </c>
      <c r="AQ198" s="34">
        <f>IFERROR(IF(AND(ISNUMBER('Real results'!C193),ISNUMBER('Real results'!D193),ISNUMBER('Raw data'!AQ193),ISNUMBER('Raw data'!AR193)),IF(SIGN('Raw data'!AQ193-'Raw data'!AR193)=SIGN('Real results'!C193-'Real results'!D193),3+IF(AND('Raw data'!AQ193='Real results'!C193,'Raw data'!AR193='Real results'!D193),2,0),0),0),0)</f>
        <v>0</v>
      </c>
      <c r="AS198" s="34">
        <f>IFERROR(IF(AND(ISNUMBER('Real results'!C193),ISNUMBER('Real results'!D193),ISNUMBER('Raw data'!AS193),ISNUMBER('Raw data'!AT193)),IF(SIGN('Raw data'!AS193-'Raw data'!AT193)=SIGN('Real results'!C193-'Real results'!D193),3+IF(AND('Raw data'!AS193='Real results'!C193,'Raw data'!AT193='Real results'!D193),2,0),0),0),0)</f>
        <v>0</v>
      </c>
      <c r="AU198" s="34">
        <f>IFERROR(IF(AND(ISNUMBER('Real results'!C193),ISNUMBER('Real results'!D193),ISNUMBER('Raw data'!AU193),ISNUMBER('Raw data'!AV193)),IF(SIGN('Raw data'!AU193-'Raw data'!AV193)=SIGN('Real results'!C193-'Real results'!D193),3+IF(AND('Raw data'!AU193='Real results'!C193,'Raw data'!AV193='Real results'!D193),2,0),0),0),0)</f>
        <v>0</v>
      </c>
      <c r="AW198" s="34">
        <f>IFERROR(IF(AND(ISNUMBER('Real results'!C193),ISNUMBER('Real results'!D193),ISNUMBER('Raw data'!AW193),ISNUMBER('Raw data'!AX193)),IF(SIGN('Raw data'!AW193-'Raw data'!AX193)=SIGN('Real results'!C193-'Real results'!D193),3+IF(AND('Raw data'!AW193='Real results'!C193,'Raw data'!AX193='Real results'!D193),2,0),0),0),0)</f>
        <v>0</v>
      </c>
      <c r="AY198" s="34">
        <f>IFERROR(IF(AND(ISNUMBER('Real results'!C193),ISNUMBER('Real results'!D193),ISNUMBER('Raw data'!AY193),ISNUMBER('Raw data'!AZ193)),IF(SIGN('Raw data'!AY193-'Raw data'!AZ193)=SIGN('Real results'!C193-'Real results'!D193),3+IF(AND('Raw data'!AY193='Real results'!C193,'Raw data'!AZ193='Real results'!D193),2,0),0),0),0)</f>
        <v>0</v>
      </c>
      <c r="BA198" s="34">
        <f>IFERROR(IF(AND(ISNUMBER('Real results'!C193),ISNUMBER('Real results'!D193),ISNUMBER('Raw data'!BA193),ISNUMBER('Raw data'!BB193)),IF(SIGN('Raw data'!BA193-'Raw data'!BB193)=SIGN('Real results'!C193-'Real results'!D193),3+IF(AND('Raw data'!BA193='Real results'!C193,'Raw data'!BB193='Real results'!D193),2,0),0),0),0)</f>
        <v>0</v>
      </c>
      <c r="BC198" s="34">
        <f>IFERROR(IF(AND(ISNUMBER('Real results'!C193),ISNUMBER('Real results'!D193),ISNUMBER('Raw data'!BC193),ISNUMBER('Raw data'!BD193)),IF(SIGN('Raw data'!BC193-'Raw data'!BD193)=SIGN('Real results'!C193-'Real results'!D193),3+IF(AND('Raw data'!BC193='Real results'!C193,'Raw data'!BD193='Real results'!D193),2,0),0),0),0)</f>
        <v>0</v>
      </c>
      <c r="BE198" s="34">
        <f>IFERROR(IF(AND(ISNUMBER('Real results'!C193),ISNUMBER('Real results'!D193),ISNUMBER('Raw data'!BE193),ISNUMBER('Raw data'!BF193)),IF(SIGN('Raw data'!BE193-'Raw data'!BF193)=SIGN('Real results'!C193-'Real results'!D193),3+IF(AND('Raw data'!BE193='Real results'!C193,'Raw data'!BF193='Real results'!D193),2,0),0),0),0)</f>
        <v>0</v>
      </c>
      <c r="BG198" s="34">
        <f>IFERROR(IF(AND(ISNUMBER('Real results'!C193),ISNUMBER('Real results'!D193),ISNUMBER('Raw data'!BG193),ISNUMBER('Raw data'!BH193)),IF(SIGN('Raw data'!BG193-'Raw data'!BH193)=SIGN('Real results'!C193-'Real results'!D193),3+IF(AND('Raw data'!BG193='Real results'!C193,'Raw data'!BH193='Real results'!D193),2,0),0),0),0)</f>
        <v>0</v>
      </c>
      <c r="BI198" s="34">
        <f>IFERROR(IF(AND(ISNUMBER('Real results'!C193),ISNUMBER('Real results'!D193),ISNUMBER('Raw data'!BI193),ISNUMBER('Raw data'!BJ193)),IF(SIGN('Raw data'!BI193-'Raw data'!BJ193)=SIGN('Real results'!C193-'Real results'!D193),3+IF(AND('Raw data'!BI193='Real results'!C193,'Raw data'!BJ193='Real results'!D193),2,0),0),0),0)</f>
        <v>0</v>
      </c>
    </row>
    <row r="199" ht="18.0" customHeight="1">
      <c r="B199" s="12" t="s">
        <v>455</v>
      </c>
      <c r="C199" s="34">
        <v>0.0</v>
      </c>
      <c r="E199" s="34">
        <v>0.0</v>
      </c>
      <c r="G199" s="34">
        <v>0.0</v>
      </c>
      <c r="I199" s="34">
        <v>0.0</v>
      </c>
      <c r="K199" s="34">
        <v>0.0</v>
      </c>
      <c r="M199" s="34">
        <v>0.0</v>
      </c>
      <c r="O199" s="34">
        <v>0.0</v>
      </c>
      <c r="Q199" s="34">
        <v>0.0</v>
      </c>
      <c r="S199" s="34">
        <v>0.0</v>
      </c>
      <c r="U199" s="34">
        <v>0.0</v>
      </c>
      <c r="W199" s="34">
        <v>0.0</v>
      </c>
      <c r="Y199" s="34">
        <v>0.0</v>
      </c>
      <c r="AA199" s="34">
        <v>0.0</v>
      </c>
      <c r="AC199" s="34">
        <v>0.0</v>
      </c>
      <c r="AE199" s="34">
        <v>0.0</v>
      </c>
      <c r="AG199" s="34">
        <v>0.0</v>
      </c>
      <c r="AI199" s="34">
        <v>0.0</v>
      </c>
      <c r="AK199" s="34">
        <v>0.0</v>
      </c>
      <c r="AM199" s="34">
        <v>0.0</v>
      </c>
      <c r="AO199" s="34">
        <v>0.0</v>
      </c>
      <c r="AQ199" s="34">
        <v>0.0</v>
      </c>
      <c r="AS199" s="34">
        <v>0.0</v>
      </c>
      <c r="AU199" s="34">
        <v>0.0</v>
      </c>
      <c r="AW199" s="34">
        <v>0.0</v>
      </c>
      <c r="AY199" s="34">
        <v>0.0</v>
      </c>
      <c r="BA199" s="34">
        <v>0.0</v>
      </c>
      <c r="BC199" s="34">
        <v>0.0</v>
      </c>
      <c r="BE199" s="34">
        <v>0.0</v>
      </c>
      <c r="BG199" s="34">
        <v>0.0</v>
      </c>
      <c r="BI199" s="34">
        <v>0.0</v>
      </c>
    </row>
    <row r="200" ht="18.0" customHeight="1">
      <c r="B200" s="12" t="s">
        <v>456</v>
      </c>
      <c r="C200" s="34">
        <f>IFERROR(IF(AND('Real results'!C195&lt;&gt;"",'Raw data'!C195&lt;&gt;"",UPPER(TRIM('Real results'!C195))=UPPER(TRIM('Raw data'!C195))),2,0),0)</f>
        <v>0</v>
      </c>
      <c r="E200" s="34">
        <f>IFERROR(IF(AND('Real results'!C195&lt;&gt;"",'Raw data'!E195&lt;&gt;"",UPPER(TRIM('Real results'!C195))=UPPER(TRIM('Raw data'!E195))),2,0),0)</f>
        <v>0</v>
      </c>
      <c r="G200" s="34">
        <f>IFERROR(IF(AND('Real results'!C195&lt;&gt;"",'Raw data'!G195&lt;&gt;"",UPPER(TRIM('Real results'!C195))=UPPER(TRIM('Raw data'!G195))),2,0),0)</f>
        <v>0</v>
      </c>
      <c r="I200" s="34">
        <f>IFERROR(IF(AND('Real results'!C195&lt;&gt;"",'Raw data'!I195&lt;&gt;"",UPPER(TRIM('Real results'!C195))=UPPER(TRIM('Raw data'!I195))),2,0),0)</f>
        <v>0</v>
      </c>
      <c r="K200" s="34">
        <f>IFERROR(IF(AND('Real results'!C195&lt;&gt;"",'Raw data'!K195&lt;&gt;"",UPPER(TRIM('Real results'!C195))=UPPER(TRIM('Raw data'!K195))),2,0),0)</f>
        <v>0</v>
      </c>
      <c r="M200" s="34">
        <f>IFERROR(IF(AND('Real results'!C195&lt;&gt;"",'Raw data'!M195&lt;&gt;"",UPPER(TRIM('Real results'!C195))=UPPER(TRIM('Raw data'!M195))),2,0),0)</f>
        <v>0</v>
      </c>
      <c r="O200" s="34">
        <f>IFERROR(IF(AND('Real results'!C195&lt;&gt;"",'Raw data'!O195&lt;&gt;"",UPPER(TRIM('Real results'!C195))=UPPER(TRIM('Raw data'!O195))),2,0),0)</f>
        <v>0</v>
      </c>
      <c r="Q200" s="34">
        <f>IFERROR(IF(AND('Real results'!C195&lt;&gt;"",'Raw data'!Q195&lt;&gt;"",UPPER(TRIM('Real results'!C195))=UPPER(TRIM('Raw data'!Q195))),2,0),0)</f>
        <v>0</v>
      </c>
      <c r="S200" s="34">
        <f>IFERROR(IF(AND('Real results'!C195&lt;&gt;"",'Raw data'!S195&lt;&gt;"",UPPER(TRIM('Real results'!C195))=UPPER(TRIM('Raw data'!S195))),2,0),0)</f>
        <v>0</v>
      </c>
      <c r="U200" s="34">
        <f>IFERROR(IF(AND('Real results'!C195&lt;&gt;"",'Raw data'!U195&lt;&gt;"",UPPER(TRIM('Real results'!C195))=UPPER(TRIM('Raw data'!U195))),2,0),0)</f>
        <v>0</v>
      </c>
      <c r="W200" s="34">
        <f>IFERROR(IF(AND('Real results'!C195&lt;&gt;"",'Raw data'!W195&lt;&gt;"",UPPER(TRIM('Real results'!C195))=UPPER(TRIM('Raw data'!W195))),2,0),0)</f>
        <v>0</v>
      </c>
      <c r="Y200" s="34">
        <f>IFERROR(IF(AND('Real results'!C195&lt;&gt;"",'Raw data'!Y195&lt;&gt;"",UPPER(TRIM('Real results'!C195))=UPPER(TRIM('Raw data'!Y195))),2,0),0)</f>
        <v>0</v>
      </c>
      <c r="AA200" s="34">
        <f>IFERROR(IF(AND('Real results'!C195&lt;&gt;"",'Raw data'!AA195&lt;&gt;"",UPPER(TRIM('Real results'!C195))=UPPER(TRIM('Raw data'!AA195))),2,0),0)</f>
        <v>0</v>
      </c>
      <c r="AC200" s="34">
        <f>IFERROR(IF(AND('Real results'!C195&lt;&gt;"",'Raw data'!AC195&lt;&gt;"",UPPER(TRIM('Real results'!C195))=UPPER(TRIM('Raw data'!AC195))),2,0),0)</f>
        <v>0</v>
      </c>
      <c r="AE200" s="34">
        <f>IFERROR(IF(AND('Real results'!C195&lt;&gt;"",'Raw data'!AE195&lt;&gt;"",UPPER(TRIM('Real results'!C195))=UPPER(TRIM('Raw data'!AE195))),2,0),0)</f>
        <v>0</v>
      </c>
      <c r="AG200" s="34">
        <f>IFERROR(IF(AND('Real results'!C195&lt;&gt;"",'Raw data'!AG195&lt;&gt;"",UPPER(TRIM('Real results'!C195))=UPPER(TRIM('Raw data'!AG195))),2,0),0)</f>
        <v>0</v>
      </c>
      <c r="AI200" s="34">
        <f>IFERROR(IF(AND('Real results'!C195&lt;&gt;"",'Raw data'!AI195&lt;&gt;"",UPPER(TRIM('Real results'!C195))=UPPER(TRIM('Raw data'!AI195))),2,0),0)</f>
        <v>0</v>
      </c>
      <c r="AK200" s="34">
        <f>IFERROR(IF(AND('Real results'!C195&lt;&gt;"",'Raw data'!AK195&lt;&gt;"",UPPER(TRIM('Real results'!C195))=UPPER(TRIM('Raw data'!AK195))),2,0),0)</f>
        <v>0</v>
      </c>
      <c r="AM200" s="34">
        <f>IFERROR(IF(AND('Real results'!C195&lt;&gt;"",'Raw data'!AM195&lt;&gt;"",UPPER(TRIM('Real results'!C195))=UPPER(TRIM('Raw data'!AM195))),2,0),0)</f>
        <v>0</v>
      </c>
      <c r="AO200" s="34">
        <f>IFERROR(IF(AND('Real results'!C195&lt;&gt;"",'Raw data'!AO195&lt;&gt;"",UPPER(TRIM('Real results'!C195))=UPPER(TRIM('Raw data'!AO195))),2,0),0)</f>
        <v>0</v>
      </c>
      <c r="AQ200" s="34">
        <f>IFERROR(IF(AND('Real results'!C195&lt;&gt;"",'Raw data'!AQ195&lt;&gt;"",UPPER(TRIM('Real results'!C195))=UPPER(TRIM('Raw data'!AQ195))),2,0),0)</f>
        <v>0</v>
      </c>
      <c r="AS200" s="34">
        <f>IFERROR(IF(AND('Real results'!C195&lt;&gt;"",'Raw data'!AS195&lt;&gt;"",UPPER(TRIM('Real results'!C195))=UPPER(TRIM('Raw data'!AS195))),2,0),0)</f>
        <v>0</v>
      </c>
      <c r="AU200" s="34">
        <f>IFERROR(IF(AND('Real results'!C195&lt;&gt;"",'Raw data'!AU195&lt;&gt;"",UPPER(TRIM('Real results'!C195))=UPPER(TRIM('Raw data'!AU195))),2,0),0)</f>
        <v>0</v>
      </c>
      <c r="AW200" s="34">
        <f>IFERROR(IF(AND('Real results'!C195&lt;&gt;"",'Raw data'!AW195&lt;&gt;"",UPPER(TRIM('Real results'!C195))=UPPER(TRIM('Raw data'!AW195))),2,0),0)</f>
        <v>0</v>
      </c>
      <c r="AY200" s="34">
        <f>IFERROR(IF(AND('Real results'!C195&lt;&gt;"",'Raw data'!AY195&lt;&gt;"",UPPER(TRIM('Real results'!C195))=UPPER(TRIM('Raw data'!AY195))),2,0),0)</f>
        <v>0</v>
      </c>
      <c r="BA200" s="34">
        <f>IFERROR(IF(AND('Real results'!C195&lt;&gt;"",'Raw data'!BA195&lt;&gt;"",UPPER(TRIM('Real results'!C195))=UPPER(TRIM('Raw data'!BA195))),2,0),0)</f>
        <v>0</v>
      </c>
      <c r="BC200" s="34">
        <f>IFERROR(IF(AND('Real results'!C195&lt;&gt;"",'Raw data'!BC195&lt;&gt;"",UPPER(TRIM('Real results'!C195))=UPPER(TRIM('Raw data'!BC195))),2,0),0)</f>
        <v>0</v>
      </c>
      <c r="BE200" s="34">
        <f>IFERROR(IF(AND('Real results'!C195&lt;&gt;"",'Raw data'!BE195&lt;&gt;"",UPPER(TRIM('Real results'!C195))=UPPER(TRIM('Raw data'!BE195))),2,0),0)</f>
        <v>0</v>
      </c>
      <c r="BG200" s="34">
        <f>IFERROR(IF(AND('Real results'!C195&lt;&gt;"",'Raw data'!BG195&lt;&gt;"",UPPER(TRIM('Real results'!C195))=UPPER(TRIM('Raw data'!BG195))),2,0),0)</f>
        <v>0</v>
      </c>
      <c r="BI200" s="34">
        <f>IFERROR(IF(AND('Real results'!C195&lt;&gt;"",'Raw data'!BI195&lt;&gt;"",UPPER(TRIM('Real results'!C195))=UPPER(TRIM('Raw data'!BI195))),2,0),0)</f>
        <v>0</v>
      </c>
    </row>
    <row r="201" ht="18.0" customHeight="1">
      <c r="B201" s="12" t="s">
        <v>457</v>
      </c>
      <c r="C201" s="34">
        <f>IFERROR(IF(AND(ISNUMBER('Real results'!C196),ISNUMBER('Real results'!D196),ISNUMBER('Raw data'!C196),ISNUMBER('Raw data'!D196)),IF(SIGN('Raw data'!C196-'Raw data'!D196)=SIGN('Real results'!C196-'Real results'!D196),3+IF(AND('Raw data'!C196='Real results'!C196,'Raw data'!D196='Real results'!D196),2,0),0),0),0)</f>
        <v>0</v>
      </c>
      <c r="E201" s="34">
        <f>IFERROR(IF(AND(ISNUMBER('Real results'!C196),ISNUMBER('Real results'!D196),ISNUMBER('Raw data'!E196),ISNUMBER('Raw data'!F196)),IF(SIGN('Raw data'!E196-'Raw data'!F196)=SIGN('Real results'!C196-'Real results'!D196),3+IF(AND('Raw data'!E196='Real results'!C196,'Raw data'!F196='Real results'!D196),2,0),0),0),0)</f>
        <v>0</v>
      </c>
      <c r="G201" s="34">
        <f>IFERROR(IF(AND(ISNUMBER('Real results'!C196),ISNUMBER('Real results'!D196),ISNUMBER('Raw data'!G196),ISNUMBER('Raw data'!H196)),IF(SIGN('Raw data'!G196-'Raw data'!H196)=SIGN('Real results'!C196-'Real results'!D196),3+IF(AND('Raw data'!G196='Real results'!C196,'Raw data'!H196='Real results'!D196),2,0),0),0),0)</f>
        <v>0</v>
      </c>
      <c r="I201" s="34">
        <f>IFERROR(IF(AND(ISNUMBER('Real results'!C196),ISNUMBER('Real results'!D196),ISNUMBER('Raw data'!I196),ISNUMBER('Raw data'!J196)),IF(SIGN('Raw data'!I196-'Raw data'!J196)=SIGN('Real results'!C196-'Real results'!D196),3+IF(AND('Raw data'!I196='Real results'!C196,'Raw data'!J196='Real results'!D196),2,0),0),0),0)</f>
        <v>0</v>
      </c>
      <c r="K201" s="34">
        <f>IFERROR(IF(AND(ISNUMBER('Real results'!C196),ISNUMBER('Real results'!D196),ISNUMBER('Raw data'!K196),ISNUMBER('Raw data'!L196)),IF(SIGN('Raw data'!K196-'Raw data'!L196)=SIGN('Real results'!C196-'Real results'!D196),3+IF(AND('Raw data'!K196='Real results'!C196,'Raw data'!L196='Real results'!D196),2,0),0),0),0)</f>
        <v>0</v>
      </c>
      <c r="M201" s="34">
        <f>IFERROR(IF(AND(ISNUMBER('Real results'!C196),ISNUMBER('Real results'!D196),ISNUMBER('Raw data'!M196),ISNUMBER('Raw data'!N196)),IF(SIGN('Raw data'!M196-'Raw data'!N196)=SIGN('Real results'!C196-'Real results'!D196),3+IF(AND('Raw data'!M196='Real results'!C196,'Raw data'!N196='Real results'!D196),2,0),0),0),0)</f>
        <v>0</v>
      </c>
      <c r="O201" s="34">
        <f>IFERROR(IF(AND(ISNUMBER('Real results'!C196),ISNUMBER('Real results'!D196),ISNUMBER('Raw data'!O196),ISNUMBER('Raw data'!P196)),IF(SIGN('Raw data'!O196-'Raw data'!P196)=SIGN('Real results'!C196-'Real results'!D196),3+IF(AND('Raw data'!O196='Real results'!C196,'Raw data'!P196='Real results'!D196),2,0),0),0),0)</f>
        <v>0</v>
      </c>
      <c r="Q201" s="34">
        <f>IFERROR(IF(AND(ISNUMBER('Real results'!C196),ISNUMBER('Real results'!D196),ISNUMBER('Raw data'!Q196),ISNUMBER('Raw data'!R196)),IF(SIGN('Raw data'!Q196-'Raw data'!R196)=SIGN('Real results'!C196-'Real results'!D196),3+IF(AND('Raw data'!Q196='Real results'!C196,'Raw data'!R196='Real results'!D196),2,0),0),0),0)</f>
        <v>0</v>
      </c>
      <c r="S201" s="34">
        <f>IFERROR(IF(AND(ISNUMBER('Real results'!C196),ISNUMBER('Real results'!D196),ISNUMBER('Raw data'!S196),ISNUMBER('Raw data'!T196)),IF(SIGN('Raw data'!S196-'Raw data'!T196)=SIGN('Real results'!C196-'Real results'!D196),3+IF(AND('Raw data'!S196='Real results'!C196,'Raw data'!T196='Real results'!D196),2,0),0),0),0)</f>
        <v>0</v>
      </c>
      <c r="U201" s="34">
        <f>IFERROR(IF(AND(ISNUMBER('Real results'!C196),ISNUMBER('Real results'!D196),ISNUMBER('Raw data'!U196),ISNUMBER('Raw data'!V196)),IF(SIGN('Raw data'!U196-'Raw data'!V196)=SIGN('Real results'!C196-'Real results'!D196),3+IF(AND('Raw data'!U196='Real results'!C196,'Raw data'!V196='Real results'!D196),2,0),0),0),0)</f>
        <v>0</v>
      </c>
      <c r="W201" s="34">
        <f>IFERROR(IF(AND(ISNUMBER('Real results'!C196),ISNUMBER('Real results'!D196),ISNUMBER('Raw data'!W196),ISNUMBER('Raw data'!X196)),IF(SIGN('Raw data'!W196-'Raw data'!X196)=SIGN('Real results'!C196-'Real results'!D196),3+IF(AND('Raw data'!W196='Real results'!C196,'Raw data'!X196='Real results'!D196),2,0),0),0),0)</f>
        <v>0</v>
      </c>
      <c r="Y201" s="34">
        <f>IFERROR(IF(AND(ISNUMBER('Real results'!C196),ISNUMBER('Real results'!D196),ISNUMBER('Raw data'!Y196),ISNUMBER('Raw data'!Z196)),IF(SIGN('Raw data'!Y196-'Raw data'!Z196)=SIGN('Real results'!C196-'Real results'!D196),3+IF(AND('Raw data'!Y196='Real results'!C196,'Raw data'!Z196='Real results'!D196),2,0),0),0),0)</f>
        <v>0</v>
      </c>
      <c r="AA201" s="34">
        <f>IFERROR(IF(AND(ISNUMBER('Real results'!C196),ISNUMBER('Real results'!D196),ISNUMBER('Raw data'!AA196),ISNUMBER('Raw data'!AB196)),IF(SIGN('Raw data'!AA196-'Raw data'!AB196)=SIGN('Real results'!C196-'Real results'!D196),3+IF(AND('Raw data'!AA196='Real results'!C196,'Raw data'!AB196='Real results'!D196),2,0),0),0),0)</f>
        <v>0</v>
      </c>
      <c r="AC201" s="34">
        <f>IFERROR(IF(AND(ISNUMBER('Real results'!C196),ISNUMBER('Real results'!D196),ISNUMBER('Raw data'!AC196),ISNUMBER('Raw data'!AD196)),IF(SIGN('Raw data'!AC196-'Raw data'!AD196)=SIGN('Real results'!C196-'Real results'!D196),3+IF(AND('Raw data'!AC196='Real results'!C196,'Raw data'!AD196='Real results'!D196),2,0),0),0),0)</f>
        <v>0</v>
      </c>
      <c r="AE201" s="34">
        <f>IFERROR(IF(AND(ISNUMBER('Real results'!C196),ISNUMBER('Real results'!D196),ISNUMBER('Raw data'!AE196),ISNUMBER('Raw data'!AF196)),IF(SIGN('Raw data'!AE196-'Raw data'!AF196)=SIGN('Real results'!C196-'Real results'!D196),3+IF(AND('Raw data'!AE196='Real results'!C196,'Raw data'!AF196='Real results'!D196),2,0),0),0),0)</f>
        <v>0</v>
      </c>
      <c r="AG201" s="34">
        <f>IFERROR(IF(AND(ISNUMBER('Real results'!C196),ISNUMBER('Real results'!D196),ISNUMBER('Raw data'!AG196),ISNUMBER('Raw data'!AH196)),IF(SIGN('Raw data'!AG196-'Raw data'!AH196)=SIGN('Real results'!C196-'Real results'!D196),3+IF(AND('Raw data'!AG196='Real results'!C196,'Raw data'!AH196='Real results'!D196),2,0),0),0),0)</f>
        <v>0</v>
      </c>
      <c r="AI201" s="34">
        <f>IFERROR(IF(AND(ISNUMBER('Real results'!C196),ISNUMBER('Real results'!D196),ISNUMBER('Raw data'!AI196),ISNUMBER('Raw data'!AJ196)),IF(SIGN('Raw data'!AI196-'Raw data'!AJ196)=SIGN('Real results'!C196-'Real results'!D196),3+IF(AND('Raw data'!AI196='Real results'!C196,'Raw data'!AJ196='Real results'!D196),2,0),0),0),0)</f>
        <v>0</v>
      </c>
      <c r="AK201" s="34">
        <f>IFERROR(IF(AND(ISNUMBER('Real results'!C196),ISNUMBER('Real results'!D196),ISNUMBER('Raw data'!AK196),ISNUMBER('Raw data'!AL196)),IF(SIGN('Raw data'!AK196-'Raw data'!AL196)=SIGN('Real results'!C196-'Real results'!D196),3+IF(AND('Raw data'!AK196='Real results'!C196,'Raw data'!AL196='Real results'!D196),2,0),0),0),0)</f>
        <v>0</v>
      </c>
      <c r="AM201" s="34">
        <f>IFERROR(IF(AND(ISNUMBER('Real results'!C196),ISNUMBER('Real results'!D196),ISNUMBER('Raw data'!AM196),ISNUMBER('Raw data'!AN196)),IF(SIGN('Raw data'!AM196-'Raw data'!AN196)=SIGN('Real results'!C196-'Real results'!D196),3+IF(AND('Raw data'!AM196='Real results'!C196,'Raw data'!AN196='Real results'!D196),2,0),0),0),0)</f>
        <v>0</v>
      </c>
      <c r="AO201" s="34">
        <f>IFERROR(IF(AND(ISNUMBER('Real results'!C196),ISNUMBER('Real results'!D196),ISNUMBER('Raw data'!AO196),ISNUMBER('Raw data'!AP196)),IF(SIGN('Raw data'!AO196-'Raw data'!AP196)=SIGN('Real results'!C196-'Real results'!D196),3+IF(AND('Raw data'!AO196='Real results'!C196,'Raw data'!AP196='Real results'!D196),2,0),0),0),0)</f>
        <v>0</v>
      </c>
      <c r="AQ201" s="34">
        <f>IFERROR(IF(AND(ISNUMBER('Real results'!C196),ISNUMBER('Real results'!D196),ISNUMBER('Raw data'!AQ196),ISNUMBER('Raw data'!AR196)),IF(SIGN('Raw data'!AQ196-'Raw data'!AR196)=SIGN('Real results'!C196-'Real results'!D196),3+IF(AND('Raw data'!AQ196='Real results'!C196,'Raw data'!AR196='Real results'!D196),2,0),0),0),0)</f>
        <v>0</v>
      </c>
      <c r="AS201" s="34">
        <f>IFERROR(IF(AND(ISNUMBER('Real results'!C196),ISNUMBER('Real results'!D196),ISNUMBER('Raw data'!AS196),ISNUMBER('Raw data'!AT196)),IF(SIGN('Raw data'!AS196-'Raw data'!AT196)=SIGN('Real results'!C196-'Real results'!D196),3+IF(AND('Raw data'!AS196='Real results'!C196,'Raw data'!AT196='Real results'!D196),2,0),0),0),0)</f>
        <v>0</v>
      </c>
      <c r="AU201" s="34">
        <f>IFERROR(IF(AND(ISNUMBER('Real results'!C196),ISNUMBER('Real results'!D196),ISNUMBER('Raw data'!AU196),ISNUMBER('Raw data'!AV196)),IF(SIGN('Raw data'!AU196-'Raw data'!AV196)=SIGN('Real results'!C196-'Real results'!D196),3+IF(AND('Raw data'!AU196='Real results'!C196,'Raw data'!AV196='Real results'!D196),2,0),0),0),0)</f>
        <v>0</v>
      </c>
      <c r="AW201" s="34">
        <f>IFERROR(IF(AND(ISNUMBER('Real results'!C196),ISNUMBER('Real results'!D196),ISNUMBER('Raw data'!AW196),ISNUMBER('Raw data'!AX196)),IF(SIGN('Raw data'!AW196-'Raw data'!AX196)=SIGN('Real results'!C196-'Real results'!D196),3+IF(AND('Raw data'!AW196='Real results'!C196,'Raw data'!AX196='Real results'!D196),2,0),0),0),0)</f>
        <v>0</v>
      </c>
      <c r="AY201" s="34">
        <f>IFERROR(IF(AND(ISNUMBER('Real results'!C196),ISNUMBER('Real results'!D196),ISNUMBER('Raw data'!AY196),ISNUMBER('Raw data'!AZ196)),IF(SIGN('Raw data'!AY196-'Raw data'!AZ196)=SIGN('Real results'!C196-'Real results'!D196),3+IF(AND('Raw data'!AY196='Real results'!C196,'Raw data'!AZ196='Real results'!D196),2,0),0),0),0)</f>
        <v>0</v>
      </c>
      <c r="BA201" s="34">
        <f>IFERROR(IF(AND(ISNUMBER('Real results'!C196),ISNUMBER('Real results'!D196),ISNUMBER('Raw data'!BA196),ISNUMBER('Raw data'!BB196)),IF(SIGN('Raw data'!BA196-'Raw data'!BB196)=SIGN('Real results'!C196-'Real results'!D196),3+IF(AND('Raw data'!BA196='Real results'!C196,'Raw data'!BB196='Real results'!D196),2,0),0),0),0)</f>
        <v>0</v>
      </c>
      <c r="BC201" s="34">
        <f>IFERROR(IF(AND(ISNUMBER('Real results'!C196),ISNUMBER('Real results'!D196),ISNUMBER('Raw data'!BC196),ISNUMBER('Raw data'!BD196)),IF(SIGN('Raw data'!BC196-'Raw data'!BD196)=SIGN('Real results'!C196-'Real results'!D196),3+IF(AND('Raw data'!BC196='Real results'!C196,'Raw data'!BD196='Real results'!D196),2,0),0),0),0)</f>
        <v>0</v>
      </c>
      <c r="BE201" s="34">
        <f>IFERROR(IF(AND(ISNUMBER('Real results'!C196),ISNUMBER('Real results'!D196),ISNUMBER('Raw data'!BE196),ISNUMBER('Raw data'!BF196)),IF(SIGN('Raw data'!BE196-'Raw data'!BF196)=SIGN('Real results'!C196-'Real results'!D196),3+IF(AND('Raw data'!BE196='Real results'!C196,'Raw data'!BF196='Real results'!D196),2,0),0),0),0)</f>
        <v>0</v>
      </c>
      <c r="BG201" s="34">
        <f>IFERROR(IF(AND(ISNUMBER('Real results'!C196),ISNUMBER('Real results'!D196),ISNUMBER('Raw data'!BG196),ISNUMBER('Raw data'!BH196)),IF(SIGN('Raw data'!BG196-'Raw data'!BH196)=SIGN('Real results'!C196-'Real results'!D196),3+IF(AND('Raw data'!BG196='Real results'!C196,'Raw data'!BH196='Real results'!D196),2,0),0),0),0)</f>
        <v>0</v>
      </c>
      <c r="BI201" s="34">
        <f>IFERROR(IF(AND(ISNUMBER('Real results'!C196),ISNUMBER('Real results'!D196),ISNUMBER('Raw data'!BI196),ISNUMBER('Raw data'!BJ196)),IF(SIGN('Raw data'!BI196-'Raw data'!BJ196)=SIGN('Real results'!C196-'Real results'!D196),3+IF(AND('Raw data'!BI196='Real results'!C196,'Raw data'!BJ196='Real results'!D196),2,0),0),0),0)</f>
        <v>0</v>
      </c>
    </row>
    <row r="202" ht="18.0" customHeight="1">
      <c r="B202" s="12" t="s">
        <v>458</v>
      </c>
      <c r="C202" s="34">
        <v>0.0</v>
      </c>
      <c r="E202" s="34">
        <v>0.0</v>
      </c>
      <c r="G202" s="34">
        <v>0.0</v>
      </c>
      <c r="I202" s="34">
        <v>0.0</v>
      </c>
      <c r="K202" s="34">
        <v>0.0</v>
      </c>
      <c r="M202" s="34">
        <v>0.0</v>
      </c>
      <c r="O202" s="34">
        <v>0.0</v>
      </c>
      <c r="Q202" s="34">
        <v>0.0</v>
      </c>
      <c r="S202" s="34">
        <v>0.0</v>
      </c>
      <c r="U202" s="34">
        <v>0.0</v>
      </c>
      <c r="W202" s="34">
        <v>0.0</v>
      </c>
      <c r="Y202" s="34">
        <v>0.0</v>
      </c>
      <c r="AA202" s="34">
        <v>0.0</v>
      </c>
      <c r="AC202" s="34">
        <v>0.0</v>
      </c>
      <c r="AE202" s="34">
        <v>0.0</v>
      </c>
      <c r="AG202" s="34">
        <v>0.0</v>
      </c>
      <c r="AI202" s="34">
        <v>0.0</v>
      </c>
      <c r="AK202" s="34">
        <v>0.0</v>
      </c>
      <c r="AM202" s="34">
        <v>0.0</v>
      </c>
      <c r="AO202" s="34">
        <v>0.0</v>
      </c>
      <c r="AQ202" s="34">
        <v>0.0</v>
      </c>
      <c r="AS202" s="34">
        <v>0.0</v>
      </c>
      <c r="AU202" s="34">
        <v>0.0</v>
      </c>
      <c r="AW202" s="34">
        <v>0.0</v>
      </c>
      <c r="AY202" s="34">
        <v>0.0</v>
      </c>
      <c r="BA202" s="34">
        <v>0.0</v>
      </c>
      <c r="BC202" s="34">
        <v>0.0</v>
      </c>
      <c r="BE202" s="34">
        <v>0.0</v>
      </c>
      <c r="BG202" s="34">
        <v>0.0</v>
      </c>
      <c r="BI202" s="34">
        <v>0.0</v>
      </c>
    </row>
    <row r="203" ht="18.0" customHeight="1">
      <c r="B203" s="12" t="s">
        <v>459</v>
      </c>
      <c r="C203" s="34">
        <f>IFERROR(IF(AND('Real results'!C198&lt;&gt;"",'Raw data'!C198&lt;&gt;"",UPPER(TRIM('Real results'!C198))=UPPER(TRIM('Raw data'!C198))),2,0),0)</f>
        <v>0</v>
      </c>
      <c r="E203" s="34">
        <f>IFERROR(IF(AND('Real results'!C198&lt;&gt;"",'Raw data'!E198&lt;&gt;"",UPPER(TRIM('Real results'!C198))=UPPER(TRIM('Raw data'!E198))),2,0),0)</f>
        <v>0</v>
      </c>
      <c r="G203" s="34">
        <f>IFERROR(IF(AND('Real results'!C198&lt;&gt;"",'Raw data'!G198&lt;&gt;"",UPPER(TRIM('Real results'!C198))=UPPER(TRIM('Raw data'!G198))),2,0),0)</f>
        <v>0</v>
      </c>
      <c r="I203" s="34">
        <f>IFERROR(IF(AND('Real results'!C198&lt;&gt;"",'Raw data'!I198&lt;&gt;"",UPPER(TRIM('Real results'!C198))=UPPER(TRIM('Raw data'!I198))),2,0),0)</f>
        <v>0</v>
      </c>
      <c r="K203" s="34">
        <f>IFERROR(IF(AND('Real results'!C198&lt;&gt;"",'Raw data'!K198&lt;&gt;"",UPPER(TRIM('Real results'!C198))=UPPER(TRIM('Raw data'!K198))),2,0),0)</f>
        <v>0</v>
      </c>
      <c r="M203" s="34">
        <f>IFERROR(IF(AND('Real results'!C198&lt;&gt;"",'Raw data'!M198&lt;&gt;"",UPPER(TRIM('Real results'!C198))=UPPER(TRIM('Raw data'!M198))),2,0),0)</f>
        <v>0</v>
      </c>
      <c r="O203" s="34">
        <f>IFERROR(IF(AND('Real results'!C198&lt;&gt;"",'Raw data'!O198&lt;&gt;"",UPPER(TRIM('Real results'!C198))=UPPER(TRIM('Raw data'!O198))),2,0),0)</f>
        <v>0</v>
      </c>
      <c r="Q203" s="34">
        <f>IFERROR(IF(AND('Real results'!C198&lt;&gt;"",'Raw data'!Q198&lt;&gt;"",UPPER(TRIM('Real results'!C198))=UPPER(TRIM('Raw data'!Q198))),2,0),0)</f>
        <v>0</v>
      </c>
      <c r="S203" s="34">
        <f>IFERROR(IF(AND('Real results'!C198&lt;&gt;"",'Raw data'!S198&lt;&gt;"",UPPER(TRIM('Real results'!C198))=UPPER(TRIM('Raw data'!S198))),2,0),0)</f>
        <v>0</v>
      </c>
      <c r="U203" s="34">
        <f>IFERROR(IF(AND('Real results'!C198&lt;&gt;"",'Raw data'!U198&lt;&gt;"",UPPER(TRIM('Real results'!C198))=UPPER(TRIM('Raw data'!U198))),2,0),0)</f>
        <v>0</v>
      </c>
      <c r="W203" s="34">
        <f>IFERROR(IF(AND('Real results'!C198&lt;&gt;"",'Raw data'!W198&lt;&gt;"",UPPER(TRIM('Real results'!C198))=UPPER(TRIM('Raw data'!W198))),2,0),0)</f>
        <v>0</v>
      </c>
      <c r="Y203" s="34">
        <f>IFERROR(IF(AND('Real results'!C198&lt;&gt;"",'Raw data'!Y198&lt;&gt;"",UPPER(TRIM('Real results'!C198))=UPPER(TRIM('Raw data'!Y198))),2,0),0)</f>
        <v>0</v>
      </c>
      <c r="AA203" s="34">
        <f>IFERROR(IF(AND('Real results'!C198&lt;&gt;"",'Raw data'!AA198&lt;&gt;"",UPPER(TRIM('Real results'!C198))=UPPER(TRIM('Raw data'!AA198))),2,0),0)</f>
        <v>0</v>
      </c>
      <c r="AC203" s="34">
        <f>IFERROR(IF(AND('Real results'!C198&lt;&gt;"",'Raw data'!AC198&lt;&gt;"",UPPER(TRIM('Real results'!C198))=UPPER(TRIM('Raw data'!AC198))),2,0),0)</f>
        <v>0</v>
      </c>
      <c r="AE203" s="34">
        <f>IFERROR(IF(AND('Real results'!C198&lt;&gt;"",'Raw data'!AE198&lt;&gt;"",UPPER(TRIM('Real results'!C198))=UPPER(TRIM('Raw data'!AE198))),2,0),0)</f>
        <v>0</v>
      </c>
      <c r="AG203" s="34">
        <f>IFERROR(IF(AND('Real results'!C198&lt;&gt;"",'Raw data'!AG198&lt;&gt;"",UPPER(TRIM('Real results'!C198))=UPPER(TRIM('Raw data'!AG198))),2,0),0)</f>
        <v>0</v>
      </c>
      <c r="AI203" s="34">
        <f>IFERROR(IF(AND('Real results'!C198&lt;&gt;"",'Raw data'!AI198&lt;&gt;"",UPPER(TRIM('Real results'!C198))=UPPER(TRIM('Raw data'!AI198))),2,0),0)</f>
        <v>0</v>
      </c>
      <c r="AK203" s="34">
        <f>IFERROR(IF(AND('Real results'!C198&lt;&gt;"",'Raw data'!AK198&lt;&gt;"",UPPER(TRIM('Real results'!C198))=UPPER(TRIM('Raw data'!AK198))),2,0),0)</f>
        <v>0</v>
      </c>
      <c r="AM203" s="34">
        <f>IFERROR(IF(AND('Real results'!C198&lt;&gt;"",'Raw data'!AM198&lt;&gt;"",UPPER(TRIM('Real results'!C198))=UPPER(TRIM('Raw data'!AM198))),2,0),0)</f>
        <v>0</v>
      </c>
      <c r="AO203" s="34">
        <f>IFERROR(IF(AND('Real results'!C198&lt;&gt;"",'Raw data'!AO198&lt;&gt;"",UPPER(TRIM('Real results'!C198))=UPPER(TRIM('Raw data'!AO198))),2,0),0)</f>
        <v>0</v>
      </c>
      <c r="AQ203" s="34">
        <f>IFERROR(IF(AND('Real results'!C198&lt;&gt;"",'Raw data'!AQ198&lt;&gt;"",UPPER(TRIM('Real results'!C198))=UPPER(TRIM('Raw data'!AQ198))),2,0),0)</f>
        <v>0</v>
      </c>
      <c r="AS203" s="34">
        <f>IFERROR(IF(AND('Real results'!C198&lt;&gt;"",'Raw data'!AS198&lt;&gt;"",UPPER(TRIM('Real results'!C198))=UPPER(TRIM('Raw data'!AS198))),2,0),0)</f>
        <v>0</v>
      </c>
      <c r="AU203" s="34">
        <f>IFERROR(IF(AND('Real results'!C198&lt;&gt;"",'Raw data'!AU198&lt;&gt;"",UPPER(TRIM('Real results'!C198))=UPPER(TRIM('Raw data'!AU198))),2,0),0)</f>
        <v>0</v>
      </c>
      <c r="AW203" s="34">
        <f>IFERROR(IF(AND('Real results'!C198&lt;&gt;"",'Raw data'!AW198&lt;&gt;"",UPPER(TRIM('Real results'!C198))=UPPER(TRIM('Raw data'!AW198))),2,0),0)</f>
        <v>0</v>
      </c>
      <c r="AY203" s="34">
        <f>IFERROR(IF(AND('Real results'!C198&lt;&gt;"",'Raw data'!AY198&lt;&gt;"",UPPER(TRIM('Real results'!C198))=UPPER(TRIM('Raw data'!AY198))),2,0),0)</f>
        <v>0</v>
      </c>
      <c r="BA203" s="34">
        <f>IFERROR(IF(AND('Real results'!C198&lt;&gt;"",'Raw data'!BA198&lt;&gt;"",UPPER(TRIM('Real results'!C198))=UPPER(TRIM('Raw data'!BA198))),2,0),0)</f>
        <v>0</v>
      </c>
      <c r="BC203" s="34">
        <f>IFERROR(IF(AND('Real results'!C198&lt;&gt;"",'Raw data'!BC198&lt;&gt;"",UPPER(TRIM('Real results'!C198))=UPPER(TRIM('Raw data'!BC198))),2,0),0)</f>
        <v>0</v>
      </c>
      <c r="BE203" s="34">
        <f>IFERROR(IF(AND('Real results'!C198&lt;&gt;"",'Raw data'!BE198&lt;&gt;"",UPPER(TRIM('Real results'!C198))=UPPER(TRIM('Raw data'!BE198))),2,0),0)</f>
        <v>0</v>
      </c>
      <c r="BG203" s="34">
        <f>IFERROR(IF(AND('Real results'!C198&lt;&gt;"",'Raw data'!BG198&lt;&gt;"",UPPER(TRIM('Real results'!C198))=UPPER(TRIM('Raw data'!BG198))),2,0),0)</f>
        <v>0</v>
      </c>
      <c r="BI203" s="34">
        <f>IFERROR(IF(AND('Real results'!C198&lt;&gt;"",'Raw data'!BI198&lt;&gt;"",UPPER(TRIM('Real results'!C198))=UPPER(TRIM('Raw data'!BI198))),2,0),0)</f>
        <v>0</v>
      </c>
    </row>
    <row r="204" ht="21.75" customHeight="1">
      <c r="B204" s="35" t="s">
        <v>460</v>
      </c>
      <c r="C204" s="36">
        <f>SUM(C180:C203)</f>
        <v>0</v>
      </c>
      <c r="E204" s="36">
        <f>SUM(E180:E203)</f>
        <v>0</v>
      </c>
      <c r="G204" s="36">
        <f>SUM(G180:G203)</f>
        <v>0</v>
      </c>
      <c r="I204" s="36">
        <f>SUM(I180:I203)</f>
        <v>0</v>
      </c>
      <c r="K204" s="36">
        <f>SUM(K180:K203)</f>
        <v>0</v>
      </c>
      <c r="M204" s="36">
        <f>SUM(M180:M203)</f>
        <v>0</v>
      </c>
      <c r="O204" s="36">
        <f>SUM(O180:O203)</f>
        <v>0</v>
      </c>
      <c r="Q204" s="36">
        <f>SUM(Q180:Q203)</f>
        <v>0</v>
      </c>
      <c r="S204" s="36">
        <f>SUM(S180:S203)</f>
        <v>0</v>
      </c>
      <c r="U204" s="36">
        <f>SUM(U180:U203)</f>
        <v>0</v>
      </c>
      <c r="W204" s="36">
        <f>SUM(W180:W203)</f>
        <v>0</v>
      </c>
      <c r="Y204" s="36">
        <f>SUM(Y180:Y203)</f>
        <v>0</v>
      </c>
      <c r="AA204" s="36">
        <f>SUM(AA180:AA203)</f>
        <v>0</v>
      </c>
      <c r="AC204" s="36">
        <f>SUM(AC180:AC203)</f>
        <v>0</v>
      </c>
      <c r="AE204" s="36">
        <f>SUM(AE180:AE203)</f>
        <v>0</v>
      </c>
      <c r="AG204" s="36">
        <f>SUM(AG180:AG203)</f>
        <v>0</v>
      </c>
      <c r="AI204" s="36">
        <f>SUM(AI180:AI203)</f>
        <v>0</v>
      </c>
      <c r="AK204" s="36">
        <f>SUM(AK180:AK203)</f>
        <v>0</v>
      </c>
      <c r="AM204" s="36">
        <f>SUM(AM180:AM203)</f>
        <v>0</v>
      </c>
      <c r="AO204" s="36">
        <f>SUM(AO180:AO203)</f>
        <v>0</v>
      </c>
      <c r="AQ204" s="36">
        <f>SUM(AQ180:AQ203)</f>
        <v>0</v>
      </c>
      <c r="AS204" s="36">
        <f>SUM(AS180:AS203)</f>
        <v>0</v>
      </c>
      <c r="AU204" s="36">
        <f>SUM(AU180:AU203)</f>
        <v>0</v>
      </c>
      <c r="AW204" s="36">
        <f>SUM(AW180:AW203)</f>
        <v>0</v>
      </c>
      <c r="AY204" s="36">
        <f>SUM(AY180:AY203)</f>
        <v>0</v>
      </c>
      <c r="BA204" s="36">
        <f>SUM(BA180:BA203)</f>
        <v>0</v>
      </c>
      <c r="BC204" s="36">
        <f>SUM(BC180:BC203)</f>
        <v>0</v>
      </c>
      <c r="BE204" s="36">
        <f>SUM(BE180:BE203)</f>
        <v>0</v>
      </c>
      <c r="BG204" s="36">
        <f>SUM(BG180:BG203)</f>
        <v>0</v>
      </c>
      <c r="BI204" s="36">
        <f>SUM(BI180:BI203)</f>
        <v>0</v>
      </c>
    </row>
    <row r="205" ht="19.5" customHeight="1">
      <c r="B205" s="33" t="s">
        <v>461</v>
      </c>
      <c r="C205" s="11"/>
      <c r="E205" s="11"/>
      <c r="G205" s="11"/>
      <c r="I205" s="11"/>
      <c r="K205" s="11"/>
      <c r="M205" s="11"/>
      <c r="O205" s="11"/>
      <c r="Q205" s="11"/>
      <c r="S205" s="11"/>
      <c r="U205" s="11"/>
      <c r="W205" s="11"/>
      <c r="Y205" s="11"/>
      <c r="AA205" s="11"/>
      <c r="AC205" s="11"/>
      <c r="AE205" s="11"/>
      <c r="AG205" s="11"/>
      <c r="AI205" s="11"/>
      <c r="AK205" s="11"/>
      <c r="AM205" s="11"/>
      <c r="AO205" s="11"/>
      <c r="AQ205" s="11"/>
      <c r="AS205" s="11"/>
      <c r="AU205" s="11"/>
      <c r="AW205" s="11"/>
      <c r="AY205" s="11"/>
      <c r="BA205" s="11"/>
      <c r="BC205" s="11"/>
      <c r="BE205" s="11"/>
      <c r="BG205" s="11"/>
      <c r="BI205" s="11"/>
    </row>
    <row r="206" ht="18.0" customHeight="1">
      <c r="B206" s="12" t="s">
        <v>462</v>
      </c>
      <c r="C206" s="34">
        <f>IFERROR(IF(AND(ISNUMBER('Real results'!C200),ISNUMBER('Real results'!D200),ISNUMBER('Raw data'!C200),ISNUMBER('Raw data'!D200)),IF(SIGN('Raw data'!C200-'Raw data'!D200)=SIGN('Real results'!C200-'Real results'!D200),3+IF(AND('Raw data'!C200='Real results'!C200,'Raw data'!D200='Real results'!D200),2,0),0),0),0)</f>
        <v>0</v>
      </c>
      <c r="E206" s="34">
        <f>IFERROR(IF(AND(ISNUMBER('Real results'!C200),ISNUMBER('Real results'!D200),ISNUMBER('Raw data'!E200),ISNUMBER('Raw data'!F200)),IF(SIGN('Raw data'!E200-'Raw data'!F200)=SIGN('Real results'!C200-'Real results'!D200),3+IF(AND('Raw data'!E200='Real results'!C200,'Raw data'!F200='Real results'!D200),2,0),0),0),0)</f>
        <v>0</v>
      </c>
      <c r="G206" s="34">
        <f>IFERROR(IF(AND(ISNUMBER('Real results'!C200),ISNUMBER('Real results'!D200),ISNUMBER('Raw data'!G200),ISNUMBER('Raw data'!H200)),IF(SIGN('Raw data'!G200-'Raw data'!H200)=SIGN('Real results'!C200-'Real results'!D200),3+IF(AND('Raw data'!G200='Real results'!C200,'Raw data'!H200='Real results'!D200),2,0),0),0),0)</f>
        <v>0</v>
      </c>
      <c r="I206" s="34">
        <f>IFERROR(IF(AND(ISNUMBER('Real results'!C200),ISNUMBER('Real results'!D200),ISNUMBER('Raw data'!I200),ISNUMBER('Raw data'!J200)),IF(SIGN('Raw data'!I200-'Raw data'!J200)=SIGN('Real results'!C200-'Real results'!D200),3+IF(AND('Raw data'!I200='Real results'!C200,'Raw data'!J200='Real results'!D200),2,0),0),0),0)</f>
        <v>0</v>
      </c>
      <c r="K206" s="34">
        <f>IFERROR(IF(AND(ISNUMBER('Real results'!C200),ISNUMBER('Real results'!D200),ISNUMBER('Raw data'!K200),ISNUMBER('Raw data'!L200)),IF(SIGN('Raw data'!K200-'Raw data'!L200)=SIGN('Real results'!C200-'Real results'!D200),3+IF(AND('Raw data'!K200='Real results'!C200,'Raw data'!L200='Real results'!D200),2,0),0),0),0)</f>
        <v>0</v>
      </c>
      <c r="M206" s="34">
        <f>IFERROR(IF(AND(ISNUMBER('Real results'!C200),ISNUMBER('Real results'!D200),ISNUMBER('Raw data'!M200),ISNUMBER('Raw data'!N200)),IF(SIGN('Raw data'!M200-'Raw data'!N200)=SIGN('Real results'!C200-'Real results'!D200),3+IF(AND('Raw data'!M200='Real results'!C200,'Raw data'!N200='Real results'!D200),2,0),0),0),0)</f>
        <v>0</v>
      </c>
      <c r="O206" s="34">
        <f>IFERROR(IF(AND(ISNUMBER('Real results'!C200),ISNUMBER('Real results'!D200),ISNUMBER('Raw data'!O200),ISNUMBER('Raw data'!P200)),IF(SIGN('Raw data'!O200-'Raw data'!P200)=SIGN('Real results'!C200-'Real results'!D200),3+IF(AND('Raw data'!O200='Real results'!C200,'Raw data'!P200='Real results'!D200),2,0),0),0),0)</f>
        <v>0</v>
      </c>
      <c r="Q206" s="34">
        <f>IFERROR(IF(AND(ISNUMBER('Real results'!C200),ISNUMBER('Real results'!D200),ISNUMBER('Raw data'!Q200),ISNUMBER('Raw data'!R200)),IF(SIGN('Raw data'!Q200-'Raw data'!R200)=SIGN('Real results'!C200-'Real results'!D200),3+IF(AND('Raw data'!Q200='Real results'!C200,'Raw data'!R200='Real results'!D200),2,0),0),0),0)</f>
        <v>0</v>
      </c>
      <c r="S206" s="34">
        <f>IFERROR(IF(AND(ISNUMBER('Real results'!C200),ISNUMBER('Real results'!D200),ISNUMBER('Raw data'!S200),ISNUMBER('Raw data'!T200)),IF(SIGN('Raw data'!S200-'Raw data'!T200)=SIGN('Real results'!C200-'Real results'!D200),3+IF(AND('Raw data'!S200='Real results'!C200,'Raw data'!T200='Real results'!D200),2,0),0),0),0)</f>
        <v>0</v>
      </c>
      <c r="U206" s="34">
        <f>IFERROR(IF(AND(ISNUMBER('Real results'!C200),ISNUMBER('Real results'!D200),ISNUMBER('Raw data'!U200),ISNUMBER('Raw data'!V200)),IF(SIGN('Raw data'!U200-'Raw data'!V200)=SIGN('Real results'!C200-'Real results'!D200),3+IF(AND('Raw data'!U200='Real results'!C200,'Raw data'!V200='Real results'!D200),2,0),0),0),0)</f>
        <v>0</v>
      </c>
      <c r="W206" s="34">
        <f>IFERROR(IF(AND(ISNUMBER('Real results'!C200),ISNUMBER('Real results'!D200),ISNUMBER('Raw data'!W200),ISNUMBER('Raw data'!X200)),IF(SIGN('Raw data'!W200-'Raw data'!X200)=SIGN('Real results'!C200-'Real results'!D200),3+IF(AND('Raw data'!W200='Real results'!C200,'Raw data'!X200='Real results'!D200),2,0),0),0),0)</f>
        <v>0</v>
      </c>
      <c r="Y206" s="34">
        <f>IFERROR(IF(AND(ISNUMBER('Real results'!C200),ISNUMBER('Real results'!D200),ISNUMBER('Raw data'!Y200),ISNUMBER('Raw data'!Z200)),IF(SIGN('Raw data'!Y200-'Raw data'!Z200)=SIGN('Real results'!C200-'Real results'!D200),3+IF(AND('Raw data'!Y200='Real results'!C200,'Raw data'!Z200='Real results'!D200),2,0),0),0),0)</f>
        <v>0</v>
      </c>
      <c r="AA206" s="34">
        <f>IFERROR(IF(AND(ISNUMBER('Real results'!C200),ISNUMBER('Real results'!D200),ISNUMBER('Raw data'!AA200),ISNUMBER('Raw data'!AB200)),IF(SIGN('Raw data'!AA200-'Raw data'!AB200)=SIGN('Real results'!C200-'Real results'!D200),3+IF(AND('Raw data'!AA200='Real results'!C200,'Raw data'!AB200='Real results'!D200),2,0),0),0),0)</f>
        <v>0</v>
      </c>
      <c r="AC206" s="34">
        <f>IFERROR(IF(AND(ISNUMBER('Real results'!C200),ISNUMBER('Real results'!D200),ISNUMBER('Raw data'!AC200),ISNUMBER('Raw data'!AD200)),IF(SIGN('Raw data'!AC200-'Raw data'!AD200)=SIGN('Real results'!C200-'Real results'!D200),3+IF(AND('Raw data'!AC200='Real results'!C200,'Raw data'!AD200='Real results'!D200),2,0),0),0),0)</f>
        <v>0</v>
      </c>
      <c r="AE206" s="34">
        <f>IFERROR(IF(AND(ISNUMBER('Real results'!C200),ISNUMBER('Real results'!D200),ISNUMBER('Raw data'!AE200),ISNUMBER('Raw data'!AF200)),IF(SIGN('Raw data'!AE200-'Raw data'!AF200)=SIGN('Real results'!C200-'Real results'!D200),3+IF(AND('Raw data'!AE200='Real results'!C200,'Raw data'!AF200='Real results'!D200),2,0),0),0),0)</f>
        <v>0</v>
      </c>
      <c r="AG206" s="34">
        <f>IFERROR(IF(AND(ISNUMBER('Real results'!C200),ISNUMBER('Real results'!D200),ISNUMBER('Raw data'!AG200),ISNUMBER('Raw data'!AH200)),IF(SIGN('Raw data'!AG200-'Raw data'!AH200)=SIGN('Real results'!C200-'Real results'!D200),3+IF(AND('Raw data'!AG200='Real results'!C200,'Raw data'!AH200='Real results'!D200),2,0),0),0),0)</f>
        <v>0</v>
      </c>
      <c r="AI206" s="34">
        <f>IFERROR(IF(AND(ISNUMBER('Real results'!C200),ISNUMBER('Real results'!D200),ISNUMBER('Raw data'!AI200),ISNUMBER('Raw data'!AJ200)),IF(SIGN('Raw data'!AI200-'Raw data'!AJ200)=SIGN('Real results'!C200-'Real results'!D200),3+IF(AND('Raw data'!AI200='Real results'!C200,'Raw data'!AJ200='Real results'!D200),2,0),0),0),0)</f>
        <v>0</v>
      </c>
      <c r="AK206" s="34">
        <f>IFERROR(IF(AND(ISNUMBER('Real results'!C200),ISNUMBER('Real results'!D200),ISNUMBER('Raw data'!AK200),ISNUMBER('Raw data'!AL200)),IF(SIGN('Raw data'!AK200-'Raw data'!AL200)=SIGN('Real results'!C200-'Real results'!D200),3+IF(AND('Raw data'!AK200='Real results'!C200,'Raw data'!AL200='Real results'!D200),2,0),0),0),0)</f>
        <v>0</v>
      </c>
      <c r="AM206" s="34">
        <f>IFERROR(IF(AND(ISNUMBER('Real results'!C200),ISNUMBER('Real results'!D200),ISNUMBER('Raw data'!AM200),ISNUMBER('Raw data'!AN200)),IF(SIGN('Raw data'!AM200-'Raw data'!AN200)=SIGN('Real results'!C200-'Real results'!D200),3+IF(AND('Raw data'!AM200='Real results'!C200,'Raw data'!AN200='Real results'!D200),2,0),0),0),0)</f>
        <v>0</v>
      </c>
      <c r="AO206" s="34">
        <f>IFERROR(IF(AND(ISNUMBER('Real results'!C200),ISNUMBER('Real results'!D200),ISNUMBER('Raw data'!AO200),ISNUMBER('Raw data'!AP200)),IF(SIGN('Raw data'!AO200-'Raw data'!AP200)=SIGN('Real results'!C200-'Real results'!D200),3+IF(AND('Raw data'!AO200='Real results'!C200,'Raw data'!AP200='Real results'!D200),2,0),0),0),0)</f>
        <v>0</v>
      </c>
      <c r="AQ206" s="34">
        <f>IFERROR(IF(AND(ISNUMBER('Real results'!C200),ISNUMBER('Real results'!D200),ISNUMBER('Raw data'!AQ200),ISNUMBER('Raw data'!AR200)),IF(SIGN('Raw data'!AQ200-'Raw data'!AR200)=SIGN('Real results'!C200-'Real results'!D200),3+IF(AND('Raw data'!AQ200='Real results'!C200,'Raw data'!AR200='Real results'!D200),2,0),0),0),0)</f>
        <v>0</v>
      </c>
      <c r="AS206" s="34">
        <f>IFERROR(IF(AND(ISNUMBER('Real results'!C200),ISNUMBER('Real results'!D200),ISNUMBER('Raw data'!AS200),ISNUMBER('Raw data'!AT200)),IF(SIGN('Raw data'!AS200-'Raw data'!AT200)=SIGN('Real results'!C200-'Real results'!D200),3+IF(AND('Raw data'!AS200='Real results'!C200,'Raw data'!AT200='Real results'!D200),2,0),0),0),0)</f>
        <v>0</v>
      </c>
      <c r="AU206" s="34">
        <f>IFERROR(IF(AND(ISNUMBER('Real results'!C200),ISNUMBER('Real results'!D200),ISNUMBER('Raw data'!AU200),ISNUMBER('Raw data'!AV200)),IF(SIGN('Raw data'!AU200-'Raw data'!AV200)=SIGN('Real results'!C200-'Real results'!D200),3+IF(AND('Raw data'!AU200='Real results'!C200,'Raw data'!AV200='Real results'!D200),2,0),0),0),0)</f>
        <v>0</v>
      </c>
      <c r="AW206" s="34">
        <f>IFERROR(IF(AND(ISNUMBER('Real results'!C200),ISNUMBER('Real results'!D200),ISNUMBER('Raw data'!AW200),ISNUMBER('Raw data'!AX200)),IF(SIGN('Raw data'!AW200-'Raw data'!AX200)=SIGN('Real results'!C200-'Real results'!D200),3+IF(AND('Raw data'!AW200='Real results'!C200,'Raw data'!AX200='Real results'!D200),2,0),0),0),0)</f>
        <v>0</v>
      </c>
      <c r="AY206" s="34">
        <f>IFERROR(IF(AND(ISNUMBER('Real results'!C200),ISNUMBER('Real results'!D200),ISNUMBER('Raw data'!AY200),ISNUMBER('Raw data'!AZ200)),IF(SIGN('Raw data'!AY200-'Raw data'!AZ200)=SIGN('Real results'!C200-'Real results'!D200),3+IF(AND('Raw data'!AY200='Real results'!C200,'Raw data'!AZ200='Real results'!D200),2,0),0),0),0)</f>
        <v>0</v>
      </c>
      <c r="BA206" s="34">
        <f>IFERROR(IF(AND(ISNUMBER('Real results'!C200),ISNUMBER('Real results'!D200),ISNUMBER('Raw data'!BA200),ISNUMBER('Raw data'!BB200)),IF(SIGN('Raw data'!BA200-'Raw data'!BB200)=SIGN('Real results'!C200-'Real results'!D200),3+IF(AND('Raw data'!BA200='Real results'!C200,'Raw data'!BB200='Real results'!D200),2,0),0),0),0)</f>
        <v>0</v>
      </c>
      <c r="BC206" s="34">
        <f>IFERROR(IF(AND(ISNUMBER('Real results'!C200),ISNUMBER('Real results'!D200),ISNUMBER('Raw data'!BC200),ISNUMBER('Raw data'!BD200)),IF(SIGN('Raw data'!BC200-'Raw data'!BD200)=SIGN('Real results'!C200-'Real results'!D200),3+IF(AND('Raw data'!BC200='Real results'!C200,'Raw data'!BD200='Real results'!D200),2,0),0),0),0)</f>
        <v>0</v>
      </c>
      <c r="BE206" s="34">
        <f>IFERROR(IF(AND(ISNUMBER('Real results'!C200),ISNUMBER('Real results'!D200),ISNUMBER('Raw data'!BE200),ISNUMBER('Raw data'!BF200)),IF(SIGN('Raw data'!BE200-'Raw data'!BF200)=SIGN('Real results'!C200-'Real results'!D200),3+IF(AND('Raw data'!BE200='Real results'!C200,'Raw data'!BF200='Real results'!D200),2,0),0),0),0)</f>
        <v>0</v>
      </c>
      <c r="BG206" s="34">
        <f>IFERROR(IF(AND(ISNUMBER('Real results'!C200),ISNUMBER('Real results'!D200),ISNUMBER('Raw data'!BG200),ISNUMBER('Raw data'!BH200)),IF(SIGN('Raw data'!BG200-'Raw data'!BH200)=SIGN('Real results'!C200-'Real results'!D200),3+IF(AND('Raw data'!BG200='Real results'!C200,'Raw data'!BH200='Real results'!D200),2,0),0),0),0)</f>
        <v>0</v>
      </c>
      <c r="BI206" s="34">
        <f>IFERROR(IF(AND(ISNUMBER('Real results'!C200),ISNUMBER('Real results'!D200),ISNUMBER('Raw data'!BI200),ISNUMBER('Raw data'!BJ200)),IF(SIGN('Raw data'!BI200-'Raw data'!BJ200)=SIGN('Real results'!C200-'Real results'!D200),3+IF(AND('Raw data'!BI200='Real results'!C200,'Raw data'!BJ200='Real results'!D200),2,0),0),0),0)</f>
        <v>0</v>
      </c>
    </row>
    <row r="207" ht="18.0" customHeight="1">
      <c r="B207" s="12" t="s">
        <v>463</v>
      </c>
      <c r="C207" s="34">
        <v>0.0</v>
      </c>
      <c r="E207" s="34">
        <v>0.0</v>
      </c>
      <c r="G207" s="34">
        <v>0.0</v>
      </c>
      <c r="I207" s="34">
        <v>0.0</v>
      </c>
      <c r="K207" s="34">
        <v>0.0</v>
      </c>
      <c r="M207" s="34">
        <v>0.0</v>
      </c>
      <c r="O207" s="34">
        <v>0.0</v>
      </c>
      <c r="Q207" s="34">
        <v>0.0</v>
      </c>
      <c r="S207" s="34">
        <v>0.0</v>
      </c>
      <c r="U207" s="34">
        <v>0.0</v>
      </c>
      <c r="W207" s="34">
        <v>0.0</v>
      </c>
      <c r="Y207" s="34">
        <v>0.0</v>
      </c>
      <c r="AA207" s="34">
        <v>0.0</v>
      </c>
      <c r="AC207" s="34">
        <v>0.0</v>
      </c>
      <c r="AE207" s="34">
        <v>0.0</v>
      </c>
      <c r="AG207" s="34">
        <v>0.0</v>
      </c>
      <c r="AI207" s="34">
        <v>0.0</v>
      </c>
      <c r="AK207" s="34">
        <v>0.0</v>
      </c>
      <c r="AM207" s="34">
        <v>0.0</v>
      </c>
      <c r="AO207" s="34">
        <v>0.0</v>
      </c>
      <c r="AQ207" s="34">
        <v>0.0</v>
      </c>
      <c r="AS207" s="34">
        <v>0.0</v>
      </c>
      <c r="AU207" s="34">
        <v>0.0</v>
      </c>
      <c r="AW207" s="34">
        <v>0.0</v>
      </c>
      <c r="AY207" s="34">
        <v>0.0</v>
      </c>
      <c r="BA207" s="34">
        <v>0.0</v>
      </c>
      <c r="BC207" s="34">
        <v>0.0</v>
      </c>
      <c r="BE207" s="34">
        <v>0.0</v>
      </c>
      <c r="BG207" s="34">
        <v>0.0</v>
      </c>
      <c r="BI207" s="34">
        <v>0.0</v>
      </c>
    </row>
    <row r="208" ht="18.0" customHeight="1">
      <c r="B208" s="12" t="s">
        <v>464</v>
      </c>
      <c r="C208" s="34">
        <f>IFERROR(IF(AND('Real results'!C202&lt;&gt;"",'Raw data'!C202&lt;&gt;"",UPPER(TRIM('Real results'!C202))=UPPER(TRIM('Raw data'!C202))),4,0),0)</f>
        <v>0</v>
      </c>
      <c r="E208" s="34">
        <f>IFERROR(IF(AND('Real results'!C202&lt;&gt;"",'Raw data'!E202&lt;&gt;"",UPPER(TRIM('Real results'!C202))=UPPER(TRIM('Raw data'!E202))),4,0),0)</f>
        <v>0</v>
      </c>
      <c r="G208" s="34">
        <f>IFERROR(IF(AND('Real results'!C202&lt;&gt;"",'Raw data'!G202&lt;&gt;"",UPPER(TRIM('Real results'!C202))=UPPER(TRIM('Raw data'!G202))),4,0),0)</f>
        <v>0</v>
      </c>
      <c r="I208" s="34">
        <f>IFERROR(IF(AND('Real results'!C202&lt;&gt;"",'Raw data'!I202&lt;&gt;"",UPPER(TRIM('Real results'!C202))=UPPER(TRIM('Raw data'!I202))),4,0),0)</f>
        <v>0</v>
      </c>
      <c r="K208" s="34">
        <f>IFERROR(IF(AND('Real results'!C202&lt;&gt;"",'Raw data'!K202&lt;&gt;"",UPPER(TRIM('Real results'!C202))=UPPER(TRIM('Raw data'!K202))),4,0),0)</f>
        <v>0</v>
      </c>
      <c r="M208" s="34">
        <f>IFERROR(IF(AND('Real results'!C202&lt;&gt;"",'Raw data'!M202&lt;&gt;"",UPPER(TRIM('Real results'!C202))=UPPER(TRIM('Raw data'!M202))),4,0),0)</f>
        <v>0</v>
      </c>
      <c r="O208" s="34">
        <f>IFERROR(IF(AND('Real results'!C202&lt;&gt;"",'Raw data'!O202&lt;&gt;"",UPPER(TRIM('Real results'!C202))=UPPER(TRIM('Raw data'!O202))),4,0),0)</f>
        <v>0</v>
      </c>
      <c r="Q208" s="34">
        <f>IFERROR(IF(AND('Real results'!C202&lt;&gt;"",'Raw data'!Q202&lt;&gt;"",UPPER(TRIM('Real results'!C202))=UPPER(TRIM('Raw data'!Q202))),4,0),0)</f>
        <v>0</v>
      </c>
      <c r="S208" s="34">
        <f>IFERROR(IF(AND('Real results'!C202&lt;&gt;"",'Raw data'!S202&lt;&gt;"",UPPER(TRIM('Real results'!C202))=UPPER(TRIM('Raw data'!S202))),4,0),0)</f>
        <v>0</v>
      </c>
      <c r="U208" s="34">
        <f>IFERROR(IF(AND('Real results'!C202&lt;&gt;"",'Raw data'!U202&lt;&gt;"",UPPER(TRIM('Real results'!C202))=UPPER(TRIM('Raw data'!U202))),4,0),0)</f>
        <v>0</v>
      </c>
      <c r="W208" s="34">
        <f>IFERROR(IF(AND('Real results'!C202&lt;&gt;"",'Raw data'!W202&lt;&gt;"",UPPER(TRIM('Real results'!C202))=UPPER(TRIM('Raw data'!W202))),4,0),0)</f>
        <v>0</v>
      </c>
      <c r="Y208" s="34">
        <f>IFERROR(IF(AND('Real results'!C202&lt;&gt;"",'Raw data'!Y202&lt;&gt;"",UPPER(TRIM('Real results'!C202))=UPPER(TRIM('Raw data'!Y202))),4,0),0)</f>
        <v>0</v>
      </c>
      <c r="AA208" s="34">
        <f>IFERROR(IF(AND('Real results'!C202&lt;&gt;"",'Raw data'!AA202&lt;&gt;"",UPPER(TRIM('Real results'!C202))=UPPER(TRIM('Raw data'!AA202))),4,0),0)</f>
        <v>0</v>
      </c>
      <c r="AC208" s="34">
        <f>IFERROR(IF(AND('Real results'!C202&lt;&gt;"",'Raw data'!AC202&lt;&gt;"",UPPER(TRIM('Real results'!C202))=UPPER(TRIM('Raw data'!AC202))),4,0),0)</f>
        <v>0</v>
      </c>
      <c r="AE208" s="34">
        <f>IFERROR(IF(AND('Real results'!C202&lt;&gt;"",'Raw data'!AE202&lt;&gt;"",UPPER(TRIM('Real results'!C202))=UPPER(TRIM('Raw data'!AE202))),4,0),0)</f>
        <v>0</v>
      </c>
      <c r="AG208" s="34">
        <f>IFERROR(IF(AND('Real results'!C202&lt;&gt;"",'Raw data'!AG202&lt;&gt;"",UPPER(TRIM('Real results'!C202))=UPPER(TRIM('Raw data'!AG202))),4,0),0)</f>
        <v>0</v>
      </c>
      <c r="AI208" s="34">
        <f>IFERROR(IF(AND('Real results'!C202&lt;&gt;"",'Raw data'!AI202&lt;&gt;"",UPPER(TRIM('Real results'!C202))=UPPER(TRIM('Raw data'!AI202))),4,0),0)</f>
        <v>0</v>
      </c>
      <c r="AK208" s="34">
        <f>IFERROR(IF(AND('Real results'!C202&lt;&gt;"",'Raw data'!AK202&lt;&gt;"",UPPER(TRIM('Real results'!C202))=UPPER(TRIM('Raw data'!AK202))),4,0),0)</f>
        <v>0</v>
      </c>
      <c r="AM208" s="34">
        <f>IFERROR(IF(AND('Real results'!C202&lt;&gt;"",'Raw data'!AM202&lt;&gt;"",UPPER(TRIM('Real results'!C202))=UPPER(TRIM('Raw data'!AM202))),4,0),0)</f>
        <v>0</v>
      </c>
      <c r="AO208" s="34">
        <f>IFERROR(IF(AND('Real results'!C202&lt;&gt;"",'Raw data'!AO202&lt;&gt;"",UPPER(TRIM('Real results'!C202))=UPPER(TRIM('Raw data'!AO202))),4,0),0)</f>
        <v>0</v>
      </c>
      <c r="AQ208" s="34">
        <f>IFERROR(IF(AND('Real results'!C202&lt;&gt;"",'Raw data'!AQ202&lt;&gt;"",UPPER(TRIM('Real results'!C202))=UPPER(TRIM('Raw data'!AQ202))),4,0),0)</f>
        <v>0</v>
      </c>
      <c r="AS208" s="34">
        <f>IFERROR(IF(AND('Real results'!C202&lt;&gt;"",'Raw data'!AS202&lt;&gt;"",UPPER(TRIM('Real results'!C202))=UPPER(TRIM('Raw data'!AS202))),4,0),0)</f>
        <v>0</v>
      </c>
      <c r="AU208" s="34">
        <f>IFERROR(IF(AND('Real results'!C202&lt;&gt;"",'Raw data'!AU202&lt;&gt;"",UPPER(TRIM('Real results'!C202))=UPPER(TRIM('Raw data'!AU202))),4,0),0)</f>
        <v>0</v>
      </c>
      <c r="AW208" s="34">
        <f>IFERROR(IF(AND('Real results'!C202&lt;&gt;"",'Raw data'!AW202&lt;&gt;"",UPPER(TRIM('Real results'!C202))=UPPER(TRIM('Raw data'!AW202))),4,0),0)</f>
        <v>0</v>
      </c>
      <c r="AY208" s="34">
        <f>IFERROR(IF(AND('Real results'!C202&lt;&gt;"",'Raw data'!AY202&lt;&gt;"",UPPER(TRIM('Real results'!C202))=UPPER(TRIM('Raw data'!AY202))),4,0),0)</f>
        <v>0</v>
      </c>
      <c r="BA208" s="34">
        <f>IFERROR(IF(AND('Real results'!C202&lt;&gt;"",'Raw data'!BA202&lt;&gt;"",UPPER(TRIM('Real results'!C202))=UPPER(TRIM('Raw data'!BA202))),4,0),0)</f>
        <v>0</v>
      </c>
      <c r="BC208" s="34">
        <f>IFERROR(IF(AND('Real results'!C202&lt;&gt;"",'Raw data'!BC202&lt;&gt;"",UPPER(TRIM('Real results'!C202))=UPPER(TRIM('Raw data'!BC202))),4,0),0)</f>
        <v>0</v>
      </c>
      <c r="BE208" s="34">
        <f>IFERROR(IF(AND('Real results'!C202&lt;&gt;"",'Raw data'!BE202&lt;&gt;"",UPPER(TRIM('Real results'!C202))=UPPER(TRIM('Raw data'!BE202))),4,0),0)</f>
        <v>0</v>
      </c>
      <c r="BG208" s="34">
        <f>IFERROR(IF(AND('Real results'!C202&lt;&gt;"",'Raw data'!BG202&lt;&gt;"",UPPER(TRIM('Real results'!C202))=UPPER(TRIM('Raw data'!BG202))),4,0),0)</f>
        <v>0</v>
      </c>
      <c r="BI208" s="34">
        <f>IFERROR(IF(AND('Real results'!C202&lt;&gt;"",'Raw data'!BI202&lt;&gt;"",UPPER(TRIM('Real results'!C202))=UPPER(TRIM('Raw data'!BI202))),4,0),0)</f>
        <v>0</v>
      </c>
    </row>
    <row r="209" ht="18.0" customHeight="1">
      <c r="B209" s="12" t="s">
        <v>465</v>
      </c>
      <c r="C209" s="34">
        <f>IFERROR(IF(AND(ISNUMBER('Real results'!C203),ISNUMBER('Real results'!D203),ISNUMBER('Raw data'!C203),ISNUMBER('Raw data'!D203)),IF(SIGN('Raw data'!C203-'Raw data'!D203)=SIGN('Real results'!C203-'Real results'!D203),3+IF(AND('Raw data'!C203='Real results'!C203,'Raw data'!D203='Real results'!D203),2,0),0),0),0)</f>
        <v>0</v>
      </c>
      <c r="E209" s="34">
        <f>IFERROR(IF(AND(ISNUMBER('Real results'!C203),ISNUMBER('Real results'!D203),ISNUMBER('Raw data'!E203),ISNUMBER('Raw data'!F203)),IF(SIGN('Raw data'!E203-'Raw data'!F203)=SIGN('Real results'!C203-'Real results'!D203),3+IF(AND('Raw data'!E203='Real results'!C203,'Raw data'!F203='Real results'!D203),2,0),0),0),0)</f>
        <v>0</v>
      </c>
      <c r="G209" s="34">
        <f>IFERROR(IF(AND(ISNUMBER('Real results'!C203),ISNUMBER('Real results'!D203),ISNUMBER('Raw data'!G203),ISNUMBER('Raw data'!H203)),IF(SIGN('Raw data'!G203-'Raw data'!H203)=SIGN('Real results'!C203-'Real results'!D203),3+IF(AND('Raw data'!G203='Real results'!C203,'Raw data'!H203='Real results'!D203),2,0),0),0),0)</f>
        <v>0</v>
      </c>
      <c r="I209" s="34">
        <f>IFERROR(IF(AND(ISNUMBER('Real results'!C203),ISNUMBER('Real results'!D203),ISNUMBER('Raw data'!I203),ISNUMBER('Raw data'!J203)),IF(SIGN('Raw data'!I203-'Raw data'!J203)=SIGN('Real results'!C203-'Real results'!D203),3+IF(AND('Raw data'!I203='Real results'!C203,'Raw data'!J203='Real results'!D203),2,0),0),0),0)</f>
        <v>0</v>
      </c>
      <c r="K209" s="34">
        <f>IFERROR(IF(AND(ISNUMBER('Real results'!C203),ISNUMBER('Real results'!D203),ISNUMBER('Raw data'!K203),ISNUMBER('Raw data'!L203)),IF(SIGN('Raw data'!K203-'Raw data'!L203)=SIGN('Real results'!C203-'Real results'!D203),3+IF(AND('Raw data'!K203='Real results'!C203,'Raw data'!L203='Real results'!D203),2,0),0),0),0)</f>
        <v>0</v>
      </c>
      <c r="M209" s="34">
        <f>IFERROR(IF(AND(ISNUMBER('Real results'!C203),ISNUMBER('Real results'!D203),ISNUMBER('Raw data'!M203),ISNUMBER('Raw data'!N203)),IF(SIGN('Raw data'!M203-'Raw data'!N203)=SIGN('Real results'!C203-'Real results'!D203),3+IF(AND('Raw data'!M203='Real results'!C203,'Raw data'!N203='Real results'!D203),2,0),0),0),0)</f>
        <v>0</v>
      </c>
      <c r="O209" s="34">
        <f>IFERROR(IF(AND(ISNUMBER('Real results'!C203),ISNUMBER('Real results'!D203),ISNUMBER('Raw data'!O203),ISNUMBER('Raw data'!P203)),IF(SIGN('Raw data'!O203-'Raw data'!P203)=SIGN('Real results'!C203-'Real results'!D203),3+IF(AND('Raw data'!O203='Real results'!C203,'Raw data'!P203='Real results'!D203),2,0),0),0),0)</f>
        <v>0</v>
      </c>
      <c r="Q209" s="34">
        <f>IFERROR(IF(AND(ISNUMBER('Real results'!C203),ISNUMBER('Real results'!D203),ISNUMBER('Raw data'!Q203),ISNUMBER('Raw data'!R203)),IF(SIGN('Raw data'!Q203-'Raw data'!R203)=SIGN('Real results'!C203-'Real results'!D203),3+IF(AND('Raw data'!Q203='Real results'!C203,'Raw data'!R203='Real results'!D203),2,0),0),0),0)</f>
        <v>0</v>
      </c>
      <c r="S209" s="34">
        <f>IFERROR(IF(AND(ISNUMBER('Real results'!C203),ISNUMBER('Real results'!D203),ISNUMBER('Raw data'!S203),ISNUMBER('Raw data'!T203)),IF(SIGN('Raw data'!S203-'Raw data'!T203)=SIGN('Real results'!C203-'Real results'!D203),3+IF(AND('Raw data'!S203='Real results'!C203,'Raw data'!T203='Real results'!D203),2,0),0),0),0)</f>
        <v>0</v>
      </c>
      <c r="U209" s="34">
        <f>IFERROR(IF(AND(ISNUMBER('Real results'!C203),ISNUMBER('Real results'!D203),ISNUMBER('Raw data'!U203),ISNUMBER('Raw data'!V203)),IF(SIGN('Raw data'!U203-'Raw data'!V203)=SIGN('Real results'!C203-'Real results'!D203),3+IF(AND('Raw data'!U203='Real results'!C203,'Raw data'!V203='Real results'!D203),2,0),0),0),0)</f>
        <v>0</v>
      </c>
      <c r="W209" s="34">
        <f>IFERROR(IF(AND(ISNUMBER('Real results'!C203),ISNUMBER('Real results'!D203),ISNUMBER('Raw data'!W203),ISNUMBER('Raw data'!X203)),IF(SIGN('Raw data'!W203-'Raw data'!X203)=SIGN('Real results'!C203-'Real results'!D203),3+IF(AND('Raw data'!W203='Real results'!C203,'Raw data'!X203='Real results'!D203),2,0),0),0),0)</f>
        <v>0</v>
      </c>
      <c r="Y209" s="34">
        <f>IFERROR(IF(AND(ISNUMBER('Real results'!C203),ISNUMBER('Real results'!D203),ISNUMBER('Raw data'!Y203),ISNUMBER('Raw data'!Z203)),IF(SIGN('Raw data'!Y203-'Raw data'!Z203)=SIGN('Real results'!C203-'Real results'!D203),3+IF(AND('Raw data'!Y203='Real results'!C203,'Raw data'!Z203='Real results'!D203),2,0),0),0),0)</f>
        <v>0</v>
      </c>
      <c r="AA209" s="34">
        <f>IFERROR(IF(AND(ISNUMBER('Real results'!C203),ISNUMBER('Real results'!D203),ISNUMBER('Raw data'!AA203),ISNUMBER('Raw data'!AB203)),IF(SIGN('Raw data'!AA203-'Raw data'!AB203)=SIGN('Real results'!C203-'Real results'!D203),3+IF(AND('Raw data'!AA203='Real results'!C203,'Raw data'!AB203='Real results'!D203),2,0),0),0),0)</f>
        <v>0</v>
      </c>
      <c r="AC209" s="34">
        <f>IFERROR(IF(AND(ISNUMBER('Real results'!C203),ISNUMBER('Real results'!D203),ISNUMBER('Raw data'!AC203),ISNUMBER('Raw data'!AD203)),IF(SIGN('Raw data'!AC203-'Raw data'!AD203)=SIGN('Real results'!C203-'Real results'!D203),3+IF(AND('Raw data'!AC203='Real results'!C203,'Raw data'!AD203='Real results'!D203),2,0),0),0),0)</f>
        <v>0</v>
      </c>
      <c r="AE209" s="34">
        <f>IFERROR(IF(AND(ISNUMBER('Real results'!C203),ISNUMBER('Real results'!D203),ISNUMBER('Raw data'!AE203),ISNUMBER('Raw data'!AF203)),IF(SIGN('Raw data'!AE203-'Raw data'!AF203)=SIGN('Real results'!C203-'Real results'!D203),3+IF(AND('Raw data'!AE203='Real results'!C203,'Raw data'!AF203='Real results'!D203),2,0),0),0),0)</f>
        <v>0</v>
      </c>
      <c r="AG209" s="34">
        <f>IFERROR(IF(AND(ISNUMBER('Real results'!C203),ISNUMBER('Real results'!D203),ISNUMBER('Raw data'!AG203),ISNUMBER('Raw data'!AH203)),IF(SIGN('Raw data'!AG203-'Raw data'!AH203)=SIGN('Real results'!C203-'Real results'!D203),3+IF(AND('Raw data'!AG203='Real results'!C203,'Raw data'!AH203='Real results'!D203),2,0),0),0),0)</f>
        <v>0</v>
      </c>
      <c r="AI209" s="34">
        <f>IFERROR(IF(AND(ISNUMBER('Real results'!C203),ISNUMBER('Real results'!D203),ISNUMBER('Raw data'!AI203),ISNUMBER('Raw data'!AJ203)),IF(SIGN('Raw data'!AI203-'Raw data'!AJ203)=SIGN('Real results'!C203-'Real results'!D203),3+IF(AND('Raw data'!AI203='Real results'!C203,'Raw data'!AJ203='Real results'!D203),2,0),0),0),0)</f>
        <v>0</v>
      </c>
      <c r="AK209" s="34">
        <f>IFERROR(IF(AND(ISNUMBER('Real results'!C203),ISNUMBER('Real results'!D203),ISNUMBER('Raw data'!AK203),ISNUMBER('Raw data'!AL203)),IF(SIGN('Raw data'!AK203-'Raw data'!AL203)=SIGN('Real results'!C203-'Real results'!D203),3+IF(AND('Raw data'!AK203='Real results'!C203,'Raw data'!AL203='Real results'!D203),2,0),0),0),0)</f>
        <v>0</v>
      </c>
      <c r="AM209" s="34">
        <f>IFERROR(IF(AND(ISNUMBER('Real results'!C203),ISNUMBER('Real results'!D203),ISNUMBER('Raw data'!AM203),ISNUMBER('Raw data'!AN203)),IF(SIGN('Raw data'!AM203-'Raw data'!AN203)=SIGN('Real results'!C203-'Real results'!D203),3+IF(AND('Raw data'!AM203='Real results'!C203,'Raw data'!AN203='Real results'!D203),2,0),0),0),0)</f>
        <v>0</v>
      </c>
      <c r="AO209" s="34">
        <f>IFERROR(IF(AND(ISNUMBER('Real results'!C203),ISNUMBER('Real results'!D203),ISNUMBER('Raw data'!AO203),ISNUMBER('Raw data'!AP203)),IF(SIGN('Raw data'!AO203-'Raw data'!AP203)=SIGN('Real results'!C203-'Real results'!D203),3+IF(AND('Raw data'!AO203='Real results'!C203,'Raw data'!AP203='Real results'!D203),2,0),0),0),0)</f>
        <v>0</v>
      </c>
      <c r="AQ209" s="34">
        <f>IFERROR(IF(AND(ISNUMBER('Real results'!C203),ISNUMBER('Real results'!D203),ISNUMBER('Raw data'!AQ203),ISNUMBER('Raw data'!AR203)),IF(SIGN('Raw data'!AQ203-'Raw data'!AR203)=SIGN('Real results'!C203-'Real results'!D203),3+IF(AND('Raw data'!AQ203='Real results'!C203,'Raw data'!AR203='Real results'!D203),2,0),0),0),0)</f>
        <v>0</v>
      </c>
      <c r="AS209" s="34">
        <f>IFERROR(IF(AND(ISNUMBER('Real results'!C203),ISNUMBER('Real results'!D203),ISNUMBER('Raw data'!AS203),ISNUMBER('Raw data'!AT203)),IF(SIGN('Raw data'!AS203-'Raw data'!AT203)=SIGN('Real results'!C203-'Real results'!D203),3+IF(AND('Raw data'!AS203='Real results'!C203,'Raw data'!AT203='Real results'!D203),2,0),0),0),0)</f>
        <v>0</v>
      </c>
      <c r="AU209" s="34">
        <f>IFERROR(IF(AND(ISNUMBER('Real results'!C203),ISNUMBER('Real results'!D203),ISNUMBER('Raw data'!AU203),ISNUMBER('Raw data'!AV203)),IF(SIGN('Raw data'!AU203-'Raw data'!AV203)=SIGN('Real results'!C203-'Real results'!D203),3+IF(AND('Raw data'!AU203='Real results'!C203,'Raw data'!AV203='Real results'!D203),2,0),0),0),0)</f>
        <v>0</v>
      </c>
      <c r="AW209" s="34">
        <f>IFERROR(IF(AND(ISNUMBER('Real results'!C203),ISNUMBER('Real results'!D203),ISNUMBER('Raw data'!AW203),ISNUMBER('Raw data'!AX203)),IF(SIGN('Raw data'!AW203-'Raw data'!AX203)=SIGN('Real results'!C203-'Real results'!D203),3+IF(AND('Raw data'!AW203='Real results'!C203,'Raw data'!AX203='Real results'!D203),2,0),0),0),0)</f>
        <v>0</v>
      </c>
      <c r="AY209" s="34">
        <f>IFERROR(IF(AND(ISNUMBER('Real results'!C203),ISNUMBER('Real results'!D203),ISNUMBER('Raw data'!AY203),ISNUMBER('Raw data'!AZ203)),IF(SIGN('Raw data'!AY203-'Raw data'!AZ203)=SIGN('Real results'!C203-'Real results'!D203),3+IF(AND('Raw data'!AY203='Real results'!C203,'Raw data'!AZ203='Real results'!D203),2,0),0),0),0)</f>
        <v>0</v>
      </c>
      <c r="BA209" s="34">
        <f>IFERROR(IF(AND(ISNUMBER('Real results'!C203),ISNUMBER('Real results'!D203),ISNUMBER('Raw data'!BA203),ISNUMBER('Raw data'!BB203)),IF(SIGN('Raw data'!BA203-'Raw data'!BB203)=SIGN('Real results'!C203-'Real results'!D203),3+IF(AND('Raw data'!BA203='Real results'!C203,'Raw data'!BB203='Real results'!D203),2,0),0),0),0)</f>
        <v>0</v>
      </c>
      <c r="BC209" s="34">
        <f>IFERROR(IF(AND(ISNUMBER('Real results'!C203),ISNUMBER('Real results'!D203),ISNUMBER('Raw data'!BC203),ISNUMBER('Raw data'!BD203)),IF(SIGN('Raw data'!BC203-'Raw data'!BD203)=SIGN('Real results'!C203-'Real results'!D203),3+IF(AND('Raw data'!BC203='Real results'!C203,'Raw data'!BD203='Real results'!D203),2,0),0),0),0)</f>
        <v>0</v>
      </c>
      <c r="BE209" s="34">
        <f>IFERROR(IF(AND(ISNUMBER('Real results'!C203),ISNUMBER('Real results'!D203),ISNUMBER('Raw data'!BE203),ISNUMBER('Raw data'!BF203)),IF(SIGN('Raw data'!BE203-'Raw data'!BF203)=SIGN('Real results'!C203-'Real results'!D203),3+IF(AND('Raw data'!BE203='Real results'!C203,'Raw data'!BF203='Real results'!D203),2,0),0),0),0)</f>
        <v>0</v>
      </c>
      <c r="BG209" s="34">
        <f>IFERROR(IF(AND(ISNUMBER('Real results'!C203),ISNUMBER('Real results'!D203),ISNUMBER('Raw data'!BG203),ISNUMBER('Raw data'!BH203)),IF(SIGN('Raw data'!BG203-'Raw data'!BH203)=SIGN('Real results'!C203-'Real results'!D203),3+IF(AND('Raw data'!BG203='Real results'!C203,'Raw data'!BH203='Real results'!D203),2,0),0),0),0)</f>
        <v>0</v>
      </c>
      <c r="BI209" s="34">
        <f>IFERROR(IF(AND(ISNUMBER('Real results'!C203),ISNUMBER('Real results'!D203),ISNUMBER('Raw data'!BI203),ISNUMBER('Raw data'!BJ203)),IF(SIGN('Raw data'!BI203-'Raw data'!BJ203)=SIGN('Real results'!C203-'Real results'!D203),3+IF(AND('Raw data'!BI203='Real results'!C203,'Raw data'!BJ203='Real results'!D203),2,0),0),0),0)</f>
        <v>0</v>
      </c>
    </row>
    <row r="210" ht="18.0" customHeight="1">
      <c r="B210" s="12" t="s">
        <v>466</v>
      </c>
      <c r="C210" s="34">
        <v>0.0</v>
      </c>
      <c r="E210" s="34">
        <v>0.0</v>
      </c>
      <c r="G210" s="34">
        <v>0.0</v>
      </c>
      <c r="I210" s="34">
        <v>0.0</v>
      </c>
      <c r="K210" s="34">
        <v>0.0</v>
      </c>
      <c r="M210" s="34">
        <v>0.0</v>
      </c>
      <c r="O210" s="34">
        <v>0.0</v>
      </c>
      <c r="Q210" s="34">
        <v>0.0</v>
      </c>
      <c r="S210" s="34">
        <v>0.0</v>
      </c>
      <c r="U210" s="34">
        <v>0.0</v>
      </c>
      <c r="W210" s="34">
        <v>0.0</v>
      </c>
      <c r="Y210" s="34">
        <v>0.0</v>
      </c>
      <c r="AA210" s="34">
        <v>0.0</v>
      </c>
      <c r="AC210" s="34">
        <v>0.0</v>
      </c>
      <c r="AE210" s="34">
        <v>0.0</v>
      </c>
      <c r="AG210" s="34">
        <v>0.0</v>
      </c>
      <c r="AI210" s="34">
        <v>0.0</v>
      </c>
      <c r="AK210" s="34">
        <v>0.0</v>
      </c>
      <c r="AM210" s="34">
        <v>0.0</v>
      </c>
      <c r="AO210" s="34">
        <v>0.0</v>
      </c>
      <c r="AQ210" s="34">
        <v>0.0</v>
      </c>
      <c r="AS210" s="34">
        <v>0.0</v>
      </c>
      <c r="AU210" s="34">
        <v>0.0</v>
      </c>
      <c r="AW210" s="34">
        <v>0.0</v>
      </c>
      <c r="AY210" s="34">
        <v>0.0</v>
      </c>
      <c r="BA210" s="34">
        <v>0.0</v>
      </c>
      <c r="BC210" s="34">
        <v>0.0</v>
      </c>
      <c r="BE210" s="34">
        <v>0.0</v>
      </c>
      <c r="BG210" s="34">
        <v>0.0</v>
      </c>
      <c r="BI210" s="34">
        <v>0.0</v>
      </c>
    </row>
    <row r="211" ht="18.0" customHeight="1">
      <c r="B211" s="12" t="s">
        <v>467</v>
      </c>
      <c r="C211" s="34">
        <f>IFERROR(IF(AND('Real results'!C205&lt;&gt;"",'Raw data'!C205&lt;&gt;"",UPPER(TRIM('Real results'!C205))=UPPER(TRIM('Raw data'!C205))),4,0),0)</f>
        <v>0</v>
      </c>
      <c r="E211" s="34">
        <f>IFERROR(IF(AND('Real results'!C205&lt;&gt;"",'Raw data'!E205&lt;&gt;"",UPPER(TRIM('Real results'!C205))=UPPER(TRIM('Raw data'!E205))),4,0),0)</f>
        <v>0</v>
      </c>
      <c r="G211" s="34">
        <f>IFERROR(IF(AND('Real results'!C205&lt;&gt;"",'Raw data'!G205&lt;&gt;"",UPPER(TRIM('Real results'!C205))=UPPER(TRIM('Raw data'!G205))),4,0),0)</f>
        <v>0</v>
      </c>
      <c r="I211" s="34">
        <f>IFERROR(IF(AND('Real results'!C205&lt;&gt;"",'Raw data'!I205&lt;&gt;"",UPPER(TRIM('Real results'!C205))=UPPER(TRIM('Raw data'!I205))),4,0),0)</f>
        <v>0</v>
      </c>
      <c r="K211" s="34">
        <f>IFERROR(IF(AND('Real results'!C205&lt;&gt;"",'Raw data'!K205&lt;&gt;"",UPPER(TRIM('Real results'!C205))=UPPER(TRIM('Raw data'!K205))),4,0),0)</f>
        <v>0</v>
      </c>
      <c r="M211" s="34">
        <f>IFERROR(IF(AND('Real results'!C205&lt;&gt;"",'Raw data'!M205&lt;&gt;"",UPPER(TRIM('Real results'!C205))=UPPER(TRIM('Raw data'!M205))),4,0),0)</f>
        <v>0</v>
      </c>
      <c r="O211" s="34">
        <f>IFERROR(IF(AND('Real results'!C205&lt;&gt;"",'Raw data'!O205&lt;&gt;"",UPPER(TRIM('Real results'!C205))=UPPER(TRIM('Raw data'!O205))),4,0),0)</f>
        <v>0</v>
      </c>
      <c r="Q211" s="34">
        <f>IFERROR(IF(AND('Real results'!C205&lt;&gt;"",'Raw data'!Q205&lt;&gt;"",UPPER(TRIM('Real results'!C205))=UPPER(TRIM('Raw data'!Q205))),4,0),0)</f>
        <v>0</v>
      </c>
      <c r="S211" s="34">
        <f>IFERROR(IF(AND('Real results'!C205&lt;&gt;"",'Raw data'!S205&lt;&gt;"",UPPER(TRIM('Real results'!C205))=UPPER(TRIM('Raw data'!S205))),4,0),0)</f>
        <v>0</v>
      </c>
      <c r="U211" s="34">
        <f>IFERROR(IF(AND('Real results'!C205&lt;&gt;"",'Raw data'!U205&lt;&gt;"",UPPER(TRIM('Real results'!C205))=UPPER(TRIM('Raw data'!U205))),4,0),0)</f>
        <v>0</v>
      </c>
      <c r="W211" s="34">
        <f>IFERROR(IF(AND('Real results'!C205&lt;&gt;"",'Raw data'!W205&lt;&gt;"",UPPER(TRIM('Real results'!C205))=UPPER(TRIM('Raw data'!W205))),4,0),0)</f>
        <v>0</v>
      </c>
      <c r="Y211" s="34">
        <f>IFERROR(IF(AND('Real results'!C205&lt;&gt;"",'Raw data'!Y205&lt;&gt;"",UPPER(TRIM('Real results'!C205))=UPPER(TRIM('Raw data'!Y205))),4,0),0)</f>
        <v>0</v>
      </c>
      <c r="AA211" s="34">
        <f>IFERROR(IF(AND('Real results'!C205&lt;&gt;"",'Raw data'!AA205&lt;&gt;"",UPPER(TRIM('Real results'!C205))=UPPER(TRIM('Raw data'!AA205))),4,0),0)</f>
        <v>0</v>
      </c>
      <c r="AC211" s="34">
        <f>IFERROR(IF(AND('Real results'!C205&lt;&gt;"",'Raw data'!AC205&lt;&gt;"",UPPER(TRIM('Real results'!C205))=UPPER(TRIM('Raw data'!AC205))),4,0),0)</f>
        <v>0</v>
      </c>
      <c r="AE211" s="34">
        <f>IFERROR(IF(AND('Real results'!C205&lt;&gt;"",'Raw data'!AE205&lt;&gt;"",UPPER(TRIM('Real results'!C205))=UPPER(TRIM('Raw data'!AE205))),4,0),0)</f>
        <v>0</v>
      </c>
      <c r="AG211" s="34">
        <f>IFERROR(IF(AND('Real results'!C205&lt;&gt;"",'Raw data'!AG205&lt;&gt;"",UPPER(TRIM('Real results'!C205))=UPPER(TRIM('Raw data'!AG205))),4,0),0)</f>
        <v>0</v>
      </c>
      <c r="AI211" s="34">
        <f>IFERROR(IF(AND('Real results'!C205&lt;&gt;"",'Raw data'!AI205&lt;&gt;"",UPPER(TRIM('Real results'!C205))=UPPER(TRIM('Raw data'!AI205))),4,0),0)</f>
        <v>0</v>
      </c>
      <c r="AK211" s="34">
        <f>IFERROR(IF(AND('Real results'!C205&lt;&gt;"",'Raw data'!AK205&lt;&gt;"",UPPER(TRIM('Real results'!C205))=UPPER(TRIM('Raw data'!AK205))),4,0),0)</f>
        <v>0</v>
      </c>
      <c r="AM211" s="34">
        <f>IFERROR(IF(AND('Real results'!C205&lt;&gt;"",'Raw data'!AM205&lt;&gt;"",UPPER(TRIM('Real results'!C205))=UPPER(TRIM('Raw data'!AM205))),4,0),0)</f>
        <v>0</v>
      </c>
      <c r="AO211" s="34">
        <f>IFERROR(IF(AND('Real results'!C205&lt;&gt;"",'Raw data'!AO205&lt;&gt;"",UPPER(TRIM('Real results'!C205))=UPPER(TRIM('Raw data'!AO205))),4,0),0)</f>
        <v>0</v>
      </c>
      <c r="AQ211" s="34">
        <f>IFERROR(IF(AND('Real results'!C205&lt;&gt;"",'Raw data'!AQ205&lt;&gt;"",UPPER(TRIM('Real results'!C205))=UPPER(TRIM('Raw data'!AQ205))),4,0),0)</f>
        <v>0</v>
      </c>
      <c r="AS211" s="34">
        <f>IFERROR(IF(AND('Real results'!C205&lt;&gt;"",'Raw data'!AS205&lt;&gt;"",UPPER(TRIM('Real results'!C205))=UPPER(TRIM('Raw data'!AS205))),4,0),0)</f>
        <v>0</v>
      </c>
      <c r="AU211" s="34">
        <f>IFERROR(IF(AND('Real results'!C205&lt;&gt;"",'Raw data'!AU205&lt;&gt;"",UPPER(TRIM('Real results'!C205))=UPPER(TRIM('Raw data'!AU205))),4,0),0)</f>
        <v>0</v>
      </c>
      <c r="AW211" s="34">
        <f>IFERROR(IF(AND('Real results'!C205&lt;&gt;"",'Raw data'!AW205&lt;&gt;"",UPPER(TRIM('Real results'!C205))=UPPER(TRIM('Raw data'!AW205))),4,0),0)</f>
        <v>0</v>
      </c>
      <c r="AY211" s="34">
        <f>IFERROR(IF(AND('Real results'!C205&lt;&gt;"",'Raw data'!AY205&lt;&gt;"",UPPER(TRIM('Real results'!C205))=UPPER(TRIM('Raw data'!AY205))),4,0),0)</f>
        <v>0</v>
      </c>
      <c r="BA211" s="34">
        <f>IFERROR(IF(AND('Real results'!C205&lt;&gt;"",'Raw data'!BA205&lt;&gt;"",UPPER(TRIM('Real results'!C205))=UPPER(TRIM('Raw data'!BA205))),4,0),0)</f>
        <v>0</v>
      </c>
      <c r="BC211" s="34">
        <f>IFERROR(IF(AND('Real results'!C205&lt;&gt;"",'Raw data'!BC205&lt;&gt;"",UPPER(TRIM('Real results'!C205))=UPPER(TRIM('Raw data'!BC205))),4,0),0)</f>
        <v>0</v>
      </c>
      <c r="BE211" s="34">
        <f>IFERROR(IF(AND('Real results'!C205&lt;&gt;"",'Raw data'!BE205&lt;&gt;"",UPPER(TRIM('Real results'!C205))=UPPER(TRIM('Raw data'!BE205))),4,0),0)</f>
        <v>0</v>
      </c>
      <c r="BG211" s="34">
        <f>IFERROR(IF(AND('Real results'!C205&lt;&gt;"",'Raw data'!BG205&lt;&gt;"",UPPER(TRIM('Real results'!C205))=UPPER(TRIM('Raw data'!BG205))),4,0),0)</f>
        <v>0</v>
      </c>
      <c r="BI211" s="34">
        <f>IFERROR(IF(AND('Real results'!C205&lt;&gt;"",'Raw data'!BI205&lt;&gt;"",UPPER(TRIM('Real results'!C205))=UPPER(TRIM('Raw data'!BI205))),4,0),0)</f>
        <v>0</v>
      </c>
    </row>
    <row r="212" ht="18.0" customHeight="1">
      <c r="B212" s="12" t="s">
        <v>468</v>
      </c>
      <c r="C212" s="34">
        <f>IFERROR(IF(AND(ISNUMBER('Real results'!C206),ISNUMBER('Real results'!D206),ISNUMBER('Raw data'!C206),ISNUMBER('Raw data'!D206)),IF(SIGN('Raw data'!C206-'Raw data'!D206)=SIGN('Real results'!C206-'Real results'!D206),3+IF(AND('Raw data'!C206='Real results'!C206,'Raw data'!D206='Real results'!D206),2,0),0),0),0)</f>
        <v>0</v>
      </c>
      <c r="E212" s="34">
        <f>IFERROR(IF(AND(ISNUMBER('Real results'!C206),ISNUMBER('Real results'!D206),ISNUMBER('Raw data'!E206),ISNUMBER('Raw data'!F206)),IF(SIGN('Raw data'!E206-'Raw data'!F206)=SIGN('Real results'!C206-'Real results'!D206),3+IF(AND('Raw data'!E206='Real results'!C206,'Raw data'!F206='Real results'!D206),2,0),0),0),0)</f>
        <v>0</v>
      </c>
      <c r="G212" s="34">
        <f>IFERROR(IF(AND(ISNUMBER('Real results'!C206),ISNUMBER('Real results'!D206),ISNUMBER('Raw data'!G206),ISNUMBER('Raw data'!H206)),IF(SIGN('Raw data'!G206-'Raw data'!H206)=SIGN('Real results'!C206-'Real results'!D206),3+IF(AND('Raw data'!G206='Real results'!C206,'Raw data'!H206='Real results'!D206),2,0),0),0),0)</f>
        <v>0</v>
      </c>
      <c r="I212" s="34">
        <f>IFERROR(IF(AND(ISNUMBER('Real results'!C206),ISNUMBER('Real results'!D206),ISNUMBER('Raw data'!I206),ISNUMBER('Raw data'!J206)),IF(SIGN('Raw data'!I206-'Raw data'!J206)=SIGN('Real results'!C206-'Real results'!D206),3+IF(AND('Raw data'!I206='Real results'!C206,'Raw data'!J206='Real results'!D206),2,0),0),0),0)</f>
        <v>0</v>
      </c>
      <c r="K212" s="34">
        <f>IFERROR(IF(AND(ISNUMBER('Real results'!C206),ISNUMBER('Real results'!D206),ISNUMBER('Raw data'!K206),ISNUMBER('Raw data'!L206)),IF(SIGN('Raw data'!K206-'Raw data'!L206)=SIGN('Real results'!C206-'Real results'!D206),3+IF(AND('Raw data'!K206='Real results'!C206,'Raw data'!L206='Real results'!D206),2,0),0),0),0)</f>
        <v>0</v>
      </c>
      <c r="M212" s="34">
        <f>IFERROR(IF(AND(ISNUMBER('Real results'!C206),ISNUMBER('Real results'!D206),ISNUMBER('Raw data'!M206),ISNUMBER('Raw data'!N206)),IF(SIGN('Raw data'!M206-'Raw data'!N206)=SIGN('Real results'!C206-'Real results'!D206),3+IF(AND('Raw data'!M206='Real results'!C206,'Raw data'!N206='Real results'!D206),2,0),0),0),0)</f>
        <v>0</v>
      </c>
      <c r="O212" s="34">
        <f>IFERROR(IF(AND(ISNUMBER('Real results'!C206),ISNUMBER('Real results'!D206),ISNUMBER('Raw data'!O206),ISNUMBER('Raw data'!P206)),IF(SIGN('Raw data'!O206-'Raw data'!P206)=SIGN('Real results'!C206-'Real results'!D206),3+IF(AND('Raw data'!O206='Real results'!C206,'Raw data'!P206='Real results'!D206),2,0),0),0),0)</f>
        <v>0</v>
      </c>
      <c r="Q212" s="34">
        <f>IFERROR(IF(AND(ISNUMBER('Real results'!C206),ISNUMBER('Real results'!D206),ISNUMBER('Raw data'!Q206),ISNUMBER('Raw data'!R206)),IF(SIGN('Raw data'!Q206-'Raw data'!R206)=SIGN('Real results'!C206-'Real results'!D206),3+IF(AND('Raw data'!Q206='Real results'!C206,'Raw data'!R206='Real results'!D206),2,0),0),0),0)</f>
        <v>0</v>
      </c>
      <c r="S212" s="34">
        <f>IFERROR(IF(AND(ISNUMBER('Real results'!C206),ISNUMBER('Real results'!D206),ISNUMBER('Raw data'!S206),ISNUMBER('Raw data'!T206)),IF(SIGN('Raw data'!S206-'Raw data'!T206)=SIGN('Real results'!C206-'Real results'!D206),3+IF(AND('Raw data'!S206='Real results'!C206,'Raw data'!T206='Real results'!D206),2,0),0),0),0)</f>
        <v>0</v>
      </c>
      <c r="U212" s="34">
        <f>IFERROR(IF(AND(ISNUMBER('Real results'!C206),ISNUMBER('Real results'!D206),ISNUMBER('Raw data'!U206),ISNUMBER('Raw data'!V206)),IF(SIGN('Raw data'!U206-'Raw data'!V206)=SIGN('Real results'!C206-'Real results'!D206),3+IF(AND('Raw data'!U206='Real results'!C206,'Raw data'!V206='Real results'!D206),2,0),0),0),0)</f>
        <v>0</v>
      </c>
      <c r="W212" s="34">
        <f>IFERROR(IF(AND(ISNUMBER('Real results'!C206),ISNUMBER('Real results'!D206),ISNUMBER('Raw data'!W206),ISNUMBER('Raw data'!X206)),IF(SIGN('Raw data'!W206-'Raw data'!X206)=SIGN('Real results'!C206-'Real results'!D206),3+IF(AND('Raw data'!W206='Real results'!C206,'Raw data'!X206='Real results'!D206),2,0),0),0),0)</f>
        <v>0</v>
      </c>
      <c r="Y212" s="34">
        <f>IFERROR(IF(AND(ISNUMBER('Real results'!C206),ISNUMBER('Real results'!D206),ISNUMBER('Raw data'!Y206),ISNUMBER('Raw data'!Z206)),IF(SIGN('Raw data'!Y206-'Raw data'!Z206)=SIGN('Real results'!C206-'Real results'!D206),3+IF(AND('Raw data'!Y206='Real results'!C206,'Raw data'!Z206='Real results'!D206),2,0),0),0),0)</f>
        <v>0</v>
      </c>
      <c r="AA212" s="34">
        <f>IFERROR(IF(AND(ISNUMBER('Real results'!C206),ISNUMBER('Real results'!D206),ISNUMBER('Raw data'!AA206),ISNUMBER('Raw data'!AB206)),IF(SIGN('Raw data'!AA206-'Raw data'!AB206)=SIGN('Real results'!C206-'Real results'!D206),3+IF(AND('Raw data'!AA206='Real results'!C206,'Raw data'!AB206='Real results'!D206),2,0),0),0),0)</f>
        <v>0</v>
      </c>
      <c r="AC212" s="34">
        <f>IFERROR(IF(AND(ISNUMBER('Real results'!C206),ISNUMBER('Real results'!D206),ISNUMBER('Raw data'!AC206),ISNUMBER('Raw data'!AD206)),IF(SIGN('Raw data'!AC206-'Raw data'!AD206)=SIGN('Real results'!C206-'Real results'!D206),3+IF(AND('Raw data'!AC206='Real results'!C206,'Raw data'!AD206='Real results'!D206),2,0),0),0),0)</f>
        <v>0</v>
      </c>
      <c r="AE212" s="34">
        <f>IFERROR(IF(AND(ISNUMBER('Real results'!C206),ISNUMBER('Real results'!D206),ISNUMBER('Raw data'!AE206),ISNUMBER('Raw data'!AF206)),IF(SIGN('Raw data'!AE206-'Raw data'!AF206)=SIGN('Real results'!C206-'Real results'!D206),3+IF(AND('Raw data'!AE206='Real results'!C206,'Raw data'!AF206='Real results'!D206),2,0),0),0),0)</f>
        <v>0</v>
      </c>
      <c r="AG212" s="34">
        <f>IFERROR(IF(AND(ISNUMBER('Real results'!C206),ISNUMBER('Real results'!D206),ISNUMBER('Raw data'!AG206),ISNUMBER('Raw data'!AH206)),IF(SIGN('Raw data'!AG206-'Raw data'!AH206)=SIGN('Real results'!C206-'Real results'!D206),3+IF(AND('Raw data'!AG206='Real results'!C206,'Raw data'!AH206='Real results'!D206),2,0),0),0),0)</f>
        <v>0</v>
      </c>
      <c r="AI212" s="34">
        <f>IFERROR(IF(AND(ISNUMBER('Real results'!C206),ISNUMBER('Real results'!D206),ISNUMBER('Raw data'!AI206),ISNUMBER('Raw data'!AJ206)),IF(SIGN('Raw data'!AI206-'Raw data'!AJ206)=SIGN('Real results'!C206-'Real results'!D206),3+IF(AND('Raw data'!AI206='Real results'!C206,'Raw data'!AJ206='Real results'!D206),2,0),0),0),0)</f>
        <v>0</v>
      </c>
      <c r="AK212" s="34">
        <f>IFERROR(IF(AND(ISNUMBER('Real results'!C206),ISNUMBER('Real results'!D206),ISNUMBER('Raw data'!AK206),ISNUMBER('Raw data'!AL206)),IF(SIGN('Raw data'!AK206-'Raw data'!AL206)=SIGN('Real results'!C206-'Real results'!D206),3+IF(AND('Raw data'!AK206='Real results'!C206,'Raw data'!AL206='Real results'!D206),2,0),0),0),0)</f>
        <v>0</v>
      </c>
      <c r="AM212" s="34">
        <f>IFERROR(IF(AND(ISNUMBER('Real results'!C206),ISNUMBER('Real results'!D206),ISNUMBER('Raw data'!AM206),ISNUMBER('Raw data'!AN206)),IF(SIGN('Raw data'!AM206-'Raw data'!AN206)=SIGN('Real results'!C206-'Real results'!D206),3+IF(AND('Raw data'!AM206='Real results'!C206,'Raw data'!AN206='Real results'!D206),2,0),0),0),0)</f>
        <v>0</v>
      </c>
      <c r="AO212" s="34">
        <f>IFERROR(IF(AND(ISNUMBER('Real results'!C206),ISNUMBER('Real results'!D206),ISNUMBER('Raw data'!AO206),ISNUMBER('Raw data'!AP206)),IF(SIGN('Raw data'!AO206-'Raw data'!AP206)=SIGN('Real results'!C206-'Real results'!D206),3+IF(AND('Raw data'!AO206='Real results'!C206,'Raw data'!AP206='Real results'!D206),2,0),0),0),0)</f>
        <v>0</v>
      </c>
      <c r="AQ212" s="34">
        <f>IFERROR(IF(AND(ISNUMBER('Real results'!C206),ISNUMBER('Real results'!D206),ISNUMBER('Raw data'!AQ206),ISNUMBER('Raw data'!AR206)),IF(SIGN('Raw data'!AQ206-'Raw data'!AR206)=SIGN('Real results'!C206-'Real results'!D206),3+IF(AND('Raw data'!AQ206='Real results'!C206,'Raw data'!AR206='Real results'!D206),2,0),0),0),0)</f>
        <v>0</v>
      </c>
      <c r="AS212" s="34">
        <f>IFERROR(IF(AND(ISNUMBER('Real results'!C206),ISNUMBER('Real results'!D206),ISNUMBER('Raw data'!AS206),ISNUMBER('Raw data'!AT206)),IF(SIGN('Raw data'!AS206-'Raw data'!AT206)=SIGN('Real results'!C206-'Real results'!D206),3+IF(AND('Raw data'!AS206='Real results'!C206,'Raw data'!AT206='Real results'!D206),2,0),0),0),0)</f>
        <v>0</v>
      </c>
      <c r="AU212" s="34">
        <f>IFERROR(IF(AND(ISNUMBER('Real results'!C206),ISNUMBER('Real results'!D206),ISNUMBER('Raw data'!AU206),ISNUMBER('Raw data'!AV206)),IF(SIGN('Raw data'!AU206-'Raw data'!AV206)=SIGN('Real results'!C206-'Real results'!D206),3+IF(AND('Raw data'!AU206='Real results'!C206,'Raw data'!AV206='Real results'!D206),2,0),0),0),0)</f>
        <v>0</v>
      </c>
      <c r="AW212" s="34">
        <f>IFERROR(IF(AND(ISNUMBER('Real results'!C206),ISNUMBER('Real results'!D206),ISNUMBER('Raw data'!AW206),ISNUMBER('Raw data'!AX206)),IF(SIGN('Raw data'!AW206-'Raw data'!AX206)=SIGN('Real results'!C206-'Real results'!D206),3+IF(AND('Raw data'!AW206='Real results'!C206,'Raw data'!AX206='Real results'!D206),2,0),0),0),0)</f>
        <v>0</v>
      </c>
      <c r="AY212" s="34">
        <f>IFERROR(IF(AND(ISNUMBER('Real results'!C206),ISNUMBER('Real results'!D206),ISNUMBER('Raw data'!AY206),ISNUMBER('Raw data'!AZ206)),IF(SIGN('Raw data'!AY206-'Raw data'!AZ206)=SIGN('Real results'!C206-'Real results'!D206),3+IF(AND('Raw data'!AY206='Real results'!C206,'Raw data'!AZ206='Real results'!D206),2,0),0),0),0)</f>
        <v>0</v>
      </c>
      <c r="BA212" s="34">
        <f>IFERROR(IF(AND(ISNUMBER('Real results'!C206),ISNUMBER('Real results'!D206),ISNUMBER('Raw data'!BA206),ISNUMBER('Raw data'!BB206)),IF(SIGN('Raw data'!BA206-'Raw data'!BB206)=SIGN('Real results'!C206-'Real results'!D206),3+IF(AND('Raw data'!BA206='Real results'!C206,'Raw data'!BB206='Real results'!D206),2,0),0),0),0)</f>
        <v>0</v>
      </c>
      <c r="BC212" s="34">
        <f>IFERROR(IF(AND(ISNUMBER('Real results'!C206),ISNUMBER('Real results'!D206),ISNUMBER('Raw data'!BC206),ISNUMBER('Raw data'!BD206)),IF(SIGN('Raw data'!BC206-'Raw data'!BD206)=SIGN('Real results'!C206-'Real results'!D206),3+IF(AND('Raw data'!BC206='Real results'!C206,'Raw data'!BD206='Real results'!D206),2,0),0),0),0)</f>
        <v>0</v>
      </c>
      <c r="BE212" s="34">
        <f>IFERROR(IF(AND(ISNUMBER('Real results'!C206),ISNUMBER('Real results'!D206),ISNUMBER('Raw data'!BE206),ISNUMBER('Raw data'!BF206)),IF(SIGN('Raw data'!BE206-'Raw data'!BF206)=SIGN('Real results'!C206-'Real results'!D206),3+IF(AND('Raw data'!BE206='Real results'!C206,'Raw data'!BF206='Real results'!D206),2,0),0),0),0)</f>
        <v>0</v>
      </c>
      <c r="BG212" s="34">
        <f>IFERROR(IF(AND(ISNUMBER('Real results'!C206),ISNUMBER('Real results'!D206),ISNUMBER('Raw data'!BG206),ISNUMBER('Raw data'!BH206)),IF(SIGN('Raw data'!BG206-'Raw data'!BH206)=SIGN('Real results'!C206-'Real results'!D206),3+IF(AND('Raw data'!BG206='Real results'!C206,'Raw data'!BH206='Real results'!D206),2,0),0),0),0)</f>
        <v>0</v>
      </c>
      <c r="BI212" s="34">
        <f>IFERROR(IF(AND(ISNUMBER('Real results'!C206),ISNUMBER('Real results'!D206),ISNUMBER('Raw data'!BI206),ISNUMBER('Raw data'!BJ206)),IF(SIGN('Raw data'!BI206-'Raw data'!BJ206)=SIGN('Real results'!C206-'Real results'!D206),3+IF(AND('Raw data'!BI206='Real results'!C206,'Raw data'!BJ206='Real results'!D206),2,0),0),0),0)</f>
        <v>0</v>
      </c>
    </row>
    <row r="213" ht="18.0" customHeight="1">
      <c r="B213" s="12" t="s">
        <v>469</v>
      </c>
      <c r="C213" s="34">
        <v>0.0</v>
      </c>
      <c r="E213" s="34">
        <v>0.0</v>
      </c>
      <c r="G213" s="34">
        <v>0.0</v>
      </c>
      <c r="I213" s="34">
        <v>0.0</v>
      </c>
      <c r="K213" s="34">
        <v>0.0</v>
      </c>
      <c r="M213" s="34">
        <v>0.0</v>
      </c>
      <c r="O213" s="34">
        <v>0.0</v>
      </c>
      <c r="Q213" s="34">
        <v>0.0</v>
      </c>
      <c r="S213" s="34">
        <v>0.0</v>
      </c>
      <c r="U213" s="34">
        <v>0.0</v>
      </c>
      <c r="W213" s="34">
        <v>0.0</v>
      </c>
      <c r="Y213" s="34">
        <v>0.0</v>
      </c>
      <c r="AA213" s="34">
        <v>0.0</v>
      </c>
      <c r="AC213" s="34">
        <v>0.0</v>
      </c>
      <c r="AE213" s="34">
        <v>0.0</v>
      </c>
      <c r="AG213" s="34">
        <v>0.0</v>
      </c>
      <c r="AI213" s="34">
        <v>0.0</v>
      </c>
      <c r="AK213" s="34">
        <v>0.0</v>
      </c>
      <c r="AM213" s="34">
        <v>0.0</v>
      </c>
      <c r="AO213" s="34">
        <v>0.0</v>
      </c>
      <c r="AQ213" s="34">
        <v>0.0</v>
      </c>
      <c r="AS213" s="34">
        <v>0.0</v>
      </c>
      <c r="AU213" s="34">
        <v>0.0</v>
      </c>
      <c r="AW213" s="34">
        <v>0.0</v>
      </c>
      <c r="AY213" s="34">
        <v>0.0</v>
      </c>
      <c r="BA213" s="34">
        <v>0.0</v>
      </c>
      <c r="BC213" s="34">
        <v>0.0</v>
      </c>
      <c r="BE213" s="34">
        <v>0.0</v>
      </c>
      <c r="BG213" s="34">
        <v>0.0</v>
      </c>
      <c r="BI213" s="34">
        <v>0.0</v>
      </c>
    </row>
    <row r="214" ht="18.0" customHeight="1">
      <c r="B214" s="12" t="s">
        <v>470</v>
      </c>
      <c r="C214" s="34">
        <f>IFERROR(IF(AND('Real results'!C208&lt;&gt;"",'Raw data'!C208&lt;&gt;"",UPPER(TRIM('Real results'!C208))=UPPER(TRIM('Raw data'!C208))),4,0),0)</f>
        <v>0</v>
      </c>
      <c r="E214" s="34">
        <f>IFERROR(IF(AND('Real results'!C208&lt;&gt;"",'Raw data'!E208&lt;&gt;"",UPPER(TRIM('Real results'!C208))=UPPER(TRIM('Raw data'!E208))),4,0),0)</f>
        <v>0</v>
      </c>
      <c r="G214" s="34">
        <f>IFERROR(IF(AND('Real results'!C208&lt;&gt;"",'Raw data'!G208&lt;&gt;"",UPPER(TRIM('Real results'!C208))=UPPER(TRIM('Raw data'!G208))),4,0),0)</f>
        <v>0</v>
      </c>
      <c r="I214" s="34">
        <f>IFERROR(IF(AND('Real results'!C208&lt;&gt;"",'Raw data'!I208&lt;&gt;"",UPPER(TRIM('Real results'!C208))=UPPER(TRIM('Raw data'!I208))),4,0),0)</f>
        <v>0</v>
      </c>
      <c r="K214" s="34">
        <f>IFERROR(IF(AND('Real results'!C208&lt;&gt;"",'Raw data'!K208&lt;&gt;"",UPPER(TRIM('Real results'!C208))=UPPER(TRIM('Raw data'!K208))),4,0),0)</f>
        <v>0</v>
      </c>
      <c r="M214" s="34">
        <f>IFERROR(IF(AND('Real results'!C208&lt;&gt;"",'Raw data'!M208&lt;&gt;"",UPPER(TRIM('Real results'!C208))=UPPER(TRIM('Raw data'!M208))),4,0),0)</f>
        <v>0</v>
      </c>
      <c r="O214" s="34">
        <f>IFERROR(IF(AND('Real results'!C208&lt;&gt;"",'Raw data'!O208&lt;&gt;"",UPPER(TRIM('Real results'!C208))=UPPER(TRIM('Raw data'!O208))),4,0),0)</f>
        <v>0</v>
      </c>
      <c r="Q214" s="34">
        <f>IFERROR(IF(AND('Real results'!C208&lt;&gt;"",'Raw data'!Q208&lt;&gt;"",UPPER(TRIM('Real results'!C208))=UPPER(TRIM('Raw data'!Q208))),4,0),0)</f>
        <v>0</v>
      </c>
      <c r="S214" s="34">
        <f>IFERROR(IF(AND('Real results'!C208&lt;&gt;"",'Raw data'!S208&lt;&gt;"",UPPER(TRIM('Real results'!C208))=UPPER(TRIM('Raw data'!S208))),4,0),0)</f>
        <v>0</v>
      </c>
      <c r="U214" s="34">
        <f>IFERROR(IF(AND('Real results'!C208&lt;&gt;"",'Raw data'!U208&lt;&gt;"",UPPER(TRIM('Real results'!C208))=UPPER(TRIM('Raw data'!U208))),4,0),0)</f>
        <v>0</v>
      </c>
      <c r="W214" s="34">
        <f>IFERROR(IF(AND('Real results'!C208&lt;&gt;"",'Raw data'!W208&lt;&gt;"",UPPER(TRIM('Real results'!C208))=UPPER(TRIM('Raw data'!W208))),4,0),0)</f>
        <v>0</v>
      </c>
      <c r="Y214" s="34">
        <f>IFERROR(IF(AND('Real results'!C208&lt;&gt;"",'Raw data'!Y208&lt;&gt;"",UPPER(TRIM('Real results'!C208))=UPPER(TRIM('Raw data'!Y208))),4,0),0)</f>
        <v>0</v>
      </c>
      <c r="AA214" s="34">
        <f>IFERROR(IF(AND('Real results'!C208&lt;&gt;"",'Raw data'!AA208&lt;&gt;"",UPPER(TRIM('Real results'!C208))=UPPER(TRIM('Raw data'!AA208))),4,0),0)</f>
        <v>0</v>
      </c>
      <c r="AC214" s="34">
        <f>IFERROR(IF(AND('Real results'!C208&lt;&gt;"",'Raw data'!AC208&lt;&gt;"",UPPER(TRIM('Real results'!C208))=UPPER(TRIM('Raw data'!AC208))),4,0),0)</f>
        <v>0</v>
      </c>
      <c r="AE214" s="34">
        <f>IFERROR(IF(AND('Real results'!C208&lt;&gt;"",'Raw data'!AE208&lt;&gt;"",UPPER(TRIM('Real results'!C208))=UPPER(TRIM('Raw data'!AE208))),4,0),0)</f>
        <v>0</v>
      </c>
      <c r="AG214" s="34">
        <f>IFERROR(IF(AND('Real results'!C208&lt;&gt;"",'Raw data'!AG208&lt;&gt;"",UPPER(TRIM('Real results'!C208))=UPPER(TRIM('Raw data'!AG208))),4,0),0)</f>
        <v>0</v>
      </c>
      <c r="AI214" s="34">
        <f>IFERROR(IF(AND('Real results'!C208&lt;&gt;"",'Raw data'!AI208&lt;&gt;"",UPPER(TRIM('Real results'!C208))=UPPER(TRIM('Raw data'!AI208))),4,0),0)</f>
        <v>0</v>
      </c>
      <c r="AK214" s="34">
        <f>IFERROR(IF(AND('Real results'!C208&lt;&gt;"",'Raw data'!AK208&lt;&gt;"",UPPER(TRIM('Real results'!C208))=UPPER(TRIM('Raw data'!AK208))),4,0),0)</f>
        <v>0</v>
      </c>
      <c r="AM214" s="34">
        <f>IFERROR(IF(AND('Real results'!C208&lt;&gt;"",'Raw data'!AM208&lt;&gt;"",UPPER(TRIM('Real results'!C208))=UPPER(TRIM('Raw data'!AM208))),4,0),0)</f>
        <v>0</v>
      </c>
      <c r="AO214" s="34">
        <f>IFERROR(IF(AND('Real results'!C208&lt;&gt;"",'Raw data'!AO208&lt;&gt;"",UPPER(TRIM('Real results'!C208))=UPPER(TRIM('Raw data'!AO208))),4,0),0)</f>
        <v>0</v>
      </c>
      <c r="AQ214" s="34">
        <f>IFERROR(IF(AND('Real results'!C208&lt;&gt;"",'Raw data'!AQ208&lt;&gt;"",UPPER(TRIM('Real results'!C208))=UPPER(TRIM('Raw data'!AQ208))),4,0),0)</f>
        <v>0</v>
      </c>
      <c r="AS214" s="34">
        <f>IFERROR(IF(AND('Real results'!C208&lt;&gt;"",'Raw data'!AS208&lt;&gt;"",UPPER(TRIM('Real results'!C208))=UPPER(TRIM('Raw data'!AS208))),4,0),0)</f>
        <v>0</v>
      </c>
      <c r="AU214" s="34">
        <f>IFERROR(IF(AND('Real results'!C208&lt;&gt;"",'Raw data'!AU208&lt;&gt;"",UPPER(TRIM('Real results'!C208))=UPPER(TRIM('Raw data'!AU208))),4,0),0)</f>
        <v>0</v>
      </c>
      <c r="AW214" s="34">
        <f>IFERROR(IF(AND('Real results'!C208&lt;&gt;"",'Raw data'!AW208&lt;&gt;"",UPPER(TRIM('Real results'!C208))=UPPER(TRIM('Raw data'!AW208))),4,0),0)</f>
        <v>0</v>
      </c>
      <c r="AY214" s="34">
        <f>IFERROR(IF(AND('Real results'!C208&lt;&gt;"",'Raw data'!AY208&lt;&gt;"",UPPER(TRIM('Real results'!C208))=UPPER(TRIM('Raw data'!AY208))),4,0),0)</f>
        <v>0</v>
      </c>
      <c r="BA214" s="34">
        <f>IFERROR(IF(AND('Real results'!C208&lt;&gt;"",'Raw data'!BA208&lt;&gt;"",UPPER(TRIM('Real results'!C208))=UPPER(TRIM('Raw data'!BA208))),4,0),0)</f>
        <v>0</v>
      </c>
      <c r="BC214" s="34">
        <f>IFERROR(IF(AND('Real results'!C208&lt;&gt;"",'Raw data'!BC208&lt;&gt;"",UPPER(TRIM('Real results'!C208))=UPPER(TRIM('Raw data'!BC208))),4,0),0)</f>
        <v>0</v>
      </c>
      <c r="BE214" s="34">
        <f>IFERROR(IF(AND('Real results'!C208&lt;&gt;"",'Raw data'!BE208&lt;&gt;"",UPPER(TRIM('Real results'!C208))=UPPER(TRIM('Raw data'!BE208))),4,0),0)</f>
        <v>0</v>
      </c>
      <c r="BG214" s="34">
        <f>IFERROR(IF(AND('Real results'!C208&lt;&gt;"",'Raw data'!BG208&lt;&gt;"",UPPER(TRIM('Real results'!C208))=UPPER(TRIM('Raw data'!BG208))),4,0),0)</f>
        <v>0</v>
      </c>
      <c r="BI214" s="34">
        <f>IFERROR(IF(AND('Real results'!C208&lt;&gt;"",'Raw data'!BI208&lt;&gt;"",UPPER(TRIM('Real results'!C208))=UPPER(TRIM('Raw data'!BI208))),4,0),0)</f>
        <v>0</v>
      </c>
    </row>
    <row r="215" ht="18.0" customHeight="1">
      <c r="B215" s="12" t="s">
        <v>471</v>
      </c>
      <c r="C215" s="34">
        <f>IFERROR(IF(AND(ISNUMBER('Real results'!C209),ISNUMBER('Real results'!D209),ISNUMBER('Raw data'!C209),ISNUMBER('Raw data'!D209)),IF(SIGN('Raw data'!C209-'Raw data'!D209)=SIGN('Real results'!C209-'Real results'!D209),3+IF(AND('Raw data'!C209='Real results'!C209,'Raw data'!D209='Real results'!D209),2,0),0),0),0)</f>
        <v>0</v>
      </c>
      <c r="E215" s="34">
        <f>IFERROR(IF(AND(ISNUMBER('Real results'!C209),ISNUMBER('Real results'!D209),ISNUMBER('Raw data'!E209),ISNUMBER('Raw data'!F209)),IF(SIGN('Raw data'!E209-'Raw data'!F209)=SIGN('Real results'!C209-'Real results'!D209),3+IF(AND('Raw data'!E209='Real results'!C209,'Raw data'!F209='Real results'!D209),2,0),0),0),0)</f>
        <v>0</v>
      </c>
      <c r="G215" s="34">
        <f>IFERROR(IF(AND(ISNUMBER('Real results'!C209),ISNUMBER('Real results'!D209),ISNUMBER('Raw data'!G209),ISNUMBER('Raw data'!H209)),IF(SIGN('Raw data'!G209-'Raw data'!H209)=SIGN('Real results'!C209-'Real results'!D209),3+IF(AND('Raw data'!G209='Real results'!C209,'Raw data'!H209='Real results'!D209),2,0),0),0),0)</f>
        <v>0</v>
      </c>
      <c r="I215" s="34">
        <f>IFERROR(IF(AND(ISNUMBER('Real results'!C209),ISNUMBER('Real results'!D209),ISNUMBER('Raw data'!I209),ISNUMBER('Raw data'!J209)),IF(SIGN('Raw data'!I209-'Raw data'!J209)=SIGN('Real results'!C209-'Real results'!D209),3+IF(AND('Raw data'!I209='Real results'!C209,'Raw data'!J209='Real results'!D209),2,0),0),0),0)</f>
        <v>0</v>
      </c>
      <c r="K215" s="34">
        <f>IFERROR(IF(AND(ISNUMBER('Real results'!C209),ISNUMBER('Real results'!D209),ISNUMBER('Raw data'!K209),ISNUMBER('Raw data'!L209)),IF(SIGN('Raw data'!K209-'Raw data'!L209)=SIGN('Real results'!C209-'Real results'!D209),3+IF(AND('Raw data'!K209='Real results'!C209,'Raw data'!L209='Real results'!D209),2,0),0),0),0)</f>
        <v>0</v>
      </c>
      <c r="M215" s="34">
        <f>IFERROR(IF(AND(ISNUMBER('Real results'!C209),ISNUMBER('Real results'!D209),ISNUMBER('Raw data'!M209),ISNUMBER('Raw data'!N209)),IF(SIGN('Raw data'!M209-'Raw data'!N209)=SIGN('Real results'!C209-'Real results'!D209),3+IF(AND('Raw data'!M209='Real results'!C209,'Raw data'!N209='Real results'!D209),2,0),0),0),0)</f>
        <v>0</v>
      </c>
      <c r="O215" s="34">
        <f>IFERROR(IF(AND(ISNUMBER('Real results'!C209),ISNUMBER('Real results'!D209),ISNUMBER('Raw data'!O209),ISNUMBER('Raw data'!P209)),IF(SIGN('Raw data'!O209-'Raw data'!P209)=SIGN('Real results'!C209-'Real results'!D209),3+IF(AND('Raw data'!O209='Real results'!C209,'Raw data'!P209='Real results'!D209),2,0),0),0),0)</f>
        <v>0</v>
      </c>
      <c r="Q215" s="34">
        <f>IFERROR(IF(AND(ISNUMBER('Real results'!C209),ISNUMBER('Real results'!D209),ISNUMBER('Raw data'!Q209),ISNUMBER('Raw data'!R209)),IF(SIGN('Raw data'!Q209-'Raw data'!R209)=SIGN('Real results'!C209-'Real results'!D209),3+IF(AND('Raw data'!Q209='Real results'!C209,'Raw data'!R209='Real results'!D209),2,0),0),0),0)</f>
        <v>0</v>
      </c>
      <c r="S215" s="34">
        <f>IFERROR(IF(AND(ISNUMBER('Real results'!C209),ISNUMBER('Real results'!D209),ISNUMBER('Raw data'!S209),ISNUMBER('Raw data'!T209)),IF(SIGN('Raw data'!S209-'Raw data'!T209)=SIGN('Real results'!C209-'Real results'!D209),3+IF(AND('Raw data'!S209='Real results'!C209,'Raw data'!T209='Real results'!D209),2,0),0),0),0)</f>
        <v>0</v>
      </c>
      <c r="U215" s="34">
        <f>IFERROR(IF(AND(ISNUMBER('Real results'!C209),ISNUMBER('Real results'!D209),ISNUMBER('Raw data'!U209),ISNUMBER('Raw data'!V209)),IF(SIGN('Raw data'!U209-'Raw data'!V209)=SIGN('Real results'!C209-'Real results'!D209),3+IF(AND('Raw data'!U209='Real results'!C209,'Raw data'!V209='Real results'!D209),2,0),0),0),0)</f>
        <v>0</v>
      </c>
      <c r="W215" s="34">
        <f>IFERROR(IF(AND(ISNUMBER('Real results'!C209),ISNUMBER('Real results'!D209),ISNUMBER('Raw data'!W209),ISNUMBER('Raw data'!X209)),IF(SIGN('Raw data'!W209-'Raw data'!X209)=SIGN('Real results'!C209-'Real results'!D209),3+IF(AND('Raw data'!W209='Real results'!C209,'Raw data'!X209='Real results'!D209),2,0),0),0),0)</f>
        <v>0</v>
      </c>
      <c r="Y215" s="34">
        <f>IFERROR(IF(AND(ISNUMBER('Real results'!C209),ISNUMBER('Real results'!D209),ISNUMBER('Raw data'!Y209),ISNUMBER('Raw data'!Z209)),IF(SIGN('Raw data'!Y209-'Raw data'!Z209)=SIGN('Real results'!C209-'Real results'!D209),3+IF(AND('Raw data'!Y209='Real results'!C209,'Raw data'!Z209='Real results'!D209),2,0),0),0),0)</f>
        <v>0</v>
      </c>
      <c r="AA215" s="34">
        <f>IFERROR(IF(AND(ISNUMBER('Real results'!C209),ISNUMBER('Real results'!D209),ISNUMBER('Raw data'!AA209),ISNUMBER('Raw data'!AB209)),IF(SIGN('Raw data'!AA209-'Raw data'!AB209)=SIGN('Real results'!C209-'Real results'!D209),3+IF(AND('Raw data'!AA209='Real results'!C209,'Raw data'!AB209='Real results'!D209),2,0),0),0),0)</f>
        <v>0</v>
      </c>
      <c r="AC215" s="34">
        <f>IFERROR(IF(AND(ISNUMBER('Real results'!C209),ISNUMBER('Real results'!D209),ISNUMBER('Raw data'!AC209),ISNUMBER('Raw data'!AD209)),IF(SIGN('Raw data'!AC209-'Raw data'!AD209)=SIGN('Real results'!C209-'Real results'!D209),3+IF(AND('Raw data'!AC209='Real results'!C209,'Raw data'!AD209='Real results'!D209),2,0),0),0),0)</f>
        <v>0</v>
      </c>
      <c r="AE215" s="34">
        <f>IFERROR(IF(AND(ISNUMBER('Real results'!C209),ISNUMBER('Real results'!D209),ISNUMBER('Raw data'!AE209),ISNUMBER('Raw data'!AF209)),IF(SIGN('Raw data'!AE209-'Raw data'!AF209)=SIGN('Real results'!C209-'Real results'!D209),3+IF(AND('Raw data'!AE209='Real results'!C209,'Raw data'!AF209='Real results'!D209),2,0),0),0),0)</f>
        <v>0</v>
      </c>
      <c r="AG215" s="34">
        <f>IFERROR(IF(AND(ISNUMBER('Real results'!C209),ISNUMBER('Real results'!D209),ISNUMBER('Raw data'!AG209),ISNUMBER('Raw data'!AH209)),IF(SIGN('Raw data'!AG209-'Raw data'!AH209)=SIGN('Real results'!C209-'Real results'!D209),3+IF(AND('Raw data'!AG209='Real results'!C209,'Raw data'!AH209='Real results'!D209),2,0),0),0),0)</f>
        <v>0</v>
      </c>
      <c r="AI215" s="34">
        <f>IFERROR(IF(AND(ISNUMBER('Real results'!C209),ISNUMBER('Real results'!D209),ISNUMBER('Raw data'!AI209),ISNUMBER('Raw data'!AJ209)),IF(SIGN('Raw data'!AI209-'Raw data'!AJ209)=SIGN('Real results'!C209-'Real results'!D209),3+IF(AND('Raw data'!AI209='Real results'!C209,'Raw data'!AJ209='Real results'!D209),2,0),0),0),0)</f>
        <v>0</v>
      </c>
      <c r="AK215" s="34">
        <f>IFERROR(IF(AND(ISNUMBER('Real results'!C209),ISNUMBER('Real results'!D209),ISNUMBER('Raw data'!AK209),ISNUMBER('Raw data'!AL209)),IF(SIGN('Raw data'!AK209-'Raw data'!AL209)=SIGN('Real results'!C209-'Real results'!D209),3+IF(AND('Raw data'!AK209='Real results'!C209,'Raw data'!AL209='Real results'!D209),2,0),0),0),0)</f>
        <v>0</v>
      </c>
      <c r="AM215" s="34">
        <f>IFERROR(IF(AND(ISNUMBER('Real results'!C209),ISNUMBER('Real results'!D209),ISNUMBER('Raw data'!AM209),ISNUMBER('Raw data'!AN209)),IF(SIGN('Raw data'!AM209-'Raw data'!AN209)=SIGN('Real results'!C209-'Real results'!D209),3+IF(AND('Raw data'!AM209='Real results'!C209,'Raw data'!AN209='Real results'!D209),2,0),0),0),0)</f>
        <v>0</v>
      </c>
      <c r="AO215" s="34">
        <f>IFERROR(IF(AND(ISNUMBER('Real results'!C209),ISNUMBER('Real results'!D209),ISNUMBER('Raw data'!AO209),ISNUMBER('Raw data'!AP209)),IF(SIGN('Raw data'!AO209-'Raw data'!AP209)=SIGN('Real results'!C209-'Real results'!D209),3+IF(AND('Raw data'!AO209='Real results'!C209,'Raw data'!AP209='Real results'!D209),2,0),0),0),0)</f>
        <v>0</v>
      </c>
      <c r="AQ215" s="34">
        <f>IFERROR(IF(AND(ISNUMBER('Real results'!C209),ISNUMBER('Real results'!D209),ISNUMBER('Raw data'!AQ209),ISNUMBER('Raw data'!AR209)),IF(SIGN('Raw data'!AQ209-'Raw data'!AR209)=SIGN('Real results'!C209-'Real results'!D209),3+IF(AND('Raw data'!AQ209='Real results'!C209,'Raw data'!AR209='Real results'!D209),2,0),0),0),0)</f>
        <v>0</v>
      </c>
      <c r="AS215" s="34">
        <f>IFERROR(IF(AND(ISNUMBER('Real results'!C209),ISNUMBER('Real results'!D209),ISNUMBER('Raw data'!AS209),ISNUMBER('Raw data'!AT209)),IF(SIGN('Raw data'!AS209-'Raw data'!AT209)=SIGN('Real results'!C209-'Real results'!D209),3+IF(AND('Raw data'!AS209='Real results'!C209,'Raw data'!AT209='Real results'!D209),2,0),0),0),0)</f>
        <v>0</v>
      </c>
      <c r="AU215" s="34">
        <f>IFERROR(IF(AND(ISNUMBER('Real results'!C209),ISNUMBER('Real results'!D209),ISNUMBER('Raw data'!AU209),ISNUMBER('Raw data'!AV209)),IF(SIGN('Raw data'!AU209-'Raw data'!AV209)=SIGN('Real results'!C209-'Real results'!D209),3+IF(AND('Raw data'!AU209='Real results'!C209,'Raw data'!AV209='Real results'!D209),2,0),0),0),0)</f>
        <v>0</v>
      </c>
      <c r="AW215" s="34">
        <f>IFERROR(IF(AND(ISNUMBER('Real results'!C209),ISNUMBER('Real results'!D209),ISNUMBER('Raw data'!AW209),ISNUMBER('Raw data'!AX209)),IF(SIGN('Raw data'!AW209-'Raw data'!AX209)=SIGN('Real results'!C209-'Real results'!D209),3+IF(AND('Raw data'!AW209='Real results'!C209,'Raw data'!AX209='Real results'!D209),2,0),0),0),0)</f>
        <v>0</v>
      </c>
      <c r="AY215" s="34">
        <f>IFERROR(IF(AND(ISNUMBER('Real results'!C209),ISNUMBER('Real results'!D209),ISNUMBER('Raw data'!AY209),ISNUMBER('Raw data'!AZ209)),IF(SIGN('Raw data'!AY209-'Raw data'!AZ209)=SIGN('Real results'!C209-'Real results'!D209),3+IF(AND('Raw data'!AY209='Real results'!C209,'Raw data'!AZ209='Real results'!D209),2,0),0),0),0)</f>
        <v>0</v>
      </c>
      <c r="BA215" s="34">
        <f>IFERROR(IF(AND(ISNUMBER('Real results'!C209),ISNUMBER('Real results'!D209),ISNUMBER('Raw data'!BA209),ISNUMBER('Raw data'!BB209)),IF(SIGN('Raw data'!BA209-'Raw data'!BB209)=SIGN('Real results'!C209-'Real results'!D209),3+IF(AND('Raw data'!BA209='Real results'!C209,'Raw data'!BB209='Real results'!D209),2,0),0),0),0)</f>
        <v>0</v>
      </c>
      <c r="BC215" s="34">
        <f>IFERROR(IF(AND(ISNUMBER('Real results'!C209),ISNUMBER('Real results'!D209),ISNUMBER('Raw data'!BC209),ISNUMBER('Raw data'!BD209)),IF(SIGN('Raw data'!BC209-'Raw data'!BD209)=SIGN('Real results'!C209-'Real results'!D209),3+IF(AND('Raw data'!BC209='Real results'!C209,'Raw data'!BD209='Real results'!D209),2,0),0),0),0)</f>
        <v>0</v>
      </c>
      <c r="BE215" s="34">
        <f>IFERROR(IF(AND(ISNUMBER('Real results'!C209),ISNUMBER('Real results'!D209),ISNUMBER('Raw data'!BE209),ISNUMBER('Raw data'!BF209)),IF(SIGN('Raw data'!BE209-'Raw data'!BF209)=SIGN('Real results'!C209-'Real results'!D209),3+IF(AND('Raw data'!BE209='Real results'!C209,'Raw data'!BF209='Real results'!D209),2,0),0),0),0)</f>
        <v>0</v>
      </c>
      <c r="BG215" s="34">
        <f>IFERROR(IF(AND(ISNUMBER('Real results'!C209),ISNUMBER('Real results'!D209),ISNUMBER('Raw data'!BG209),ISNUMBER('Raw data'!BH209)),IF(SIGN('Raw data'!BG209-'Raw data'!BH209)=SIGN('Real results'!C209-'Real results'!D209),3+IF(AND('Raw data'!BG209='Real results'!C209,'Raw data'!BH209='Real results'!D209),2,0),0),0),0)</f>
        <v>0</v>
      </c>
      <c r="BI215" s="34">
        <f>IFERROR(IF(AND(ISNUMBER('Real results'!C209),ISNUMBER('Real results'!D209),ISNUMBER('Raw data'!BI209),ISNUMBER('Raw data'!BJ209)),IF(SIGN('Raw data'!BI209-'Raw data'!BJ209)=SIGN('Real results'!C209-'Real results'!D209),3+IF(AND('Raw data'!BI209='Real results'!C209,'Raw data'!BJ209='Real results'!D209),2,0),0),0),0)</f>
        <v>0</v>
      </c>
    </row>
    <row r="216" ht="18.0" customHeight="1">
      <c r="B216" s="12" t="s">
        <v>472</v>
      </c>
      <c r="C216" s="34">
        <v>0.0</v>
      </c>
      <c r="E216" s="34">
        <v>0.0</v>
      </c>
      <c r="G216" s="34">
        <v>0.0</v>
      </c>
      <c r="I216" s="34">
        <v>0.0</v>
      </c>
      <c r="K216" s="34">
        <v>0.0</v>
      </c>
      <c r="M216" s="34">
        <v>0.0</v>
      </c>
      <c r="O216" s="34">
        <v>0.0</v>
      </c>
      <c r="Q216" s="34">
        <v>0.0</v>
      </c>
      <c r="S216" s="34">
        <v>0.0</v>
      </c>
      <c r="U216" s="34">
        <v>0.0</v>
      </c>
      <c r="W216" s="34">
        <v>0.0</v>
      </c>
      <c r="Y216" s="34">
        <v>0.0</v>
      </c>
      <c r="AA216" s="34">
        <v>0.0</v>
      </c>
      <c r="AC216" s="34">
        <v>0.0</v>
      </c>
      <c r="AE216" s="34">
        <v>0.0</v>
      </c>
      <c r="AG216" s="34">
        <v>0.0</v>
      </c>
      <c r="AI216" s="34">
        <v>0.0</v>
      </c>
      <c r="AK216" s="34">
        <v>0.0</v>
      </c>
      <c r="AM216" s="34">
        <v>0.0</v>
      </c>
      <c r="AO216" s="34">
        <v>0.0</v>
      </c>
      <c r="AQ216" s="34">
        <v>0.0</v>
      </c>
      <c r="AS216" s="34">
        <v>0.0</v>
      </c>
      <c r="AU216" s="34">
        <v>0.0</v>
      </c>
      <c r="AW216" s="34">
        <v>0.0</v>
      </c>
      <c r="AY216" s="34">
        <v>0.0</v>
      </c>
      <c r="BA216" s="34">
        <v>0.0</v>
      </c>
      <c r="BC216" s="34">
        <v>0.0</v>
      </c>
      <c r="BE216" s="34">
        <v>0.0</v>
      </c>
      <c r="BG216" s="34">
        <v>0.0</v>
      </c>
      <c r="BI216" s="34">
        <v>0.0</v>
      </c>
    </row>
    <row r="217" ht="18.0" customHeight="1">
      <c r="B217" s="12" t="s">
        <v>473</v>
      </c>
      <c r="C217" s="34">
        <f>IFERROR(IF(AND('Real results'!C211&lt;&gt;"",'Raw data'!C211&lt;&gt;"",UPPER(TRIM('Real results'!C211))=UPPER(TRIM('Raw data'!C211))),4,0),0)</f>
        <v>0</v>
      </c>
      <c r="E217" s="34">
        <f>IFERROR(IF(AND('Real results'!C211&lt;&gt;"",'Raw data'!E211&lt;&gt;"",UPPER(TRIM('Real results'!C211))=UPPER(TRIM('Raw data'!E211))),4,0),0)</f>
        <v>0</v>
      </c>
      <c r="G217" s="34">
        <f>IFERROR(IF(AND('Real results'!C211&lt;&gt;"",'Raw data'!G211&lt;&gt;"",UPPER(TRIM('Real results'!C211))=UPPER(TRIM('Raw data'!G211))),4,0),0)</f>
        <v>0</v>
      </c>
      <c r="I217" s="34">
        <f>IFERROR(IF(AND('Real results'!C211&lt;&gt;"",'Raw data'!I211&lt;&gt;"",UPPER(TRIM('Real results'!C211))=UPPER(TRIM('Raw data'!I211))),4,0),0)</f>
        <v>0</v>
      </c>
      <c r="K217" s="34">
        <f>IFERROR(IF(AND('Real results'!C211&lt;&gt;"",'Raw data'!K211&lt;&gt;"",UPPER(TRIM('Real results'!C211))=UPPER(TRIM('Raw data'!K211))),4,0),0)</f>
        <v>0</v>
      </c>
      <c r="M217" s="34">
        <f>IFERROR(IF(AND('Real results'!C211&lt;&gt;"",'Raw data'!M211&lt;&gt;"",UPPER(TRIM('Real results'!C211))=UPPER(TRIM('Raw data'!M211))),4,0),0)</f>
        <v>0</v>
      </c>
      <c r="O217" s="34">
        <f>IFERROR(IF(AND('Real results'!C211&lt;&gt;"",'Raw data'!O211&lt;&gt;"",UPPER(TRIM('Real results'!C211))=UPPER(TRIM('Raw data'!O211))),4,0),0)</f>
        <v>0</v>
      </c>
      <c r="Q217" s="34">
        <f>IFERROR(IF(AND('Real results'!C211&lt;&gt;"",'Raw data'!Q211&lt;&gt;"",UPPER(TRIM('Real results'!C211))=UPPER(TRIM('Raw data'!Q211))),4,0),0)</f>
        <v>0</v>
      </c>
      <c r="S217" s="34">
        <f>IFERROR(IF(AND('Real results'!C211&lt;&gt;"",'Raw data'!S211&lt;&gt;"",UPPER(TRIM('Real results'!C211))=UPPER(TRIM('Raw data'!S211))),4,0),0)</f>
        <v>0</v>
      </c>
      <c r="U217" s="34">
        <f>IFERROR(IF(AND('Real results'!C211&lt;&gt;"",'Raw data'!U211&lt;&gt;"",UPPER(TRIM('Real results'!C211))=UPPER(TRIM('Raw data'!U211))),4,0),0)</f>
        <v>0</v>
      </c>
      <c r="W217" s="34">
        <f>IFERROR(IF(AND('Real results'!C211&lt;&gt;"",'Raw data'!W211&lt;&gt;"",UPPER(TRIM('Real results'!C211))=UPPER(TRIM('Raw data'!W211))),4,0),0)</f>
        <v>0</v>
      </c>
      <c r="Y217" s="34">
        <f>IFERROR(IF(AND('Real results'!C211&lt;&gt;"",'Raw data'!Y211&lt;&gt;"",UPPER(TRIM('Real results'!C211))=UPPER(TRIM('Raw data'!Y211))),4,0),0)</f>
        <v>0</v>
      </c>
      <c r="AA217" s="34">
        <f>IFERROR(IF(AND('Real results'!C211&lt;&gt;"",'Raw data'!AA211&lt;&gt;"",UPPER(TRIM('Real results'!C211))=UPPER(TRIM('Raw data'!AA211))),4,0),0)</f>
        <v>0</v>
      </c>
      <c r="AC217" s="34">
        <f>IFERROR(IF(AND('Real results'!C211&lt;&gt;"",'Raw data'!AC211&lt;&gt;"",UPPER(TRIM('Real results'!C211))=UPPER(TRIM('Raw data'!AC211))),4,0),0)</f>
        <v>0</v>
      </c>
      <c r="AE217" s="34">
        <f>IFERROR(IF(AND('Real results'!C211&lt;&gt;"",'Raw data'!AE211&lt;&gt;"",UPPER(TRIM('Real results'!C211))=UPPER(TRIM('Raw data'!AE211))),4,0),0)</f>
        <v>0</v>
      </c>
      <c r="AG217" s="34">
        <f>IFERROR(IF(AND('Real results'!C211&lt;&gt;"",'Raw data'!AG211&lt;&gt;"",UPPER(TRIM('Real results'!C211))=UPPER(TRIM('Raw data'!AG211))),4,0),0)</f>
        <v>0</v>
      </c>
      <c r="AI217" s="34">
        <f>IFERROR(IF(AND('Real results'!C211&lt;&gt;"",'Raw data'!AI211&lt;&gt;"",UPPER(TRIM('Real results'!C211))=UPPER(TRIM('Raw data'!AI211))),4,0),0)</f>
        <v>0</v>
      </c>
      <c r="AK217" s="34">
        <f>IFERROR(IF(AND('Real results'!C211&lt;&gt;"",'Raw data'!AK211&lt;&gt;"",UPPER(TRIM('Real results'!C211))=UPPER(TRIM('Raw data'!AK211))),4,0),0)</f>
        <v>0</v>
      </c>
      <c r="AM217" s="34">
        <f>IFERROR(IF(AND('Real results'!C211&lt;&gt;"",'Raw data'!AM211&lt;&gt;"",UPPER(TRIM('Real results'!C211))=UPPER(TRIM('Raw data'!AM211))),4,0),0)</f>
        <v>0</v>
      </c>
      <c r="AO217" s="34">
        <f>IFERROR(IF(AND('Real results'!C211&lt;&gt;"",'Raw data'!AO211&lt;&gt;"",UPPER(TRIM('Real results'!C211))=UPPER(TRIM('Raw data'!AO211))),4,0),0)</f>
        <v>0</v>
      </c>
      <c r="AQ217" s="34">
        <f>IFERROR(IF(AND('Real results'!C211&lt;&gt;"",'Raw data'!AQ211&lt;&gt;"",UPPER(TRIM('Real results'!C211))=UPPER(TRIM('Raw data'!AQ211))),4,0),0)</f>
        <v>0</v>
      </c>
      <c r="AS217" s="34">
        <f>IFERROR(IF(AND('Real results'!C211&lt;&gt;"",'Raw data'!AS211&lt;&gt;"",UPPER(TRIM('Real results'!C211))=UPPER(TRIM('Raw data'!AS211))),4,0),0)</f>
        <v>0</v>
      </c>
      <c r="AU217" s="34">
        <f>IFERROR(IF(AND('Real results'!C211&lt;&gt;"",'Raw data'!AU211&lt;&gt;"",UPPER(TRIM('Real results'!C211))=UPPER(TRIM('Raw data'!AU211))),4,0),0)</f>
        <v>0</v>
      </c>
      <c r="AW217" s="34">
        <f>IFERROR(IF(AND('Real results'!C211&lt;&gt;"",'Raw data'!AW211&lt;&gt;"",UPPER(TRIM('Real results'!C211))=UPPER(TRIM('Raw data'!AW211))),4,0),0)</f>
        <v>0</v>
      </c>
      <c r="AY217" s="34">
        <f>IFERROR(IF(AND('Real results'!C211&lt;&gt;"",'Raw data'!AY211&lt;&gt;"",UPPER(TRIM('Real results'!C211))=UPPER(TRIM('Raw data'!AY211))),4,0),0)</f>
        <v>0</v>
      </c>
      <c r="BA217" s="34">
        <f>IFERROR(IF(AND('Real results'!C211&lt;&gt;"",'Raw data'!BA211&lt;&gt;"",UPPER(TRIM('Real results'!C211))=UPPER(TRIM('Raw data'!BA211))),4,0),0)</f>
        <v>0</v>
      </c>
      <c r="BC217" s="34">
        <f>IFERROR(IF(AND('Real results'!C211&lt;&gt;"",'Raw data'!BC211&lt;&gt;"",UPPER(TRIM('Real results'!C211))=UPPER(TRIM('Raw data'!BC211))),4,0),0)</f>
        <v>0</v>
      </c>
      <c r="BE217" s="34">
        <f>IFERROR(IF(AND('Real results'!C211&lt;&gt;"",'Raw data'!BE211&lt;&gt;"",UPPER(TRIM('Real results'!C211))=UPPER(TRIM('Raw data'!BE211))),4,0),0)</f>
        <v>0</v>
      </c>
      <c r="BG217" s="34">
        <f>IFERROR(IF(AND('Real results'!C211&lt;&gt;"",'Raw data'!BG211&lt;&gt;"",UPPER(TRIM('Real results'!C211))=UPPER(TRIM('Raw data'!BG211))),4,0),0)</f>
        <v>0</v>
      </c>
      <c r="BI217" s="34">
        <f>IFERROR(IF(AND('Real results'!C211&lt;&gt;"",'Raw data'!BI211&lt;&gt;"",UPPER(TRIM('Real results'!C211))=UPPER(TRIM('Raw data'!BI211))),4,0),0)</f>
        <v>0</v>
      </c>
    </row>
    <row r="218" ht="21.75" customHeight="1">
      <c r="B218" s="35" t="s">
        <v>474</v>
      </c>
      <c r="C218" s="36">
        <f>SUM(C206:C217)</f>
        <v>0</v>
      </c>
      <c r="E218" s="36">
        <f>SUM(E206:E217)</f>
        <v>0</v>
      </c>
      <c r="G218" s="36">
        <f>SUM(G206:G217)</f>
        <v>0</v>
      </c>
      <c r="I218" s="36">
        <f>SUM(I206:I217)</f>
        <v>0</v>
      </c>
      <c r="K218" s="36">
        <f>SUM(K206:K217)</f>
        <v>0</v>
      </c>
      <c r="M218" s="36">
        <f>SUM(M206:M217)</f>
        <v>0</v>
      </c>
      <c r="O218" s="36">
        <f>SUM(O206:O217)</f>
        <v>0</v>
      </c>
      <c r="Q218" s="36">
        <f>SUM(Q206:Q217)</f>
        <v>0</v>
      </c>
      <c r="S218" s="36">
        <f>SUM(S206:S217)</f>
        <v>0</v>
      </c>
      <c r="U218" s="36">
        <f>SUM(U206:U217)</f>
        <v>0</v>
      </c>
      <c r="W218" s="36">
        <f>SUM(W206:W217)</f>
        <v>0</v>
      </c>
      <c r="Y218" s="36">
        <f>SUM(Y206:Y217)</f>
        <v>0</v>
      </c>
      <c r="AA218" s="36">
        <f>SUM(AA206:AA217)</f>
        <v>0</v>
      </c>
      <c r="AC218" s="36">
        <f>SUM(AC206:AC217)</f>
        <v>0</v>
      </c>
      <c r="AE218" s="36">
        <f>SUM(AE206:AE217)</f>
        <v>0</v>
      </c>
      <c r="AG218" s="36">
        <f>SUM(AG206:AG217)</f>
        <v>0</v>
      </c>
      <c r="AI218" s="36">
        <f>SUM(AI206:AI217)</f>
        <v>0</v>
      </c>
      <c r="AK218" s="36">
        <f>SUM(AK206:AK217)</f>
        <v>0</v>
      </c>
      <c r="AM218" s="36">
        <f>SUM(AM206:AM217)</f>
        <v>0</v>
      </c>
      <c r="AO218" s="36">
        <f>SUM(AO206:AO217)</f>
        <v>0</v>
      </c>
      <c r="AQ218" s="36">
        <f>SUM(AQ206:AQ217)</f>
        <v>0</v>
      </c>
      <c r="AS218" s="36">
        <f>SUM(AS206:AS217)</f>
        <v>0</v>
      </c>
      <c r="AU218" s="36">
        <f>SUM(AU206:AU217)</f>
        <v>0</v>
      </c>
      <c r="AW218" s="36">
        <f>SUM(AW206:AW217)</f>
        <v>0</v>
      </c>
      <c r="AY218" s="36">
        <f>SUM(AY206:AY217)</f>
        <v>0</v>
      </c>
      <c r="BA218" s="36">
        <f>SUM(BA206:BA217)</f>
        <v>0</v>
      </c>
      <c r="BC218" s="36">
        <f>SUM(BC206:BC217)</f>
        <v>0</v>
      </c>
      <c r="BE218" s="36">
        <f>SUM(BE206:BE217)</f>
        <v>0</v>
      </c>
      <c r="BG218" s="36">
        <f>SUM(BG206:BG217)</f>
        <v>0</v>
      </c>
      <c r="BI218" s="36">
        <f>SUM(BI206:BI217)</f>
        <v>0</v>
      </c>
    </row>
    <row r="219" ht="19.5" customHeight="1">
      <c r="B219" s="33" t="s">
        <v>475</v>
      </c>
      <c r="C219" s="11"/>
      <c r="E219" s="11"/>
      <c r="G219" s="11"/>
      <c r="I219" s="11"/>
      <c r="K219" s="11"/>
      <c r="M219" s="11"/>
      <c r="O219" s="11"/>
      <c r="Q219" s="11"/>
      <c r="S219" s="11"/>
      <c r="U219" s="11"/>
      <c r="W219" s="11"/>
      <c r="Y219" s="11"/>
      <c r="AA219" s="11"/>
      <c r="AC219" s="11"/>
      <c r="AE219" s="11"/>
      <c r="AG219" s="11"/>
      <c r="AI219" s="11"/>
      <c r="AK219" s="11"/>
      <c r="AM219" s="11"/>
      <c r="AO219" s="11"/>
      <c r="AQ219" s="11"/>
      <c r="AS219" s="11"/>
      <c r="AU219" s="11"/>
      <c r="AW219" s="11"/>
      <c r="AY219" s="11"/>
      <c r="BA219" s="11"/>
      <c r="BC219" s="11"/>
      <c r="BE219" s="11"/>
      <c r="BG219" s="11"/>
      <c r="BI219" s="11"/>
    </row>
    <row r="220" ht="18.0" customHeight="1">
      <c r="B220" s="12" t="s">
        <v>476</v>
      </c>
      <c r="C220" s="34">
        <f>IFERROR(IF(AND(ISNUMBER('Real results'!C213),ISNUMBER('Real results'!D213),ISNUMBER('Raw data'!C213),ISNUMBER('Raw data'!D213)),IF(SIGN('Raw data'!C213-'Raw data'!D213)=SIGN('Real results'!C213-'Real results'!D213),3+IF(AND('Raw data'!C213='Real results'!C213,'Raw data'!D213='Real results'!D213),2,0),0),0),0)</f>
        <v>0</v>
      </c>
      <c r="E220" s="34">
        <f>IFERROR(IF(AND(ISNUMBER('Real results'!C213),ISNUMBER('Real results'!D213),ISNUMBER('Raw data'!E213),ISNUMBER('Raw data'!F213)),IF(SIGN('Raw data'!E213-'Raw data'!F213)=SIGN('Real results'!C213-'Real results'!D213),3+IF(AND('Raw data'!E213='Real results'!C213,'Raw data'!F213='Real results'!D213),2,0),0),0),0)</f>
        <v>0</v>
      </c>
      <c r="G220" s="34">
        <f>IFERROR(IF(AND(ISNUMBER('Real results'!C213),ISNUMBER('Real results'!D213),ISNUMBER('Raw data'!G213),ISNUMBER('Raw data'!H213)),IF(SIGN('Raw data'!G213-'Raw data'!H213)=SIGN('Real results'!C213-'Real results'!D213),3+IF(AND('Raw data'!G213='Real results'!C213,'Raw data'!H213='Real results'!D213),2,0),0),0),0)</f>
        <v>0</v>
      </c>
      <c r="I220" s="34">
        <f>IFERROR(IF(AND(ISNUMBER('Real results'!C213),ISNUMBER('Real results'!D213),ISNUMBER('Raw data'!I213),ISNUMBER('Raw data'!J213)),IF(SIGN('Raw data'!I213-'Raw data'!J213)=SIGN('Real results'!C213-'Real results'!D213),3+IF(AND('Raw data'!I213='Real results'!C213,'Raw data'!J213='Real results'!D213),2,0),0),0),0)</f>
        <v>0</v>
      </c>
      <c r="K220" s="34">
        <f>IFERROR(IF(AND(ISNUMBER('Real results'!C213),ISNUMBER('Real results'!D213),ISNUMBER('Raw data'!K213),ISNUMBER('Raw data'!L213)),IF(SIGN('Raw data'!K213-'Raw data'!L213)=SIGN('Real results'!C213-'Real results'!D213),3+IF(AND('Raw data'!K213='Real results'!C213,'Raw data'!L213='Real results'!D213),2,0),0),0),0)</f>
        <v>0</v>
      </c>
      <c r="M220" s="34">
        <f>IFERROR(IF(AND(ISNUMBER('Real results'!C213),ISNUMBER('Real results'!D213),ISNUMBER('Raw data'!M213),ISNUMBER('Raw data'!N213)),IF(SIGN('Raw data'!M213-'Raw data'!N213)=SIGN('Real results'!C213-'Real results'!D213),3+IF(AND('Raw data'!M213='Real results'!C213,'Raw data'!N213='Real results'!D213),2,0),0),0),0)</f>
        <v>0</v>
      </c>
      <c r="O220" s="34">
        <f>IFERROR(IF(AND(ISNUMBER('Real results'!C213),ISNUMBER('Real results'!D213),ISNUMBER('Raw data'!O213),ISNUMBER('Raw data'!P213)),IF(SIGN('Raw data'!O213-'Raw data'!P213)=SIGN('Real results'!C213-'Real results'!D213),3+IF(AND('Raw data'!O213='Real results'!C213,'Raw data'!P213='Real results'!D213),2,0),0),0),0)</f>
        <v>0</v>
      </c>
      <c r="Q220" s="34">
        <f>IFERROR(IF(AND(ISNUMBER('Real results'!C213),ISNUMBER('Real results'!D213),ISNUMBER('Raw data'!Q213),ISNUMBER('Raw data'!R213)),IF(SIGN('Raw data'!Q213-'Raw data'!R213)=SIGN('Real results'!C213-'Real results'!D213),3+IF(AND('Raw data'!Q213='Real results'!C213,'Raw data'!R213='Real results'!D213),2,0),0),0),0)</f>
        <v>0</v>
      </c>
      <c r="S220" s="34">
        <f>IFERROR(IF(AND(ISNUMBER('Real results'!C213),ISNUMBER('Real results'!D213),ISNUMBER('Raw data'!S213),ISNUMBER('Raw data'!T213)),IF(SIGN('Raw data'!S213-'Raw data'!T213)=SIGN('Real results'!C213-'Real results'!D213),3+IF(AND('Raw data'!S213='Real results'!C213,'Raw data'!T213='Real results'!D213),2,0),0),0),0)</f>
        <v>0</v>
      </c>
      <c r="U220" s="34">
        <f>IFERROR(IF(AND(ISNUMBER('Real results'!C213),ISNUMBER('Real results'!D213),ISNUMBER('Raw data'!U213),ISNUMBER('Raw data'!V213)),IF(SIGN('Raw data'!U213-'Raw data'!V213)=SIGN('Real results'!C213-'Real results'!D213),3+IF(AND('Raw data'!U213='Real results'!C213,'Raw data'!V213='Real results'!D213),2,0),0),0),0)</f>
        <v>0</v>
      </c>
      <c r="W220" s="34">
        <f>IFERROR(IF(AND(ISNUMBER('Real results'!C213),ISNUMBER('Real results'!D213),ISNUMBER('Raw data'!W213),ISNUMBER('Raw data'!X213)),IF(SIGN('Raw data'!W213-'Raw data'!X213)=SIGN('Real results'!C213-'Real results'!D213),3+IF(AND('Raw data'!W213='Real results'!C213,'Raw data'!X213='Real results'!D213),2,0),0),0),0)</f>
        <v>0</v>
      </c>
      <c r="Y220" s="34">
        <f>IFERROR(IF(AND(ISNUMBER('Real results'!C213),ISNUMBER('Real results'!D213),ISNUMBER('Raw data'!Y213),ISNUMBER('Raw data'!Z213)),IF(SIGN('Raw data'!Y213-'Raw data'!Z213)=SIGN('Real results'!C213-'Real results'!D213),3+IF(AND('Raw data'!Y213='Real results'!C213,'Raw data'!Z213='Real results'!D213),2,0),0),0),0)</f>
        <v>0</v>
      </c>
      <c r="AA220" s="34">
        <f>IFERROR(IF(AND(ISNUMBER('Real results'!C213),ISNUMBER('Real results'!D213),ISNUMBER('Raw data'!AA213),ISNUMBER('Raw data'!AB213)),IF(SIGN('Raw data'!AA213-'Raw data'!AB213)=SIGN('Real results'!C213-'Real results'!D213),3+IF(AND('Raw data'!AA213='Real results'!C213,'Raw data'!AB213='Real results'!D213),2,0),0),0),0)</f>
        <v>0</v>
      </c>
      <c r="AC220" s="34">
        <f>IFERROR(IF(AND(ISNUMBER('Real results'!C213),ISNUMBER('Real results'!D213),ISNUMBER('Raw data'!AC213),ISNUMBER('Raw data'!AD213)),IF(SIGN('Raw data'!AC213-'Raw data'!AD213)=SIGN('Real results'!C213-'Real results'!D213),3+IF(AND('Raw data'!AC213='Real results'!C213,'Raw data'!AD213='Real results'!D213),2,0),0),0),0)</f>
        <v>0</v>
      </c>
      <c r="AE220" s="34">
        <f>IFERROR(IF(AND(ISNUMBER('Real results'!C213),ISNUMBER('Real results'!D213),ISNUMBER('Raw data'!AE213),ISNUMBER('Raw data'!AF213)),IF(SIGN('Raw data'!AE213-'Raw data'!AF213)=SIGN('Real results'!C213-'Real results'!D213),3+IF(AND('Raw data'!AE213='Real results'!C213,'Raw data'!AF213='Real results'!D213),2,0),0),0),0)</f>
        <v>0</v>
      </c>
      <c r="AG220" s="34">
        <f>IFERROR(IF(AND(ISNUMBER('Real results'!C213),ISNUMBER('Real results'!D213),ISNUMBER('Raw data'!AG213),ISNUMBER('Raw data'!AH213)),IF(SIGN('Raw data'!AG213-'Raw data'!AH213)=SIGN('Real results'!C213-'Real results'!D213),3+IF(AND('Raw data'!AG213='Real results'!C213,'Raw data'!AH213='Real results'!D213),2,0),0),0),0)</f>
        <v>0</v>
      </c>
      <c r="AI220" s="34">
        <f>IFERROR(IF(AND(ISNUMBER('Real results'!C213),ISNUMBER('Real results'!D213),ISNUMBER('Raw data'!AI213),ISNUMBER('Raw data'!AJ213)),IF(SIGN('Raw data'!AI213-'Raw data'!AJ213)=SIGN('Real results'!C213-'Real results'!D213),3+IF(AND('Raw data'!AI213='Real results'!C213,'Raw data'!AJ213='Real results'!D213),2,0),0),0),0)</f>
        <v>0</v>
      </c>
      <c r="AK220" s="34">
        <f>IFERROR(IF(AND(ISNUMBER('Real results'!C213),ISNUMBER('Real results'!D213),ISNUMBER('Raw data'!AK213),ISNUMBER('Raw data'!AL213)),IF(SIGN('Raw data'!AK213-'Raw data'!AL213)=SIGN('Real results'!C213-'Real results'!D213),3+IF(AND('Raw data'!AK213='Real results'!C213,'Raw data'!AL213='Real results'!D213),2,0),0),0),0)</f>
        <v>0</v>
      </c>
      <c r="AM220" s="34">
        <f>IFERROR(IF(AND(ISNUMBER('Real results'!C213),ISNUMBER('Real results'!D213),ISNUMBER('Raw data'!AM213),ISNUMBER('Raw data'!AN213)),IF(SIGN('Raw data'!AM213-'Raw data'!AN213)=SIGN('Real results'!C213-'Real results'!D213),3+IF(AND('Raw data'!AM213='Real results'!C213,'Raw data'!AN213='Real results'!D213),2,0),0),0),0)</f>
        <v>0</v>
      </c>
      <c r="AO220" s="34">
        <f>IFERROR(IF(AND(ISNUMBER('Real results'!C213),ISNUMBER('Real results'!D213),ISNUMBER('Raw data'!AO213),ISNUMBER('Raw data'!AP213)),IF(SIGN('Raw data'!AO213-'Raw data'!AP213)=SIGN('Real results'!C213-'Real results'!D213),3+IF(AND('Raw data'!AO213='Real results'!C213,'Raw data'!AP213='Real results'!D213),2,0),0),0),0)</f>
        <v>0</v>
      </c>
      <c r="AQ220" s="34">
        <f>IFERROR(IF(AND(ISNUMBER('Real results'!C213),ISNUMBER('Real results'!D213),ISNUMBER('Raw data'!AQ213),ISNUMBER('Raw data'!AR213)),IF(SIGN('Raw data'!AQ213-'Raw data'!AR213)=SIGN('Real results'!C213-'Real results'!D213),3+IF(AND('Raw data'!AQ213='Real results'!C213,'Raw data'!AR213='Real results'!D213),2,0),0),0),0)</f>
        <v>0</v>
      </c>
      <c r="AS220" s="34">
        <f>IFERROR(IF(AND(ISNUMBER('Real results'!C213),ISNUMBER('Real results'!D213),ISNUMBER('Raw data'!AS213),ISNUMBER('Raw data'!AT213)),IF(SIGN('Raw data'!AS213-'Raw data'!AT213)=SIGN('Real results'!C213-'Real results'!D213),3+IF(AND('Raw data'!AS213='Real results'!C213,'Raw data'!AT213='Real results'!D213),2,0),0),0),0)</f>
        <v>0</v>
      </c>
      <c r="AU220" s="34">
        <f>IFERROR(IF(AND(ISNUMBER('Real results'!C213),ISNUMBER('Real results'!D213),ISNUMBER('Raw data'!AU213),ISNUMBER('Raw data'!AV213)),IF(SIGN('Raw data'!AU213-'Raw data'!AV213)=SIGN('Real results'!C213-'Real results'!D213),3+IF(AND('Raw data'!AU213='Real results'!C213,'Raw data'!AV213='Real results'!D213),2,0),0),0),0)</f>
        <v>0</v>
      </c>
      <c r="AW220" s="34">
        <f>IFERROR(IF(AND(ISNUMBER('Real results'!C213),ISNUMBER('Real results'!D213),ISNUMBER('Raw data'!AW213),ISNUMBER('Raw data'!AX213)),IF(SIGN('Raw data'!AW213-'Raw data'!AX213)=SIGN('Real results'!C213-'Real results'!D213),3+IF(AND('Raw data'!AW213='Real results'!C213,'Raw data'!AX213='Real results'!D213),2,0),0),0),0)</f>
        <v>0</v>
      </c>
      <c r="AY220" s="34">
        <f>IFERROR(IF(AND(ISNUMBER('Real results'!C213),ISNUMBER('Real results'!D213),ISNUMBER('Raw data'!AY213),ISNUMBER('Raw data'!AZ213)),IF(SIGN('Raw data'!AY213-'Raw data'!AZ213)=SIGN('Real results'!C213-'Real results'!D213),3+IF(AND('Raw data'!AY213='Real results'!C213,'Raw data'!AZ213='Real results'!D213),2,0),0),0),0)</f>
        <v>0</v>
      </c>
      <c r="BA220" s="34">
        <f>IFERROR(IF(AND(ISNUMBER('Real results'!C213),ISNUMBER('Real results'!D213),ISNUMBER('Raw data'!BA213),ISNUMBER('Raw data'!BB213)),IF(SIGN('Raw data'!BA213-'Raw data'!BB213)=SIGN('Real results'!C213-'Real results'!D213),3+IF(AND('Raw data'!BA213='Real results'!C213,'Raw data'!BB213='Real results'!D213),2,0),0),0),0)</f>
        <v>0</v>
      </c>
      <c r="BC220" s="34">
        <f>IFERROR(IF(AND(ISNUMBER('Real results'!C213),ISNUMBER('Real results'!D213),ISNUMBER('Raw data'!BC213),ISNUMBER('Raw data'!BD213)),IF(SIGN('Raw data'!BC213-'Raw data'!BD213)=SIGN('Real results'!C213-'Real results'!D213),3+IF(AND('Raw data'!BC213='Real results'!C213,'Raw data'!BD213='Real results'!D213),2,0),0),0),0)</f>
        <v>0</v>
      </c>
      <c r="BE220" s="34">
        <f>IFERROR(IF(AND(ISNUMBER('Real results'!C213),ISNUMBER('Real results'!D213),ISNUMBER('Raw data'!BE213),ISNUMBER('Raw data'!BF213)),IF(SIGN('Raw data'!BE213-'Raw data'!BF213)=SIGN('Real results'!C213-'Real results'!D213),3+IF(AND('Raw data'!BE213='Real results'!C213,'Raw data'!BF213='Real results'!D213),2,0),0),0),0)</f>
        <v>0</v>
      </c>
      <c r="BG220" s="34">
        <f>IFERROR(IF(AND(ISNUMBER('Real results'!C213),ISNUMBER('Real results'!D213),ISNUMBER('Raw data'!BG213),ISNUMBER('Raw data'!BH213)),IF(SIGN('Raw data'!BG213-'Raw data'!BH213)=SIGN('Real results'!C213-'Real results'!D213),3+IF(AND('Raw data'!BG213='Real results'!C213,'Raw data'!BH213='Real results'!D213),2,0),0),0),0)</f>
        <v>0</v>
      </c>
      <c r="BI220" s="34">
        <f>IFERROR(IF(AND(ISNUMBER('Real results'!C213),ISNUMBER('Real results'!D213),ISNUMBER('Raw data'!BI213),ISNUMBER('Raw data'!BJ213)),IF(SIGN('Raw data'!BI213-'Raw data'!BJ213)=SIGN('Real results'!C213-'Real results'!D213),3+IF(AND('Raw data'!BI213='Real results'!C213,'Raw data'!BJ213='Real results'!D213),2,0),0),0),0)</f>
        <v>0</v>
      </c>
    </row>
    <row r="221" ht="18.0" customHeight="1">
      <c r="B221" s="12" t="s">
        <v>477</v>
      </c>
      <c r="C221" s="34">
        <v>0.0</v>
      </c>
      <c r="E221" s="34">
        <v>0.0</v>
      </c>
      <c r="G221" s="34">
        <v>0.0</v>
      </c>
      <c r="I221" s="34">
        <v>0.0</v>
      </c>
      <c r="K221" s="34">
        <v>0.0</v>
      </c>
      <c r="M221" s="34">
        <v>0.0</v>
      </c>
      <c r="O221" s="34">
        <v>0.0</v>
      </c>
      <c r="Q221" s="34">
        <v>0.0</v>
      </c>
      <c r="S221" s="34">
        <v>0.0</v>
      </c>
      <c r="U221" s="34">
        <v>0.0</v>
      </c>
      <c r="W221" s="34">
        <v>0.0</v>
      </c>
      <c r="Y221" s="34">
        <v>0.0</v>
      </c>
      <c r="AA221" s="34">
        <v>0.0</v>
      </c>
      <c r="AC221" s="34">
        <v>0.0</v>
      </c>
      <c r="AE221" s="34">
        <v>0.0</v>
      </c>
      <c r="AG221" s="34">
        <v>0.0</v>
      </c>
      <c r="AI221" s="34">
        <v>0.0</v>
      </c>
      <c r="AK221" s="34">
        <v>0.0</v>
      </c>
      <c r="AM221" s="34">
        <v>0.0</v>
      </c>
      <c r="AO221" s="34">
        <v>0.0</v>
      </c>
      <c r="AQ221" s="34">
        <v>0.0</v>
      </c>
      <c r="AS221" s="34">
        <v>0.0</v>
      </c>
      <c r="AU221" s="34">
        <v>0.0</v>
      </c>
      <c r="AW221" s="34">
        <v>0.0</v>
      </c>
      <c r="AY221" s="34">
        <v>0.0</v>
      </c>
      <c r="BA221" s="34">
        <v>0.0</v>
      </c>
      <c r="BC221" s="34">
        <v>0.0</v>
      </c>
      <c r="BE221" s="34">
        <v>0.0</v>
      </c>
      <c r="BG221" s="34">
        <v>0.0</v>
      </c>
      <c r="BI221" s="34">
        <v>0.0</v>
      </c>
    </row>
    <row r="222" ht="18.0" customHeight="1">
      <c r="B222" s="12" t="s">
        <v>478</v>
      </c>
      <c r="C222" s="34">
        <f>IFERROR(IF(AND('Real results'!C215&lt;&gt;"",'Raw data'!C215&lt;&gt;"",UPPER(TRIM('Real results'!C215))=UPPER(TRIM('Raw data'!C215))),6,0),0)</f>
        <v>0</v>
      </c>
      <c r="E222" s="34">
        <f>IFERROR(IF(AND('Real results'!C215&lt;&gt;"",'Raw data'!E215&lt;&gt;"",UPPER(TRIM('Real results'!C215))=UPPER(TRIM('Raw data'!E215))),6,0),0)</f>
        <v>0</v>
      </c>
      <c r="G222" s="34">
        <f>IFERROR(IF(AND('Real results'!C215&lt;&gt;"",'Raw data'!G215&lt;&gt;"",UPPER(TRIM('Real results'!C215))=UPPER(TRIM('Raw data'!G215))),6,0),0)</f>
        <v>0</v>
      </c>
      <c r="I222" s="34">
        <f>IFERROR(IF(AND('Real results'!C215&lt;&gt;"",'Raw data'!I215&lt;&gt;"",UPPER(TRIM('Real results'!C215))=UPPER(TRIM('Raw data'!I215))),6,0),0)</f>
        <v>0</v>
      </c>
      <c r="K222" s="34">
        <f>IFERROR(IF(AND('Real results'!C215&lt;&gt;"",'Raw data'!K215&lt;&gt;"",UPPER(TRIM('Real results'!C215))=UPPER(TRIM('Raw data'!K215))),6,0),0)</f>
        <v>0</v>
      </c>
      <c r="M222" s="34">
        <f>IFERROR(IF(AND('Real results'!C215&lt;&gt;"",'Raw data'!M215&lt;&gt;"",UPPER(TRIM('Real results'!C215))=UPPER(TRIM('Raw data'!M215))),6,0),0)</f>
        <v>0</v>
      </c>
      <c r="O222" s="34">
        <f>IFERROR(IF(AND('Real results'!C215&lt;&gt;"",'Raw data'!O215&lt;&gt;"",UPPER(TRIM('Real results'!C215))=UPPER(TRIM('Raw data'!O215))),6,0),0)</f>
        <v>0</v>
      </c>
      <c r="Q222" s="34">
        <f>IFERROR(IF(AND('Real results'!C215&lt;&gt;"",'Raw data'!Q215&lt;&gt;"",UPPER(TRIM('Real results'!C215))=UPPER(TRIM('Raw data'!Q215))),6,0),0)</f>
        <v>0</v>
      </c>
      <c r="S222" s="34">
        <f>IFERROR(IF(AND('Real results'!C215&lt;&gt;"",'Raw data'!S215&lt;&gt;"",UPPER(TRIM('Real results'!C215))=UPPER(TRIM('Raw data'!S215))),6,0),0)</f>
        <v>0</v>
      </c>
      <c r="U222" s="34">
        <f>IFERROR(IF(AND('Real results'!C215&lt;&gt;"",'Raw data'!U215&lt;&gt;"",UPPER(TRIM('Real results'!C215))=UPPER(TRIM('Raw data'!U215))),6,0),0)</f>
        <v>0</v>
      </c>
      <c r="W222" s="34">
        <f>IFERROR(IF(AND('Real results'!C215&lt;&gt;"",'Raw data'!W215&lt;&gt;"",UPPER(TRIM('Real results'!C215))=UPPER(TRIM('Raw data'!W215))),6,0),0)</f>
        <v>0</v>
      </c>
      <c r="Y222" s="34">
        <f>IFERROR(IF(AND('Real results'!C215&lt;&gt;"",'Raw data'!Y215&lt;&gt;"",UPPER(TRIM('Real results'!C215))=UPPER(TRIM('Raw data'!Y215))),6,0),0)</f>
        <v>0</v>
      </c>
      <c r="AA222" s="34">
        <f>IFERROR(IF(AND('Real results'!C215&lt;&gt;"",'Raw data'!AA215&lt;&gt;"",UPPER(TRIM('Real results'!C215))=UPPER(TRIM('Raw data'!AA215))),6,0),0)</f>
        <v>0</v>
      </c>
      <c r="AC222" s="34">
        <f>IFERROR(IF(AND('Real results'!C215&lt;&gt;"",'Raw data'!AC215&lt;&gt;"",UPPER(TRIM('Real results'!C215))=UPPER(TRIM('Raw data'!AC215))),6,0),0)</f>
        <v>0</v>
      </c>
      <c r="AE222" s="34">
        <f>IFERROR(IF(AND('Real results'!C215&lt;&gt;"",'Raw data'!AE215&lt;&gt;"",UPPER(TRIM('Real results'!C215))=UPPER(TRIM('Raw data'!AE215))),6,0),0)</f>
        <v>0</v>
      </c>
      <c r="AG222" s="34">
        <f>IFERROR(IF(AND('Real results'!C215&lt;&gt;"",'Raw data'!AG215&lt;&gt;"",UPPER(TRIM('Real results'!C215))=UPPER(TRIM('Raw data'!AG215))),6,0),0)</f>
        <v>0</v>
      </c>
      <c r="AI222" s="34">
        <f>IFERROR(IF(AND('Real results'!C215&lt;&gt;"",'Raw data'!AI215&lt;&gt;"",UPPER(TRIM('Real results'!C215))=UPPER(TRIM('Raw data'!AI215))),6,0),0)</f>
        <v>0</v>
      </c>
      <c r="AK222" s="34">
        <f>IFERROR(IF(AND('Real results'!C215&lt;&gt;"",'Raw data'!AK215&lt;&gt;"",UPPER(TRIM('Real results'!C215))=UPPER(TRIM('Raw data'!AK215))),6,0),0)</f>
        <v>0</v>
      </c>
      <c r="AM222" s="34">
        <f>IFERROR(IF(AND('Real results'!C215&lt;&gt;"",'Raw data'!AM215&lt;&gt;"",UPPER(TRIM('Real results'!C215))=UPPER(TRIM('Raw data'!AM215))),6,0),0)</f>
        <v>0</v>
      </c>
      <c r="AO222" s="34">
        <f>IFERROR(IF(AND('Real results'!C215&lt;&gt;"",'Raw data'!AO215&lt;&gt;"",UPPER(TRIM('Real results'!C215))=UPPER(TRIM('Raw data'!AO215))),6,0),0)</f>
        <v>0</v>
      </c>
      <c r="AQ222" s="34">
        <f>IFERROR(IF(AND('Real results'!C215&lt;&gt;"",'Raw data'!AQ215&lt;&gt;"",UPPER(TRIM('Real results'!C215))=UPPER(TRIM('Raw data'!AQ215))),6,0),0)</f>
        <v>0</v>
      </c>
      <c r="AS222" s="34">
        <f>IFERROR(IF(AND('Real results'!C215&lt;&gt;"",'Raw data'!AS215&lt;&gt;"",UPPER(TRIM('Real results'!C215))=UPPER(TRIM('Raw data'!AS215))),6,0),0)</f>
        <v>0</v>
      </c>
      <c r="AU222" s="34">
        <f>IFERROR(IF(AND('Real results'!C215&lt;&gt;"",'Raw data'!AU215&lt;&gt;"",UPPER(TRIM('Real results'!C215))=UPPER(TRIM('Raw data'!AU215))),6,0),0)</f>
        <v>0</v>
      </c>
      <c r="AW222" s="34">
        <f>IFERROR(IF(AND('Real results'!C215&lt;&gt;"",'Raw data'!AW215&lt;&gt;"",UPPER(TRIM('Real results'!C215))=UPPER(TRIM('Raw data'!AW215))),6,0),0)</f>
        <v>0</v>
      </c>
      <c r="AY222" s="34">
        <f>IFERROR(IF(AND('Real results'!C215&lt;&gt;"",'Raw data'!AY215&lt;&gt;"",UPPER(TRIM('Real results'!C215))=UPPER(TRIM('Raw data'!AY215))),6,0),0)</f>
        <v>0</v>
      </c>
      <c r="BA222" s="34">
        <f>IFERROR(IF(AND('Real results'!C215&lt;&gt;"",'Raw data'!BA215&lt;&gt;"",UPPER(TRIM('Real results'!C215))=UPPER(TRIM('Raw data'!BA215))),6,0),0)</f>
        <v>0</v>
      </c>
      <c r="BC222" s="34">
        <f>IFERROR(IF(AND('Real results'!C215&lt;&gt;"",'Raw data'!BC215&lt;&gt;"",UPPER(TRIM('Real results'!C215))=UPPER(TRIM('Raw data'!BC215))),6,0),0)</f>
        <v>0</v>
      </c>
      <c r="BE222" s="34">
        <f>IFERROR(IF(AND('Real results'!C215&lt;&gt;"",'Raw data'!BE215&lt;&gt;"",UPPER(TRIM('Real results'!C215))=UPPER(TRIM('Raw data'!BE215))),6,0),0)</f>
        <v>0</v>
      </c>
      <c r="BG222" s="34">
        <f>IFERROR(IF(AND('Real results'!C215&lt;&gt;"",'Raw data'!BG215&lt;&gt;"",UPPER(TRIM('Real results'!C215))=UPPER(TRIM('Raw data'!BG215))),6,0),0)</f>
        <v>0</v>
      </c>
      <c r="BI222" s="34">
        <f>IFERROR(IF(AND('Real results'!C215&lt;&gt;"",'Raw data'!BI215&lt;&gt;"",UPPER(TRIM('Real results'!C215))=UPPER(TRIM('Raw data'!BI215))),6,0),0)</f>
        <v>0</v>
      </c>
    </row>
    <row r="223" ht="18.0" customHeight="1">
      <c r="B223" s="12" t="s">
        <v>479</v>
      </c>
      <c r="C223" s="34">
        <f>IFERROR(IF(AND(ISNUMBER('Real results'!C216),ISNUMBER('Real results'!D216),ISNUMBER('Raw data'!C216),ISNUMBER('Raw data'!D216)),IF(SIGN('Raw data'!C216-'Raw data'!D216)=SIGN('Real results'!C216-'Real results'!D216),3+IF(AND('Raw data'!C216='Real results'!C216,'Raw data'!D216='Real results'!D216),2,0),0),0),0)</f>
        <v>0</v>
      </c>
      <c r="E223" s="34">
        <f>IFERROR(IF(AND(ISNUMBER('Real results'!C216),ISNUMBER('Real results'!D216),ISNUMBER('Raw data'!E216),ISNUMBER('Raw data'!F216)),IF(SIGN('Raw data'!E216-'Raw data'!F216)=SIGN('Real results'!C216-'Real results'!D216),3+IF(AND('Raw data'!E216='Real results'!C216,'Raw data'!F216='Real results'!D216),2,0),0),0),0)</f>
        <v>0</v>
      </c>
      <c r="G223" s="34">
        <f>IFERROR(IF(AND(ISNUMBER('Real results'!C216),ISNUMBER('Real results'!D216),ISNUMBER('Raw data'!G216),ISNUMBER('Raw data'!H216)),IF(SIGN('Raw data'!G216-'Raw data'!H216)=SIGN('Real results'!C216-'Real results'!D216),3+IF(AND('Raw data'!G216='Real results'!C216,'Raw data'!H216='Real results'!D216),2,0),0),0),0)</f>
        <v>0</v>
      </c>
      <c r="I223" s="34">
        <f>IFERROR(IF(AND(ISNUMBER('Real results'!C216),ISNUMBER('Real results'!D216),ISNUMBER('Raw data'!I216),ISNUMBER('Raw data'!J216)),IF(SIGN('Raw data'!I216-'Raw data'!J216)=SIGN('Real results'!C216-'Real results'!D216),3+IF(AND('Raw data'!I216='Real results'!C216,'Raw data'!J216='Real results'!D216),2,0),0),0),0)</f>
        <v>0</v>
      </c>
      <c r="K223" s="34">
        <f>IFERROR(IF(AND(ISNUMBER('Real results'!C216),ISNUMBER('Real results'!D216),ISNUMBER('Raw data'!K216),ISNUMBER('Raw data'!L216)),IF(SIGN('Raw data'!K216-'Raw data'!L216)=SIGN('Real results'!C216-'Real results'!D216),3+IF(AND('Raw data'!K216='Real results'!C216,'Raw data'!L216='Real results'!D216),2,0),0),0),0)</f>
        <v>0</v>
      </c>
      <c r="M223" s="34">
        <f>IFERROR(IF(AND(ISNUMBER('Real results'!C216),ISNUMBER('Real results'!D216),ISNUMBER('Raw data'!M216),ISNUMBER('Raw data'!N216)),IF(SIGN('Raw data'!M216-'Raw data'!N216)=SIGN('Real results'!C216-'Real results'!D216),3+IF(AND('Raw data'!M216='Real results'!C216,'Raw data'!N216='Real results'!D216),2,0),0),0),0)</f>
        <v>0</v>
      </c>
      <c r="O223" s="34">
        <f>IFERROR(IF(AND(ISNUMBER('Real results'!C216),ISNUMBER('Real results'!D216),ISNUMBER('Raw data'!O216),ISNUMBER('Raw data'!P216)),IF(SIGN('Raw data'!O216-'Raw data'!P216)=SIGN('Real results'!C216-'Real results'!D216),3+IF(AND('Raw data'!O216='Real results'!C216,'Raw data'!P216='Real results'!D216),2,0),0),0),0)</f>
        <v>0</v>
      </c>
      <c r="Q223" s="34">
        <f>IFERROR(IF(AND(ISNUMBER('Real results'!C216),ISNUMBER('Real results'!D216),ISNUMBER('Raw data'!Q216),ISNUMBER('Raw data'!R216)),IF(SIGN('Raw data'!Q216-'Raw data'!R216)=SIGN('Real results'!C216-'Real results'!D216),3+IF(AND('Raw data'!Q216='Real results'!C216,'Raw data'!R216='Real results'!D216),2,0),0),0),0)</f>
        <v>0</v>
      </c>
      <c r="S223" s="34">
        <f>IFERROR(IF(AND(ISNUMBER('Real results'!C216),ISNUMBER('Real results'!D216),ISNUMBER('Raw data'!S216),ISNUMBER('Raw data'!T216)),IF(SIGN('Raw data'!S216-'Raw data'!T216)=SIGN('Real results'!C216-'Real results'!D216),3+IF(AND('Raw data'!S216='Real results'!C216,'Raw data'!T216='Real results'!D216),2,0),0),0),0)</f>
        <v>0</v>
      </c>
      <c r="U223" s="34">
        <f>IFERROR(IF(AND(ISNUMBER('Real results'!C216),ISNUMBER('Real results'!D216),ISNUMBER('Raw data'!U216),ISNUMBER('Raw data'!V216)),IF(SIGN('Raw data'!U216-'Raw data'!V216)=SIGN('Real results'!C216-'Real results'!D216),3+IF(AND('Raw data'!U216='Real results'!C216,'Raw data'!V216='Real results'!D216),2,0),0),0),0)</f>
        <v>0</v>
      </c>
      <c r="W223" s="34">
        <f>IFERROR(IF(AND(ISNUMBER('Real results'!C216),ISNUMBER('Real results'!D216),ISNUMBER('Raw data'!W216),ISNUMBER('Raw data'!X216)),IF(SIGN('Raw data'!W216-'Raw data'!X216)=SIGN('Real results'!C216-'Real results'!D216),3+IF(AND('Raw data'!W216='Real results'!C216,'Raw data'!X216='Real results'!D216),2,0),0),0),0)</f>
        <v>0</v>
      </c>
      <c r="Y223" s="34">
        <f>IFERROR(IF(AND(ISNUMBER('Real results'!C216),ISNUMBER('Real results'!D216),ISNUMBER('Raw data'!Y216),ISNUMBER('Raw data'!Z216)),IF(SIGN('Raw data'!Y216-'Raw data'!Z216)=SIGN('Real results'!C216-'Real results'!D216),3+IF(AND('Raw data'!Y216='Real results'!C216,'Raw data'!Z216='Real results'!D216),2,0),0),0),0)</f>
        <v>0</v>
      </c>
      <c r="AA223" s="34">
        <f>IFERROR(IF(AND(ISNUMBER('Real results'!C216),ISNUMBER('Real results'!D216),ISNUMBER('Raw data'!AA216),ISNUMBER('Raw data'!AB216)),IF(SIGN('Raw data'!AA216-'Raw data'!AB216)=SIGN('Real results'!C216-'Real results'!D216),3+IF(AND('Raw data'!AA216='Real results'!C216,'Raw data'!AB216='Real results'!D216),2,0),0),0),0)</f>
        <v>0</v>
      </c>
      <c r="AC223" s="34">
        <f>IFERROR(IF(AND(ISNUMBER('Real results'!C216),ISNUMBER('Real results'!D216),ISNUMBER('Raw data'!AC216),ISNUMBER('Raw data'!AD216)),IF(SIGN('Raw data'!AC216-'Raw data'!AD216)=SIGN('Real results'!C216-'Real results'!D216),3+IF(AND('Raw data'!AC216='Real results'!C216,'Raw data'!AD216='Real results'!D216),2,0),0),0),0)</f>
        <v>0</v>
      </c>
      <c r="AE223" s="34">
        <f>IFERROR(IF(AND(ISNUMBER('Real results'!C216),ISNUMBER('Real results'!D216),ISNUMBER('Raw data'!AE216),ISNUMBER('Raw data'!AF216)),IF(SIGN('Raw data'!AE216-'Raw data'!AF216)=SIGN('Real results'!C216-'Real results'!D216),3+IF(AND('Raw data'!AE216='Real results'!C216,'Raw data'!AF216='Real results'!D216),2,0),0),0),0)</f>
        <v>0</v>
      </c>
      <c r="AG223" s="34">
        <f>IFERROR(IF(AND(ISNUMBER('Real results'!C216),ISNUMBER('Real results'!D216),ISNUMBER('Raw data'!AG216),ISNUMBER('Raw data'!AH216)),IF(SIGN('Raw data'!AG216-'Raw data'!AH216)=SIGN('Real results'!C216-'Real results'!D216),3+IF(AND('Raw data'!AG216='Real results'!C216,'Raw data'!AH216='Real results'!D216),2,0),0),0),0)</f>
        <v>0</v>
      </c>
      <c r="AI223" s="34">
        <f>IFERROR(IF(AND(ISNUMBER('Real results'!C216),ISNUMBER('Real results'!D216),ISNUMBER('Raw data'!AI216),ISNUMBER('Raw data'!AJ216)),IF(SIGN('Raw data'!AI216-'Raw data'!AJ216)=SIGN('Real results'!C216-'Real results'!D216),3+IF(AND('Raw data'!AI216='Real results'!C216,'Raw data'!AJ216='Real results'!D216),2,0),0),0),0)</f>
        <v>0</v>
      </c>
      <c r="AK223" s="34">
        <f>IFERROR(IF(AND(ISNUMBER('Real results'!C216),ISNUMBER('Real results'!D216),ISNUMBER('Raw data'!AK216),ISNUMBER('Raw data'!AL216)),IF(SIGN('Raw data'!AK216-'Raw data'!AL216)=SIGN('Real results'!C216-'Real results'!D216),3+IF(AND('Raw data'!AK216='Real results'!C216,'Raw data'!AL216='Real results'!D216),2,0),0),0),0)</f>
        <v>0</v>
      </c>
      <c r="AM223" s="34">
        <f>IFERROR(IF(AND(ISNUMBER('Real results'!C216),ISNUMBER('Real results'!D216),ISNUMBER('Raw data'!AM216),ISNUMBER('Raw data'!AN216)),IF(SIGN('Raw data'!AM216-'Raw data'!AN216)=SIGN('Real results'!C216-'Real results'!D216),3+IF(AND('Raw data'!AM216='Real results'!C216,'Raw data'!AN216='Real results'!D216),2,0),0),0),0)</f>
        <v>0</v>
      </c>
      <c r="AO223" s="34">
        <f>IFERROR(IF(AND(ISNUMBER('Real results'!C216),ISNUMBER('Real results'!D216),ISNUMBER('Raw data'!AO216),ISNUMBER('Raw data'!AP216)),IF(SIGN('Raw data'!AO216-'Raw data'!AP216)=SIGN('Real results'!C216-'Real results'!D216),3+IF(AND('Raw data'!AO216='Real results'!C216,'Raw data'!AP216='Real results'!D216),2,0),0),0),0)</f>
        <v>0</v>
      </c>
      <c r="AQ223" s="34">
        <f>IFERROR(IF(AND(ISNUMBER('Real results'!C216),ISNUMBER('Real results'!D216),ISNUMBER('Raw data'!AQ216),ISNUMBER('Raw data'!AR216)),IF(SIGN('Raw data'!AQ216-'Raw data'!AR216)=SIGN('Real results'!C216-'Real results'!D216),3+IF(AND('Raw data'!AQ216='Real results'!C216,'Raw data'!AR216='Real results'!D216),2,0),0),0),0)</f>
        <v>0</v>
      </c>
      <c r="AS223" s="34">
        <f>IFERROR(IF(AND(ISNUMBER('Real results'!C216),ISNUMBER('Real results'!D216),ISNUMBER('Raw data'!AS216),ISNUMBER('Raw data'!AT216)),IF(SIGN('Raw data'!AS216-'Raw data'!AT216)=SIGN('Real results'!C216-'Real results'!D216),3+IF(AND('Raw data'!AS216='Real results'!C216,'Raw data'!AT216='Real results'!D216),2,0),0),0),0)</f>
        <v>0</v>
      </c>
      <c r="AU223" s="34">
        <f>IFERROR(IF(AND(ISNUMBER('Real results'!C216),ISNUMBER('Real results'!D216),ISNUMBER('Raw data'!AU216),ISNUMBER('Raw data'!AV216)),IF(SIGN('Raw data'!AU216-'Raw data'!AV216)=SIGN('Real results'!C216-'Real results'!D216),3+IF(AND('Raw data'!AU216='Real results'!C216,'Raw data'!AV216='Real results'!D216),2,0),0),0),0)</f>
        <v>0</v>
      </c>
      <c r="AW223" s="34">
        <f>IFERROR(IF(AND(ISNUMBER('Real results'!C216),ISNUMBER('Real results'!D216),ISNUMBER('Raw data'!AW216),ISNUMBER('Raw data'!AX216)),IF(SIGN('Raw data'!AW216-'Raw data'!AX216)=SIGN('Real results'!C216-'Real results'!D216),3+IF(AND('Raw data'!AW216='Real results'!C216,'Raw data'!AX216='Real results'!D216),2,0),0),0),0)</f>
        <v>0</v>
      </c>
      <c r="AY223" s="34">
        <f>IFERROR(IF(AND(ISNUMBER('Real results'!C216),ISNUMBER('Real results'!D216),ISNUMBER('Raw data'!AY216),ISNUMBER('Raw data'!AZ216)),IF(SIGN('Raw data'!AY216-'Raw data'!AZ216)=SIGN('Real results'!C216-'Real results'!D216),3+IF(AND('Raw data'!AY216='Real results'!C216,'Raw data'!AZ216='Real results'!D216),2,0),0),0),0)</f>
        <v>0</v>
      </c>
      <c r="BA223" s="34">
        <f>IFERROR(IF(AND(ISNUMBER('Real results'!C216),ISNUMBER('Real results'!D216),ISNUMBER('Raw data'!BA216),ISNUMBER('Raw data'!BB216)),IF(SIGN('Raw data'!BA216-'Raw data'!BB216)=SIGN('Real results'!C216-'Real results'!D216),3+IF(AND('Raw data'!BA216='Real results'!C216,'Raw data'!BB216='Real results'!D216),2,0),0),0),0)</f>
        <v>0</v>
      </c>
      <c r="BC223" s="34">
        <f>IFERROR(IF(AND(ISNUMBER('Real results'!C216),ISNUMBER('Real results'!D216),ISNUMBER('Raw data'!BC216),ISNUMBER('Raw data'!BD216)),IF(SIGN('Raw data'!BC216-'Raw data'!BD216)=SIGN('Real results'!C216-'Real results'!D216),3+IF(AND('Raw data'!BC216='Real results'!C216,'Raw data'!BD216='Real results'!D216),2,0),0),0),0)</f>
        <v>0</v>
      </c>
      <c r="BE223" s="34">
        <f>IFERROR(IF(AND(ISNUMBER('Real results'!C216),ISNUMBER('Real results'!D216),ISNUMBER('Raw data'!BE216),ISNUMBER('Raw data'!BF216)),IF(SIGN('Raw data'!BE216-'Raw data'!BF216)=SIGN('Real results'!C216-'Real results'!D216),3+IF(AND('Raw data'!BE216='Real results'!C216,'Raw data'!BF216='Real results'!D216),2,0),0),0),0)</f>
        <v>0</v>
      </c>
      <c r="BG223" s="34">
        <f>IFERROR(IF(AND(ISNUMBER('Real results'!C216),ISNUMBER('Real results'!D216),ISNUMBER('Raw data'!BG216),ISNUMBER('Raw data'!BH216)),IF(SIGN('Raw data'!BG216-'Raw data'!BH216)=SIGN('Real results'!C216-'Real results'!D216),3+IF(AND('Raw data'!BG216='Real results'!C216,'Raw data'!BH216='Real results'!D216),2,0),0),0),0)</f>
        <v>0</v>
      </c>
      <c r="BI223" s="34">
        <f>IFERROR(IF(AND(ISNUMBER('Real results'!C216),ISNUMBER('Real results'!D216),ISNUMBER('Raw data'!BI216),ISNUMBER('Raw data'!BJ216)),IF(SIGN('Raw data'!BI216-'Raw data'!BJ216)=SIGN('Real results'!C216-'Real results'!D216),3+IF(AND('Raw data'!BI216='Real results'!C216,'Raw data'!BJ216='Real results'!D216),2,0),0),0),0)</f>
        <v>0</v>
      </c>
    </row>
    <row r="224" ht="18.0" customHeight="1">
      <c r="B224" s="12" t="s">
        <v>480</v>
      </c>
      <c r="C224" s="34">
        <v>0.0</v>
      </c>
      <c r="E224" s="34">
        <v>0.0</v>
      </c>
      <c r="G224" s="34">
        <v>0.0</v>
      </c>
      <c r="I224" s="34">
        <v>0.0</v>
      </c>
      <c r="K224" s="34">
        <v>0.0</v>
      </c>
      <c r="M224" s="34">
        <v>0.0</v>
      </c>
      <c r="O224" s="34">
        <v>0.0</v>
      </c>
      <c r="Q224" s="34">
        <v>0.0</v>
      </c>
      <c r="S224" s="34">
        <v>0.0</v>
      </c>
      <c r="U224" s="34">
        <v>0.0</v>
      </c>
      <c r="W224" s="34">
        <v>0.0</v>
      </c>
      <c r="Y224" s="34">
        <v>0.0</v>
      </c>
      <c r="AA224" s="34">
        <v>0.0</v>
      </c>
      <c r="AC224" s="34">
        <v>0.0</v>
      </c>
      <c r="AE224" s="34">
        <v>0.0</v>
      </c>
      <c r="AG224" s="34">
        <v>0.0</v>
      </c>
      <c r="AI224" s="34">
        <v>0.0</v>
      </c>
      <c r="AK224" s="34">
        <v>0.0</v>
      </c>
      <c r="AM224" s="34">
        <v>0.0</v>
      </c>
      <c r="AO224" s="34">
        <v>0.0</v>
      </c>
      <c r="AQ224" s="34">
        <v>0.0</v>
      </c>
      <c r="AS224" s="34">
        <v>0.0</v>
      </c>
      <c r="AU224" s="34">
        <v>0.0</v>
      </c>
      <c r="AW224" s="34">
        <v>0.0</v>
      </c>
      <c r="AY224" s="34">
        <v>0.0</v>
      </c>
      <c r="BA224" s="34">
        <v>0.0</v>
      </c>
      <c r="BC224" s="34">
        <v>0.0</v>
      </c>
      <c r="BE224" s="34">
        <v>0.0</v>
      </c>
      <c r="BG224" s="34">
        <v>0.0</v>
      </c>
      <c r="BI224" s="34">
        <v>0.0</v>
      </c>
    </row>
    <row r="225" ht="18.0" customHeight="1">
      <c r="B225" s="12" t="s">
        <v>481</v>
      </c>
      <c r="C225" s="34">
        <f>IFERROR(IF(AND('Real results'!C218&lt;&gt;"",'Raw data'!C218&lt;&gt;"",UPPER(TRIM('Real results'!C218))=UPPER(TRIM('Raw data'!C218))),6,0),0)</f>
        <v>0</v>
      </c>
      <c r="E225" s="34">
        <f>IFERROR(IF(AND('Real results'!C218&lt;&gt;"",'Raw data'!E218&lt;&gt;"",UPPER(TRIM('Real results'!C218))=UPPER(TRIM('Raw data'!E218))),6,0),0)</f>
        <v>0</v>
      </c>
      <c r="G225" s="34">
        <f>IFERROR(IF(AND('Real results'!C218&lt;&gt;"",'Raw data'!G218&lt;&gt;"",UPPER(TRIM('Real results'!C218))=UPPER(TRIM('Raw data'!G218))),6,0),0)</f>
        <v>0</v>
      </c>
      <c r="I225" s="34">
        <f>IFERROR(IF(AND('Real results'!C218&lt;&gt;"",'Raw data'!I218&lt;&gt;"",UPPER(TRIM('Real results'!C218))=UPPER(TRIM('Raw data'!I218))),6,0),0)</f>
        <v>0</v>
      </c>
      <c r="K225" s="34">
        <f>IFERROR(IF(AND('Real results'!C218&lt;&gt;"",'Raw data'!K218&lt;&gt;"",UPPER(TRIM('Real results'!C218))=UPPER(TRIM('Raw data'!K218))),6,0),0)</f>
        <v>0</v>
      </c>
      <c r="M225" s="34">
        <f>IFERROR(IF(AND('Real results'!C218&lt;&gt;"",'Raw data'!M218&lt;&gt;"",UPPER(TRIM('Real results'!C218))=UPPER(TRIM('Raw data'!M218))),6,0),0)</f>
        <v>0</v>
      </c>
      <c r="O225" s="34">
        <f>IFERROR(IF(AND('Real results'!C218&lt;&gt;"",'Raw data'!O218&lt;&gt;"",UPPER(TRIM('Real results'!C218))=UPPER(TRIM('Raw data'!O218))),6,0),0)</f>
        <v>0</v>
      </c>
      <c r="Q225" s="34">
        <f>IFERROR(IF(AND('Real results'!C218&lt;&gt;"",'Raw data'!Q218&lt;&gt;"",UPPER(TRIM('Real results'!C218))=UPPER(TRIM('Raw data'!Q218))),6,0),0)</f>
        <v>0</v>
      </c>
      <c r="S225" s="34">
        <f>IFERROR(IF(AND('Real results'!C218&lt;&gt;"",'Raw data'!S218&lt;&gt;"",UPPER(TRIM('Real results'!C218))=UPPER(TRIM('Raw data'!S218))),6,0),0)</f>
        <v>0</v>
      </c>
      <c r="U225" s="34">
        <f>IFERROR(IF(AND('Real results'!C218&lt;&gt;"",'Raw data'!U218&lt;&gt;"",UPPER(TRIM('Real results'!C218))=UPPER(TRIM('Raw data'!U218))),6,0),0)</f>
        <v>0</v>
      </c>
      <c r="W225" s="34">
        <f>IFERROR(IF(AND('Real results'!C218&lt;&gt;"",'Raw data'!W218&lt;&gt;"",UPPER(TRIM('Real results'!C218))=UPPER(TRIM('Raw data'!W218))),6,0),0)</f>
        <v>0</v>
      </c>
      <c r="Y225" s="34">
        <f>IFERROR(IF(AND('Real results'!C218&lt;&gt;"",'Raw data'!Y218&lt;&gt;"",UPPER(TRIM('Real results'!C218))=UPPER(TRIM('Raw data'!Y218))),6,0),0)</f>
        <v>0</v>
      </c>
      <c r="AA225" s="34">
        <f>IFERROR(IF(AND('Real results'!C218&lt;&gt;"",'Raw data'!AA218&lt;&gt;"",UPPER(TRIM('Real results'!C218))=UPPER(TRIM('Raw data'!AA218))),6,0),0)</f>
        <v>0</v>
      </c>
      <c r="AC225" s="34">
        <f>IFERROR(IF(AND('Real results'!C218&lt;&gt;"",'Raw data'!AC218&lt;&gt;"",UPPER(TRIM('Real results'!C218))=UPPER(TRIM('Raw data'!AC218))),6,0),0)</f>
        <v>0</v>
      </c>
      <c r="AE225" s="34">
        <f>IFERROR(IF(AND('Real results'!C218&lt;&gt;"",'Raw data'!AE218&lt;&gt;"",UPPER(TRIM('Real results'!C218))=UPPER(TRIM('Raw data'!AE218))),6,0),0)</f>
        <v>0</v>
      </c>
      <c r="AG225" s="34">
        <f>IFERROR(IF(AND('Real results'!C218&lt;&gt;"",'Raw data'!AG218&lt;&gt;"",UPPER(TRIM('Real results'!C218))=UPPER(TRIM('Raw data'!AG218))),6,0),0)</f>
        <v>0</v>
      </c>
      <c r="AI225" s="34">
        <f>IFERROR(IF(AND('Real results'!C218&lt;&gt;"",'Raw data'!AI218&lt;&gt;"",UPPER(TRIM('Real results'!C218))=UPPER(TRIM('Raw data'!AI218))),6,0),0)</f>
        <v>0</v>
      </c>
      <c r="AK225" s="34">
        <f>IFERROR(IF(AND('Real results'!C218&lt;&gt;"",'Raw data'!AK218&lt;&gt;"",UPPER(TRIM('Real results'!C218))=UPPER(TRIM('Raw data'!AK218))),6,0),0)</f>
        <v>0</v>
      </c>
      <c r="AM225" s="34">
        <f>IFERROR(IF(AND('Real results'!C218&lt;&gt;"",'Raw data'!AM218&lt;&gt;"",UPPER(TRIM('Real results'!C218))=UPPER(TRIM('Raw data'!AM218))),6,0),0)</f>
        <v>0</v>
      </c>
      <c r="AO225" s="34">
        <f>IFERROR(IF(AND('Real results'!C218&lt;&gt;"",'Raw data'!AO218&lt;&gt;"",UPPER(TRIM('Real results'!C218))=UPPER(TRIM('Raw data'!AO218))),6,0),0)</f>
        <v>0</v>
      </c>
      <c r="AQ225" s="34">
        <f>IFERROR(IF(AND('Real results'!C218&lt;&gt;"",'Raw data'!AQ218&lt;&gt;"",UPPER(TRIM('Real results'!C218))=UPPER(TRIM('Raw data'!AQ218))),6,0),0)</f>
        <v>0</v>
      </c>
      <c r="AS225" s="34">
        <f>IFERROR(IF(AND('Real results'!C218&lt;&gt;"",'Raw data'!AS218&lt;&gt;"",UPPER(TRIM('Real results'!C218))=UPPER(TRIM('Raw data'!AS218))),6,0),0)</f>
        <v>0</v>
      </c>
      <c r="AU225" s="34">
        <f>IFERROR(IF(AND('Real results'!C218&lt;&gt;"",'Raw data'!AU218&lt;&gt;"",UPPER(TRIM('Real results'!C218))=UPPER(TRIM('Raw data'!AU218))),6,0),0)</f>
        <v>0</v>
      </c>
      <c r="AW225" s="34">
        <f>IFERROR(IF(AND('Real results'!C218&lt;&gt;"",'Raw data'!AW218&lt;&gt;"",UPPER(TRIM('Real results'!C218))=UPPER(TRIM('Raw data'!AW218))),6,0),0)</f>
        <v>0</v>
      </c>
      <c r="AY225" s="34">
        <f>IFERROR(IF(AND('Real results'!C218&lt;&gt;"",'Raw data'!AY218&lt;&gt;"",UPPER(TRIM('Real results'!C218))=UPPER(TRIM('Raw data'!AY218))),6,0),0)</f>
        <v>0</v>
      </c>
      <c r="BA225" s="34">
        <f>IFERROR(IF(AND('Real results'!C218&lt;&gt;"",'Raw data'!BA218&lt;&gt;"",UPPER(TRIM('Real results'!C218))=UPPER(TRIM('Raw data'!BA218))),6,0),0)</f>
        <v>0</v>
      </c>
      <c r="BC225" s="34">
        <f>IFERROR(IF(AND('Real results'!C218&lt;&gt;"",'Raw data'!BC218&lt;&gt;"",UPPER(TRIM('Real results'!C218))=UPPER(TRIM('Raw data'!BC218))),6,0),0)</f>
        <v>0</v>
      </c>
      <c r="BE225" s="34">
        <f>IFERROR(IF(AND('Real results'!C218&lt;&gt;"",'Raw data'!BE218&lt;&gt;"",UPPER(TRIM('Real results'!C218))=UPPER(TRIM('Raw data'!BE218))),6,0),0)</f>
        <v>0</v>
      </c>
      <c r="BG225" s="34">
        <f>IFERROR(IF(AND('Real results'!C218&lt;&gt;"",'Raw data'!BG218&lt;&gt;"",UPPER(TRIM('Real results'!C218))=UPPER(TRIM('Raw data'!BG218))),6,0),0)</f>
        <v>0</v>
      </c>
      <c r="BI225" s="34">
        <f>IFERROR(IF(AND('Real results'!C218&lt;&gt;"",'Raw data'!BI218&lt;&gt;"",UPPER(TRIM('Real results'!C218))=UPPER(TRIM('Raw data'!BI218))),6,0),0)</f>
        <v>0</v>
      </c>
    </row>
    <row r="226" ht="21.75" customHeight="1">
      <c r="B226" s="35" t="s">
        <v>482</v>
      </c>
      <c r="C226" s="36">
        <f>SUM(C220:C225)</f>
        <v>0</v>
      </c>
      <c r="E226" s="36">
        <f>SUM(E220:E225)</f>
        <v>0</v>
      </c>
      <c r="G226" s="36">
        <f>SUM(G220:G225)</f>
        <v>0</v>
      </c>
      <c r="I226" s="36">
        <f>SUM(I220:I225)</f>
        <v>0</v>
      </c>
      <c r="K226" s="36">
        <f>SUM(K220:K225)</f>
        <v>0</v>
      </c>
      <c r="M226" s="36">
        <f>SUM(M220:M225)</f>
        <v>0</v>
      </c>
      <c r="O226" s="36">
        <f>SUM(O220:O225)</f>
        <v>0</v>
      </c>
      <c r="Q226" s="36">
        <f>SUM(Q220:Q225)</f>
        <v>0</v>
      </c>
      <c r="S226" s="36">
        <f>SUM(S220:S225)</f>
        <v>0</v>
      </c>
      <c r="U226" s="36">
        <f>SUM(U220:U225)</f>
        <v>0</v>
      </c>
      <c r="W226" s="36">
        <f>SUM(W220:W225)</f>
        <v>0</v>
      </c>
      <c r="Y226" s="36">
        <f>SUM(Y220:Y225)</f>
        <v>0</v>
      </c>
      <c r="AA226" s="36">
        <f>SUM(AA220:AA225)</f>
        <v>0</v>
      </c>
      <c r="AC226" s="36">
        <f>SUM(AC220:AC225)</f>
        <v>0</v>
      </c>
      <c r="AE226" s="36">
        <f>SUM(AE220:AE225)</f>
        <v>0</v>
      </c>
      <c r="AG226" s="36">
        <f>SUM(AG220:AG225)</f>
        <v>0</v>
      </c>
      <c r="AI226" s="36">
        <f>SUM(AI220:AI225)</f>
        <v>0</v>
      </c>
      <c r="AK226" s="36">
        <f>SUM(AK220:AK225)</f>
        <v>0</v>
      </c>
      <c r="AM226" s="36">
        <f>SUM(AM220:AM225)</f>
        <v>0</v>
      </c>
      <c r="AO226" s="36">
        <f>SUM(AO220:AO225)</f>
        <v>0</v>
      </c>
      <c r="AQ226" s="36">
        <f>SUM(AQ220:AQ225)</f>
        <v>0</v>
      </c>
      <c r="AS226" s="36">
        <f>SUM(AS220:AS225)</f>
        <v>0</v>
      </c>
      <c r="AU226" s="36">
        <f>SUM(AU220:AU225)</f>
        <v>0</v>
      </c>
      <c r="AW226" s="36">
        <f>SUM(AW220:AW225)</f>
        <v>0</v>
      </c>
      <c r="AY226" s="36">
        <f>SUM(AY220:AY225)</f>
        <v>0</v>
      </c>
      <c r="BA226" s="36">
        <f>SUM(BA220:BA225)</f>
        <v>0</v>
      </c>
      <c r="BC226" s="36">
        <f>SUM(BC220:BC225)</f>
        <v>0</v>
      </c>
      <c r="BE226" s="36">
        <f>SUM(BE220:BE225)</f>
        <v>0</v>
      </c>
      <c r="BG226" s="36">
        <f>SUM(BG220:BG225)</f>
        <v>0</v>
      </c>
      <c r="BI226" s="36">
        <f>SUM(BI220:BI225)</f>
        <v>0</v>
      </c>
    </row>
    <row r="227" ht="19.5" customHeight="1">
      <c r="B227" s="33" t="s">
        <v>483</v>
      </c>
      <c r="C227" s="11"/>
      <c r="E227" s="11"/>
      <c r="G227" s="11"/>
      <c r="I227" s="11"/>
      <c r="K227" s="11"/>
      <c r="M227" s="11"/>
      <c r="O227" s="11"/>
      <c r="Q227" s="11"/>
      <c r="S227" s="11"/>
      <c r="U227" s="11"/>
      <c r="W227" s="11"/>
      <c r="Y227" s="11"/>
      <c r="AA227" s="11"/>
      <c r="AC227" s="11"/>
      <c r="AE227" s="11"/>
      <c r="AG227" s="11"/>
      <c r="AI227" s="11"/>
      <c r="AK227" s="11"/>
      <c r="AM227" s="11"/>
      <c r="AO227" s="11"/>
      <c r="AQ227" s="11"/>
      <c r="AS227" s="11"/>
      <c r="AU227" s="11"/>
      <c r="AW227" s="11"/>
      <c r="AY227" s="11"/>
      <c r="BA227" s="11"/>
      <c r="BC227" s="11"/>
      <c r="BE227" s="11"/>
      <c r="BG227" s="11"/>
      <c r="BI227" s="11"/>
    </row>
    <row r="228" ht="18.0" customHeight="1">
      <c r="B228" s="12" t="s">
        <v>246</v>
      </c>
      <c r="C228" s="34">
        <f>IFERROR(IF(AND(ISNUMBER('Real results'!C220),ISNUMBER('Real results'!D220),ISNUMBER('Raw data'!C220),ISNUMBER('Raw data'!D220)),IF(SIGN('Raw data'!C220-'Raw data'!D220)=SIGN('Real results'!C220-'Real results'!D220),3+IF(AND('Raw data'!C220='Real results'!C220,'Raw data'!D220='Real results'!D220),2,0),0),0),0)</f>
        <v>0</v>
      </c>
      <c r="E228" s="34">
        <f>IFERROR(IF(AND(ISNUMBER('Real results'!C220),ISNUMBER('Real results'!D220),ISNUMBER('Raw data'!E220),ISNUMBER('Raw data'!F220)),IF(SIGN('Raw data'!E220-'Raw data'!F220)=SIGN('Real results'!C220-'Real results'!D220),3+IF(AND('Raw data'!E220='Real results'!C220,'Raw data'!F220='Real results'!D220),2,0),0),0),0)</f>
        <v>0</v>
      </c>
      <c r="G228" s="34">
        <f>IFERROR(IF(AND(ISNUMBER('Real results'!C220),ISNUMBER('Real results'!D220),ISNUMBER('Raw data'!G220),ISNUMBER('Raw data'!H220)),IF(SIGN('Raw data'!G220-'Raw data'!H220)=SIGN('Real results'!C220-'Real results'!D220),3+IF(AND('Raw data'!G220='Real results'!C220,'Raw data'!H220='Real results'!D220),2,0),0),0),0)</f>
        <v>0</v>
      </c>
      <c r="I228" s="34">
        <f>IFERROR(IF(AND(ISNUMBER('Real results'!C220),ISNUMBER('Real results'!D220),ISNUMBER('Raw data'!I220),ISNUMBER('Raw data'!J220)),IF(SIGN('Raw data'!I220-'Raw data'!J220)=SIGN('Real results'!C220-'Real results'!D220),3+IF(AND('Raw data'!I220='Real results'!C220,'Raw data'!J220='Real results'!D220),2,0),0),0),0)</f>
        <v>0</v>
      </c>
      <c r="K228" s="34">
        <f>IFERROR(IF(AND(ISNUMBER('Real results'!C220),ISNUMBER('Real results'!D220),ISNUMBER('Raw data'!K220),ISNUMBER('Raw data'!L220)),IF(SIGN('Raw data'!K220-'Raw data'!L220)=SIGN('Real results'!C220-'Real results'!D220),3+IF(AND('Raw data'!K220='Real results'!C220,'Raw data'!L220='Real results'!D220),2,0),0),0),0)</f>
        <v>0</v>
      </c>
      <c r="M228" s="34">
        <f>IFERROR(IF(AND(ISNUMBER('Real results'!C220),ISNUMBER('Real results'!D220),ISNUMBER('Raw data'!M220),ISNUMBER('Raw data'!N220)),IF(SIGN('Raw data'!M220-'Raw data'!N220)=SIGN('Real results'!C220-'Real results'!D220),3+IF(AND('Raw data'!M220='Real results'!C220,'Raw data'!N220='Real results'!D220),2,0),0),0),0)</f>
        <v>0</v>
      </c>
      <c r="O228" s="34">
        <f>IFERROR(IF(AND(ISNUMBER('Real results'!C220),ISNUMBER('Real results'!D220),ISNUMBER('Raw data'!O220),ISNUMBER('Raw data'!P220)),IF(SIGN('Raw data'!O220-'Raw data'!P220)=SIGN('Real results'!C220-'Real results'!D220),3+IF(AND('Raw data'!O220='Real results'!C220,'Raw data'!P220='Real results'!D220),2,0),0),0),0)</f>
        <v>0</v>
      </c>
      <c r="Q228" s="34">
        <f>IFERROR(IF(AND(ISNUMBER('Real results'!C220),ISNUMBER('Real results'!D220),ISNUMBER('Raw data'!Q220),ISNUMBER('Raw data'!R220)),IF(SIGN('Raw data'!Q220-'Raw data'!R220)=SIGN('Real results'!C220-'Real results'!D220),3+IF(AND('Raw data'!Q220='Real results'!C220,'Raw data'!R220='Real results'!D220),2,0),0),0),0)</f>
        <v>0</v>
      </c>
      <c r="S228" s="34">
        <f>IFERROR(IF(AND(ISNUMBER('Real results'!C220),ISNUMBER('Real results'!D220),ISNUMBER('Raw data'!S220),ISNUMBER('Raw data'!T220)),IF(SIGN('Raw data'!S220-'Raw data'!T220)=SIGN('Real results'!C220-'Real results'!D220),3+IF(AND('Raw data'!S220='Real results'!C220,'Raw data'!T220='Real results'!D220),2,0),0),0),0)</f>
        <v>0</v>
      </c>
      <c r="U228" s="34">
        <f>IFERROR(IF(AND(ISNUMBER('Real results'!C220),ISNUMBER('Real results'!D220),ISNUMBER('Raw data'!U220),ISNUMBER('Raw data'!V220)),IF(SIGN('Raw data'!U220-'Raw data'!V220)=SIGN('Real results'!C220-'Real results'!D220),3+IF(AND('Raw data'!U220='Real results'!C220,'Raw data'!V220='Real results'!D220),2,0),0),0),0)</f>
        <v>0</v>
      </c>
      <c r="W228" s="34">
        <f>IFERROR(IF(AND(ISNUMBER('Real results'!C220),ISNUMBER('Real results'!D220),ISNUMBER('Raw data'!W220),ISNUMBER('Raw data'!X220)),IF(SIGN('Raw data'!W220-'Raw data'!X220)=SIGN('Real results'!C220-'Real results'!D220),3+IF(AND('Raw data'!W220='Real results'!C220,'Raw data'!X220='Real results'!D220),2,0),0),0),0)</f>
        <v>0</v>
      </c>
      <c r="Y228" s="34">
        <f>IFERROR(IF(AND(ISNUMBER('Real results'!C220),ISNUMBER('Real results'!D220),ISNUMBER('Raw data'!Y220),ISNUMBER('Raw data'!Z220)),IF(SIGN('Raw data'!Y220-'Raw data'!Z220)=SIGN('Real results'!C220-'Real results'!D220),3+IF(AND('Raw data'!Y220='Real results'!C220,'Raw data'!Z220='Real results'!D220),2,0),0),0),0)</f>
        <v>0</v>
      </c>
      <c r="AA228" s="34">
        <f>IFERROR(IF(AND(ISNUMBER('Real results'!C220),ISNUMBER('Real results'!D220),ISNUMBER('Raw data'!AA220),ISNUMBER('Raw data'!AB220)),IF(SIGN('Raw data'!AA220-'Raw data'!AB220)=SIGN('Real results'!C220-'Real results'!D220),3+IF(AND('Raw data'!AA220='Real results'!C220,'Raw data'!AB220='Real results'!D220),2,0),0),0),0)</f>
        <v>0</v>
      </c>
      <c r="AC228" s="34">
        <f>IFERROR(IF(AND(ISNUMBER('Real results'!C220),ISNUMBER('Real results'!D220),ISNUMBER('Raw data'!AC220),ISNUMBER('Raw data'!AD220)),IF(SIGN('Raw data'!AC220-'Raw data'!AD220)=SIGN('Real results'!C220-'Real results'!D220),3+IF(AND('Raw data'!AC220='Real results'!C220,'Raw data'!AD220='Real results'!D220),2,0),0),0),0)</f>
        <v>0</v>
      </c>
      <c r="AE228" s="34">
        <f>IFERROR(IF(AND(ISNUMBER('Real results'!C220),ISNUMBER('Real results'!D220),ISNUMBER('Raw data'!AE220),ISNUMBER('Raw data'!AF220)),IF(SIGN('Raw data'!AE220-'Raw data'!AF220)=SIGN('Real results'!C220-'Real results'!D220),3+IF(AND('Raw data'!AE220='Real results'!C220,'Raw data'!AF220='Real results'!D220),2,0),0),0),0)</f>
        <v>0</v>
      </c>
      <c r="AG228" s="34">
        <f>IFERROR(IF(AND(ISNUMBER('Real results'!C220),ISNUMBER('Real results'!D220),ISNUMBER('Raw data'!AG220),ISNUMBER('Raw data'!AH220)),IF(SIGN('Raw data'!AG220-'Raw data'!AH220)=SIGN('Real results'!C220-'Real results'!D220),3+IF(AND('Raw data'!AG220='Real results'!C220,'Raw data'!AH220='Real results'!D220),2,0),0),0),0)</f>
        <v>0</v>
      </c>
      <c r="AI228" s="34">
        <f>IFERROR(IF(AND(ISNUMBER('Real results'!C220),ISNUMBER('Real results'!D220),ISNUMBER('Raw data'!AI220),ISNUMBER('Raw data'!AJ220)),IF(SIGN('Raw data'!AI220-'Raw data'!AJ220)=SIGN('Real results'!C220-'Real results'!D220),3+IF(AND('Raw data'!AI220='Real results'!C220,'Raw data'!AJ220='Real results'!D220),2,0),0),0),0)</f>
        <v>0</v>
      </c>
      <c r="AK228" s="34">
        <f>IFERROR(IF(AND(ISNUMBER('Real results'!C220),ISNUMBER('Real results'!D220),ISNUMBER('Raw data'!AK220),ISNUMBER('Raw data'!AL220)),IF(SIGN('Raw data'!AK220-'Raw data'!AL220)=SIGN('Real results'!C220-'Real results'!D220),3+IF(AND('Raw data'!AK220='Real results'!C220,'Raw data'!AL220='Real results'!D220),2,0),0),0),0)</f>
        <v>0</v>
      </c>
      <c r="AM228" s="34">
        <f>IFERROR(IF(AND(ISNUMBER('Real results'!C220),ISNUMBER('Real results'!D220),ISNUMBER('Raw data'!AM220),ISNUMBER('Raw data'!AN220)),IF(SIGN('Raw data'!AM220-'Raw data'!AN220)=SIGN('Real results'!C220-'Real results'!D220),3+IF(AND('Raw data'!AM220='Real results'!C220,'Raw data'!AN220='Real results'!D220),2,0),0),0),0)</f>
        <v>0</v>
      </c>
      <c r="AO228" s="34">
        <f>IFERROR(IF(AND(ISNUMBER('Real results'!C220),ISNUMBER('Real results'!D220),ISNUMBER('Raw data'!AO220),ISNUMBER('Raw data'!AP220)),IF(SIGN('Raw data'!AO220-'Raw data'!AP220)=SIGN('Real results'!C220-'Real results'!D220),3+IF(AND('Raw data'!AO220='Real results'!C220,'Raw data'!AP220='Real results'!D220),2,0),0),0),0)</f>
        <v>0</v>
      </c>
      <c r="AQ228" s="34">
        <f>IFERROR(IF(AND(ISNUMBER('Real results'!C220),ISNUMBER('Real results'!D220),ISNUMBER('Raw data'!AQ220),ISNUMBER('Raw data'!AR220)),IF(SIGN('Raw data'!AQ220-'Raw data'!AR220)=SIGN('Real results'!C220-'Real results'!D220),3+IF(AND('Raw data'!AQ220='Real results'!C220,'Raw data'!AR220='Real results'!D220),2,0),0),0),0)</f>
        <v>0</v>
      </c>
      <c r="AS228" s="34">
        <f>IFERROR(IF(AND(ISNUMBER('Real results'!C220),ISNUMBER('Real results'!D220),ISNUMBER('Raw data'!AS220),ISNUMBER('Raw data'!AT220)),IF(SIGN('Raw data'!AS220-'Raw data'!AT220)=SIGN('Real results'!C220-'Real results'!D220),3+IF(AND('Raw data'!AS220='Real results'!C220,'Raw data'!AT220='Real results'!D220),2,0),0),0),0)</f>
        <v>0</v>
      </c>
      <c r="AU228" s="34">
        <f>IFERROR(IF(AND(ISNUMBER('Real results'!C220),ISNUMBER('Real results'!D220),ISNUMBER('Raw data'!AU220),ISNUMBER('Raw data'!AV220)),IF(SIGN('Raw data'!AU220-'Raw data'!AV220)=SIGN('Real results'!C220-'Real results'!D220),3+IF(AND('Raw data'!AU220='Real results'!C220,'Raw data'!AV220='Real results'!D220),2,0),0),0),0)</f>
        <v>0</v>
      </c>
      <c r="AW228" s="34">
        <f>IFERROR(IF(AND(ISNUMBER('Real results'!C220),ISNUMBER('Real results'!D220),ISNUMBER('Raw data'!AW220),ISNUMBER('Raw data'!AX220)),IF(SIGN('Raw data'!AW220-'Raw data'!AX220)=SIGN('Real results'!C220-'Real results'!D220),3+IF(AND('Raw data'!AW220='Real results'!C220,'Raw data'!AX220='Real results'!D220),2,0),0),0),0)</f>
        <v>0</v>
      </c>
      <c r="AY228" s="34">
        <f>IFERROR(IF(AND(ISNUMBER('Real results'!C220),ISNUMBER('Real results'!D220),ISNUMBER('Raw data'!AY220),ISNUMBER('Raw data'!AZ220)),IF(SIGN('Raw data'!AY220-'Raw data'!AZ220)=SIGN('Real results'!C220-'Real results'!D220),3+IF(AND('Raw data'!AY220='Real results'!C220,'Raw data'!AZ220='Real results'!D220),2,0),0),0),0)</f>
        <v>0</v>
      </c>
      <c r="BA228" s="34">
        <f>IFERROR(IF(AND(ISNUMBER('Real results'!C220),ISNUMBER('Real results'!D220),ISNUMBER('Raw data'!BA220),ISNUMBER('Raw data'!BB220)),IF(SIGN('Raw data'!BA220-'Raw data'!BB220)=SIGN('Real results'!C220-'Real results'!D220),3+IF(AND('Raw data'!BA220='Real results'!C220,'Raw data'!BB220='Real results'!D220),2,0),0),0),0)</f>
        <v>0</v>
      </c>
      <c r="BC228" s="34">
        <f>IFERROR(IF(AND(ISNUMBER('Real results'!C220),ISNUMBER('Real results'!D220),ISNUMBER('Raw data'!BC220),ISNUMBER('Raw data'!BD220)),IF(SIGN('Raw data'!BC220-'Raw data'!BD220)=SIGN('Real results'!C220-'Real results'!D220),3+IF(AND('Raw data'!BC220='Real results'!C220,'Raw data'!BD220='Real results'!D220),2,0),0),0),0)</f>
        <v>0</v>
      </c>
      <c r="BE228" s="34">
        <f>IFERROR(IF(AND(ISNUMBER('Real results'!C220),ISNUMBER('Real results'!D220),ISNUMBER('Raw data'!BE220),ISNUMBER('Raw data'!BF220)),IF(SIGN('Raw data'!BE220-'Raw data'!BF220)=SIGN('Real results'!C220-'Real results'!D220),3+IF(AND('Raw data'!BE220='Real results'!C220,'Raw data'!BF220='Real results'!D220),2,0),0),0),0)</f>
        <v>0</v>
      </c>
      <c r="BG228" s="34">
        <f>IFERROR(IF(AND(ISNUMBER('Real results'!C220),ISNUMBER('Real results'!D220),ISNUMBER('Raw data'!BG220),ISNUMBER('Raw data'!BH220)),IF(SIGN('Raw data'!BG220-'Raw data'!BH220)=SIGN('Real results'!C220-'Real results'!D220),3+IF(AND('Raw data'!BG220='Real results'!C220,'Raw data'!BH220='Real results'!D220),2,0),0),0),0)</f>
        <v>0</v>
      </c>
      <c r="BI228" s="34">
        <f>IFERROR(IF(AND(ISNUMBER('Real results'!C220),ISNUMBER('Real results'!D220),ISNUMBER('Raw data'!BI220),ISNUMBER('Raw data'!BJ220)),IF(SIGN('Raw data'!BI220-'Raw data'!BJ220)=SIGN('Real results'!C220-'Real results'!D220),3+IF(AND('Raw data'!BI220='Real results'!C220,'Raw data'!BJ220='Real results'!D220),2,0),0),0),0)</f>
        <v>0</v>
      </c>
    </row>
    <row r="229" ht="18.0" customHeight="1">
      <c r="B229" s="12" t="s">
        <v>247</v>
      </c>
      <c r="C229" s="34">
        <v>0.0</v>
      </c>
      <c r="E229" s="34">
        <v>0.0</v>
      </c>
      <c r="G229" s="34">
        <v>0.0</v>
      </c>
      <c r="I229" s="34">
        <v>0.0</v>
      </c>
      <c r="K229" s="34">
        <v>0.0</v>
      </c>
      <c r="M229" s="34">
        <v>0.0</v>
      </c>
      <c r="O229" s="34">
        <v>0.0</v>
      </c>
      <c r="Q229" s="34">
        <v>0.0</v>
      </c>
      <c r="S229" s="34">
        <v>0.0</v>
      </c>
      <c r="U229" s="34">
        <v>0.0</v>
      </c>
      <c r="W229" s="34">
        <v>0.0</v>
      </c>
      <c r="Y229" s="34">
        <v>0.0</v>
      </c>
      <c r="AA229" s="34">
        <v>0.0</v>
      </c>
      <c r="AC229" s="34">
        <v>0.0</v>
      </c>
      <c r="AE229" s="34">
        <v>0.0</v>
      </c>
      <c r="AG229" s="34">
        <v>0.0</v>
      </c>
      <c r="AI229" s="34">
        <v>0.0</v>
      </c>
      <c r="AK229" s="34">
        <v>0.0</v>
      </c>
      <c r="AM229" s="34">
        <v>0.0</v>
      </c>
      <c r="AO229" s="34">
        <v>0.0</v>
      </c>
      <c r="AQ229" s="34">
        <v>0.0</v>
      </c>
      <c r="AS229" s="34">
        <v>0.0</v>
      </c>
      <c r="AU229" s="34">
        <v>0.0</v>
      </c>
      <c r="AW229" s="34">
        <v>0.0</v>
      </c>
      <c r="AY229" s="34">
        <v>0.0</v>
      </c>
      <c r="BA229" s="34">
        <v>0.0</v>
      </c>
      <c r="BC229" s="34">
        <v>0.0</v>
      </c>
      <c r="BE229" s="34">
        <v>0.0</v>
      </c>
      <c r="BG229" s="34">
        <v>0.0</v>
      </c>
      <c r="BI229" s="34">
        <v>0.0</v>
      </c>
    </row>
    <row r="230" ht="18.0" customHeight="1">
      <c r="B230" s="12" t="s">
        <v>248</v>
      </c>
      <c r="C230" s="34">
        <f>IFERROR(IF(AND('Real results'!C222&lt;&gt;"",'Raw data'!C222&lt;&gt;"",UPPER(TRIM('Real results'!C222))=UPPER(TRIM('Raw data'!C222))),4,0),0)</f>
        <v>0</v>
      </c>
      <c r="E230" s="34">
        <f>IFERROR(IF(AND('Real results'!C222&lt;&gt;"",'Raw data'!E222&lt;&gt;"",UPPER(TRIM('Real results'!C222))=UPPER(TRIM('Raw data'!E222))),4,0),0)</f>
        <v>0</v>
      </c>
      <c r="G230" s="34">
        <f>IFERROR(IF(AND('Real results'!C222&lt;&gt;"",'Raw data'!G222&lt;&gt;"",UPPER(TRIM('Real results'!C222))=UPPER(TRIM('Raw data'!G222))),4,0),0)</f>
        <v>0</v>
      </c>
      <c r="I230" s="34">
        <f>IFERROR(IF(AND('Real results'!C222&lt;&gt;"",'Raw data'!I222&lt;&gt;"",UPPER(TRIM('Real results'!C222))=UPPER(TRIM('Raw data'!I222))),4,0),0)</f>
        <v>0</v>
      </c>
      <c r="K230" s="34">
        <f>IFERROR(IF(AND('Real results'!C222&lt;&gt;"",'Raw data'!K222&lt;&gt;"",UPPER(TRIM('Real results'!C222))=UPPER(TRIM('Raw data'!K222))),4,0),0)</f>
        <v>0</v>
      </c>
      <c r="M230" s="34">
        <f>IFERROR(IF(AND('Real results'!C222&lt;&gt;"",'Raw data'!M222&lt;&gt;"",UPPER(TRIM('Real results'!C222))=UPPER(TRIM('Raw data'!M222))),4,0),0)</f>
        <v>0</v>
      </c>
      <c r="O230" s="34">
        <f>IFERROR(IF(AND('Real results'!C222&lt;&gt;"",'Raw data'!O222&lt;&gt;"",UPPER(TRIM('Real results'!C222))=UPPER(TRIM('Raw data'!O222))),4,0),0)</f>
        <v>0</v>
      </c>
      <c r="Q230" s="34">
        <f>IFERROR(IF(AND('Real results'!C222&lt;&gt;"",'Raw data'!Q222&lt;&gt;"",UPPER(TRIM('Real results'!C222))=UPPER(TRIM('Raw data'!Q222))),4,0),0)</f>
        <v>0</v>
      </c>
      <c r="S230" s="34">
        <f>IFERROR(IF(AND('Real results'!C222&lt;&gt;"",'Raw data'!S222&lt;&gt;"",UPPER(TRIM('Real results'!C222))=UPPER(TRIM('Raw data'!S222))),4,0),0)</f>
        <v>0</v>
      </c>
      <c r="U230" s="34">
        <f>IFERROR(IF(AND('Real results'!C222&lt;&gt;"",'Raw data'!U222&lt;&gt;"",UPPER(TRIM('Real results'!C222))=UPPER(TRIM('Raw data'!U222))),4,0),0)</f>
        <v>0</v>
      </c>
      <c r="W230" s="34">
        <f>IFERROR(IF(AND('Real results'!C222&lt;&gt;"",'Raw data'!W222&lt;&gt;"",UPPER(TRIM('Real results'!C222))=UPPER(TRIM('Raw data'!W222))),4,0),0)</f>
        <v>0</v>
      </c>
      <c r="Y230" s="34">
        <f>IFERROR(IF(AND('Real results'!C222&lt;&gt;"",'Raw data'!Y222&lt;&gt;"",UPPER(TRIM('Real results'!C222))=UPPER(TRIM('Raw data'!Y222))),4,0),0)</f>
        <v>0</v>
      </c>
      <c r="AA230" s="34">
        <f>IFERROR(IF(AND('Real results'!C222&lt;&gt;"",'Raw data'!AA222&lt;&gt;"",UPPER(TRIM('Real results'!C222))=UPPER(TRIM('Raw data'!AA222))),4,0),0)</f>
        <v>0</v>
      </c>
      <c r="AC230" s="34">
        <f>IFERROR(IF(AND('Real results'!C222&lt;&gt;"",'Raw data'!AC222&lt;&gt;"",UPPER(TRIM('Real results'!C222))=UPPER(TRIM('Raw data'!AC222))),4,0),0)</f>
        <v>0</v>
      </c>
      <c r="AE230" s="34">
        <f>IFERROR(IF(AND('Real results'!C222&lt;&gt;"",'Raw data'!AE222&lt;&gt;"",UPPER(TRIM('Real results'!C222))=UPPER(TRIM('Raw data'!AE222))),4,0),0)</f>
        <v>0</v>
      </c>
      <c r="AG230" s="34">
        <f>IFERROR(IF(AND('Real results'!C222&lt;&gt;"",'Raw data'!AG222&lt;&gt;"",UPPER(TRIM('Real results'!C222))=UPPER(TRIM('Raw data'!AG222))),4,0),0)</f>
        <v>0</v>
      </c>
      <c r="AI230" s="34">
        <f>IFERROR(IF(AND('Real results'!C222&lt;&gt;"",'Raw data'!AI222&lt;&gt;"",UPPER(TRIM('Real results'!C222))=UPPER(TRIM('Raw data'!AI222))),4,0),0)</f>
        <v>0</v>
      </c>
      <c r="AK230" s="34">
        <f>IFERROR(IF(AND('Real results'!C222&lt;&gt;"",'Raw data'!AK222&lt;&gt;"",UPPER(TRIM('Real results'!C222))=UPPER(TRIM('Raw data'!AK222))),4,0),0)</f>
        <v>0</v>
      </c>
      <c r="AM230" s="34">
        <f>IFERROR(IF(AND('Real results'!C222&lt;&gt;"",'Raw data'!AM222&lt;&gt;"",UPPER(TRIM('Real results'!C222))=UPPER(TRIM('Raw data'!AM222))),4,0),0)</f>
        <v>0</v>
      </c>
      <c r="AO230" s="34">
        <f>IFERROR(IF(AND('Real results'!C222&lt;&gt;"",'Raw data'!AO222&lt;&gt;"",UPPER(TRIM('Real results'!C222))=UPPER(TRIM('Raw data'!AO222))),4,0),0)</f>
        <v>0</v>
      </c>
      <c r="AQ230" s="34">
        <f>IFERROR(IF(AND('Real results'!C222&lt;&gt;"",'Raw data'!AQ222&lt;&gt;"",UPPER(TRIM('Real results'!C222))=UPPER(TRIM('Raw data'!AQ222))),4,0),0)</f>
        <v>0</v>
      </c>
      <c r="AS230" s="34">
        <f>IFERROR(IF(AND('Real results'!C222&lt;&gt;"",'Raw data'!AS222&lt;&gt;"",UPPER(TRIM('Real results'!C222))=UPPER(TRIM('Raw data'!AS222))),4,0),0)</f>
        <v>0</v>
      </c>
      <c r="AU230" s="34">
        <f>IFERROR(IF(AND('Real results'!C222&lt;&gt;"",'Raw data'!AU222&lt;&gt;"",UPPER(TRIM('Real results'!C222))=UPPER(TRIM('Raw data'!AU222))),4,0),0)</f>
        <v>0</v>
      </c>
      <c r="AW230" s="34">
        <f>IFERROR(IF(AND('Real results'!C222&lt;&gt;"",'Raw data'!AW222&lt;&gt;"",UPPER(TRIM('Real results'!C222))=UPPER(TRIM('Raw data'!AW222))),4,0),0)</f>
        <v>0</v>
      </c>
      <c r="AY230" s="34">
        <f>IFERROR(IF(AND('Real results'!C222&lt;&gt;"",'Raw data'!AY222&lt;&gt;"",UPPER(TRIM('Real results'!C222))=UPPER(TRIM('Raw data'!AY222))),4,0),0)</f>
        <v>0</v>
      </c>
      <c r="BA230" s="34">
        <f>IFERROR(IF(AND('Real results'!C222&lt;&gt;"",'Raw data'!BA222&lt;&gt;"",UPPER(TRIM('Real results'!C222))=UPPER(TRIM('Raw data'!BA222))),4,0),0)</f>
        <v>0</v>
      </c>
      <c r="BC230" s="34">
        <f>IFERROR(IF(AND('Real results'!C222&lt;&gt;"",'Raw data'!BC222&lt;&gt;"",UPPER(TRIM('Real results'!C222))=UPPER(TRIM('Raw data'!BC222))),4,0),0)</f>
        <v>0</v>
      </c>
      <c r="BE230" s="34">
        <f>IFERROR(IF(AND('Real results'!C222&lt;&gt;"",'Raw data'!BE222&lt;&gt;"",UPPER(TRIM('Real results'!C222))=UPPER(TRIM('Raw data'!BE222))),4,0),0)</f>
        <v>0</v>
      </c>
      <c r="BG230" s="34">
        <f>IFERROR(IF(AND('Real results'!C222&lt;&gt;"",'Raw data'!BG222&lt;&gt;"",UPPER(TRIM('Real results'!C222))=UPPER(TRIM('Raw data'!BG222))),4,0),0)</f>
        <v>0</v>
      </c>
      <c r="BI230" s="34">
        <f>IFERROR(IF(AND('Real results'!C222&lt;&gt;"",'Raw data'!BI222&lt;&gt;"",UPPER(TRIM('Real results'!C222))=UPPER(TRIM('Raw data'!BI222))),4,0),0)</f>
        <v>0</v>
      </c>
    </row>
    <row r="231" ht="18.0" customHeight="1">
      <c r="B231" s="12" t="s">
        <v>249</v>
      </c>
      <c r="C231" s="34">
        <f>IFERROR(IF(AND(ISNUMBER('Real results'!C223),ISNUMBER('Real results'!D223),ISNUMBER('Raw data'!C223),ISNUMBER('Raw data'!D223)),IF(SIGN('Raw data'!C223-'Raw data'!D223)=SIGN('Real results'!C223-'Real results'!D223),3+IF(AND('Raw data'!C223='Real results'!C223,'Raw data'!D223='Real results'!D223),2,0),0),0),0)</f>
        <v>0</v>
      </c>
      <c r="E231" s="34">
        <f>IFERROR(IF(AND(ISNUMBER('Real results'!C223),ISNUMBER('Real results'!D223),ISNUMBER('Raw data'!E223),ISNUMBER('Raw data'!F223)),IF(SIGN('Raw data'!E223-'Raw data'!F223)=SIGN('Real results'!C223-'Real results'!D223),3+IF(AND('Raw data'!E223='Real results'!C223,'Raw data'!F223='Real results'!D223),2,0),0),0),0)</f>
        <v>0</v>
      </c>
      <c r="G231" s="34">
        <f>IFERROR(IF(AND(ISNUMBER('Real results'!C223),ISNUMBER('Real results'!D223),ISNUMBER('Raw data'!G223),ISNUMBER('Raw data'!H223)),IF(SIGN('Raw data'!G223-'Raw data'!H223)=SIGN('Real results'!C223-'Real results'!D223),3+IF(AND('Raw data'!G223='Real results'!C223,'Raw data'!H223='Real results'!D223),2,0),0),0),0)</f>
        <v>0</v>
      </c>
      <c r="I231" s="34">
        <f>IFERROR(IF(AND(ISNUMBER('Real results'!C223),ISNUMBER('Real results'!D223),ISNUMBER('Raw data'!I223),ISNUMBER('Raw data'!J223)),IF(SIGN('Raw data'!I223-'Raw data'!J223)=SIGN('Real results'!C223-'Real results'!D223),3+IF(AND('Raw data'!I223='Real results'!C223,'Raw data'!J223='Real results'!D223),2,0),0),0),0)</f>
        <v>0</v>
      </c>
      <c r="K231" s="34">
        <f>IFERROR(IF(AND(ISNUMBER('Real results'!C223),ISNUMBER('Real results'!D223),ISNUMBER('Raw data'!K223),ISNUMBER('Raw data'!L223)),IF(SIGN('Raw data'!K223-'Raw data'!L223)=SIGN('Real results'!C223-'Real results'!D223),3+IF(AND('Raw data'!K223='Real results'!C223,'Raw data'!L223='Real results'!D223),2,0),0),0),0)</f>
        <v>0</v>
      </c>
      <c r="M231" s="34">
        <f>IFERROR(IF(AND(ISNUMBER('Real results'!C223),ISNUMBER('Real results'!D223),ISNUMBER('Raw data'!M223),ISNUMBER('Raw data'!N223)),IF(SIGN('Raw data'!M223-'Raw data'!N223)=SIGN('Real results'!C223-'Real results'!D223),3+IF(AND('Raw data'!M223='Real results'!C223,'Raw data'!N223='Real results'!D223),2,0),0),0),0)</f>
        <v>0</v>
      </c>
      <c r="O231" s="34">
        <f>IFERROR(IF(AND(ISNUMBER('Real results'!C223),ISNUMBER('Real results'!D223),ISNUMBER('Raw data'!O223),ISNUMBER('Raw data'!P223)),IF(SIGN('Raw data'!O223-'Raw data'!P223)=SIGN('Real results'!C223-'Real results'!D223),3+IF(AND('Raw data'!O223='Real results'!C223,'Raw data'!P223='Real results'!D223),2,0),0),0),0)</f>
        <v>0</v>
      </c>
      <c r="Q231" s="34">
        <f>IFERROR(IF(AND(ISNUMBER('Real results'!C223),ISNUMBER('Real results'!D223),ISNUMBER('Raw data'!Q223),ISNUMBER('Raw data'!R223)),IF(SIGN('Raw data'!Q223-'Raw data'!R223)=SIGN('Real results'!C223-'Real results'!D223),3+IF(AND('Raw data'!Q223='Real results'!C223,'Raw data'!R223='Real results'!D223),2,0),0),0),0)</f>
        <v>0</v>
      </c>
      <c r="S231" s="34">
        <f>IFERROR(IF(AND(ISNUMBER('Real results'!C223),ISNUMBER('Real results'!D223),ISNUMBER('Raw data'!S223),ISNUMBER('Raw data'!T223)),IF(SIGN('Raw data'!S223-'Raw data'!T223)=SIGN('Real results'!C223-'Real results'!D223),3+IF(AND('Raw data'!S223='Real results'!C223,'Raw data'!T223='Real results'!D223),2,0),0),0),0)</f>
        <v>0</v>
      </c>
      <c r="U231" s="34">
        <f>IFERROR(IF(AND(ISNUMBER('Real results'!C223),ISNUMBER('Real results'!D223),ISNUMBER('Raw data'!U223),ISNUMBER('Raw data'!V223)),IF(SIGN('Raw data'!U223-'Raw data'!V223)=SIGN('Real results'!C223-'Real results'!D223),3+IF(AND('Raw data'!U223='Real results'!C223,'Raw data'!V223='Real results'!D223),2,0),0),0),0)</f>
        <v>0</v>
      </c>
      <c r="W231" s="34">
        <f>IFERROR(IF(AND(ISNUMBER('Real results'!C223),ISNUMBER('Real results'!D223),ISNUMBER('Raw data'!W223),ISNUMBER('Raw data'!X223)),IF(SIGN('Raw data'!W223-'Raw data'!X223)=SIGN('Real results'!C223-'Real results'!D223),3+IF(AND('Raw data'!W223='Real results'!C223,'Raw data'!X223='Real results'!D223),2,0),0),0),0)</f>
        <v>0</v>
      </c>
      <c r="Y231" s="34">
        <f>IFERROR(IF(AND(ISNUMBER('Real results'!C223),ISNUMBER('Real results'!D223),ISNUMBER('Raw data'!Y223),ISNUMBER('Raw data'!Z223)),IF(SIGN('Raw data'!Y223-'Raw data'!Z223)=SIGN('Real results'!C223-'Real results'!D223),3+IF(AND('Raw data'!Y223='Real results'!C223,'Raw data'!Z223='Real results'!D223),2,0),0),0),0)</f>
        <v>0</v>
      </c>
      <c r="AA231" s="34">
        <f>IFERROR(IF(AND(ISNUMBER('Real results'!C223),ISNUMBER('Real results'!D223),ISNUMBER('Raw data'!AA223),ISNUMBER('Raw data'!AB223)),IF(SIGN('Raw data'!AA223-'Raw data'!AB223)=SIGN('Real results'!C223-'Real results'!D223),3+IF(AND('Raw data'!AA223='Real results'!C223,'Raw data'!AB223='Real results'!D223),2,0),0),0),0)</f>
        <v>0</v>
      </c>
      <c r="AC231" s="34">
        <f>IFERROR(IF(AND(ISNUMBER('Real results'!C223),ISNUMBER('Real results'!D223),ISNUMBER('Raw data'!AC223),ISNUMBER('Raw data'!AD223)),IF(SIGN('Raw data'!AC223-'Raw data'!AD223)=SIGN('Real results'!C223-'Real results'!D223),3+IF(AND('Raw data'!AC223='Real results'!C223,'Raw data'!AD223='Real results'!D223),2,0),0),0),0)</f>
        <v>0</v>
      </c>
      <c r="AE231" s="34">
        <f>IFERROR(IF(AND(ISNUMBER('Real results'!C223),ISNUMBER('Real results'!D223),ISNUMBER('Raw data'!AE223),ISNUMBER('Raw data'!AF223)),IF(SIGN('Raw data'!AE223-'Raw data'!AF223)=SIGN('Real results'!C223-'Real results'!D223),3+IF(AND('Raw data'!AE223='Real results'!C223,'Raw data'!AF223='Real results'!D223),2,0),0),0),0)</f>
        <v>0</v>
      </c>
      <c r="AG231" s="34">
        <f>IFERROR(IF(AND(ISNUMBER('Real results'!C223),ISNUMBER('Real results'!D223),ISNUMBER('Raw data'!AG223),ISNUMBER('Raw data'!AH223)),IF(SIGN('Raw data'!AG223-'Raw data'!AH223)=SIGN('Real results'!C223-'Real results'!D223),3+IF(AND('Raw data'!AG223='Real results'!C223,'Raw data'!AH223='Real results'!D223),2,0),0),0),0)</f>
        <v>0</v>
      </c>
      <c r="AI231" s="34">
        <f>IFERROR(IF(AND(ISNUMBER('Real results'!C223),ISNUMBER('Real results'!D223),ISNUMBER('Raw data'!AI223),ISNUMBER('Raw data'!AJ223)),IF(SIGN('Raw data'!AI223-'Raw data'!AJ223)=SIGN('Real results'!C223-'Real results'!D223),3+IF(AND('Raw data'!AI223='Real results'!C223,'Raw data'!AJ223='Real results'!D223),2,0),0),0),0)</f>
        <v>0</v>
      </c>
      <c r="AK231" s="34">
        <f>IFERROR(IF(AND(ISNUMBER('Real results'!C223),ISNUMBER('Real results'!D223),ISNUMBER('Raw data'!AK223),ISNUMBER('Raw data'!AL223)),IF(SIGN('Raw data'!AK223-'Raw data'!AL223)=SIGN('Real results'!C223-'Real results'!D223),3+IF(AND('Raw data'!AK223='Real results'!C223,'Raw data'!AL223='Real results'!D223),2,0),0),0),0)</f>
        <v>0</v>
      </c>
      <c r="AM231" s="34">
        <f>IFERROR(IF(AND(ISNUMBER('Real results'!C223),ISNUMBER('Real results'!D223),ISNUMBER('Raw data'!AM223),ISNUMBER('Raw data'!AN223)),IF(SIGN('Raw data'!AM223-'Raw data'!AN223)=SIGN('Real results'!C223-'Real results'!D223),3+IF(AND('Raw data'!AM223='Real results'!C223,'Raw data'!AN223='Real results'!D223),2,0),0),0),0)</f>
        <v>0</v>
      </c>
      <c r="AO231" s="34">
        <f>IFERROR(IF(AND(ISNUMBER('Real results'!C223),ISNUMBER('Real results'!D223),ISNUMBER('Raw data'!AO223),ISNUMBER('Raw data'!AP223)),IF(SIGN('Raw data'!AO223-'Raw data'!AP223)=SIGN('Real results'!C223-'Real results'!D223),3+IF(AND('Raw data'!AO223='Real results'!C223,'Raw data'!AP223='Real results'!D223),2,0),0),0),0)</f>
        <v>0</v>
      </c>
      <c r="AQ231" s="34">
        <f>IFERROR(IF(AND(ISNUMBER('Real results'!C223),ISNUMBER('Real results'!D223),ISNUMBER('Raw data'!AQ223),ISNUMBER('Raw data'!AR223)),IF(SIGN('Raw data'!AQ223-'Raw data'!AR223)=SIGN('Real results'!C223-'Real results'!D223),3+IF(AND('Raw data'!AQ223='Real results'!C223,'Raw data'!AR223='Real results'!D223),2,0),0),0),0)</f>
        <v>0</v>
      </c>
      <c r="AS231" s="34">
        <f>IFERROR(IF(AND(ISNUMBER('Real results'!C223),ISNUMBER('Real results'!D223),ISNUMBER('Raw data'!AS223),ISNUMBER('Raw data'!AT223)),IF(SIGN('Raw data'!AS223-'Raw data'!AT223)=SIGN('Real results'!C223-'Real results'!D223),3+IF(AND('Raw data'!AS223='Real results'!C223,'Raw data'!AT223='Real results'!D223),2,0),0),0),0)</f>
        <v>0</v>
      </c>
      <c r="AU231" s="34">
        <f>IFERROR(IF(AND(ISNUMBER('Real results'!C223),ISNUMBER('Real results'!D223),ISNUMBER('Raw data'!AU223),ISNUMBER('Raw data'!AV223)),IF(SIGN('Raw data'!AU223-'Raw data'!AV223)=SIGN('Real results'!C223-'Real results'!D223),3+IF(AND('Raw data'!AU223='Real results'!C223,'Raw data'!AV223='Real results'!D223),2,0),0),0),0)</f>
        <v>0</v>
      </c>
      <c r="AW231" s="34">
        <f>IFERROR(IF(AND(ISNUMBER('Real results'!C223),ISNUMBER('Real results'!D223),ISNUMBER('Raw data'!AW223),ISNUMBER('Raw data'!AX223)),IF(SIGN('Raw data'!AW223-'Raw data'!AX223)=SIGN('Real results'!C223-'Real results'!D223),3+IF(AND('Raw data'!AW223='Real results'!C223,'Raw data'!AX223='Real results'!D223),2,0),0),0),0)</f>
        <v>0</v>
      </c>
      <c r="AY231" s="34">
        <f>IFERROR(IF(AND(ISNUMBER('Real results'!C223),ISNUMBER('Real results'!D223),ISNUMBER('Raw data'!AY223),ISNUMBER('Raw data'!AZ223)),IF(SIGN('Raw data'!AY223-'Raw data'!AZ223)=SIGN('Real results'!C223-'Real results'!D223),3+IF(AND('Raw data'!AY223='Real results'!C223,'Raw data'!AZ223='Real results'!D223),2,0),0),0),0)</f>
        <v>0</v>
      </c>
      <c r="BA231" s="34">
        <f>IFERROR(IF(AND(ISNUMBER('Real results'!C223),ISNUMBER('Real results'!D223),ISNUMBER('Raw data'!BA223),ISNUMBER('Raw data'!BB223)),IF(SIGN('Raw data'!BA223-'Raw data'!BB223)=SIGN('Real results'!C223-'Real results'!D223),3+IF(AND('Raw data'!BA223='Real results'!C223,'Raw data'!BB223='Real results'!D223),2,0),0),0),0)</f>
        <v>0</v>
      </c>
      <c r="BC231" s="34">
        <f>IFERROR(IF(AND(ISNUMBER('Real results'!C223),ISNUMBER('Real results'!D223),ISNUMBER('Raw data'!BC223),ISNUMBER('Raw data'!BD223)),IF(SIGN('Raw data'!BC223-'Raw data'!BD223)=SIGN('Real results'!C223-'Real results'!D223),3+IF(AND('Raw data'!BC223='Real results'!C223,'Raw data'!BD223='Real results'!D223),2,0),0),0),0)</f>
        <v>0</v>
      </c>
      <c r="BE231" s="34">
        <f>IFERROR(IF(AND(ISNUMBER('Real results'!C223),ISNUMBER('Real results'!D223),ISNUMBER('Raw data'!BE223),ISNUMBER('Raw data'!BF223)),IF(SIGN('Raw data'!BE223-'Raw data'!BF223)=SIGN('Real results'!C223-'Real results'!D223),3+IF(AND('Raw data'!BE223='Real results'!C223,'Raw data'!BF223='Real results'!D223),2,0),0),0),0)</f>
        <v>0</v>
      </c>
      <c r="BG231" s="34">
        <f>IFERROR(IF(AND(ISNUMBER('Real results'!C223),ISNUMBER('Real results'!D223),ISNUMBER('Raw data'!BG223),ISNUMBER('Raw data'!BH223)),IF(SIGN('Raw data'!BG223-'Raw data'!BH223)=SIGN('Real results'!C223-'Real results'!D223),3+IF(AND('Raw data'!BG223='Real results'!C223,'Raw data'!BH223='Real results'!D223),2,0),0),0),0)</f>
        <v>0</v>
      </c>
      <c r="BI231" s="34">
        <f>IFERROR(IF(AND(ISNUMBER('Real results'!C223),ISNUMBER('Real results'!D223),ISNUMBER('Raw data'!BI223),ISNUMBER('Raw data'!BJ223)),IF(SIGN('Raw data'!BI223-'Raw data'!BJ223)=SIGN('Real results'!C223-'Real results'!D223),3+IF(AND('Raw data'!BI223='Real results'!C223,'Raw data'!BJ223='Real results'!D223),2,0),0),0),0)</f>
        <v>0</v>
      </c>
    </row>
    <row r="232" ht="18.0" customHeight="1">
      <c r="B232" s="12" t="s">
        <v>250</v>
      </c>
      <c r="C232" s="34">
        <v>0.0</v>
      </c>
      <c r="E232" s="34">
        <v>0.0</v>
      </c>
      <c r="G232" s="34">
        <v>0.0</v>
      </c>
      <c r="I232" s="34">
        <v>0.0</v>
      </c>
      <c r="K232" s="34">
        <v>0.0</v>
      </c>
      <c r="M232" s="34">
        <v>0.0</v>
      </c>
      <c r="O232" s="34">
        <v>0.0</v>
      </c>
      <c r="Q232" s="34">
        <v>0.0</v>
      </c>
      <c r="S232" s="34">
        <v>0.0</v>
      </c>
      <c r="U232" s="34">
        <v>0.0</v>
      </c>
      <c r="W232" s="34">
        <v>0.0</v>
      </c>
      <c r="Y232" s="34">
        <v>0.0</v>
      </c>
      <c r="AA232" s="34">
        <v>0.0</v>
      </c>
      <c r="AC232" s="34">
        <v>0.0</v>
      </c>
      <c r="AE232" s="34">
        <v>0.0</v>
      </c>
      <c r="AG232" s="34">
        <v>0.0</v>
      </c>
      <c r="AI232" s="34">
        <v>0.0</v>
      </c>
      <c r="AK232" s="34">
        <v>0.0</v>
      </c>
      <c r="AM232" s="34">
        <v>0.0</v>
      </c>
      <c r="AO232" s="34">
        <v>0.0</v>
      </c>
      <c r="AQ232" s="34">
        <v>0.0</v>
      </c>
      <c r="AS232" s="34">
        <v>0.0</v>
      </c>
      <c r="AU232" s="34">
        <v>0.0</v>
      </c>
      <c r="AW232" s="34">
        <v>0.0</v>
      </c>
      <c r="AY232" s="34">
        <v>0.0</v>
      </c>
      <c r="BA232" s="34">
        <v>0.0</v>
      </c>
      <c r="BC232" s="34">
        <v>0.0</v>
      </c>
      <c r="BE232" s="34">
        <v>0.0</v>
      </c>
      <c r="BG232" s="34">
        <v>0.0</v>
      </c>
      <c r="BI232" s="34">
        <v>0.0</v>
      </c>
    </row>
    <row r="233" ht="18.0" customHeight="1">
      <c r="B233" s="12" t="s">
        <v>484</v>
      </c>
      <c r="C233" s="34">
        <f>IFERROR(IF(AND('Real results'!C225&lt;&gt;"",'Raw data'!C225&lt;&gt;"",UPPER(TRIM('Real results'!C225))=UPPER(TRIM('Raw data'!C225))),12,0),0)</f>
        <v>0</v>
      </c>
      <c r="E233" s="34">
        <f>IFERROR(IF(AND('Real results'!C225&lt;&gt;"",'Raw data'!E225&lt;&gt;"",UPPER(TRIM('Real results'!C225))=UPPER(TRIM('Raw data'!E225))),12,0),0)</f>
        <v>0</v>
      </c>
      <c r="G233" s="34">
        <f>IFERROR(IF(AND('Real results'!C225&lt;&gt;"",'Raw data'!G225&lt;&gt;"",UPPER(TRIM('Real results'!C225))=UPPER(TRIM('Raw data'!G225))),12,0),0)</f>
        <v>0</v>
      </c>
      <c r="I233" s="34">
        <f>IFERROR(IF(AND('Real results'!C225&lt;&gt;"",'Raw data'!I225&lt;&gt;"",UPPER(TRIM('Real results'!C225))=UPPER(TRIM('Raw data'!I225))),12,0),0)</f>
        <v>0</v>
      </c>
      <c r="K233" s="34">
        <f>IFERROR(IF(AND('Real results'!C225&lt;&gt;"",'Raw data'!K225&lt;&gt;"",UPPER(TRIM('Real results'!C225))=UPPER(TRIM('Raw data'!K225))),12,0),0)</f>
        <v>0</v>
      </c>
      <c r="M233" s="34">
        <f>IFERROR(IF(AND('Real results'!C225&lt;&gt;"",'Raw data'!M225&lt;&gt;"",UPPER(TRIM('Real results'!C225))=UPPER(TRIM('Raw data'!M225))),12,0),0)</f>
        <v>0</v>
      </c>
      <c r="O233" s="34">
        <f>IFERROR(IF(AND('Real results'!C225&lt;&gt;"",'Raw data'!O225&lt;&gt;"",UPPER(TRIM('Real results'!C225))=UPPER(TRIM('Raw data'!O225))),12,0),0)</f>
        <v>0</v>
      </c>
      <c r="Q233" s="34">
        <f>IFERROR(IF(AND('Real results'!C225&lt;&gt;"",'Raw data'!Q225&lt;&gt;"",UPPER(TRIM('Real results'!C225))=UPPER(TRIM('Raw data'!Q225))),12,0),0)</f>
        <v>0</v>
      </c>
      <c r="S233" s="34">
        <f>IFERROR(IF(AND('Real results'!C225&lt;&gt;"",'Raw data'!S225&lt;&gt;"",UPPER(TRIM('Real results'!C225))=UPPER(TRIM('Raw data'!S225))),12,0),0)</f>
        <v>0</v>
      </c>
      <c r="U233" s="34">
        <f>IFERROR(IF(AND('Real results'!C225&lt;&gt;"",'Raw data'!U225&lt;&gt;"",UPPER(TRIM('Real results'!C225))=UPPER(TRIM('Raw data'!U225))),12,0),0)</f>
        <v>0</v>
      </c>
      <c r="W233" s="34">
        <f>IFERROR(IF(AND('Real results'!C225&lt;&gt;"",'Raw data'!W225&lt;&gt;"",UPPER(TRIM('Real results'!C225))=UPPER(TRIM('Raw data'!W225))),12,0),0)</f>
        <v>0</v>
      </c>
      <c r="Y233" s="34">
        <f>IFERROR(IF(AND('Real results'!C225&lt;&gt;"",'Raw data'!Y225&lt;&gt;"",UPPER(TRIM('Real results'!C225))=UPPER(TRIM('Raw data'!Y225))),12,0),0)</f>
        <v>0</v>
      </c>
      <c r="AA233" s="34">
        <f>IFERROR(IF(AND('Real results'!C225&lt;&gt;"",'Raw data'!AA225&lt;&gt;"",UPPER(TRIM('Real results'!C225))=UPPER(TRIM('Raw data'!AA225))),12,0),0)</f>
        <v>0</v>
      </c>
      <c r="AC233" s="34">
        <f>IFERROR(IF(AND('Real results'!C225&lt;&gt;"",'Raw data'!AC225&lt;&gt;"",UPPER(TRIM('Real results'!C225))=UPPER(TRIM('Raw data'!AC225))),12,0),0)</f>
        <v>0</v>
      </c>
      <c r="AE233" s="34">
        <f>IFERROR(IF(AND('Real results'!C225&lt;&gt;"",'Raw data'!AE225&lt;&gt;"",UPPER(TRIM('Real results'!C225))=UPPER(TRIM('Raw data'!AE225))),12,0),0)</f>
        <v>0</v>
      </c>
      <c r="AG233" s="34">
        <f>IFERROR(IF(AND('Real results'!C225&lt;&gt;"",'Raw data'!AG225&lt;&gt;"",UPPER(TRIM('Real results'!C225))=UPPER(TRIM('Raw data'!AG225))),12,0),0)</f>
        <v>0</v>
      </c>
      <c r="AI233" s="34">
        <f>IFERROR(IF(AND('Real results'!C225&lt;&gt;"",'Raw data'!AI225&lt;&gt;"",UPPER(TRIM('Real results'!C225))=UPPER(TRIM('Raw data'!AI225))),12,0),0)</f>
        <v>0</v>
      </c>
      <c r="AK233" s="34">
        <f>IFERROR(IF(AND('Real results'!C225&lt;&gt;"",'Raw data'!AK225&lt;&gt;"",UPPER(TRIM('Real results'!C225))=UPPER(TRIM('Raw data'!AK225))),12,0),0)</f>
        <v>0</v>
      </c>
      <c r="AM233" s="34">
        <f>IFERROR(IF(AND('Real results'!C225&lt;&gt;"",'Raw data'!AM225&lt;&gt;"",UPPER(TRIM('Real results'!C225))=UPPER(TRIM('Raw data'!AM225))),12,0),0)</f>
        <v>0</v>
      </c>
      <c r="AO233" s="34">
        <f>IFERROR(IF(AND('Real results'!C225&lt;&gt;"",'Raw data'!AO225&lt;&gt;"",UPPER(TRIM('Real results'!C225))=UPPER(TRIM('Raw data'!AO225))),12,0),0)</f>
        <v>0</v>
      </c>
      <c r="AQ233" s="34">
        <f>IFERROR(IF(AND('Real results'!C225&lt;&gt;"",'Raw data'!AQ225&lt;&gt;"",UPPER(TRIM('Real results'!C225))=UPPER(TRIM('Raw data'!AQ225))),12,0),0)</f>
        <v>0</v>
      </c>
      <c r="AS233" s="34">
        <f>IFERROR(IF(AND('Real results'!C225&lt;&gt;"",'Raw data'!AS225&lt;&gt;"",UPPER(TRIM('Real results'!C225))=UPPER(TRIM('Raw data'!AS225))),12,0),0)</f>
        <v>0</v>
      </c>
      <c r="AU233" s="34">
        <f>IFERROR(IF(AND('Real results'!C225&lt;&gt;"",'Raw data'!AU225&lt;&gt;"",UPPER(TRIM('Real results'!C225))=UPPER(TRIM('Raw data'!AU225))),12,0),0)</f>
        <v>0</v>
      </c>
      <c r="AW233" s="34">
        <f>IFERROR(IF(AND('Real results'!C225&lt;&gt;"",'Raw data'!AW225&lt;&gt;"",UPPER(TRIM('Real results'!C225))=UPPER(TRIM('Raw data'!AW225))),12,0),0)</f>
        <v>0</v>
      </c>
      <c r="AY233" s="34">
        <f>IFERROR(IF(AND('Real results'!C225&lt;&gt;"",'Raw data'!AY225&lt;&gt;"",UPPER(TRIM('Real results'!C225))=UPPER(TRIM('Raw data'!AY225))),12,0),0)</f>
        <v>0</v>
      </c>
      <c r="BA233" s="34">
        <f>IFERROR(IF(AND('Real results'!C225&lt;&gt;"",'Raw data'!BA225&lt;&gt;"",UPPER(TRIM('Real results'!C225))=UPPER(TRIM('Raw data'!BA225))),12,0),0)</f>
        <v>0</v>
      </c>
      <c r="BC233" s="34">
        <f>IFERROR(IF(AND('Real results'!C225&lt;&gt;"",'Raw data'!BC225&lt;&gt;"",UPPER(TRIM('Real results'!C225))=UPPER(TRIM('Raw data'!BC225))),12,0),0)</f>
        <v>0</v>
      </c>
      <c r="BE233" s="34">
        <f>IFERROR(IF(AND('Real results'!C225&lt;&gt;"",'Raw data'!BE225&lt;&gt;"",UPPER(TRIM('Real results'!C225))=UPPER(TRIM('Raw data'!BE225))),12,0),0)</f>
        <v>0</v>
      </c>
      <c r="BG233" s="34">
        <f>IFERROR(IF(AND('Real results'!C225&lt;&gt;"",'Raw data'!BG225&lt;&gt;"",UPPER(TRIM('Real results'!C225))=UPPER(TRIM('Raw data'!BG225))),12,0),0)</f>
        <v>0</v>
      </c>
      <c r="BI233" s="34">
        <f>IFERROR(IF(AND('Real results'!C225&lt;&gt;"",'Raw data'!BI225&lt;&gt;"",UPPER(TRIM('Real results'!C225))=UPPER(TRIM('Raw data'!BI225))),12,0),0)</f>
        <v>0</v>
      </c>
    </row>
    <row r="234" ht="18.0" customHeight="1">
      <c r="B234" s="12" t="s">
        <v>485</v>
      </c>
      <c r="C234" s="34">
        <f>IFERROR(IF(AND('Real results'!C226&lt;&gt;"",'Raw data'!C226&lt;&gt;"",UPPER(TRIM('Real results'!C226))=UPPER(TRIM('Raw data'!C226))),8,0),0)</f>
        <v>0</v>
      </c>
      <c r="E234" s="34">
        <f>IFERROR(IF(AND('Real results'!C226&lt;&gt;"",'Raw data'!E226&lt;&gt;"",UPPER(TRIM('Real results'!C226))=UPPER(TRIM('Raw data'!E226))),8,0),0)</f>
        <v>0</v>
      </c>
      <c r="G234" s="34">
        <f>IFERROR(IF(AND('Real results'!C226&lt;&gt;"",'Raw data'!G226&lt;&gt;"",UPPER(TRIM('Real results'!C226))=UPPER(TRIM('Raw data'!G226))),8,0),0)</f>
        <v>0</v>
      </c>
      <c r="I234" s="34">
        <f>IFERROR(IF(AND('Real results'!C226&lt;&gt;"",'Raw data'!I226&lt;&gt;"",UPPER(TRIM('Real results'!C226))=UPPER(TRIM('Raw data'!I226))),8,0),0)</f>
        <v>0</v>
      </c>
      <c r="K234" s="34">
        <f>IFERROR(IF(AND('Real results'!C226&lt;&gt;"",'Raw data'!K226&lt;&gt;"",UPPER(TRIM('Real results'!C226))=UPPER(TRIM('Raw data'!K226))),8,0),0)</f>
        <v>0</v>
      </c>
      <c r="M234" s="34">
        <f>IFERROR(IF(AND('Real results'!C226&lt;&gt;"",'Raw data'!M226&lt;&gt;"",UPPER(TRIM('Real results'!C226))=UPPER(TRIM('Raw data'!M226))),8,0),0)</f>
        <v>0</v>
      </c>
      <c r="O234" s="34">
        <f>IFERROR(IF(AND('Real results'!C226&lt;&gt;"",'Raw data'!O226&lt;&gt;"",UPPER(TRIM('Real results'!C226))=UPPER(TRIM('Raw data'!O226))),8,0),0)</f>
        <v>0</v>
      </c>
      <c r="Q234" s="34">
        <f>IFERROR(IF(AND('Real results'!C226&lt;&gt;"",'Raw data'!Q226&lt;&gt;"",UPPER(TRIM('Real results'!C226))=UPPER(TRIM('Raw data'!Q226))),8,0),0)</f>
        <v>0</v>
      </c>
      <c r="S234" s="34">
        <f>IFERROR(IF(AND('Real results'!C226&lt;&gt;"",'Raw data'!S226&lt;&gt;"",UPPER(TRIM('Real results'!C226))=UPPER(TRIM('Raw data'!S226))),8,0),0)</f>
        <v>0</v>
      </c>
      <c r="U234" s="34">
        <f>IFERROR(IF(AND('Real results'!C226&lt;&gt;"",'Raw data'!U226&lt;&gt;"",UPPER(TRIM('Real results'!C226))=UPPER(TRIM('Raw data'!U226))),8,0),0)</f>
        <v>0</v>
      </c>
      <c r="W234" s="34">
        <f>IFERROR(IF(AND('Real results'!C226&lt;&gt;"",'Raw data'!W226&lt;&gt;"",UPPER(TRIM('Real results'!C226))=UPPER(TRIM('Raw data'!W226))),8,0),0)</f>
        <v>0</v>
      </c>
      <c r="Y234" s="34">
        <f>IFERROR(IF(AND('Real results'!C226&lt;&gt;"",'Raw data'!Y226&lt;&gt;"",UPPER(TRIM('Real results'!C226))=UPPER(TRIM('Raw data'!Y226))),8,0),0)</f>
        <v>0</v>
      </c>
      <c r="AA234" s="34">
        <f>IFERROR(IF(AND('Real results'!C226&lt;&gt;"",'Raw data'!AA226&lt;&gt;"",UPPER(TRIM('Real results'!C226))=UPPER(TRIM('Raw data'!AA226))),8,0),0)</f>
        <v>0</v>
      </c>
      <c r="AC234" s="34">
        <f>IFERROR(IF(AND('Real results'!C226&lt;&gt;"",'Raw data'!AC226&lt;&gt;"",UPPER(TRIM('Real results'!C226))=UPPER(TRIM('Raw data'!AC226))),8,0),0)</f>
        <v>0</v>
      </c>
      <c r="AE234" s="34">
        <f>IFERROR(IF(AND('Real results'!C226&lt;&gt;"",'Raw data'!AE226&lt;&gt;"",UPPER(TRIM('Real results'!C226))=UPPER(TRIM('Raw data'!AE226))),8,0),0)</f>
        <v>0</v>
      </c>
      <c r="AG234" s="34">
        <f>IFERROR(IF(AND('Real results'!C226&lt;&gt;"",'Raw data'!AG226&lt;&gt;"",UPPER(TRIM('Real results'!C226))=UPPER(TRIM('Raw data'!AG226))),8,0),0)</f>
        <v>0</v>
      </c>
      <c r="AI234" s="34">
        <f>IFERROR(IF(AND('Real results'!C226&lt;&gt;"",'Raw data'!AI226&lt;&gt;"",UPPER(TRIM('Real results'!C226))=UPPER(TRIM('Raw data'!AI226))),8,0),0)</f>
        <v>0</v>
      </c>
      <c r="AK234" s="34">
        <f>IFERROR(IF(AND('Real results'!C226&lt;&gt;"",'Raw data'!AK226&lt;&gt;"",UPPER(TRIM('Real results'!C226))=UPPER(TRIM('Raw data'!AK226))),8,0),0)</f>
        <v>0</v>
      </c>
      <c r="AM234" s="34">
        <f>IFERROR(IF(AND('Real results'!C226&lt;&gt;"",'Raw data'!AM226&lt;&gt;"",UPPER(TRIM('Real results'!C226))=UPPER(TRIM('Raw data'!AM226))),8,0),0)</f>
        <v>0</v>
      </c>
      <c r="AO234" s="34">
        <f>IFERROR(IF(AND('Real results'!C226&lt;&gt;"",'Raw data'!AO226&lt;&gt;"",UPPER(TRIM('Real results'!C226))=UPPER(TRIM('Raw data'!AO226))),8,0),0)</f>
        <v>0</v>
      </c>
      <c r="AQ234" s="34">
        <f>IFERROR(IF(AND('Real results'!C226&lt;&gt;"",'Raw data'!AQ226&lt;&gt;"",UPPER(TRIM('Real results'!C226))=UPPER(TRIM('Raw data'!AQ226))),8,0),0)</f>
        <v>0</v>
      </c>
      <c r="AS234" s="34">
        <f>IFERROR(IF(AND('Real results'!C226&lt;&gt;"",'Raw data'!AS226&lt;&gt;"",UPPER(TRIM('Real results'!C226))=UPPER(TRIM('Raw data'!AS226))),8,0),0)</f>
        <v>0</v>
      </c>
      <c r="AU234" s="34">
        <f>IFERROR(IF(AND('Real results'!C226&lt;&gt;"",'Raw data'!AU226&lt;&gt;"",UPPER(TRIM('Real results'!C226))=UPPER(TRIM('Raw data'!AU226))),8,0),0)</f>
        <v>0</v>
      </c>
      <c r="AW234" s="34">
        <f>IFERROR(IF(AND('Real results'!C226&lt;&gt;"",'Raw data'!AW226&lt;&gt;"",UPPER(TRIM('Real results'!C226))=UPPER(TRIM('Raw data'!AW226))),8,0),0)</f>
        <v>0</v>
      </c>
      <c r="AY234" s="34">
        <f>IFERROR(IF(AND('Real results'!C226&lt;&gt;"",'Raw data'!AY226&lt;&gt;"",UPPER(TRIM('Real results'!C226))=UPPER(TRIM('Raw data'!AY226))),8,0),0)</f>
        <v>0</v>
      </c>
      <c r="BA234" s="34">
        <f>IFERROR(IF(AND('Real results'!C226&lt;&gt;"",'Raw data'!BA226&lt;&gt;"",UPPER(TRIM('Real results'!C226))=UPPER(TRIM('Raw data'!BA226))),8,0),0)</f>
        <v>0</v>
      </c>
      <c r="BC234" s="34">
        <f>IFERROR(IF(AND('Real results'!C226&lt;&gt;"",'Raw data'!BC226&lt;&gt;"",UPPER(TRIM('Real results'!C226))=UPPER(TRIM('Raw data'!BC226))),8,0),0)</f>
        <v>0</v>
      </c>
      <c r="BE234" s="34">
        <f>IFERROR(IF(AND('Real results'!C226&lt;&gt;"",'Raw data'!BE226&lt;&gt;"",UPPER(TRIM('Real results'!C226))=UPPER(TRIM('Raw data'!BE226))),8,0),0)</f>
        <v>0</v>
      </c>
      <c r="BG234" s="34">
        <f>IFERROR(IF(AND('Real results'!C226&lt;&gt;"",'Raw data'!BG226&lt;&gt;"",UPPER(TRIM('Real results'!C226))=UPPER(TRIM('Raw data'!BG226))),8,0),0)</f>
        <v>0</v>
      </c>
      <c r="BI234" s="34">
        <f>IFERROR(IF(AND('Real results'!C226&lt;&gt;"",'Raw data'!BI226&lt;&gt;"",UPPER(TRIM('Real results'!C226))=UPPER(TRIM('Raw data'!BI226))),8,0),0)</f>
        <v>0</v>
      </c>
    </row>
    <row r="235" ht="21.75" customHeight="1">
      <c r="B235" s="35" t="s">
        <v>486</v>
      </c>
      <c r="C235" s="36">
        <f>SUM(C228:C234)</f>
        <v>0</v>
      </c>
      <c r="E235" s="36">
        <f>SUM(E228:E234)</f>
        <v>0</v>
      </c>
      <c r="G235" s="36">
        <f>SUM(G228:G234)</f>
        <v>0</v>
      </c>
      <c r="I235" s="36">
        <f>SUM(I228:I234)</f>
        <v>0</v>
      </c>
      <c r="K235" s="36">
        <f>SUM(K228:K234)</f>
        <v>0</v>
      </c>
      <c r="M235" s="36">
        <f>SUM(M228:M234)</f>
        <v>0</v>
      </c>
      <c r="O235" s="36">
        <f>SUM(O228:O234)</f>
        <v>0</v>
      </c>
      <c r="Q235" s="36">
        <f>SUM(Q228:Q234)</f>
        <v>0</v>
      </c>
      <c r="S235" s="36">
        <f>SUM(S228:S234)</f>
        <v>0</v>
      </c>
      <c r="U235" s="36">
        <f>SUM(U228:U234)</f>
        <v>0</v>
      </c>
      <c r="W235" s="36">
        <f>SUM(W228:W234)</f>
        <v>0</v>
      </c>
      <c r="Y235" s="36">
        <f>SUM(Y228:Y234)</f>
        <v>0</v>
      </c>
      <c r="AA235" s="36">
        <f>SUM(AA228:AA234)</f>
        <v>0</v>
      </c>
      <c r="AC235" s="36">
        <f>SUM(AC228:AC234)</f>
        <v>0</v>
      </c>
      <c r="AE235" s="36">
        <f>SUM(AE228:AE234)</f>
        <v>0</v>
      </c>
      <c r="AG235" s="36">
        <f>SUM(AG228:AG234)</f>
        <v>0</v>
      </c>
      <c r="AI235" s="36">
        <f>SUM(AI228:AI234)</f>
        <v>0</v>
      </c>
      <c r="AK235" s="36">
        <f>SUM(AK228:AK234)</f>
        <v>0</v>
      </c>
      <c r="AM235" s="36">
        <f>SUM(AM228:AM234)</f>
        <v>0</v>
      </c>
      <c r="AO235" s="36">
        <f>SUM(AO228:AO234)</f>
        <v>0</v>
      </c>
      <c r="AQ235" s="36">
        <f>SUM(AQ228:AQ234)</f>
        <v>0</v>
      </c>
      <c r="AS235" s="36">
        <f>SUM(AS228:AS234)</f>
        <v>0</v>
      </c>
      <c r="AU235" s="36">
        <f>SUM(AU228:AU234)</f>
        <v>0</v>
      </c>
      <c r="AW235" s="36">
        <f>SUM(AW228:AW234)</f>
        <v>0</v>
      </c>
      <c r="AY235" s="36">
        <f>SUM(AY228:AY234)</f>
        <v>0</v>
      </c>
      <c r="BA235" s="36">
        <f>SUM(BA228:BA234)</f>
        <v>0</v>
      </c>
      <c r="BC235" s="36">
        <f>SUM(BC228:BC234)</f>
        <v>0</v>
      </c>
      <c r="BE235" s="36">
        <f>SUM(BE228:BE234)</f>
        <v>0</v>
      </c>
      <c r="BG235" s="36">
        <f>SUM(BG228:BG234)</f>
        <v>0</v>
      </c>
      <c r="BI235" s="36">
        <f>SUM(BI228:BI234)</f>
        <v>0</v>
      </c>
    </row>
    <row r="236" ht="19.5" customHeight="1">
      <c r="B236" s="33" t="s">
        <v>20</v>
      </c>
      <c r="C236" s="11"/>
      <c r="E236" s="11"/>
      <c r="G236" s="11"/>
      <c r="I236" s="11"/>
      <c r="K236" s="11"/>
      <c r="M236" s="11"/>
      <c r="O236" s="11"/>
      <c r="Q236" s="11"/>
      <c r="S236" s="11"/>
      <c r="U236" s="11"/>
      <c r="W236" s="11"/>
      <c r="Y236" s="11"/>
      <c r="AA236" s="11"/>
      <c r="AC236" s="11"/>
      <c r="AE236" s="11"/>
      <c r="AG236" s="11"/>
      <c r="AI236" s="11"/>
      <c r="AK236" s="11"/>
      <c r="AM236" s="11"/>
      <c r="AO236" s="11"/>
      <c r="AQ236" s="11"/>
      <c r="AS236" s="11"/>
      <c r="AU236" s="11"/>
      <c r="AW236" s="11"/>
      <c r="AY236" s="11"/>
      <c r="BA236" s="11"/>
      <c r="BC236" s="11"/>
      <c r="BE236" s="11"/>
      <c r="BG236" s="11"/>
      <c r="BI236" s="11"/>
    </row>
    <row r="237" ht="18.0" customHeight="1">
      <c r="B237" s="12" t="s">
        <v>254</v>
      </c>
      <c r="C237" s="34">
        <f>IFERROR(IF(AND('Real results'!C228&lt;&gt;"",'Raw data'!C228&lt;&gt;"",UPPER(TRIM('Real results'!C228))=UPPER(TRIM('Raw data'!C228))),8,0),0)</f>
        <v>0</v>
      </c>
      <c r="E237" s="34">
        <f>IFERROR(IF(AND('Real results'!C228&lt;&gt;"",'Raw data'!E228&lt;&gt;"",UPPER(TRIM('Real results'!C228))=UPPER(TRIM('Raw data'!E228))),8,0),0)</f>
        <v>0</v>
      </c>
      <c r="G237" s="34">
        <f>IFERROR(IF(AND('Real results'!C228&lt;&gt;"",'Raw data'!G228&lt;&gt;"",UPPER(TRIM('Real results'!C228))=UPPER(TRIM('Raw data'!G228))),8,0),0)</f>
        <v>0</v>
      </c>
      <c r="I237" s="34">
        <f>IFERROR(IF(AND('Real results'!C228&lt;&gt;"",'Raw data'!I228&lt;&gt;"",UPPER(TRIM('Real results'!C228))=UPPER(TRIM('Raw data'!I228))),8,0),0)</f>
        <v>0</v>
      </c>
      <c r="K237" s="34">
        <f>IFERROR(IF(AND('Real results'!C228&lt;&gt;"",'Raw data'!K228&lt;&gt;"",UPPER(TRIM('Real results'!C228))=UPPER(TRIM('Raw data'!K228))),8,0),0)</f>
        <v>0</v>
      </c>
      <c r="M237" s="34">
        <f>IFERROR(IF(AND('Real results'!C228&lt;&gt;"",'Raw data'!M228&lt;&gt;"",UPPER(TRIM('Real results'!C228))=UPPER(TRIM('Raw data'!M228))),8,0),0)</f>
        <v>0</v>
      </c>
      <c r="O237" s="34">
        <f>IFERROR(IF(AND('Real results'!C228&lt;&gt;"",'Raw data'!O228&lt;&gt;"",UPPER(TRIM('Real results'!C228))=UPPER(TRIM('Raw data'!O228))),8,0),0)</f>
        <v>0</v>
      </c>
      <c r="Q237" s="34">
        <f>IFERROR(IF(AND('Real results'!C228&lt;&gt;"",'Raw data'!Q228&lt;&gt;"",UPPER(TRIM('Real results'!C228))=UPPER(TRIM('Raw data'!Q228))),8,0),0)</f>
        <v>0</v>
      </c>
      <c r="S237" s="34">
        <f>IFERROR(IF(AND('Real results'!C228&lt;&gt;"",'Raw data'!S228&lt;&gt;"",UPPER(TRIM('Real results'!C228))=UPPER(TRIM('Raw data'!S228))),8,0),0)</f>
        <v>0</v>
      </c>
      <c r="U237" s="34">
        <f>IFERROR(IF(AND('Real results'!C228&lt;&gt;"",'Raw data'!U228&lt;&gt;"",UPPER(TRIM('Real results'!C228))=UPPER(TRIM('Raw data'!U228))),8,0),0)</f>
        <v>0</v>
      </c>
      <c r="W237" s="34">
        <f>IFERROR(IF(AND('Real results'!C228&lt;&gt;"",'Raw data'!W228&lt;&gt;"",UPPER(TRIM('Real results'!C228))=UPPER(TRIM('Raw data'!W228))),8,0),0)</f>
        <v>0</v>
      </c>
      <c r="Y237" s="34">
        <f>IFERROR(IF(AND('Real results'!C228&lt;&gt;"",'Raw data'!Y228&lt;&gt;"",UPPER(TRIM('Real results'!C228))=UPPER(TRIM('Raw data'!Y228))),8,0),0)</f>
        <v>0</v>
      </c>
      <c r="AA237" s="34">
        <f>IFERROR(IF(AND('Real results'!C228&lt;&gt;"",'Raw data'!AA228&lt;&gt;"",UPPER(TRIM('Real results'!C228))=UPPER(TRIM('Raw data'!AA228))),8,0),0)</f>
        <v>0</v>
      </c>
      <c r="AC237" s="34">
        <f>IFERROR(IF(AND('Real results'!C228&lt;&gt;"",'Raw data'!AC228&lt;&gt;"",UPPER(TRIM('Real results'!C228))=UPPER(TRIM('Raw data'!AC228))),8,0),0)</f>
        <v>0</v>
      </c>
      <c r="AE237" s="34">
        <f>IFERROR(IF(AND('Real results'!C228&lt;&gt;"",'Raw data'!AE228&lt;&gt;"",UPPER(TRIM('Real results'!C228))=UPPER(TRIM('Raw data'!AE228))),8,0),0)</f>
        <v>0</v>
      </c>
      <c r="AG237" s="34">
        <f>IFERROR(IF(AND('Real results'!C228&lt;&gt;"",'Raw data'!AG228&lt;&gt;"",UPPER(TRIM('Real results'!C228))=UPPER(TRIM('Raw data'!AG228))),8,0),0)</f>
        <v>0</v>
      </c>
      <c r="AI237" s="34">
        <f>IFERROR(IF(AND('Real results'!C228&lt;&gt;"",'Raw data'!AI228&lt;&gt;"",UPPER(TRIM('Real results'!C228))=UPPER(TRIM('Raw data'!AI228))),8,0),0)</f>
        <v>0</v>
      </c>
      <c r="AK237" s="34">
        <f>IFERROR(IF(AND('Real results'!C228&lt;&gt;"",'Raw data'!AK228&lt;&gt;"",UPPER(TRIM('Real results'!C228))=UPPER(TRIM('Raw data'!AK228))),8,0),0)</f>
        <v>0</v>
      </c>
      <c r="AM237" s="34">
        <f>IFERROR(IF(AND('Real results'!C228&lt;&gt;"",'Raw data'!AM228&lt;&gt;"",UPPER(TRIM('Real results'!C228))=UPPER(TRIM('Raw data'!AM228))),8,0),0)</f>
        <v>0</v>
      </c>
      <c r="AO237" s="34">
        <f>IFERROR(IF(AND('Real results'!C228&lt;&gt;"",'Raw data'!AO228&lt;&gt;"",UPPER(TRIM('Real results'!C228))=UPPER(TRIM('Raw data'!AO228))),8,0),0)</f>
        <v>0</v>
      </c>
      <c r="AQ237" s="34">
        <f>IFERROR(IF(AND('Real results'!C228&lt;&gt;"",'Raw data'!AQ228&lt;&gt;"",UPPER(TRIM('Real results'!C228))=UPPER(TRIM('Raw data'!AQ228))),8,0),0)</f>
        <v>0</v>
      </c>
      <c r="AS237" s="34">
        <f>IFERROR(IF(AND('Real results'!C228&lt;&gt;"",'Raw data'!AS228&lt;&gt;"",UPPER(TRIM('Real results'!C228))=UPPER(TRIM('Raw data'!AS228))),8,0),0)</f>
        <v>0</v>
      </c>
      <c r="AU237" s="34">
        <f>IFERROR(IF(AND('Real results'!C228&lt;&gt;"",'Raw data'!AU228&lt;&gt;"",UPPER(TRIM('Real results'!C228))=UPPER(TRIM('Raw data'!AU228))),8,0),0)</f>
        <v>0</v>
      </c>
      <c r="AW237" s="34">
        <f>IFERROR(IF(AND('Real results'!C228&lt;&gt;"",'Raw data'!AW228&lt;&gt;"",UPPER(TRIM('Real results'!C228))=UPPER(TRIM('Raw data'!AW228))),8,0),0)</f>
        <v>0</v>
      </c>
      <c r="AY237" s="34">
        <f>IFERROR(IF(AND('Real results'!C228&lt;&gt;"",'Raw data'!AY228&lt;&gt;"",UPPER(TRIM('Real results'!C228))=UPPER(TRIM('Raw data'!AY228))),8,0),0)</f>
        <v>0</v>
      </c>
      <c r="BA237" s="34">
        <f>IFERROR(IF(AND('Real results'!C228&lt;&gt;"",'Raw data'!BA228&lt;&gt;"",UPPER(TRIM('Real results'!C228))=UPPER(TRIM('Raw data'!BA228))),8,0),0)</f>
        <v>0</v>
      </c>
      <c r="BC237" s="34">
        <f>IFERROR(IF(AND('Real results'!C228&lt;&gt;"",'Raw data'!BC228&lt;&gt;"",UPPER(TRIM('Real results'!C228))=UPPER(TRIM('Raw data'!BC228))),8,0),0)</f>
        <v>0</v>
      </c>
      <c r="BE237" s="34">
        <f>IFERROR(IF(AND('Real results'!C228&lt;&gt;"",'Raw data'!BE228&lt;&gt;"",UPPER(TRIM('Real results'!C228))=UPPER(TRIM('Raw data'!BE228))),8,0),0)</f>
        <v>0</v>
      </c>
      <c r="BG237" s="34">
        <f>IFERROR(IF(AND('Real results'!C228&lt;&gt;"",'Raw data'!BG228&lt;&gt;"",UPPER(TRIM('Real results'!C228))=UPPER(TRIM('Raw data'!BG228))),8,0),0)</f>
        <v>0</v>
      </c>
      <c r="BI237" s="34">
        <f>IFERROR(IF(AND('Real results'!C228&lt;&gt;"",'Raw data'!BI228&lt;&gt;"",UPPER(TRIM('Real results'!C228))=UPPER(TRIM('Raw data'!BI228))),8,0),0)</f>
        <v>0</v>
      </c>
    </row>
    <row r="238" ht="18.0" customHeight="1">
      <c r="B238" s="12" t="s">
        <v>255</v>
      </c>
      <c r="C238" s="34">
        <f>IFERROR(IF(AND('Real results'!C229&lt;&gt;"",'Raw data'!C229&lt;&gt;"",UPPER(TRIM('Real results'!C229))=UPPER(TRIM('Raw data'!C229))),8,0),0)</f>
        <v>0</v>
      </c>
      <c r="E238" s="34">
        <f>IFERROR(IF(AND('Real results'!C229&lt;&gt;"",'Raw data'!E229&lt;&gt;"",UPPER(TRIM('Real results'!C229))=UPPER(TRIM('Raw data'!E229))),8,0),0)</f>
        <v>0</v>
      </c>
      <c r="G238" s="34">
        <f>IFERROR(IF(AND('Real results'!C229&lt;&gt;"",'Raw data'!G229&lt;&gt;"",UPPER(TRIM('Real results'!C229))=UPPER(TRIM('Raw data'!G229))),8,0),0)</f>
        <v>0</v>
      </c>
      <c r="I238" s="34">
        <f>IFERROR(IF(AND('Real results'!C229&lt;&gt;"",'Raw data'!I229&lt;&gt;"",UPPER(TRIM('Real results'!C229))=UPPER(TRIM('Raw data'!I229))),8,0),0)</f>
        <v>0</v>
      </c>
      <c r="K238" s="34">
        <f>IFERROR(IF(AND('Real results'!C229&lt;&gt;"",'Raw data'!K229&lt;&gt;"",UPPER(TRIM('Real results'!C229))=UPPER(TRIM('Raw data'!K229))),8,0),0)</f>
        <v>0</v>
      </c>
      <c r="M238" s="34">
        <f>IFERROR(IF(AND('Real results'!C229&lt;&gt;"",'Raw data'!M229&lt;&gt;"",UPPER(TRIM('Real results'!C229))=UPPER(TRIM('Raw data'!M229))),8,0),0)</f>
        <v>0</v>
      </c>
      <c r="O238" s="34">
        <f>IFERROR(IF(AND('Real results'!C229&lt;&gt;"",'Raw data'!O229&lt;&gt;"",UPPER(TRIM('Real results'!C229))=UPPER(TRIM('Raw data'!O229))),8,0),0)</f>
        <v>0</v>
      </c>
      <c r="Q238" s="34">
        <f>IFERROR(IF(AND('Real results'!C229&lt;&gt;"",'Raw data'!Q229&lt;&gt;"",UPPER(TRIM('Real results'!C229))=UPPER(TRIM('Raw data'!Q229))),8,0),0)</f>
        <v>0</v>
      </c>
      <c r="S238" s="34">
        <f>IFERROR(IF(AND('Real results'!C229&lt;&gt;"",'Raw data'!S229&lt;&gt;"",UPPER(TRIM('Real results'!C229))=UPPER(TRIM('Raw data'!S229))),8,0),0)</f>
        <v>0</v>
      </c>
      <c r="U238" s="34">
        <f>IFERROR(IF(AND('Real results'!C229&lt;&gt;"",'Raw data'!U229&lt;&gt;"",UPPER(TRIM('Real results'!C229))=UPPER(TRIM('Raw data'!U229))),8,0),0)</f>
        <v>0</v>
      </c>
      <c r="W238" s="34">
        <f>IFERROR(IF(AND('Real results'!C229&lt;&gt;"",'Raw data'!W229&lt;&gt;"",UPPER(TRIM('Real results'!C229))=UPPER(TRIM('Raw data'!W229))),8,0),0)</f>
        <v>0</v>
      </c>
      <c r="Y238" s="34">
        <f>IFERROR(IF(AND('Real results'!C229&lt;&gt;"",'Raw data'!Y229&lt;&gt;"",UPPER(TRIM('Real results'!C229))=UPPER(TRIM('Raw data'!Y229))),8,0),0)</f>
        <v>0</v>
      </c>
      <c r="AA238" s="34">
        <f>IFERROR(IF(AND('Real results'!C229&lt;&gt;"",'Raw data'!AA229&lt;&gt;"",UPPER(TRIM('Real results'!C229))=UPPER(TRIM('Raw data'!AA229))),8,0),0)</f>
        <v>0</v>
      </c>
      <c r="AC238" s="34">
        <f>IFERROR(IF(AND('Real results'!C229&lt;&gt;"",'Raw data'!AC229&lt;&gt;"",UPPER(TRIM('Real results'!C229))=UPPER(TRIM('Raw data'!AC229))),8,0),0)</f>
        <v>0</v>
      </c>
      <c r="AE238" s="34">
        <f>IFERROR(IF(AND('Real results'!C229&lt;&gt;"",'Raw data'!AE229&lt;&gt;"",UPPER(TRIM('Real results'!C229))=UPPER(TRIM('Raw data'!AE229))),8,0),0)</f>
        <v>0</v>
      </c>
      <c r="AG238" s="34">
        <f>IFERROR(IF(AND('Real results'!C229&lt;&gt;"",'Raw data'!AG229&lt;&gt;"",UPPER(TRIM('Real results'!C229))=UPPER(TRIM('Raw data'!AG229))),8,0),0)</f>
        <v>0</v>
      </c>
      <c r="AI238" s="34">
        <f>IFERROR(IF(AND('Real results'!C229&lt;&gt;"",'Raw data'!AI229&lt;&gt;"",UPPER(TRIM('Real results'!C229))=UPPER(TRIM('Raw data'!AI229))),8,0),0)</f>
        <v>0</v>
      </c>
      <c r="AK238" s="34">
        <f>IFERROR(IF(AND('Real results'!C229&lt;&gt;"",'Raw data'!AK229&lt;&gt;"",UPPER(TRIM('Real results'!C229))=UPPER(TRIM('Raw data'!AK229))),8,0),0)</f>
        <v>0</v>
      </c>
      <c r="AM238" s="34">
        <f>IFERROR(IF(AND('Real results'!C229&lt;&gt;"",'Raw data'!AM229&lt;&gt;"",UPPER(TRIM('Real results'!C229))=UPPER(TRIM('Raw data'!AM229))),8,0),0)</f>
        <v>0</v>
      </c>
      <c r="AO238" s="34">
        <f>IFERROR(IF(AND('Real results'!C229&lt;&gt;"",'Raw data'!AO229&lt;&gt;"",UPPER(TRIM('Real results'!C229))=UPPER(TRIM('Raw data'!AO229))),8,0),0)</f>
        <v>0</v>
      </c>
      <c r="AQ238" s="34">
        <f>IFERROR(IF(AND('Real results'!C229&lt;&gt;"",'Raw data'!AQ229&lt;&gt;"",UPPER(TRIM('Real results'!C229))=UPPER(TRIM('Raw data'!AQ229))),8,0),0)</f>
        <v>0</v>
      </c>
      <c r="AS238" s="34">
        <f>IFERROR(IF(AND('Real results'!C229&lt;&gt;"",'Raw data'!AS229&lt;&gt;"",UPPER(TRIM('Real results'!C229))=UPPER(TRIM('Raw data'!AS229))),8,0),0)</f>
        <v>0</v>
      </c>
      <c r="AU238" s="34">
        <f>IFERROR(IF(AND('Real results'!C229&lt;&gt;"",'Raw data'!AU229&lt;&gt;"",UPPER(TRIM('Real results'!C229))=UPPER(TRIM('Raw data'!AU229))),8,0),0)</f>
        <v>0</v>
      </c>
      <c r="AW238" s="34">
        <f>IFERROR(IF(AND('Real results'!C229&lt;&gt;"",'Raw data'!AW229&lt;&gt;"",UPPER(TRIM('Real results'!C229))=UPPER(TRIM('Raw data'!AW229))),8,0),0)</f>
        <v>0</v>
      </c>
      <c r="AY238" s="34">
        <f>IFERROR(IF(AND('Real results'!C229&lt;&gt;"",'Raw data'!AY229&lt;&gt;"",UPPER(TRIM('Real results'!C229))=UPPER(TRIM('Raw data'!AY229))),8,0),0)</f>
        <v>0</v>
      </c>
      <c r="BA238" s="34">
        <f>IFERROR(IF(AND('Real results'!C229&lt;&gt;"",'Raw data'!BA229&lt;&gt;"",UPPER(TRIM('Real results'!C229))=UPPER(TRIM('Raw data'!BA229))),8,0),0)</f>
        <v>0</v>
      </c>
      <c r="BC238" s="34">
        <f>IFERROR(IF(AND('Real results'!C229&lt;&gt;"",'Raw data'!BC229&lt;&gt;"",UPPER(TRIM('Real results'!C229))=UPPER(TRIM('Raw data'!BC229))),8,0),0)</f>
        <v>0</v>
      </c>
      <c r="BE238" s="34">
        <f>IFERROR(IF(AND('Real results'!C229&lt;&gt;"",'Raw data'!BE229&lt;&gt;"",UPPER(TRIM('Real results'!C229))=UPPER(TRIM('Raw data'!BE229))),8,0),0)</f>
        <v>0</v>
      </c>
      <c r="BG238" s="34">
        <f>IFERROR(IF(AND('Real results'!C229&lt;&gt;"",'Raw data'!BG229&lt;&gt;"",UPPER(TRIM('Real results'!C229))=UPPER(TRIM('Raw data'!BG229))),8,0),0)</f>
        <v>0</v>
      </c>
      <c r="BI238" s="34">
        <f>IFERROR(IF(AND('Real results'!C229&lt;&gt;"",'Raw data'!BI229&lt;&gt;"",UPPER(TRIM('Real results'!C229))=UPPER(TRIM('Raw data'!BI229))),8,0),0)</f>
        <v>0</v>
      </c>
    </row>
    <row r="239" ht="21.75" customHeight="1">
      <c r="B239" s="35" t="s">
        <v>487</v>
      </c>
      <c r="C239" s="36">
        <f>SUM(C237:C238)</f>
        <v>0</v>
      </c>
      <c r="E239" s="36">
        <f>SUM(E237:E238)</f>
        <v>0</v>
      </c>
      <c r="G239" s="36">
        <f>SUM(G237:G238)</f>
        <v>0</v>
      </c>
      <c r="I239" s="36">
        <f>SUM(I237:I238)</f>
        <v>0</v>
      </c>
      <c r="K239" s="36">
        <f>SUM(K237:K238)</f>
        <v>0</v>
      </c>
      <c r="M239" s="36">
        <f>SUM(M237:M238)</f>
        <v>0</v>
      </c>
      <c r="O239" s="36">
        <f>SUM(O237:O238)</f>
        <v>0</v>
      </c>
      <c r="Q239" s="36">
        <f>SUM(Q237:Q238)</f>
        <v>0</v>
      </c>
      <c r="S239" s="36">
        <f>SUM(S237:S238)</f>
        <v>0</v>
      </c>
      <c r="U239" s="36">
        <f>SUM(U237:U238)</f>
        <v>0</v>
      </c>
      <c r="W239" s="36">
        <f>SUM(W237:W238)</f>
        <v>0</v>
      </c>
      <c r="Y239" s="36">
        <f>SUM(Y237:Y238)</f>
        <v>0</v>
      </c>
      <c r="AA239" s="36">
        <f>SUM(AA237:AA238)</f>
        <v>0</v>
      </c>
      <c r="AC239" s="36">
        <f>SUM(AC237:AC238)</f>
        <v>0</v>
      </c>
      <c r="AE239" s="36">
        <f>SUM(AE237:AE238)</f>
        <v>0</v>
      </c>
      <c r="AG239" s="36">
        <f>SUM(AG237:AG238)</f>
        <v>0</v>
      </c>
      <c r="AI239" s="36">
        <f>SUM(AI237:AI238)</f>
        <v>0</v>
      </c>
      <c r="AK239" s="36">
        <f>SUM(AK237:AK238)</f>
        <v>0</v>
      </c>
      <c r="AM239" s="36">
        <f>SUM(AM237:AM238)</f>
        <v>0</v>
      </c>
      <c r="AO239" s="36">
        <f>SUM(AO237:AO238)</f>
        <v>0</v>
      </c>
      <c r="AQ239" s="36">
        <f>SUM(AQ237:AQ238)</f>
        <v>0</v>
      </c>
      <c r="AS239" s="36">
        <f>SUM(AS237:AS238)</f>
        <v>0</v>
      </c>
      <c r="AU239" s="36">
        <f>SUM(AU237:AU238)</f>
        <v>0</v>
      </c>
      <c r="AW239" s="36">
        <f>SUM(AW237:AW238)</f>
        <v>0</v>
      </c>
      <c r="AY239" s="36">
        <f>SUM(AY237:AY238)</f>
        <v>0</v>
      </c>
      <c r="BA239" s="36">
        <f>SUM(BA237:BA238)</f>
        <v>0</v>
      </c>
      <c r="BC239" s="36">
        <f>SUM(BC237:BC238)</f>
        <v>0</v>
      </c>
      <c r="BE239" s="36">
        <f>SUM(BE237:BE238)</f>
        <v>0</v>
      </c>
      <c r="BG239" s="36">
        <f>SUM(BG237:BG238)</f>
        <v>0</v>
      </c>
      <c r="BI239" s="36">
        <f>SUM(BI237:BI238)</f>
        <v>0</v>
      </c>
    </row>
    <row r="240" ht="15.75" customHeight="1"/>
    <row r="241" ht="30.0" customHeight="1">
      <c r="B241" s="37" t="s">
        <v>488</v>
      </c>
      <c r="C241" s="38">
        <f>SUMIF($B$7:$B$240,"Subtotal*",C$7:C$240)</f>
        <v>64</v>
      </c>
      <c r="E241" s="38">
        <f>SUMIF($B$7:$B$240,"Subtotal*",E$7:E$240)</f>
        <v>58</v>
      </c>
      <c r="G241" s="38">
        <f>SUMIF($B$7:$B$240,"Subtotal*",G$7:G$240)</f>
        <v>88</v>
      </c>
      <c r="I241" s="38">
        <f>SUMIF($B$7:$B$240,"Subtotal*",I$7:I$240)</f>
        <v>94</v>
      </c>
      <c r="K241" s="38">
        <f>SUMIF($B$7:$B$240,"Subtotal*",K$7:K$240)</f>
        <v>94</v>
      </c>
      <c r="M241" s="38">
        <f>SUMIF($B$7:$B$240,"Subtotal*",M$7:M$240)</f>
        <v>0</v>
      </c>
      <c r="O241" s="38">
        <f>SUMIF($B$7:$B$240,"Subtotal*",O$7:O$240)</f>
        <v>0</v>
      </c>
      <c r="Q241" s="38">
        <f>SUMIF($B$7:$B$240,"Subtotal*",Q$7:Q$240)</f>
        <v>0</v>
      </c>
      <c r="S241" s="38">
        <f>SUMIF($B$7:$B$240,"Subtotal*",S$7:S$240)</f>
        <v>0</v>
      </c>
      <c r="U241" s="38">
        <f>SUMIF($B$7:$B$240,"Subtotal*",U$7:U$240)</f>
        <v>0</v>
      </c>
      <c r="W241" s="38">
        <f>SUMIF($B$7:$B$240,"Subtotal*",W$7:W$240)</f>
        <v>0</v>
      </c>
      <c r="Y241" s="38">
        <f>SUMIF($B$7:$B$240,"Subtotal*",Y$7:Y$240)</f>
        <v>0</v>
      </c>
      <c r="AA241" s="38">
        <f>SUMIF($B$7:$B$240,"Subtotal*",AA$7:AA$240)</f>
        <v>0</v>
      </c>
      <c r="AC241" s="38">
        <f>SUMIF($B$7:$B$240,"Subtotal*",AC$7:AC$240)</f>
        <v>0</v>
      </c>
      <c r="AE241" s="38">
        <f>SUMIF($B$7:$B$240,"Subtotal*",AE$7:AE$240)</f>
        <v>0</v>
      </c>
      <c r="AG241" s="38">
        <f>SUMIF($B$7:$B$240,"Subtotal*",AG$7:AG$240)</f>
        <v>0</v>
      </c>
      <c r="AI241" s="38">
        <f>SUMIF($B$7:$B$240,"Subtotal*",AI$7:AI$240)</f>
        <v>0</v>
      </c>
      <c r="AK241" s="38">
        <f>SUMIF($B$7:$B$240,"Subtotal*",AK$7:AK$240)</f>
        <v>0</v>
      </c>
      <c r="AM241" s="38">
        <f>SUMIF($B$7:$B$240,"Subtotal*",AM$7:AM$240)</f>
        <v>0</v>
      </c>
      <c r="AO241" s="38">
        <f>SUMIF($B$7:$B$240,"Subtotal*",AO$7:AO$240)</f>
        <v>0</v>
      </c>
      <c r="AQ241" s="38">
        <f>SUMIF($B$7:$B$240,"Subtotal*",AQ$7:AQ$240)</f>
        <v>0</v>
      </c>
      <c r="AS241" s="38">
        <f>SUMIF($B$7:$B$240,"Subtotal*",AS$7:AS$240)</f>
        <v>0</v>
      </c>
      <c r="AU241" s="38">
        <f>SUMIF($B$7:$B$240,"Subtotal*",AU$7:AU$240)</f>
        <v>0</v>
      </c>
      <c r="AW241" s="38">
        <f>SUMIF($B$7:$B$240,"Subtotal*",AW$7:AW$240)</f>
        <v>0</v>
      </c>
      <c r="AY241" s="38">
        <f>SUMIF($B$7:$B$240,"Subtotal*",AY$7:AY$240)</f>
        <v>0</v>
      </c>
      <c r="BA241" s="38">
        <f>SUMIF($B$7:$B$240,"Subtotal*",BA$7:BA$240)</f>
        <v>0</v>
      </c>
      <c r="BC241" s="38">
        <f>SUMIF($B$7:$B$240,"Subtotal*",BC$7:BC$240)</f>
        <v>0</v>
      </c>
      <c r="BE241" s="38">
        <f>SUMIF($B$7:$B$240,"Subtotal*",BE$7:BE$240)</f>
        <v>0</v>
      </c>
      <c r="BG241" s="38">
        <f>SUMIF($B$7:$B$240,"Subtotal*",BG$7:BG$240)</f>
        <v>0</v>
      </c>
      <c r="BI241" s="38">
        <f>SUMIF($B$7:$B$240,"Subtotal*",BI$7:BI$240)</f>
        <v>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</sheetData>
  <mergeCells count="1">
    <mergeCell ref="B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32.0"/>
    <col customWidth="1" min="4" max="4" width="14.0"/>
    <col customWidth="1" min="5" max="5" width="3.0"/>
    <col customWidth="1" min="6" max="8" width="14.0"/>
  </cols>
  <sheetData>
    <row r="2" ht="36.0" customHeight="1">
      <c r="B2" s="39" t="s">
        <v>489</v>
      </c>
    </row>
    <row r="3" ht="21.75" customHeight="1">
      <c r="B3" s="8" t="s">
        <v>490</v>
      </c>
      <c r="F3" s="40" t="s">
        <v>491</v>
      </c>
    </row>
    <row r="5" ht="24.0" customHeight="1">
      <c r="B5" s="9" t="s">
        <v>492</v>
      </c>
      <c r="C5" s="9" t="s">
        <v>493</v>
      </c>
      <c r="D5" s="9" t="s">
        <v>494</v>
      </c>
      <c r="F5" s="40" t="s">
        <v>495</v>
      </c>
      <c r="G5" s="40" t="s">
        <v>496</v>
      </c>
      <c r="H5" s="40" t="s">
        <v>497</v>
      </c>
    </row>
    <row r="6" ht="24.0" customHeight="1">
      <c r="B6" s="41">
        <v>1.0</v>
      </c>
      <c r="C6" s="42" t="str">
        <f t="array" ref="C6">IFERROR(INDEX(F6:F35,MATCH(LARGE(H6:H35,1),H6:H35,0)),"")</f>
        <v>Tere</v>
      </c>
      <c r="D6" s="43">
        <f t="array" ref="D6">IFERROR(INDEX(G6:G35,MATCH(LARGE(H6:H35,1),H6:H35,0)),"")</f>
        <v>94</v>
      </c>
      <c r="F6" s="44" t="str">
        <f>'Raw data'!C6</f>
        <v>Matt</v>
      </c>
      <c r="G6" s="44">
        <f>Calculation!C241</f>
        <v>64</v>
      </c>
      <c r="H6" s="44">
        <f>G6*1000-0</f>
        <v>64000</v>
      </c>
    </row>
    <row r="7" ht="24.0" customHeight="1">
      <c r="B7" s="45">
        <v>2.0</v>
      </c>
      <c r="C7" s="46" t="str">
        <f t="array" ref="C7">IFERROR(INDEX(F6:F35,MATCH(LARGE(H6:H35,2),H6:H35,0)),"")</f>
        <v>Jose</v>
      </c>
      <c r="D7" s="47">
        <f t="array" ref="D7">IFERROR(INDEX(G6:G35,MATCH(LARGE(H6:H35,2),H6:H35,0)),"")</f>
        <v>94</v>
      </c>
      <c r="F7" s="44" t="str">
        <f>'Raw data'!E6</f>
        <v>Fer</v>
      </c>
      <c r="G7" s="44">
        <f>Calculation!E241</f>
        <v>58</v>
      </c>
      <c r="H7" s="44">
        <f>G7*1000-1</f>
        <v>57999</v>
      </c>
    </row>
    <row r="8" ht="24.0" customHeight="1">
      <c r="B8" s="48">
        <v>3.0</v>
      </c>
      <c r="C8" s="49" t="str">
        <f t="array" ref="C8">IFERROR(INDEX(F6:F35,MATCH(LARGE(H6:H35,3),H6:H35,0)),"")</f>
        <v>Pano</v>
      </c>
      <c r="D8" s="50">
        <f t="array" ref="D8">IFERROR(INDEX(G6:G35,MATCH(LARGE(H6:H35,3),H6:H35,0)),"")</f>
        <v>88</v>
      </c>
      <c r="F8" s="44" t="str">
        <f>'Raw data'!G6</f>
        <v>Pano</v>
      </c>
      <c r="G8" s="44">
        <f>Calculation!G241</f>
        <v>88</v>
      </c>
      <c r="H8" s="44">
        <f>G8*1000-2</f>
        <v>87998</v>
      </c>
    </row>
    <row r="9" ht="24.0" customHeight="1">
      <c r="B9" s="51">
        <v>4.0</v>
      </c>
      <c r="C9" s="52" t="str">
        <f t="array" ref="C9">IFERROR(INDEX(F6:F35,MATCH(LARGE(H6:H35,4),H6:H35,0)),"")</f>
        <v>Matt</v>
      </c>
      <c r="D9" s="53">
        <f t="array" ref="D9">IFERROR(INDEX(G6:G35,MATCH(LARGE(H6:H35,4),H6:H35,0)),"")</f>
        <v>64</v>
      </c>
      <c r="F9" s="44" t="str">
        <f>'Raw data'!I6</f>
        <v>Tere</v>
      </c>
      <c r="G9" s="44">
        <f>Calculation!I241</f>
        <v>94</v>
      </c>
      <c r="H9" s="44">
        <f>G9*1000-3</f>
        <v>93997</v>
      </c>
    </row>
    <row r="10" ht="24.0" customHeight="1">
      <c r="B10" s="51">
        <v>5.0</v>
      </c>
      <c r="C10" s="52" t="str">
        <f t="array" ref="C10">IFERROR(INDEX(F6:F35,MATCH(LARGE(H6:H35,5),H6:H35,0)),"")</f>
        <v>Fer</v>
      </c>
      <c r="D10" s="53">
        <f t="array" ref="D10">IFERROR(INDEX(G6:G35,MATCH(LARGE(H6:H35,5),H6:H35,0)),"")</f>
        <v>58</v>
      </c>
      <c r="F10" s="44" t="str">
        <f>'Raw data'!K6</f>
        <v>Jose</v>
      </c>
      <c r="G10" s="44">
        <f>Calculation!K241</f>
        <v>94</v>
      </c>
      <c r="H10" s="44">
        <f>G10*1000-4</f>
        <v>93996</v>
      </c>
    </row>
    <row r="11" ht="24.0" customHeight="1">
      <c r="B11" s="51">
        <v>6.0</v>
      </c>
      <c r="C11" s="52" t="str">
        <f t="array" ref="C11">IFERROR(INDEX(F6:F35,MATCH(LARGE(H6:H35,6),H6:H35,0)),"")</f>
        <v/>
      </c>
      <c r="D11" s="53">
        <f t="array" ref="D11">IFERROR(INDEX(G6:G35,MATCH(LARGE(H6:H35,6),H6:H35,0)),"")</f>
        <v>0</v>
      </c>
      <c r="F11" s="44" t="str">
        <f>'Raw data'!M6</f>
        <v/>
      </c>
      <c r="G11" s="44">
        <f>Calculation!M241</f>
        <v>0</v>
      </c>
      <c r="H11" s="44">
        <f>G11*1000-5</f>
        <v>-5</v>
      </c>
    </row>
    <row r="12" ht="24.0" customHeight="1">
      <c r="B12" s="51">
        <v>7.0</v>
      </c>
      <c r="C12" s="52" t="str">
        <f t="array" ref="C12">IFERROR(INDEX(F6:F35,MATCH(LARGE(H6:H35,7),H6:H35,0)),"")</f>
        <v/>
      </c>
      <c r="D12" s="53">
        <f t="array" ref="D12">IFERROR(INDEX(G6:G35,MATCH(LARGE(H6:H35,7),H6:H35,0)),"")</f>
        <v>0</v>
      </c>
      <c r="F12" s="44" t="str">
        <f>'Raw data'!O6</f>
        <v/>
      </c>
      <c r="G12" s="44">
        <f>Calculation!O241</f>
        <v>0</v>
      </c>
      <c r="H12" s="44">
        <f>G12*1000-6</f>
        <v>-6</v>
      </c>
    </row>
    <row r="13" ht="24.0" customHeight="1">
      <c r="B13" s="51">
        <v>8.0</v>
      </c>
      <c r="C13" s="52" t="str">
        <f t="array" ref="C13">IFERROR(INDEX(F6:F35,MATCH(LARGE(H6:H35,8),H6:H35,0)),"")</f>
        <v/>
      </c>
      <c r="D13" s="53">
        <f t="array" ref="D13">IFERROR(INDEX(G6:G35,MATCH(LARGE(H6:H35,8),H6:H35,0)),"")</f>
        <v>0</v>
      </c>
      <c r="F13" s="44" t="str">
        <f>'Raw data'!Q6</f>
        <v/>
      </c>
      <c r="G13" s="44">
        <f>Calculation!Q241</f>
        <v>0</v>
      </c>
      <c r="H13" s="44">
        <f>G13*1000-7</f>
        <v>-7</v>
      </c>
    </row>
    <row r="14" ht="24.0" customHeight="1">
      <c r="B14" s="51">
        <v>9.0</v>
      </c>
      <c r="C14" s="52" t="str">
        <f t="array" ref="C14">IFERROR(INDEX(F6:F35,MATCH(LARGE(H6:H35,9),H6:H35,0)),"")</f>
        <v/>
      </c>
      <c r="D14" s="53">
        <f t="array" ref="D14">IFERROR(INDEX(G6:G35,MATCH(LARGE(H6:H35,9),H6:H35,0)),"")</f>
        <v>0</v>
      </c>
      <c r="F14" s="44" t="str">
        <f>'Raw data'!S6</f>
        <v/>
      </c>
      <c r="G14" s="44">
        <f>Calculation!S241</f>
        <v>0</v>
      </c>
      <c r="H14" s="44">
        <f>G14*1000-8</f>
        <v>-8</v>
      </c>
    </row>
    <row r="15" ht="24.0" customHeight="1">
      <c r="B15" s="51">
        <v>10.0</v>
      </c>
      <c r="C15" s="52" t="str">
        <f t="array" ref="C15">IFERROR(INDEX(F6:F35,MATCH(LARGE(H6:H35,10),H6:H35,0)),"")</f>
        <v/>
      </c>
      <c r="D15" s="53">
        <f t="array" ref="D15">IFERROR(INDEX(G6:G35,MATCH(LARGE(H6:H35,10),H6:H35,0)),"")</f>
        <v>0</v>
      </c>
      <c r="F15" s="44" t="str">
        <f>'Raw data'!U6</f>
        <v/>
      </c>
      <c r="G15" s="44">
        <f>Calculation!U241</f>
        <v>0</v>
      </c>
      <c r="H15" s="44">
        <f>G15*1000-9</f>
        <v>-9</v>
      </c>
    </row>
    <row r="16" ht="24.0" customHeight="1">
      <c r="B16" s="51">
        <v>11.0</v>
      </c>
      <c r="C16" s="52" t="str">
        <f t="array" ref="C16">IFERROR(INDEX(F6:F35,MATCH(LARGE(H6:H35,11),H6:H35,0)),"")</f>
        <v/>
      </c>
      <c r="D16" s="53">
        <f t="array" ref="D16">IFERROR(INDEX(G6:G35,MATCH(LARGE(H6:H35,11),H6:H35,0)),"")</f>
        <v>0</v>
      </c>
      <c r="F16" s="44" t="str">
        <f>'Raw data'!W6</f>
        <v/>
      </c>
      <c r="G16" s="44">
        <f>Calculation!W241</f>
        <v>0</v>
      </c>
      <c r="H16" s="44">
        <f>G16*1000-10</f>
        <v>-10</v>
      </c>
    </row>
    <row r="17" ht="24.0" customHeight="1">
      <c r="B17" s="51">
        <v>12.0</v>
      </c>
      <c r="C17" s="52" t="str">
        <f t="array" ref="C17">IFERROR(INDEX(F6:F35,MATCH(LARGE(H6:H35,12),H6:H35,0)),"")</f>
        <v/>
      </c>
      <c r="D17" s="53">
        <f t="array" ref="D17">IFERROR(INDEX(G6:G35,MATCH(LARGE(H6:H35,12),H6:H35,0)),"")</f>
        <v>0</v>
      </c>
      <c r="F17" s="44" t="str">
        <f>'Raw data'!Y6</f>
        <v/>
      </c>
      <c r="G17" s="44">
        <f>Calculation!Y241</f>
        <v>0</v>
      </c>
      <c r="H17" s="44">
        <f>G17*1000-11</f>
        <v>-11</v>
      </c>
    </row>
    <row r="18" ht="24.0" customHeight="1">
      <c r="B18" s="51">
        <v>13.0</v>
      </c>
      <c r="C18" s="52" t="str">
        <f t="array" ref="C18">IFERROR(INDEX(F6:F35,MATCH(LARGE(H6:H35,13),H6:H35,0)),"")</f>
        <v/>
      </c>
      <c r="D18" s="53">
        <f t="array" ref="D18">IFERROR(INDEX(G6:G35,MATCH(LARGE(H6:H35,13),H6:H35,0)),"")</f>
        <v>0</v>
      </c>
      <c r="F18" s="44" t="str">
        <f>'Raw data'!AA6</f>
        <v/>
      </c>
      <c r="G18" s="44">
        <f>Calculation!AA241</f>
        <v>0</v>
      </c>
      <c r="H18" s="44">
        <f>G18*1000-12</f>
        <v>-12</v>
      </c>
    </row>
    <row r="19" ht="24.0" customHeight="1">
      <c r="B19" s="51">
        <v>14.0</v>
      </c>
      <c r="C19" s="52" t="str">
        <f t="array" ref="C19">IFERROR(INDEX(F6:F35,MATCH(LARGE(H6:H35,14),H6:H35,0)),"")</f>
        <v/>
      </c>
      <c r="D19" s="53">
        <f t="array" ref="D19">IFERROR(INDEX(G6:G35,MATCH(LARGE(H6:H35,14),H6:H35,0)),"")</f>
        <v>0</v>
      </c>
      <c r="F19" s="44" t="str">
        <f>'Raw data'!AC6</f>
        <v/>
      </c>
      <c r="G19" s="44">
        <f>Calculation!AC241</f>
        <v>0</v>
      </c>
      <c r="H19" s="44">
        <f>G19*1000-13</f>
        <v>-13</v>
      </c>
    </row>
    <row r="20" ht="24.0" customHeight="1">
      <c r="B20" s="51">
        <v>15.0</v>
      </c>
      <c r="C20" s="52" t="str">
        <f t="array" ref="C20">IFERROR(INDEX(F6:F35,MATCH(LARGE(H6:H35,15),H6:H35,0)),"")</f>
        <v/>
      </c>
      <c r="D20" s="53">
        <f t="array" ref="D20">IFERROR(INDEX(G6:G35,MATCH(LARGE(H6:H35,15),H6:H35,0)),"")</f>
        <v>0</v>
      </c>
      <c r="F20" s="44" t="str">
        <f>'Raw data'!AE6</f>
        <v/>
      </c>
      <c r="G20" s="44">
        <f>Calculation!AE241</f>
        <v>0</v>
      </c>
      <c r="H20" s="44">
        <f>G20*1000-14</f>
        <v>-14</v>
      </c>
    </row>
    <row r="21" ht="24.0" customHeight="1">
      <c r="B21" s="51">
        <v>16.0</v>
      </c>
      <c r="C21" s="52" t="str">
        <f t="array" ref="C21">IFERROR(INDEX(F6:F35,MATCH(LARGE(H6:H35,16),H6:H35,0)),"")</f>
        <v/>
      </c>
      <c r="D21" s="53">
        <f t="array" ref="D21">IFERROR(INDEX(G6:G35,MATCH(LARGE(H6:H35,16),H6:H35,0)),"")</f>
        <v>0</v>
      </c>
      <c r="F21" s="44" t="str">
        <f>'Raw data'!AG6</f>
        <v/>
      </c>
      <c r="G21" s="44">
        <f>Calculation!AG241</f>
        <v>0</v>
      </c>
      <c r="H21" s="44">
        <f>G21*1000-15</f>
        <v>-15</v>
      </c>
    </row>
    <row r="22" ht="24.0" customHeight="1">
      <c r="B22" s="51">
        <v>17.0</v>
      </c>
      <c r="C22" s="52" t="str">
        <f t="array" ref="C22">IFERROR(INDEX(F6:F35,MATCH(LARGE(H6:H35,17),H6:H35,0)),"")</f>
        <v/>
      </c>
      <c r="D22" s="53">
        <f t="array" ref="D22">IFERROR(INDEX(G6:G35,MATCH(LARGE(H6:H35,17),H6:H35,0)),"")</f>
        <v>0</v>
      </c>
      <c r="F22" s="44" t="str">
        <f>'Raw data'!AI6</f>
        <v/>
      </c>
      <c r="G22" s="44">
        <f>Calculation!AI241</f>
        <v>0</v>
      </c>
      <c r="H22" s="44">
        <f>G22*1000-16</f>
        <v>-16</v>
      </c>
    </row>
    <row r="23" ht="24.0" customHeight="1">
      <c r="B23" s="51">
        <v>18.0</v>
      </c>
      <c r="C23" s="52" t="str">
        <f t="array" ref="C23">IFERROR(INDEX(F6:F35,MATCH(LARGE(H6:H35,18),H6:H35,0)),"")</f>
        <v/>
      </c>
      <c r="D23" s="53">
        <f t="array" ref="D23">IFERROR(INDEX(G6:G35,MATCH(LARGE(H6:H35,18),H6:H35,0)),"")</f>
        <v>0</v>
      </c>
      <c r="F23" s="44" t="str">
        <f>'Raw data'!AK6</f>
        <v/>
      </c>
      <c r="G23" s="44">
        <f>Calculation!AK241</f>
        <v>0</v>
      </c>
      <c r="H23" s="44">
        <f>G23*1000-17</f>
        <v>-17</v>
      </c>
    </row>
    <row r="24" ht="24.0" customHeight="1">
      <c r="B24" s="51">
        <v>19.0</v>
      </c>
      <c r="C24" s="52" t="str">
        <f t="array" ref="C24">IFERROR(INDEX(F6:F35,MATCH(LARGE(H6:H35,19),H6:H35,0)),"")</f>
        <v/>
      </c>
      <c r="D24" s="53">
        <f t="array" ref="D24">IFERROR(INDEX(G6:G35,MATCH(LARGE(H6:H35,19),H6:H35,0)),"")</f>
        <v>0</v>
      </c>
      <c r="F24" s="44" t="str">
        <f>'Raw data'!AM6</f>
        <v/>
      </c>
      <c r="G24" s="44">
        <f>Calculation!AM241</f>
        <v>0</v>
      </c>
      <c r="H24" s="44">
        <f>G24*1000-18</f>
        <v>-18</v>
      </c>
    </row>
    <row r="25" ht="24.0" customHeight="1">
      <c r="B25" s="51">
        <v>20.0</v>
      </c>
      <c r="C25" s="52" t="str">
        <f t="array" ref="C25">IFERROR(INDEX(F6:F35,MATCH(LARGE(H6:H35,20),H6:H35,0)),"")</f>
        <v/>
      </c>
      <c r="D25" s="53">
        <f t="array" ref="D25">IFERROR(INDEX(G6:G35,MATCH(LARGE(H6:H35,20),H6:H35,0)),"")</f>
        <v>0</v>
      </c>
      <c r="F25" s="44" t="str">
        <f>'Raw data'!AO6</f>
        <v/>
      </c>
      <c r="G25" s="44">
        <f>Calculation!AO241</f>
        <v>0</v>
      </c>
      <c r="H25" s="44">
        <f>G25*1000-19</f>
        <v>-19</v>
      </c>
    </row>
    <row r="26" ht="24.0" customHeight="1">
      <c r="B26" s="51">
        <v>21.0</v>
      </c>
      <c r="C26" s="52" t="str">
        <f t="array" ref="C26">IFERROR(INDEX(F6:F35,MATCH(LARGE(H6:H35,21),H6:H35,0)),"")</f>
        <v/>
      </c>
      <c r="D26" s="53">
        <f t="array" ref="D26">IFERROR(INDEX(G6:G35,MATCH(LARGE(H6:H35,21),H6:H35,0)),"")</f>
        <v>0</v>
      </c>
      <c r="F26" s="44" t="str">
        <f>'Raw data'!AQ6</f>
        <v/>
      </c>
      <c r="G26" s="44">
        <f>Calculation!AQ241</f>
        <v>0</v>
      </c>
      <c r="H26" s="44">
        <f>G26*1000-20</f>
        <v>-20</v>
      </c>
    </row>
    <row r="27" ht="24.0" customHeight="1">
      <c r="B27" s="51">
        <v>22.0</v>
      </c>
      <c r="C27" s="52" t="str">
        <f t="array" ref="C27">IFERROR(INDEX(F6:F35,MATCH(LARGE(H6:H35,22),H6:H35,0)),"")</f>
        <v/>
      </c>
      <c r="D27" s="53">
        <f t="array" ref="D27">IFERROR(INDEX(G6:G35,MATCH(LARGE(H6:H35,22),H6:H35,0)),"")</f>
        <v>0</v>
      </c>
      <c r="F27" s="44" t="str">
        <f>'Raw data'!AS6</f>
        <v/>
      </c>
      <c r="G27" s="44">
        <f>Calculation!AS241</f>
        <v>0</v>
      </c>
      <c r="H27" s="44">
        <f>G27*1000-21</f>
        <v>-21</v>
      </c>
    </row>
    <row r="28" ht="24.0" customHeight="1">
      <c r="B28" s="51">
        <v>23.0</v>
      </c>
      <c r="C28" s="52" t="str">
        <f t="array" ref="C28">IFERROR(INDEX(F6:F35,MATCH(LARGE(H6:H35,23),H6:H35,0)),"")</f>
        <v/>
      </c>
      <c r="D28" s="53">
        <f t="array" ref="D28">IFERROR(INDEX(G6:G35,MATCH(LARGE(H6:H35,23),H6:H35,0)),"")</f>
        <v>0</v>
      </c>
      <c r="F28" s="44" t="str">
        <f>'Raw data'!AU6</f>
        <v/>
      </c>
      <c r="G28" s="44">
        <f>Calculation!AU241</f>
        <v>0</v>
      </c>
      <c r="H28" s="44">
        <f>G28*1000-22</f>
        <v>-22</v>
      </c>
    </row>
    <row r="29" ht="24.0" customHeight="1">
      <c r="B29" s="51">
        <v>24.0</v>
      </c>
      <c r="C29" s="52" t="str">
        <f t="array" ref="C29">IFERROR(INDEX(F6:F35,MATCH(LARGE(H6:H35,24),H6:H35,0)),"")</f>
        <v/>
      </c>
      <c r="D29" s="53">
        <f t="array" ref="D29">IFERROR(INDEX(G6:G35,MATCH(LARGE(H6:H35,24),H6:H35,0)),"")</f>
        <v>0</v>
      </c>
      <c r="F29" s="44" t="str">
        <f>'Raw data'!AW6</f>
        <v/>
      </c>
      <c r="G29" s="44">
        <f>Calculation!AW241</f>
        <v>0</v>
      </c>
      <c r="H29" s="44">
        <f>G29*1000-23</f>
        <v>-23</v>
      </c>
    </row>
    <row r="30" ht="24.0" customHeight="1">
      <c r="B30" s="51">
        <v>25.0</v>
      </c>
      <c r="C30" s="52" t="str">
        <f t="array" ref="C30">IFERROR(INDEX(F6:F35,MATCH(LARGE(H6:H35,25),H6:H35,0)),"")</f>
        <v/>
      </c>
      <c r="D30" s="53">
        <f t="array" ref="D30">IFERROR(INDEX(G6:G35,MATCH(LARGE(H6:H35,25),H6:H35,0)),"")</f>
        <v>0</v>
      </c>
      <c r="F30" s="44" t="str">
        <f>'Raw data'!AY6</f>
        <v/>
      </c>
      <c r="G30" s="44">
        <f>Calculation!AY241</f>
        <v>0</v>
      </c>
      <c r="H30" s="44">
        <f>G30*1000-24</f>
        <v>-24</v>
      </c>
    </row>
    <row r="31" ht="24.0" customHeight="1">
      <c r="B31" s="51">
        <v>26.0</v>
      </c>
      <c r="C31" s="52" t="str">
        <f t="array" ref="C31">IFERROR(INDEX(F6:F35,MATCH(LARGE(H6:H35,26),H6:H35,0)),"")</f>
        <v/>
      </c>
      <c r="D31" s="53">
        <f t="array" ref="D31">IFERROR(INDEX(G6:G35,MATCH(LARGE(H6:H35,26),H6:H35,0)),"")</f>
        <v>0</v>
      </c>
      <c r="F31" s="44" t="str">
        <f>'Raw data'!BA6</f>
        <v/>
      </c>
      <c r="G31" s="44">
        <f>Calculation!BA241</f>
        <v>0</v>
      </c>
      <c r="H31" s="44">
        <f>G31*1000-25</f>
        <v>-25</v>
      </c>
    </row>
    <row r="32" ht="24.0" customHeight="1">
      <c r="B32" s="51">
        <v>27.0</v>
      </c>
      <c r="C32" s="52" t="str">
        <f t="array" ref="C32">IFERROR(INDEX(F6:F35,MATCH(LARGE(H6:H35,27),H6:H35,0)),"")</f>
        <v/>
      </c>
      <c r="D32" s="53">
        <f t="array" ref="D32">IFERROR(INDEX(G6:G35,MATCH(LARGE(H6:H35,27),H6:H35,0)),"")</f>
        <v>0</v>
      </c>
      <c r="F32" s="44" t="str">
        <f>'Raw data'!BC6</f>
        <v/>
      </c>
      <c r="G32" s="44">
        <f>Calculation!BC241</f>
        <v>0</v>
      </c>
      <c r="H32" s="44">
        <f>G32*1000-26</f>
        <v>-26</v>
      </c>
    </row>
    <row r="33" ht="24.0" customHeight="1">
      <c r="B33" s="51">
        <v>28.0</v>
      </c>
      <c r="C33" s="52" t="str">
        <f t="array" ref="C33">IFERROR(INDEX(F6:F35,MATCH(LARGE(H6:H35,28),H6:H35,0)),"")</f>
        <v/>
      </c>
      <c r="D33" s="53">
        <f t="array" ref="D33">IFERROR(INDEX(G6:G35,MATCH(LARGE(H6:H35,28),H6:H35,0)),"")</f>
        <v>0</v>
      </c>
      <c r="F33" s="44" t="str">
        <f>'Raw data'!BE6</f>
        <v/>
      </c>
      <c r="G33" s="44">
        <f>Calculation!BE241</f>
        <v>0</v>
      </c>
      <c r="H33" s="44">
        <f>G33*1000-27</f>
        <v>-27</v>
      </c>
    </row>
    <row r="34" ht="24.0" customHeight="1">
      <c r="B34" s="51">
        <v>29.0</v>
      </c>
      <c r="C34" s="52" t="str">
        <f t="array" ref="C34">IFERROR(INDEX(F6:F35,MATCH(LARGE(H6:H35,29),H6:H35,0)),"")</f>
        <v/>
      </c>
      <c r="D34" s="53">
        <f t="array" ref="D34">IFERROR(INDEX(G6:G35,MATCH(LARGE(H6:H35,29),H6:H35,0)),"")</f>
        <v>0</v>
      </c>
      <c r="F34" s="44" t="str">
        <f>'Raw data'!BG6</f>
        <v/>
      </c>
      <c r="G34" s="44">
        <f>Calculation!BG241</f>
        <v>0</v>
      </c>
      <c r="H34" s="44">
        <f>G34*1000-28</f>
        <v>-28</v>
      </c>
    </row>
    <row r="35" ht="24.0" customHeight="1">
      <c r="B35" s="51">
        <v>30.0</v>
      </c>
      <c r="C35" s="52" t="str">
        <f t="array" ref="C35">IFERROR(INDEX(F6:F35,MATCH(LARGE(H6:H35,30),H6:H35,0)),"")</f>
        <v/>
      </c>
      <c r="D35" s="53">
        <f t="array" ref="D35">IFERROR(INDEX(G6:G35,MATCH(LARGE(H6:H35,30),H6:H35,0)),"")</f>
        <v>0</v>
      </c>
      <c r="F35" s="44" t="str">
        <f>'Raw data'!BI6</f>
        <v/>
      </c>
      <c r="G35" s="44">
        <f>Calculation!BI241</f>
        <v>0</v>
      </c>
      <c r="H35" s="44">
        <f>G35*1000-29</f>
        <v>-29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