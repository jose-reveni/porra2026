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<sst xmlns="http://schemas.openxmlformats.org/spreadsheetml/2006/main" count="2012" uniqueCount="523">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</sst>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/>
      <c r="D80" s="16"/>
      <c r="E80" s="1"/>
    </row>
    <row r="81" ht="18.0" customHeight="1">
      <c r="A81" s="1"/>
      <c r="B81" s="13" t="s">
        <v>101</v>
      </c>
      <c r="C81" s="15"/>
      <c r="D81" s="16"/>
      <c r="E81" s="1"/>
    </row>
    <row r="82" ht="18.0" customHeight="1">
      <c r="A82" s="1"/>
      <c r="B82" s="13" t="s">
        <v>102</v>
      </c>
      <c r="C82" s="15"/>
      <c r="D82" s="16"/>
      <c r="E82" s="1"/>
    </row>
    <row r="83" ht="18.0" customHeight="1">
      <c r="A83" s="1"/>
      <c r="B83" s="13" t="s">
        <v>103</v>
      </c>
      <c r="C83" s="15"/>
      <c r="D83" s="16"/>
      <c r="E83" s="1"/>
    </row>
    <row r="84" ht="18.0" customHeight="1">
      <c r="A84" s="1"/>
      <c r="B84" s="13" t="s">
        <v>104</v>
      </c>
      <c r="C84" s="15"/>
      <c r="D84" s="16"/>
      <c r="E84" s="1"/>
    </row>
    <row r="85" ht="18.0" customHeight="1">
      <c r="A85" s="1"/>
      <c r="B85" s="13" t="s">
        <v>105</v>
      </c>
      <c r="C85" s="15"/>
      <c r="D85" s="16"/>
      <c r="E85" s="1"/>
    </row>
    <row r="86" ht="18.0" customHeight="1">
      <c r="A86" s="1"/>
      <c r="B86" s="13" t="s">
        <v>106</v>
      </c>
      <c r="C86" s="15"/>
      <c r="D86" s="16"/>
      <c r="E86" s="1"/>
    </row>
    <row r="87" ht="18.0" customHeight="1">
      <c r="A87" s="1"/>
      <c r="B87" s="13" t="s">
        <v>107</v>
      </c>
      <c r="C87" s="15"/>
      <c r="D87" s="16"/>
      <c r="E87" s="1"/>
    </row>
    <row r="88" ht="18.0" customHeight="1">
      <c r="A88" s="1"/>
      <c r="B88" s="13" t="s">
        <v>108</v>
      </c>
      <c r="C88" s="15"/>
      <c r="D88" s="16"/>
      <c r="E88" s="1"/>
    </row>
    <row r="89" ht="18.0" customHeight="1">
      <c r="A89" s="1"/>
      <c r="B89" s="13" t="s">
        <v>109</v>
      </c>
      <c r="C89" s="15"/>
      <c r="D89" s="16"/>
      <c r="E89" s="1"/>
    </row>
    <row r="90" ht="18.0" customHeight="1">
      <c r="A90" s="1"/>
      <c r="B90" s="13" t="s">
        <v>110</v>
      </c>
      <c r="C90" s="15"/>
      <c r="D90" s="16"/>
      <c r="E90" s="1"/>
    </row>
    <row r="91" ht="18.0" customHeight="1">
      <c r="A91" s="1"/>
      <c r="B91" s="13" t="s">
        <v>111</v>
      </c>
      <c r="C91" s="15"/>
      <c r="D91" s="16"/>
      <c r="E91" s="1"/>
    </row>
    <row r="92" ht="18.0" customHeight="1">
      <c r="A92" s="1"/>
      <c r="B92" s="13" t="s">
        <v>112</v>
      </c>
      <c r="C92" s="15"/>
      <c r="D92" s="16"/>
      <c r="E92" s="1"/>
    </row>
    <row r="93" ht="18.0" customHeight="1">
      <c r="A93" s="1"/>
      <c r="B93" s="13" t="s">
        <v>113</v>
      </c>
      <c r="C93" s="15"/>
      <c r="D93" s="16"/>
      <c r="E93" s="1"/>
    </row>
    <row r="94" ht="18.0" customHeight="1">
      <c r="A94" s="1"/>
      <c r="B94" s="13" t="s">
        <v>114</v>
      </c>
      <c r="C94" s="15"/>
      <c r="D94" s="16"/>
      <c r="E94" s="1"/>
    </row>
    <row r="95" ht="18.0" customHeight="1">
      <c r="A95" s="1"/>
      <c r="B95" s="13" t="s">
        <v>115</v>
      </c>
      <c r="C95" s="15"/>
      <c r="D95" s="16"/>
      <c r="E95" s="1"/>
    </row>
    <row r="96" ht="18.0" customHeight="1">
      <c r="A96" s="1"/>
      <c r="B96" s="13" t="s">
        <v>116</v>
      </c>
      <c r="C96" s="15"/>
      <c r="D96" s="16"/>
      <c r="E96" s="1"/>
    </row>
    <row r="97" ht="18.0" customHeight="1">
      <c r="A97" s="1"/>
      <c r="B97" s="13" t="s">
        <v>117</v>
      </c>
      <c r="C97" s="15"/>
      <c r="D97" s="16"/>
      <c r="E97" s="1"/>
    </row>
    <row r="98" ht="18.0" customHeight="1">
      <c r="A98" s="1"/>
      <c r="B98" s="13" t="s">
        <v>118</v>
      </c>
      <c r="C98" s="15"/>
      <c r="D98" s="16"/>
      <c r="E98" s="1"/>
    </row>
    <row r="99" ht="18.0" customHeight="1">
      <c r="A99" s="1"/>
      <c r="B99" s="13" t="s">
        <v>119</v>
      </c>
      <c r="C99" s="15"/>
      <c r="D99" s="16"/>
      <c r="E99" s="1"/>
    </row>
    <row r="100" ht="18.0" customHeight="1">
      <c r="A100" s="1"/>
      <c r="B100" s="13" t="s">
        <v>120</v>
      </c>
      <c r="C100" s="15"/>
      <c r="D100" s="16"/>
      <c r="E100" s="1"/>
    </row>
    <row r="101" ht="18.0" customHeight="1">
      <c r="A101" s="1"/>
      <c r="B101" s="13" t="s">
        <v>121</v>
      </c>
      <c r="C101" s="15"/>
      <c r="D101" s="16"/>
      <c r="E101" s="1"/>
    </row>
    <row r="102" ht="18.0" customHeight="1">
      <c r="A102" s="1"/>
      <c r="B102" s="13" t="s">
        <v>122</v>
      </c>
      <c r="C102" s="15"/>
      <c r="D102" s="16"/>
      <c r="E102" s="1"/>
    </row>
    <row r="103" ht="18.0" customHeight="1">
      <c r="A103" s="1"/>
      <c r="B103" s="13" t="s">
        <v>123</v>
      </c>
      <c r="C103" s="15"/>
      <c r="D103" s="16"/>
      <c r="E103" s="1"/>
    </row>
    <row r="104" ht="18.0" customHeight="1">
      <c r="A104" s="1"/>
      <c r="B104" s="13" t="s">
        <v>124</v>
      </c>
      <c r="C104" s="15"/>
      <c r="D104" s="16"/>
      <c r="E104" s="1"/>
    </row>
    <row r="105" ht="18.0" customHeight="1">
      <c r="A105" s="1"/>
      <c r="B105" s="13" t="s">
        <v>125</v>
      </c>
      <c r="C105" s="15"/>
      <c r="D105" s="16"/>
      <c r="E105" s="1"/>
    </row>
    <row r="106" ht="18.0" customHeight="1">
      <c r="A106" s="1"/>
      <c r="B106" s="13" t="s">
        <v>126</v>
      </c>
      <c r="C106" s="15"/>
      <c r="D106" s="16"/>
      <c r="E106" s="1"/>
    </row>
    <row r="107" ht="18.0" customHeight="1">
      <c r="A107" s="1"/>
      <c r="B107" s="13" t="s">
        <v>127</v>
      </c>
      <c r="C107" s="15"/>
      <c r="D107" s="16"/>
      <c r="E107" s="1"/>
    </row>
    <row r="108" ht="18.0" customHeight="1">
      <c r="A108" s="1"/>
      <c r="B108" s="13" t="s">
        <v>128</v>
      </c>
      <c r="C108" s="15"/>
      <c r="D108" s="16"/>
      <c r="E108" s="1"/>
    </row>
    <row r="109" ht="18.0" customHeight="1">
      <c r="A109" s="1"/>
      <c r="B109" s="13" t="s">
        <v>129</v>
      </c>
      <c r="C109" s="15"/>
      <c r="D109" s="16"/>
      <c r="E109" s="1"/>
    </row>
    <row r="110" ht="18.0" customHeight="1">
      <c r="A110" s="1"/>
      <c r="B110" s="13" t="s">
        <v>130</v>
      </c>
      <c r="C110" s="15"/>
      <c r="D110" s="16"/>
      <c r="E110" s="1"/>
    </row>
    <row r="111" ht="18.0" customHeight="1">
      <c r="A111" s="1"/>
      <c r="B111" s="13" t="s">
        <v>131</v>
      </c>
      <c r="C111" s="15"/>
      <c r="D111" s="16"/>
      <c r="E111" s="1"/>
    </row>
    <row r="112" ht="18.0" customHeight="1">
      <c r="A112" s="1"/>
      <c r="B112" s="13" t="s">
        <v>132</v>
      </c>
      <c r="C112" s="15"/>
      <c r="D112" s="16"/>
      <c r="E112" s="1"/>
    </row>
    <row r="113" ht="18.0" customHeight="1">
      <c r="A113" s="1"/>
      <c r="B113" s="13" t="s">
        <v>133</v>
      </c>
      <c r="C113" s="15"/>
      <c r="D113" s="16"/>
      <c r="E113" s="1"/>
    </row>
    <row r="114" ht="18.0" customHeight="1">
      <c r="A114" s="1"/>
      <c r="B114" s="13" t="s">
        <v>134</v>
      </c>
      <c r="C114" s="15"/>
      <c r="D114" s="16"/>
      <c r="E114" s="1"/>
    </row>
    <row r="115" ht="18.0" customHeight="1">
      <c r="A115" s="1"/>
      <c r="B115" s="13" t="s">
        <v>135</v>
      </c>
      <c r="C115" s="15"/>
      <c r="D115" s="16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5"/>
      <c r="D117" s="16"/>
      <c r="E117" s="1"/>
    </row>
    <row r="118" ht="18.0" customHeight="1">
      <c r="A118" s="1"/>
      <c r="B118" s="13" t="s">
        <v>138</v>
      </c>
      <c r="C118" s="15"/>
      <c r="D118" s="16"/>
      <c r="E118" s="1"/>
    </row>
    <row r="119" ht="18.0" customHeight="1">
      <c r="A119" s="1"/>
      <c r="B119" s="13" t="s">
        <v>139</v>
      </c>
      <c r="C119" s="15"/>
      <c r="D119" s="16"/>
      <c r="E119" s="1"/>
    </row>
    <row r="120" ht="18.0" customHeight="1">
      <c r="A120" s="1"/>
      <c r="B120" s="13" t="s">
        <v>140</v>
      </c>
      <c r="C120" s="15"/>
      <c r="D120" s="16"/>
      <c r="E120" s="1"/>
    </row>
    <row r="121" ht="18.0" customHeight="1">
      <c r="A121" s="1"/>
      <c r="B121" s="13" t="s">
        <v>141</v>
      </c>
      <c r="C121" s="15"/>
      <c r="D121" s="16"/>
      <c r="E121" s="1"/>
    </row>
    <row r="122" ht="18.0" customHeight="1">
      <c r="A122" s="1"/>
      <c r="B122" s="13" t="s">
        <v>142</v>
      </c>
      <c r="C122" s="15"/>
      <c r="D122" s="16"/>
      <c r="E122" s="1"/>
    </row>
    <row r="123" ht="18.0" customHeight="1">
      <c r="A123" s="1"/>
      <c r="B123" s="13" t="s">
        <v>143</v>
      </c>
      <c r="C123" s="15"/>
      <c r="D123" s="16"/>
      <c r="E123" s="1"/>
    </row>
    <row r="124" ht="18.0" customHeight="1">
      <c r="A124" s="1"/>
      <c r="B124" s="13" t="s">
        <v>144</v>
      </c>
      <c r="C124" s="15"/>
      <c r="D124" s="16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7"/>
      <c r="D126" s="17"/>
      <c r="E126" s="1"/>
    </row>
    <row r="127" ht="18.0" customHeight="1">
      <c r="A127" s="1"/>
      <c r="B127" s="13" t="s">
        <v>147</v>
      </c>
      <c r="C127" s="15"/>
      <c r="D127" s="16"/>
      <c r="E127" s="1"/>
    </row>
    <row r="128" ht="18.0" customHeight="1">
      <c r="A128" s="1"/>
      <c r="B128" s="13" t="s">
        <v>148</v>
      </c>
      <c r="C128" s="15"/>
      <c r="D128" s="16"/>
      <c r="E128" s="1"/>
    </row>
    <row r="129" ht="18.0" customHeight="1">
      <c r="A129" s="1"/>
      <c r="B129" s="13" t="s">
        <v>149</v>
      </c>
      <c r="C129" s="17"/>
      <c r="D129" s="17"/>
      <c r="E129" s="1"/>
    </row>
    <row r="130" ht="18.0" customHeight="1">
      <c r="A130" s="1"/>
      <c r="B130" s="13" t="s">
        <v>150</v>
      </c>
      <c r="C130" s="15"/>
      <c r="D130" s="16"/>
      <c r="E130" s="1"/>
    </row>
    <row r="131" ht="18.0" customHeight="1">
      <c r="A131" s="1"/>
      <c r="B131" s="13" t="s">
        <v>151</v>
      </c>
      <c r="C131" s="15"/>
      <c r="D131" s="16"/>
      <c r="E131" s="1"/>
    </row>
    <row r="132" ht="18.0" customHeight="1">
      <c r="A132" s="1"/>
      <c r="B132" s="13" t="s">
        <v>152</v>
      </c>
      <c r="C132" s="17"/>
      <c r="D132" s="17"/>
      <c r="E132" s="1"/>
    </row>
    <row r="133" ht="18.0" customHeight="1">
      <c r="A133" s="1"/>
      <c r="B133" s="13" t="s">
        <v>153</v>
      </c>
      <c r="C133" s="15"/>
      <c r="D133" s="16"/>
      <c r="E133" s="1"/>
    </row>
    <row r="134" ht="18.0" customHeight="1">
      <c r="A134" s="1"/>
      <c r="B134" s="13" t="s">
        <v>154</v>
      </c>
      <c r="C134" s="15"/>
      <c r="D134" s="16"/>
      <c r="E134" s="1"/>
    </row>
    <row r="135" ht="18.0" customHeight="1">
      <c r="A135" s="1"/>
      <c r="B135" s="13" t="s">
        <v>155</v>
      </c>
      <c r="C135" s="17"/>
      <c r="D135" s="17"/>
      <c r="E135" s="1"/>
    </row>
    <row r="136" ht="18.0" customHeight="1">
      <c r="A136" s="1"/>
      <c r="B136" s="13" t="s">
        <v>156</v>
      </c>
      <c r="C136" s="15"/>
      <c r="D136" s="16"/>
      <c r="E136" s="1"/>
    </row>
    <row r="137" ht="18.0" customHeight="1">
      <c r="A137" s="1"/>
      <c r="B137" s="13" t="s">
        <v>157</v>
      </c>
      <c r="C137" s="15"/>
      <c r="D137" s="16"/>
      <c r="E137" s="1"/>
    </row>
    <row r="138" ht="18.0" customHeight="1">
      <c r="A138" s="1"/>
      <c r="B138" s="13" t="s">
        <v>158</v>
      </c>
      <c r="C138" s="17"/>
      <c r="D138" s="17"/>
      <c r="E138" s="1"/>
    </row>
    <row r="139" ht="18.0" customHeight="1">
      <c r="A139" s="1"/>
      <c r="B139" s="13" t="s">
        <v>159</v>
      </c>
      <c r="C139" s="15"/>
      <c r="D139" s="16"/>
      <c r="E139" s="1"/>
    </row>
    <row r="140" ht="18.0" customHeight="1">
      <c r="A140" s="1"/>
      <c r="B140" s="13" t="s">
        <v>160</v>
      </c>
      <c r="C140" s="15"/>
      <c r="D140" s="16"/>
      <c r="E140" s="1"/>
    </row>
    <row r="141" ht="18.0" customHeight="1">
      <c r="A141" s="1"/>
      <c r="B141" s="13" t="s">
        <v>161</v>
      </c>
      <c r="C141" s="17"/>
      <c r="D141" s="17"/>
      <c r="E141" s="1"/>
    </row>
    <row r="142" ht="18.0" customHeight="1">
      <c r="A142" s="1"/>
      <c r="B142" s="13" t="s">
        <v>162</v>
      </c>
      <c r="C142" s="15"/>
      <c r="D142" s="16"/>
      <c r="E142" s="1"/>
    </row>
    <row r="143" ht="18.0" customHeight="1">
      <c r="A143" s="1"/>
      <c r="B143" s="13" t="s">
        <v>163</v>
      </c>
      <c r="C143" s="15"/>
      <c r="D143" s="16"/>
      <c r="E143" s="1"/>
    </row>
    <row r="144" ht="18.0" customHeight="1">
      <c r="A144" s="1"/>
      <c r="B144" s="13" t="s">
        <v>164</v>
      </c>
      <c r="C144" s="17"/>
      <c r="D144" s="17"/>
      <c r="E144" s="1"/>
    </row>
    <row r="145" ht="18.0" customHeight="1">
      <c r="A145" s="1"/>
      <c r="B145" s="13" t="s">
        <v>165</v>
      </c>
      <c r="C145" s="15"/>
      <c r="D145" s="16"/>
      <c r="E145" s="1"/>
    </row>
    <row r="146" ht="18.0" customHeight="1">
      <c r="A146" s="1"/>
      <c r="B146" s="13" t="s">
        <v>166</v>
      </c>
      <c r="C146" s="15"/>
      <c r="D146" s="16"/>
      <c r="E146" s="1"/>
    </row>
    <row r="147" ht="18.0" customHeight="1">
      <c r="A147" s="1"/>
      <c r="B147" s="13" t="s">
        <v>167</v>
      </c>
      <c r="C147" s="17"/>
      <c r="D147" s="17"/>
      <c r="E147" s="1"/>
    </row>
    <row r="148" ht="18.0" customHeight="1">
      <c r="A148" s="1"/>
      <c r="B148" s="13" t="s">
        <v>168</v>
      </c>
      <c r="C148" s="15"/>
      <c r="D148" s="16"/>
      <c r="E148" s="1"/>
    </row>
    <row r="149" ht="18.0" customHeight="1">
      <c r="A149" s="1"/>
      <c r="B149" s="13" t="s">
        <v>169</v>
      </c>
      <c r="C149" s="15"/>
      <c r="D149" s="16"/>
      <c r="E149" s="1"/>
    </row>
    <row r="150" ht="18.0" customHeight="1">
      <c r="A150" s="1"/>
      <c r="B150" s="13" t="s">
        <v>170</v>
      </c>
      <c r="C150" s="17"/>
      <c r="D150" s="17"/>
      <c r="E150" s="1"/>
    </row>
    <row r="151" ht="18.0" customHeight="1">
      <c r="A151" s="1"/>
      <c r="B151" s="13" t="s">
        <v>171</v>
      </c>
      <c r="C151" s="15"/>
      <c r="D151" s="16"/>
      <c r="E151" s="1"/>
    </row>
    <row r="152" ht="18.0" customHeight="1">
      <c r="A152" s="1"/>
      <c r="B152" s="13" t="s">
        <v>172</v>
      </c>
      <c r="C152" s="15"/>
      <c r="D152" s="16"/>
      <c r="E152" s="1"/>
    </row>
    <row r="153" ht="18.0" customHeight="1">
      <c r="A153" s="1"/>
      <c r="B153" s="13" t="s">
        <v>173</v>
      </c>
      <c r="C153" s="17"/>
      <c r="D153" s="17"/>
      <c r="E153" s="1"/>
    </row>
    <row r="154" ht="18.0" customHeight="1">
      <c r="A154" s="1"/>
      <c r="B154" s="13" t="s">
        <v>174</v>
      </c>
      <c r="C154" s="15"/>
      <c r="D154" s="16"/>
      <c r="E154" s="1"/>
    </row>
    <row r="155" ht="18.0" customHeight="1">
      <c r="A155" s="1"/>
      <c r="B155" s="13" t="s">
        <v>175</v>
      </c>
      <c r="C155" s="15"/>
      <c r="D155" s="16"/>
      <c r="E155" s="1"/>
    </row>
    <row r="156" ht="18.0" customHeight="1">
      <c r="A156" s="1"/>
      <c r="B156" s="13" t="s">
        <v>176</v>
      </c>
      <c r="C156" s="17"/>
      <c r="D156" s="17"/>
      <c r="E156" s="1"/>
    </row>
    <row r="157" ht="18.0" customHeight="1">
      <c r="A157" s="1"/>
      <c r="B157" s="13" t="s">
        <v>177</v>
      </c>
      <c r="C157" s="15"/>
      <c r="D157" s="16"/>
      <c r="E157" s="1"/>
    </row>
    <row r="158" ht="18.0" customHeight="1">
      <c r="A158" s="1"/>
      <c r="B158" s="13" t="s">
        <v>178</v>
      </c>
      <c r="C158" s="15"/>
      <c r="D158" s="16"/>
      <c r="E158" s="1"/>
    </row>
    <row r="159" ht="18.0" customHeight="1">
      <c r="A159" s="1"/>
      <c r="B159" s="13" t="s">
        <v>179</v>
      </c>
      <c r="C159" s="17"/>
      <c r="D159" s="17"/>
      <c r="E159" s="1"/>
    </row>
    <row r="160" ht="18.0" customHeight="1">
      <c r="A160" s="1"/>
      <c r="B160" s="13" t="s">
        <v>180</v>
      </c>
      <c r="C160" s="15"/>
      <c r="D160" s="16"/>
      <c r="E160" s="1"/>
    </row>
    <row r="161" ht="18.0" customHeight="1">
      <c r="A161" s="1"/>
      <c r="B161" s="13" t="s">
        <v>181</v>
      </c>
      <c r="C161" s="15"/>
      <c r="D161" s="16"/>
      <c r="E161" s="1"/>
    </row>
    <row r="162" ht="18.0" customHeight="1">
      <c r="A162" s="1"/>
      <c r="B162" s="13" t="s">
        <v>182</v>
      </c>
      <c r="C162" s="17"/>
      <c r="D162" s="17"/>
      <c r="E162" s="1"/>
    </row>
    <row r="163" ht="18.0" customHeight="1">
      <c r="A163" s="1"/>
      <c r="B163" s="13" t="s">
        <v>183</v>
      </c>
      <c r="C163" s="15"/>
      <c r="D163" s="16"/>
      <c r="E163" s="1"/>
    </row>
    <row r="164" ht="18.0" customHeight="1">
      <c r="A164" s="1"/>
      <c r="B164" s="13" t="s">
        <v>184</v>
      </c>
      <c r="C164" s="15"/>
      <c r="D164" s="16"/>
      <c r="E164" s="1"/>
    </row>
    <row r="165" ht="18.0" customHeight="1">
      <c r="A165" s="1"/>
      <c r="B165" s="13" t="s">
        <v>185</v>
      </c>
      <c r="C165" s="17"/>
      <c r="D165" s="17"/>
      <c r="E165" s="1"/>
    </row>
    <row r="166" ht="18.0" customHeight="1">
      <c r="A166" s="1"/>
      <c r="B166" s="13" t="s">
        <v>186</v>
      </c>
      <c r="C166" s="15"/>
      <c r="D166" s="16"/>
      <c r="E166" s="1"/>
    </row>
    <row r="167" ht="18.0" customHeight="1">
      <c r="A167" s="1"/>
      <c r="B167" s="13" t="s">
        <v>187</v>
      </c>
      <c r="C167" s="15"/>
      <c r="D167" s="16"/>
      <c r="E167" s="1"/>
    </row>
    <row r="168" ht="18.0" customHeight="1">
      <c r="A168" s="1"/>
      <c r="B168" s="13" t="s">
        <v>188</v>
      </c>
      <c r="C168" s="17"/>
      <c r="D168" s="17"/>
      <c r="E168" s="1"/>
    </row>
    <row r="169" ht="18.0" customHeight="1">
      <c r="A169" s="1"/>
      <c r="B169" s="13" t="s">
        <v>189</v>
      </c>
      <c r="C169" s="15"/>
      <c r="D169" s="16"/>
      <c r="E169" s="1"/>
    </row>
    <row r="170" ht="18.0" customHeight="1">
      <c r="A170" s="1"/>
      <c r="B170" s="13" t="s">
        <v>190</v>
      </c>
      <c r="C170" s="15"/>
      <c r="D170" s="16"/>
      <c r="E170" s="1"/>
    </row>
    <row r="171" ht="18.0" customHeight="1">
      <c r="A171" s="1"/>
      <c r="B171" s="13" t="s">
        <v>191</v>
      </c>
      <c r="C171" s="17"/>
      <c r="D171" s="17"/>
      <c r="E171" s="1"/>
    </row>
    <row r="172" ht="18.0" customHeight="1">
      <c r="A172" s="1"/>
      <c r="B172" s="13" t="s">
        <v>192</v>
      </c>
      <c r="C172" s="15"/>
      <c r="D172" s="16"/>
      <c r="E172" s="1"/>
    </row>
    <row r="173" ht="18.0" customHeight="1">
      <c r="A173" s="1"/>
      <c r="B173" s="13" t="s">
        <v>193</v>
      </c>
      <c r="C173" s="15"/>
      <c r="D173" s="16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7"/>
      <c r="D175" s="17"/>
      <c r="E175" s="1"/>
    </row>
    <row r="176" ht="18.0" customHeight="1">
      <c r="A176" s="1"/>
      <c r="B176" s="13" t="s">
        <v>196</v>
      </c>
      <c r="C176" s="15"/>
      <c r="D176" s="16"/>
      <c r="E176" s="1"/>
    </row>
    <row r="177" ht="18.0" customHeight="1">
      <c r="A177" s="1"/>
      <c r="B177" s="13" t="s">
        <v>197</v>
      </c>
      <c r="C177" s="15"/>
      <c r="D177" s="16"/>
      <c r="E177" s="1"/>
    </row>
    <row r="178" ht="18.0" customHeight="1">
      <c r="A178" s="1"/>
      <c r="B178" s="13" t="s">
        <v>198</v>
      </c>
      <c r="C178" s="17"/>
      <c r="D178" s="17"/>
      <c r="E178" s="1"/>
    </row>
    <row r="179" ht="18.0" customHeight="1">
      <c r="A179" s="1"/>
      <c r="B179" s="13" t="s">
        <v>199</v>
      </c>
      <c r="C179" s="15"/>
      <c r="D179" s="16"/>
      <c r="E179" s="1"/>
    </row>
    <row r="180" ht="18.0" customHeight="1">
      <c r="A180" s="1"/>
      <c r="B180" s="13" t="s">
        <v>200</v>
      </c>
      <c r="C180" s="15"/>
      <c r="D180" s="16"/>
      <c r="E180" s="1"/>
    </row>
    <row r="181" ht="18.0" customHeight="1">
      <c r="A181" s="1"/>
      <c r="B181" s="13" t="s">
        <v>201</v>
      </c>
      <c r="C181" s="17"/>
      <c r="D181" s="17"/>
      <c r="E181" s="1"/>
    </row>
    <row r="182" ht="18.0" customHeight="1">
      <c r="A182" s="1"/>
      <c r="B182" s="13" t="s">
        <v>202</v>
      </c>
      <c r="C182" s="15"/>
      <c r="D182" s="16"/>
      <c r="E182" s="1"/>
    </row>
    <row r="183" ht="18.0" customHeight="1">
      <c r="A183" s="1"/>
      <c r="B183" s="13" t="s">
        <v>203</v>
      </c>
      <c r="C183" s="15"/>
      <c r="D183" s="16"/>
      <c r="E183" s="1"/>
    </row>
    <row r="184" ht="18.0" customHeight="1">
      <c r="A184" s="1"/>
      <c r="B184" s="13" t="s">
        <v>204</v>
      </c>
      <c r="C184" s="17"/>
      <c r="D184" s="17"/>
      <c r="E184" s="1"/>
    </row>
    <row r="185" ht="18.0" customHeight="1">
      <c r="A185" s="1"/>
      <c r="B185" s="13" t="s">
        <v>205</v>
      </c>
      <c r="C185" s="15"/>
      <c r="D185" s="16"/>
      <c r="E185" s="1"/>
    </row>
    <row r="186" ht="18.0" customHeight="1">
      <c r="A186" s="1"/>
      <c r="B186" s="13" t="s">
        <v>206</v>
      </c>
      <c r="C186" s="15"/>
      <c r="D186" s="16"/>
      <c r="E186" s="1"/>
    </row>
    <row r="187" ht="18.0" customHeight="1">
      <c r="A187" s="1"/>
      <c r="B187" s="13" t="s">
        <v>207</v>
      </c>
      <c r="C187" s="17"/>
      <c r="D187" s="17"/>
      <c r="E187" s="1"/>
    </row>
    <row r="188" ht="18.0" customHeight="1">
      <c r="A188" s="1"/>
      <c r="B188" s="13" t="s">
        <v>208</v>
      </c>
      <c r="C188" s="15"/>
      <c r="D188" s="16"/>
      <c r="E188" s="1"/>
    </row>
    <row r="189" ht="18.0" customHeight="1">
      <c r="A189" s="1"/>
      <c r="B189" s="13" t="s">
        <v>209</v>
      </c>
      <c r="C189" s="15"/>
      <c r="D189" s="16"/>
      <c r="E189" s="1"/>
    </row>
    <row r="190" ht="18.0" customHeight="1">
      <c r="A190" s="1"/>
      <c r="B190" s="13" t="s">
        <v>210</v>
      </c>
      <c r="C190" s="17"/>
      <c r="D190" s="17"/>
      <c r="E190" s="1"/>
    </row>
    <row r="191" ht="18.0" customHeight="1">
      <c r="A191" s="1"/>
      <c r="B191" s="13" t="s">
        <v>211</v>
      </c>
      <c r="C191" s="15"/>
      <c r="D191" s="16"/>
      <c r="E191" s="1"/>
    </row>
    <row r="192" ht="18.0" customHeight="1">
      <c r="A192" s="1"/>
      <c r="B192" s="13" t="s">
        <v>212</v>
      </c>
      <c r="C192" s="15"/>
      <c r="D192" s="16"/>
      <c r="E192" s="1"/>
    </row>
    <row r="193" ht="18.0" customHeight="1">
      <c r="A193" s="1"/>
      <c r="B193" s="13" t="s">
        <v>213</v>
      </c>
      <c r="C193" s="17"/>
      <c r="D193" s="17"/>
      <c r="E193" s="1"/>
    </row>
    <row r="194" ht="18.0" customHeight="1">
      <c r="A194" s="1"/>
      <c r="B194" s="13" t="s">
        <v>214</v>
      </c>
      <c r="C194" s="15"/>
      <c r="D194" s="16"/>
      <c r="E194" s="1"/>
    </row>
    <row r="195" ht="18.0" customHeight="1">
      <c r="A195" s="1"/>
      <c r="B195" s="13" t="s">
        <v>215</v>
      </c>
      <c r="C195" s="15"/>
      <c r="D195" s="16"/>
      <c r="E195" s="1"/>
    </row>
    <row r="196" ht="18.0" customHeight="1">
      <c r="A196" s="1"/>
      <c r="B196" s="13" t="s">
        <v>216</v>
      </c>
      <c r="C196" s="17"/>
      <c r="D196" s="17"/>
      <c r="E196" s="1"/>
    </row>
    <row r="197" ht="18.0" customHeight="1">
      <c r="A197" s="1"/>
      <c r="B197" s="13" t="s">
        <v>217</v>
      </c>
      <c r="C197" s="15"/>
      <c r="D197" s="16"/>
      <c r="E197" s="1"/>
    </row>
    <row r="198" ht="18.0" customHeight="1">
      <c r="A198" s="1"/>
      <c r="B198" s="13" t="s">
        <v>218</v>
      </c>
      <c r="C198" s="15"/>
      <c r="D198" s="16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7"/>
      <c r="D200" s="17"/>
      <c r="E200" s="1"/>
    </row>
    <row r="201" ht="18.0" customHeight="1">
      <c r="A201" s="1"/>
      <c r="B201" s="13" t="s">
        <v>221</v>
      </c>
      <c r="C201" s="15"/>
      <c r="D201" s="16"/>
      <c r="E201" s="1"/>
    </row>
    <row r="202" ht="18.0" customHeight="1">
      <c r="A202" s="1"/>
      <c r="B202" s="13" t="s">
        <v>222</v>
      </c>
      <c r="C202" s="15"/>
      <c r="D202" s="16"/>
      <c r="E202" s="1"/>
    </row>
    <row r="203" ht="18.0" customHeight="1">
      <c r="A203" s="1"/>
      <c r="B203" s="13" t="s">
        <v>223</v>
      </c>
      <c r="C203" s="17"/>
      <c r="D203" s="17"/>
      <c r="E203" s="1"/>
    </row>
    <row r="204" ht="18.0" customHeight="1">
      <c r="A204" s="1"/>
      <c r="B204" s="13" t="s">
        <v>224</v>
      </c>
      <c r="C204" s="15"/>
      <c r="D204" s="16"/>
      <c r="E204" s="1"/>
    </row>
    <row r="205" ht="18.0" customHeight="1">
      <c r="A205" s="1"/>
      <c r="B205" s="13" t="s">
        <v>225</v>
      </c>
      <c r="C205" s="15"/>
      <c r="D205" s="16"/>
      <c r="E205" s="1"/>
    </row>
    <row r="206" ht="18.0" customHeight="1">
      <c r="A206" s="1"/>
      <c r="B206" s="13" t="s">
        <v>226</v>
      </c>
      <c r="C206" s="17"/>
      <c r="D206" s="17"/>
      <c r="E206" s="1"/>
    </row>
    <row r="207" ht="18.0" customHeight="1">
      <c r="A207" s="1"/>
      <c r="B207" s="13" t="s">
        <v>227</v>
      </c>
      <c r="C207" s="15"/>
      <c r="D207" s="16"/>
      <c r="E207" s="1"/>
    </row>
    <row r="208" ht="18.0" customHeight="1">
      <c r="A208" s="1"/>
      <c r="B208" s="13" t="s">
        <v>228</v>
      </c>
      <c r="C208" s="15"/>
      <c r="D208" s="16"/>
      <c r="E208" s="1"/>
    </row>
    <row r="209" ht="18.0" customHeight="1">
      <c r="A209" s="1"/>
      <c r="B209" s="13" t="s">
        <v>229</v>
      </c>
      <c r="C209" s="17"/>
      <c r="D209" s="17"/>
      <c r="E209" s="1"/>
    </row>
    <row r="210" ht="18.0" customHeight="1">
      <c r="A210" s="1"/>
      <c r="B210" s="13" t="s">
        <v>230</v>
      </c>
      <c r="C210" s="15"/>
      <c r="D210" s="16"/>
      <c r="E210" s="1"/>
    </row>
    <row r="211" ht="18.0" customHeight="1">
      <c r="A211" s="1"/>
      <c r="B211" s="13" t="s">
        <v>231</v>
      </c>
      <c r="C211" s="15"/>
      <c r="D211" s="16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7"/>
      <c r="D213" s="17"/>
      <c r="E213" s="1"/>
    </row>
    <row r="214" ht="18.0" customHeight="1">
      <c r="A214" s="1"/>
      <c r="B214" s="13" t="s">
        <v>234</v>
      </c>
      <c r="C214" s="15"/>
      <c r="D214" s="16"/>
      <c r="E214" s="1"/>
    </row>
    <row r="215" ht="18.0" customHeight="1">
      <c r="A215" s="1"/>
      <c r="B215" s="13" t="s">
        <v>235</v>
      </c>
      <c r="C215" s="15"/>
      <c r="D215" s="16"/>
      <c r="E215" s="1"/>
    </row>
    <row r="216" ht="18.0" customHeight="1">
      <c r="A216" s="1"/>
      <c r="B216" s="13" t="s">
        <v>236</v>
      </c>
      <c r="C216" s="17"/>
      <c r="D216" s="17"/>
      <c r="E216" s="1"/>
    </row>
    <row r="217" ht="18.0" customHeight="1">
      <c r="A217" s="1"/>
      <c r="B217" s="13" t="s">
        <v>237</v>
      </c>
      <c r="C217" s="15"/>
      <c r="D217" s="16"/>
      <c r="E217" s="1"/>
    </row>
    <row r="218" ht="18.0" customHeight="1">
      <c r="A218" s="1"/>
      <c r="B218" s="13" t="s">
        <v>238</v>
      </c>
      <c r="C218" s="15"/>
      <c r="D218" s="16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7"/>
      <c r="D220" s="17"/>
      <c r="E220" s="1"/>
    </row>
    <row r="221" ht="18.0" customHeight="1">
      <c r="A221" s="1"/>
      <c r="B221" s="13" t="s">
        <v>241</v>
      </c>
      <c r="C221" s="15"/>
      <c r="D221" s="16"/>
      <c r="E221" s="1"/>
    </row>
    <row r="222" ht="18.0" customHeight="1">
      <c r="A222" s="1"/>
      <c r="B222" s="13" t="s">
        <v>242</v>
      </c>
      <c r="C222" s="15"/>
      <c r="D222" s="16"/>
      <c r="E222" s="1"/>
    </row>
    <row r="223" ht="18.0" customHeight="1">
      <c r="A223" s="1"/>
      <c r="B223" s="13" t="s">
        <v>243</v>
      </c>
      <c r="C223" s="17"/>
      <c r="D223" s="17"/>
      <c r="E223" s="1"/>
    </row>
    <row r="224" ht="18.0" customHeight="1">
      <c r="A224" s="1"/>
      <c r="B224" s="13" t="s">
        <v>244</v>
      </c>
      <c r="C224" s="15"/>
      <c r="D224" s="16"/>
      <c r="E224" s="1"/>
    </row>
    <row r="225" ht="18.0" customHeight="1">
      <c r="A225" s="1"/>
      <c r="B225" s="13" t="s">
        <v>245</v>
      </c>
      <c r="C225" s="15"/>
      <c r="D225" s="16"/>
      <c r="E225" s="1"/>
    </row>
    <row r="226" ht="18.0" customHeight="1">
      <c r="A226" s="1"/>
      <c r="B226" s="13" t="s">
        <v>246</v>
      </c>
      <c r="C226" s="15"/>
      <c r="D226" s="16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5"/>
      <c r="D228" s="16"/>
      <c r="E228" s="1"/>
    </row>
    <row r="229" ht="18.0" customHeight="1">
      <c r="A229" s="1"/>
      <c r="B229" s="13" t="s">
        <v>249</v>
      </c>
      <c r="C229" s="15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6"/>
      <c r="E80" s="27" t="s">
        <v>311</v>
      </c>
      <c r="F80" s="16"/>
      <c r="G80" s="27" t="s">
        <v>311</v>
      </c>
      <c r="H80" s="16"/>
      <c r="I80" s="27" t="s">
        <v>311</v>
      </c>
      <c r="J80" s="16"/>
      <c r="K80" s="27" t="s">
        <v>311</v>
      </c>
      <c r="L80" s="16"/>
      <c r="M80" s="27" t="s">
        <v>311</v>
      </c>
      <c r="N80" s="16"/>
      <c r="O80" s="27" t="s">
        <v>311</v>
      </c>
      <c r="P80" s="16"/>
      <c r="Q80" s="27" t="s">
        <v>311</v>
      </c>
      <c r="R80" s="16"/>
      <c r="S80" s="27" t="s">
        <v>311</v>
      </c>
      <c r="T80" s="16"/>
      <c r="U80" s="27" t="s">
        <v>311</v>
      </c>
      <c r="V80" s="16"/>
      <c r="W80" s="27" t="s">
        <v>312</v>
      </c>
      <c r="X80" s="16"/>
      <c r="Y80" s="27" t="s">
        <v>312</v>
      </c>
      <c r="Z80" s="16"/>
      <c r="AA80" s="27" t="s">
        <v>311</v>
      </c>
      <c r="AB80" s="16"/>
      <c r="AC80" s="27" t="s">
        <v>313</v>
      </c>
      <c r="AD80" s="16"/>
      <c r="AE80" s="27" t="s">
        <v>311</v>
      </c>
      <c r="AF80" s="16"/>
      <c r="AG80" s="27" t="s">
        <v>311</v>
      </c>
      <c r="AH80" s="16"/>
      <c r="AI80" s="27" t="s">
        <v>313</v>
      </c>
      <c r="AJ80" s="16"/>
      <c r="AK80" s="27" t="s">
        <v>311</v>
      </c>
      <c r="AL80" s="16"/>
      <c r="AM80" s="27" t="s">
        <v>311</v>
      </c>
      <c r="AN80" s="16"/>
      <c r="AO80" s="27" t="s">
        <v>311</v>
      </c>
      <c r="AP80" s="16"/>
      <c r="AQ80" s="27" t="s">
        <v>311</v>
      </c>
      <c r="AR80" s="16"/>
      <c r="AS80" s="27" t="s">
        <v>311</v>
      </c>
      <c r="AT80" s="16"/>
      <c r="AU80" s="27" t="s">
        <v>311</v>
      </c>
      <c r="AV80" s="16"/>
      <c r="AW80" s="27" t="s">
        <v>311</v>
      </c>
      <c r="AX80" s="16"/>
      <c r="AY80" s="27" t="s">
        <v>311</v>
      </c>
      <c r="AZ80" s="16"/>
      <c r="BA80" s="27" t="s">
        <v>311</v>
      </c>
      <c r="BB80" s="16"/>
      <c r="BC80" s="27" t="s">
        <v>311</v>
      </c>
      <c r="BD80" s="16"/>
      <c r="BE80" s="27" t="s">
        <v>312</v>
      </c>
      <c r="BF80" s="16"/>
      <c r="BG80" s="27"/>
      <c r="BH80" s="16"/>
      <c r="BI80" s="27"/>
      <c r="BJ80" s="16"/>
    </row>
    <row r="81" ht="18.0" customHeight="1">
      <c r="A81" s="1"/>
      <c r="B81" s="13" t="s">
        <v>101</v>
      </c>
      <c r="C81" s="27" t="s">
        <v>313</v>
      </c>
      <c r="D81" s="16"/>
      <c r="E81" s="27" t="s">
        <v>312</v>
      </c>
      <c r="F81" s="16"/>
      <c r="G81" s="27" t="s">
        <v>313</v>
      </c>
      <c r="H81" s="16"/>
      <c r="I81" s="27" t="s">
        <v>312</v>
      </c>
      <c r="J81" s="16"/>
      <c r="K81" s="27" t="s">
        <v>313</v>
      </c>
      <c r="L81" s="16"/>
      <c r="M81" s="27" t="s">
        <v>312</v>
      </c>
      <c r="N81" s="16"/>
      <c r="O81" s="27" t="s">
        <v>312</v>
      </c>
      <c r="P81" s="16"/>
      <c r="Q81" s="27" t="s">
        <v>312</v>
      </c>
      <c r="R81" s="16"/>
      <c r="S81" s="27" t="s">
        <v>312</v>
      </c>
      <c r="T81" s="16"/>
      <c r="U81" s="27" t="s">
        <v>312</v>
      </c>
      <c r="V81" s="16"/>
      <c r="W81" s="27" t="s">
        <v>311</v>
      </c>
      <c r="X81" s="16"/>
      <c r="Y81" s="27" t="s">
        <v>313</v>
      </c>
      <c r="Z81" s="16"/>
      <c r="AA81" s="27" t="s">
        <v>312</v>
      </c>
      <c r="AB81" s="16"/>
      <c r="AC81" s="27" t="s">
        <v>311</v>
      </c>
      <c r="AD81" s="16"/>
      <c r="AE81" s="27" t="s">
        <v>313</v>
      </c>
      <c r="AF81" s="16"/>
      <c r="AG81" s="27" t="s">
        <v>312</v>
      </c>
      <c r="AH81" s="16"/>
      <c r="AI81" s="27" t="s">
        <v>311</v>
      </c>
      <c r="AJ81" s="16"/>
      <c r="AK81" s="27" t="s">
        <v>312</v>
      </c>
      <c r="AL81" s="16"/>
      <c r="AM81" s="27" t="s">
        <v>312</v>
      </c>
      <c r="AN81" s="16"/>
      <c r="AO81" s="27" t="s">
        <v>312</v>
      </c>
      <c r="AP81" s="16"/>
      <c r="AQ81" s="27" t="s">
        <v>312</v>
      </c>
      <c r="AR81" s="16"/>
      <c r="AS81" s="27" t="s">
        <v>313</v>
      </c>
      <c r="AT81" s="16"/>
      <c r="AU81" s="27" t="s">
        <v>312</v>
      </c>
      <c r="AV81" s="16"/>
      <c r="AW81" s="27" t="s">
        <v>313</v>
      </c>
      <c r="AX81" s="16"/>
      <c r="AY81" s="27" t="s">
        <v>314</v>
      </c>
      <c r="AZ81" s="16"/>
      <c r="BA81" s="27" t="s">
        <v>312</v>
      </c>
      <c r="BB81" s="16"/>
      <c r="BC81" s="27" t="s">
        <v>312</v>
      </c>
      <c r="BD81" s="16"/>
      <c r="BE81" s="27" t="s">
        <v>311</v>
      </c>
      <c r="BF81" s="16"/>
      <c r="BG81" s="27"/>
      <c r="BH81" s="16"/>
      <c r="BI81" s="27"/>
      <c r="BJ81" s="16"/>
    </row>
    <row r="82" ht="18.0" customHeight="1">
      <c r="A82" s="1"/>
      <c r="B82" s="13" t="s">
        <v>102</v>
      </c>
      <c r="C82" s="27" t="s">
        <v>312</v>
      </c>
      <c r="D82" s="16"/>
      <c r="E82" s="27" t="s">
        <v>313</v>
      </c>
      <c r="F82" s="16"/>
      <c r="G82" s="27" t="s">
        <v>312</v>
      </c>
      <c r="H82" s="16"/>
      <c r="I82" s="27" t="s">
        <v>313</v>
      </c>
      <c r="J82" s="16"/>
      <c r="K82" s="27" t="s">
        <v>312</v>
      </c>
      <c r="L82" s="16"/>
      <c r="M82" s="27" t="s">
        <v>313</v>
      </c>
      <c r="N82" s="16"/>
      <c r="O82" s="27" t="s">
        <v>313</v>
      </c>
      <c r="P82" s="16"/>
      <c r="Q82" s="27" t="s">
        <v>313</v>
      </c>
      <c r="R82" s="16"/>
      <c r="S82" s="27" t="s">
        <v>313</v>
      </c>
      <c r="T82" s="16"/>
      <c r="U82" s="27" t="s">
        <v>313</v>
      </c>
      <c r="V82" s="16"/>
      <c r="W82" s="27" t="s">
        <v>314</v>
      </c>
      <c r="X82" s="16"/>
      <c r="Y82" s="27" t="s">
        <v>311</v>
      </c>
      <c r="Z82" s="16"/>
      <c r="AA82" s="27" t="s">
        <v>313</v>
      </c>
      <c r="AB82" s="16"/>
      <c r="AC82" s="27" t="s">
        <v>312</v>
      </c>
      <c r="AD82" s="16"/>
      <c r="AE82" s="27" t="s">
        <v>312</v>
      </c>
      <c r="AF82" s="16"/>
      <c r="AG82" s="27" t="s">
        <v>313</v>
      </c>
      <c r="AH82" s="16"/>
      <c r="AI82" s="27" t="s">
        <v>314</v>
      </c>
      <c r="AJ82" s="16"/>
      <c r="AK82" s="27" t="s">
        <v>313</v>
      </c>
      <c r="AL82" s="16"/>
      <c r="AM82" s="27" t="s">
        <v>313</v>
      </c>
      <c r="AN82" s="16"/>
      <c r="AO82" s="27" t="s">
        <v>313</v>
      </c>
      <c r="AP82" s="16"/>
      <c r="AQ82" s="27" t="s">
        <v>313</v>
      </c>
      <c r="AR82" s="16"/>
      <c r="AS82" s="27" t="s">
        <v>314</v>
      </c>
      <c r="AT82" s="16"/>
      <c r="AU82" s="27" t="s">
        <v>313</v>
      </c>
      <c r="AV82" s="16"/>
      <c r="AW82" s="27" t="s">
        <v>314</v>
      </c>
      <c r="AX82" s="16"/>
      <c r="AY82" s="27" t="s">
        <v>312</v>
      </c>
      <c r="AZ82" s="16"/>
      <c r="BA82" s="27" t="s">
        <v>313</v>
      </c>
      <c r="BB82" s="16"/>
      <c r="BC82" s="27" t="s">
        <v>313</v>
      </c>
      <c r="BD82" s="16"/>
      <c r="BE82" s="27" t="s">
        <v>313</v>
      </c>
      <c r="BF82" s="16"/>
      <c r="BG82" s="27"/>
      <c r="BH82" s="16"/>
      <c r="BI82" s="27"/>
      <c r="BJ82" s="16"/>
    </row>
    <row r="83" ht="18.0" customHeight="1">
      <c r="A83" s="1"/>
      <c r="B83" s="13" t="s">
        <v>103</v>
      </c>
      <c r="C83" s="27" t="s">
        <v>315</v>
      </c>
      <c r="D83" s="16"/>
      <c r="E83" s="27" t="s">
        <v>316</v>
      </c>
      <c r="F83" s="16"/>
      <c r="G83" s="27" t="s">
        <v>316</v>
      </c>
      <c r="H83" s="16"/>
      <c r="I83" s="27" t="s">
        <v>316</v>
      </c>
      <c r="J83" s="16"/>
      <c r="K83" s="27" t="s">
        <v>316</v>
      </c>
      <c r="L83" s="16"/>
      <c r="M83" s="27" t="s">
        <v>316</v>
      </c>
      <c r="N83" s="16"/>
      <c r="O83" s="27" t="s">
        <v>317</v>
      </c>
      <c r="P83" s="16"/>
      <c r="Q83" s="27" t="s">
        <v>315</v>
      </c>
      <c r="R83" s="16"/>
      <c r="S83" s="27" t="s">
        <v>316</v>
      </c>
      <c r="T83" s="16"/>
      <c r="U83" s="27" t="s">
        <v>316</v>
      </c>
      <c r="V83" s="16"/>
      <c r="W83" s="27" t="s">
        <v>316</v>
      </c>
      <c r="X83" s="16"/>
      <c r="Y83" s="27" t="s">
        <v>316</v>
      </c>
      <c r="Z83" s="16"/>
      <c r="AA83" s="27" t="s">
        <v>315</v>
      </c>
      <c r="AB83" s="16"/>
      <c r="AC83" s="27" t="s">
        <v>316</v>
      </c>
      <c r="AD83" s="16"/>
      <c r="AE83" s="27" t="s">
        <v>316</v>
      </c>
      <c r="AF83" s="16"/>
      <c r="AG83" s="27" t="s">
        <v>316</v>
      </c>
      <c r="AH83" s="16"/>
      <c r="AI83" s="27" t="s">
        <v>316</v>
      </c>
      <c r="AJ83" s="16"/>
      <c r="AK83" s="27" t="s">
        <v>316</v>
      </c>
      <c r="AL83" s="16"/>
      <c r="AM83" s="27" t="s">
        <v>316</v>
      </c>
      <c r="AN83" s="16"/>
      <c r="AO83" s="27" t="s">
        <v>316</v>
      </c>
      <c r="AP83" s="16"/>
      <c r="AQ83" s="27" t="s">
        <v>316</v>
      </c>
      <c r="AR83" s="16"/>
      <c r="AS83" s="27" t="s">
        <v>315</v>
      </c>
      <c r="AT83" s="16"/>
      <c r="AU83" s="27" t="s">
        <v>316</v>
      </c>
      <c r="AV83" s="16"/>
      <c r="AW83" s="27" t="s">
        <v>317</v>
      </c>
      <c r="AX83" s="16"/>
      <c r="AY83" s="27" t="s">
        <v>316</v>
      </c>
      <c r="AZ83" s="16"/>
      <c r="BA83" s="27" t="s">
        <v>316</v>
      </c>
      <c r="BB83" s="16"/>
      <c r="BC83" s="27" t="s">
        <v>316</v>
      </c>
      <c r="BD83" s="16"/>
      <c r="BE83" s="27" t="s">
        <v>315</v>
      </c>
      <c r="BF83" s="16"/>
      <c r="BG83" s="27"/>
      <c r="BH83" s="16"/>
      <c r="BI83" s="27"/>
      <c r="BJ83" s="16"/>
    </row>
    <row r="84" ht="18.0" customHeight="1">
      <c r="A84" s="1"/>
      <c r="B84" s="13" t="s">
        <v>104</v>
      </c>
      <c r="C84" s="27" t="s">
        <v>316</v>
      </c>
      <c r="D84" s="16"/>
      <c r="E84" s="27" t="s">
        <v>315</v>
      </c>
      <c r="F84" s="16"/>
      <c r="G84" s="27" t="s">
        <v>315</v>
      </c>
      <c r="H84" s="16"/>
      <c r="I84" s="27" t="s">
        <v>315</v>
      </c>
      <c r="J84" s="16"/>
      <c r="K84" s="27" t="s">
        <v>315</v>
      </c>
      <c r="L84" s="16"/>
      <c r="M84" s="27" t="s">
        <v>315</v>
      </c>
      <c r="N84" s="16"/>
      <c r="O84" s="27" t="s">
        <v>316</v>
      </c>
      <c r="P84" s="16"/>
      <c r="Q84" s="27" t="s">
        <v>316</v>
      </c>
      <c r="R84" s="16"/>
      <c r="S84" s="27" t="s">
        <v>315</v>
      </c>
      <c r="T84" s="16"/>
      <c r="U84" s="27" t="s">
        <v>315</v>
      </c>
      <c r="V84" s="16"/>
      <c r="W84" s="27" t="s">
        <v>315</v>
      </c>
      <c r="X84" s="16"/>
      <c r="Y84" s="27" t="s">
        <v>318</v>
      </c>
      <c r="Z84" s="16"/>
      <c r="AA84" s="27" t="s">
        <v>316</v>
      </c>
      <c r="AB84" s="16"/>
      <c r="AC84" s="27" t="s">
        <v>318</v>
      </c>
      <c r="AD84" s="16"/>
      <c r="AE84" s="27" t="s">
        <v>315</v>
      </c>
      <c r="AF84" s="16"/>
      <c r="AG84" s="27" t="s">
        <v>315</v>
      </c>
      <c r="AH84" s="16"/>
      <c r="AI84" s="27" t="s">
        <v>315</v>
      </c>
      <c r="AJ84" s="16"/>
      <c r="AK84" s="27" t="s">
        <v>315</v>
      </c>
      <c r="AL84" s="16"/>
      <c r="AM84" s="27" t="s">
        <v>315</v>
      </c>
      <c r="AN84" s="16"/>
      <c r="AO84" s="27" t="s">
        <v>315</v>
      </c>
      <c r="AP84" s="16"/>
      <c r="AQ84" s="27" t="s">
        <v>315</v>
      </c>
      <c r="AR84" s="16"/>
      <c r="AS84" s="27" t="s">
        <v>316</v>
      </c>
      <c r="AT84" s="16"/>
      <c r="AU84" s="27" t="s">
        <v>315</v>
      </c>
      <c r="AV84" s="16"/>
      <c r="AW84" s="27" t="s">
        <v>316</v>
      </c>
      <c r="AX84" s="16"/>
      <c r="AY84" s="27" t="s">
        <v>315</v>
      </c>
      <c r="AZ84" s="16"/>
      <c r="BA84" s="27" t="s">
        <v>315</v>
      </c>
      <c r="BB84" s="16"/>
      <c r="BC84" s="27" t="s">
        <v>317</v>
      </c>
      <c r="BD84" s="16"/>
      <c r="BE84" s="27" t="s">
        <v>316</v>
      </c>
      <c r="BF84" s="16"/>
      <c r="BG84" s="27"/>
      <c r="BH84" s="16"/>
      <c r="BI84" s="27"/>
      <c r="BJ84" s="16"/>
    </row>
    <row r="85" ht="18.0" customHeight="1">
      <c r="A85" s="1"/>
      <c r="B85" s="13" t="s">
        <v>105</v>
      </c>
      <c r="C85" s="27" t="s">
        <v>318</v>
      </c>
      <c r="D85" s="16"/>
      <c r="E85" s="27" t="s">
        <v>318</v>
      </c>
      <c r="F85" s="16"/>
      <c r="G85" s="27" t="s">
        <v>317</v>
      </c>
      <c r="H85" s="16"/>
      <c r="I85" s="27" t="s">
        <v>318</v>
      </c>
      <c r="J85" s="16"/>
      <c r="K85" s="27" t="s">
        <v>318</v>
      </c>
      <c r="L85" s="16"/>
      <c r="M85" s="27" t="s">
        <v>318</v>
      </c>
      <c r="N85" s="16"/>
      <c r="O85" s="27" t="s">
        <v>315</v>
      </c>
      <c r="P85" s="16"/>
      <c r="Q85" s="27" t="s">
        <v>318</v>
      </c>
      <c r="R85" s="16"/>
      <c r="S85" s="27" t="s">
        <v>318</v>
      </c>
      <c r="T85" s="16"/>
      <c r="U85" s="27" t="s">
        <v>318</v>
      </c>
      <c r="V85" s="16"/>
      <c r="W85" s="27" t="s">
        <v>317</v>
      </c>
      <c r="X85" s="16"/>
      <c r="Y85" s="27" t="s">
        <v>315</v>
      </c>
      <c r="Z85" s="16"/>
      <c r="AA85" s="27" t="s">
        <v>318</v>
      </c>
      <c r="AB85" s="16"/>
      <c r="AC85" s="27" t="s">
        <v>315</v>
      </c>
      <c r="AD85" s="16"/>
      <c r="AE85" s="27" t="s">
        <v>318</v>
      </c>
      <c r="AF85" s="16"/>
      <c r="AG85" s="27" t="s">
        <v>318</v>
      </c>
      <c r="AH85" s="16"/>
      <c r="AI85" s="27" t="s">
        <v>318</v>
      </c>
      <c r="AJ85" s="16"/>
      <c r="AK85" s="27" t="s">
        <v>318</v>
      </c>
      <c r="AL85" s="16"/>
      <c r="AM85" s="27" t="s">
        <v>318</v>
      </c>
      <c r="AN85" s="16"/>
      <c r="AO85" s="27" t="s">
        <v>318</v>
      </c>
      <c r="AP85" s="16"/>
      <c r="AQ85" s="27" t="s">
        <v>318</v>
      </c>
      <c r="AR85" s="16"/>
      <c r="AS85" s="27" t="s">
        <v>318</v>
      </c>
      <c r="AT85" s="16"/>
      <c r="AU85" s="27" t="s">
        <v>318</v>
      </c>
      <c r="AV85" s="16"/>
      <c r="AW85" s="27" t="s">
        <v>315</v>
      </c>
      <c r="AX85" s="16"/>
      <c r="AY85" s="27" t="s">
        <v>318</v>
      </c>
      <c r="AZ85" s="16"/>
      <c r="BA85" s="27" t="s">
        <v>317</v>
      </c>
      <c r="BB85" s="16"/>
      <c r="BC85" s="27" t="s">
        <v>315</v>
      </c>
      <c r="BD85" s="16"/>
      <c r="BE85" s="27" t="s">
        <v>318</v>
      </c>
      <c r="BF85" s="16"/>
      <c r="BG85" s="27"/>
      <c r="BH85" s="16"/>
      <c r="BI85" s="27"/>
      <c r="BJ85" s="16"/>
    </row>
    <row r="86" ht="18.0" customHeight="1">
      <c r="A86" s="1"/>
      <c r="B86" s="13" t="s">
        <v>106</v>
      </c>
      <c r="C86" s="27" t="s">
        <v>319</v>
      </c>
      <c r="D86" s="16"/>
      <c r="E86" s="27" t="s">
        <v>319</v>
      </c>
      <c r="F86" s="16"/>
      <c r="G86" s="27" t="s">
        <v>319</v>
      </c>
      <c r="H86" s="16"/>
      <c r="I86" s="27" t="s">
        <v>320</v>
      </c>
      <c r="J86" s="16"/>
      <c r="K86" s="27" t="s">
        <v>319</v>
      </c>
      <c r="L86" s="16"/>
      <c r="M86" s="27" t="s">
        <v>319</v>
      </c>
      <c r="N86" s="16"/>
      <c r="O86" s="27" t="s">
        <v>319</v>
      </c>
      <c r="P86" s="16"/>
      <c r="Q86" s="27" t="s">
        <v>319</v>
      </c>
      <c r="R86" s="16"/>
      <c r="S86" s="27" t="s">
        <v>319</v>
      </c>
      <c r="T86" s="16"/>
      <c r="U86" s="27" t="s">
        <v>319</v>
      </c>
      <c r="V86" s="16"/>
      <c r="W86" s="27" t="s">
        <v>319</v>
      </c>
      <c r="X86" s="16"/>
      <c r="Y86" s="27" t="s">
        <v>320</v>
      </c>
      <c r="Z86" s="16"/>
      <c r="AA86" s="27" t="s">
        <v>319</v>
      </c>
      <c r="AB86" s="16"/>
      <c r="AC86" s="27" t="s">
        <v>319</v>
      </c>
      <c r="AD86" s="16"/>
      <c r="AE86" s="27" t="s">
        <v>319</v>
      </c>
      <c r="AF86" s="16"/>
      <c r="AG86" s="27" t="s">
        <v>319</v>
      </c>
      <c r="AH86" s="16"/>
      <c r="AI86" s="27" t="s">
        <v>319</v>
      </c>
      <c r="AJ86" s="16"/>
      <c r="AK86" s="27" t="s">
        <v>319</v>
      </c>
      <c r="AL86" s="16"/>
      <c r="AM86" s="27" t="s">
        <v>319</v>
      </c>
      <c r="AN86" s="16"/>
      <c r="AO86" s="27" t="s">
        <v>319</v>
      </c>
      <c r="AP86" s="16"/>
      <c r="AQ86" s="27" t="s">
        <v>319</v>
      </c>
      <c r="AR86" s="16"/>
      <c r="AS86" s="27" t="s">
        <v>320</v>
      </c>
      <c r="AT86" s="16"/>
      <c r="AU86" s="27" t="s">
        <v>319</v>
      </c>
      <c r="AV86" s="16"/>
      <c r="AW86" s="27" t="s">
        <v>321</v>
      </c>
      <c r="AX86" s="16"/>
      <c r="AY86" s="27" t="s">
        <v>319</v>
      </c>
      <c r="AZ86" s="16"/>
      <c r="BA86" s="27" t="s">
        <v>319</v>
      </c>
      <c r="BB86" s="16"/>
      <c r="BC86" s="27" t="s">
        <v>319</v>
      </c>
      <c r="BD86" s="16"/>
      <c r="BE86" s="27" t="s">
        <v>319</v>
      </c>
      <c r="BF86" s="16"/>
      <c r="BG86" s="27"/>
      <c r="BH86" s="16"/>
      <c r="BI86" s="27"/>
      <c r="BJ86" s="16"/>
    </row>
    <row r="87" ht="18.0" customHeight="1">
      <c r="A87" s="1"/>
      <c r="B87" s="13" t="s">
        <v>107</v>
      </c>
      <c r="C87" s="27" t="s">
        <v>320</v>
      </c>
      <c r="D87" s="16"/>
      <c r="E87" s="27" t="s">
        <v>320</v>
      </c>
      <c r="F87" s="16"/>
      <c r="G87" s="27" t="s">
        <v>320</v>
      </c>
      <c r="H87" s="16"/>
      <c r="I87" s="27" t="s">
        <v>319</v>
      </c>
      <c r="J87" s="16"/>
      <c r="K87" s="27" t="s">
        <v>321</v>
      </c>
      <c r="L87" s="16"/>
      <c r="M87" s="27" t="s">
        <v>320</v>
      </c>
      <c r="N87" s="16"/>
      <c r="O87" s="27" t="s">
        <v>320</v>
      </c>
      <c r="P87" s="16"/>
      <c r="Q87" s="27" t="s">
        <v>320</v>
      </c>
      <c r="R87" s="16"/>
      <c r="S87" s="27" t="s">
        <v>320</v>
      </c>
      <c r="T87" s="16"/>
      <c r="U87" s="27" t="s">
        <v>320</v>
      </c>
      <c r="V87" s="16"/>
      <c r="W87" s="27" t="s">
        <v>320</v>
      </c>
      <c r="X87" s="16"/>
      <c r="Y87" s="27" t="s">
        <v>319</v>
      </c>
      <c r="Z87" s="16"/>
      <c r="AA87" s="27" t="s">
        <v>320</v>
      </c>
      <c r="AB87" s="16"/>
      <c r="AC87" s="27" t="s">
        <v>320</v>
      </c>
      <c r="AD87" s="16"/>
      <c r="AE87" s="27" t="s">
        <v>320</v>
      </c>
      <c r="AF87" s="16"/>
      <c r="AG87" s="27" t="s">
        <v>320</v>
      </c>
      <c r="AH87" s="16"/>
      <c r="AI87" s="27" t="s">
        <v>320</v>
      </c>
      <c r="AJ87" s="16"/>
      <c r="AK87" s="27" t="s">
        <v>320</v>
      </c>
      <c r="AL87" s="16"/>
      <c r="AM87" s="27" t="s">
        <v>321</v>
      </c>
      <c r="AN87" s="16"/>
      <c r="AO87" s="27" t="s">
        <v>320</v>
      </c>
      <c r="AP87" s="16"/>
      <c r="AQ87" s="27" t="s">
        <v>320</v>
      </c>
      <c r="AR87" s="16"/>
      <c r="AS87" s="27" t="s">
        <v>319</v>
      </c>
      <c r="AT87" s="16"/>
      <c r="AU87" s="27" t="s">
        <v>320</v>
      </c>
      <c r="AV87" s="16"/>
      <c r="AW87" s="27" t="s">
        <v>319</v>
      </c>
      <c r="AX87" s="16"/>
      <c r="AY87" s="27" t="s">
        <v>320</v>
      </c>
      <c r="AZ87" s="16"/>
      <c r="BA87" s="27" t="s">
        <v>320</v>
      </c>
      <c r="BB87" s="16"/>
      <c r="BC87" s="27" t="s">
        <v>320</v>
      </c>
      <c r="BD87" s="16"/>
      <c r="BE87" s="27" t="s">
        <v>320</v>
      </c>
      <c r="BF87" s="16"/>
      <c r="BG87" s="27"/>
      <c r="BH87" s="16"/>
      <c r="BI87" s="27"/>
      <c r="BJ87" s="16"/>
    </row>
    <row r="88" ht="18.0" customHeight="1">
      <c r="A88" s="1"/>
      <c r="B88" s="13" t="s">
        <v>108</v>
      </c>
      <c r="C88" s="27" t="s">
        <v>321</v>
      </c>
      <c r="D88" s="16"/>
      <c r="E88" s="27" t="s">
        <v>321</v>
      </c>
      <c r="F88" s="16"/>
      <c r="G88" s="27" t="s">
        <v>321</v>
      </c>
      <c r="H88" s="16"/>
      <c r="I88" s="27" t="s">
        <v>321</v>
      </c>
      <c r="J88" s="16"/>
      <c r="K88" s="27" t="s">
        <v>320</v>
      </c>
      <c r="L88" s="16"/>
      <c r="M88" s="27" t="s">
        <v>321</v>
      </c>
      <c r="N88" s="16"/>
      <c r="O88" s="27" t="s">
        <v>321</v>
      </c>
      <c r="P88" s="16"/>
      <c r="Q88" s="27" t="s">
        <v>321</v>
      </c>
      <c r="R88" s="16"/>
      <c r="S88" s="27" t="s">
        <v>321</v>
      </c>
      <c r="T88" s="16"/>
      <c r="U88" s="27" t="s">
        <v>321</v>
      </c>
      <c r="V88" s="16"/>
      <c r="W88" s="27" t="s">
        <v>321</v>
      </c>
      <c r="X88" s="16"/>
      <c r="Y88" s="27" t="s">
        <v>321</v>
      </c>
      <c r="Z88" s="16"/>
      <c r="AA88" s="27" t="s">
        <v>321</v>
      </c>
      <c r="AB88" s="16"/>
      <c r="AC88" s="27" t="s">
        <v>321</v>
      </c>
      <c r="AD88" s="16"/>
      <c r="AE88" s="27" t="s">
        <v>321</v>
      </c>
      <c r="AF88" s="16"/>
      <c r="AG88" s="27" t="s">
        <v>321</v>
      </c>
      <c r="AH88" s="16"/>
      <c r="AI88" s="27" t="s">
        <v>322</v>
      </c>
      <c r="AJ88" s="16"/>
      <c r="AK88" s="27" t="s">
        <v>321</v>
      </c>
      <c r="AL88" s="16"/>
      <c r="AM88" s="27" t="s">
        <v>320</v>
      </c>
      <c r="AN88" s="16"/>
      <c r="AO88" s="27" t="s">
        <v>321</v>
      </c>
      <c r="AP88" s="16"/>
      <c r="AQ88" s="27" t="s">
        <v>321</v>
      </c>
      <c r="AR88" s="16"/>
      <c r="AS88" s="27" t="s">
        <v>321</v>
      </c>
      <c r="AT88" s="16"/>
      <c r="AU88" s="27" t="s">
        <v>321</v>
      </c>
      <c r="AV88" s="16"/>
      <c r="AW88" s="27" t="s">
        <v>320</v>
      </c>
      <c r="AX88" s="16"/>
      <c r="AY88" s="27" t="s">
        <v>321</v>
      </c>
      <c r="AZ88" s="16"/>
      <c r="BA88" s="27" t="s">
        <v>321</v>
      </c>
      <c r="BB88" s="16"/>
      <c r="BC88" s="27" t="s">
        <v>321</v>
      </c>
      <c r="BD88" s="16"/>
      <c r="BE88" s="27" t="s">
        <v>321</v>
      </c>
      <c r="BF88" s="16"/>
      <c r="BG88" s="27"/>
      <c r="BH88" s="16"/>
      <c r="BI88" s="27"/>
      <c r="BJ88" s="16"/>
    </row>
    <row r="89" ht="18.0" customHeight="1">
      <c r="A89" s="1"/>
      <c r="B89" s="13" t="s">
        <v>109</v>
      </c>
      <c r="C89" s="27" t="s">
        <v>323</v>
      </c>
      <c r="D89" s="16"/>
      <c r="E89" s="27" t="s">
        <v>324</v>
      </c>
      <c r="F89" s="16"/>
      <c r="G89" s="27" t="s">
        <v>324</v>
      </c>
      <c r="H89" s="16"/>
      <c r="I89" s="27" t="s">
        <v>324</v>
      </c>
      <c r="J89" s="16"/>
      <c r="K89" s="27" t="s">
        <v>324</v>
      </c>
      <c r="L89" s="16"/>
      <c r="M89" s="27" t="s">
        <v>323</v>
      </c>
      <c r="N89" s="16"/>
      <c r="O89" s="27" t="s">
        <v>324</v>
      </c>
      <c r="P89" s="16"/>
      <c r="Q89" s="27" t="s">
        <v>324</v>
      </c>
      <c r="R89" s="16"/>
      <c r="S89" s="27" t="s">
        <v>323</v>
      </c>
      <c r="T89" s="16"/>
      <c r="U89" s="27" t="s">
        <v>324</v>
      </c>
      <c r="V89" s="16"/>
      <c r="W89" s="27" t="s">
        <v>324</v>
      </c>
      <c r="X89" s="16"/>
      <c r="Y89" s="27" t="s">
        <v>324</v>
      </c>
      <c r="Z89" s="16"/>
      <c r="AA89" s="27" t="s">
        <v>323</v>
      </c>
      <c r="AB89" s="16"/>
      <c r="AC89" s="27" t="s">
        <v>325</v>
      </c>
      <c r="AD89" s="16"/>
      <c r="AE89" s="27" t="s">
        <v>323</v>
      </c>
      <c r="AF89" s="16"/>
      <c r="AG89" s="27" t="s">
        <v>324</v>
      </c>
      <c r="AH89" s="16"/>
      <c r="AI89" s="27" t="s">
        <v>323</v>
      </c>
      <c r="AJ89" s="16"/>
      <c r="AK89" s="27" t="s">
        <v>324</v>
      </c>
      <c r="AL89" s="16"/>
      <c r="AM89" s="27" t="s">
        <v>323</v>
      </c>
      <c r="AN89" s="16"/>
      <c r="AO89" s="27" t="s">
        <v>323</v>
      </c>
      <c r="AP89" s="16"/>
      <c r="AQ89" s="27" t="s">
        <v>323</v>
      </c>
      <c r="AR89" s="16"/>
      <c r="AS89" s="27" t="s">
        <v>324</v>
      </c>
      <c r="AT89" s="16"/>
      <c r="AU89" s="27" t="s">
        <v>323</v>
      </c>
      <c r="AV89" s="16"/>
      <c r="AW89" s="27" t="s">
        <v>326</v>
      </c>
      <c r="AX89" s="16"/>
      <c r="AY89" s="27" t="s">
        <v>324</v>
      </c>
      <c r="AZ89" s="16"/>
      <c r="BA89" s="27" t="s">
        <v>324</v>
      </c>
      <c r="BB89" s="16"/>
      <c r="BC89" s="27" t="s">
        <v>324</v>
      </c>
      <c r="BD89" s="16"/>
      <c r="BE89" s="27" t="s">
        <v>323</v>
      </c>
      <c r="BF89" s="16"/>
      <c r="BG89" s="27"/>
      <c r="BH89" s="16"/>
      <c r="BI89" s="27"/>
      <c r="BJ89" s="16"/>
    </row>
    <row r="90" ht="18.0" customHeight="1">
      <c r="A90" s="1"/>
      <c r="B90" s="13" t="s">
        <v>110</v>
      </c>
      <c r="C90" s="27" t="s">
        <v>324</v>
      </c>
      <c r="D90" s="16"/>
      <c r="E90" s="27" t="s">
        <v>323</v>
      </c>
      <c r="F90" s="16"/>
      <c r="G90" s="27" t="s">
        <v>323</v>
      </c>
      <c r="H90" s="16"/>
      <c r="I90" s="27" t="s">
        <v>323</v>
      </c>
      <c r="J90" s="16"/>
      <c r="K90" s="27" t="s">
        <v>323</v>
      </c>
      <c r="L90" s="16"/>
      <c r="M90" s="27" t="s">
        <v>324</v>
      </c>
      <c r="N90" s="16"/>
      <c r="O90" s="27" t="s">
        <v>326</v>
      </c>
      <c r="P90" s="16"/>
      <c r="Q90" s="27" t="s">
        <v>323</v>
      </c>
      <c r="R90" s="16"/>
      <c r="S90" s="27" t="s">
        <v>326</v>
      </c>
      <c r="T90" s="16"/>
      <c r="U90" s="27" t="s">
        <v>323</v>
      </c>
      <c r="V90" s="16"/>
      <c r="W90" s="27" t="s">
        <v>323</v>
      </c>
      <c r="X90" s="16"/>
      <c r="Y90" s="27" t="s">
        <v>323</v>
      </c>
      <c r="Z90" s="16"/>
      <c r="AA90" s="27" t="s">
        <v>324</v>
      </c>
      <c r="AB90" s="16"/>
      <c r="AC90" s="27" t="s">
        <v>326</v>
      </c>
      <c r="AD90" s="16"/>
      <c r="AE90" s="27" t="s">
        <v>324</v>
      </c>
      <c r="AF90" s="16"/>
      <c r="AG90" s="27" t="s">
        <v>323</v>
      </c>
      <c r="AH90" s="16"/>
      <c r="AI90" s="27" t="s">
        <v>324</v>
      </c>
      <c r="AJ90" s="16"/>
      <c r="AK90" s="27" t="s">
        <v>323</v>
      </c>
      <c r="AL90" s="16"/>
      <c r="AM90" s="27" t="s">
        <v>324</v>
      </c>
      <c r="AN90" s="16"/>
      <c r="AO90" s="27" t="s">
        <v>324</v>
      </c>
      <c r="AP90" s="16"/>
      <c r="AQ90" s="27" t="s">
        <v>326</v>
      </c>
      <c r="AR90" s="16"/>
      <c r="AS90" s="27" t="s">
        <v>323</v>
      </c>
      <c r="AT90" s="16"/>
      <c r="AU90" s="27" t="s">
        <v>324</v>
      </c>
      <c r="AV90" s="16"/>
      <c r="AW90" s="27" t="s">
        <v>325</v>
      </c>
      <c r="AX90" s="16"/>
      <c r="AY90" s="27" t="s">
        <v>326</v>
      </c>
      <c r="AZ90" s="16"/>
      <c r="BA90" s="27" t="s">
        <v>325</v>
      </c>
      <c r="BB90" s="16"/>
      <c r="BC90" s="27" t="s">
        <v>323</v>
      </c>
      <c r="BD90" s="16"/>
      <c r="BE90" s="27" t="s">
        <v>324</v>
      </c>
      <c r="BF90" s="16"/>
      <c r="BG90" s="27"/>
      <c r="BH90" s="16"/>
      <c r="BI90" s="27"/>
      <c r="BJ90" s="16"/>
    </row>
    <row r="91" ht="18.0" customHeight="1">
      <c r="A91" s="1"/>
      <c r="B91" s="13" t="s">
        <v>111</v>
      </c>
      <c r="C91" s="27" t="s">
        <v>326</v>
      </c>
      <c r="D91" s="16"/>
      <c r="E91" s="27" t="s">
        <v>326</v>
      </c>
      <c r="F91" s="16"/>
      <c r="G91" s="27" t="s">
        <v>325</v>
      </c>
      <c r="H91" s="16"/>
      <c r="I91" s="27" t="s">
        <v>326</v>
      </c>
      <c r="J91" s="16"/>
      <c r="K91" s="27" t="s">
        <v>325</v>
      </c>
      <c r="L91" s="16"/>
      <c r="M91" s="27" t="s">
        <v>326</v>
      </c>
      <c r="N91" s="16"/>
      <c r="O91" s="27" t="s">
        <v>323</v>
      </c>
      <c r="P91" s="16"/>
      <c r="Q91" s="27" t="s">
        <v>325</v>
      </c>
      <c r="R91" s="16"/>
      <c r="S91" s="27" t="s">
        <v>325</v>
      </c>
      <c r="T91" s="16"/>
      <c r="U91" s="27" t="s">
        <v>326</v>
      </c>
      <c r="V91" s="16"/>
      <c r="W91" s="27" t="s">
        <v>325</v>
      </c>
      <c r="X91" s="16"/>
      <c r="Y91" s="27" t="s">
        <v>326</v>
      </c>
      <c r="Z91" s="16"/>
      <c r="AA91" s="27" t="s">
        <v>326</v>
      </c>
      <c r="AB91" s="16"/>
      <c r="AC91" s="27" t="s">
        <v>323</v>
      </c>
      <c r="AD91" s="16"/>
      <c r="AE91" s="27" t="s">
        <v>326</v>
      </c>
      <c r="AF91" s="16"/>
      <c r="AG91" s="27" t="s">
        <v>326</v>
      </c>
      <c r="AH91" s="16"/>
      <c r="AI91" s="27" t="s">
        <v>326</v>
      </c>
      <c r="AJ91" s="16"/>
      <c r="AK91" s="27" t="s">
        <v>326</v>
      </c>
      <c r="AL91" s="16"/>
      <c r="AM91" s="27" t="s">
        <v>325</v>
      </c>
      <c r="AN91" s="16"/>
      <c r="AO91" s="27" t="s">
        <v>326</v>
      </c>
      <c r="AP91" s="16"/>
      <c r="AQ91" s="27" t="s">
        <v>324</v>
      </c>
      <c r="AR91" s="16"/>
      <c r="AS91" s="27" t="s">
        <v>326</v>
      </c>
      <c r="AT91" s="16"/>
      <c r="AU91" s="27" t="s">
        <v>326</v>
      </c>
      <c r="AV91" s="16"/>
      <c r="AW91" s="27" t="s">
        <v>324</v>
      </c>
      <c r="AX91" s="16"/>
      <c r="AY91" s="27" t="s">
        <v>323</v>
      </c>
      <c r="AZ91" s="16"/>
      <c r="BA91" s="27" t="s">
        <v>323</v>
      </c>
      <c r="BB91" s="16"/>
      <c r="BC91" s="27" t="s">
        <v>326</v>
      </c>
      <c r="BD91" s="16"/>
      <c r="BE91" s="27" t="s">
        <v>326</v>
      </c>
      <c r="BF91" s="16"/>
      <c r="BG91" s="27"/>
      <c r="BH91" s="16"/>
      <c r="BI91" s="27"/>
      <c r="BJ91" s="16"/>
    </row>
    <row r="92" ht="18.0" customHeight="1">
      <c r="A92" s="1"/>
      <c r="B92" s="13" t="s">
        <v>112</v>
      </c>
      <c r="C92" s="27" t="s">
        <v>327</v>
      </c>
      <c r="D92" s="16"/>
      <c r="E92" s="27" t="s">
        <v>327</v>
      </c>
      <c r="F92" s="16"/>
      <c r="G92" s="27" t="s">
        <v>327</v>
      </c>
      <c r="H92" s="16"/>
      <c r="I92" s="27" t="s">
        <v>327</v>
      </c>
      <c r="J92" s="16"/>
      <c r="K92" s="27" t="s">
        <v>327</v>
      </c>
      <c r="L92" s="16"/>
      <c r="M92" s="27" t="s">
        <v>327</v>
      </c>
      <c r="N92" s="16"/>
      <c r="O92" s="27" t="s">
        <v>327</v>
      </c>
      <c r="P92" s="16"/>
      <c r="Q92" s="27" t="s">
        <v>327</v>
      </c>
      <c r="R92" s="16"/>
      <c r="S92" s="27" t="s">
        <v>327</v>
      </c>
      <c r="T92" s="16"/>
      <c r="U92" s="27" t="s">
        <v>327</v>
      </c>
      <c r="V92" s="16"/>
      <c r="W92" s="27" t="s">
        <v>327</v>
      </c>
      <c r="X92" s="16"/>
      <c r="Y92" s="27" t="s">
        <v>327</v>
      </c>
      <c r="Z92" s="16"/>
      <c r="AA92" s="27" t="s">
        <v>327</v>
      </c>
      <c r="AB92" s="16"/>
      <c r="AC92" s="27" t="s">
        <v>327</v>
      </c>
      <c r="AD92" s="16"/>
      <c r="AE92" s="27" t="s">
        <v>327</v>
      </c>
      <c r="AF92" s="16"/>
      <c r="AG92" s="27" t="s">
        <v>327</v>
      </c>
      <c r="AH92" s="16"/>
      <c r="AI92" s="27" t="s">
        <v>327</v>
      </c>
      <c r="AJ92" s="16"/>
      <c r="AK92" s="27" t="s">
        <v>327</v>
      </c>
      <c r="AL92" s="16"/>
      <c r="AM92" s="27" t="s">
        <v>327</v>
      </c>
      <c r="AN92" s="16"/>
      <c r="AO92" s="27" t="s">
        <v>327</v>
      </c>
      <c r="AP92" s="16"/>
      <c r="AQ92" s="27" t="s">
        <v>327</v>
      </c>
      <c r="AR92" s="16"/>
      <c r="AS92" s="27" t="s">
        <v>327</v>
      </c>
      <c r="AT92" s="16"/>
      <c r="AU92" s="27" t="s">
        <v>327</v>
      </c>
      <c r="AV92" s="16"/>
      <c r="AW92" s="27" t="s">
        <v>327</v>
      </c>
      <c r="AX92" s="16"/>
      <c r="AY92" s="27" t="s">
        <v>327</v>
      </c>
      <c r="AZ92" s="16"/>
      <c r="BA92" s="27" t="s">
        <v>328</v>
      </c>
      <c r="BB92" s="16"/>
      <c r="BC92" s="27" t="s">
        <v>327</v>
      </c>
      <c r="BD92" s="16"/>
      <c r="BE92" s="27" t="s">
        <v>327</v>
      </c>
      <c r="BF92" s="16"/>
      <c r="BG92" s="27"/>
      <c r="BH92" s="16"/>
      <c r="BI92" s="27"/>
      <c r="BJ92" s="16"/>
    </row>
    <row r="93" ht="18.0" customHeight="1">
      <c r="A93" s="1"/>
      <c r="B93" s="13" t="s">
        <v>113</v>
      </c>
      <c r="C93" s="27" t="s">
        <v>328</v>
      </c>
      <c r="D93" s="16"/>
      <c r="E93" s="27" t="s">
        <v>328</v>
      </c>
      <c r="F93" s="16"/>
      <c r="G93" s="27" t="s">
        <v>328</v>
      </c>
      <c r="H93" s="16"/>
      <c r="I93" s="27" t="s">
        <v>328</v>
      </c>
      <c r="J93" s="16"/>
      <c r="K93" s="27" t="s">
        <v>329</v>
      </c>
      <c r="L93" s="16"/>
      <c r="M93" s="27" t="s">
        <v>328</v>
      </c>
      <c r="N93" s="16"/>
      <c r="O93" s="27" t="s">
        <v>328</v>
      </c>
      <c r="P93" s="16"/>
      <c r="Q93" s="27" t="s">
        <v>328</v>
      </c>
      <c r="R93" s="16"/>
      <c r="S93" s="27" t="s">
        <v>329</v>
      </c>
      <c r="T93" s="16"/>
      <c r="U93" s="27" t="s">
        <v>329</v>
      </c>
      <c r="V93" s="16"/>
      <c r="W93" s="27" t="s">
        <v>328</v>
      </c>
      <c r="X93" s="16"/>
      <c r="Y93" s="27" t="s">
        <v>328</v>
      </c>
      <c r="Z93" s="16"/>
      <c r="AA93" s="27" t="s">
        <v>329</v>
      </c>
      <c r="AB93" s="16"/>
      <c r="AC93" s="27" t="s">
        <v>328</v>
      </c>
      <c r="AD93" s="16"/>
      <c r="AE93" s="27" t="s">
        <v>329</v>
      </c>
      <c r="AF93" s="16"/>
      <c r="AG93" s="27" t="s">
        <v>328</v>
      </c>
      <c r="AH93" s="16"/>
      <c r="AI93" s="27" t="s">
        <v>329</v>
      </c>
      <c r="AJ93" s="16"/>
      <c r="AK93" s="27" t="s">
        <v>328</v>
      </c>
      <c r="AL93" s="16"/>
      <c r="AM93" s="27" t="s">
        <v>328</v>
      </c>
      <c r="AN93" s="16"/>
      <c r="AO93" s="27" t="s">
        <v>328</v>
      </c>
      <c r="AP93" s="16"/>
      <c r="AQ93" s="27" t="s">
        <v>328</v>
      </c>
      <c r="AR93" s="16"/>
      <c r="AS93" s="27" t="s">
        <v>329</v>
      </c>
      <c r="AT93" s="16"/>
      <c r="AU93" s="27" t="s">
        <v>328</v>
      </c>
      <c r="AV93" s="16"/>
      <c r="AW93" s="27" t="s">
        <v>328</v>
      </c>
      <c r="AX93" s="16"/>
      <c r="AY93" s="27" t="s">
        <v>328</v>
      </c>
      <c r="AZ93" s="16"/>
      <c r="BA93" s="27" t="s">
        <v>327</v>
      </c>
      <c r="BB93" s="16"/>
      <c r="BC93" s="27" t="s">
        <v>329</v>
      </c>
      <c r="BD93" s="16"/>
      <c r="BE93" s="27" t="s">
        <v>329</v>
      </c>
      <c r="BF93" s="16"/>
      <c r="BG93" s="27"/>
      <c r="BH93" s="16"/>
      <c r="BI93" s="27"/>
      <c r="BJ93" s="16"/>
    </row>
    <row r="94" ht="18.0" customHeight="1">
      <c r="A94" s="1"/>
      <c r="B94" s="13" t="s">
        <v>114</v>
      </c>
      <c r="C94" s="27" t="s">
        <v>329</v>
      </c>
      <c r="D94" s="16"/>
      <c r="E94" s="27" t="s">
        <v>329</v>
      </c>
      <c r="F94" s="16"/>
      <c r="G94" s="27" t="s">
        <v>329</v>
      </c>
      <c r="H94" s="16"/>
      <c r="I94" s="27" t="s">
        <v>329</v>
      </c>
      <c r="J94" s="16"/>
      <c r="K94" s="27" t="s">
        <v>328</v>
      </c>
      <c r="L94" s="16"/>
      <c r="M94" s="27" t="s">
        <v>329</v>
      </c>
      <c r="N94" s="16"/>
      <c r="O94" s="27" t="s">
        <v>329</v>
      </c>
      <c r="P94" s="16"/>
      <c r="Q94" s="27" t="s">
        <v>329</v>
      </c>
      <c r="R94" s="16"/>
      <c r="S94" s="27" t="s">
        <v>328</v>
      </c>
      <c r="T94" s="16"/>
      <c r="U94" s="27" t="s">
        <v>328</v>
      </c>
      <c r="V94" s="16"/>
      <c r="W94" s="27" t="s">
        <v>329</v>
      </c>
      <c r="X94" s="16"/>
      <c r="Y94" s="27" t="s">
        <v>329</v>
      </c>
      <c r="Z94" s="16"/>
      <c r="AA94" s="27" t="s">
        <v>328</v>
      </c>
      <c r="AB94" s="16"/>
      <c r="AC94" s="27" t="s">
        <v>329</v>
      </c>
      <c r="AD94" s="16"/>
      <c r="AE94" s="27" t="s">
        <v>328</v>
      </c>
      <c r="AF94" s="16"/>
      <c r="AG94" s="27" t="s">
        <v>329</v>
      </c>
      <c r="AH94" s="16"/>
      <c r="AI94" s="27" t="s">
        <v>328</v>
      </c>
      <c r="AJ94" s="16"/>
      <c r="AK94" s="27" t="s">
        <v>329</v>
      </c>
      <c r="AL94" s="16"/>
      <c r="AM94" s="27" t="s">
        <v>329</v>
      </c>
      <c r="AN94" s="16"/>
      <c r="AO94" s="27" t="s">
        <v>329</v>
      </c>
      <c r="AP94" s="16"/>
      <c r="AQ94" s="27" t="s">
        <v>329</v>
      </c>
      <c r="AR94" s="16"/>
      <c r="AS94" s="27" t="s">
        <v>330</v>
      </c>
      <c r="AT94" s="16"/>
      <c r="AU94" s="27" t="s">
        <v>329</v>
      </c>
      <c r="AV94" s="16"/>
      <c r="AW94" s="27" t="s">
        <v>330</v>
      </c>
      <c r="AX94" s="16"/>
      <c r="AY94" s="27" t="s">
        <v>329</v>
      </c>
      <c r="AZ94" s="16"/>
      <c r="BA94" s="27" t="s">
        <v>329</v>
      </c>
      <c r="BB94" s="16"/>
      <c r="BC94" s="27" t="s">
        <v>328</v>
      </c>
      <c r="BD94" s="16"/>
      <c r="BE94" s="27" t="s">
        <v>328</v>
      </c>
      <c r="BF94" s="16"/>
      <c r="BG94" s="27"/>
      <c r="BH94" s="16"/>
      <c r="BI94" s="27"/>
      <c r="BJ94" s="16"/>
    </row>
    <row r="95" ht="18.0" customHeight="1">
      <c r="A95" s="1"/>
      <c r="B95" s="13" t="s">
        <v>115</v>
      </c>
      <c r="C95" s="27" t="s">
        <v>331</v>
      </c>
      <c r="D95" s="16"/>
      <c r="E95" s="27" t="s">
        <v>332</v>
      </c>
      <c r="F95" s="16"/>
      <c r="G95" s="27" t="s">
        <v>332</v>
      </c>
      <c r="H95" s="16"/>
      <c r="I95" s="27" t="s">
        <v>331</v>
      </c>
      <c r="J95" s="16"/>
      <c r="K95" s="27" t="s">
        <v>333</v>
      </c>
      <c r="L95" s="16"/>
      <c r="M95" s="27" t="s">
        <v>331</v>
      </c>
      <c r="N95" s="16"/>
      <c r="O95" s="27" t="s">
        <v>332</v>
      </c>
      <c r="P95" s="16"/>
      <c r="Q95" s="27" t="s">
        <v>331</v>
      </c>
      <c r="R95" s="16"/>
      <c r="S95" s="27" t="s">
        <v>332</v>
      </c>
      <c r="T95" s="16"/>
      <c r="U95" s="27" t="s">
        <v>332</v>
      </c>
      <c r="V95" s="16"/>
      <c r="W95" s="27" t="s">
        <v>332</v>
      </c>
      <c r="X95" s="16"/>
      <c r="Y95" s="27" t="s">
        <v>332</v>
      </c>
      <c r="Z95" s="16"/>
      <c r="AA95" s="27" t="s">
        <v>332</v>
      </c>
      <c r="AB95" s="16"/>
      <c r="AC95" s="27" t="s">
        <v>332</v>
      </c>
      <c r="AD95" s="16"/>
      <c r="AE95" s="27" t="s">
        <v>332</v>
      </c>
      <c r="AF95" s="16"/>
      <c r="AG95" s="27" t="s">
        <v>332</v>
      </c>
      <c r="AH95" s="16"/>
      <c r="AI95" s="27" t="s">
        <v>331</v>
      </c>
      <c r="AJ95" s="16"/>
      <c r="AK95" s="27" t="s">
        <v>332</v>
      </c>
      <c r="AL95" s="16"/>
      <c r="AM95" s="27" t="s">
        <v>332</v>
      </c>
      <c r="AN95" s="16"/>
      <c r="AO95" s="27" t="s">
        <v>332</v>
      </c>
      <c r="AP95" s="16"/>
      <c r="AQ95" s="27" t="s">
        <v>332</v>
      </c>
      <c r="AR95" s="16"/>
      <c r="AS95" s="27" t="s">
        <v>331</v>
      </c>
      <c r="AT95" s="16"/>
      <c r="AU95" s="27" t="s">
        <v>332</v>
      </c>
      <c r="AV95" s="16"/>
      <c r="AW95" s="27" t="s">
        <v>332</v>
      </c>
      <c r="AX95" s="16"/>
      <c r="AY95" s="27" t="s">
        <v>334</v>
      </c>
      <c r="AZ95" s="16"/>
      <c r="BA95" s="27" t="s">
        <v>332</v>
      </c>
      <c r="BB95" s="16"/>
      <c r="BC95" s="27" t="s">
        <v>332</v>
      </c>
      <c r="BD95" s="16"/>
      <c r="BE95" s="27" t="s">
        <v>332</v>
      </c>
      <c r="BF95" s="16"/>
      <c r="BG95" s="27"/>
      <c r="BH95" s="16"/>
      <c r="BI95" s="27"/>
      <c r="BJ95" s="16"/>
    </row>
    <row r="96" ht="18.0" customHeight="1">
      <c r="A96" s="1"/>
      <c r="B96" s="13" t="s">
        <v>116</v>
      </c>
      <c r="C96" s="27" t="s">
        <v>332</v>
      </c>
      <c r="D96" s="16"/>
      <c r="E96" s="27" t="s">
        <v>334</v>
      </c>
      <c r="F96" s="16"/>
      <c r="G96" s="27" t="s">
        <v>331</v>
      </c>
      <c r="H96" s="16"/>
      <c r="I96" s="27" t="s">
        <v>332</v>
      </c>
      <c r="J96" s="16"/>
      <c r="K96" s="27" t="s">
        <v>332</v>
      </c>
      <c r="L96" s="16"/>
      <c r="M96" s="27" t="s">
        <v>332</v>
      </c>
      <c r="N96" s="16"/>
      <c r="O96" s="27" t="s">
        <v>331</v>
      </c>
      <c r="P96" s="16"/>
      <c r="Q96" s="27" t="s">
        <v>332</v>
      </c>
      <c r="R96" s="16"/>
      <c r="S96" s="27" t="s">
        <v>334</v>
      </c>
      <c r="T96" s="16"/>
      <c r="U96" s="27" t="s">
        <v>333</v>
      </c>
      <c r="V96" s="16"/>
      <c r="W96" s="27" t="s">
        <v>334</v>
      </c>
      <c r="X96" s="16"/>
      <c r="Y96" s="27" t="s">
        <v>333</v>
      </c>
      <c r="Z96" s="16"/>
      <c r="AA96" s="27" t="s">
        <v>334</v>
      </c>
      <c r="AB96" s="16"/>
      <c r="AC96" s="27" t="s">
        <v>333</v>
      </c>
      <c r="AD96" s="16"/>
      <c r="AE96" s="27" t="s">
        <v>334</v>
      </c>
      <c r="AF96" s="16"/>
      <c r="AG96" s="27" t="s">
        <v>333</v>
      </c>
      <c r="AH96" s="16"/>
      <c r="AI96" s="27" t="s">
        <v>332</v>
      </c>
      <c r="AJ96" s="16"/>
      <c r="AK96" s="27" t="s">
        <v>334</v>
      </c>
      <c r="AL96" s="16"/>
      <c r="AM96" s="27" t="s">
        <v>333</v>
      </c>
      <c r="AN96" s="16"/>
      <c r="AO96" s="27" t="s">
        <v>334</v>
      </c>
      <c r="AP96" s="16"/>
      <c r="AQ96" s="27" t="s">
        <v>333</v>
      </c>
      <c r="AR96" s="16"/>
      <c r="AS96" s="27" t="s">
        <v>332</v>
      </c>
      <c r="AT96" s="16"/>
      <c r="AU96" s="27" t="s">
        <v>333</v>
      </c>
      <c r="AV96" s="16"/>
      <c r="AW96" s="27" t="s">
        <v>331</v>
      </c>
      <c r="AX96" s="16"/>
      <c r="AY96" s="27" t="s">
        <v>332</v>
      </c>
      <c r="AZ96" s="16"/>
      <c r="BA96" s="27" t="s">
        <v>334</v>
      </c>
      <c r="BB96" s="16"/>
      <c r="BC96" s="27" t="s">
        <v>334</v>
      </c>
      <c r="BD96" s="16"/>
      <c r="BE96" s="27" t="s">
        <v>334</v>
      </c>
      <c r="BF96" s="16"/>
      <c r="BG96" s="27"/>
      <c r="BH96" s="16"/>
      <c r="BI96" s="27"/>
      <c r="BJ96" s="16"/>
    </row>
    <row r="97" ht="18.0" customHeight="1">
      <c r="A97" s="1"/>
      <c r="B97" s="13" t="s">
        <v>117</v>
      </c>
      <c r="C97" s="27" t="s">
        <v>334</v>
      </c>
      <c r="D97" s="16"/>
      <c r="E97" s="27" t="s">
        <v>333</v>
      </c>
      <c r="F97" s="16"/>
      <c r="G97" s="27" t="s">
        <v>333</v>
      </c>
      <c r="H97" s="16"/>
      <c r="I97" s="27" t="s">
        <v>334</v>
      </c>
      <c r="J97" s="16"/>
      <c r="K97" s="27" t="s">
        <v>334</v>
      </c>
      <c r="L97" s="16"/>
      <c r="M97" s="27" t="s">
        <v>334</v>
      </c>
      <c r="N97" s="16"/>
      <c r="O97" s="27" t="s">
        <v>334</v>
      </c>
      <c r="P97" s="16"/>
      <c r="Q97" s="27" t="s">
        <v>334</v>
      </c>
      <c r="R97" s="16"/>
      <c r="S97" s="27" t="s">
        <v>333</v>
      </c>
      <c r="T97" s="16"/>
      <c r="U97" s="27" t="s">
        <v>334</v>
      </c>
      <c r="V97" s="16"/>
      <c r="W97" s="27" t="s">
        <v>333</v>
      </c>
      <c r="X97" s="16"/>
      <c r="Y97" s="27" t="s">
        <v>334</v>
      </c>
      <c r="Z97" s="16"/>
      <c r="AA97" s="27" t="s">
        <v>333</v>
      </c>
      <c r="AB97" s="16"/>
      <c r="AC97" s="27" t="s">
        <v>334</v>
      </c>
      <c r="AD97" s="16"/>
      <c r="AE97" s="27" t="s">
        <v>333</v>
      </c>
      <c r="AF97" s="16"/>
      <c r="AG97" s="27" t="s">
        <v>334</v>
      </c>
      <c r="AH97" s="16"/>
      <c r="AI97" s="27" t="s">
        <v>333</v>
      </c>
      <c r="AJ97" s="16"/>
      <c r="AK97" s="27" t="s">
        <v>331</v>
      </c>
      <c r="AL97" s="16"/>
      <c r="AM97" s="27" t="s">
        <v>334</v>
      </c>
      <c r="AN97" s="16"/>
      <c r="AO97" s="27" t="s">
        <v>333</v>
      </c>
      <c r="AP97" s="16"/>
      <c r="AQ97" s="27" t="s">
        <v>334</v>
      </c>
      <c r="AR97" s="16"/>
      <c r="AS97" s="27" t="s">
        <v>333</v>
      </c>
      <c r="AT97" s="16"/>
      <c r="AU97" s="27" t="s">
        <v>334</v>
      </c>
      <c r="AV97" s="16"/>
      <c r="AW97" s="27" t="s">
        <v>333</v>
      </c>
      <c r="AX97" s="16"/>
      <c r="AY97" s="27" t="s">
        <v>333</v>
      </c>
      <c r="AZ97" s="16"/>
      <c r="BA97" s="27" t="s">
        <v>331</v>
      </c>
      <c r="BB97" s="16"/>
      <c r="BC97" s="27" t="s">
        <v>333</v>
      </c>
      <c r="BD97" s="16"/>
      <c r="BE97" s="27" t="s">
        <v>333</v>
      </c>
      <c r="BF97" s="16"/>
      <c r="BG97" s="27"/>
      <c r="BH97" s="16"/>
      <c r="BI97" s="27"/>
      <c r="BJ97" s="16"/>
    </row>
    <row r="98" ht="18.0" customHeight="1">
      <c r="A98" s="1"/>
      <c r="B98" s="13" t="s">
        <v>118</v>
      </c>
      <c r="C98" s="27" t="s">
        <v>335</v>
      </c>
      <c r="D98" s="16"/>
      <c r="E98" s="27" t="s">
        <v>335</v>
      </c>
      <c r="F98" s="16"/>
      <c r="G98" s="27" t="s">
        <v>335</v>
      </c>
      <c r="H98" s="16"/>
      <c r="I98" s="27" t="s">
        <v>335</v>
      </c>
      <c r="J98" s="16"/>
      <c r="K98" s="27" t="s">
        <v>335</v>
      </c>
      <c r="L98" s="16"/>
      <c r="M98" s="27" t="s">
        <v>335</v>
      </c>
      <c r="N98" s="16"/>
      <c r="O98" s="27" t="s">
        <v>335</v>
      </c>
      <c r="P98" s="16"/>
      <c r="Q98" s="27" t="s">
        <v>335</v>
      </c>
      <c r="R98" s="16"/>
      <c r="S98" s="27" t="s">
        <v>335</v>
      </c>
      <c r="T98" s="16"/>
      <c r="U98" s="27" t="s">
        <v>335</v>
      </c>
      <c r="V98" s="16"/>
      <c r="W98" s="27" t="s">
        <v>335</v>
      </c>
      <c r="X98" s="16"/>
      <c r="Y98" s="27" t="s">
        <v>335</v>
      </c>
      <c r="Z98" s="16"/>
      <c r="AA98" s="27" t="s">
        <v>335</v>
      </c>
      <c r="AB98" s="16"/>
      <c r="AC98" s="27" t="s">
        <v>335</v>
      </c>
      <c r="AD98" s="16"/>
      <c r="AE98" s="27" t="s">
        <v>335</v>
      </c>
      <c r="AF98" s="16"/>
      <c r="AG98" s="27" t="s">
        <v>335</v>
      </c>
      <c r="AH98" s="16"/>
      <c r="AI98" s="27" t="s">
        <v>335</v>
      </c>
      <c r="AJ98" s="16"/>
      <c r="AK98" s="27" t="s">
        <v>335</v>
      </c>
      <c r="AL98" s="16"/>
      <c r="AM98" s="27" t="s">
        <v>335</v>
      </c>
      <c r="AN98" s="16"/>
      <c r="AO98" s="27" t="s">
        <v>335</v>
      </c>
      <c r="AP98" s="16"/>
      <c r="AQ98" s="27" t="s">
        <v>335</v>
      </c>
      <c r="AR98" s="16"/>
      <c r="AS98" s="27" t="s">
        <v>335</v>
      </c>
      <c r="AT98" s="16"/>
      <c r="AU98" s="27" t="s">
        <v>335</v>
      </c>
      <c r="AV98" s="16"/>
      <c r="AW98" s="27" t="s">
        <v>335</v>
      </c>
      <c r="AX98" s="16"/>
      <c r="AY98" s="27" t="s">
        <v>335</v>
      </c>
      <c r="AZ98" s="16"/>
      <c r="BA98" s="27" t="s">
        <v>335</v>
      </c>
      <c r="BB98" s="16"/>
      <c r="BC98" s="27" t="s">
        <v>335</v>
      </c>
      <c r="BD98" s="16"/>
      <c r="BE98" s="27" t="s">
        <v>335</v>
      </c>
      <c r="BF98" s="16"/>
      <c r="BG98" s="27"/>
      <c r="BH98" s="16"/>
      <c r="BI98" s="27"/>
      <c r="BJ98" s="16"/>
    </row>
    <row r="99" ht="18.0" customHeight="1">
      <c r="A99" s="1"/>
      <c r="B99" s="13" t="s">
        <v>119</v>
      </c>
      <c r="C99" s="27" t="s">
        <v>336</v>
      </c>
      <c r="D99" s="16"/>
      <c r="E99" s="27" t="s">
        <v>336</v>
      </c>
      <c r="F99" s="16"/>
      <c r="G99" s="27" t="s">
        <v>336</v>
      </c>
      <c r="H99" s="16"/>
      <c r="I99" s="27" t="s">
        <v>336</v>
      </c>
      <c r="J99" s="16"/>
      <c r="K99" s="27" t="s">
        <v>336</v>
      </c>
      <c r="L99" s="16"/>
      <c r="M99" s="27" t="s">
        <v>336</v>
      </c>
      <c r="N99" s="16"/>
      <c r="O99" s="27" t="s">
        <v>336</v>
      </c>
      <c r="P99" s="16"/>
      <c r="Q99" s="27" t="s">
        <v>336</v>
      </c>
      <c r="R99" s="16"/>
      <c r="S99" s="27" t="s">
        <v>337</v>
      </c>
      <c r="T99" s="16"/>
      <c r="U99" s="27" t="s">
        <v>336</v>
      </c>
      <c r="V99" s="16"/>
      <c r="W99" s="27" t="s">
        <v>336</v>
      </c>
      <c r="X99" s="16"/>
      <c r="Y99" s="27" t="s">
        <v>336</v>
      </c>
      <c r="Z99" s="16"/>
      <c r="AA99" s="27" t="s">
        <v>336</v>
      </c>
      <c r="AB99" s="16"/>
      <c r="AC99" s="27" t="s">
        <v>338</v>
      </c>
      <c r="AD99" s="16"/>
      <c r="AE99" s="27" t="s">
        <v>337</v>
      </c>
      <c r="AF99" s="16"/>
      <c r="AG99" s="27" t="s">
        <v>336</v>
      </c>
      <c r="AH99" s="16"/>
      <c r="AI99" s="27" t="s">
        <v>336</v>
      </c>
      <c r="AJ99" s="16"/>
      <c r="AK99" s="27" t="s">
        <v>336</v>
      </c>
      <c r="AL99" s="16"/>
      <c r="AM99" s="27" t="s">
        <v>337</v>
      </c>
      <c r="AN99" s="16"/>
      <c r="AO99" s="27" t="s">
        <v>337</v>
      </c>
      <c r="AP99" s="16"/>
      <c r="AQ99" s="27" t="s">
        <v>336</v>
      </c>
      <c r="AR99" s="16"/>
      <c r="AS99" s="27" t="s">
        <v>336</v>
      </c>
      <c r="AT99" s="16"/>
      <c r="AU99" s="27" t="s">
        <v>337</v>
      </c>
      <c r="AV99" s="16"/>
      <c r="AW99" s="27" t="s">
        <v>338</v>
      </c>
      <c r="AX99" s="16"/>
      <c r="AY99" s="27" t="s">
        <v>336</v>
      </c>
      <c r="AZ99" s="16"/>
      <c r="BA99" s="27" t="s">
        <v>337</v>
      </c>
      <c r="BB99" s="16"/>
      <c r="BC99" s="27" t="s">
        <v>337</v>
      </c>
      <c r="BD99" s="16"/>
      <c r="BE99" s="27" t="s">
        <v>338</v>
      </c>
      <c r="BF99" s="16"/>
      <c r="BG99" s="27"/>
      <c r="BH99" s="16"/>
      <c r="BI99" s="27"/>
      <c r="BJ99" s="16"/>
    </row>
    <row r="100" ht="18.0" customHeight="1">
      <c r="A100" s="1"/>
      <c r="B100" s="13" t="s">
        <v>120</v>
      </c>
      <c r="C100" s="27" t="s">
        <v>337</v>
      </c>
      <c r="D100" s="16"/>
      <c r="E100" s="27" t="s">
        <v>337</v>
      </c>
      <c r="F100" s="16"/>
      <c r="G100" s="27" t="s">
        <v>337</v>
      </c>
      <c r="H100" s="16"/>
      <c r="I100" s="27" t="s">
        <v>337</v>
      </c>
      <c r="J100" s="16"/>
      <c r="K100" s="27" t="s">
        <v>337</v>
      </c>
      <c r="L100" s="16"/>
      <c r="M100" s="27" t="s">
        <v>337</v>
      </c>
      <c r="N100" s="16"/>
      <c r="O100" s="27" t="s">
        <v>337</v>
      </c>
      <c r="P100" s="16"/>
      <c r="Q100" s="27" t="s">
        <v>337</v>
      </c>
      <c r="R100" s="16"/>
      <c r="S100" s="27" t="s">
        <v>336</v>
      </c>
      <c r="T100" s="16"/>
      <c r="U100" s="27" t="s">
        <v>337</v>
      </c>
      <c r="V100" s="16"/>
      <c r="W100" s="27" t="s">
        <v>337</v>
      </c>
      <c r="X100" s="16"/>
      <c r="Y100" s="27" t="s">
        <v>337</v>
      </c>
      <c r="Z100" s="16"/>
      <c r="AA100" s="27" t="s">
        <v>337</v>
      </c>
      <c r="AB100" s="16"/>
      <c r="AC100" s="27" t="s">
        <v>336</v>
      </c>
      <c r="AD100" s="16"/>
      <c r="AE100" s="27" t="s">
        <v>336</v>
      </c>
      <c r="AF100" s="16"/>
      <c r="AG100" s="27" t="s">
        <v>337</v>
      </c>
      <c r="AH100" s="16"/>
      <c r="AI100" s="27" t="s">
        <v>338</v>
      </c>
      <c r="AJ100" s="16"/>
      <c r="AK100" s="27" t="s">
        <v>337</v>
      </c>
      <c r="AL100" s="16"/>
      <c r="AM100" s="27" t="s">
        <v>338</v>
      </c>
      <c r="AN100" s="16"/>
      <c r="AO100" s="27" t="s">
        <v>336</v>
      </c>
      <c r="AP100" s="16"/>
      <c r="AQ100" s="27" t="s">
        <v>338</v>
      </c>
      <c r="AR100" s="16"/>
      <c r="AS100" s="27" t="s">
        <v>337</v>
      </c>
      <c r="AT100" s="16"/>
      <c r="AU100" s="27" t="s">
        <v>336</v>
      </c>
      <c r="AV100" s="16"/>
      <c r="AW100" s="27" t="s">
        <v>337</v>
      </c>
      <c r="AX100" s="16"/>
      <c r="AY100" s="27" t="s">
        <v>337</v>
      </c>
      <c r="AZ100" s="16"/>
      <c r="BA100" s="27" t="s">
        <v>336</v>
      </c>
      <c r="BB100" s="16"/>
      <c r="BC100" s="27" t="s">
        <v>336</v>
      </c>
      <c r="BD100" s="16"/>
      <c r="BE100" s="27" t="s">
        <v>337</v>
      </c>
      <c r="BF100" s="16"/>
      <c r="BG100" s="27"/>
      <c r="BH100" s="16"/>
      <c r="BI100" s="27"/>
      <c r="BJ100" s="16"/>
    </row>
    <row r="101" ht="18.0" customHeight="1">
      <c r="A101" s="1"/>
      <c r="B101" s="13" t="s">
        <v>121</v>
      </c>
      <c r="C101" s="27" t="s">
        <v>339</v>
      </c>
      <c r="D101" s="16"/>
      <c r="E101" s="27" t="s">
        <v>339</v>
      </c>
      <c r="F101" s="16"/>
      <c r="G101" s="27" t="s">
        <v>339</v>
      </c>
      <c r="H101" s="16"/>
      <c r="I101" s="27" t="s">
        <v>339</v>
      </c>
      <c r="J101" s="16"/>
      <c r="K101" s="27" t="s">
        <v>339</v>
      </c>
      <c r="L101" s="16"/>
      <c r="M101" s="27" t="s">
        <v>339</v>
      </c>
      <c r="N101" s="16"/>
      <c r="O101" s="27" t="s">
        <v>339</v>
      </c>
      <c r="P101" s="16"/>
      <c r="Q101" s="27" t="s">
        <v>339</v>
      </c>
      <c r="R101" s="16"/>
      <c r="S101" s="27" t="s">
        <v>339</v>
      </c>
      <c r="T101" s="16"/>
      <c r="U101" s="27" t="s">
        <v>339</v>
      </c>
      <c r="V101" s="16"/>
      <c r="W101" s="27" t="s">
        <v>339</v>
      </c>
      <c r="X101" s="16"/>
      <c r="Y101" s="27" t="s">
        <v>339</v>
      </c>
      <c r="Z101" s="16"/>
      <c r="AA101" s="27" t="s">
        <v>339</v>
      </c>
      <c r="AB101" s="16"/>
      <c r="AC101" s="27" t="s">
        <v>339</v>
      </c>
      <c r="AD101" s="16"/>
      <c r="AE101" s="27" t="s">
        <v>339</v>
      </c>
      <c r="AF101" s="16"/>
      <c r="AG101" s="27" t="s">
        <v>339</v>
      </c>
      <c r="AH101" s="16"/>
      <c r="AI101" s="27" t="s">
        <v>339</v>
      </c>
      <c r="AJ101" s="16"/>
      <c r="AK101" s="27" t="s">
        <v>339</v>
      </c>
      <c r="AL101" s="16"/>
      <c r="AM101" s="27" t="s">
        <v>339</v>
      </c>
      <c r="AN101" s="16"/>
      <c r="AO101" s="27" t="s">
        <v>339</v>
      </c>
      <c r="AP101" s="16"/>
      <c r="AQ101" s="27" t="s">
        <v>339</v>
      </c>
      <c r="AR101" s="16"/>
      <c r="AS101" s="27" t="s">
        <v>339</v>
      </c>
      <c r="AT101" s="16"/>
      <c r="AU101" s="27" t="s">
        <v>339</v>
      </c>
      <c r="AV101" s="16"/>
      <c r="AW101" s="27" t="s">
        <v>340</v>
      </c>
      <c r="AX101" s="16"/>
      <c r="AY101" s="27" t="s">
        <v>339</v>
      </c>
      <c r="AZ101" s="16"/>
      <c r="BA101" s="27" t="s">
        <v>339</v>
      </c>
      <c r="BB101" s="16"/>
      <c r="BC101" s="27" t="s">
        <v>339</v>
      </c>
      <c r="BD101" s="16"/>
      <c r="BE101" s="27" t="s">
        <v>339</v>
      </c>
      <c r="BF101" s="16"/>
      <c r="BG101" s="27"/>
      <c r="BH101" s="16"/>
      <c r="BI101" s="27"/>
      <c r="BJ101" s="16"/>
    </row>
    <row r="102" ht="18.0" customHeight="1">
      <c r="A102" s="1"/>
      <c r="B102" s="13" t="s">
        <v>122</v>
      </c>
      <c r="C102" s="27" t="s">
        <v>340</v>
      </c>
      <c r="D102" s="16"/>
      <c r="E102" s="27" t="s">
        <v>340</v>
      </c>
      <c r="F102" s="16"/>
      <c r="G102" s="27" t="s">
        <v>340</v>
      </c>
      <c r="H102" s="16"/>
      <c r="I102" s="27" t="s">
        <v>340</v>
      </c>
      <c r="J102" s="16"/>
      <c r="K102" s="27" t="s">
        <v>340</v>
      </c>
      <c r="L102" s="16"/>
      <c r="M102" s="27" t="s">
        <v>340</v>
      </c>
      <c r="N102" s="16"/>
      <c r="O102" s="27" t="s">
        <v>340</v>
      </c>
      <c r="P102" s="16"/>
      <c r="Q102" s="27" t="s">
        <v>340</v>
      </c>
      <c r="R102" s="16"/>
      <c r="S102" s="27" t="s">
        <v>340</v>
      </c>
      <c r="T102" s="16"/>
      <c r="U102" s="27" t="s">
        <v>340</v>
      </c>
      <c r="V102" s="16"/>
      <c r="W102" s="27" t="s">
        <v>340</v>
      </c>
      <c r="X102" s="16"/>
      <c r="Y102" s="27" t="s">
        <v>340</v>
      </c>
      <c r="Z102" s="16"/>
      <c r="AA102" s="27" t="s">
        <v>340</v>
      </c>
      <c r="AB102" s="16"/>
      <c r="AC102" s="27" t="s">
        <v>340</v>
      </c>
      <c r="AD102" s="16"/>
      <c r="AE102" s="27" t="s">
        <v>340</v>
      </c>
      <c r="AF102" s="16"/>
      <c r="AG102" s="27" t="s">
        <v>340</v>
      </c>
      <c r="AH102" s="16"/>
      <c r="AI102" s="27" t="s">
        <v>340</v>
      </c>
      <c r="AJ102" s="16"/>
      <c r="AK102" s="27" t="s">
        <v>340</v>
      </c>
      <c r="AL102" s="16"/>
      <c r="AM102" s="27" t="s">
        <v>340</v>
      </c>
      <c r="AN102" s="16"/>
      <c r="AO102" s="27" t="s">
        <v>340</v>
      </c>
      <c r="AP102" s="16"/>
      <c r="AQ102" s="27" t="s">
        <v>340</v>
      </c>
      <c r="AR102" s="16"/>
      <c r="AS102" s="27" t="s">
        <v>340</v>
      </c>
      <c r="AT102" s="16"/>
      <c r="AU102" s="27" t="s">
        <v>340</v>
      </c>
      <c r="AV102" s="16"/>
      <c r="AW102" s="27" t="s">
        <v>341</v>
      </c>
      <c r="AX102" s="16"/>
      <c r="AY102" s="27" t="s">
        <v>340</v>
      </c>
      <c r="AZ102" s="16"/>
      <c r="BA102" s="27" t="s">
        <v>340</v>
      </c>
      <c r="BB102" s="16"/>
      <c r="BC102" s="27" t="s">
        <v>340</v>
      </c>
      <c r="BD102" s="16"/>
      <c r="BE102" s="27" t="s">
        <v>340</v>
      </c>
      <c r="BF102" s="16"/>
      <c r="BG102" s="27"/>
      <c r="BH102" s="16"/>
      <c r="BI102" s="27"/>
      <c r="BJ102" s="16"/>
    </row>
    <row r="103" ht="18.0" customHeight="1">
      <c r="A103" s="1"/>
      <c r="B103" s="13" t="s">
        <v>123</v>
      </c>
      <c r="C103" s="27" t="s">
        <v>341</v>
      </c>
      <c r="D103" s="16"/>
      <c r="E103" s="27" t="s">
        <v>341</v>
      </c>
      <c r="F103" s="16"/>
      <c r="G103" s="27" t="s">
        <v>341</v>
      </c>
      <c r="H103" s="16"/>
      <c r="I103" s="27" t="s">
        <v>341</v>
      </c>
      <c r="J103" s="16"/>
      <c r="K103" s="27" t="s">
        <v>341</v>
      </c>
      <c r="L103" s="16"/>
      <c r="M103" s="27" t="s">
        <v>341</v>
      </c>
      <c r="N103" s="16"/>
      <c r="O103" s="27" t="s">
        <v>341</v>
      </c>
      <c r="P103" s="16"/>
      <c r="Q103" s="27" t="s">
        <v>341</v>
      </c>
      <c r="R103" s="16"/>
      <c r="S103" s="27" t="s">
        <v>341</v>
      </c>
      <c r="T103" s="16"/>
      <c r="U103" s="27" t="s">
        <v>341</v>
      </c>
      <c r="V103" s="16"/>
      <c r="W103" s="27" t="s">
        <v>341</v>
      </c>
      <c r="X103" s="16"/>
      <c r="Y103" s="27" t="s">
        <v>341</v>
      </c>
      <c r="Z103" s="16"/>
      <c r="AA103" s="27" t="s">
        <v>341</v>
      </c>
      <c r="AB103" s="16"/>
      <c r="AC103" s="27" t="s">
        <v>341</v>
      </c>
      <c r="AD103" s="16"/>
      <c r="AE103" s="27" t="s">
        <v>341</v>
      </c>
      <c r="AF103" s="16"/>
      <c r="AG103" s="27" t="s">
        <v>341</v>
      </c>
      <c r="AH103" s="16"/>
      <c r="AI103" s="27" t="s">
        <v>342</v>
      </c>
      <c r="AJ103" s="16"/>
      <c r="AK103" s="27" t="s">
        <v>341</v>
      </c>
      <c r="AL103" s="16"/>
      <c r="AM103" s="27" t="s">
        <v>341</v>
      </c>
      <c r="AN103" s="16"/>
      <c r="AO103" s="27" t="s">
        <v>342</v>
      </c>
      <c r="AP103" s="16"/>
      <c r="AQ103" s="27" t="s">
        <v>341</v>
      </c>
      <c r="AR103" s="16"/>
      <c r="AS103" s="27" t="s">
        <v>341</v>
      </c>
      <c r="AT103" s="16"/>
      <c r="AU103" s="27" t="s">
        <v>341</v>
      </c>
      <c r="AV103" s="16"/>
      <c r="AW103" s="27" t="s">
        <v>339</v>
      </c>
      <c r="AX103" s="16"/>
      <c r="AY103" s="27" t="s">
        <v>341</v>
      </c>
      <c r="AZ103" s="16"/>
      <c r="BA103" s="27" t="s">
        <v>342</v>
      </c>
      <c r="BB103" s="16"/>
      <c r="BC103" s="27" t="s">
        <v>342</v>
      </c>
      <c r="BD103" s="16"/>
      <c r="BE103" s="27" t="s">
        <v>341</v>
      </c>
      <c r="BF103" s="16"/>
      <c r="BG103" s="27"/>
      <c r="BH103" s="16"/>
      <c r="BI103" s="27"/>
      <c r="BJ103" s="16"/>
    </row>
    <row r="104" ht="18.0" customHeight="1">
      <c r="A104" s="1"/>
      <c r="B104" s="13" t="s">
        <v>124</v>
      </c>
      <c r="C104" s="27" t="s">
        <v>343</v>
      </c>
      <c r="D104" s="16"/>
      <c r="E104" s="27" t="s">
        <v>343</v>
      </c>
      <c r="F104" s="16"/>
      <c r="G104" s="27" t="s">
        <v>343</v>
      </c>
      <c r="H104" s="16"/>
      <c r="I104" s="27" t="s">
        <v>343</v>
      </c>
      <c r="J104" s="16"/>
      <c r="K104" s="27" t="s">
        <v>343</v>
      </c>
      <c r="L104" s="16"/>
      <c r="M104" s="27" t="s">
        <v>343</v>
      </c>
      <c r="N104" s="16"/>
      <c r="O104" s="27" t="s">
        <v>343</v>
      </c>
      <c r="P104" s="16"/>
      <c r="Q104" s="27" t="s">
        <v>343</v>
      </c>
      <c r="R104" s="16"/>
      <c r="S104" s="27" t="s">
        <v>343</v>
      </c>
      <c r="T104" s="16"/>
      <c r="U104" s="27" t="s">
        <v>343</v>
      </c>
      <c r="V104" s="16"/>
      <c r="W104" s="27" t="s">
        <v>343</v>
      </c>
      <c r="X104" s="16"/>
      <c r="Y104" s="27" t="s">
        <v>343</v>
      </c>
      <c r="Z104" s="16"/>
      <c r="AA104" s="27" t="s">
        <v>343</v>
      </c>
      <c r="AB104" s="16"/>
      <c r="AC104" s="27" t="s">
        <v>343</v>
      </c>
      <c r="AD104" s="16"/>
      <c r="AE104" s="27" t="s">
        <v>343</v>
      </c>
      <c r="AF104" s="16"/>
      <c r="AG104" s="27" t="s">
        <v>343</v>
      </c>
      <c r="AH104" s="16"/>
      <c r="AI104" s="27" t="s">
        <v>343</v>
      </c>
      <c r="AJ104" s="16"/>
      <c r="AK104" s="27" t="s">
        <v>343</v>
      </c>
      <c r="AL104" s="16"/>
      <c r="AM104" s="27" t="s">
        <v>343</v>
      </c>
      <c r="AN104" s="16"/>
      <c r="AO104" s="27" t="s">
        <v>343</v>
      </c>
      <c r="AP104" s="16"/>
      <c r="AQ104" s="27" t="s">
        <v>343</v>
      </c>
      <c r="AR104" s="16"/>
      <c r="AS104" s="27" t="s">
        <v>344</v>
      </c>
      <c r="AT104" s="16"/>
      <c r="AU104" s="27" t="s">
        <v>343</v>
      </c>
      <c r="AV104" s="16"/>
      <c r="AW104" s="27" t="s">
        <v>343</v>
      </c>
      <c r="AX104" s="16"/>
      <c r="AY104" s="27" t="s">
        <v>343</v>
      </c>
      <c r="AZ104" s="16"/>
      <c r="BA104" s="27" t="s">
        <v>343</v>
      </c>
      <c r="BB104" s="16"/>
      <c r="BC104" s="27" t="s">
        <v>343</v>
      </c>
      <c r="BD104" s="16"/>
      <c r="BE104" s="27" t="s">
        <v>343</v>
      </c>
      <c r="BF104" s="16"/>
      <c r="BG104" s="27"/>
      <c r="BH104" s="16"/>
      <c r="BI104" s="27"/>
      <c r="BJ104" s="16"/>
    </row>
    <row r="105" ht="18.0" customHeight="1">
      <c r="A105" s="1"/>
      <c r="B105" s="13" t="s">
        <v>125</v>
      </c>
      <c r="C105" s="27" t="s">
        <v>345</v>
      </c>
      <c r="D105" s="16"/>
      <c r="E105" s="27" t="s">
        <v>344</v>
      </c>
      <c r="F105" s="16"/>
      <c r="G105" s="27" t="s">
        <v>344</v>
      </c>
      <c r="H105" s="16"/>
      <c r="I105" s="27" t="s">
        <v>345</v>
      </c>
      <c r="J105" s="16"/>
      <c r="K105" s="27" t="s">
        <v>345</v>
      </c>
      <c r="L105" s="16"/>
      <c r="M105" s="27" t="s">
        <v>345</v>
      </c>
      <c r="N105" s="16"/>
      <c r="O105" s="27" t="s">
        <v>344</v>
      </c>
      <c r="P105" s="16"/>
      <c r="Q105" s="27" t="s">
        <v>344</v>
      </c>
      <c r="R105" s="16"/>
      <c r="S105" s="27" t="s">
        <v>345</v>
      </c>
      <c r="T105" s="16"/>
      <c r="U105" s="27" t="s">
        <v>344</v>
      </c>
      <c r="V105" s="16"/>
      <c r="W105" s="27" t="s">
        <v>344</v>
      </c>
      <c r="X105" s="16"/>
      <c r="Y105" s="27" t="s">
        <v>345</v>
      </c>
      <c r="Z105" s="16"/>
      <c r="AA105" s="27" t="s">
        <v>344</v>
      </c>
      <c r="AB105" s="16"/>
      <c r="AC105" s="27" t="s">
        <v>344</v>
      </c>
      <c r="AD105" s="16"/>
      <c r="AE105" s="27" t="s">
        <v>344</v>
      </c>
      <c r="AF105" s="16"/>
      <c r="AG105" s="27" t="s">
        <v>345</v>
      </c>
      <c r="AH105" s="16"/>
      <c r="AI105" s="27" t="s">
        <v>344</v>
      </c>
      <c r="AJ105" s="16"/>
      <c r="AK105" s="27" t="s">
        <v>344</v>
      </c>
      <c r="AL105" s="16"/>
      <c r="AM105" s="27" t="s">
        <v>344</v>
      </c>
      <c r="AN105" s="16"/>
      <c r="AO105" s="27" t="s">
        <v>344</v>
      </c>
      <c r="AP105" s="16"/>
      <c r="AQ105" s="27" t="s">
        <v>344</v>
      </c>
      <c r="AR105" s="16"/>
      <c r="AS105" s="27" t="s">
        <v>343</v>
      </c>
      <c r="AT105" s="16"/>
      <c r="AU105" s="27" t="s">
        <v>344</v>
      </c>
      <c r="AV105" s="16"/>
      <c r="AW105" s="27" t="s">
        <v>344</v>
      </c>
      <c r="AX105" s="16"/>
      <c r="AY105" s="27" t="s">
        <v>344</v>
      </c>
      <c r="AZ105" s="16"/>
      <c r="BA105" s="27" t="s">
        <v>344</v>
      </c>
      <c r="BB105" s="16"/>
      <c r="BC105" s="27" t="s">
        <v>344</v>
      </c>
      <c r="BD105" s="16"/>
      <c r="BE105" s="27" t="s">
        <v>344</v>
      </c>
      <c r="BF105" s="16"/>
      <c r="BG105" s="27"/>
      <c r="BH105" s="16"/>
      <c r="BI105" s="27"/>
      <c r="BJ105" s="16"/>
    </row>
    <row r="106" ht="18.0" customHeight="1">
      <c r="A106" s="1"/>
      <c r="B106" s="13" t="s">
        <v>126</v>
      </c>
      <c r="C106" s="27" t="s">
        <v>344</v>
      </c>
      <c r="D106" s="16"/>
      <c r="E106" s="27" t="s">
        <v>345</v>
      </c>
      <c r="F106" s="16"/>
      <c r="G106" s="27" t="s">
        <v>345</v>
      </c>
      <c r="H106" s="16"/>
      <c r="I106" s="27" t="s">
        <v>344</v>
      </c>
      <c r="J106" s="16"/>
      <c r="K106" s="27" t="s">
        <v>344</v>
      </c>
      <c r="L106" s="16"/>
      <c r="M106" s="27" t="s">
        <v>344</v>
      </c>
      <c r="N106" s="16"/>
      <c r="O106" s="27" t="s">
        <v>345</v>
      </c>
      <c r="P106" s="16"/>
      <c r="Q106" s="27" t="s">
        <v>345</v>
      </c>
      <c r="R106" s="16"/>
      <c r="S106" s="27" t="s">
        <v>344</v>
      </c>
      <c r="T106" s="16"/>
      <c r="U106" s="27" t="s">
        <v>345</v>
      </c>
      <c r="V106" s="16"/>
      <c r="W106" s="27" t="s">
        <v>345</v>
      </c>
      <c r="X106" s="16"/>
      <c r="Y106" s="27" t="s">
        <v>344</v>
      </c>
      <c r="Z106" s="16"/>
      <c r="AA106" s="27" t="s">
        <v>345</v>
      </c>
      <c r="AB106" s="16"/>
      <c r="AC106" s="27" t="s">
        <v>346</v>
      </c>
      <c r="AD106" s="16"/>
      <c r="AE106" s="27" t="s">
        <v>345</v>
      </c>
      <c r="AF106" s="16"/>
      <c r="AG106" s="27" t="s">
        <v>344</v>
      </c>
      <c r="AH106" s="16"/>
      <c r="AI106" s="27" t="s">
        <v>345</v>
      </c>
      <c r="AJ106" s="16"/>
      <c r="AK106" s="27" t="s">
        <v>345</v>
      </c>
      <c r="AL106" s="16"/>
      <c r="AM106" s="27" t="s">
        <v>345</v>
      </c>
      <c r="AN106" s="16"/>
      <c r="AO106" s="27" t="s">
        <v>345</v>
      </c>
      <c r="AP106" s="16"/>
      <c r="AQ106" s="27" t="s">
        <v>345</v>
      </c>
      <c r="AR106" s="16"/>
      <c r="AS106" s="27" t="s">
        <v>345</v>
      </c>
      <c r="AT106" s="16"/>
      <c r="AU106" s="27" t="s">
        <v>345</v>
      </c>
      <c r="AV106" s="16"/>
      <c r="AW106" s="27" t="s">
        <v>346</v>
      </c>
      <c r="AX106" s="16"/>
      <c r="AY106" s="27" t="s">
        <v>345</v>
      </c>
      <c r="AZ106" s="16"/>
      <c r="BA106" s="27" t="s">
        <v>345</v>
      </c>
      <c r="BB106" s="16"/>
      <c r="BC106" s="27" t="s">
        <v>345</v>
      </c>
      <c r="BD106" s="16"/>
      <c r="BE106" s="27" t="s">
        <v>345</v>
      </c>
      <c r="BF106" s="16"/>
      <c r="BG106" s="27"/>
      <c r="BH106" s="16"/>
      <c r="BI106" s="27"/>
      <c r="BJ106" s="16"/>
    </row>
    <row r="107" ht="18.0" customHeight="1">
      <c r="A107" s="1"/>
      <c r="B107" s="13" t="s">
        <v>127</v>
      </c>
      <c r="C107" s="27" t="s">
        <v>347</v>
      </c>
      <c r="D107" s="16"/>
      <c r="E107" s="27" t="s">
        <v>347</v>
      </c>
      <c r="F107" s="16"/>
      <c r="G107" s="27" t="s">
        <v>348</v>
      </c>
      <c r="H107" s="16"/>
      <c r="I107" s="27" t="s">
        <v>347</v>
      </c>
      <c r="J107" s="16"/>
      <c r="K107" s="27" t="s">
        <v>347</v>
      </c>
      <c r="L107" s="16"/>
      <c r="M107" s="27" t="s">
        <v>347</v>
      </c>
      <c r="N107" s="16"/>
      <c r="O107" s="27" t="s">
        <v>347</v>
      </c>
      <c r="P107" s="16"/>
      <c r="Q107" s="27" t="s">
        <v>347</v>
      </c>
      <c r="R107" s="16"/>
      <c r="S107" s="27" t="s">
        <v>347</v>
      </c>
      <c r="T107" s="16"/>
      <c r="U107" s="27" t="s">
        <v>347</v>
      </c>
      <c r="V107" s="16"/>
      <c r="W107" s="27" t="s">
        <v>347</v>
      </c>
      <c r="X107" s="16"/>
      <c r="Y107" s="27" t="s">
        <v>348</v>
      </c>
      <c r="Z107" s="16"/>
      <c r="AA107" s="27" t="s">
        <v>347</v>
      </c>
      <c r="AB107" s="16"/>
      <c r="AC107" s="27" t="s">
        <v>347</v>
      </c>
      <c r="AD107" s="16"/>
      <c r="AE107" s="27" t="s">
        <v>347</v>
      </c>
      <c r="AF107" s="16"/>
      <c r="AG107" s="27" t="s">
        <v>347</v>
      </c>
      <c r="AH107" s="16"/>
      <c r="AI107" s="27" t="s">
        <v>347</v>
      </c>
      <c r="AJ107" s="16"/>
      <c r="AK107" s="27" t="s">
        <v>347</v>
      </c>
      <c r="AL107" s="16"/>
      <c r="AM107" s="27" t="s">
        <v>347</v>
      </c>
      <c r="AN107" s="16"/>
      <c r="AO107" s="27" t="s">
        <v>347</v>
      </c>
      <c r="AP107" s="16"/>
      <c r="AQ107" s="27" t="s">
        <v>347</v>
      </c>
      <c r="AR107" s="16"/>
      <c r="AS107" s="27" t="s">
        <v>347</v>
      </c>
      <c r="AT107" s="16"/>
      <c r="AU107" s="27" t="s">
        <v>347</v>
      </c>
      <c r="AV107" s="16"/>
      <c r="AW107" s="27" t="s">
        <v>347</v>
      </c>
      <c r="AX107" s="16"/>
      <c r="AY107" s="27" t="s">
        <v>347</v>
      </c>
      <c r="AZ107" s="16"/>
      <c r="BA107" s="27" t="s">
        <v>347</v>
      </c>
      <c r="BB107" s="16"/>
      <c r="BC107" s="27" t="s">
        <v>347</v>
      </c>
      <c r="BD107" s="16"/>
      <c r="BE107" s="27" t="s">
        <v>347</v>
      </c>
      <c r="BF107" s="16"/>
      <c r="BG107" s="27"/>
      <c r="BH107" s="16"/>
      <c r="BI107" s="27"/>
      <c r="BJ107" s="16"/>
    </row>
    <row r="108" ht="18.0" customHeight="1">
      <c r="A108" s="1"/>
      <c r="B108" s="13" t="s">
        <v>128</v>
      </c>
      <c r="C108" s="27" t="s">
        <v>348</v>
      </c>
      <c r="D108" s="16"/>
      <c r="E108" s="27" t="s">
        <v>348</v>
      </c>
      <c r="F108" s="16"/>
      <c r="G108" s="27" t="s">
        <v>349</v>
      </c>
      <c r="H108" s="16"/>
      <c r="I108" s="27" t="s">
        <v>348</v>
      </c>
      <c r="J108" s="16"/>
      <c r="K108" s="27" t="s">
        <v>348</v>
      </c>
      <c r="L108" s="16"/>
      <c r="M108" s="27" t="s">
        <v>348</v>
      </c>
      <c r="N108" s="16"/>
      <c r="O108" s="27" t="s">
        <v>348</v>
      </c>
      <c r="P108" s="16"/>
      <c r="Q108" s="27" t="s">
        <v>348</v>
      </c>
      <c r="R108" s="16"/>
      <c r="S108" s="27" t="s">
        <v>348</v>
      </c>
      <c r="T108" s="16"/>
      <c r="U108" s="27" t="s">
        <v>348</v>
      </c>
      <c r="V108" s="16"/>
      <c r="W108" s="27" t="s">
        <v>348</v>
      </c>
      <c r="X108" s="16"/>
      <c r="Y108" s="27" t="s">
        <v>347</v>
      </c>
      <c r="Z108" s="16"/>
      <c r="AA108" s="27" t="s">
        <v>348</v>
      </c>
      <c r="AB108" s="16"/>
      <c r="AC108" s="27" t="s">
        <v>348</v>
      </c>
      <c r="AD108" s="16"/>
      <c r="AE108" s="27" t="s">
        <v>348</v>
      </c>
      <c r="AF108" s="16"/>
      <c r="AG108" s="27" t="s">
        <v>349</v>
      </c>
      <c r="AH108" s="16"/>
      <c r="AI108" s="27" t="s">
        <v>349</v>
      </c>
      <c r="AJ108" s="16"/>
      <c r="AK108" s="27" t="s">
        <v>348</v>
      </c>
      <c r="AL108" s="16"/>
      <c r="AM108" s="27" t="s">
        <v>348</v>
      </c>
      <c r="AN108" s="16"/>
      <c r="AO108" s="27" t="s">
        <v>348</v>
      </c>
      <c r="AP108" s="16"/>
      <c r="AQ108" s="27" t="s">
        <v>348</v>
      </c>
      <c r="AR108" s="16"/>
      <c r="AS108" s="27" t="s">
        <v>348</v>
      </c>
      <c r="AT108" s="16"/>
      <c r="AU108" s="27" t="s">
        <v>348</v>
      </c>
      <c r="AV108" s="16"/>
      <c r="AW108" s="27" t="s">
        <v>350</v>
      </c>
      <c r="AX108" s="16"/>
      <c r="AY108" s="27" t="s">
        <v>348</v>
      </c>
      <c r="AZ108" s="16"/>
      <c r="BA108" s="27" t="s">
        <v>348</v>
      </c>
      <c r="BB108" s="16"/>
      <c r="BC108" s="27" t="s">
        <v>348</v>
      </c>
      <c r="BD108" s="16"/>
      <c r="BE108" s="27" t="s">
        <v>348</v>
      </c>
      <c r="BF108" s="16"/>
      <c r="BG108" s="27"/>
      <c r="BH108" s="16"/>
      <c r="BI108" s="27"/>
      <c r="BJ108" s="16"/>
    </row>
    <row r="109" ht="18.0" customHeight="1">
      <c r="A109" s="1"/>
      <c r="B109" s="13" t="s">
        <v>129</v>
      </c>
      <c r="C109" s="27" t="s">
        <v>349</v>
      </c>
      <c r="D109" s="16"/>
      <c r="E109" s="27" t="s">
        <v>349</v>
      </c>
      <c r="F109" s="16"/>
      <c r="G109" s="27" t="s">
        <v>347</v>
      </c>
      <c r="H109" s="16"/>
      <c r="I109" s="27" t="s">
        <v>349</v>
      </c>
      <c r="J109" s="16"/>
      <c r="K109" s="27" t="s">
        <v>349</v>
      </c>
      <c r="L109" s="16"/>
      <c r="M109" s="27" t="s">
        <v>349</v>
      </c>
      <c r="N109" s="16"/>
      <c r="O109" s="27" t="s">
        <v>349</v>
      </c>
      <c r="P109" s="16"/>
      <c r="Q109" s="27" t="s">
        <v>349</v>
      </c>
      <c r="R109" s="16"/>
      <c r="S109" s="27" t="s">
        <v>349</v>
      </c>
      <c r="T109" s="16"/>
      <c r="U109" s="27" t="s">
        <v>349</v>
      </c>
      <c r="V109" s="16"/>
      <c r="W109" s="27" t="s">
        <v>349</v>
      </c>
      <c r="X109" s="16"/>
      <c r="Y109" s="27" t="s">
        <v>349</v>
      </c>
      <c r="Z109" s="16"/>
      <c r="AA109" s="27" t="s">
        <v>349</v>
      </c>
      <c r="AB109" s="16"/>
      <c r="AC109" s="27" t="s">
        <v>350</v>
      </c>
      <c r="AD109" s="16"/>
      <c r="AE109" s="27" t="s">
        <v>349</v>
      </c>
      <c r="AF109" s="16"/>
      <c r="AG109" s="27" t="s">
        <v>348</v>
      </c>
      <c r="AH109" s="16"/>
      <c r="AI109" s="27" t="s">
        <v>348</v>
      </c>
      <c r="AJ109" s="16"/>
      <c r="AK109" s="27" t="s">
        <v>349</v>
      </c>
      <c r="AL109" s="16"/>
      <c r="AM109" s="27" t="s">
        <v>349</v>
      </c>
      <c r="AN109" s="16"/>
      <c r="AO109" s="27" t="s">
        <v>349</v>
      </c>
      <c r="AP109" s="16"/>
      <c r="AQ109" s="27" t="s">
        <v>349</v>
      </c>
      <c r="AR109" s="16"/>
      <c r="AS109" s="27" t="s">
        <v>350</v>
      </c>
      <c r="AT109" s="16"/>
      <c r="AU109" s="27" t="s">
        <v>349</v>
      </c>
      <c r="AV109" s="16"/>
      <c r="AW109" s="27" t="s">
        <v>348</v>
      </c>
      <c r="AX109" s="16"/>
      <c r="AY109" s="27" t="s">
        <v>349</v>
      </c>
      <c r="AZ109" s="16"/>
      <c r="BA109" s="27" t="s">
        <v>350</v>
      </c>
      <c r="BB109" s="16"/>
      <c r="BC109" s="27" t="s">
        <v>349</v>
      </c>
      <c r="BD109" s="16"/>
      <c r="BE109" s="27" t="s">
        <v>349</v>
      </c>
      <c r="BF109" s="16"/>
      <c r="BG109" s="27"/>
      <c r="BH109" s="16"/>
      <c r="BI109" s="27"/>
      <c r="BJ109" s="16"/>
    </row>
    <row r="110" ht="18.0" customHeight="1">
      <c r="A110" s="1"/>
      <c r="B110" s="13" t="s">
        <v>130</v>
      </c>
      <c r="C110" s="27" t="s">
        <v>351</v>
      </c>
      <c r="D110" s="16"/>
      <c r="E110" s="27" t="s">
        <v>351</v>
      </c>
      <c r="F110" s="16"/>
      <c r="G110" s="27" t="s">
        <v>351</v>
      </c>
      <c r="H110" s="16"/>
      <c r="I110" s="27" t="s">
        <v>351</v>
      </c>
      <c r="J110" s="16"/>
      <c r="K110" s="27" t="s">
        <v>351</v>
      </c>
      <c r="L110" s="16"/>
      <c r="M110" s="27" t="s">
        <v>351</v>
      </c>
      <c r="N110" s="16"/>
      <c r="O110" s="27" t="s">
        <v>351</v>
      </c>
      <c r="P110" s="16"/>
      <c r="Q110" s="27" t="s">
        <v>351</v>
      </c>
      <c r="R110" s="16"/>
      <c r="S110" s="27" t="s">
        <v>351</v>
      </c>
      <c r="T110" s="16"/>
      <c r="U110" s="27" t="s">
        <v>351</v>
      </c>
      <c r="V110" s="16"/>
      <c r="W110" s="27" t="s">
        <v>351</v>
      </c>
      <c r="X110" s="16"/>
      <c r="Y110" s="27" t="s">
        <v>351</v>
      </c>
      <c r="Z110" s="16"/>
      <c r="AA110" s="27" t="s">
        <v>351</v>
      </c>
      <c r="AB110" s="16"/>
      <c r="AC110" s="27" t="s">
        <v>351</v>
      </c>
      <c r="AD110" s="16"/>
      <c r="AE110" s="27" t="s">
        <v>351</v>
      </c>
      <c r="AF110" s="16"/>
      <c r="AG110" s="27" t="s">
        <v>351</v>
      </c>
      <c r="AH110" s="16"/>
      <c r="AI110" s="27" t="s">
        <v>351</v>
      </c>
      <c r="AJ110" s="16"/>
      <c r="AK110" s="27" t="s">
        <v>351</v>
      </c>
      <c r="AL110" s="16"/>
      <c r="AM110" s="27" t="s">
        <v>351</v>
      </c>
      <c r="AN110" s="16"/>
      <c r="AO110" s="27" t="s">
        <v>351</v>
      </c>
      <c r="AP110" s="16"/>
      <c r="AQ110" s="27" t="s">
        <v>351</v>
      </c>
      <c r="AR110" s="16"/>
      <c r="AS110" s="27" t="s">
        <v>351</v>
      </c>
      <c r="AT110" s="16"/>
      <c r="AU110" s="27" t="s">
        <v>351</v>
      </c>
      <c r="AV110" s="16"/>
      <c r="AW110" s="27" t="s">
        <v>351</v>
      </c>
      <c r="AX110" s="16"/>
      <c r="AY110" s="27" t="s">
        <v>351</v>
      </c>
      <c r="AZ110" s="16"/>
      <c r="BA110" s="27" t="s">
        <v>352</v>
      </c>
      <c r="BB110" s="16"/>
      <c r="BC110" s="27" t="s">
        <v>351</v>
      </c>
      <c r="BD110" s="16"/>
      <c r="BE110" s="27" t="s">
        <v>351</v>
      </c>
      <c r="BF110" s="16"/>
      <c r="BG110" s="27"/>
      <c r="BH110" s="16"/>
      <c r="BI110" s="27"/>
      <c r="BJ110" s="16"/>
    </row>
    <row r="111" ht="18.0" customHeight="1">
      <c r="A111" s="1"/>
      <c r="B111" s="13" t="s">
        <v>131</v>
      </c>
      <c r="C111" s="27" t="s">
        <v>352</v>
      </c>
      <c r="D111" s="16"/>
      <c r="E111" s="27" t="s">
        <v>352</v>
      </c>
      <c r="F111" s="16"/>
      <c r="G111" s="27" t="s">
        <v>352</v>
      </c>
      <c r="H111" s="16"/>
      <c r="I111" s="27" t="s">
        <v>352</v>
      </c>
      <c r="J111" s="16"/>
      <c r="K111" s="27" t="s">
        <v>352</v>
      </c>
      <c r="L111" s="16"/>
      <c r="M111" s="27" t="s">
        <v>352</v>
      </c>
      <c r="N111" s="16"/>
      <c r="O111" s="27" t="s">
        <v>352</v>
      </c>
      <c r="P111" s="16"/>
      <c r="Q111" s="27" t="s">
        <v>352</v>
      </c>
      <c r="R111" s="16"/>
      <c r="S111" s="27" t="s">
        <v>352</v>
      </c>
      <c r="T111" s="16"/>
      <c r="U111" s="27" t="s">
        <v>352</v>
      </c>
      <c r="V111" s="16"/>
      <c r="W111" s="27" t="s">
        <v>352</v>
      </c>
      <c r="X111" s="16"/>
      <c r="Y111" s="27" t="s">
        <v>353</v>
      </c>
      <c r="Z111" s="16"/>
      <c r="AA111" s="27" t="s">
        <v>352</v>
      </c>
      <c r="AB111" s="16"/>
      <c r="AC111" s="27" t="s">
        <v>352</v>
      </c>
      <c r="AD111" s="16"/>
      <c r="AE111" s="27" t="s">
        <v>352</v>
      </c>
      <c r="AF111" s="16"/>
      <c r="AG111" s="27" t="s">
        <v>352</v>
      </c>
      <c r="AH111" s="16"/>
      <c r="AI111" s="27" t="s">
        <v>352</v>
      </c>
      <c r="AJ111" s="16"/>
      <c r="AK111" s="27" t="s">
        <v>352</v>
      </c>
      <c r="AL111" s="16"/>
      <c r="AM111" s="27" t="s">
        <v>352</v>
      </c>
      <c r="AN111" s="16"/>
      <c r="AO111" s="27" t="s">
        <v>352</v>
      </c>
      <c r="AP111" s="16"/>
      <c r="AQ111" s="27" t="s">
        <v>352</v>
      </c>
      <c r="AR111" s="16"/>
      <c r="AS111" s="27" t="s">
        <v>352</v>
      </c>
      <c r="AT111" s="16"/>
      <c r="AU111" s="27" t="s">
        <v>352</v>
      </c>
      <c r="AV111" s="16"/>
      <c r="AW111" s="27" t="s">
        <v>352</v>
      </c>
      <c r="AX111" s="16"/>
      <c r="AY111" s="27" t="s">
        <v>352</v>
      </c>
      <c r="AZ111" s="16"/>
      <c r="BA111" s="27" t="s">
        <v>351</v>
      </c>
      <c r="BB111" s="16"/>
      <c r="BC111" s="27" t="s">
        <v>352</v>
      </c>
      <c r="BD111" s="16"/>
      <c r="BE111" s="27" t="s">
        <v>352</v>
      </c>
      <c r="BF111" s="16"/>
      <c r="BG111" s="27"/>
      <c r="BH111" s="16"/>
      <c r="BI111" s="27"/>
      <c r="BJ111" s="16"/>
    </row>
    <row r="112" ht="18.0" customHeight="1">
      <c r="A112" s="1"/>
      <c r="B112" s="13" t="s">
        <v>132</v>
      </c>
      <c r="C112" s="27" t="s">
        <v>353</v>
      </c>
      <c r="D112" s="16"/>
      <c r="E112" s="27" t="s">
        <v>354</v>
      </c>
      <c r="F112" s="16"/>
      <c r="G112" s="27" t="s">
        <v>353</v>
      </c>
      <c r="H112" s="16"/>
      <c r="I112" s="27" t="s">
        <v>354</v>
      </c>
      <c r="J112" s="16"/>
      <c r="K112" s="27" t="s">
        <v>354</v>
      </c>
      <c r="L112" s="16"/>
      <c r="M112" s="27" t="s">
        <v>354</v>
      </c>
      <c r="N112" s="16"/>
      <c r="O112" s="27" t="s">
        <v>354</v>
      </c>
      <c r="P112" s="16"/>
      <c r="Q112" s="27" t="s">
        <v>354</v>
      </c>
      <c r="R112" s="16"/>
      <c r="S112" s="27" t="s">
        <v>354</v>
      </c>
      <c r="T112" s="16"/>
      <c r="U112" s="27" t="s">
        <v>353</v>
      </c>
      <c r="V112" s="16"/>
      <c r="W112" s="27" t="s">
        <v>354</v>
      </c>
      <c r="X112" s="16"/>
      <c r="Y112" s="27" t="s">
        <v>352</v>
      </c>
      <c r="Z112" s="16"/>
      <c r="AA112" s="27" t="s">
        <v>354</v>
      </c>
      <c r="AB112" s="16"/>
      <c r="AC112" s="27" t="s">
        <v>354</v>
      </c>
      <c r="AD112" s="16"/>
      <c r="AE112" s="27" t="s">
        <v>354</v>
      </c>
      <c r="AF112" s="16"/>
      <c r="AG112" s="27" t="s">
        <v>354</v>
      </c>
      <c r="AH112" s="16"/>
      <c r="AI112" s="27" t="s">
        <v>354</v>
      </c>
      <c r="AJ112" s="16"/>
      <c r="AK112" s="27" t="s">
        <v>354</v>
      </c>
      <c r="AL112" s="16"/>
      <c r="AM112" s="27" t="s">
        <v>353</v>
      </c>
      <c r="AN112" s="16"/>
      <c r="AO112" s="27" t="s">
        <v>354</v>
      </c>
      <c r="AP112" s="16"/>
      <c r="AQ112" s="27" t="s">
        <v>353</v>
      </c>
      <c r="AR112" s="16"/>
      <c r="AS112" s="27" t="s">
        <v>354</v>
      </c>
      <c r="AT112" s="16"/>
      <c r="AU112" s="27" t="s">
        <v>354</v>
      </c>
      <c r="AV112" s="16"/>
      <c r="AW112" s="27" t="s">
        <v>354</v>
      </c>
      <c r="AX112" s="16"/>
      <c r="AY112" s="27" t="s">
        <v>354</v>
      </c>
      <c r="AZ112" s="16"/>
      <c r="BA112" s="27" t="s">
        <v>353</v>
      </c>
      <c r="BB112" s="16"/>
      <c r="BC112" s="27" t="s">
        <v>354</v>
      </c>
      <c r="BD112" s="16"/>
      <c r="BE112" s="27" t="s">
        <v>354</v>
      </c>
      <c r="BF112" s="16"/>
      <c r="BG112" s="27"/>
      <c r="BH112" s="16"/>
      <c r="BI112" s="27"/>
      <c r="BJ112" s="16"/>
    </row>
    <row r="113" ht="18.0" customHeight="1">
      <c r="A113" s="1"/>
      <c r="B113" s="13" t="s">
        <v>133</v>
      </c>
      <c r="C113" s="27" t="s">
        <v>355</v>
      </c>
      <c r="D113" s="16"/>
      <c r="E113" s="27" t="s">
        <v>355</v>
      </c>
      <c r="F113" s="16"/>
      <c r="G113" s="27" t="s">
        <v>355</v>
      </c>
      <c r="H113" s="16"/>
      <c r="I113" s="27" t="s">
        <v>355</v>
      </c>
      <c r="J113" s="16"/>
      <c r="K113" s="27" t="s">
        <v>355</v>
      </c>
      <c r="L113" s="16"/>
      <c r="M113" s="27" t="s">
        <v>355</v>
      </c>
      <c r="N113" s="16"/>
      <c r="O113" s="27" t="s">
        <v>355</v>
      </c>
      <c r="P113" s="16"/>
      <c r="Q113" s="27" t="s">
        <v>355</v>
      </c>
      <c r="R113" s="16"/>
      <c r="S113" s="27" t="s">
        <v>355</v>
      </c>
      <c r="T113" s="16"/>
      <c r="U113" s="27" t="s">
        <v>355</v>
      </c>
      <c r="V113" s="16"/>
      <c r="W113" s="27" t="s">
        <v>355</v>
      </c>
      <c r="X113" s="16"/>
      <c r="Y113" s="27" t="s">
        <v>355</v>
      </c>
      <c r="Z113" s="16"/>
      <c r="AA113" s="27" t="s">
        <v>355</v>
      </c>
      <c r="AB113" s="16"/>
      <c r="AC113" s="27" t="s">
        <v>355</v>
      </c>
      <c r="AD113" s="16"/>
      <c r="AE113" s="27" t="s">
        <v>355</v>
      </c>
      <c r="AF113" s="16"/>
      <c r="AG113" s="27" t="s">
        <v>355</v>
      </c>
      <c r="AH113" s="16"/>
      <c r="AI113" s="27" t="s">
        <v>355</v>
      </c>
      <c r="AJ113" s="16"/>
      <c r="AK113" s="27" t="s">
        <v>355</v>
      </c>
      <c r="AL113" s="16"/>
      <c r="AM113" s="27" t="s">
        <v>355</v>
      </c>
      <c r="AN113" s="16"/>
      <c r="AO113" s="27" t="s">
        <v>355</v>
      </c>
      <c r="AP113" s="16"/>
      <c r="AQ113" s="27" t="s">
        <v>355</v>
      </c>
      <c r="AR113" s="16"/>
      <c r="AS113" s="27" t="s">
        <v>356</v>
      </c>
      <c r="AT113" s="16"/>
      <c r="AU113" s="27" t="s">
        <v>355</v>
      </c>
      <c r="AV113" s="16"/>
      <c r="AW113" s="27" t="s">
        <v>356</v>
      </c>
      <c r="AX113" s="16"/>
      <c r="AY113" s="27" t="s">
        <v>355</v>
      </c>
      <c r="AZ113" s="16"/>
      <c r="BA113" s="27" t="s">
        <v>355</v>
      </c>
      <c r="BB113" s="16"/>
      <c r="BC113" s="27" t="s">
        <v>355</v>
      </c>
      <c r="BD113" s="16"/>
      <c r="BE113" s="27" t="s">
        <v>355</v>
      </c>
      <c r="BF113" s="16"/>
      <c r="BG113" s="27"/>
      <c r="BH113" s="16"/>
      <c r="BI113" s="27"/>
      <c r="BJ113" s="16"/>
    </row>
    <row r="114" ht="18.0" customHeight="1">
      <c r="A114" s="1"/>
      <c r="B114" s="13" t="s">
        <v>134</v>
      </c>
      <c r="C114" s="27" t="s">
        <v>356</v>
      </c>
      <c r="D114" s="16"/>
      <c r="E114" s="27" t="s">
        <v>356</v>
      </c>
      <c r="F114" s="16"/>
      <c r="G114" s="27" t="s">
        <v>356</v>
      </c>
      <c r="H114" s="16"/>
      <c r="I114" s="27" t="s">
        <v>356</v>
      </c>
      <c r="J114" s="16"/>
      <c r="K114" s="27" t="s">
        <v>356</v>
      </c>
      <c r="L114" s="16"/>
      <c r="M114" s="27" t="s">
        <v>356</v>
      </c>
      <c r="N114" s="16"/>
      <c r="O114" s="27" t="s">
        <v>356</v>
      </c>
      <c r="P114" s="16"/>
      <c r="Q114" s="27" t="s">
        <v>356</v>
      </c>
      <c r="R114" s="16"/>
      <c r="S114" s="27" t="s">
        <v>356</v>
      </c>
      <c r="T114" s="16"/>
      <c r="U114" s="27" t="s">
        <v>356</v>
      </c>
      <c r="V114" s="16"/>
      <c r="W114" s="27" t="s">
        <v>356</v>
      </c>
      <c r="X114" s="16"/>
      <c r="Y114" s="27" t="s">
        <v>356</v>
      </c>
      <c r="Z114" s="16"/>
      <c r="AA114" s="27" t="s">
        <v>356</v>
      </c>
      <c r="AB114" s="16"/>
      <c r="AC114" s="27" t="s">
        <v>356</v>
      </c>
      <c r="AD114" s="16"/>
      <c r="AE114" s="27" t="s">
        <v>356</v>
      </c>
      <c r="AF114" s="16"/>
      <c r="AG114" s="27" t="s">
        <v>356</v>
      </c>
      <c r="AH114" s="16"/>
      <c r="AI114" s="27" t="s">
        <v>356</v>
      </c>
      <c r="AJ114" s="16"/>
      <c r="AK114" s="27" t="s">
        <v>357</v>
      </c>
      <c r="AL114" s="16"/>
      <c r="AM114" s="27" t="s">
        <v>356</v>
      </c>
      <c r="AN114" s="16"/>
      <c r="AO114" s="27" t="s">
        <v>356</v>
      </c>
      <c r="AP114" s="16"/>
      <c r="AQ114" s="27" t="s">
        <v>356</v>
      </c>
      <c r="AR114" s="16"/>
      <c r="AS114" s="27" t="s">
        <v>355</v>
      </c>
      <c r="AT114" s="16"/>
      <c r="AU114" s="27" t="s">
        <v>356</v>
      </c>
      <c r="AV114" s="16"/>
      <c r="AW114" s="27" t="s">
        <v>358</v>
      </c>
      <c r="AX114" s="16"/>
      <c r="AY114" s="27" t="s">
        <v>356</v>
      </c>
      <c r="AZ114" s="16"/>
      <c r="BA114" s="27" t="s">
        <v>356</v>
      </c>
      <c r="BB114" s="16"/>
      <c r="BC114" s="27" t="s">
        <v>356</v>
      </c>
      <c r="BD114" s="16"/>
      <c r="BE114" s="27" t="s">
        <v>356</v>
      </c>
      <c r="BF114" s="16"/>
      <c r="BG114" s="27"/>
      <c r="BH114" s="16"/>
      <c r="BI114" s="27"/>
      <c r="BJ114" s="16"/>
    </row>
    <row r="115" ht="18.0" customHeight="1">
      <c r="A115" s="1"/>
      <c r="B115" s="13" t="s">
        <v>135</v>
      </c>
      <c r="C115" s="27" t="s">
        <v>357</v>
      </c>
      <c r="D115" s="16"/>
      <c r="E115" s="27" t="s">
        <v>357</v>
      </c>
      <c r="F115" s="16"/>
      <c r="G115" s="27" t="s">
        <v>357</v>
      </c>
      <c r="H115" s="16"/>
      <c r="I115" s="27" t="s">
        <v>357</v>
      </c>
      <c r="J115" s="16"/>
      <c r="K115" s="27" t="s">
        <v>357</v>
      </c>
      <c r="L115" s="16"/>
      <c r="M115" s="27" t="s">
        <v>357</v>
      </c>
      <c r="N115" s="16"/>
      <c r="O115" s="27" t="s">
        <v>357</v>
      </c>
      <c r="P115" s="16"/>
      <c r="Q115" s="27" t="s">
        <v>358</v>
      </c>
      <c r="R115" s="16"/>
      <c r="S115" s="27" t="s">
        <v>358</v>
      </c>
      <c r="T115" s="16"/>
      <c r="U115" s="27" t="s">
        <v>357</v>
      </c>
      <c r="V115" s="16"/>
      <c r="W115" s="27" t="s">
        <v>357</v>
      </c>
      <c r="X115" s="16"/>
      <c r="Y115" s="27" t="s">
        <v>357</v>
      </c>
      <c r="Z115" s="16"/>
      <c r="AA115" s="27" t="s">
        <v>357</v>
      </c>
      <c r="AB115" s="16"/>
      <c r="AC115" s="27" t="s">
        <v>357</v>
      </c>
      <c r="AD115" s="16"/>
      <c r="AE115" s="27" t="s">
        <v>357</v>
      </c>
      <c r="AF115" s="16"/>
      <c r="AG115" s="27" t="s">
        <v>357</v>
      </c>
      <c r="AH115" s="16"/>
      <c r="AI115" s="27" t="s">
        <v>357</v>
      </c>
      <c r="AJ115" s="16"/>
      <c r="AK115" s="27" t="s">
        <v>356</v>
      </c>
      <c r="AL115" s="16"/>
      <c r="AM115" s="27" t="s">
        <v>357</v>
      </c>
      <c r="AN115" s="16"/>
      <c r="AO115" s="27" t="s">
        <v>357</v>
      </c>
      <c r="AP115" s="16"/>
      <c r="AQ115" s="27" t="s">
        <v>357</v>
      </c>
      <c r="AR115" s="16"/>
      <c r="AS115" s="27" t="s">
        <v>358</v>
      </c>
      <c r="AT115" s="16"/>
      <c r="AU115" s="27" t="s">
        <v>357</v>
      </c>
      <c r="AV115" s="16"/>
      <c r="AW115" s="27" t="s">
        <v>355</v>
      </c>
      <c r="AX115" s="16"/>
      <c r="AY115" s="27" t="s">
        <v>357</v>
      </c>
      <c r="AZ115" s="16"/>
      <c r="BA115" s="27" t="s">
        <v>357</v>
      </c>
      <c r="BB115" s="16"/>
      <c r="BC115" s="27" t="s">
        <v>357</v>
      </c>
      <c r="BD115" s="16"/>
      <c r="BE115" s="27" t="s">
        <v>357</v>
      </c>
      <c r="BF115" s="16"/>
      <c r="BG115" s="27"/>
      <c r="BH115" s="16"/>
      <c r="BI115" s="27"/>
      <c r="BJ115" s="16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6"/>
      <c r="E117" s="27" t="s">
        <v>321</v>
      </c>
      <c r="F117" s="16"/>
      <c r="G117" s="27" t="s">
        <v>347</v>
      </c>
      <c r="H117" s="16"/>
      <c r="I117" s="27" t="s">
        <v>329</v>
      </c>
      <c r="J117" s="16"/>
      <c r="K117" s="27" t="s">
        <v>357</v>
      </c>
      <c r="L117" s="16"/>
      <c r="M117" s="27" t="s">
        <v>313</v>
      </c>
      <c r="N117" s="16"/>
      <c r="O117" s="27" t="s">
        <v>323</v>
      </c>
      <c r="P117" s="16"/>
      <c r="Q117" s="27" t="s">
        <v>329</v>
      </c>
      <c r="R117" s="16"/>
      <c r="S117" s="27" t="s">
        <v>328</v>
      </c>
      <c r="T117" s="16"/>
      <c r="U117" s="27" t="s">
        <v>328</v>
      </c>
      <c r="V117" s="16"/>
      <c r="W117" s="27" t="s">
        <v>329</v>
      </c>
      <c r="X117" s="16"/>
      <c r="Y117" s="27" t="s">
        <v>326</v>
      </c>
      <c r="Z117" s="16"/>
      <c r="AA117" s="27" t="s">
        <v>328</v>
      </c>
      <c r="AB117" s="16"/>
      <c r="AC117" s="27" t="s">
        <v>315</v>
      </c>
      <c r="AD117" s="16"/>
      <c r="AE117" s="27" t="s">
        <v>328</v>
      </c>
      <c r="AF117" s="16"/>
      <c r="AG117" s="27" t="s">
        <v>344</v>
      </c>
      <c r="AH117" s="16"/>
      <c r="AI117" s="27" t="s">
        <v>357</v>
      </c>
      <c r="AJ117" s="16"/>
      <c r="AK117" s="27" t="s">
        <v>329</v>
      </c>
      <c r="AL117" s="16"/>
      <c r="AM117" s="27" t="s">
        <v>313</v>
      </c>
      <c r="AN117" s="16"/>
      <c r="AO117" s="27" t="s">
        <v>313</v>
      </c>
      <c r="AP117" s="16"/>
      <c r="AQ117" s="27" t="s">
        <v>324</v>
      </c>
      <c r="AR117" s="16"/>
      <c r="AS117" s="27" t="s">
        <v>321</v>
      </c>
      <c r="AT117" s="16"/>
      <c r="AU117" s="27" t="s">
        <v>313</v>
      </c>
      <c r="AV117" s="16"/>
      <c r="AW117" s="27" t="s">
        <v>330</v>
      </c>
      <c r="AX117" s="16"/>
      <c r="AY117" s="27" t="s">
        <v>318</v>
      </c>
      <c r="AZ117" s="16"/>
      <c r="BA117" s="27" t="s">
        <v>321</v>
      </c>
      <c r="BB117" s="16"/>
      <c r="BC117" s="27" t="s">
        <v>326</v>
      </c>
      <c r="BD117" s="16"/>
      <c r="BE117" s="27" t="s">
        <v>333</v>
      </c>
      <c r="BF117" s="16"/>
      <c r="BG117" s="27"/>
      <c r="BH117" s="16"/>
      <c r="BI117" s="27"/>
      <c r="BJ117" s="16"/>
    </row>
    <row r="118" ht="18.0" customHeight="1">
      <c r="A118" s="1"/>
      <c r="B118" s="13" t="s">
        <v>138</v>
      </c>
      <c r="C118" s="27" t="s">
        <v>329</v>
      </c>
      <c r="D118" s="16"/>
      <c r="E118" s="27" t="s">
        <v>337</v>
      </c>
      <c r="F118" s="16"/>
      <c r="G118" s="27" t="s">
        <v>312</v>
      </c>
      <c r="H118" s="16"/>
      <c r="I118" s="27" t="s">
        <v>313</v>
      </c>
      <c r="J118" s="16"/>
      <c r="K118" s="27" t="s">
        <v>334</v>
      </c>
      <c r="L118" s="16"/>
      <c r="M118" s="27" t="s">
        <v>318</v>
      </c>
      <c r="N118" s="16"/>
      <c r="O118" s="27" t="s">
        <v>357</v>
      </c>
      <c r="P118" s="16"/>
      <c r="Q118" s="27" t="s">
        <v>345</v>
      </c>
      <c r="R118" s="16"/>
      <c r="S118" s="27" t="s">
        <v>344</v>
      </c>
      <c r="T118" s="16"/>
      <c r="U118" s="27" t="s">
        <v>334</v>
      </c>
      <c r="V118" s="16"/>
      <c r="W118" s="27" t="s">
        <v>337</v>
      </c>
      <c r="X118" s="16"/>
      <c r="Y118" s="27" t="s">
        <v>352</v>
      </c>
      <c r="Z118" s="16"/>
      <c r="AA118" s="27" t="s">
        <v>349</v>
      </c>
      <c r="AB118" s="16"/>
      <c r="AC118" s="27" t="s">
        <v>323</v>
      </c>
      <c r="AD118" s="16"/>
      <c r="AE118" s="27" t="s">
        <v>345</v>
      </c>
      <c r="AF118" s="16"/>
      <c r="AG118" s="27" t="s">
        <v>313</v>
      </c>
      <c r="AH118" s="16"/>
      <c r="AI118" s="27" t="s">
        <v>348</v>
      </c>
      <c r="AJ118" s="16"/>
      <c r="AK118" s="27" t="s">
        <v>321</v>
      </c>
      <c r="AL118" s="16"/>
      <c r="AM118" s="27" t="s">
        <v>329</v>
      </c>
      <c r="AN118" s="16"/>
      <c r="AO118" s="27" t="s">
        <v>345</v>
      </c>
      <c r="AP118" s="16"/>
      <c r="AQ118" s="27" t="s">
        <v>345</v>
      </c>
      <c r="AR118" s="16"/>
      <c r="AS118" s="27" t="s">
        <v>333</v>
      </c>
      <c r="AT118" s="16"/>
      <c r="AU118" s="27" t="s">
        <v>318</v>
      </c>
      <c r="AV118" s="16"/>
      <c r="AW118" s="27" t="s">
        <v>348</v>
      </c>
      <c r="AX118" s="16"/>
      <c r="AY118" s="27" t="s">
        <v>345</v>
      </c>
      <c r="AZ118" s="16"/>
      <c r="BA118" s="27" t="s">
        <v>329</v>
      </c>
      <c r="BB118" s="16"/>
      <c r="BC118" s="27" t="s">
        <v>349</v>
      </c>
      <c r="BD118" s="16"/>
      <c r="BE118" s="27" t="s">
        <v>357</v>
      </c>
      <c r="BF118" s="16"/>
      <c r="BG118" s="27"/>
      <c r="BH118" s="16"/>
      <c r="BI118" s="27"/>
      <c r="BJ118" s="16"/>
    </row>
    <row r="119" ht="18.0" customHeight="1">
      <c r="A119" s="1"/>
      <c r="B119" s="13" t="s">
        <v>139</v>
      </c>
      <c r="C119" s="27" t="s">
        <v>344</v>
      </c>
      <c r="D119" s="16"/>
      <c r="E119" s="27" t="s">
        <v>345</v>
      </c>
      <c r="F119" s="16"/>
      <c r="G119" s="27" t="s">
        <v>329</v>
      </c>
      <c r="H119" s="16"/>
      <c r="I119" s="27" t="s">
        <v>344</v>
      </c>
      <c r="J119" s="16"/>
      <c r="K119" s="27" t="s">
        <v>320</v>
      </c>
      <c r="L119" s="16"/>
      <c r="M119" s="27" t="s">
        <v>321</v>
      </c>
      <c r="N119" s="16"/>
      <c r="O119" s="27" t="s">
        <v>315</v>
      </c>
      <c r="P119" s="16"/>
      <c r="Q119" s="27" t="s">
        <v>349</v>
      </c>
      <c r="R119" s="16"/>
      <c r="S119" s="27" t="s">
        <v>318</v>
      </c>
      <c r="T119" s="16"/>
      <c r="U119" s="27" t="s">
        <v>321</v>
      </c>
      <c r="V119" s="16"/>
      <c r="W119" s="27" t="s">
        <v>349</v>
      </c>
      <c r="X119" s="16"/>
      <c r="Y119" s="27" t="s">
        <v>315</v>
      </c>
      <c r="Z119" s="16"/>
      <c r="AA119" s="27" t="s">
        <v>345</v>
      </c>
      <c r="AB119" s="16"/>
      <c r="AC119" s="27" t="s">
        <v>336</v>
      </c>
      <c r="AD119" s="16"/>
      <c r="AE119" s="27" t="s">
        <v>312</v>
      </c>
      <c r="AF119" s="16"/>
      <c r="AG119" s="27" t="s">
        <v>334</v>
      </c>
      <c r="AH119" s="16"/>
      <c r="AI119" s="27" t="s">
        <v>326</v>
      </c>
      <c r="AJ119" s="16"/>
      <c r="AK119" s="27" t="s">
        <v>313</v>
      </c>
      <c r="AL119" s="16"/>
      <c r="AM119" s="27" t="s">
        <v>345</v>
      </c>
      <c r="AN119" s="16"/>
      <c r="AO119" s="27" t="s">
        <v>329</v>
      </c>
      <c r="AP119" s="16"/>
      <c r="AQ119" s="27" t="s">
        <v>321</v>
      </c>
      <c r="AR119" s="16"/>
      <c r="AS119" s="27" t="s">
        <v>350</v>
      </c>
      <c r="AT119" s="16"/>
      <c r="AU119" s="27" t="s">
        <v>321</v>
      </c>
      <c r="AV119" s="16"/>
      <c r="AW119" s="27" t="s">
        <v>339</v>
      </c>
      <c r="AX119" s="16"/>
      <c r="AY119" s="27" t="s">
        <v>312</v>
      </c>
      <c r="AZ119" s="16"/>
      <c r="BA119" s="27" t="s">
        <v>313</v>
      </c>
      <c r="BB119" s="16"/>
      <c r="BC119" s="27" t="s">
        <v>342</v>
      </c>
      <c r="BD119" s="16"/>
      <c r="BE119" s="27" t="s">
        <v>313</v>
      </c>
      <c r="BF119" s="16"/>
      <c r="BG119" s="27"/>
      <c r="BH119" s="16"/>
      <c r="BI119" s="27"/>
      <c r="BJ119" s="16"/>
    </row>
    <row r="120" ht="18.0" customHeight="1">
      <c r="A120" s="1"/>
      <c r="B120" s="13" t="s">
        <v>140</v>
      </c>
      <c r="C120" s="27" t="s">
        <v>318</v>
      </c>
      <c r="D120" s="16"/>
      <c r="E120" s="27" t="s">
        <v>313</v>
      </c>
      <c r="F120" s="16"/>
      <c r="G120" s="27" t="s">
        <v>341</v>
      </c>
      <c r="H120" s="16"/>
      <c r="I120" s="27" t="s">
        <v>321</v>
      </c>
      <c r="J120" s="16"/>
      <c r="K120" s="27" t="s">
        <v>328</v>
      </c>
      <c r="L120" s="16"/>
      <c r="M120" s="27" t="s">
        <v>326</v>
      </c>
      <c r="N120" s="16"/>
      <c r="O120" s="27" t="s">
        <v>321</v>
      </c>
      <c r="P120" s="16"/>
      <c r="Q120" s="27" t="s">
        <v>337</v>
      </c>
      <c r="R120" s="16"/>
      <c r="S120" s="27" t="s">
        <v>321</v>
      </c>
      <c r="T120" s="16"/>
      <c r="U120" s="27" t="s">
        <v>345</v>
      </c>
      <c r="V120" s="16"/>
      <c r="W120" s="27" t="s">
        <v>333</v>
      </c>
      <c r="X120" s="16"/>
      <c r="Y120" s="27" t="s">
        <v>321</v>
      </c>
      <c r="Z120" s="16"/>
      <c r="AA120" s="27" t="s">
        <v>313</v>
      </c>
      <c r="AB120" s="16"/>
      <c r="AC120" s="27" t="s">
        <v>321</v>
      </c>
      <c r="AD120" s="16"/>
      <c r="AE120" s="27" t="s">
        <v>321</v>
      </c>
      <c r="AF120" s="16"/>
      <c r="AG120" s="27" t="s">
        <v>341</v>
      </c>
      <c r="AH120" s="16"/>
      <c r="AI120" s="27" t="s">
        <v>322</v>
      </c>
      <c r="AJ120" s="16"/>
      <c r="AK120" s="27" t="s">
        <v>318</v>
      </c>
      <c r="AL120" s="16"/>
      <c r="AM120" s="27" t="s">
        <v>349</v>
      </c>
      <c r="AN120" s="16"/>
      <c r="AO120" s="27" t="s">
        <v>318</v>
      </c>
      <c r="AP120" s="16"/>
      <c r="AQ120" s="27" t="s">
        <v>338</v>
      </c>
      <c r="AR120" s="16"/>
      <c r="AS120" s="27" t="s">
        <v>318</v>
      </c>
      <c r="AT120" s="16"/>
      <c r="AU120" s="27" t="s">
        <v>326</v>
      </c>
      <c r="AV120" s="16"/>
      <c r="AW120" s="27" t="s">
        <v>355</v>
      </c>
      <c r="AX120" s="16"/>
      <c r="AY120" s="27" t="s">
        <v>323</v>
      </c>
      <c r="AZ120" s="16"/>
      <c r="BA120" s="27" t="s">
        <v>331</v>
      </c>
      <c r="BB120" s="16"/>
      <c r="BC120" s="27" t="s">
        <v>313</v>
      </c>
      <c r="BD120" s="16"/>
      <c r="BE120" s="27" t="s">
        <v>321</v>
      </c>
      <c r="BF120" s="16"/>
      <c r="BG120" s="27"/>
      <c r="BH120" s="16"/>
      <c r="BI120" s="27"/>
      <c r="BJ120" s="16"/>
    </row>
    <row r="121" ht="18.0" customHeight="1">
      <c r="A121" s="1"/>
      <c r="B121" s="13" t="s">
        <v>141</v>
      </c>
      <c r="C121" s="27" t="s">
        <v>337</v>
      </c>
      <c r="D121" s="16"/>
      <c r="E121" s="27" t="s">
        <v>349</v>
      </c>
      <c r="F121" s="16"/>
      <c r="G121" s="27" t="s">
        <v>337</v>
      </c>
      <c r="H121" s="16"/>
      <c r="I121" s="27" t="s">
        <v>326</v>
      </c>
      <c r="J121" s="16"/>
      <c r="K121" s="27" t="s">
        <v>344</v>
      </c>
      <c r="L121" s="16"/>
      <c r="M121" s="27" t="s">
        <v>329</v>
      </c>
      <c r="N121" s="16"/>
      <c r="O121" s="27" t="s">
        <v>341</v>
      </c>
      <c r="P121" s="16"/>
      <c r="Q121" s="27" t="s">
        <v>313</v>
      </c>
      <c r="R121" s="16"/>
      <c r="S121" s="27" t="s">
        <v>341</v>
      </c>
      <c r="T121" s="16"/>
      <c r="U121" s="27" t="s">
        <v>349</v>
      </c>
      <c r="V121" s="16"/>
      <c r="W121" s="27" t="s">
        <v>321</v>
      </c>
      <c r="X121" s="16"/>
      <c r="Y121" s="27" t="s">
        <v>349</v>
      </c>
      <c r="Z121" s="16"/>
      <c r="AA121" s="27" t="s">
        <v>337</v>
      </c>
      <c r="AB121" s="16"/>
      <c r="AC121" s="27" t="s">
        <v>341</v>
      </c>
      <c r="AD121" s="16"/>
      <c r="AE121" s="27" t="s">
        <v>326</v>
      </c>
      <c r="AF121" s="16"/>
      <c r="AG121" s="27" t="s">
        <v>348</v>
      </c>
      <c r="AH121" s="16"/>
      <c r="AI121" s="27" t="s">
        <v>328</v>
      </c>
      <c r="AJ121" s="16"/>
      <c r="AK121" s="27" t="s">
        <v>345</v>
      </c>
      <c r="AL121" s="16"/>
      <c r="AM121" s="27" t="s">
        <v>357</v>
      </c>
      <c r="AN121" s="16"/>
      <c r="AO121" s="27" t="s">
        <v>336</v>
      </c>
      <c r="AP121" s="16"/>
      <c r="AQ121" s="27" t="s">
        <v>329</v>
      </c>
      <c r="AR121" s="16"/>
      <c r="AS121" s="27" t="s">
        <v>341</v>
      </c>
      <c r="AT121" s="16"/>
      <c r="AU121" s="27" t="s">
        <v>329</v>
      </c>
      <c r="AV121" s="16"/>
      <c r="AW121" s="27" t="s">
        <v>324</v>
      </c>
      <c r="AX121" s="16"/>
      <c r="AY121" s="27" t="s">
        <v>354</v>
      </c>
      <c r="AZ121" s="16"/>
      <c r="BA121" s="27" t="s">
        <v>345</v>
      </c>
      <c r="BB121" s="16"/>
      <c r="BC121" s="27" t="s">
        <v>328</v>
      </c>
      <c r="BD121" s="16"/>
      <c r="BE121" s="27" t="s">
        <v>328</v>
      </c>
      <c r="BF121" s="16"/>
      <c r="BG121" s="27"/>
      <c r="BH121" s="16"/>
      <c r="BI121" s="27"/>
      <c r="BJ121" s="16"/>
    </row>
    <row r="122" ht="18.0" customHeight="1">
      <c r="A122" s="1"/>
      <c r="B122" s="13" t="s">
        <v>142</v>
      </c>
      <c r="C122" s="27" t="s">
        <v>321</v>
      </c>
      <c r="D122" s="16"/>
      <c r="E122" s="27" t="s">
        <v>329</v>
      </c>
      <c r="F122" s="16"/>
      <c r="G122" s="27" t="s">
        <v>357</v>
      </c>
      <c r="H122" s="16"/>
      <c r="I122" s="27" t="s">
        <v>349</v>
      </c>
      <c r="J122" s="16"/>
      <c r="K122" s="27" t="s">
        <v>312</v>
      </c>
      <c r="L122" s="16"/>
      <c r="M122" s="27" t="s">
        <v>334</v>
      </c>
      <c r="N122" s="16"/>
      <c r="O122" s="27" t="s">
        <v>329</v>
      </c>
      <c r="P122" s="16"/>
      <c r="Q122" s="27" t="s">
        <v>321</v>
      </c>
      <c r="R122" s="16"/>
      <c r="S122" s="27" t="s">
        <v>358</v>
      </c>
      <c r="T122" s="16"/>
      <c r="U122" s="27" t="s">
        <v>357</v>
      </c>
      <c r="V122" s="16"/>
      <c r="W122" s="27" t="s">
        <v>325</v>
      </c>
      <c r="X122" s="16"/>
      <c r="Y122" s="27" t="s">
        <v>357</v>
      </c>
      <c r="Z122" s="16"/>
      <c r="AA122" s="27" t="s">
        <v>318</v>
      </c>
      <c r="AB122" s="16"/>
      <c r="AC122" s="27" t="s">
        <v>334</v>
      </c>
      <c r="AD122" s="16"/>
      <c r="AE122" s="27" t="s">
        <v>333</v>
      </c>
      <c r="AF122" s="16"/>
      <c r="AG122" s="27" t="s">
        <v>326</v>
      </c>
      <c r="AH122" s="16"/>
      <c r="AI122" s="27" t="s">
        <v>354</v>
      </c>
      <c r="AJ122" s="16"/>
      <c r="AK122" s="27" t="s">
        <v>356</v>
      </c>
      <c r="AL122" s="16"/>
      <c r="AM122" s="27" t="s">
        <v>318</v>
      </c>
      <c r="AN122" s="16"/>
      <c r="AO122" s="27" t="s">
        <v>349</v>
      </c>
      <c r="AP122" s="16"/>
      <c r="AQ122" s="27" t="s">
        <v>334</v>
      </c>
      <c r="AR122" s="16"/>
      <c r="AS122" s="27" t="s">
        <v>354</v>
      </c>
      <c r="AT122" s="16"/>
      <c r="AU122" s="27" t="s">
        <v>334</v>
      </c>
      <c r="AV122" s="16"/>
      <c r="AW122" s="27" t="s">
        <v>314</v>
      </c>
      <c r="AX122" s="16"/>
      <c r="AY122" s="27" t="s">
        <v>357</v>
      </c>
      <c r="AZ122" s="16"/>
      <c r="BA122" s="27" t="s">
        <v>342</v>
      </c>
      <c r="BB122" s="16"/>
      <c r="BC122" s="27" t="s">
        <v>336</v>
      </c>
      <c r="BD122" s="16"/>
      <c r="BE122" s="27" t="s">
        <v>345</v>
      </c>
      <c r="BF122" s="16"/>
      <c r="BG122" s="27"/>
      <c r="BH122" s="16"/>
      <c r="BI122" s="27"/>
      <c r="BJ122" s="16"/>
    </row>
    <row r="123" ht="18.0" customHeight="1">
      <c r="A123" s="1"/>
      <c r="B123" s="13" t="s">
        <v>143</v>
      </c>
      <c r="C123" s="27" t="s">
        <v>357</v>
      </c>
      <c r="D123" s="16"/>
      <c r="E123" s="27" t="s">
        <v>333</v>
      </c>
      <c r="F123" s="16"/>
      <c r="G123" s="27" t="s">
        <v>353</v>
      </c>
      <c r="H123" s="16"/>
      <c r="I123" s="27" t="s">
        <v>334</v>
      </c>
      <c r="J123" s="16"/>
      <c r="K123" s="27" t="s">
        <v>349</v>
      </c>
      <c r="L123" s="16"/>
      <c r="M123" s="27" t="s">
        <v>337</v>
      </c>
      <c r="N123" s="16"/>
      <c r="O123" s="27" t="s">
        <v>345</v>
      </c>
      <c r="P123" s="16"/>
      <c r="Q123" s="27" t="s">
        <v>334</v>
      </c>
      <c r="R123" s="16"/>
      <c r="S123" s="27" t="s">
        <v>313</v>
      </c>
      <c r="T123" s="16"/>
      <c r="U123" s="27" t="s">
        <v>318</v>
      </c>
      <c r="V123" s="16"/>
      <c r="W123" s="27" t="s">
        <v>345</v>
      </c>
      <c r="X123" s="16"/>
      <c r="Y123" s="27" t="s">
        <v>329</v>
      </c>
      <c r="Z123" s="16"/>
      <c r="AA123" s="27" t="s">
        <v>326</v>
      </c>
      <c r="AB123" s="16"/>
      <c r="AC123" s="27" t="s">
        <v>357</v>
      </c>
      <c r="AD123" s="16"/>
      <c r="AE123" s="27" t="s">
        <v>336</v>
      </c>
      <c r="AF123" s="16"/>
      <c r="AG123" s="27" t="s">
        <v>357</v>
      </c>
      <c r="AH123" s="16"/>
      <c r="AI123" s="27" t="s">
        <v>342</v>
      </c>
      <c r="AJ123" s="16"/>
      <c r="AK123" s="27" t="s">
        <v>349</v>
      </c>
      <c r="AL123" s="16"/>
      <c r="AM123" s="27" t="s">
        <v>320</v>
      </c>
      <c r="AN123" s="16"/>
      <c r="AO123" s="27" t="s">
        <v>333</v>
      </c>
      <c r="AP123" s="16"/>
      <c r="AQ123" s="27" t="s">
        <v>318</v>
      </c>
      <c r="AR123" s="16"/>
      <c r="AS123" s="27" t="s">
        <v>358</v>
      </c>
      <c r="AT123" s="16"/>
      <c r="AU123" s="27" t="s">
        <v>345</v>
      </c>
      <c r="AV123" s="16"/>
      <c r="AW123" s="27" t="s">
        <v>315</v>
      </c>
      <c r="AX123" s="16"/>
      <c r="AY123" s="27" t="s">
        <v>333</v>
      </c>
      <c r="AZ123" s="16"/>
      <c r="BA123" s="27" t="s">
        <v>323</v>
      </c>
      <c r="BB123" s="16"/>
      <c r="BC123" s="27" t="s">
        <v>321</v>
      </c>
      <c r="BD123" s="16"/>
      <c r="BE123" s="27" t="s">
        <v>318</v>
      </c>
      <c r="BF123" s="16"/>
      <c r="BG123" s="27"/>
      <c r="BH123" s="16"/>
      <c r="BI123" s="27"/>
      <c r="BJ123" s="16"/>
    </row>
    <row r="124" ht="18.0" customHeight="1">
      <c r="A124" s="1"/>
      <c r="B124" s="13" t="s">
        <v>144</v>
      </c>
      <c r="C124" s="27" t="s">
        <v>334</v>
      </c>
      <c r="D124" s="16"/>
      <c r="E124" s="27" t="s">
        <v>318</v>
      </c>
      <c r="F124" s="16"/>
      <c r="G124" s="27" t="s">
        <v>321</v>
      </c>
      <c r="H124" s="16"/>
      <c r="I124" s="27" t="s">
        <v>318</v>
      </c>
      <c r="J124" s="16"/>
      <c r="K124" s="27" t="s">
        <v>318</v>
      </c>
      <c r="L124" s="16"/>
      <c r="M124" s="27" t="s">
        <v>341</v>
      </c>
      <c r="N124" s="16"/>
      <c r="O124" s="27" t="s">
        <v>313</v>
      </c>
      <c r="P124" s="16"/>
      <c r="Q124" s="27" t="s">
        <v>318</v>
      </c>
      <c r="R124" s="16"/>
      <c r="S124" s="27" t="s">
        <v>325</v>
      </c>
      <c r="T124" s="16"/>
      <c r="U124" s="27" t="s">
        <v>337</v>
      </c>
      <c r="V124" s="16"/>
      <c r="W124" s="27" t="s">
        <v>357</v>
      </c>
      <c r="X124" s="16"/>
      <c r="Y124" s="27" t="s">
        <v>311</v>
      </c>
      <c r="Z124" s="16"/>
      <c r="AA124" s="27" t="s">
        <v>333</v>
      </c>
      <c r="AB124" s="16"/>
      <c r="AC124" s="27" t="s">
        <v>350</v>
      </c>
      <c r="AD124" s="16"/>
      <c r="AE124" s="27" t="s">
        <v>349</v>
      </c>
      <c r="AF124" s="16"/>
      <c r="AG124" s="27" t="s">
        <v>321</v>
      </c>
      <c r="AH124" s="16"/>
      <c r="AI124" s="27" t="s">
        <v>345</v>
      </c>
      <c r="AJ124" s="16"/>
      <c r="AK124" s="27" t="s">
        <v>354</v>
      </c>
      <c r="AL124" s="16"/>
      <c r="AM124" s="27" t="s">
        <v>338</v>
      </c>
      <c r="AN124" s="16"/>
      <c r="AO124" s="27" t="s">
        <v>357</v>
      </c>
      <c r="AP124" s="16"/>
      <c r="AQ124" s="27" t="s">
        <v>313</v>
      </c>
      <c r="AR124" s="16"/>
      <c r="AS124" s="27" t="s">
        <v>314</v>
      </c>
      <c r="AT124" s="16"/>
      <c r="AU124" s="27" t="s">
        <v>357</v>
      </c>
      <c r="AV124" s="16"/>
      <c r="AW124" s="27" t="s">
        <v>333</v>
      </c>
      <c r="AX124" s="16"/>
      <c r="AY124" s="27" t="s">
        <v>321</v>
      </c>
      <c r="AZ124" s="16"/>
      <c r="BA124" s="27" t="s">
        <v>317</v>
      </c>
      <c r="BB124" s="16"/>
      <c r="BC124" s="27" t="s">
        <v>333</v>
      </c>
      <c r="BD124" s="16"/>
      <c r="BE124" s="27" t="s">
        <v>349</v>
      </c>
      <c r="BF124" s="16"/>
      <c r="BG124" s="27"/>
      <c r="BH124" s="16"/>
      <c r="BI124" s="27"/>
      <c r="BJ124" s="16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6"/>
      <c r="E127" s="27"/>
      <c r="F127" s="16"/>
      <c r="G127" s="27"/>
      <c r="H127" s="16"/>
      <c r="I127" s="27"/>
      <c r="J127" s="16"/>
      <c r="K127" s="27"/>
      <c r="L127" s="16"/>
      <c r="M127" s="27"/>
      <c r="N127" s="16"/>
      <c r="O127" s="27"/>
      <c r="P127" s="16"/>
      <c r="Q127" s="27"/>
      <c r="R127" s="16"/>
      <c r="S127" s="27"/>
      <c r="T127" s="16"/>
      <c r="U127" s="27"/>
      <c r="V127" s="16"/>
      <c r="W127" s="27"/>
      <c r="X127" s="16"/>
      <c r="Y127" s="27"/>
      <c r="Z127" s="16"/>
      <c r="AA127" s="27"/>
      <c r="AB127" s="16"/>
      <c r="AC127" s="27"/>
      <c r="AD127" s="16"/>
      <c r="AE127" s="27"/>
      <c r="AF127" s="16"/>
      <c r="AG127" s="27"/>
      <c r="AH127" s="16"/>
      <c r="AI127" s="27"/>
      <c r="AJ127" s="16"/>
      <c r="AK127" s="27"/>
      <c r="AL127" s="16"/>
      <c r="AM127" s="27"/>
      <c r="AN127" s="16"/>
      <c r="AO127" s="27"/>
      <c r="AP127" s="16"/>
      <c r="AQ127" s="27"/>
      <c r="AR127" s="16"/>
      <c r="AS127" s="27"/>
      <c r="AT127" s="16"/>
      <c r="AU127" s="27"/>
      <c r="AV127" s="16"/>
      <c r="AW127" s="27"/>
      <c r="AX127" s="16"/>
      <c r="AY127" s="27"/>
      <c r="AZ127" s="16"/>
      <c r="BA127" s="27"/>
      <c r="BB127" s="16"/>
      <c r="BC127" s="27"/>
      <c r="BD127" s="16"/>
      <c r="BE127" s="27"/>
      <c r="BF127" s="16"/>
      <c r="BG127" s="27"/>
      <c r="BH127" s="16"/>
      <c r="BI127" s="27"/>
      <c r="BJ127" s="16"/>
    </row>
    <row r="128" ht="18.0" customHeight="1">
      <c r="A128" s="1"/>
      <c r="B128" s="13" t="s">
        <v>148</v>
      </c>
      <c r="C128" s="27"/>
      <c r="D128" s="16"/>
      <c r="E128" s="27"/>
      <c r="F128" s="16"/>
      <c r="G128" s="27"/>
      <c r="H128" s="16"/>
      <c r="I128" s="27"/>
      <c r="J128" s="16"/>
      <c r="K128" s="27"/>
      <c r="L128" s="16"/>
      <c r="M128" s="27"/>
      <c r="N128" s="16"/>
      <c r="O128" s="27"/>
      <c r="P128" s="16"/>
      <c r="Q128" s="27"/>
      <c r="R128" s="16"/>
      <c r="S128" s="27"/>
      <c r="T128" s="16"/>
      <c r="U128" s="27"/>
      <c r="V128" s="16"/>
      <c r="W128" s="27"/>
      <c r="X128" s="16"/>
      <c r="Y128" s="27"/>
      <c r="Z128" s="16"/>
      <c r="AA128" s="27"/>
      <c r="AB128" s="16"/>
      <c r="AC128" s="27"/>
      <c r="AD128" s="16"/>
      <c r="AE128" s="27"/>
      <c r="AF128" s="16"/>
      <c r="AG128" s="27"/>
      <c r="AH128" s="16"/>
      <c r="AI128" s="27"/>
      <c r="AJ128" s="16"/>
      <c r="AK128" s="27"/>
      <c r="AL128" s="16"/>
      <c r="AM128" s="27"/>
      <c r="AN128" s="16"/>
      <c r="AO128" s="27"/>
      <c r="AP128" s="16"/>
      <c r="AQ128" s="27"/>
      <c r="AR128" s="16"/>
      <c r="AS128" s="27"/>
      <c r="AT128" s="16"/>
      <c r="AU128" s="27"/>
      <c r="AV128" s="16"/>
      <c r="AW128" s="27"/>
      <c r="AX128" s="16"/>
      <c r="AY128" s="27"/>
      <c r="AZ128" s="16"/>
      <c r="BA128" s="27"/>
      <c r="BB128" s="16"/>
      <c r="BC128" s="27"/>
      <c r="BD128" s="16"/>
      <c r="BE128" s="27"/>
      <c r="BF128" s="16"/>
      <c r="BG128" s="27"/>
      <c r="BH128" s="16"/>
      <c r="BI128" s="27"/>
      <c r="BJ128" s="16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6"/>
      <c r="E130" s="27"/>
      <c r="F130" s="16"/>
      <c r="G130" s="27"/>
      <c r="H130" s="16"/>
      <c r="I130" s="27"/>
      <c r="J130" s="16"/>
      <c r="K130" s="27"/>
      <c r="L130" s="16"/>
      <c r="M130" s="27"/>
      <c r="N130" s="16"/>
      <c r="O130" s="27"/>
      <c r="P130" s="16"/>
      <c r="Q130" s="27"/>
      <c r="R130" s="16"/>
      <c r="S130" s="27"/>
      <c r="T130" s="16"/>
      <c r="U130" s="27"/>
      <c r="V130" s="16"/>
      <c r="W130" s="27"/>
      <c r="X130" s="16"/>
      <c r="Y130" s="27"/>
      <c r="Z130" s="16"/>
      <c r="AA130" s="27"/>
      <c r="AB130" s="16"/>
      <c r="AC130" s="27"/>
      <c r="AD130" s="16"/>
      <c r="AE130" s="27"/>
      <c r="AF130" s="16"/>
      <c r="AG130" s="27"/>
      <c r="AH130" s="16"/>
      <c r="AI130" s="27"/>
      <c r="AJ130" s="16"/>
      <c r="AK130" s="27"/>
      <c r="AL130" s="16"/>
      <c r="AM130" s="27"/>
      <c r="AN130" s="16"/>
      <c r="AO130" s="27"/>
      <c r="AP130" s="16"/>
      <c r="AQ130" s="27"/>
      <c r="AR130" s="16"/>
      <c r="AS130" s="27"/>
      <c r="AT130" s="16"/>
      <c r="AU130" s="27"/>
      <c r="AV130" s="16"/>
      <c r="AW130" s="27"/>
      <c r="AX130" s="16"/>
      <c r="AY130" s="27"/>
      <c r="AZ130" s="16"/>
      <c r="BA130" s="27"/>
      <c r="BB130" s="16"/>
      <c r="BC130" s="27"/>
      <c r="BD130" s="16"/>
      <c r="BE130" s="27"/>
      <c r="BF130" s="16"/>
      <c r="BG130" s="27"/>
      <c r="BH130" s="16"/>
      <c r="BI130" s="27"/>
      <c r="BJ130" s="16"/>
    </row>
    <row r="131" ht="18.0" customHeight="1">
      <c r="A131" s="1"/>
      <c r="B131" s="13" t="s">
        <v>151</v>
      </c>
      <c r="C131" s="27"/>
      <c r="D131" s="16"/>
      <c r="E131" s="27"/>
      <c r="F131" s="16"/>
      <c r="G131" s="27"/>
      <c r="H131" s="16"/>
      <c r="I131" s="27"/>
      <c r="J131" s="16"/>
      <c r="K131" s="27"/>
      <c r="L131" s="16"/>
      <c r="M131" s="27"/>
      <c r="N131" s="16"/>
      <c r="O131" s="27"/>
      <c r="P131" s="16"/>
      <c r="Q131" s="27"/>
      <c r="R131" s="16"/>
      <c r="S131" s="27"/>
      <c r="T131" s="16"/>
      <c r="U131" s="27"/>
      <c r="V131" s="16"/>
      <c r="W131" s="27"/>
      <c r="X131" s="16"/>
      <c r="Y131" s="27"/>
      <c r="Z131" s="16"/>
      <c r="AA131" s="27"/>
      <c r="AB131" s="16"/>
      <c r="AC131" s="27"/>
      <c r="AD131" s="16"/>
      <c r="AE131" s="27"/>
      <c r="AF131" s="16"/>
      <c r="AG131" s="27"/>
      <c r="AH131" s="16"/>
      <c r="AI131" s="27"/>
      <c r="AJ131" s="16"/>
      <c r="AK131" s="27"/>
      <c r="AL131" s="16"/>
      <c r="AM131" s="27"/>
      <c r="AN131" s="16"/>
      <c r="AO131" s="27"/>
      <c r="AP131" s="16"/>
      <c r="AQ131" s="27"/>
      <c r="AR131" s="16"/>
      <c r="AS131" s="27"/>
      <c r="AT131" s="16"/>
      <c r="AU131" s="27"/>
      <c r="AV131" s="16"/>
      <c r="AW131" s="27"/>
      <c r="AX131" s="16"/>
      <c r="AY131" s="27"/>
      <c r="AZ131" s="16"/>
      <c r="BA131" s="27"/>
      <c r="BB131" s="16"/>
      <c r="BC131" s="27"/>
      <c r="BD131" s="16"/>
      <c r="BE131" s="27"/>
      <c r="BF131" s="16"/>
      <c r="BG131" s="27"/>
      <c r="BH131" s="16"/>
      <c r="BI131" s="27"/>
      <c r="BJ131" s="16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6"/>
      <c r="E133" s="27"/>
      <c r="F133" s="16"/>
      <c r="G133" s="27"/>
      <c r="H133" s="16"/>
      <c r="I133" s="27"/>
      <c r="J133" s="16"/>
      <c r="K133" s="27"/>
      <c r="L133" s="16"/>
      <c r="M133" s="27"/>
      <c r="N133" s="16"/>
      <c r="O133" s="27"/>
      <c r="P133" s="16"/>
      <c r="Q133" s="27"/>
      <c r="R133" s="16"/>
      <c r="S133" s="27"/>
      <c r="T133" s="16"/>
      <c r="U133" s="27"/>
      <c r="V133" s="16"/>
      <c r="W133" s="27"/>
      <c r="X133" s="16"/>
      <c r="Y133" s="27"/>
      <c r="Z133" s="16"/>
      <c r="AA133" s="27"/>
      <c r="AB133" s="16"/>
      <c r="AC133" s="27"/>
      <c r="AD133" s="16"/>
      <c r="AE133" s="27"/>
      <c r="AF133" s="16"/>
      <c r="AG133" s="27"/>
      <c r="AH133" s="16"/>
      <c r="AI133" s="27"/>
      <c r="AJ133" s="16"/>
      <c r="AK133" s="27"/>
      <c r="AL133" s="16"/>
      <c r="AM133" s="27"/>
      <c r="AN133" s="16"/>
      <c r="AO133" s="27"/>
      <c r="AP133" s="16"/>
      <c r="AQ133" s="27"/>
      <c r="AR133" s="16"/>
      <c r="AS133" s="27"/>
      <c r="AT133" s="16"/>
      <c r="AU133" s="27"/>
      <c r="AV133" s="16"/>
      <c r="AW133" s="27"/>
      <c r="AX133" s="16"/>
      <c r="AY133" s="27"/>
      <c r="AZ133" s="16"/>
      <c r="BA133" s="27"/>
      <c r="BB133" s="16"/>
      <c r="BC133" s="27"/>
      <c r="BD133" s="16"/>
      <c r="BE133" s="27"/>
      <c r="BF133" s="16"/>
      <c r="BG133" s="27"/>
      <c r="BH133" s="16"/>
      <c r="BI133" s="27"/>
      <c r="BJ133" s="16"/>
    </row>
    <row r="134" ht="18.0" customHeight="1">
      <c r="A134" s="1"/>
      <c r="B134" s="13" t="s">
        <v>154</v>
      </c>
      <c r="C134" s="27"/>
      <c r="D134" s="16"/>
      <c r="E134" s="27"/>
      <c r="F134" s="16"/>
      <c r="G134" s="27"/>
      <c r="H134" s="16"/>
      <c r="I134" s="27"/>
      <c r="J134" s="16"/>
      <c r="K134" s="27"/>
      <c r="L134" s="16"/>
      <c r="M134" s="27"/>
      <c r="N134" s="16"/>
      <c r="O134" s="27"/>
      <c r="P134" s="16"/>
      <c r="Q134" s="27"/>
      <c r="R134" s="16"/>
      <c r="S134" s="27"/>
      <c r="T134" s="16"/>
      <c r="U134" s="27"/>
      <c r="V134" s="16"/>
      <c r="W134" s="27"/>
      <c r="X134" s="16"/>
      <c r="Y134" s="27"/>
      <c r="Z134" s="16"/>
      <c r="AA134" s="27"/>
      <c r="AB134" s="16"/>
      <c r="AC134" s="27"/>
      <c r="AD134" s="16"/>
      <c r="AE134" s="27"/>
      <c r="AF134" s="16"/>
      <c r="AG134" s="27"/>
      <c r="AH134" s="16"/>
      <c r="AI134" s="27"/>
      <c r="AJ134" s="16"/>
      <c r="AK134" s="27"/>
      <c r="AL134" s="16"/>
      <c r="AM134" s="27"/>
      <c r="AN134" s="16"/>
      <c r="AO134" s="27"/>
      <c r="AP134" s="16"/>
      <c r="AQ134" s="27"/>
      <c r="AR134" s="16"/>
      <c r="AS134" s="27"/>
      <c r="AT134" s="16"/>
      <c r="AU134" s="27"/>
      <c r="AV134" s="16"/>
      <c r="AW134" s="27"/>
      <c r="AX134" s="16"/>
      <c r="AY134" s="27"/>
      <c r="AZ134" s="16"/>
      <c r="BA134" s="27"/>
      <c r="BB134" s="16"/>
      <c r="BC134" s="27"/>
      <c r="BD134" s="16"/>
      <c r="BE134" s="27"/>
      <c r="BF134" s="16"/>
      <c r="BG134" s="27"/>
      <c r="BH134" s="16"/>
      <c r="BI134" s="27"/>
      <c r="BJ134" s="16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6"/>
      <c r="E136" s="27"/>
      <c r="F136" s="16"/>
      <c r="G136" s="27"/>
      <c r="H136" s="16"/>
      <c r="I136" s="27"/>
      <c r="J136" s="16"/>
      <c r="K136" s="27"/>
      <c r="L136" s="16"/>
      <c r="M136" s="27"/>
      <c r="N136" s="16"/>
      <c r="O136" s="27"/>
      <c r="P136" s="16"/>
      <c r="Q136" s="27"/>
      <c r="R136" s="16"/>
      <c r="S136" s="27"/>
      <c r="T136" s="16"/>
      <c r="U136" s="27"/>
      <c r="V136" s="16"/>
      <c r="W136" s="27"/>
      <c r="X136" s="16"/>
      <c r="Y136" s="27"/>
      <c r="Z136" s="16"/>
      <c r="AA136" s="27"/>
      <c r="AB136" s="16"/>
      <c r="AC136" s="27"/>
      <c r="AD136" s="16"/>
      <c r="AE136" s="27"/>
      <c r="AF136" s="16"/>
      <c r="AG136" s="27"/>
      <c r="AH136" s="16"/>
      <c r="AI136" s="27"/>
      <c r="AJ136" s="16"/>
      <c r="AK136" s="27"/>
      <c r="AL136" s="16"/>
      <c r="AM136" s="27"/>
      <c r="AN136" s="16"/>
      <c r="AO136" s="27"/>
      <c r="AP136" s="16"/>
      <c r="AQ136" s="27"/>
      <c r="AR136" s="16"/>
      <c r="AS136" s="27"/>
      <c r="AT136" s="16"/>
      <c r="AU136" s="27"/>
      <c r="AV136" s="16"/>
      <c r="AW136" s="27"/>
      <c r="AX136" s="16"/>
      <c r="AY136" s="27"/>
      <c r="AZ136" s="16"/>
      <c r="BA136" s="27"/>
      <c r="BB136" s="16"/>
      <c r="BC136" s="27"/>
      <c r="BD136" s="16"/>
      <c r="BE136" s="27"/>
      <c r="BF136" s="16"/>
      <c r="BG136" s="27"/>
      <c r="BH136" s="16"/>
      <c r="BI136" s="27"/>
      <c r="BJ136" s="16"/>
    </row>
    <row r="137" ht="18.0" customHeight="1">
      <c r="A137" s="1"/>
      <c r="B137" s="13" t="s">
        <v>157</v>
      </c>
      <c r="C137" s="27"/>
      <c r="D137" s="16"/>
      <c r="E137" s="27"/>
      <c r="F137" s="16"/>
      <c r="G137" s="27"/>
      <c r="H137" s="16"/>
      <c r="I137" s="27"/>
      <c r="J137" s="16"/>
      <c r="K137" s="27"/>
      <c r="L137" s="16"/>
      <c r="M137" s="27"/>
      <c r="N137" s="16"/>
      <c r="O137" s="27"/>
      <c r="P137" s="16"/>
      <c r="Q137" s="27"/>
      <c r="R137" s="16"/>
      <c r="S137" s="27"/>
      <c r="T137" s="16"/>
      <c r="U137" s="27"/>
      <c r="V137" s="16"/>
      <c r="W137" s="27"/>
      <c r="X137" s="16"/>
      <c r="Y137" s="27"/>
      <c r="Z137" s="16"/>
      <c r="AA137" s="27"/>
      <c r="AB137" s="16"/>
      <c r="AC137" s="27"/>
      <c r="AD137" s="16"/>
      <c r="AE137" s="27"/>
      <c r="AF137" s="16"/>
      <c r="AG137" s="27"/>
      <c r="AH137" s="16"/>
      <c r="AI137" s="27"/>
      <c r="AJ137" s="16"/>
      <c r="AK137" s="27"/>
      <c r="AL137" s="16"/>
      <c r="AM137" s="27"/>
      <c r="AN137" s="16"/>
      <c r="AO137" s="27"/>
      <c r="AP137" s="16"/>
      <c r="AQ137" s="27"/>
      <c r="AR137" s="16"/>
      <c r="AS137" s="27"/>
      <c r="AT137" s="16"/>
      <c r="AU137" s="27"/>
      <c r="AV137" s="16"/>
      <c r="AW137" s="27"/>
      <c r="AX137" s="16"/>
      <c r="AY137" s="27"/>
      <c r="AZ137" s="16"/>
      <c r="BA137" s="27"/>
      <c r="BB137" s="16"/>
      <c r="BC137" s="27"/>
      <c r="BD137" s="16"/>
      <c r="BE137" s="27"/>
      <c r="BF137" s="16"/>
      <c r="BG137" s="27"/>
      <c r="BH137" s="16"/>
      <c r="BI137" s="27"/>
      <c r="BJ137" s="16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6"/>
      <c r="E139" s="27"/>
      <c r="F139" s="16"/>
      <c r="G139" s="27"/>
      <c r="H139" s="16"/>
      <c r="I139" s="27"/>
      <c r="J139" s="16"/>
      <c r="K139" s="27"/>
      <c r="L139" s="16"/>
      <c r="M139" s="27"/>
      <c r="N139" s="16"/>
      <c r="O139" s="27"/>
      <c r="P139" s="16"/>
      <c r="Q139" s="27"/>
      <c r="R139" s="16"/>
      <c r="S139" s="27"/>
      <c r="T139" s="16"/>
      <c r="U139" s="27"/>
      <c r="V139" s="16"/>
      <c r="W139" s="27"/>
      <c r="X139" s="16"/>
      <c r="Y139" s="27"/>
      <c r="Z139" s="16"/>
      <c r="AA139" s="27"/>
      <c r="AB139" s="16"/>
      <c r="AC139" s="27"/>
      <c r="AD139" s="16"/>
      <c r="AE139" s="27"/>
      <c r="AF139" s="16"/>
      <c r="AG139" s="27"/>
      <c r="AH139" s="16"/>
      <c r="AI139" s="27"/>
      <c r="AJ139" s="16"/>
      <c r="AK139" s="27"/>
      <c r="AL139" s="16"/>
      <c r="AM139" s="27"/>
      <c r="AN139" s="16"/>
      <c r="AO139" s="27"/>
      <c r="AP139" s="16"/>
      <c r="AQ139" s="27"/>
      <c r="AR139" s="16"/>
      <c r="AS139" s="27"/>
      <c r="AT139" s="16"/>
      <c r="AU139" s="27"/>
      <c r="AV139" s="16"/>
      <c r="AW139" s="27"/>
      <c r="AX139" s="16"/>
      <c r="AY139" s="27"/>
      <c r="AZ139" s="16"/>
      <c r="BA139" s="27"/>
      <c r="BB139" s="16"/>
      <c r="BC139" s="27"/>
      <c r="BD139" s="16"/>
      <c r="BE139" s="27"/>
      <c r="BF139" s="16"/>
      <c r="BG139" s="27"/>
      <c r="BH139" s="16"/>
      <c r="BI139" s="27"/>
      <c r="BJ139" s="16"/>
    </row>
    <row r="140" ht="18.0" customHeight="1">
      <c r="A140" s="1"/>
      <c r="B140" s="13" t="s">
        <v>160</v>
      </c>
      <c r="C140" s="27"/>
      <c r="D140" s="16"/>
      <c r="E140" s="27"/>
      <c r="F140" s="16"/>
      <c r="G140" s="27"/>
      <c r="H140" s="16"/>
      <c r="I140" s="27"/>
      <c r="J140" s="16"/>
      <c r="K140" s="27"/>
      <c r="L140" s="16"/>
      <c r="M140" s="27"/>
      <c r="N140" s="16"/>
      <c r="O140" s="27"/>
      <c r="P140" s="16"/>
      <c r="Q140" s="27"/>
      <c r="R140" s="16"/>
      <c r="S140" s="27"/>
      <c r="T140" s="16"/>
      <c r="U140" s="27"/>
      <c r="V140" s="16"/>
      <c r="W140" s="27"/>
      <c r="X140" s="16"/>
      <c r="Y140" s="27"/>
      <c r="Z140" s="16"/>
      <c r="AA140" s="27"/>
      <c r="AB140" s="16"/>
      <c r="AC140" s="27"/>
      <c r="AD140" s="16"/>
      <c r="AE140" s="27"/>
      <c r="AF140" s="16"/>
      <c r="AG140" s="27"/>
      <c r="AH140" s="16"/>
      <c r="AI140" s="27"/>
      <c r="AJ140" s="16"/>
      <c r="AK140" s="27"/>
      <c r="AL140" s="16"/>
      <c r="AM140" s="27"/>
      <c r="AN140" s="16"/>
      <c r="AO140" s="27"/>
      <c r="AP140" s="16"/>
      <c r="AQ140" s="27"/>
      <c r="AR140" s="16"/>
      <c r="AS140" s="27"/>
      <c r="AT140" s="16"/>
      <c r="AU140" s="27"/>
      <c r="AV140" s="16"/>
      <c r="AW140" s="27"/>
      <c r="AX140" s="16"/>
      <c r="AY140" s="27"/>
      <c r="AZ140" s="16"/>
      <c r="BA140" s="27"/>
      <c r="BB140" s="16"/>
      <c r="BC140" s="27"/>
      <c r="BD140" s="16"/>
      <c r="BE140" s="27"/>
      <c r="BF140" s="16"/>
      <c r="BG140" s="27"/>
      <c r="BH140" s="16"/>
      <c r="BI140" s="27"/>
      <c r="BJ140" s="16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6"/>
      <c r="E142" s="27"/>
      <c r="F142" s="16"/>
      <c r="G142" s="27"/>
      <c r="H142" s="16"/>
      <c r="I142" s="27"/>
      <c r="J142" s="16"/>
      <c r="K142" s="27"/>
      <c r="L142" s="16"/>
      <c r="M142" s="27"/>
      <c r="N142" s="16"/>
      <c r="O142" s="27"/>
      <c r="P142" s="16"/>
      <c r="Q142" s="27"/>
      <c r="R142" s="16"/>
      <c r="S142" s="27"/>
      <c r="T142" s="16"/>
      <c r="U142" s="27"/>
      <c r="V142" s="16"/>
      <c r="W142" s="27"/>
      <c r="X142" s="16"/>
      <c r="Y142" s="27"/>
      <c r="Z142" s="16"/>
      <c r="AA142" s="27"/>
      <c r="AB142" s="16"/>
      <c r="AC142" s="27"/>
      <c r="AD142" s="16"/>
      <c r="AE142" s="27"/>
      <c r="AF142" s="16"/>
      <c r="AG142" s="27"/>
      <c r="AH142" s="16"/>
      <c r="AI142" s="27"/>
      <c r="AJ142" s="16"/>
      <c r="AK142" s="27"/>
      <c r="AL142" s="16"/>
      <c r="AM142" s="27"/>
      <c r="AN142" s="16"/>
      <c r="AO142" s="27"/>
      <c r="AP142" s="16"/>
      <c r="AQ142" s="27"/>
      <c r="AR142" s="16"/>
      <c r="AS142" s="27"/>
      <c r="AT142" s="16"/>
      <c r="AU142" s="27"/>
      <c r="AV142" s="16"/>
      <c r="AW142" s="27"/>
      <c r="AX142" s="16"/>
      <c r="AY142" s="27"/>
      <c r="AZ142" s="16"/>
      <c r="BA142" s="27"/>
      <c r="BB142" s="16"/>
      <c r="BC142" s="27"/>
      <c r="BD142" s="16"/>
      <c r="BE142" s="27"/>
      <c r="BF142" s="16"/>
      <c r="BG142" s="27"/>
      <c r="BH142" s="16"/>
      <c r="BI142" s="27"/>
      <c r="BJ142" s="16"/>
    </row>
    <row r="143" ht="18.0" customHeight="1">
      <c r="A143" s="1"/>
      <c r="B143" s="13" t="s">
        <v>163</v>
      </c>
      <c r="C143" s="27"/>
      <c r="D143" s="16"/>
      <c r="E143" s="27"/>
      <c r="F143" s="16"/>
      <c r="G143" s="27"/>
      <c r="H143" s="16"/>
      <c r="I143" s="27"/>
      <c r="J143" s="16"/>
      <c r="K143" s="27"/>
      <c r="L143" s="16"/>
      <c r="M143" s="27"/>
      <c r="N143" s="16"/>
      <c r="O143" s="27"/>
      <c r="P143" s="16"/>
      <c r="Q143" s="27"/>
      <c r="R143" s="16"/>
      <c r="S143" s="27"/>
      <c r="T143" s="16"/>
      <c r="U143" s="27"/>
      <c r="V143" s="16"/>
      <c r="W143" s="27"/>
      <c r="X143" s="16"/>
      <c r="Y143" s="27"/>
      <c r="Z143" s="16"/>
      <c r="AA143" s="27"/>
      <c r="AB143" s="16"/>
      <c r="AC143" s="27"/>
      <c r="AD143" s="16"/>
      <c r="AE143" s="27"/>
      <c r="AF143" s="16"/>
      <c r="AG143" s="27"/>
      <c r="AH143" s="16"/>
      <c r="AI143" s="27"/>
      <c r="AJ143" s="16"/>
      <c r="AK143" s="27"/>
      <c r="AL143" s="16"/>
      <c r="AM143" s="27"/>
      <c r="AN143" s="16"/>
      <c r="AO143" s="27"/>
      <c r="AP143" s="16"/>
      <c r="AQ143" s="27"/>
      <c r="AR143" s="16"/>
      <c r="AS143" s="27"/>
      <c r="AT143" s="16"/>
      <c r="AU143" s="27"/>
      <c r="AV143" s="16"/>
      <c r="AW143" s="27"/>
      <c r="AX143" s="16"/>
      <c r="AY143" s="27"/>
      <c r="AZ143" s="16"/>
      <c r="BA143" s="27"/>
      <c r="BB143" s="16"/>
      <c r="BC143" s="27"/>
      <c r="BD143" s="16"/>
      <c r="BE143" s="27"/>
      <c r="BF143" s="16"/>
      <c r="BG143" s="27"/>
      <c r="BH143" s="16"/>
      <c r="BI143" s="27"/>
      <c r="BJ143" s="16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6"/>
      <c r="E145" s="27"/>
      <c r="F145" s="16"/>
      <c r="G145" s="27"/>
      <c r="H145" s="16"/>
      <c r="I145" s="27"/>
      <c r="J145" s="16"/>
      <c r="K145" s="27"/>
      <c r="L145" s="16"/>
      <c r="M145" s="27"/>
      <c r="N145" s="16"/>
      <c r="O145" s="27"/>
      <c r="P145" s="16"/>
      <c r="Q145" s="27"/>
      <c r="R145" s="16"/>
      <c r="S145" s="27"/>
      <c r="T145" s="16"/>
      <c r="U145" s="27"/>
      <c r="V145" s="16"/>
      <c r="W145" s="27"/>
      <c r="X145" s="16"/>
      <c r="Y145" s="27"/>
      <c r="Z145" s="16"/>
      <c r="AA145" s="27"/>
      <c r="AB145" s="16"/>
      <c r="AC145" s="27"/>
      <c r="AD145" s="16"/>
      <c r="AE145" s="27"/>
      <c r="AF145" s="16"/>
      <c r="AG145" s="27"/>
      <c r="AH145" s="16"/>
      <c r="AI145" s="27"/>
      <c r="AJ145" s="16"/>
      <c r="AK145" s="27"/>
      <c r="AL145" s="16"/>
      <c r="AM145" s="27"/>
      <c r="AN145" s="16"/>
      <c r="AO145" s="27"/>
      <c r="AP145" s="16"/>
      <c r="AQ145" s="27"/>
      <c r="AR145" s="16"/>
      <c r="AS145" s="27"/>
      <c r="AT145" s="16"/>
      <c r="AU145" s="27"/>
      <c r="AV145" s="16"/>
      <c r="AW145" s="27"/>
      <c r="AX145" s="16"/>
      <c r="AY145" s="27"/>
      <c r="AZ145" s="16"/>
      <c r="BA145" s="27"/>
      <c r="BB145" s="16"/>
      <c r="BC145" s="27"/>
      <c r="BD145" s="16"/>
      <c r="BE145" s="27"/>
      <c r="BF145" s="16"/>
      <c r="BG145" s="27"/>
      <c r="BH145" s="16"/>
      <c r="BI145" s="27"/>
      <c r="BJ145" s="16"/>
    </row>
    <row r="146" ht="18.0" customHeight="1">
      <c r="A146" s="1"/>
      <c r="B146" s="13" t="s">
        <v>166</v>
      </c>
      <c r="C146" s="27"/>
      <c r="D146" s="16"/>
      <c r="E146" s="27"/>
      <c r="F146" s="16"/>
      <c r="G146" s="27"/>
      <c r="H146" s="16"/>
      <c r="I146" s="27"/>
      <c r="J146" s="16"/>
      <c r="K146" s="27"/>
      <c r="L146" s="16"/>
      <c r="M146" s="27"/>
      <c r="N146" s="16"/>
      <c r="O146" s="27"/>
      <c r="P146" s="16"/>
      <c r="Q146" s="27"/>
      <c r="R146" s="16"/>
      <c r="S146" s="27"/>
      <c r="T146" s="16"/>
      <c r="U146" s="27"/>
      <c r="V146" s="16"/>
      <c r="W146" s="27"/>
      <c r="X146" s="16"/>
      <c r="Y146" s="27"/>
      <c r="Z146" s="16"/>
      <c r="AA146" s="27"/>
      <c r="AB146" s="16"/>
      <c r="AC146" s="27"/>
      <c r="AD146" s="16"/>
      <c r="AE146" s="27"/>
      <c r="AF146" s="16"/>
      <c r="AG146" s="27"/>
      <c r="AH146" s="16"/>
      <c r="AI146" s="27"/>
      <c r="AJ146" s="16"/>
      <c r="AK146" s="27"/>
      <c r="AL146" s="16"/>
      <c r="AM146" s="27"/>
      <c r="AN146" s="16"/>
      <c r="AO146" s="27"/>
      <c r="AP146" s="16"/>
      <c r="AQ146" s="27"/>
      <c r="AR146" s="16"/>
      <c r="AS146" s="27"/>
      <c r="AT146" s="16"/>
      <c r="AU146" s="27"/>
      <c r="AV146" s="16"/>
      <c r="AW146" s="27"/>
      <c r="AX146" s="16"/>
      <c r="AY146" s="27"/>
      <c r="AZ146" s="16"/>
      <c r="BA146" s="27"/>
      <c r="BB146" s="16"/>
      <c r="BC146" s="27"/>
      <c r="BD146" s="16"/>
      <c r="BE146" s="27"/>
      <c r="BF146" s="16"/>
      <c r="BG146" s="27"/>
      <c r="BH146" s="16"/>
      <c r="BI146" s="27"/>
      <c r="BJ146" s="16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6"/>
      <c r="E148" s="27"/>
      <c r="F148" s="16"/>
      <c r="G148" s="27"/>
      <c r="H148" s="16"/>
      <c r="I148" s="27"/>
      <c r="J148" s="16"/>
      <c r="K148" s="27"/>
      <c r="L148" s="16"/>
      <c r="M148" s="27"/>
      <c r="N148" s="16"/>
      <c r="O148" s="27"/>
      <c r="P148" s="16"/>
      <c r="Q148" s="27"/>
      <c r="R148" s="16"/>
      <c r="S148" s="27"/>
      <c r="T148" s="16"/>
      <c r="U148" s="27"/>
      <c r="V148" s="16"/>
      <c r="W148" s="27"/>
      <c r="X148" s="16"/>
      <c r="Y148" s="27"/>
      <c r="Z148" s="16"/>
      <c r="AA148" s="27"/>
      <c r="AB148" s="16"/>
      <c r="AC148" s="27"/>
      <c r="AD148" s="16"/>
      <c r="AE148" s="27"/>
      <c r="AF148" s="16"/>
      <c r="AG148" s="27"/>
      <c r="AH148" s="16"/>
      <c r="AI148" s="27"/>
      <c r="AJ148" s="16"/>
      <c r="AK148" s="27"/>
      <c r="AL148" s="16"/>
      <c r="AM148" s="27"/>
      <c r="AN148" s="16"/>
      <c r="AO148" s="27"/>
      <c r="AP148" s="16"/>
      <c r="AQ148" s="27"/>
      <c r="AR148" s="16"/>
      <c r="AS148" s="27"/>
      <c r="AT148" s="16"/>
      <c r="AU148" s="27"/>
      <c r="AV148" s="16"/>
      <c r="AW148" s="27"/>
      <c r="AX148" s="16"/>
      <c r="AY148" s="27"/>
      <c r="AZ148" s="16"/>
      <c r="BA148" s="27"/>
      <c r="BB148" s="16"/>
      <c r="BC148" s="27"/>
      <c r="BD148" s="16"/>
      <c r="BE148" s="27"/>
      <c r="BF148" s="16"/>
      <c r="BG148" s="27"/>
      <c r="BH148" s="16"/>
      <c r="BI148" s="27"/>
      <c r="BJ148" s="16"/>
    </row>
    <row r="149" ht="18.0" customHeight="1">
      <c r="A149" s="1"/>
      <c r="B149" s="13" t="s">
        <v>169</v>
      </c>
      <c r="C149" s="27"/>
      <c r="D149" s="16"/>
      <c r="E149" s="27"/>
      <c r="F149" s="16"/>
      <c r="G149" s="27"/>
      <c r="H149" s="16"/>
      <c r="I149" s="27"/>
      <c r="J149" s="16"/>
      <c r="K149" s="27"/>
      <c r="L149" s="16"/>
      <c r="M149" s="27"/>
      <c r="N149" s="16"/>
      <c r="O149" s="27"/>
      <c r="P149" s="16"/>
      <c r="Q149" s="27"/>
      <c r="R149" s="16"/>
      <c r="S149" s="27"/>
      <c r="T149" s="16"/>
      <c r="U149" s="27"/>
      <c r="V149" s="16"/>
      <c r="W149" s="27"/>
      <c r="X149" s="16"/>
      <c r="Y149" s="27"/>
      <c r="Z149" s="16"/>
      <c r="AA149" s="27"/>
      <c r="AB149" s="16"/>
      <c r="AC149" s="27"/>
      <c r="AD149" s="16"/>
      <c r="AE149" s="27"/>
      <c r="AF149" s="16"/>
      <c r="AG149" s="27"/>
      <c r="AH149" s="16"/>
      <c r="AI149" s="27"/>
      <c r="AJ149" s="16"/>
      <c r="AK149" s="27"/>
      <c r="AL149" s="16"/>
      <c r="AM149" s="27"/>
      <c r="AN149" s="16"/>
      <c r="AO149" s="27"/>
      <c r="AP149" s="16"/>
      <c r="AQ149" s="27"/>
      <c r="AR149" s="16"/>
      <c r="AS149" s="27"/>
      <c r="AT149" s="16"/>
      <c r="AU149" s="27"/>
      <c r="AV149" s="16"/>
      <c r="AW149" s="27"/>
      <c r="AX149" s="16"/>
      <c r="AY149" s="27"/>
      <c r="AZ149" s="16"/>
      <c r="BA149" s="27"/>
      <c r="BB149" s="16"/>
      <c r="BC149" s="27"/>
      <c r="BD149" s="16"/>
      <c r="BE149" s="27"/>
      <c r="BF149" s="16"/>
      <c r="BG149" s="27"/>
      <c r="BH149" s="16"/>
      <c r="BI149" s="27"/>
      <c r="BJ149" s="16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6"/>
      <c r="E151" s="27"/>
      <c r="F151" s="16"/>
      <c r="G151" s="27"/>
      <c r="H151" s="16"/>
      <c r="I151" s="27"/>
      <c r="J151" s="16"/>
      <c r="K151" s="27"/>
      <c r="L151" s="16"/>
      <c r="M151" s="27"/>
      <c r="N151" s="16"/>
      <c r="O151" s="27"/>
      <c r="P151" s="16"/>
      <c r="Q151" s="27"/>
      <c r="R151" s="16"/>
      <c r="S151" s="27"/>
      <c r="T151" s="16"/>
      <c r="U151" s="27"/>
      <c r="V151" s="16"/>
      <c r="W151" s="27"/>
      <c r="X151" s="16"/>
      <c r="Y151" s="27"/>
      <c r="Z151" s="16"/>
      <c r="AA151" s="27"/>
      <c r="AB151" s="16"/>
      <c r="AC151" s="27"/>
      <c r="AD151" s="16"/>
      <c r="AE151" s="27"/>
      <c r="AF151" s="16"/>
      <c r="AG151" s="27"/>
      <c r="AH151" s="16"/>
      <c r="AI151" s="27"/>
      <c r="AJ151" s="16"/>
      <c r="AK151" s="27"/>
      <c r="AL151" s="16"/>
      <c r="AM151" s="27"/>
      <c r="AN151" s="16"/>
      <c r="AO151" s="27"/>
      <c r="AP151" s="16"/>
      <c r="AQ151" s="27"/>
      <c r="AR151" s="16"/>
      <c r="AS151" s="27"/>
      <c r="AT151" s="16"/>
      <c r="AU151" s="27"/>
      <c r="AV151" s="16"/>
      <c r="AW151" s="27"/>
      <c r="AX151" s="16"/>
      <c r="AY151" s="27"/>
      <c r="AZ151" s="16"/>
      <c r="BA151" s="27"/>
      <c r="BB151" s="16"/>
      <c r="BC151" s="27"/>
      <c r="BD151" s="16"/>
      <c r="BE151" s="27"/>
      <c r="BF151" s="16"/>
      <c r="BG151" s="27"/>
      <c r="BH151" s="16"/>
      <c r="BI151" s="27"/>
      <c r="BJ151" s="16"/>
    </row>
    <row r="152" ht="18.0" customHeight="1">
      <c r="A152" s="1"/>
      <c r="B152" s="13" t="s">
        <v>172</v>
      </c>
      <c r="C152" s="27"/>
      <c r="D152" s="16"/>
      <c r="E152" s="27"/>
      <c r="F152" s="16"/>
      <c r="G152" s="27"/>
      <c r="H152" s="16"/>
      <c r="I152" s="27"/>
      <c r="J152" s="16"/>
      <c r="K152" s="27"/>
      <c r="L152" s="16"/>
      <c r="M152" s="27"/>
      <c r="N152" s="16"/>
      <c r="O152" s="27"/>
      <c r="P152" s="16"/>
      <c r="Q152" s="27"/>
      <c r="R152" s="16"/>
      <c r="S152" s="27"/>
      <c r="T152" s="16"/>
      <c r="U152" s="27"/>
      <c r="V152" s="16"/>
      <c r="W152" s="27"/>
      <c r="X152" s="16"/>
      <c r="Y152" s="27"/>
      <c r="Z152" s="16"/>
      <c r="AA152" s="27"/>
      <c r="AB152" s="16"/>
      <c r="AC152" s="27"/>
      <c r="AD152" s="16"/>
      <c r="AE152" s="27"/>
      <c r="AF152" s="16"/>
      <c r="AG152" s="27"/>
      <c r="AH152" s="16"/>
      <c r="AI152" s="27"/>
      <c r="AJ152" s="16"/>
      <c r="AK152" s="27"/>
      <c r="AL152" s="16"/>
      <c r="AM152" s="27"/>
      <c r="AN152" s="16"/>
      <c r="AO152" s="27"/>
      <c r="AP152" s="16"/>
      <c r="AQ152" s="27"/>
      <c r="AR152" s="16"/>
      <c r="AS152" s="27"/>
      <c r="AT152" s="16"/>
      <c r="AU152" s="27"/>
      <c r="AV152" s="16"/>
      <c r="AW152" s="27"/>
      <c r="AX152" s="16"/>
      <c r="AY152" s="27"/>
      <c r="AZ152" s="16"/>
      <c r="BA152" s="27"/>
      <c r="BB152" s="16"/>
      <c r="BC152" s="27"/>
      <c r="BD152" s="16"/>
      <c r="BE152" s="27"/>
      <c r="BF152" s="16"/>
      <c r="BG152" s="27"/>
      <c r="BH152" s="16"/>
      <c r="BI152" s="27"/>
      <c r="BJ152" s="16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6"/>
      <c r="E154" s="27"/>
      <c r="F154" s="16"/>
      <c r="G154" s="27"/>
      <c r="H154" s="16"/>
      <c r="I154" s="27"/>
      <c r="J154" s="16"/>
      <c r="K154" s="27"/>
      <c r="L154" s="16"/>
      <c r="M154" s="27"/>
      <c r="N154" s="16"/>
      <c r="O154" s="27"/>
      <c r="P154" s="16"/>
      <c r="Q154" s="27"/>
      <c r="R154" s="16"/>
      <c r="S154" s="27"/>
      <c r="T154" s="16"/>
      <c r="U154" s="27"/>
      <c r="V154" s="16"/>
      <c r="W154" s="27"/>
      <c r="X154" s="16"/>
      <c r="Y154" s="27"/>
      <c r="Z154" s="16"/>
      <c r="AA154" s="27"/>
      <c r="AB154" s="16"/>
      <c r="AC154" s="27"/>
      <c r="AD154" s="16"/>
      <c r="AE154" s="27"/>
      <c r="AF154" s="16"/>
      <c r="AG154" s="27"/>
      <c r="AH154" s="16"/>
      <c r="AI154" s="27"/>
      <c r="AJ154" s="16"/>
      <c r="AK154" s="27"/>
      <c r="AL154" s="16"/>
      <c r="AM154" s="27"/>
      <c r="AN154" s="16"/>
      <c r="AO154" s="27"/>
      <c r="AP154" s="16"/>
      <c r="AQ154" s="27"/>
      <c r="AR154" s="16"/>
      <c r="AS154" s="27"/>
      <c r="AT154" s="16"/>
      <c r="AU154" s="27"/>
      <c r="AV154" s="16"/>
      <c r="AW154" s="27"/>
      <c r="AX154" s="16"/>
      <c r="AY154" s="27"/>
      <c r="AZ154" s="16"/>
      <c r="BA154" s="27"/>
      <c r="BB154" s="16"/>
      <c r="BC154" s="27"/>
      <c r="BD154" s="16"/>
      <c r="BE154" s="27"/>
      <c r="BF154" s="16"/>
      <c r="BG154" s="27"/>
      <c r="BH154" s="16"/>
      <c r="BI154" s="27"/>
      <c r="BJ154" s="16"/>
    </row>
    <row r="155" ht="18.0" customHeight="1">
      <c r="A155" s="1"/>
      <c r="B155" s="13" t="s">
        <v>175</v>
      </c>
      <c r="C155" s="27"/>
      <c r="D155" s="16"/>
      <c r="E155" s="27"/>
      <c r="F155" s="16"/>
      <c r="G155" s="27"/>
      <c r="H155" s="16"/>
      <c r="I155" s="27"/>
      <c r="J155" s="16"/>
      <c r="K155" s="27"/>
      <c r="L155" s="16"/>
      <c r="M155" s="27"/>
      <c r="N155" s="16"/>
      <c r="O155" s="27"/>
      <c r="P155" s="16"/>
      <c r="Q155" s="27"/>
      <c r="R155" s="16"/>
      <c r="S155" s="27"/>
      <c r="T155" s="16"/>
      <c r="U155" s="27"/>
      <c r="V155" s="16"/>
      <c r="W155" s="27"/>
      <c r="X155" s="16"/>
      <c r="Y155" s="27"/>
      <c r="Z155" s="16"/>
      <c r="AA155" s="27"/>
      <c r="AB155" s="16"/>
      <c r="AC155" s="27"/>
      <c r="AD155" s="16"/>
      <c r="AE155" s="27"/>
      <c r="AF155" s="16"/>
      <c r="AG155" s="27"/>
      <c r="AH155" s="16"/>
      <c r="AI155" s="27"/>
      <c r="AJ155" s="16"/>
      <c r="AK155" s="27"/>
      <c r="AL155" s="16"/>
      <c r="AM155" s="27"/>
      <c r="AN155" s="16"/>
      <c r="AO155" s="27"/>
      <c r="AP155" s="16"/>
      <c r="AQ155" s="27"/>
      <c r="AR155" s="16"/>
      <c r="AS155" s="27"/>
      <c r="AT155" s="16"/>
      <c r="AU155" s="27"/>
      <c r="AV155" s="16"/>
      <c r="AW155" s="27"/>
      <c r="AX155" s="16"/>
      <c r="AY155" s="27"/>
      <c r="AZ155" s="16"/>
      <c r="BA155" s="27"/>
      <c r="BB155" s="16"/>
      <c r="BC155" s="27"/>
      <c r="BD155" s="16"/>
      <c r="BE155" s="27"/>
      <c r="BF155" s="16"/>
      <c r="BG155" s="27"/>
      <c r="BH155" s="16"/>
      <c r="BI155" s="27"/>
      <c r="BJ155" s="16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6"/>
      <c r="E157" s="27"/>
      <c r="F157" s="16"/>
      <c r="G157" s="27"/>
      <c r="H157" s="16"/>
      <c r="I157" s="27"/>
      <c r="J157" s="16"/>
      <c r="K157" s="27"/>
      <c r="L157" s="16"/>
      <c r="M157" s="27"/>
      <c r="N157" s="16"/>
      <c r="O157" s="27"/>
      <c r="P157" s="16"/>
      <c r="Q157" s="27"/>
      <c r="R157" s="16"/>
      <c r="S157" s="27"/>
      <c r="T157" s="16"/>
      <c r="U157" s="27"/>
      <c r="V157" s="16"/>
      <c r="W157" s="27"/>
      <c r="X157" s="16"/>
      <c r="Y157" s="27"/>
      <c r="Z157" s="16"/>
      <c r="AA157" s="27"/>
      <c r="AB157" s="16"/>
      <c r="AC157" s="27"/>
      <c r="AD157" s="16"/>
      <c r="AE157" s="27"/>
      <c r="AF157" s="16"/>
      <c r="AG157" s="27"/>
      <c r="AH157" s="16"/>
      <c r="AI157" s="27"/>
      <c r="AJ157" s="16"/>
      <c r="AK157" s="27"/>
      <c r="AL157" s="16"/>
      <c r="AM157" s="27"/>
      <c r="AN157" s="16"/>
      <c r="AO157" s="27"/>
      <c r="AP157" s="16"/>
      <c r="AQ157" s="27"/>
      <c r="AR157" s="16"/>
      <c r="AS157" s="27"/>
      <c r="AT157" s="16"/>
      <c r="AU157" s="27"/>
      <c r="AV157" s="16"/>
      <c r="AW157" s="27"/>
      <c r="AX157" s="16"/>
      <c r="AY157" s="27"/>
      <c r="AZ157" s="16"/>
      <c r="BA157" s="27"/>
      <c r="BB157" s="16"/>
      <c r="BC157" s="27"/>
      <c r="BD157" s="16"/>
      <c r="BE157" s="27"/>
      <c r="BF157" s="16"/>
      <c r="BG157" s="27"/>
      <c r="BH157" s="16"/>
      <c r="BI157" s="27"/>
      <c r="BJ157" s="16"/>
    </row>
    <row r="158" ht="18.0" customHeight="1">
      <c r="A158" s="1"/>
      <c r="B158" s="13" t="s">
        <v>178</v>
      </c>
      <c r="C158" s="27"/>
      <c r="D158" s="16"/>
      <c r="E158" s="27"/>
      <c r="F158" s="16"/>
      <c r="G158" s="27"/>
      <c r="H158" s="16"/>
      <c r="I158" s="27"/>
      <c r="J158" s="16"/>
      <c r="K158" s="27"/>
      <c r="L158" s="16"/>
      <c r="M158" s="27"/>
      <c r="N158" s="16"/>
      <c r="O158" s="27"/>
      <c r="P158" s="16"/>
      <c r="Q158" s="27"/>
      <c r="R158" s="16"/>
      <c r="S158" s="27"/>
      <c r="T158" s="16"/>
      <c r="U158" s="27"/>
      <c r="V158" s="16"/>
      <c r="W158" s="27"/>
      <c r="X158" s="16"/>
      <c r="Y158" s="27"/>
      <c r="Z158" s="16"/>
      <c r="AA158" s="27"/>
      <c r="AB158" s="16"/>
      <c r="AC158" s="27"/>
      <c r="AD158" s="16"/>
      <c r="AE158" s="27"/>
      <c r="AF158" s="16"/>
      <c r="AG158" s="27"/>
      <c r="AH158" s="16"/>
      <c r="AI158" s="27"/>
      <c r="AJ158" s="16"/>
      <c r="AK158" s="27"/>
      <c r="AL158" s="16"/>
      <c r="AM158" s="27"/>
      <c r="AN158" s="16"/>
      <c r="AO158" s="27"/>
      <c r="AP158" s="16"/>
      <c r="AQ158" s="27"/>
      <c r="AR158" s="16"/>
      <c r="AS158" s="27"/>
      <c r="AT158" s="16"/>
      <c r="AU158" s="27"/>
      <c r="AV158" s="16"/>
      <c r="AW158" s="27"/>
      <c r="AX158" s="16"/>
      <c r="AY158" s="27"/>
      <c r="AZ158" s="16"/>
      <c r="BA158" s="27"/>
      <c r="BB158" s="16"/>
      <c r="BC158" s="27"/>
      <c r="BD158" s="16"/>
      <c r="BE158" s="27"/>
      <c r="BF158" s="16"/>
      <c r="BG158" s="27"/>
      <c r="BH158" s="16"/>
      <c r="BI158" s="27"/>
      <c r="BJ158" s="16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6"/>
      <c r="E160" s="27"/>
      <c r="F160" s="16"/>
      <c r="G160" s="27"/>
      <c r="H160" s="16"/>
      <c r="I160" s="27"/>
      <c r="J160" s="16"/>
      <c r="K160" s="27"/>
      <c r="L160" s="16"/>
      <c r="M160" s="27"/>
      <c r="N160" s="16"/>
      <c r="O160" s="27"/>
      <c r="P160" s="16"/>
      <c r="Q160" s="27"/>
      <c r="R160" s="16"/>
      <c r="S160" s="27"/>
      <c r="T160" s="16"/>
      <c r="U160" s="27"/>
      <c r="V160" s="16"/>
      <c r="W160" s="27"/>
      <c r="X160" s="16"/>
      <c r="Y160" s="27"/>
      <c r="Z160" s="16"/>
      <c r="AA160" s="27"/>
      <c r="AB160" s="16"/>
      <c r="AC160" s="27"/>
      <c r="AD160" s="16"/>
      <c r="AE160" s="27"/>
      <c r="AF160" s="16"/>
      <c r="AG160" s="27"/>
      <c r="AH160" s="16"/>
      <c r="AI160" s="27"/>
      <c r="AJ160" s="16"/>
      <c r="AK160" s="27"/>
      <c r="AL160" s="16"/>
      <c r="AM160" s="27"/>
      <c r="AN160" s="16"/>
      <c r="AO160" s="27"/>
      <c r="AP160" s="16"/>
      <c r="AQ160" s="27"/>
      <c r="AR160" s="16"/>
      <c r="AS160" s="27"/>
      <c r="AT160" s="16"/>
      <c r="AU160" s="27"/>
      <c r="AV160" s="16"/>
      <c r="AW160" s="27"/>
      <c r="AX160" s="16"/>
      <c r="AY160" s="27"/>
      <c r="AZ160" s="16"/>
      <c r="BA160" s="27"/>
      <c r="BB160" s="16"/>
      <c r="BC160" s="27"/>
      <c r="BD160" s="16"/>
      <c r="BE160" s="27"/>
      <c r="BF160" s="16"/>
      <c r="BG160" s="27"/>
      <c r="BH160" s="16"/>
      <c r="BI160" s="27"/>
      <c r="BJ160" s="16"/>
    </row>
    <row r="161" ht="18.0" customHeight="1">
      <c r="A161" s="1"/>
      <c r="B161" s="13" t="s">
        <v>181</v>
      </c>
      <c r="C161" s="27"/>
      <c r="D161" s="16"/>
      <c r="E161" s="27"/>
      <c r="F161" s="16"/>
      <c r="G161" s="27"/>
      <c r="H161" s="16"/>
      <c r="I161" s="27"/>
      <c r="J161" s="16"/>
      <c r="K161" s="27"/>
      <c r="L161" s="16"/>
      <c r="M161" s="27"/>
      <c r="N161" s="16"/>
      <c r="O161" s="27"/>
      <c r="P161" s="16"/>
      <c r="Q161" s="27"/>
      <c r="R161" s="16"/>
      <c r="S161" s="27"/>
      <c r="T161" s="16"/>
      <c r="U161" s="27"/>
      <c r="V161" s="16"/>
      <c r="W161" s="27"/>
      <c r="X161" s="16"/>
      <c r="Y161" s="27"/>
      <c r="Z161" s="16"/>
      <c r="AA161" s="27"/>
      <c r="AB161" s="16"/>
      <c r="AC161" s="27"/>
      <c r="AD161" s="16"/>
      <c r="AE161" s="27"/>
      <c r="AF161" s="16"/>
      <c r="AG161" s="27"/>
      <c r="AH161" s="16"/>
      <c r="AI161" s="27"/>
      <c r="AJ161" s="16"/>
      <c r="AK161" s="27"/>
      <c r="AL161" s="16"/>
      <c r="AM161" s="27"/>
      <c r="AN161" s="16"/>
      <c r="AO161" s="27"/>
      <c r="AP161" s="16"/>
      <c r="AQ161" s="27"/>
      <c r="AR161" s="16"/>
      <c r="AS161" s="27"/>
      <c r="AT161" s="16"/>
      <c r="AU161" s="27"/>
      <c r="AV161" s="16"/>
      <c r="AW161" s="27"/>
      <c r="AX161" s="16"/>
      <c r="AY161" s="27"/>
      <c r="AZ161" s="16"/>
      <c r="BA161" s="27"/>
      <c r="BB161" s="16"/>
      <c r="BC161" s="27"/>
      <c r="BD161" s="16"/>
      <c r="BE161" s="27"/>
      <c r="BF161" s="16"/>
      <c r="BG161" s="27"/>
      <c r="BH161" s="16"/>
      <c r="BI161" s="27"/>
      <c r="BJ161" s="16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6"/>
      <c r="E163" s="27"/>
      <c r="F163" s="16"/>
      <c r="G163" s="27"/>
      <c r="H163" s="16"/>
      <c r="I163" s="27"/>
      <c r="J163" s="16"/>
      <c r="K163" s="27"/>
      <c r="L163" s="16"/>
      <c r="M163" s="27"/>
      <c r="N163" s="16"/>
      <c r="O163" s="27"/>
      <c r="P163" s="16"/>
      <c r="Q163" s="27"/>
      <c r="R163" s="16"/>
      <c r="S163" s="27"/>
      <c r="T163" s="16"/>
      <c r="U163" s="27"/>
      <c r="V163" s="16"/>
      <c r="W163" s="27"/>
      <c r="X163" s="16"/>
      <c r="Y163" s="27"/>
      <c r="Z163" s="16"/>
      <c r="AA163" s="27"/>
      <c r="AB163" s="16"/>
      <c r="AC163" s="27"/>
      <c r="AD163" s="16"/>
      <c r="AE163" s="27"/>
      <c r="AF163" s="16"/>
      <c r="AG163" s="27"/>
      <c r="AH163" s="16"/>
      <c r="AI163" s="27"/>
      <c r="AJ163" s="16"/>
      <c r="AK163" s="27"/>
      <c r="AL163" s="16"/>
      <c r="AM163" s="27"/>
      <c r="AN163" s="16"/>
      <c r="AO163" s="27"/>
      <c r="AP163" s="16"/>
      <c r="AQ163" s="27"/>
      <c r="AR163" s="16"/>
      <c r="AS163" s="27"/>
      <c r="AT163" s="16"/>
      <c r="AU163" s="27"/>
      <c r="AV163" s="16"/>
      <c r="AW163" s="27"/>
      <c r="AX163" s="16"/>
      <c r="AY163" s="27"/>
      <c r="AZ163" s="16"/>
      <c r="BA163" s="27"/>
      <c r="BB163" s="16"/>
      <c r="BC163" s="27"/>
      <c r="BD163" s="16"/>
      <c r="BE163" s="27"/>
      <c r="BF163" s="16"/>
      <c r="BG163" s="27"/>
      <c r="BH163" s="16"/>
      <c r="BI163" s="27"/>
      <c r="BJ163" s="16"/>
    </row>
    <row r="164" ht="18.0" customHeight="1">
      <c r="A164" s="1"/>
      <c r="B164" s="13" t="s">
        <v>184</v>
      </c>
      <c r="C164" s="27"/>
      <c r="D164" s="16"/>
      <c r="E164" s="27"/>
      <c r="F164" s="16"/>
      <c r="G164" s="27"/>
      <c r="H164" s="16"/>
      <c r="I164" s="27"/>
      <c r="J164" s="16"/>
      <c r="K164" s="27"/>
      <c r="L164" s="16"/>
      <c r="M164" s="27"/>
      <c r="N164" s="16"/>
      <c r="O164" s="27"/>
      <c r="P164" s="16"/>
      <c r="Q164" s="27"/>
      <c r="R164" s="16"/>
      <c r="S164" s="27"/>
      <c r="T164" s="16"/>
      <c r="U164" s="27"/>
      <c r="V164" s="16"/>
      <c r="W164" s="27"/>
      <c r="X164" s="16"/>
      <c r="Y164" s="27"/>
      <c r="Z164" s="16"/>
      <c r="AA164" s="27"/>
      <c r="AB164" s="16"/>
      <c r="AC164" s="27"/>
      <c r="AD164" s="16"/>
      <c r="AE164" s="27"/>
      <c r="AF164" s="16"/>
      <c r="AG164" s="27"/>
      <c r="AH164" s="16"/>
      <c r="AI164" s="27"/>
      <c r="AJ164" s="16"/>
      <c r="AK164" s="27"/>
      <c r="AL164" s="16"/>
      <c r="AM164" s="27"/>
      <c r="AN164" s="16"/>
      <c r="AO164" s="27"/>
      <c r="AP164" s="16"/>
      <c r="AQ164" s="27"/>
      <c r="AR164" s="16"/>
      <c r="AS164" s="27"/>
      <c r="AT164" s="16"/>
      <c r="AU164" s="27"/>
      <c r="AV164" s="16"/>
      <c r="AW164" s="27"/>
      <c r="AX164" s="16"/>
      <c r="AY164" s="27"/>
      <c r="AZ164" s="16"/>
      <c r="BA164" s="27"/>
      <c r="BB164" s="16"/>
      <c r="BC164" s="27"/>
      <c r="BD164" s="16"/>
      <c r="BE164" s="27"/>
      <c r="BF164" s="16"/>
      <c r="BG164" s="27"/>
      <c r="BH164" s="16"/>
      <c r="BI164" s="27"/>
      <c r="BJ164" s="16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6"/>
      <c r="E166" s="27"/>
      <c r="F166" s="16"/>
      <c r="G166" s="27"/>
      <c r="H166" s="16"/>
      <c r="I166" s="27"/>
      <c r="J166" s="16"/>
      <c r="K166" s="27"/>
      <c r="L166" s="16"/>
      <c r="M166" s="27"/>
      <c r="N166" s="16"/>
      <c r="O166" s="27"/>
      <c r="P166" s="16"/>
      <c r="Q166" s="27"/>
      <c r="R166" s="16"/>
      <c r="S166" s="27"/>
      <c r="T166" s="16"/>
      <c r="U166" s="27"/>
      <c r="V166" s="16"/>
      <c r="W166" s="27"/>
      <c r="X166" s="16"/>
      <c r="Y166" s="27"/>
      <c r="Z166" s="16"/>
      <c r="AA166" s="27"/>
      <c r="AB166" s="16"/>
      <c r="AC166" s="27"/>
      <c r="AD166" s="16"/>
      <c r="AE166" s="27"/>
      <c r="AF166" s="16"/>
      <c r="AG166" s="27"/>
      <c r="AH166" s="16"/>
      <c r="AI166" s="27"/>
      <c r="AJ166" s="16"/>
      <c r="AK166" s="27"/>
      <c r="AL166" s="16"/>
      <c r="AM166" s="27"/>
      <c r="AN166" s="16"/>
      <c r="AO166" s="27"/>
      <c r="AP166" s="16"/>
      <c r="AQ166" s="27"/>
      <c r="AR166" s="16"/>
      <c r="AS166" s="27"/>
      <c r="AT166" s="16"/>
      <c r="AU166" s="27"/>
      <c r="AV166" s="16"/>
      <c r="AW166" s="27"/>
      <c r="AX166" s="16"/>
      <c r="AY166" s="27"/>
      <c r="AZ166" s="16"/>
      <c r="BA166" s="27"/>
      <c r="BB166" s="16"/>
      <c r="BC166" s="27"/>
      <c r="BD166" s="16"/>
      <c r="BE166" s="27"/>
      <c r="BF166" s="16"/>
      <c r="BG166" s="27"/>
      <c r="BH166" s="16"/>
      <c r="BI166" s="27"/>
      <c r="BJ166" s="16"/>
    </row>
    <row r="167" ht="18.0" customHeight="1">
      <c r="A167" s="1"/>
      <c r="B167" s="13" t="s">
        <v>187</v>
      </c>
      <c r="C167" s="27"/>
      <c r="D167" s="16"/>
      <c r="E167" s="27"/>
      <c r="F167" s="16"/>
      <c r="G167" s="27"/>
      <c r="H167" s="16"/>
      <c r="I167" s="27"/>
      <c r="J167" s="16"/>
      <c r="K167" s="27"/>
      <c r="L167" s="16"/>
      <c r="M167" s="27"/>
      <c r="N167" s="16"/>
      <c r="O167" s="27"/>
      <c r="P167" s="16"/>
      <c r="Q167" s="27"/>
      <c r="R167" s="16"/>
      <c r="S167" s="27"/>
      <c r="T167" s="16"/>
      <c r="U167" s="27"/>
      <c r="V167" s="16"/>
      <c r="W167" s="27"/>
      <c r="X167" s="16"/>
      <c r="Y167" s="27"/>
      <c r="Z167" s="16"/>
      <c r="AA167" s="27"/>
      <c r="AB167" s="16"/>
      <c r="AC167" s="27"/>
      <c r="AD167" s="16"/>
      <c r="AE167" s="27"/>
      <c r="AF167" s="16"/>
      <c r="AG167" s="27"/>
      <c r="AH167" s="16"/>
      <c r="AI167" s="27"/>
      <c r="AJ167" s="16"/>
      <c r="AK167" s="27"/>
      <c r="AL167" s="16"/>
      <c r="AM167" s="27"/>
      <c r="AN167" s="16"/>
      <c r="AO167" s="27"/>
      <c r="AP167" s="16"/>
      <c r="AQ167" s="27"/>
      <c r="AR167" s="16"/>
      <c r="AS167" s="27"/>
      <c r="AT167" s="16"/>
      <c r="AU167" s="27"/>
      <c r="AV167" s="16"/>
      <c r="AW167" s="27"/>
      <c r="AX167" s="16"/>
      <c r="AY167" s="27"/>
      <c r="AZ167" s="16"/>
      <c r="BA167" s="27"/>
      <c r="BB167" s="16"/>
      <c r="BC167" s="27"/>
      <c r="BD167" s="16"/>
      <c r="BE167" s="27"/>
      <c r="BF167" s="16"/>
      <c r="BG167" s="27"/>
      <c r="BH167" s="16"/>
      <c r="BI167" s="27"/>
      <c r="BJ167" s="16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6"/>
      <c r="E169" s="27"/>
      <c r="F169" s="16"/>
      <c r="G169" s="27"/>
      <c r="H169" s="16"/>
      <c r="I169" s="27"/>
      <c r="J169" s="16"/>
      <c r="K169" s="27"/>
      <c r="L169" s="16"/>
      <c r="M169" s="27"/>
      <c r="N169" s="16"/>
      <c r="O169" s="27"/>
      <c r="P169" s="16"/>
      <c r="Q169" s="27"/>
      <c r="R169" s="16"/>
      <c r="S169" s="27"/>
      <c r="T169" s="16"/>
      <c r="U169" s="27"/>
      <c r="V169" s="16"/>
      <c r="W169" s="27"/>
      <c r="X169" s="16"/>
      <c r="Y169" s="27"/>
      <c r="Z169" s="16"/>
      <c r="AA169" s="27"/>
      <c r="AB169" s="16"/>
      <c r="AC169" s="27"/>
      <c r="AD169" s="16"/>
      <c r="AE169" s="27"/>
      <c r="AF169" s="16"/>
      <c r="AG169" s="27"/>
      <c r="AH169" s="16"/>
      <c r="AI169" s="27"/>
      <c r="AJ169" s="16"/>
      <c r="AK169" s="27"/>
      <c r="AL169" s="16"/>
      <c r="AM169" s="27"/>
      <c r="AN169" s="16"/>
      <c r="AO169" s="27"/>
      <c r="AP169" s="16"/>
      <c r="AQ169" s="27"/>
      <c r="AR169" s="16"/>
      <c r="AS169" s="27"/>
      <c r="AT169" s="16"/>
      <c r="AU169" s="27"/>
      <c r="AV169" s="16"/>
      <c r="AW169" s="27"/>
      <c r="AX169" s="16"/>
      <c r="AY169" s="27"/>
      <c r="AZ169" s="16"/>
      <c r="BA169" s="27"/>
      <c r="BB169" s="16"/>
      <c r="BC169" s="27"/>
      <c r="BD169" s="16"/>
      <c r="BE169" s="27"/>
      <c r="BF169" s="16"/>
      <c r="BG169" s="27"/>
      <c r="BH169" s="16"/>
      <c r="BI169" s="27"/>
      <c r="BJ169" s="16"/>
    </row>
    <row r="170" ht="18.0" customHeight="1">
      <c r="A170" s="1"/>
      <c r="B170" s="13" t="s">
        <v>190</v>
      </c>
      <c r="C170" s="27"/>
      <c r="D170" s="16"/>
      <c r="E170" s="27"/>
      <c r="F170" s="16"/>
      <c r="G170" s="27"/>
      <c r="H170" s="16"/>
      <c r="I170" s="27"/>
      <c r="J170" s="16"/>
      <c r="K170" s="27"/>
      <c r="L170" s="16"/>
      <c r="M170" s="27"/>
      <c r="N170" s="16"/>
      <c r="O170" s="27"/>
      <c r="P170" s="16"/>
      <c r="Q170" s="27"/>
      <c r="R170" s="16"/>
      <c r="S170" s="27"/>
      <c r="T170" s="16"/>
      <c r="U170" s="27"/>
      <c r="V170" s="16"/>
      <c r="W170" s="27"/>
      <c r="X170" s="16"/>
      <c r="Y170" s="27"/>
      <c r="Z170" s="16"/>
      <c r="AA170" s="27"/>
      <c r="AB170" s="16"/>
      <c r="AC170" s="27"/>
      <c r="AD170" s="16"/>
      <c r="AE170" s="27"/>
      <c r="AF170" s="16"/>
      <c r="AG170" s="27"/>
      <c r="AH170" s="16"/>
      <c r="AI170" s="27"/>
      <c r="AJ170" s="16"/>
      <c r="AK170" s="27"/>
      <c r="AL170" s="16"/>
      <c r="AM170" s="27"/>
      <c r="AN170" s="16"/>
      <c r="AO170" s="27"/>
      <c r="AP170" s="16"/>
      <c r="AQ170" s="27"/>
      <c r="AR170" s="16"/>
      <c r="AS170" s="27"/>
      <c r="AT170" s="16"/>
      <c r="AU170" s="27"/>
      <c r="AV170" s="16"/>
      <c r="AW170" s="27"/>
      <c r="AX170" s="16"/>
      <c r="AY170" s="27"/>
      <c r="AZ170" s="16"/>
      <c r="BA170" s="27"/>
      <c r="BB170" s="16"/>
      <c r="BC170" s="27"/>
      <c r="BD170" s="16"/>
      <c r="BE170" s="27"/>
      <c r="BF170" s="16"/>
      <c r="BG170" s="27"/>
      <c r="BH170" s="16"/>
      <c r="BI170" s="27"/>
      <c r="BJ170" s="16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6"/>
      <c r="E172" s="27"/>
      <c r="F172" s="16"/>
      <c r="G172" s="27"/>
      <c r="H172" s="16"/>
      <c r="I172" s="27"/>
      <c r="J172" s="16"/>
      <c r="K172" s="27"/>
      <c r="L172" s="16"/>
      <c r="M172" s="27"/>
      <c r="N172" s="16"/>
      <c r="O172" s="27"/>
      <c r="P172" s="16"/>
      <c r="Q172" s="27"/>
      <c r="R172" s="16"/>
      <c r="S172" s="27"/>
      <c r="T172" s="16"/>
      <c r="U172" s="27"/>
      <c r="V172" s="16"/>
      <c r="W172" s="27"/>
      <c r="X172" s="16"/>
      <c r="Y172" s="27"/>
      <c r="Z172" s="16"/>
      <c r="AA172" s="27"/>
      <c r="AB172" s="16"/>
      <c r="AC172" s="27"/>
      <c r="AD172" s="16"/>
      <c r="AE172" s="27"/>
      <c r="AF172" s="16"/>
      <c r="AG172" s="27"/>
      <c r="AH172" s="16"/>
      <c r="AI172" s="27"/>
      <c r="AJ172" s="16"/>
      <c r="AK172" s="27"/>
      <c r="AL172" s="16"/>
      <c r="AM172" s="27"/>
      <c r="AN172" s="16"/>
      <c r="AO172" s="27"/>
      <c r="AP172" s="16"/>
      <c r="AQ172" s="27"/>
      <c r="AR172" s="16"/>
      <c r="AS172" s="27"/>
      <c r="AT172" s="16"/>
      <c r="AU172" s="27"/>
      <c r="AV172" s="16"/>
      <c r="AW172" s="27"/>
      <c r="AX172" s="16"/>
      <c r="AY172" s="27"/>
      <c r="AZ172" s="16"/>
      <c r="BA172" s="27"/>
      <c r="BB172" s="16"/>
      <c r="BC172" s="27"/>
      <c r="BD172" s="16"/>
      <c r="BE172" s="27"/>
      <c r="BF172" s="16"/>
      <c r="BG172" s="27"/>
      <c r="BH172" s="16"/>
      <c r="BI172" s="27"/>
      <c r="BJ172" s="16"/>
    </row>
    <row r="173" ht="18.0" customHeight="1">
      <c r="A173" s="1"/>
      <c r="B173" s="13" t="s">
        <v>193</v>
      </c>
      <c r="C173" s="27"/>
      <c r="D173" s="16"/>
      <c r="E173" s="27"/>
      <c r="F173" s="16"/>
      <c r="G173" s="27"/>
      <c r="H173" s="16"/>
      <c r="I173" s="27"/>
      <c r="J173" s="16"/>
      <c r="K173" s="27"/>
      <c r="L173" s="16"/>
      <c r="M173" s="27"/>
      <c r="N173" s="16"/>
      <c r="O173" s="27"/>
      <c r="P173" s="16"/>
      <c r="Q173" s="27"/>
      <c r="R173" s="16"/>
      <c r="S173" s="27"/>
      <c r="T173" s="16"/>
      <c r="U173" s="27"/>
      <c r="V173" s="16"/>
      <c r="W173" s="27"/>
      <c r="X173" s="16"/>
      <c r="Y173" s="27"/>
      <c r="Z173" s="16"/>
      <c r="AA173" s="27"/>
      <c r="AB173" s="16"/>
      <c r="AC173" s="27"/>
      <c r="AD173" s="16"/>
      <c r="AE173" s="27"/>
      <c r="AF173" s="16"/>
      <c r="AG173" s="27"/>
      <c r="AH173" s="16"/>
      <c r="AI173" s="27"/>
      <c r="AJ173" s="16"/>
      <c r="AK173" s="27"/>
      <c r="AL173" s="16"/>
      <c r="AM173" s="27"/>
      <c r="AN173" s="16"/>
      <c r="AO173" s="27"/>
      <c r="AP173" s="16"/>
      <c r="AQ173" s="27"/>
      <c r="AR173" s="16"/>
      <c r="AS173" s="27"/>
      <c r="AT173" s="16"/>
      <c r="AU173" s="27"/>
      <c r="AV173" s="16"/>
      <c r="AW173" s="27"/>
      <c r="AX173" s="16"/>
      <c r="AY173" s="27"/>
      <c r="AZ173" s="16"/>
      <c r="BA173" s="27"/>
      <c r="BB173" s="16"/>
      <c r="BC173" s="27"/>
      <c r="BD173" s="16"/>
      <c r="BE173" s="27"/>
      <c r="BF173" s="16"/>
      <c r="BG173" s="27"/>
      <c r="BH173" s="16"/>
      <c r="BI173" s="27"/>
      <c r="BJ173" s="16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6"/>
      <c r="E176" s="27"/>
      <c r="F176" s="16"/>
      <c r="G176" s="27"/>
      <c r="H176" s="16"/>
      <c r="I176" s="27"/>
      <c r="J176" s="16"/>
      <c r="K176" s="27"/>
      <c r="L176" s="16"/>
      <c r="M176" s="27"/>
      <c r="N176" s="16"/>
      <c r="O176" s="27"/>
      <c r="P176" s="16"/>
      <c r="Q176" s="27"/>
      <c r="R176" s="16"/>
      <c r="S176" s="27"/>
      <c r="T176" s="16"/>
      <c r="U176" s="27"/>
      <c r="V176" s="16"/>
      <c r="W176" s="27"/>
      <c r="X176" s="16"/>
      <c r="Y176" s="27"/>
      <c r="Z176" s="16"/>
      <c r="AA176" s="27"/>
      <c r="AB176" s="16"/>
      <c r="AC176" s="27"/>
      <c r="AD176" s="16"/>
      <c r="AE176" s="27"/>
      <c r="AF176" s="16"/>
      <c r="AG176" s="27"/>
      <c r="AH176" s="16"/>
      <c r="AI176" s="27"/>
      <c r="AJ176" s="16"/>
      <c r="AK176" s="27"/>
      <c r="AL176" s="16"/>
      <c r="AM176" s="27"/>
      <c r="AN176" s="16"/>
      <c r="AO176" s="27"/>
      <c r="AP176" s="16"/>
      <c r="AQ176" s="27"/>
      <c r="AR176" s="16"/>
      <c r="AS176" s="27"/>
      <c r="AT176" s="16"/>
      <c r="AU176" s="27"/>
      <c r="AV176" s="16"/>
      <c r="AW176" s="27"/>
      <c r="AX176" s="16"/>
      <c r="AY176" s="27"/>
      <c r="AZ176" s="16"/>
      <c r="BA176" s="27"/>
      <c r="BB176" s="16"/>
      <c r="BC176" s="27"/>
      <c r="BD176" s="16"/>
      <c r="BE176" s="27"/>
      <c r="BF176" s="16"/>
      <c r="BG176" s="27"/>
      <c r="BH176" s="16"/>
      <c r="BI176" s="27"/>
      <c r="BJ176" s="16"/>
    </row>
    <row r="177" ht="18.0" customHeight="1">
      <c r="A177" s="1"/>
      <c r="B177" s="13" t="s">
        <v>197</v>
      </c>
      <c r="C177" s="27"/>
      <c r="D177" s="16"/>
      <c r="E177" s="27"/>
      <c r="F177" s="16"/>
      <c r="G177" s="27"/>
      <c r="H177" s="16"/>
      <c r="I177" s="27"/>
      <c r="J177" s="16"/>
      <c r="K177" s="27"/>
      <c r="L177" s="16"/>
      <c r="M177" s="27"/>
      <c r="N177" s="16"/>
      <c r="O177" s="27"/>
      <c r="P177" s="16"/>
      <c r="Q177" s="27"/>
      <c r="R177" s="16"/>
      <c r="S177" s="27"/>
      <c r="T177" s="16"/>
      <c r="U177" s="27"/>
      <c r="V177" s="16"/>
      <c r="W177" s="27"/>
      <c r="X177" s="16"/>
      <c r="Y177" s="27"/>
      <c r="Z177" s="16"/>
      <c r="AA177" s="27"/>
      <c r="AB177" s="16"/>
      <c r="AC177" s="27"/>
      <c r="AD177" s="16"/>
      <c r="AE177" s="27"/>
      <c r="AF177" s="16"/>
      <c r="AG177" s="27"/>
      <c r="AH177" s="16"/>
      <c r="AI177" s="27"/>
      <c r="AJ177" s="16"/>
      <c r="AK177" s="27"/>
      <c r="AL177" s="16"/>
      <c r="AM177" s="27"/>
      <c r="AN177" s="16"/>
      <c r="AO177" s="27"/>
      <c r="AP177" s="16"/>
      <c r="AQ177" s="27"/>
      <c r="AR177" s="16"/>
      <c r="AS177" s="27"/>
      <c r="AT177" s="16"/>
      <c r="AU177" s="27"/>
      <c r="AV177" s="16"/>
      <c r="AW177" s="27"/>
      <c r="AX177" s="16"/>
      <c r="AY177" s="27"/>
      <c r="AZ177" s="16"/>
      <c r="BA177" s="27"/>
      <c r="BB177" s="16"/>
      <c r="BC177" s="27"/>
      <c r="BD177" s="16"/>
      <c r="BE177" s="27"/>
      <c r="BF177" s="16"/>
      <c r="BG177" s="27"/>
      <c r="BH177" s="16"/>
      <c r="BI177" s="27"/>
      <c r="BJ177" s="16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6"/>
      <c r="E179" s="27"/>
      <c r="F179" s="16"/>
      <c r="G179" s="27"/>
      <c r="H179" s="16"/>
      <c r="I179" s="27"/>
      <c r="J179" s="16"/>
      <c r="K179" s="27"/>
      <c r="L179" s="16"/>
      <c r="M179" s="27"/>
      <c r="N179" s="16"/>
      <c r="O179" s="27"/>
      <c r="P179" s="16"/>
      <c r="Q179" s="27"/>
      <c r="R179" s="16"/>
      <c r="S179" s="27"/>
      <c r="T179" s="16"/>
      <c r="U179" s="27"/>
      <c r="V179" s="16"/>
      <c r="W179" s="27"/>
      <c r="X179" s="16"/>
      <c r="Y179" s="27"/>
      <c r="Z179" s="16"/>
      <c r="AA179" s="27"/>
      <c r="AB179" s="16"/>
      <c r="AC179" s="27"/>
      <c r="AD179" s="16"/>
      <c r="AE179" s="27"/>
      <c r="AF179" s="16"/>
      <c r="AG179" s="27"/>
      <c r="AH179" s="16"/>
      <c r="AI179" s="27"/>
      <c r="AJ179" s="16"/>
      <c r="AK179" s="27"/>
      <c r="AL179" s="16"/>
      <c r="AM179" s="27"/>
      <c r="AN179" s="16"/>
      <c r="AO179" s="27"/>
      <c r="AP179" s="16"/>
      <c r="AQ179" s="27"/>
      <c r="AR179" s="16"/>
      <c r="AS179" s="27"/>
      <c r="AT179" s="16"/>
      <c r="AU179" s="27"/>
      <c r="AV179" s="16"/>
      <c r="AW179" s="27"/>
      <c r="AX179" s="16"/>
      <c r="AY179" s="27"/>
      <c r="AZ179" s="16"/>
      <c r="BA179" s="27"/>
      <c r="BB179" s="16"/>
      <c r="BC179" s="27"/>
      <c r="BD179" s="16"/>
      <c r="BE179" s="27"/>
      <c r="BF179" s="16"/>
      <c r="BG179" s="27"/>
      <c r="BH179" s="16"/>
      <c r="BI179" s="27"/>
      <c r="BJ179" s="16"/>
    </row>
    <row r="180" ht="18.0" customHeight="1">
      <c r="A180" s="1"/>
      <c r="B180" s="13" t="s">
        <v>200</v>
      </c>
      <c r="C180" s="27"/>
      <c r="D180" s="16"/>
      <c r="E180" s="27"/>
      <c r="F180" s="16"/>
      <c r="G180" s="27"/>
      <c r="H180" s="16"/>
      <c r="I180" s="27"/>
      <c r="J180" s="16"/>
      <c r="K180" s="27"/>
      <c r="L180" s="16"/>
      <c r="M180" s="27"/>
      <c r="N180" s="16"/>
      <c r="O180" s="27"/>
      <c r="P180" s="16"/>
      <c r="Q180" s="27"/>
      <c r="R180" s="16"/>
      <c r="S180" s="27"/>
      <c r="T180" s="16"/>
      <c r="U180" s="27"/>
      <c r="V180" s="16"/>
      <c r="W180" s="27"/>
      <c r="X180" s="16"/>
      <c r="Y180" s="27"/>
      <c r="Z180" s="16"/>
      <c r="AA180" s="27"/>
      <c r="AB180" s="16"/>
      <c r="AC180" s="27"/>
      <c r="AD180" s="16"/>
      <c r="AE180" s="27"/>
      <c r="AF180" s="16"/>
      <c r="AG180" s="27"/>
      <c r="AH180" s="16"/>
      <c r="AI180" s="27"/>
      <c r="AJ180" s="16"/>
      <c r="AK180" s="27"/>
      <c r="AL180" s="16"/>
      <c r="AM180" s="27"/>
      <c r="AN180" s="16"/>
      <c r="AO180" s="27"/>
      <c r="AP180" s="16"/>
      <c r="AQ180" s="27"/>
      <c r="AR180" s="16"/>
      <c r="AS180" s="27"/>
      <c r="AT180" s="16"/>
      <c r="AU180" s="27"/>
      <c r="AV180" s="16"/>
      <c r="AW180" s="27"/>
      <c r="AX180" s="16"/>
      <c r="AY180" s="27"/>
      <c r="AZ180" s="16"/>
      <c r="BA180" s="27"/>
      <c r="BB180" s="16"/>
      <c r="BC180" s="27"/>
      <c r="BD180" s="16"/>
      <c r="BE180" s="27"/>
      <c r="BF180" s="16"/>
      <c r="BG180" s="27"/>
      <c r="BH180" s="16"/>
      <c r="BI180" s="27"/>
      <c r="BJ180" s="16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6"/>
      <c r="E182" s="27"/>
      <c r="F182" s="16"/>
      <c r="G182" s="27"/>
      <c r="H182" s="16"/>
      <c r="I182" s="27"/>
      <c r="J182" s="16"/>
      <c r="K182" s="27"/>
      <c r="L182" s="16"/>
      <c r="M182" s="27"/>
      <c r="N182" s="16"/>
      <c r="O182" s="27"/>
      <c r="P182" s="16"/>
      <c r="Q182" s="27"/>
      <c r="R182" s="16"/>
      <c r="S182" s="27"/>
      <c r="T182" s="16"/>
      <c r="U182" s="27"/>
      <c r="V182" s="16"/>
      <c r="W182" s="27"/>
      <c r="X182" s="16"/>
      <c r="Y182" s="27"/>
      <c r="Z182" s="16"/>
      <c r="AA182" s="27"/>
      <c r="AB182" s="16"/>
      <c r="AC182" s="27"/>
      <c r="AD182" s="16"/>
      <c r="AE182" s="27"/>
      <c r="AF182" s="16"/>
      <c r="AG182" s="27"/>
      <c r="AH182" s="16"/>
      <c r="AI182" s="27"/>
      <c r="AJ182" s="16"/>
      <c r="AK182" s="27"/>
      <c r="AL182" s="16"/>
      <c r="AM182" s="27"/>
      <c r="AN182" s="16"/>
      <c r="AO182" s="27"/>
      <c r="AP182" s="16"/>
      <c r="AQ182" s="27"/>
      <c r="AR182" s="16"/>
      <c r="AS182" s="27"/>
      <c r="AT182" s="16"/>
      <c r="AU182" s="27"/>
      <c r="AV182" s="16"/>
      <c r="AW182" s="27"/>
      <c r="AX182" s="16"/>
      <c r="AY182" s="27"/>
      <c r="AZ182" s="16"/>
      <c r="BA182" s="27"/>
      <c r="BB182" s="16"/>
      <c r="BC182" s="27"/>
      <c r="BD182" s="16"/>
      <c r="BE182" s="27"/>
      <c r="BF182" s="16"/>
      <c r="BG182" s="27"/>
      <c r="BH182" s="16"/>
      <c r="BI182" s="27"/>
      <c r="BJ182" s="16"/>
    </row>
    <row r="183" ht="18.0" customHeight="1">
      <c r="A183" s="1"/>
      <c r="B183" s="13" t="s">
        <v>203</v>
      </c>
      <c r="C183" s="27"/>
      <c r="D183" s="16"/>
      <c r="E183" s="27"/>
      <c r="F183" s="16"/>
      <c r="G183" s="27"/>
      <c r="H183" s="16"/>
      <c r="I183" s="27"/>
      <c r="J183" s="16"/>
      <c r="K183" s="27"/>
      <c r="L183" s="16"/>
      <c r="M183" s="27"/>
      <c r="N183" s="16"/>
      <c r="O183" s="27"/>
      <c r="P183" s="16"/>
      <c r="Q183" s="27"/>
      <c r="R183" s="16"/>
      <c r="S183" s="27"/>
      <c r="T183" s="16"/>
      <c r="U183" s="27"/>
      <c r="V183" s="16"/>
      <c r="W183" s="27"/>
      <c r="X183" s="16"/>
      <c r="Y183" s="27"/>
      <c r="Z183" s="16"/>
      <c r="AA183" s="27"/>
      <c r="AB183" s="16"/>
      <c r="AC183" s="27"/>
      <c r="AD183" s="16"/>
      <c r="AE183" s="27"/>
      <c r="AF183" s="16"/>
      <c r="AG183" s="27"/>
      <c r="AH183" s="16"/>
      <c r="AI183" s="27"/>
      <c r="AJ183" s="16"/>
      <c r="AK183" s="27"/>
      <c r="AL183" s="16"/>
      <c r="AM183" s="27"/>
      <c r="AN183" s="16"/>
      <c r="AO183" s="27"/>
      <c r="AP183" s="16"/>
      <c r="AQ183" s="27"/>
      <c r="AR183" s="16"/>
      <c r="AS183" s="27"/>
      <c r="AT183" s="16"/>
      <c r="AU183" s="27"/>
      <c r="AV183" s="16"/>
      <c r="AW183" s="27"/>
      <c r="AX183" s="16"/>
      <c r="AY183" s="27"/>
      <c r="AZ183" s="16"/>
      <c r="BA183" s="27"/>
      <c r="BB183" s="16"/>
      <c r="BC183" s="27"/>
      <c r="BD183" s="16"/>
      <c r="BE183" s="27"/>
      <c r="BF183" s="16"/>
      <c r="BG183" s="27"/>
      <c r="BH183" s="16"/>
      <c r="BI183" s="27"/>
      <c r="BJ183" s="16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6"/>
      <c r="E185" s="27"/>
      <c r="F185" s="16"/>
      <c r="G185" s="27"/>
      <c r="H185" s="16"/>
      <c r="I185" s="27"/>
      <c r="J185" s="16"/>
      <c r="K185" s="27"/>
      <c r="L185" s="16"/>
      <c r="M185" s="27"/>
      <c r="N185" s="16"/>
      <c r="O185" s="27"/>
      <c r="P185" s="16"/>
      <c r="Q185" s="27"/>
      <c r="R185" s="16"/>
      <c r="S185" s="27"/>
      <c r="T185" s="16"/>
      <c r="U185" s="27"/>
      <c r="V185" s="16"/>
      <c r="W185" s="27"/>
      <c r="X185" s="16"/>
      <c r="Y185" s="27"/>
      <c r="Z185" s="16"/>
      <c r="AA185" s="27"/>
      <c r="AB185" s="16"/>
      <c r="AC185" s="27"/>
      <c r="AD185" s="16"/>
      <c r="AE185" s="27"/>
      <c r="AF185" s="16"/>
      <c r="AG185" s="27"/>
      <c r="AH185" s="16"/>
      <c r="AI185" s="27"/>
      <c r="AJ185" s="16"/>
      <c r="AK185" s="27"/>
      <c r="AL185" s="16"/>
      <c r="AM185" s="27"/>
      <c r="AN185" s="16"/>
      <c r="AO185" s="27"/>
      <c r="AP185" s="16"/>
      <c r="AQ185" s="27"/>
      <c r="AR185" s="16"/>
      <c r="AS185" s="27"/>
      <c r="AT185" s="16"/>
      <c r="AU185" s="27"/>
      <c r="AV185" s="16"/>
      <c r="AW185" s="27"/>
      <c r="AX185" s="16"/>
      <c r="AY185" s="27"/>
      <c r="AZ185" s="16"/>
      <c r="BA185" s="27"/>
      <c r="BB185" s="16"/>
      <c r="BC185" s="27"/>
      <c r="BD185" s="16"/>
      <c r="BE185" s="27"/>
      <c r="BF185" s="16"/>
      <c r="BG185" s="27"/>
      <c r="BH185" s="16"/>
      <c r="BI185" s="27"/>
      <c r="BJ185" s="16"/>
    </row>
    <row r="186" ht="18.0" customHeight="1">
      <c r="A186" s="1"/>
      <c r="B186" s="13" t="s">
        <v>206</v>
      </c>
      <c r="C186" s="27"/>
      <c r="D186" s="16"/>
      <c r="E186" s="27"/>
      <c r="F186" s="16"/>
      <c r="G186" s="27"/>
      <c r="H186" s="16"/>
      <c r="I186" s="27"/>
      <c r="J186" s="16"/>
      <c r="K186" s="27"/>
      <c r="L186" s="16"/>
      <c r="M186" s="27"/>
      <c r="N186" s="16"/>
      <c r="O186" s="27"/>
      <c r="P186" s="16"/>
      <c r="Q186" s="27"/>
      <c r="R186" s="16"/>
      <c r="S186" s="27"/>
      <c r="T186" s="16"/>
      <c r="U186" s="27"/>
      <c r="V186" s="16"/>
      <c r="W186" s="27"/>
      <c r="X186" s="16"/>
      <c r="Y186" s="27"/>
      <c r="Z186" s="16"/>
      <c r="AA186" s="27"/>
      <c r="AB186" s="16"/>
      <c r="AC186" s="27"/>
      <c r="AD186" s="16"/>
      <c r="AE186" s="27"/>
      <c r="AF186" s="16"/>
      <c r="AG186" s="27"/>
      <c r="AH186" s="16"/>
      <c r="AI186" s="27"/>
      <c r="AJ186" s="16"/>
      <c r="AK186" s="27"/>
      <c r="AL186" s="16"/>
      <c r="AM186" s="27"/>
      <c r="AN186" s="16"/>
      <c r="AO186" s="27"/>
      <c r="AP186" s="16"/>
      <c r="AQ186" s="27"/>
      <c r="AR186" s="16"/>
      <c r="AS186" s="27"/>
      <c r="AT186" s="16"/>
      <c r="AU186" s="27"/>
      <c r="AV186" s="16"/>
      <c r="AW186" s="27"/>
      <c r="AX186" s="16"/>
      <c r="AY186" s="27"/>
      <c r="AZ186" s="16"/>
      <c r="BA186" s="27"/>
      <c r="BB186" s="16"/>
      <c r="BC186" s="27"/>
      <c r="BD186" s="16"/>
      <c r="BE186" s="27"/>
      <c r="BF186" s="16"/>
      <c r="BG186" s="27"/>
      <c r="BH186" s="16"/>
      <c r="BI186" s="27"/>
      <c r="BJ186" s="16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6"/>
      <c r="E188" s="27"/>
      <c r="F188" s="16"/>
      <c r="G188" s="27"/>
      <c r="H188" s="16"/>
      <c r="I188" s="27"/>
      <c r="J188" s="16"/>
      <c r="K188" s="27"/>
      <c r="L188" s="16"/>
      <c r="M188" s="27"/>
      <c r="N188" s="16"/>
      <c r="O188" s="27"/>
      <c r="P188" s="16"/>
      <c r="Q188" s="27"/>
      <c r="R188" s="16"/>
      <c r="S188" s="27"/>
      <c r="T188" s="16"/>
      <c r="U188" s="27"/>
      <c r="V188" s="16"/>
      <c r="W188" s="27"/>
      <c r="X188" s="16"/>
      <c r="Y188" s="27"/>
      <c r="Z188" s="16"/>
      <c r="AA188" s="27"/>
      <c r="AB188" s="16"/>
      <c r="AC188" s="27"/>
      <c r="AD188" s="16"/>
      <c r="AE188" s="27"/>
      <c r="AF188" s="16"/>
      <c r="AG188" s="27"/>
      <c r="AH188" s="16"/>
      <c r="AI188" s="27"/>
      <c r="AJ188" s="16"/>
      <c r="AK188" s="27"/>
      <c r="AL188" s="16"/>
      <c r="AM188" s="27"/>
      <c r="AN188" s="16"/>
      <c r="AO188" s="27"/>
      <c r="AP188" s="16"/>
      <c r="AQ188" s="27"/>
      <c r="AR188" s="16"/>
      <c r="AS188" s="27"/>
      <c r="AT188" s="16"/>
      <c r="AU188" s="27"/>
      <c r="AV188" s="16"/>
      <c r="AW188" s="27"/>
      <c r="AX188" s="16"/>
      <c r="AY188" s="27"/>
      <c r="AZ188" s="16"/>
      <c r="BA188" s="27"/>
      <c r="BB188" s="16"/>
      <c r="BC188" s="27"/>
      <c r="BD188" s="16"/>
      <c r="BE188" s="27"/>
      <c r="BF188" s="16"/>
      <c r="BG188" s="27"/>
      <c r="BH188" s="16"/>
      <c r="BI188" s="27"/>
      <c r="BJ188" s="16"/>
    </row>
    <row r="189" ht="18.0" customHeight="1">
      <c r="A189" s="1"/>
      <c r="B189" s="13" t="s">
        <v>209</v>
      </c>
      <c r="C189" s="27"/>
      <c r="D189" s="16"/>
      <c r="E189" s="27"/>
      <c r="F189" s="16"/>
      <c r="G189" s="27"/>
      <c r="H189" s="16"/>
      <c r="I189" s="27"/>
      <c r="J189" s="16"/>
      <c r="K189" s="27"/>
      <c r="L189" s="16"/>
      <c r="M189" s="27"/>
      <c r="N189" s="16"/>
      <c r="O189" s="27"/>
      <c r="P189" s="16"/>
      <c r="Q189" s="27"/>
      <c r="R189" s="16"/>
      <c r="S189" s="27"/>
      <c r="T189" s="16"/>
      <c r="U189" s="27"/>
      <c r="V189" s="16"/>
      <c r="W189" s="27"/>
      <c r="X189" s="16"/>
      <c r="Y189" s="27"/>
      <c r="Z189" s="16"/>
      <c r="AA189" s="27"/>
      <c r="AB189" s="16"/>
      <c r="AC189" s="27"/>
      <c r="AD189" s="16"/>
      <c r="AE189" s="27"/>
      <c r="AF189" s="16"/>
      <c r="AG189" s="27"/>
      <c r="AH189" s="16"/>
      <c r="AI189" s="27"/>
      <c r="AJ189" s="16"/>
      <c r="AK189" s="27"/>
      <c r="AL189" s="16"/>
      <c r="AM189" s="27"/>
      <c r="AN189" s="16"/>
      <c r="AO189" s="27"/>
      <c r="AP189" s="16"/>
      <c r="AQ189" s="27"/>
      <c r="AR189" s="16"/>
      <c r="AS189" s="27"/>
      <c r="AT189" s="16"/>
      <c r="AU189" s="27"/>
      <c r="AV189" s="16"/>
      <c r="AW189" s="27"/>
      <c r="AX189" s="16"/>
      <c r="AY189" s="27"/>
      <c r="AZ189" s="16"/>
      <c r="BA189" s="27"/>
      <c r="BB189" s="16"/>
      <c r="BC189" s="27"/>
      <c r="BD189" s="16"/>
      <c r="BE189" s="27"/>
      <c r="BF189" s="16"/>
      <c r="BG189" s="27"/>
      <c r="BH189" s="16"/>
      <c r="BI189" s="27"/>
      <c r="BJ189" s="16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6"/>
      <c r="E191" s="27"/>
      <c r="F191" s="16"/>
      <c r="G191" s="27"/>
      <c r="H191" s="16"/>
      <c r="I191" s="27"/>
      <c r="J191" s="16"/>
      <c r="K191" s="27"/>
      <c r="L191" s="16"/>
      <c r="M191" s="27"/>
      <c r="N191" s="16"/>
      <c r="O191" s="27"/>
      <c r="P191" s="16"/>
      <c r="Q191" s="27"/>
      <c r="R191" s="16"/>
      <c r="S191" s="27"/>
      <c r="T191" s="16"/>
      <c r="U191" s="27"/>
      <c r="V191" s="16"/>
      <c r="W191" s="27"/>
      <c r="X191" s="16"/>
      <c r="Y191" s="27"/>
      <c r="Z191" s="16"/>
      <c r="AA191" s="27"/>
      <c r="AB191" s="16"/>
      <c r="AC191" s="27"/>
      <c r="AD191" s="16"/>
      <c r="AE191" s="27"/>
      <c r="AF191" s="16"/>
      <c r="AG191" s="27"/>
      <c r="AH191" s="16"/>
      <c r="AI191" s="27"/>
      <c r="AJ191" s="16"/>
      <c r="AK191" s="27"/>
      <c r="AL191" s="16"/>
      <c r="AM191" s="27"/>
      <c r="AN191" s="16"/>
      <c r="AO191" s="27"/>
      <c r="AP191" s="16"/>
      <c r="AQ191" s="27"/>
      <c r="AR191" s="16"/>
      <c r="AS191" s="27"/>
      <c r="AT191" s="16"/>
      <c r="AU191" s="27"/>
      <c r="AV191" s="16"/>
      <c r="AW191" s="27"/>
      <c r="AX191" s="16"/>
      <c r="AY191" s="27"/>
      <c r="AZ191" s="16"/>
      <c r="BA191" s="27"/>
      <c r="BB191" s="16"/>
      <c r="BC191" s="27"/>
      <c r="BD191" s="16"/>
      <c r="BE191" s="27"/>
      <c r="BF191" s="16"/>
      <c r="BG191" s="27"/>
      <c r="BH191" s="16"/>
      <c r="BI191" s="27"/>
      <c r="BJ191" s="16"/>
    </row>
    <row r="192" ht="18.0" customHeight="1">
      <c r="A192" s="1"/>
      <c r="B192" s="13" t="s">
        <v>212</v>
      </c>
      <c r="C192" s="27"/>
      <c r="D192" s="16"/>
      <c r="E192" s="27"/>
      <c r="F192" s="16"/>
      <c r="G192" s="27"/>
      <c r="H192" s="16"/>
      <c r="I192" s="27"/>
      <c r="J192" s="16"/>
      <c r="K192" s="27"/>
      <c r="L192" s="16"/>
      <c r="M192" s="27"/>
      <c r="N192" s="16"/>
      <c r="O192" s="27"/>
      <c r="P192" s="16"/>
      <c r="Q192" s="27"/>
      <c r="R192" s="16"/>
      <c r="S192" s="27"/>
      <c r="T192" s="16"/>
      <c r="U192" s="27"/>
      <c r="V192" s="16"/>
      <c r="W192" s="27"/>
      <c r="X192" s="16"/>
      <c r="Y192" s="27"/>
      <c r="Z192" s="16"/>
      <c r="AA192" s="27"/>
      <c r="AB192" s="16"/>
      <c r="AC192" s="27"/>
      <c r="AD192" s="16"/>
      <c r="AE192" s="27"/>
      <c r="AF192" s="16"/>
      <c r="AG192" s="27"/>
      <c r="AH192" s="16"/>
      <c r="AI192" s="27"/>
      <c r="AJ192" s="16"/>
      <c r="AK192" s="27"/>
      <c r="AL192" s="16"/>
      <c r="AM192" s="27"/>
      <c r="AN192" s="16"/>
      <c r="AO192" s="27"/>
      <c r="AP192" s="16"/>
      <c r="AQ192" s="27"/>
      <c r="AR192" s="16"/>
      <c r="AS192" s="27"/>
      <c r="AT192" s="16"/>
      <c r="AU192" s="27"/>
      <c r="AV192" s="16"/>
      <c r="AW192" s="27"/>
      <c r="AX192" s="16"/>
      <c r="AY192" s="27"/>
      <c r="AZ192" s="16"/>
      <c r="BA192" s="27"/>
      <c r="BB192" s="16"/>
      <c r="BC192" s="27"/>
      <c r="BD192" s="16"/>
      <c r="BE192" s="27"/>
      <c r="BF192" s="16"/>
      <c r="BG192" s="27"/>
      <c r="BH192" s="16"/>
      <c r="BI192" s="27"/>
      <c r="BJ192" s="16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6"/>
      <c r="E194" s="27"/>
      <c r="F194" s="16"/>
      <c r="G194" s="27"/>
      <c r="H194" s="16"/>
      <c r="I194" s="27"/>
      <c r="J194" s="16"/>
      <c r="K194" s="27"/>
      <c r="L194" s="16"/>
      <c r="M194" s="27"/>
      <c r="N194" s="16"/>
      <c r="O194" s="27"/>
      <c r="P194" s="16"/>
      <c r="Q194" s="27"/>
      <c r="R194" s="16"/>
      <c r="S194" s="27"/>
      <c r="T194" s="16"/>
      <c r="U194" s="27"/>
      <c r="V194" s="16"/>
      <c r="W194" s="27"/>
      <c r="X194" s="16"/>
      <c r="Y194" s="27"/>
      <c r="Z194" s="16"/>
      <c r="AA194" s="27"/>
      <c r="AB194" s="16"/>
      <c r="AC194" s="27"/>
      <c r="AD194" s="16"/>
      <c r="AE194" s="27"/>
      <c r="AF194" s="16"/>
      <c r="AG194" s="27"/>
      <c r="AH194" s="16"/>
      <c r="AI194" s="27"/>
      <c r="AJ194" s="16"/>
      <c r="AK194" s="27"/>
      <c r="AL194" s="16"/>
      <c r="AM194" s="27"/>
      <c r="AN194" s="16"/>
      <c r="AO194" s="27"/>
      <c r="AP194" s="16"/>
      <c r="AQ194" s="27"/>
      <c r="AR194" s="16"/>
      <c r="AS194" s="27"/>
      <c r="AT194" s="16"/>
      <c r="AU194" s="27"/>
      <c r="AV194" s="16"/>
      <c r="AW194" s="27"/>
      <c r="AX194" s="16"/>
      <c r="AY194" s="27"/>
      <c r="AZ194" s="16"/>
      <c r="BA194" s="27"/>
      <c r="BB194" s="16"/>
      <c r="BC194" s="27"/>
      <c r="BD194" s="16"/>
      <c r="BE194" s="27"/>
      <c r="BF194" s="16"/>
      <c r="BG194" s="27"/>
      <c r="BH194" s="16"/>
      <c r="BI194" s="27"/>
      <c r="BJ194" s="16"/>
    </row>
    <row r="195" ht="18.0" customHeight="1">
      <c r="A195" s="1"/>
      <c r="B195" s="13" t="s">
        <v>215</v>
      </c>
      <c r="C195" s="27"/>
      <c r="D195" s="16"/>
      <c r="E195" s="27"/>
      <c r="F195" s="16"/>
      <c r="G195" s="27"/>
      <c r="H195" s="16"/>
      <c r="I195" s="27"/>
      <c r="J195" s="16"/>
      <c r="K195" s="27"/>
      <c r="L195" s="16"/>
      <c r="M195" s="27"/>
      <c r="N195" s="16"/>
      <c r="O195" s="27"/>
      <c r="P195" s="16"/>
      <c r="Q195" s="27"/>
      <c r="R195" s="16"/>
      <c r="S195" s="27"/>
      <c r="T195" s="16"/>
      <c r="U195" s="27"/>
      <c r="V195" s="16"/>
      <c r="W195" s="27"/>
      <c r="X195" s="16"/>
      <c r="Y195" s="27"/>
      <c r="Z195" s="16"/>
      <c r="AA195" s="27"/>
      <c r="AB195" s="16"/>
      <c r="AC195" s="27"/>
      <c r="AD195" s="16"/>
      <c r="AE195" s="27"/>
      <c r="AF195" s="16"/>
      <c r="AG195" s="27"/>
      <c r="AH195" s="16"/>
      <c r="AI195" s="27"/>
      <c r="AJ195" s="16"/>
      <c r="AK195" s="27"/>
      <c r="AL195" s="16"/>
      <c r="AM195" s="27"/>
      <c r="AN195" s="16"/>
      <c r="AO195" s="27"/>
      <c r="AP195" s="16"/>
      <c r="AQ195" s="27"/>
      <c r="AR195" s="16"/>
      <c r="AS195" s="27"/>
      <c r="AT195" s="16"/>
      <c r="AU195" s="27"/>
      <c r="AV195" s="16"/>
      <c r="AW195" s="27"/>
      <c r="AX195" s="16"/>
      <c r="AY195" s="27"/>
      <c r="AZ195" s="16"/>
      <c r="BA195" s="27"/>
      <c r="BB195" s="16"/>
      <c r="BC195" s="27"/>
      <c r="BD195" s="16"/>
      <c r="BE195" s="27"/>
      <c r="BF195" s="16"/>
      <c r="BG195" s="27"/>
      <c r="BH195" s="16"/>
      <c r="BI195" s="27"/>
      <c r="BJ195" s="16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6"/>
      <c r="E197" s="27"/>
      <c r="F197" s="16"/>
      <c r="G197" s="27"/>
      <c r="H197" s="16"/>
      <c r="I197" s="27"/>
      <c r="J197" s="16"/>
      <c r="K197" s="27"/>
      <c r="L197" s="16"/>
      <c r="M197" s="27"/>
      <c r="N197" s="16"/>
      <c r="O197" s="27"/>
      <c r="P197" s="16"/>
      <c r="Q197" s="27"/>
      <c r="R197" s="16"/>
      <c r="S197" s="27"/>
      <c r="T197" s="16"/>
      <c r="U197" s="27"/>
      <c r="V197" s="16"/>
      <c r="W197" s="27"/>
      <c r="X197" s="16"/>
      <c r="Y197" s="27"/>
      <c r="Z197" s="16"/>
      <c r="AA197" s="27"/>
      <c r="AB197" s="16"/>
      <c r="AC197" s="27"/>
      <c r="AD197" s="16"/>
      <c r="AE197" s="27"/>
      <c r="AF197" s="16"/>
      <c r="AG197" s="27"/>
      <c r="AH197" s="16"/>
      <c r="AI197" s="27"/>
      <c r="AJ197" s="16"/>
      <c r="AK197" s="27"/>
      <c r="AL197" s="16"/>
      <c r="AM197" s="27"/>
      <c r="AN197" s="16"/>
      <c r="AO197" s="27"/>
      <c r="AP197" s="16"/>
      <c r="AQ197" s="27"/>
      <c r="AR197" s="16"/>
      <c r="AS197" s="27"/>
      <c r="AT197" s="16"/>
      <c r="AU197" s="27"/>
      <c r="AV197" s="16"/>
      <c r="AW197" s="27"/>
      <c r="AX197" s="16"/>
      <c r="AY197" s="27"/>
      <c r="AZ197" s="16"/>
      <c r="BA197" s="27"/>
      <c r="BB197" s="16"/>
      <c r="BC197" s="27"/>
      <c r="BD197" s="16"/>
      <c r="BE197" s="27"/>
      <c r="BF197" s="16"/>
      <c r="BG197" s="27"/>
      <c r="BH197" s="16"/>
      <c r="BI197" s="27"/>
      <c r="BJ197" s="16"/>
    </row>
    <row r="198" ht="18.0" customHeight="1">
      <c r="A198" s="1"/>
      <c r="B198" s="13" t="s">
        <v>218</v>
      </c>
      <c r="C198" s="27"/>
      <c r="D198" s="16"/>
      <c r="E198" s="27"/>
      <c r="F198" s="16"/>
      <c r="G198" s="27"/>
      <c r="H198" s="16"/>
      <c r="I198" s="27"/>
      <c r="J198" s="16"/>
      <c r="K198" s="27"/>
      <c r="L198" s="16"/>
      <c r="M198" s="27"/>
      <c r="N198" s="16"/>
      <c r="O198" s="27"/>
      <c r="P198" s="16"/>
      <c r="Q198" s="27"/>
      <c r="R198" s="16"/>
      <c r="S198" s="27"/>
      <c r="T198" s="16"/>
      <c r="U198" s="27"/>
      <c r="V198" s="16"/>
      <c r="W198" s="27"/>
      <c r="X198" s="16"/>
      <c r="Y198" s="27"/>
      <c r="Z198" s="16"/>
      <c r="AA198" s="27"/>
      <c r="AB198" s="16"/>
      <c r="AC198" s="27"/>
      <c r="AD198" s="16"/>
      <c r="AE198" s="27"/>
      <c r="AF198" s="16"/>
      <c r="AG198" s="27"/>
      <c r="AH198" s="16"/>
      <c r="AI198" s="27"/>
      <c r="AJ198" s="16"/>
      <c r="AK198" s="27"/>
      <c r="AL198" s="16"/>
      <c r="AM198" s="27"/>
      <c r="AN198" s="16"/>
      <c r="AO198" s="27"/>
      <c r="AP198" s="16"/>
      <c r="AQ198" s="27"/>
      <c r="AR198" s="16"/>
      <c r="AS198" s="27"/>
      <c r="AT198" s="16"/>
      <c r="AU198" s="27"/>
      <c r="AV198" s="16"/>
      <c r="AW198" s="27"/>
      <c r="AX198" s="16"/>
      <c r="AY198" s="27"/>
      <c r="AZ198" s="16"/>
      <c r="BA198" s="27"/>
      <c r="BB198" s="16"/>
      <c r="BC198" s="27"/>
      <c r="BD198" s="16"/>
      <c r="BE198" s="27"/>
      <c r="BF198" s="16"/>
      <c r="BG198" s="27"/>
      <c r="BH198" s="16"/>
      <c r="BI198" s="27"/>
      <c r="BJ198" s="16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6"/>
      <c r="E201" s="27"/>
      <c r="F201" s="16"/>
      <c r="G201" s="27"/>
      <c r="H201" s="16"/>
      <c r="I201" s="27"/>
      <c r="J201" s="16"/>
      <c r="K201" s="27"/>
      <c r="L201" s="16"/>
      <c r="M201" s="27"/>
      <c r="N201" s="16"/>
      <c r="O201" s="27"/>
      <c r="P201" s="16"/>
      <c r="Q201" s="27"/>
      <c r="R201" s="16"/>
      <c r="S201" s="27"/>
      <c r="T201" s="16"/>
      <c r="U201" s="27"/>
      <c r="V201" s="16"/>
      <c r="W201" s="27"/>
      <c r="X201" s="16"/>
      <c r="Y201" s="27"/>
      <c r="Z201" s="16"/>
      <c r="AA201" s="27"/>
      <c r="AB201" s="16"/>
      <c r="AC201" s="27"/>
      <c r="AD201" s="16"/>
      <c r="AE201" s="27"/>
      <c r="AF201" s="16"/>
      <c r="AG201" s="27"/>
      <c r="AH201" s="16"/>
      <c r="AI201" s="27"/>
      <c r="AJ201" s="16"/>
      <c r="AK201" s="27"/>
      <c r="AL201" s="16"/>
      <c r="AM201" s="27"/>
      <c r="AN201" s="16"/>
      <c r="AO201" s="27"/>
      <c r="AP201" s="16"/>
      <c r="AQ201" s="27"/>
      <c r="AR201" s="16"/>
      <c r="AS201" s="27"/>
      <c r="AT201" s="16"/>
      <c r="AU201" s="27"/>
      <c r="AV201" s="16"/>
      <c r="AW201" s="27"/>
      <c r="AX201" s="16"/>
      <c r="AY201" s="27"/>
      <c r="AZ201" s="16"/>
      <c r="BA201" s="27"/>
      <c r="BB201" s="16"/>
      <c r="BC201" s="27"/>
      <c r="BD201" s="16"/>
      <c r="BE201" s="27"/>
      <c r="BF201" s="16"/>
      <c r="BG201" s="27"/>
      <c r="BH201" s="16"/>
      <c r="BI201" s="27"/>
      <c r="BJ201" s="16"/>
    </row>
    <row r="202" ht="18.0" customHeight="1">
      <c r="A202" s="1"/>
      <c r="B202" s="13" t="s">
        <v>222</v>
      </c>
      <c r="C202" s="27"/>
      <c r="D202" s="16"/>
      <c r="E202" s="27"/>
      <c r="F202" s="16"/>
      <c r="G202" s="27"/>
      <c r="H202" s="16"/>
      <c r="I202" s="27"/>
      <c r="J202" s="16"/>
      <c r="K202" s="27"/>
      <c r="L202" s="16"/>
      <c r="M202" s="27"/>
      <c r="N202" s="16"/>
      <c r="O202" s="27"/>
      <c r="P202" s="16"/>
      <c r="Q202" s="27"/>
      <c r="R202" s="16"/>
      <c r="S202" s="27"/>
      <c r="T202" s="16"/>
      <c r="U202" s="27"/>
      <c r="V202" s="16"/>
      <c r="W202" s="27"/>
      <c r="X202" s="16"/>
      <c r="Y202" s="27"/>
      <c r="Z202" s="16"/>
      <c r="AA202" s="27"/>
      <c r="AB202" s="16"/>
      <c r="AC202" s="27"/>
      <c r="AD202" s="16"/>
      <c r="AE202" s="27"/>
      <c r="AF202" s="16"/>
      <c r="AG202" s="27"/>
      <c r="AH202" s="16"/>
      <c r="AI202" s="27"/>
      <c r="AJ202" s="16"/>
      <c r="AK202" s="27"/>
      <c r="AL202" s="16"/>
      <c r="AM202" s="27"/>
      <c r="AN202" s="16"/>
      <c r="AO202" s="27"/>
      <c r="AP202" s="16"/>
      <c r="AQ202" s="27"/>
      <c r="AR202" s="16"/>
      <c r="AS202" s="27"/>
      <c r="AT202" s="16"/>
      <c r="AU202" s="27"/>
      <c r="AV202" s="16"/>
      <c r="AW202" s="27"/>
      <c r="AX202" s="16"/>
      <c r="AY202" s="27"/>
      <c r="AZ202" s="16"/>
      <c r="BA202" s="27"/>
      <c r="BB202" s="16"/>
      <c r="BC202" s="27"/>
      <c r="BD202" s="16"/>
      <c r="BE202" s="27"/>
      <c r="BF202" s="16"/>
      <c r="BG202" s="27"/>
      <c r="BH202" s="16"/>
      <c r="BI202" s="27"/>
      <c r="BJ202" s="16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6"/>
      <c r="E204" s="27"/>
      <c r="F204" s="16"/>
      <c r="G204" s="27"/>
      <c r="H204" s="16"/>
      <c r="I204" s="27"/>
      <c r="J204" s="16"/>
      <c r="K204" s="27"/>
      <c r="L204" s="16"/>
      <c r="M204" s="27"/>
      <c r="N204" s="16"/>
      <c r="O204" s="27"/>
      <c r="P204" s="16"/>
      <c r="Q204" s="27"/>
      <c r="R204" s="16"/>
      <c r="S204" s="27"/>
      <c r="T204" s="16"/>
      <c r="U204" s="27"/>
      <c r="V204" s="16"/>
      <c r="W204" s="27"/>
      <c r="X204" s="16"/>
      <c r="Y204" s="27"/>
      <c r="Z204" s="16"/>
      <c r="AA204" s="27"/>
      <c r="AB204" s="16"/>
      <c r="AC204" s="27"/>
      <c r="AD204" s="16"/>
      <c r="AE204" s="27"/>
      <c r="AF204" s="16"/>
      <c r="AG204" s="27"/>
      <c r="AH204" s="16"/>
      <c r="AI204" s="27"/>
      <c r="AJ204" s="16"/>
      <c r="AK204" s="27"/>
      <c r="AL204" s="16"/>
      <c r="AM204" s="27"/>
      <c r="AN204" s="16"/>
      <c r="AO204" s="27"/>
      <c r="AP204" s="16"/>
      <c r="AQ204" s="27"/>
      <c r="AR204" s="16"/>
      <c r="AS204" s="27"/>
      <c r="AT204" s="16"/>
      <c r="AU204" s="27"/>
      <c r="AV204" s="16"/>
      <c r="AW204" s="27"/>
      <c r="AX204" s="16"/>
      <c r="AY204" s="27"/>
      <c r="AZ204" s="16"/>
      <c r="BA204" s="27"/>
      <c r="BB204" s="16"/>
      <c r="BC204" s="27"/>
      <c r="BD204" s="16"/>
      <c r="BE204" s="27"/>
      <c r="BF204" s="16"/>
      <c r="BG204" s="27"/>
      <c r="BH204" s="16"/>
      <c r="BI204" s="27"/>
      <c r="BJ204" s="16"/>
    </row>
    <row r="205" ht="18.0" customHeight="1">
      <c r="A205" s="1"/>
      <c r="B205" s="13" t="s">
        <v>225</v>
      </c>
      <c r="C205" s="27"/>
      <c r="D205" s="16"/>
      <c r="E205" s="27"/>
      <c r="F205" s="16"/>
      <c r="G205" s="27"/>
      <c r="H205" s="16"/>
      <c r="I205" s="27"/>
      <c r="J205" s="16"/>
      <c r="K205" s="27"/>
      <c r="L205" s="16"/>
      <c r="M205" s="27"/>
      <c r="N205" s="16"/>
      <c r="O205" s="27"/>
      <c r="P205" s="16"/>
      <c r="Q205" s="27"/>
      <c r="R205" s="16"/>
      <c r="S205" s="27"/>
      <c r="T205" s="16"/>
      <c r="U205" s="27"/>
      <c r="V205" s="16"/>
      <c r="W205" s="27"/>
      <c r="X205" s="16"/>
      <c r="Y205" s="27"/>
      <c r="Z205" s="16"/>
      <c r="AA205" s="27"/>
      <c r="AB205" s="16"/>
      <c r="AC205" s="27"/>
      <c r="AD205" s="16"/>
      <c r="AE205" s="27"/>
      <c r="AF205" s="16"/>
      <c r="AG205" s="27"/>
      <c r="AH205" s="16"/>
      <c r="AI205" s="27"/>
      <c r="AJ205" s="16"/>
      <c r="AK205" s="27"/>
      <c r="AL205" s="16"/>
      <c r="AM205" s="27"/>
      <c r="AN205" s="16"/>
      <c r="AO205" s="27"/>
      <c r="AP205" s="16"/>
      <c r="AQ205" s="27"/>
      <c r="AR205" s="16"/>
      <c r="AS205" s="27"/>
      <c r="AT205" s="16"/>
      <c r="AU205" s="27"/>
      <c r="AV205" s="16"/>
      <c r="AW205" s="27"/>
      <c r="AX205" s="16"/>
      <c r="AY205" s="27"/>
      <c r="AZ205" s="16"/>
      <c r="BA205" s="27"/>
      <c r="BB205" s="16"/>
      <c r="BC205" s="27"/>
      <c r="BD205" s="16"/>
      <c r="BE205" s="27"/>
      <c r="BF205" s="16"/>
      <c r="BG205" s="27"/>
      <c r="BH205" s="16"/>
      <c r="BI205" s="27"/>
      <c r="BJ205" s="16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6"/>
      <c r="E207" s="27"/>
      <c r="F207" s="16"/>
      <c r="G207" s="27"/>
      <c r="H207" s="16"/>
      <c r="I207" s="27"/>
      <c r="J207" s="16"/>
      <c r="K207" s="27"/>
      <c r="L207" s="16"/>
      <c r="M207" s="27"/>
      <c r="N207" s="16"/>
      <c r="O207" s="27"/>
      <c r="P207" s="16"/>
      <c r="Q207" s="27"/>
      <c r="R207" s="16"/>
      <c r="S207" s="27"/>
      <c r="T207" s="16"/>
      <c r="U207" s="27"/>
      <c r="V207" s="16"/>
      <c r="W207" s="27"/>
      <c r="X207" s="16"/>
      <c r="Y207" s="27"/>
      <c r="Z207" s="16"/>
      <c r="AA207" s="27"/>
      <c r="AB207" s="16"/>
      <c r="AC207" s="27"/>
      <c r="AD207" s="16"/>
      <c r="AE207" s="27"/>
      <c r="AF207" s="16"/>
      <c r="AG207" s="27"/>
      <c r="AH207" s="16"/>
      <c r="AI207" s="27"/>
      <c r="AJ207" s="16"/>
      <c r="AK207" s="27"/>
      <c r="AL207" s="16"/>
      <c r="AM207" s="27"/>
      <c r="AN207" s="16"/>
      <c r="AO207" s="27"/>
      <c r="AP207" s="16"/>
      <c r="AQ207" s="27"/>
      <c r="AR207" s="16"/>
      <c r="AS207" s="27"/>
      <c r="AT207" s="16"/>
      <c r="AU207" s="27"/>
      <c r="AV207" s="16"/>
      <c r="AW207" s="27"/>
      <c r="AX207" s="16"/>
      <c r="AY207" s="27"/>
      <c r="AZ207" s="16"/>
      <c r="BA207" s="27"/>
      <c r="BB207" s="16"/>
      <c r="BC207" s="27"/>
      <c r="BD207" s="16"/>
      <c r="BE207" s="27"/>
      <c r="BF207" s="16"/>
      <c r="BG207" s="27"/>
      <c r="BH207" s="16"/>
      <c r="BI207" s="27"/>
      <c r="BJ207" s="16"/>
    </row>
    <row r="208" ht="18.0" customHeight="1">
      <c r="A208" s="1"/>
      <c r="B208" s="13" t="s">
        <v>228</v>
      </c>
      <c r="C208" s="27"/>
      <c r="D208" s="16"/>
      <c r="E208" s="27"/>
      <c r="F208" s="16"/>
      <c r="G208" s="27"/>
      <c r="H208" s="16"/>
      <c r="I208" s="27"/>
      <c r="J208" s="16"/>
      <c r="K208" s="27"/>
      <c r="L208" s="16"/>
      <c r="M208" s="27"/>
      <c r="N208" s="16"/>
      <c r="O208" s="27"/>
      <c r="P208" s="16"/>
      <c r="Q208" s="27"/>
      <c r="R208" s="16"/>
      <c r="S208" s="27"/>
      <c r="T208" s="16"/>
      <c r="U208" s="27"/>
      <c r="V208" s="16"/>
      <c r="W208" s="27"/>
      <c r="X208" s="16"/>
      <c r="Y208" s="27"/>
      <c r="Z208" s="16"/>
      <c r="AA208" s="27"/>
      <c r="AB208" s="16"/>
      <c r="AC208" s="27"/>
      <c r="AD208" s="16"/>
      <c r="AE208" s="27"/>
      <c r="AF208" s="16"/>
      <c r="AG208" s="27"/>
      <c r="AH208" s="16"/>
      <c r="AI208" s="27"/>
      <c r="AJ208" s="16"/>
      <c r="AK208" s="27"/>
      <c r="AL208" s="16"/>
      <c r="AM208" s="27"/>
      <c r="AN208" s="16"/>
      <c r="AO208" s="27"/>
      <c r="AP208" s="16"/>
      <c r="AQ208" s="27"/>
      <c r="AR208" s="16"/>
      <c r="AS208" s="27"/>
      <c r="AT208" s="16"/>
      <c r="AU208" s="27"/>
      <c r="AV208" s="16"/>
      <c r="AW208" s="27"/>
      <c r="AX208" s="16"/>
      <c r="AY208" s="27"/>
      <c r="AZ208" s="16"/>
      <c r="BA208" s="27"/>
      <c r="BB208" s="16"/>
      <c r="BC208" s="27"/>
      <c r="BD208" s="16"/>
      <c r="BE208" s="27"/>
      <c r="BF208" s="16"/>
      <c r="BG208" s="27"/>
      <c r="BH208" s="16"/>
      <c r="BI208" s="27"/>
      <c r="BJ208" s="16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6"/>
      <c r="E210" s="27"/>
      <c r="F210" s="16"/>
      <c r="G210" s="27"/>
      <c r="H210" s="16"/>
      <c r="I210" s="27"/>
      <c r="J210" s="16"/>
      <c r="K210" s="27"/>
      <c r="L210" s="16"/>
      <c r="M210" s="27"/>
      <c r="N210" s="16"/>
      <c r="O210" s="27"/>
      <c r="P210" s="16"/>
      <c r="Q210" s="27"/>
      <c r="R210" s="16"/>
      <c r="S210" s="27"/>
      <c r="T210" s="16"/>
      <c r="U210" s="27"/>
      <c r="V210" s="16"/>
      <c r="W210" s="27"/>
      <c r="X210" s="16"/>
      <c r="Y210" s="27"/>
      <c r="Z210" s="16"/>
      <c r="AA210" s="27"/>
      <c r="AB210" s="16"/>
      <c r="AC210" s="27"/>
      <c r="AD210" s="16"/>
      <c r="AE210" s="27"/>
      <c r="AF210" s="16"/>
      <c r="AG210" s="27"/>
      <c r="AH210" s="16"/>
      <c r="AI210" s="27"/>
      <c r="AJ210" s="16"/>
      <c r="AK210" s="27"/>
      <c r="AL210" s="16"/>
      <c r="AM210" s="27"/>
      <c r="AN210" s="16"/>
      <c r="AO210" s="27"/>
      <c r="AP210" s="16"/>
      <c r="AQ210" s="27"/>
      <c r="AR210" s="16"/>
      <c r="AS210" s="27"/>
      <c r="AT210" s="16"/>
      <c r="AU210" s="27"/>
      <c r="AV210" s="16"/>
      <c r="AW210" s="27"/>
      <c r="AX210" s="16"/>
      <c r="AY210" s="27"/>
      <c r="AZ210" s="16"/>
      <c r="BA210" s="27"/>
      <c r="BB210" s="16"/>
      <c r="BC210" s="27"/>
      <c r="BD210" s="16"/>
      <c r="BE210" s="27"/>
      <c r="BF210" s="16"/>
      <c r="BG210" s="27"/>
      <c r="BH210" s="16"/>
      <c r="BI210" s="27"/>
      <c r="BJ210" s="16"/>
    </row>
    <row r="211" ht="18.0" customHeight="1">
      <c r="A211" s="1"/>
      <c r="B211" s="13" t="s">
        <v>231</v>
      </c>
      <c r="C211" s="27"/>
      <c r="D211" s="16"/>
      <c r="E211" s="27"/>
      <c r="F211" s="16"/>
      <c r="G211" s="27"/>
      <c r="H211" s="16"/>
      <c r="I211" s="27"/>
      <c r="J211" s="16"/>
      <c r="K211" s="27"/>
      <c r="L211" s="16"/>
      <c r="M211" s="27"/>
      <c r="N211" s="16"/>
      <c r="O211" s="27"/>
      <c r="P211" s="16"/>
      <c r="Q211" s="27"/>
      <c r="R211" s="16"/>
      <c r="S211" s="27"/>
      <c r="T211" s="16"/>
      <c r="U211" s="27"/>
      <c r="V211" s="16"/>
      <c r="W211" s="27"/>
      <c r="X211" s="16"/>
      <c r="Y211" s="27"/>
      <c r="Z211" s="16"/>
      <c r="AA211" s="27"/>
      <c r="AB211" s="16"/>
      <c r="AC211" s="27"/>
      <c r="AD211" s="16"/>
      <c r="AE211" s="27"/>
      <c r="AF211" s="16"/>
      <c r="AG211" s="27"/>
      <c r="AH211" s="16"/>
      <c r="AI211" s="27"/>
      <c r="AJ211" s="16"/>
      <c r="AK211" s="27"/>
      <c r="AL211" s="16"/>
      <c r="AM211" s="27"/>
      <c r="AN211" s="16"/>
      <c r="AO211" s="27"/>
      <c r="AP211" s="16"/>
      <c r="AQ211" s="27"/>
      <c r="AR211" s="16"/>
      <c r="AS211" s="27"/>
      <c r="AT211" s="16"/>
      <c r="AU211" s="27"/>
      <c r="AV211" s="16"/>
      <c r="AW211" s="27"/>
      <c r="AX211" s="16"/>
      <c r="AY211" s="27"/>
      <c r="AZ211" s="16"/>
      <c r="BA211" s="27"/>
      <c r="BB211" s="16"/>
      <c r="BC211" s="27"/>
      <c r="BD211" s="16"/>
      <c r="BE211" s="27"/>
      <c r="BF211" s="16"/>
      <c r="BG211" s="27"/>
      <c r="BH211" s="16"/>
      <c r="BI211" s="27"/>
      <c r="BJ211" s="16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6"/>
      <c r="E214" s="27"/>
      <c r="F214" s="16"/>
      <c r="G214" s="27"/>
      <c r="H214" s="16"/>
      <c r="I214" s="27"/>
      <c r="J214" s="16"/>
      <c r="K214" s="27"/>
      <c r="L214" s="16"/>
      <c r="M214" s="27"/>
      <c r="N214" s="16"/>
      <c r="O214" s="27"/>
      <c r="P214" s="16"/>
      <c r="Q214" s="27"/>
      <c r="R214" s="16"/>
      <c r="S214" s="27"/>
      <c r="T214" s="16"/>
      <c r="U214" s="27"/>
      <c r="V214" s="16"/>
      <c r="W214" s="27"/>
      <c r="X214" s="16"/>
      <c r="Y214" s="27"/>
      <c r="Z214" s="16"/>
      <c r="AA214" s="27"/>
      <c r="AB214" s="16"/>
      <c r="AC214" s="27"/>
      <c r="AD214" s="16"/>
      <c r="AE214" s="27"/>
      <c r="AF214" s="16"/>
      <c r="AG214" s="27"/>
      <c r="AH214" s="16"/>
      <c r="AI214" s="27"/>
      <c r="AJ214" s="16"/>
      <c r="AK214" s="27"/>
      <c r="AL214" s="16"/>
      <c r="AM214" s="27"/>
      <c r="AN214" s="16"/>
      <c r="AO214" s="27"/>
      <c r="AP214" s="16"/>
      <c r="AQ214" s="27"/>
      <c r="AR214" s="16"/>
      <c r="AS214" s="27"/>
      <c r="AT214" s="16"/>
      <c r="AU214" s="27"/>
      <c r="AV214" s="16"/>
      <c r="AW214" s="27"/>
      <c r="AX214" s="16"/>
      <c r="AY214" s="27"/>
      <c r="AZ214" s="16"/>
      <c r="BA214" s="27"/>
      <c r="BB214" s="16"/>
      <c r="BC214" s="27"/>
      <c r="BD214" s="16"/>
      <c r="BE214" s="27"/>
      <c r="BF214" s="16"/>
      <c r="BG214" s="27"/>
      <c r="BH214" s="16"/>
      <c r="BI214" s="27"/>
      <c r="BJ214" s="16"/>
    </row>
    <row r="215" ht="18.0" customHeight="1">
      <c r="A215" s="1"/>
      <c r="B215" s="13" t="s">
        <v>235</v>
      </c>
      <c r="C215" s="27"/>
      <c r="D215" s="16"/>
      <c r="E215" s="27"/>
      <c r="F215" s="16"/>
      <c r="G215" s="27"/>
      <c r="H215" s="16"/>
      <c r="I215" s="27"/>
      <c r="J215" s="16"/>
      <c r="K215" s="27"/>
      <c r="L215" s="16"/>
      <c r="M215" s="27"/>
      <c r="N215" s="16"/>
      <c r="O215" s="27"/>
      <c r="P215" s="16"/>
      <c r="Q215" s="27"/>
      <c r="R215" s="16"/>
      <c r="S215" s="27"/>
      <c r="T215" s="16"/>
      <c r="U215" s="27"/>
      <c r="V215" s="16"/>
      <c r="W215" s="27"/>
      <c r="X215" s="16"/>
      <c r="Y215" s="27"/>
      <c r="Z215" s="16"/>
      <c r="AA215" s="27"/>
      <c r="AB215" s="16"/>
      <c r="AC215" s="27"/>
      <c r="AD215" s="16"/>
      <c r="AE215" s="27"/>
      <c r="AF215" s="16"/>
      <c r="AG215" s="27"/>
      <c r="AH215" s="16"/>
      <c r="AI215" s="27"/>
      <c r="AJ215" s="16"/>
      <c r="AK215" s="27"/>
      <c r="AL215" s="16"/>
      <c r="AM215" s="27"/>
      <c r="AN215" s="16"/>
      <c r="AO215" s="27"/>
      <c r="AP215" s="16"/>
      <c r="AQ215" s="27"/>
      <c r="AR215" s="16"/>
      <c r="AS215" s="27"/>
      <c r="AT215" s="16"/>
      <c r="AU215" s="27"/>
      <c r="AV215" s="16"/>
      <c r="AW215" s="27"/>
      <c r="AX215" s="16"/>
      <c r="AY215" s="27"/>
      <c r="AZ215" s="16"/>
      <c r="BA215" s="27"/>
      <c r="BB215" s="16"/>
      <c r="BC215" s="27"/>
      <c r="BD215" s="16"/>
      <c r="BE215" s="27"/>
      <c r="BF215" s="16"/>
      <c r="BG215" s="27"/>
      <c r="BH215" s="16"/>
      <c r="BI215" s="27"/>
      <c r="BJ215" s="16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6"/>
      <c r="E217" s="27"/>
      <c r="F217" s="16"/>
      <c r="G217" s="27"/>
      <c r="H217" s="16"/>
      <c r="I217" s="27"/>
      <c r="J217" s="16"/>
      <c r="K217" s="27"/>
      <c r="L217" s="16"/>
      <c r="M217" s="27"/>
      <c r="N217" s="16"/>
      <c r="O217" s="27"/>
      <c r="P217" s="16"/>
      <c r="Q217" s="27"/>
      <c r="R217" s="16"/>
      <c r="S217" s="27"/>
      <c r="T217" s="16"/>
      <c r="U217" s="27"/>
      <c r="V217" s="16"/>
      <c r="W217" s="27"/>
      <c r="X217" s="16"/>
      <c r="Y217" s="27"/>
      <c r="Z217" s="16"/>
      <c r="AA217" s="27"/>
      <c r="AB217" s="16"/>
      <c r="AC217" s="27"/>
      <c r="AD217" s="16"/>
      <c r="AE217" s="27"/>
      <c r="AF217" s="16"/>
      <c r="AG217" s="27"/>
      <c r="AH217" s="16"/>
      <c r="AI217" s="27"/>
      <c r="AJ217" s="16"/>
      <c r="AK217" s="27"/>
      <c r="AL217" s="16"/>
      <c r="AM217" s="27"/>
      <c r="AN217" s="16"/>
      <c r="AO217" s="27"/>
      <c r="AP217" s="16"/>
      <c r="AQ217" s="27"/>
      <c r="AR217" s="16"/>
      <c r="AS217" s="27"/>
      <c r="AT217" s="16"/>
      <c r="AU217" s="27"/>
      <c r="AV217" s="16"/>
      <c r="AW217" s="27"/>
      <c r="AX217" s="16"/>
      <c r="AY217" s="27"/>
      <c r="AZ217" s="16"/>
      <c r="BA217" s="27"/>
      <c r="BB217" s="16"/>
      <c r="BC217" s="27"/>
      <c r="BD217" s="16"/>
      <c r="BE217" s="27"/>
      <c r="BF217" s="16"/>
      <c r="BG217" s="27"/>
      <c r="BH217" s="16"/>
      <c r="BI217" s="27"/>
      <c r="BJ217" s="16"/>
    </row>
    <row r="218" ht="18.0" customHeight="1">
      <c r="A218" s="1"/>
      <c r="B218" s="13" t="s">
        <v>238</v>
      </c>
      <c r="C218" s="27"/>
      <c r="D218" s="16"/>
      <c r="E218" s="27"/>
      <c r="F218" s="16"/>
      <c r="G218" s="27"/>
      <c r="H218" s="16"/>
      <c r="I218" s="27"/>
      <c r="J218" s="16"/>
      <c r="K218" s="27"/>
      <c r="L218" s="16"/>
      <c r="M218" s="27"/>
      <c r="N218" s="16"/>
      <c r="O218" s="27"/>
      <c r="P218" s="16"/>
      <c r="Q218" s="27"/>
      <c r="R218" s="16"/>
      <c r="S218" s="27"/>
      <c r="T218" s="16"/>
      <c r="U218" s="27"/>
      <c r="V218" s="16"/>
      <c r="W218" s="27"/>
      <c r="X218" s="16"/>
      <c r="Y218" s="27"/>
      <c r="Z218" s="16"/>
      <c r="AA218" s="27"/>
      <c r="AB218" s="16"/>
      <c r="AC218" s="27"/>
      <c r="AD218" s="16"/>
      <c r="AE218" s="27"/>
      <c r="AF218" s="16"/>
      <c r="AG218" s="27"/>
      <c r="AH218" s="16"/>
      <c r="AI218" s="27"/>
      <c r="AJ218" s="16"/>
      <c r="AK218" s="27"/>
      <c r="AL218" s="16"/>
      <c r="AM218" s="27"/>
      <c r="AN218" s="16"/>
      <c r="AO218" s="27"/>
      <c r="AP218" s="16"/>
      <c r="AQ218" s="27"/>
      <c r="AR218" s="16"/>
      <c r="AS218" s="27"/>
      <c r="AT218" s="16"/>
      <c r="AU218" s="27"/>
      <c r="AV218" s="16"/>
      <c r="AW218" s="27"/>
      <c r="AX218" s="16"/>
      <c r="AY218" s="27"/>
      <c r="AZ218" s="16"/>
      <c r="BA218" s="27"/>
      <c r="BB218" s="16"/>
      <c r="BC218" s="27"/>
      <c r="BD218" s="16"/>
      <c r="BE218" s="27"/>
      <c r="BF218" s="16"/>
      <c r="BG218" s="27"/>
      <c r="BH218" s="16"/>
      <c r="BI218" s="27"/>
      <c r="BJ218" s="16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6"/>
      <c r="E221" s="27"/>
      <c r="F221" s="16"/>
      <c r="G221" s="27"/>
      <c r="H221" s="16"/>
      <c r="I221" s="27"/>
      <c r="J221" s="16"/>
      <c r="K221" s="27"/>
      <c r="L221" s="16"/>
      <c r="M221" s="27"/>
      <c r="N221" s="16"/>
      <c r="O221" s="27"/>
      <c r="P221" s="16"/>
      <c r="Q221" s="27"/>
      <c r="R221" s="16"/>
      <c r="S221" s="27"/>
      <c r="T221" s="16"/>
      <c r="U221" s="27"/>
      <c r="V221" s="16"/>
      <c r="W221" s="27"/>
      <c r="X221" s="16"/>
      <c r="Y221" s="27"/>
      <c r="Z221" s="16"/>
      <c r="AA221" s="27"/>
      <c r="AB221" s="16"/>
      <c r="AC221" s="27"/>
      <c r="AD221" s="16"/>
      <c r="AE221" s="27"/>
      <c r="AF221" s="16"/>
      <c r="AG221" s="27"/>
      <c r="AH221" s="16"/>
      <c r="AI221" s="27"/>
      <c r="AJ221" s="16"/>
      <c r="AK221" s="27"/>
      <c r="AL221" s="16"/>
      <c r="AM221" s="27"/>
      <c r="AN221" s="16"/>
      <c r="AO221" s="27"/>
      <c r="AP221" s="16"/>
      <c r="AQ221" s="27"/>
      <c r="AR221" s="16"/>
      <c r="AS221" s="27"/>
      <c r="AT221" s="16"/>
      <c r="AU221" s="27"/>
      <c r="AV221" s="16"/>
      <c r="AW221" s="27"/>
      <c r="AX221" s="16"/>
      <c r="AY221" s="27"/>
      <c r="AZ221" s="16"/>
      <c r="BA221" s="27"/>
      <c r="BB221" s="16"/>
      <c r="BC221" s="27"/>
      <c r="BD221" s="16"/>
      <c r="BE221" s="27"/>
      <c r="BF221" s="16"/>
      <c r="BG221" s="27"/>
      <c r="BH221" s="16"/>
      <c r="BI221" s="27"/>
      <c r="BJ221" s="16"/>
    </row>
    <row r="222" ht="18.0" customHeight="1">
      <c r="A222" s="1"/>
      <c r="B222" s="13" t="s">
        <v>242</v>
      </c>
      <c r="C222" s="27"/>
      <c r="D222" s="16"/>
      <c r="E222" s="27"/>
      <c r="F222" s="16"/>
      <c r="G222" s="27"/>
      <c r="H222" s="16"/>
      <c r="I222" s="27"/>
      <c r="J222" s="16"/>
      <c r="K222" s="27"/>
      <c r="L222" s="16"/>
      <c r="M222" s="27"/>
      <c r="N222" s="16"/>
      <c r="O222" s="27"/>
      <c r="P222" s="16"/>
      <c r="Q222" s="27"/>
      <c r="R222" s="16"/>
      <c r="S222" s="27"/>
      <c r="T222" s="16"/>
      <c r="U222" s="27"/>
      <c r="V222" s="16"/>
      <c r="W222" s="27"/>
      <c r="X222" s="16"/>
      <c r="Y222" s="27"/>
      <c r="Z222" s="16"/>
      <c r="AA222" s="27"/>
      <c r="AB222" s="16"/>
      <c r="AC222" s="27"/>
      <c r="AD222" s="16"/>
      <c r="AE222" s="27"/>
      <c r="AF222" s="16"/>
      <c r="AG222" s="27"/>
      <c r="AH222" s="16"/>
      <c r="AI222" s="27"/>
      <c r="AJ222" s="16"/>
      <c r="AK222" s="27"/>
      <c r="AL222" s="16"/>
      <c r="AM222" s="27"/>
      <c r="AN222" s="16"/>
      <c r="AO222" s="27"/>
      <c r="AP222" s="16"/>
      <c r="AQ222" s="27"/>
      <c r="AR222" s="16"/>
      <c r="AS222" s="27"/>
      <c r="AT222" s="16"/>
      <c r="AU222" s="27"/>
      <c r="AV222" s="16"/>
      <c r="AW222" s="27"/>
      <c r="AX222" s="16"/>
      <c r="AY222" s="27"/>
      <c r="AZ222" s="16"/>
      <c r="BA222" s="27"/>
      <c r="BB222" s="16"/>
      <c r="BC222" s="27"/>
      <c r="BD222" s="16"/>
      <c r="BE222" s="27"/>
      <c r="BF222" s="16"/>
      <c r="BG222" s="27"/>
      <c r="BH222" s="16"/>
      <c r="BI222" s="27"/>
      <c r="BJ222" s="16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6"/>
      <c r="E224" s="27"/>
      <c r="F224" s="16"/>
      <c r="G224" s="27"/>
      <c r="H224" s="16"/>
      <c r="I224" s="27"/>
      <c r="J224" s="16"/>
      <c r="K224" s="27"/>
      <c r="L224" s="16"/>
      <c r="M224" s="27"/>
      <c r="N224" s="16"/>
      <c r="O224" s="27"/>
      <c r="P224" s="16"/>
      <c r="Q224" s="27"/>
      <c r="R224" s="16"/>
      <c r="S224" s="27"/>
      <c r="T224" s="16"/>
      <c r="U224" s="27"/>
      <c r="V224" s="16"/>
      <c r="W224" s="27"/>
      <c r="X224" s="16"/>
      <c r="Y224" s="27"/>
      <c r="Z224" s="16"/>
      <c r="AA224" s="27"/>
      <c r="AB224" s="16"/>
      <c r="AC224" s="27"/>
      <c r="AD224" s="16"/>
      <c r="AE224" s="27"/>
      <c r="AF224" s="16"/>
      <c r="AG224" s="27"/>
      <c r="AH224" s="16"/>
      <c r="AI224" s="27"/>
      <c r="AJ224" s="16"/>
      <c r="AK224" s="27"/>
      <c r="AL224" s="16"/>
      <c r="AM224" s="27"/>
      <c r="AN224" s="16"/>
      <c r="AO224" s="27"/>
      <c r="AP224" s="16"/>
      <c r="AQ224" s="27"/>
      <c r="AR224" s="16"/>
      <c r="AS224" s="27"/>
      <c r="AT224" s="16"/>
      <c r="AU224" s="27"/>
      <c r="AV224" s="16"/>
      <c r="AW224" s="27"/>
      <c r="AX224" s="16"/>
      <c r="AY224" s="27"/>
      <c r="AZ224" s="16"/>
      <c r="BA224" s="27"/>
      <c r="BB224" s="16"/>
      <c r="BC224" s="27"/>
      <c r="BD224" s="16"/>
      <c r="BE224" s="27"/>
      <c r="BF224" s="16"/>
      <c r="BG224" s="27"/>
      <c r="BH224" s="16"/>
      <c r="BI224" s="27"/>
      <c r="BJ224" s="16"/>
    </row>
    <row r="225" ht="18.0" customHeight="1">
      <c r="A225" s="1"/>
      <c r="B225" s="13" t="s">
        <v>245</v>
      </c>
      <c r="C225" s="27"/>
      <c r="D225" s="16"/>
      <c r="E225" s="27"/>
      <c r="F225" s="16"/>
      <c r="G225" s="27"/>
      <c r="H225" s="16"/>
      <c r="I225" s="27"/>
      <c r="J225" s="16"/>
      <c r="K225" s="27"/>
      <c r="L225" s="16"/>
      <c r="M225" s="27"/>
      <c r="N225" s="16"/>
      <c r="O225" s="27"/>
      <c r="P225" s="16"/>
      <c r="Q225" s="27"/>
      <c r="R225" s="16"/>
      <c r="S225" s="27"/>
      <c r="T225" s="16"/>
      <c r="U225" s="27"/>
      <c r="V225" s="16"/>
      <c r="W225" s="27"/>
      <c r="X225" s="16"/>
      <c r="Y225" s="27"/>
      <c r="Z225" s="16"/>
      <c r="AA225" s="27"/>
      <c r="AB225" s="16"/>
      <c r="AC225" s="27"/>
      <c r="AD225" s="16"/>
      <c r="AE225" s="27"/>
      <c r="AF225" s="16"/>
      <c r="AG225" s="27"/>
      <c r="AH225" s="16"/>
      <c r="AI225" s="27"/>
      <c r="AJ225" s="16"/>
      <c r="AK225" s="27"/>
      <c r="AL225" s="16"/>
      <c r="AM225" s="27"/>
      <c r="AN225" s="16"/>
      <c r="AO225" s="27"/>
      <c r="AP225" s="16"/>
      <c r="AQ225" s="27"/>
      <c r="AR225" s="16"/>
      <c r="AS225" s="27"/>
      <c r="AT225" s="16"/>
      <c r="AU225" s="27"/>
      <c r="AV225" s="16"/>
      <c r="AW225" s="27"/>
      <c r="AX225" s="16"/>
      <c r="AY225" s="27"/>
      <c r="AZ225" s="16"/>
      <c r="BA225" s="27"/>
      <c r="BB225" s="16"/>
      <c r="BC225" s="27"/>
      <c r="BD225" s="16"/>
      <c r="BE225" s="27"/>
      <c r="BF225" s="16"/>
      <c r="BG225" s="27"/>
      <c r="BH225" s="16"/>
      <c r="BI225" s="27"/>
      <c r="BJ225" s="16"/>
    </row>
    <row r="226" ht="18.0" customHeight="1">
      <c r="A226" s="1"/>
      <c r="B226" s="13" t="s">
        <v>246</v>
      </c>
      <c r="C226" s="27"/>
      <c r="D226" s="16"/>
      <c r="E226" s="27"/>
      <c r="F226" s="16"/>
      <c r="G226" s="27"/>
      <c r="H226" s="16"/>
      <c r="I226" s="27"/>
      <c r="J226" s="16"/>
      <c r="K226" s="27"/>
      <c r="L226" s="16"/>
      <c r="M226" s="27"/>
      <c r="N226" s="16"/>
      <c r="O226" s="27"/>
      <c r="P226" s="16"/>
      <c r="Q226" s="27"/>
      <c r="R226" s="16"/>
      <c r="S226" s="27"/>
      <c r="T226" s="16"/>
      <c r="U226" s="27"/>
      <c r="V226" s="16"/>
      <c r="W226" s="27"/>
      <c r="X226" s="16"/>
      <c r="Y226" s="27"/>
      <c r="Z226" s="16"/>
      <c r="AA226" s="27"/>
      <c r="AB226" s="16"/>
      <c r="AC226" s="27"/>
      <c r="AD226" s="16"/>
      <c r="AE226" s="27"/>
      <c r="AF226" s="16"/>
      <c r="AG226" s="27"/>
      <c r="AH226" s="16"/>
      <c r="AI226" s="27"/>
      <c r="AJ226" s="16"/>
      <c r="AK226" s="27"/>
      <c r="AL226" s="16"/>
      <c r="AM226" s="27"/>
      <c r="AN226" s="16"/>
      <c r="AO226" s="27"/>
      <c r="AP226" s="16"/>
      <c r="AQ226" s="27"/>
      <c r="AR226" s="16"/>
      <c r="AS226" s="27"/>
      <c r="AT226" s="16"/>
      <c r="AU226" s="27"/>
      <c r="AV226" s="16"/>
      <c r="AW226" s="27"/>
      <c r="AX226" s="16"/>
      <c r="AY226" s="27"/>
      <c r="AZ226" s="16"/>
      <c r="BA226" s="27"/>
      <c r="BB226" s="16"/>
      <c r="BC226" s="27"/>
      <c r="BD226" s="16"/>
      <c r="BE226" s="27"/>
      <c r="BF226" s="16"/>
      <c r="BG226" s="27"/>
      <c r="BH226" s="16"/>
      <c r="BI226" s="27"/>
      <c r="BJ226" s="16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6"/>
      <c r="E228" s="27"/>
      <c r="F228" s="16"/>
      <c r="G228" s="27"/>
      <c r="H228" s="16"/>
      <c r="I228" s="27"/>
      <c r="J228" s="16"/>
      <c r="K228" s="27"/>
      <c r="L228" s="16"/>
      <c r="M228" s="27"/>
      <c r="N228" s="16"/>
      <c r="O228" s="27"/>
      <c r="P228" s="16"/>
      <c r="Q228" s="27"/>
      <c r="R228" s="16"/>
      <c r="S228" s="27"/>
      <c r="T228" s="16"/>
      <c r="U228" s="27"/>
      <c r="V228" s="16"/>
      <c r="W228" s="27"/>
      <c r="X228" s="16"/>
      <c r="Y228" s="27"/>
      <c r="Z228" s="16"/>
      <c r="AA228" s="27"/>
      <c r="AB228" s="16"/>
      <c r="AC228" s="27"/>
      <c r="AD228" s="16"/>
      <c r="AE228" s="27"/>
      <c r="AF228" s="16"/>
      <c r="AG228" s="27"/>
      <c r="AH228" s="16"/>
      <c r="AI228" s="27"/>
      <c r="AJ228" s="16"/>
      <c r="AK228" s="27"/>
      <c r="AL228" s="16"/>
      <c r="AM228" s="27"/>
      <c r="AN228" s="16"/>
      <c r="AO228" s="27"/>
      <c r="AP228" s="16"/>
      <c r="AQ228" s="27"/>
      <c r="AR228" s="16"/>
      <c r="AS228" s="27"/>
      <c r="AT228" s="16"/>
      <c r="AU228" s="27"/>
      <c r="AV228" s="16"/>
      <c r="AW228" s="27"/>
      <c r="AX228" s="16"/>
      <c r="AY228" s="27"/>
      <c r="AZ228" s="16"/>
      <c r="BA228" s="27"/>
      <c r="BB228" s="16"/>
      <c r="BC228" s="27"/>
      <c r="BD228" s="16"/>
      <c r="BE228" s="27"/>
      <c r="BF228" s="16"/>
      <c r="BG228" s="27"/>
      <c r="BH228" s="16"/>
      <c r="BI228" s="27"/>
      <c r="BJ228" s="16"/>
    </row>
    <row r="229" ht="18.0" customHeight="1">
      <c r="A229" s="1"/>
      <c r="B229" s="13" t="s">
        <v>249</v>
      </c>
      <c r="C229" s="27"/>
      <c r="D229" s="16"/>
      <c r="E229" s="27"/>
      <c r="F229" s="16"/>
      <c r="G229" s="27"/>
      <c r="H229" s="16"/>
      <c r="I229" s="27"/>
      <c r="J229" s="16"/>
      <c r="K229" s="27"/>
      <c r="L229" s="16"/>
      <c r="M229" s="27"/>
      <c r="N229" s="16"/>
      <c r="O229" s="27"/>
      <c r="P229" s="16"/>
      <c r="Q229" s="27"/>
      <c r="R229" s="16"/>
      <c r="S229" s="27"/>
      <c r="T229" s="16"/>
      <c r="U229" s="27"/>
      <c r="V229" s="16"/>
      <c r="W229" s="27"/>
      <c r="X229" s="16"/>
      <c r="Y229" s="27"/>
      <c r="Z229" s="16"/>
      <c r="AA229" s="27"/>
      <c r="AB229" s="16"/>
      <c r="AC229" s="27"/>
      <c r="AD229" s="16"/>
      <c r="AE229" s="27"/>
      <c r="AF229" s="16"/>
      <c r="AG229" s="27"/>
      <c r="AH229" s="16"/>
      <c r="AI229" s="27"/>
      <c r="AJ229" s="16"/>
      <c r="AK229" s="27"/>
      <c r="AL229" s="16"/>
      <c r="AM229" s="27"/>
      <c r="AN229" s="16"/>
      <c r="AO229" s="27"/>
      <c r="AP229" s="16"/>
      <c r="AQ229" s="27"/>
      <c r="AR229" s="16"/>
      <c r="AS229" s="27"/>
      <c r="AT229" s="16"/>
      <c r="AU229" s="27"/>
      <c r="AV229" s="16"/>
      <c r="AW229" s="27"/>
      <c r="AX229" s="16"/>
      <c r="AY229" s="27"/>
      <c r="AZ229" s="16"/>
      <c r="BA229" s="27"/>
      <c r="BB229" s="16"/>
      <c r="BC229" s="27"/>
      <c r="BD229" s="16"/>
      <c r="BE229" s="27"/>
      <c r="BF229" s="16"/>
      <c r="BG229" s="27"/>
      <c r="BH229" s="16"/>
      <c r="BI229" s="27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96</v>
      </c>
      <c r="E80" s="32">
        <f>SUM(E8:E79)</f>
        <v>100</v>
      </c>
      <c r="G80" s="32">
        <f>SUM(G8:G79)</f>
        <v>96</v>
      </c>
      <c r="I80" s="32">
        <f>SUM(I8:I79)</f>
        <v>100</v>
      </c>
      <c r="K80" s="32">
        <f>SUM(K8:K79)</f>
        <v>104</v>
      </c>
      <c r="M80" s="32">
        <f>SUM(M8:M79)</f>
        <v>98</v>
      </c>
      <c r="O80" s="32">
        <f>SUM(O8:O79)</f>
        <v>92</v>
      </c>
      <c r="Q80" s="32">
        <f>SUM(Q8:Q79)</f>
        <v>106</v>
      </c>
      <c r="S80" s="32">
        <f>SUM(S8:S79)</f>
        <v>98</v>
      </c>
      <c r="U80" s="32">
        <f>SUM(U8:U79)</f>
        <v>102</v>
      </c>
      <c r="W80" s="32">
        <f>SUM(W8:W79)</f>
        <v>98</v>
      </c>
      <c r="Y80" s="32">
        <f>SUM(Y8:Y79)</f>
        <v>90</v>
      </c>
      <c r="AA80" s="32">
        <f>SUM(AA8:AA79)</f>
        <v>102</v>
      </c>
      <c r="AC80" s="32">
        <f>SUM(AC8:AC79)</f>
        <v>82</v>
      </c>
      <c r="AE80" s="32">
        <f>SUM(AE8:AE79)</f>
        <v>106</v>
      </c>
      <c r="AG80" s="32">
        <f>SUM(AG8:AG79)</f>
        <v>98</v>
      </c>
      <c r="AI80" s="32">
        <f>SUM(AI8:AI79)</f>
        <v>98</v>
      </c>
      <c r="AK80" s="32">
        <f>SUM(AK8:AK79)</f>
        <v>110</v>
      </c>
      <c r="AM80" s="32">
        <f>SUM(AM8:AM79)</f>
        <v>100</v>
      </c>
      <c r="AO80" s="32">
        <f>SUM(AO8:AO79)</f>
        <v>112</v>
      </c>
      <c r="AQ80" s="32">
        <f>SUM(AQ8:AQ79)</f>
        <v>86</v>
      </c>
      <c r="AS80" s="32">
        <f>SUM(AS8:AS79)</f>
        <v>102</v>
      </c>
      <c r="AU80" s="32">
        <f>SUM(AU8:AU79)</f>
        <v>102</v>
      </c>
      <c r="AW80" s="32">
        <f>SUM(AW8:AW79)</f>
        <v>86</v>
      </c>
      <c r="AY80" s="32">
        <f>SUM(AY8:AY79)</f>
        <v>110</v>
      </c>
      <c r="BA80" s="32">
        <f>SUM(BA8:BA79)</f>
        <v>90</v>
      </c>
      <c r="BC80" s="32">
        <f>SUM(BC8:BC79)</f>
        <v>98</v>
      </c>
      <c r="BE80" s="32">
        <f>SUM(BE8:BE79)</f>
        <v>100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96</v>
      </c>
      <c r="E241" s="34">
        <f>SUMIF($B$7:$B$240,"Subtotal*",E$7:E$240)</f>
        <v>100</v>
      </c>
      <c r="G241" s="34">
        <f>SUMIF($B$7:$B$240,"Subtotal*",G$7:G$240)</f>
        <v>96</v>
      </c>
      <c r="I241" s="34">
        <f>SUMIF($B$7:$B$240,"Subtotal*",I$7:I$240)</f>
        <v>100</v>
      </c>
      <c r="K241" s="34">
        <f>SUMIF($B$7:$B$240,"Subtotal*",K$7:K$240)</f>
        <v>104</v>
      </c>
      <c r="M241" s="34">
        <f>SUMIF($B$7:$B$240,"Subtotal*",M$7:M$240)</f>
        <v>98</v>
      </c>
      <c r="O241" s="34">
        <f>SUMIF($B$7:$B$240,"Subtotal*",O$7:O$240)</f>
        <v>92</v>
      </c>
      <c r="Q241" s="34">
        <f>SUMIF($B$7:$B$240,"Subtotal*",Q$7:Q$240)</f>
        <v>106</v>
      </c>
      <c r="S241" s="34">
        <f>SUMIF($B$7:$B$240,"Subtotal*",S$7:S$240)</f>
        <v>98</v>
      </c>
      <c r="U241" s="34">
        <f>SUMIF($B$7:$B$240,"Subtotal*",U$7:U$240)</f>
        <v>102</v>
      </c>
      <c r="W241" s="34">
        <f>SUMIF($B$7:$B$240,"Subtotal*",W$7:W$240)</f>
        <v>98</v>
      </c>
      <c r="Y241" s="34">
        <f>SUMIF($B$7:$B$240,"Subtotal*",Y$7:Y$240)</f>
        <v>90</v>
      </c>
      <c r="AA241" s="34">
        <f>SUMIF($B$7:$B$240,"Subtotal*",AA$7:AA$240)</f>
        <v>102</v>
      </c>
      <c r="AC241" s="34">
        <f>SUMIF($B$7:$B$240,"Subtotal*",AC$7:AC$240)</f>
        <v>82</v>
      </c>
      <c r="AE241" s="34">
        <f>SUMIF($B$7:$B$240,"Subtotal*",AE$7:AE$240)</f>
        <v>106</v>
      </c>
      <c r="AG241" s="34">
        <f>SUMIF($B$7:$B$240,"Subtotal*",AG$7:AG$240)</f>
        <v>98</v>
      </c>
      <c r="AI241" s="34">
        <f>SUMIF($B$7:$B$240,"Subtotal*",AI$7:AI$240)</f>
        <v>98</v>
      </c>
      <c r="AK241" s="34">
        <f>SUMIF($B$7:$B$240,"Subtotal*",AK$7:AK$240)</f>
        <v>110</v>
      </c>
      <c r="AM241" s="34">
        <f>SUMIF($B$7:$B$240,"Subtotal*",AM$7:AM$240)</f>
        <v>100</v>
      </c>
      <c r="AO241" s="34">
        <f>SUMIF($B$7:$B$240,"Subtotal*",AO$7:AO$240)</f>
        <v>112</v>
      </c>
      <c r="AQ241" s="34">
        <f>SUMIF($B$7:$B$240,"Subtotal*",AQ$7:AQ$240)</f>
        <v>86</v>
      </c>
      <c r="AS241" s="34">
        <f>SUMIF($B$7:$B$240,"Subtotal*",AS$7:AS$240)</f>
        <v>102</v>
      </c>
      <c r="AU241" s="34">
        <f>SUMIF($B$7:$B$240,"Subtotal*",AU$7:AU$240)</f>
        <v>102</v>
      </c>
      <c r="AW241" s="34">
        <f>SUMIF($B$7:$B$240,"Subtotal*",AW$7:AW$240)</f>
        <v>86</v>
      </c>
      <c r="AY241" s="34">
        <f>SUMIF($B$7:$B$240,"Subtotal*",AY$7:AY$240)</f>
        <v>110</v>
      </c>
      <c r="BA241" s="34">
        <f>SUMIF($B$7:$B$240,"Subtotal*",BA$7:BA$240)</f>
        <v>90</v>
      </c>
      <c r="BC241" s="34">
        <f>SUMIF($B$7:$B$240,"Subtotal*",BC$7:BC$240)</f>
        <v>98</v>
      </c>
      <c r="BE241" s="34">
        <f>SUMIF($B$7:$B$240,"Subtotal*",BE$7:BE$240)</f>
        <v>100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Adri</v>
      </c>
      <c r="D6" s="39">
        <f t="array" ref="D6">IFERROR(INDEX(G6:G35,MATCH(LARGE(H6:H35,1),H6:H35,0)),"")</f>
        <v>112</v>
      </c>
      <c r="E6" s="1"/>
      <c r="F6" s="40" t="str">
        <f>'Raw data'!C6</f>
        <v>Matt</v>
      </c>
      <c r="G6" s="40">
        <f>Calculation!C241</f>
        <v>96</v>
      </c>
      <c r="H6" s="40">
        <f>G6*1000-0</f>
        <v>96000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Irene</v>
      </c>
      <c r="D7" s="43">
        <f t="array" ref="D7">IFERROR(INDEX(G6:G35,MATCH(LARGE(H6:H35,2),H6:H35,0)),"")</f>
        <v>110</v>
      </c>
      <c r="E7" s="1"/>
      <c r="F7" s="40" t="str">
        <f>'Raw data'!E6</f>
        <v>Fer</v>
      </c>
      <c r="G7" s="40">
        <f>Calculation!E241</f>
        <v>100</v>
      </c>
      <c r="H7" s="40">
        <f>G7*1000-1</f>
        <v>99999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Hugo</v>
      </c>
      <c r="D8" s="46">
        <f t="array" ref="D8">IFERROR(INDEX(G6:G35,MATCH(LARGE(H6:H35,3),H6:H35,0)),"")</f>
        <v>110</v>
      </c>
      <c r="E8" s="1"/>
      <c r="F8" s="40" t="str">
        <f>'Raw data'!G6</f>
        <v>Pano</v>
      </c>
      <c r="G8" s="40">
        <f>Calculation!G241</f>
        <v>96</v>
      </c>
      <c r="H8" s="40">
        <f>G8*1000-2</f>
        <v>95998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Kike</v>
      </c>
      <c r="D9" s="49">
        <f t="array" ref="D9">IFERROR(INDEX(G6:G35,MATCH(LARGE(H6:H35,4),H6:H35,0)),"")</f>
        <v>106</v>
      </c>
      <c r="E9" s="1"/>
      <c r="F9" s="40" t="str">
        <f>'Raw data'!I6</f>
        <v>Tere y Edu</v>
      </c>
      <c r="G9" s="40">
        <f>Calculation!I241</f>
        <v>100</v>
      </c>
      <c r="H9" s="40">
        <f>G9*1000-3</f>
        <v>99997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Toño</v>
      </c>
      <c r="D10" s="49">
        <f t="array" ref="D10">IFERROR(INDEX(G6:G35,MATCH(LARGE(H6:H35,5),H6:H35,0)),"")</f>
        <v>106</v>
      </c>
      <c r="E10" s="1"/>
      <c r="F10" s="40" t="str">
        <f>'Raw data'!K6</f>
        <v>Nadia</v>
      </c>
      <c r="G10" s="40">
        <f>Calculation!K241</f>
        <v>104</v>
      </c>
      <c r="H10" s="40">
        <f>G10*1000-4</f>
        <v>103996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104</v>
      </c>
      <c r="E11" s="1"/>
      <c r="F11" s="40" t="str">
        <f>'Raw data'!M6</f>
        <v>JE</v>
      </c>
      <c r="G11" s="40">
        <f>Calculation!M241</f>
        <v>98</v>
      </c>
      <c r="H11" s="40">
        <f>G11*1000-5</f>
        <v>97995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Pablo</v>
      </c>
      <c r="D12" s="49">
        <f t="array" ref="D12">IFERROR(INDEX(G6:G35,MATCH(LARGE(H6:H35,7),H6:H35,0)),"")</f>
        <v>102</v>
      </c>
      <c r="E12" s="1"/>
      <c r="F12" s="40" t="str">
        <f>'Raw data'!O6</f>
        <v>Lucía</v>
      </c>
      <c r="G12" s="40">
        <f>Calculation!O241</f>
        <v>92</v>
      </c>
      <c r="H12" s="40">
        <f>G12*1000-6</f>
        <v>91994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Cillian</v>
      </c>
      <c r="D13" s="49">
        <f t="array" ref="D13">IFERROR(INDEX(G6:G35,MATCH(LARGE(H6:H35,8),H6:H35,0)),"")</f>
        <v>102</v>
      </c>
      <c r="E13" s="1"/>
      <c r="F13" s="40" t="str">
        <f>'Raw data'!Q6</f>
        <v>Kike</v>
      </c>
      <c r="G13" s="40">
        <f>Calculation!Q241</f>
        <v>106</v>
      </c>
      <c r="H13" s="40">
        <f>G13*1000-7</f>
        <v>105993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Gon </v>
      </c>
      <c r="D14" s="49">
        <f t="array" ref="D14">IFERROR(INDEX(G6:G35,MATCH(LARGE(H6:H35,9),H6:H35,0)),"")</f>
        <v>102</v>
      </c>
      <c r="E14" s="1"/>
      <c r="F14" s="40" t="str">
        <f>'Raw data'!S6</f>
        <v>Paibol</v>
      </c>
      <c r="G14" s="40">
        <f>Calculation!S241</f>
        <v>98</v>
      </c>
      <c r="H14" s="40">
        <f>G14*1000-8</f>
        <v>97992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102</v>
      </c>
      <c r="E15" s="1"/>
      <c r="F15" s="40" t="str">
        <f>'Raw data'!U6</f>
        <v>Pablo</v>
      </c>
      <c r="G15" s="40">
        <f>Calculation!U241</f>
        <v>102</v>
      </c>
      <c r="H15" s="40">
        <f>G15*1000-9</f>
        <v>101991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Fer</v>
      </c>
      <c r="D16" s="49">
        <f t="array" ref="D16">IFERROR(INDEX(G6:G35,MATCH(LARGE(H6:H35,11),H6:H35,0)),"")</f>
        <v>100</v>
      </c>
      <c r="E16" s="1"/>
      <c r="F16" s="40" t="str">
        <f>'Raw data'!W6</f>
        <v>Almu</v>
      </c>
      <c r="G16" s="40">
        <f>Calculation!W241</f>
        <v>98</v>
      </c>
      <c r="H16" s="40">
        <f>G16*1000-10</f>
        <v>97990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Tere y Edu</v>
      </c>
      <c r="D17" s="49">
        <f t="array" ref="D17">IFERROR(INDEX(G6:G35,MATCH(LARGE(H6:H35,12),H6:H35,0)),"")</f>
        <v>100</v>
      </c>
      <c r="E17" s="1"/>
      <c r="F17" s="40" t="str">
        <f>'Raw data'!Y6</f>
        <v>Juanorro</v>
      </c>
      <c r="G17" s="40">
        <f>Calculation!Y241</f>
        <v>90</v>
      </c>
      <c r="H17" s="40">
        <f>G17*1000-11</f>
        <v>89989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Andy</v>
      </c>
      <c r="D18" s="49">
        <f t="array" ref="D18">IFERROR(INDEX(G6:G35,MATCH(LARGE(H6:H35,13),H6:H35,0)),"")</f>
        <v>100</v>
      </c>
      <c r="E18" s="1"/>
      <c r="F18" s="40" t="str">
        <f>'Raw data'!AA6</f>
        <v>Cillian</v>
      </c>
      <c r="G18" s="40">
        <f>Calculation!AA241</f>
        <v>102</v>
      </c>
      <c r="H18" s="40">
        <f>G18*1000-12</f>
        <v>101988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Manu</v>
      </c>
      <c r="D19" s="49">
        <f t="array" ref="D19">IFERROR(INDEX(G6:G35,MATCH(LARGE(H6:H35,14),H6:H35,0)),"")</f>
        <v>100</v>
      </c>
      <c r="E19" s="1"/>
      <c r="F19" s="40" t="str">
        <f>'Raw data'!AC6</f>
        <v>July</v>
      </c>
      <c r="G19" s="40">
        <f>Calculation!AC241</f>
        <v>82</v>
      </c>
      <c r="H19" s="40">
        <f>G19*1000-13</f>
        <v>81987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JE</v>
      </c>
      <c r="D20" s="49">
        <f t="array" ref="D20">IFERROR(INDEX(G6:G35,MATCH(LARGE(H6:H35,15),H6:H35,0)),"")</f>
        <v>98</v>
      </c>
      <c r="E20" s="1"/>
      <c r="F20" s="40" t="str">
        <f>'Raw data'!AE6</f>
        <v>Toño</v>
      </c>
      <c r="G20" s="40">
        <f>Calculation!AE241</f>
        <v>106</v>
      </c>
      <c r="H20" s="40">
        <f>G20*1000-14</f>
        <v>105986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Paibol</v>
      </c>
      <c r="D21" s="49">
        <f t="array" ref="D21">IFERROR(INDEX(G6:G35,MATCH(LARGE(H6:H35,16),H6:H35,0)),"")</f>
        <v>98</v>
      </c>
      <c r="E21" s="1"/>
      <c r="F21" s="40" t="str">
        <f>'Raw data'!AG6</f>
        <v>Juanin</v>
      </c>
      <c r="G21" s="40">
        <f>Calculation!AG241</f>
        <v>98</v>
      </c>
      <c r="H21" s="40">
        <f>G21*1000-15</f>
        <v>97985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Almu</v>
      </c>
      <c r="D22" s="49">
        <f t="array" ref="D22">IFERROR(INDEX(G6:G35,MATCH(LARGE(H6:H35,17),H6:H35,0)),"")</f>
        <v>98</v>
      </c>
      <c r="E22" s="1"/>
      <c r="F22" s="40" t="str">
        <f>'Raw data'!AI6</f>
        <v>Meg</v>
      </c>
      <c r="G22" s="40">
        <f>Calculation!AI241</f>
        <v>98</v>
      </c>
      <c r="H22" s="40">
        <f>G22*1000-16</f>
        <v>97984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Juanin</v>
      </c>
      <c r="D23" s="49">
        <f t="array" ref="D23">IFERROR(INDEX(G6:G35,MATCH(LARGE(H6:H35,18),H6:H35,0)),"")</f>
        <v>98</v>
      </c>
      <c r="E23" s="1"/>
      <c r="F23" s="40" t="str">
        <f>'Raw data'!AK6</f>
        <v>Irene</v>
      </c>
      <c r="G23" s="40">
        <f>Calculation!AK241</f>
        <v>110</v>
      </c>
      <c r="H23" s="40">
        <f>G23*1000-17</f>
        <v>109983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Meg</v>
      </c>
      <c r="D24" s="49">
        <f t="array" ref="D24">IFERROR(INDEX(G6:G35,MATCH(LARGE(H6:H35,19),H6:H35,0)),"")</f>
        <v>98</v>
      </c>
      <c r="E24" s="1"/>
      <c r="F24" s="40" t="str">
        <f>'Raw data'!AM6</f>
        <v>Andy</v>
      </c>
      <c r="G24" s="40">
        <f>Calculation!AM241</f>
        <v>100</v>
      </c>
      <c r="H24" s="40">
        <f>G24*1000-18</f>
        <v>99982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Emilio</v>
      </c>
      <c r="D25" s="49">
        <f t="array" ref="D25">IFERROR(INDEX(G6:G35,MATCH(LARGE(H6:H35,20),H6:H35,0)),"")</f>
        <v>98</v>
      </c>
      <c r="E25" s="1"/>
      <c r="F25" s="40" t="str">
        <f>'Raw data'!AO6</f>
        <v>Adri</v>
      </c>
      <c r="G25" s="40">
        <f>Calculation!AO241</f>
        <v>112</v>
      </c>
      <c r="H25" s="40">
        <f>G25*1000-19</f>
        <v>111981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Matt</v>
      </c>
      <c r="D26" s="49">
        <f t="array" ref="D26">IFERROR(INDEX(G6:G35,MATCH(LARGE(H6:H35,21),H6:H35,0)),"")</f>
        <v>96</v>
      </c>
      <c r="E26" s="1"/>
      <c r="F26" s="40" t="str">
        <f>'Raw data'!AQ6</f>
        <v>Ben</v>
      </c>
      <c r="G26" s="40">
        <f>Calculation!AQ241</f>
        <v>86</v>
      </c>
      <c r="H26" s="40">
        <f>G26*1000-20</f>
        <v>85980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Pano</v>
      </c>
      <c r="D27" s="49">
        <f t="array" ref="D27">IFERROR(INDEX(G6:G35,MATCH(LARGE(H6:H35,22),H6:H35,0)),"")</f>
        <v>96</v>
      </c>
      <c r="E27" s="1"/>
      <c r="F27" s="40" t="str">
        <f>'Raw data'!AS6</f>
        <v>Gon </v>
      </c>
      <c r="G27" s="40">
        <f>Calculation!AS241</f>
        <v>102</v>
      </c>
      <c r="H27" s="40">
        <f>G27*1000-21</f>
        <v>101979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Lucía</v>
      </c>
      <c r="D28" s="49">
        <f t="array" ref="D28">IFERROR(INDEX(G6:G35,MATCH(LARGE(H6:H35,23),H6:H35,0)),"")</f>
        <v>92</v>
      </c>
      <c r="E28" s="1"/>
      <c r="F28" s="40" t="str">
        <f>'Raw data'!AU6</f>
        <v>Mile</v>
      </c>
      <c r="G28" s="40">
        <f>Calculation!AU241</f>
        <v>102</v>
      </c>
      <c r="H28" s="40">
        <f>G28*1000-22</f>
        <v>101978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Juanorro</v>
      </c>
      <c r="D29" s="49">
        <f t="array" ref="D29">IFERROR(INDEX(G6:G35,MATCH(LARGE(H6:H35,24),H6:H35,0)),"")</f>
        <v>90</v>
      </c>
      <c r="E29" s="1"/>
      <c r="F29" s="40" t="str">
        <f>'Raw data'!AW6</f>
        <v>Cami</v>
      </c>
      <c r="G29" s="40">
        <f>Calculation!AW241</f>
        <v>86</v>
      </c>
      <c r="H29" s="40">
        <f>G29*1000-23</f>
        <v>85977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Jaime</v>
      </c>
      <c r="D30" s="49">
        <f t="array" ref="D30">IFERROR(INDEX(G6:G35,MATCH(LARGE(H6:H35,25),H6:H35,0)),"")</f>
        <v>90</v>
      </c>
      <c r="E30" s="1"/>
      <c r="F30" s="40" t="str">
        <f>'Raw data'!AY6</f>
        <v>Hugo</v>
      </c>
      <c r="G30" s="40">
        <f>Calculation!AY241</f>
        <v>110</v>
      </c>
      <c r="H30" s="40">
        <f>G30*1000-24</f>
        <v>109976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Ben</v>
      </c>
      <c r="D31" s="49">
        <f t="array" ref="D31">IFERROR(INDEX(G6:G35,MATCH(LARGE(H6:H35,26),H6:H35,0)),"")</f>
        <v>86</v>
      </c>
      <c r="E31" s="1"/>
      <c r="F31" s="40" t="str">
        <f>'Raw data'!BA6</f>
        <v>Jaime</v>
      </c>
      <c r="G31" s="40">
        <f>Calculation!BA241</f>
        <v>90</v>
      </c>
      <c r="H31" s="40">
        <f>G31*1000-25</f>
        <v>89975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Cami</v>
      </c>
      <c r="D32" s="49">
        <f t="array" ref="D32">IFERROR(INDEX(G6:G35,MATCH(LARGE(H6:H35,27),H6:H35,0)),"")</f>
        <v>86</v>
      </c>
      <c r="E32" s="1"/>
      <c r="F32" s="40" t="str">
        <f>'Raw data'!BC6</f>
        <v>Emilio</v>
      </c>
      <c r="G32" s="40">
        <f>Calculation!BC241</f>
        <v>98</v>
      </c>
      <c r="H32" s="40">
        <f>G32*1000-26</f>
        <v>97974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July</v>
      </c>
      <c r="D33" s="49">
        <f t="array" ref="D33">IFERROR(INDEX(G6:G35,MATCH(LARGE(H6:H35,28),H6:H35,0)),"")</f>
        <v>82</v>
      </c>
      <c r="E33" s="1"/>
      <c r="F33" s="40" t="str">
        <f>'Raw data'!BE6</f>
        <v>Manu</v>
      </c>
      <c r="G33" s="40">
        <f>Calculation!BE241</f>
        <v>100</v>
      </c>
      <c r="H33" s="40">
        <f>G33*1000-27</f>
        <v>99973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