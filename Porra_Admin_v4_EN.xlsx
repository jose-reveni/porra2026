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5"/>
    <sheet state="visible" name="Real results" sheetId="2" r:id="rId6"/>
    <sheet state="visible" name="Raw data" sheetId="3" r:id="rId7"/>
    <sheet state="visible" name="Calculation" sheetId="4" r:id="rId8"/>
    <sheet state="visible" name="Standings" sheetId="5" r:id="rId9"/>
  </sheets>
  <definedNames/>
  <calcPr/>
</workbook>
</file>

<file path=xl/sharedStrings.xml><?xml version="1.0" encoding="utf-8"?>
<sst xmlns="http://schemas.openxmlformats.org/spreadsheetml/2006/main" count="2012" uniqueCount="523">
  <si>
    <t>WORLD CUP 2026 POOL - ADMIN</t>
  </si>
  <si>
    <t>WORKFLOW</t>
  </si>
  <si>
    <t>1.  Participants send you their files with the 'Admin export' tab filled in.</t>
  </si>
  <si>
    <t>2.  In 'Raw data', paste each participant's columns C and D into their slot.</t>
  </si>
  <si>
    <t xml:space="preserve">    Each participant uses TWO columns: home goals + away goals (or value).</t>
  </si>
  <si>
    <t>3.  Type the real name in row 6 (home column of each pair).</t>
  </si>
  <si>
    <t>4.  In 'Real results', fill in actual match results as games are played.</t>
  </si>
  <si>
    <t>5.  'Calculation' and 'Standings' tabs update automatically.</t>
  </si>
  <si>
    <t>WORKS FOR BOTH OPTIONS (OP1 + OP2)</t>
  </si>
  <si>
    <t>Both Option 1 (all-in-one) and Option 2 (groups + knockouts split) use the same</t>
  </si>
  <si>
    <t>export format, so this admin handles both.</t>
  </si>
  <si>
    <t>SCORING SYSTEM</t>
  </si>
  <si>
    <t>GROUP STAGE</t>
  </si>
  <si>
    <t xml:space="preserve">    • Correct outcome (1/X/2):  2 pts   |   Exact score:  +2 pts extra</t>
  </si>
  <si>
    <t xml:space="preserve">    • Each correctly classified team:  1 pt   |   Group winner:  +2 pts extra</t>
  </si>
  <si>
    <t>KNOCKOUTS</t>
  </si>
  <si>
    <t xml:space="preserve">    • Correct outcome at 90' (1/X/2):  3 pts   |   Exact score at 90':  +2 pts extra   |   Penalties:  1 pt</t>
  </si>
  <si>
    <t xml:space="preserve">    • R16:  1 pt   |   QF:  2 pts   |   SF:  4 pts   |   Finalist:  6 pts</t>
  </si>
  <si>
    <t xml:space="preserve">    • 3rd place:  4 pts   |   Runner-up:  8 pts   |   Champion:  12 pts</t>
  </si>
  <si>
    <t>AWARDS</t>
  </si>
  <si>
    <t xml:space="preserve">    • Top Scorer:  8 pts   |   Ballon d'Or:  8 pts</t>
  </si>
  <si>
    <t>REAL RESULTS</t>
  </si>
  <si>
    <t>Fill in real results as matches are played. Score rows use two cells: Home and Away.</t>
  </si>
  <si>
    <t>Concept</t>
  </si>
  <si>
    <t>Home / Value</t>
  </si>
  <si>
    <t>Away</t>
  </si>
  <si>
    <t xml:space="preserve">  GROUP STAGE SCORES</t>
  </si>
  <si>
    <t>GA-M1: Mexico vs South Africa</t>
  </si>
  <si>
    <t>GA-M2: South Korea vs Czech Rep.</t>
  </si>
  <si>
    <t>GA-M3: Czech Rep. vs South Africa</t>
  </si>
  <si>
    <t>GA-M4: Mexico vs South Korea</t>
  </si>
  <si>
    <t>GA-M5: Czech Rep. vs Mexico</t>
  </si>
  <si>
    <t>GA-M6: South Africa vs South Korea</t>
  </si>
  <si>
    <t>GB-M1: Canada vs Bosnia-Herz.</t>
  </si>
  <si>
    <t>GB-M2: Qatar vs Switzerland</t>
  </si>
  <si>
    <t>GB-M3: Switzerland vs Bosnia-Herz.</t>
  </si>
  <si>
    <t>GB-M4: Canada vs Qatar</t>
  </si>
  <si>
    <t>GB-M5: Switzerland vs Canada</t>
  </si>
  <si>
    <t>GB-M6: Bosnia-Herz. vs Qatar</t>
  </si>
  <si>
    <t>GC-M1: Brazil vs Morocco</t>
  </si>
  <si>
    <t>GC-M2: Haiti vs Scotland</t>
  </si>
  <si>
    <t>GC-M3: Scotland vs Morocco</t>
  </si>
  <si>
    <t>GC-M4: Brazil vs Haiti</t>
  </si>
  <si>
    <t>GC-M5: Scotland vs Brazil</t>
  </si>
  <si>
    <t>GC-M6: Morocco vs Haiti</t>
  </si>
  <si>
    <t>GD-M1: USA vs Paraguay</t>
  </si>
  <si>
    <t>GD-M2: Australia vs Turkey</t>
  </si>
  <si>
    <t>GD-M3: Turkey vs Paraguay</t>
  </si>
  <si>
    <t>GD-M4: USA vs Australia</t>
  </si>
  <si>
    <t>GD-M5: Turkey vs USA</t>
  </si>
  <si>
    <t>GD-M6: Paraguay vs Australia</t>
  </si>
  <si>
    <t>GE-M1: Germany vs Curacao</t>
  </si>
  <si>
    <t>GE-M2: Ivory Coast vs Ecuador</t>
  </si>
  <si>
    <t>GE-M3: Germany vs Ivory Coast</t>
  </si>
  <si>
    <t>GE-M4: Ecuador vs Curacao</t>
  </si>
  <si>
    <t>GE-M5: Ecuador vs Germany</t>
  </si>
  <si>
    <t>GE-M6: Curacao vs Ivory Coast</t>
  </si>
  <si>
    <t>GF-M1: Netherlands vs Japan</t>
  </si>
  <si>
    <t>GF-M2: Sweden vs Tunisia</t>
  </si>
  <si>
    <t>GF-M3: Netherlands vs Sweden</t>
  </si>
  <si>
    <t>GF-M4: Tunisia vs Japan</t>
  </si>
  <si>
    <t>GF-M5: Japan vs Sweden</t>
  </si>
  <si>
    <t>GF-M6: Tunisia vs Netherlands</t>
  </si>
  <si>
    <t>GG-M1: Belgium vs Egypt</t>
  </si>
  <si>
    <t>GG-M2: Iran vs New Zealand</t>
  </si>
  <si>
    <t>GG-M3: Belgium vs Iran</t>
  </si>
  <si>
    <t>GG-M4: New Zealand vs Egypt</t>
  </si>
  <si>
    <t>GG-M5: New Zealand vs Belgium</t>
  </si>
  <si>
    <t>GG-M6: Egypt vs Iran</t>
  </si>
  <si>
    <t>GH-M1: Spain vs Cape Verde</t>
  </si>
  <si>
    <t>GH-M2: Uruguay vs Saudi Arabia</t>
  </si>
  <si>
    <t>GH-M3: Spain vs Saudi Arabia</t>
  </si>
  <si>
    <t>GH-M4: Cape Verde vs Uruguay</t>
  </si>
  <si>
    <t>GH-M5: Saudi Arabia vs Cape Verde</t>
  </si>
  <si>
    <t>GH-M6: Uruguay vs Spain</t>
  </si>
  <si>
    <t>GI-M1: France vs Senegal</t>
  </si>
  <si>
    <t>GI-M2: Iraq vs Norway</t>
  </si>
  <si>
    <t>GI-M3: France vs Iraq</t>
  </si>
  <si>
    <t>GI-M4: Norway vs Senegal</t>
  </si>
  <si>
    <t>GI-M5: Norway vs France</t>
  </si>
  <si>
    <t>GI-M6: Senegal vs Iraq</t>
  </si>
  <si>
    <t>GJ-M1: Argentina vs Algeria</t>
  </si>
  <si>
    <t>GJ-M2: Austria vs Jordan</t>
  </si>
  <si>
    <t>GJ-M3: Argentina vs Austria</t>
  </si>
  <si>
    <t>GJ-M4: Jordan vs Algeria</t>
  </si>
  <si>
    <t>GJ-M5: Algeria vs Austria</t>
  </si>
  <si>
    <t>GJ-M6: Jordan vs Argentina</t>
  </si>
  <si>
    <t>GK-M1: Portugal vs DR Congo</t>
  </si>
  <si>
    <t>GK-M2: Uzbekistan vs Colombia</t>
  </si>
  <si>
    <t>GK-M3: Portugal vs Uzbekistan</t>
  </si>
  <si>
    <t>GK-M4: Colombia vs DR Congo</t>
  </si>
  <si>
    <t>GK-M5: Colombia vs Portugal</t>
  </si>
  <si>
    <t>GK-M6: DR Congo vs Uzbekistan</t>
  </si>
  <si>
    <t>GL-M1: England vs Croatia</t>
  </si>
  <si>
    <t>GL-M2: Ghana vs Panama</t>
  </si>
  <si>
    <t>GL-M3: England vs Ghana</t>
  </si>
  <si>
    <t>GL-M4: Panama vs Croatia</t>
  </si>
  <si>
    <t>GL-M5: Croatia vs Ghana</t>
  </si>
  <si>
    <t>GL-M6: Panama vs England</t>
  </si>
  <si>
    <t xml:space="preserve">  GROUP STANDINGS</t>
  </si>
  <si>
    <t>1st group A</t>
  </si>
  <si>
    <t>2nd group A</t>
  </si>
  <si>
    <t>3rd group A</t>
  </si>
  <si>
    <t>1st group B</t>
  </si>
  <si>
    <t>2nd group B</t>
  </si>
  <si>
    <t>3rd group B</t>
  </si>
  <si>
    <t>1st group C</t>
  </si>
  <si>
    <t>2nd group C</t>
  </si>
  <si>
    <t>3rd group C</t>
  </si>
  <si>
    <t>1st group D</t>
  </si>
  <si>
    <t>2nd group D</t>
  </si>
  <si>
    <t>3rd group D</t>
  </si>
  <si>
    <t>1st group E</t>
  </si>
  <si>
    <t>2nd group E</t>
  </si>
  <si>
    <t>3rd group E</t>
  </si>
  <si>
    <t>1st group F</t>
  </si>
  <si>
    <t>2nd group F</t>
  </si>
  <si>
    <t>3rd group F</t>
  </si>
  <si>
    <t>1st group G</t>
  </si>
  <si>
    <t>2nd group G</t>
  </si>
  <si>
    <t>3rd group G</t>
  </si>
  <si>
    <t>1st group H</t>
  </si>
  <si>
    <t>2nd group H</t>
  </si>
  <si>
    <t>3rd group H</t>
  </si>
  <si>
    <t>1st group I</t>
  </si>
  <si>
    <t>2nd group I</t>
  </si>
  <si>
    <t>3rd group I</t>
  </si>
  <si>
    <t>1st group J</t>
  </si>
  <si>
    <t>2nd group J</t>
  </si>
  <si>
    <t>3rd group J</t>
  </si>
  <si>
    <t>1st group K</t>
  </si>
  <si>
    <t>2nd group K</t>
  </si>
  <si>
    <t>3rd group K</t>
  </si>
  <si>
    <t>1st group L</t>
  </si>
  <si>
    <t>2nd group L</t>
  </si>
  <si>
    <t>3rd group L</t>
  </si>
  <si>
    <t xml:space="preserve">  8 BEST THIRDS</t>
  </si>
  <si>
    <t>3-1</t>
  </si>
  <si>
    <t>3-2</t>
  </si>
  <si>
    <t>3-3</t>
  </si>
  <si>
    <t>3-4</t>
  </si>
  <si>
    <t>3-5</t>
  </si>
  <si>
    <t>3-6</t>
  </si>
  <si>
    <t>3-7</t>
  </si>
  <si>
    <t>3-8</t>
  </si>
  <si>
    <t xml:space="preserve">  ROUND OF 32</t>
  </si>
  <si>
    <t>R32-M1 score</t>
  </si>
  <si>
    <t>R32-M1 penalties</t>
  </si>
  <si>
    <t>R32-M1 winner</t>
  </si>
  <si>
    <t>R32-M2 score</t>
  </si>
  <si>
    <t>R32-M2 penalties</t>
  </si>
  <si>
    <t>R32-M2 winner</t>
  </si>
  <si>
    <t>R32-M3 score</t>
  </si>
  <si>
    <t>R32-M3 penalties</t>
  </si>
  <si>
    <t>R32-M3 winner</t>
  </si>
  <si>
    <t>R32-M4 score</t>
  </si>
  <si>
    <t>R32-M4 penalties</t>
  </si>
  <si>
    <t>R32-M4 winner</t>
  </si>
  <si>
    <t>R32-M5 score</t>
  </si>
  <si>
    <t>R32-M5 penalties</t>
  </si>
  <si>
    <t>R32-M5 winner</t>
  </si>
  <si>
    <t>R32-M6 score</t>
  </si>
  <si>
    <t>R32-M6 penalties</t>
  </si>
  <si>
    <t>R32-M6 winner</t>
  </si>
  <si>
    <t>R32-M7 score</t>
  </si>
  <si>
    <t>R32-M7 penalties</t>
  </si>
  <si>
    <t>R32-M7 winner</t>
  </si>
  <si>
    <t>R32-M8 score</t>
  </si>
  <si>
    <t>R32-M8 penalties</t>
  </si>
  <si>
    <t>R32-M8 winner</t>
  </si>
  <si>
    <t>R32-M9 score</t>
  </si>
  <si>
    <t>R32-M9 penalties</t>
  </si>
  <si>
    <t>R32-M9 winner</t>
  </si>
  <si>
    <t>R32-M10 score</t>
  </si>
  <si>
    <t>R32-M10 penalties</t>
  </si>
  <si>
    <t>R32-M10 winner</t>
  </si>
  <si>
    <t>R32-M11 score</t>
  </si>
  <si>
    <t>R32-M11 penalties</t>
  </si>
  <si>
    <t>R32-M11 winner</t>
  </si>
  <si>
    <t>R32-M12 score</t>
  </si>
  <si>
    <t>R32-M12 penalties</t>
  </si>
  <si>
    <t>R32-M12 winner</t>
  </si>
  <si>
    <t>R32-M13 score</t>
  </si>
  <si>
    <t>R32-M13 penalties</t>
  </si>
  <si>
    <t>R32-M13 winner</t>
  </si>
  <si>
    <t>R32-M14 score</t>
  </si>
  <si>
    <t>R32-M14 penalties</t>
  </si>
  <si>
    <t>R32-M14 winner</t>
  </si>
  <si>
    <t>R32-M15 score</t>
  </si>
  <si>
    <t>R32-M15 penalties</t>
  </si>
  <si>
    <t>R32-M15 winner</t>
  </si>
  <si>
    <t>R32-M16 score</t>
  </si>
  <si>
    <t>R32-M16 penalties</t>
  </si>
  <si>
    <t>R32-M16 winner</t>
  </si>
  <si>
    <t xml:space="preserve">  ROUND OF 16</t>
  </si>
  <si>
    <t>R16-M1 score</t>
  </si>
  <si>
    <t>R16-M1 penalties</t>
  </si>
  <si>
    <t>R16-M1 winner</t>
  </si>
  <si>
    <t>R16-M2 score</t>
  </si>
  <si>
    <t>R16-M2 penalties</t>
  </si>
  <si>
    <t>R16-M2 winner</t>
  </si>
  <si>
    <t>R16-M3 score</t>
  </si>
  <si>
    <t>R16-M3 penalties</t>
  </si>
  <si>
    <t>R16-M3 winner</t>
  </si>
  <si>
    <t>R16-M4 score</t>
  </si>
  <si>
    <t>R16-M4 penalties</t>
  </si>
  <si>
    <t>R16-M4 winner</t>
  </si>
  <si>
    <t>R16-M5 score</t>
  </si>
  <si>
    <t>R16-M5 penalties</t>
  </si>
  <si>
    <t>R16-M5 winner</t>
  </si>
  <si>
    <t>R16-M6 score</t>
  </si>
  <si>
    <t>R16-M6 penalties</t>
  </si>
  <si>
    <t>R16-M6 winner</t>
  </si>
  <si>
    <t>R16-M7 score</t>
  </si>
  <si>
    <t>R16-M7 penalties</t>
  </si>
  <si>
    <t>R16-M7 winner</t>
  </si>
  <si>
    <t>R16-M8 score</t>
  </si>
  <si>
    <t>R16-M8 penalties</t>
  </si>
  <si>
    <t>R16-M8 winner</t>
  </si>
  <si>
    <t xml:space="preserve">  QUARTER-FINALS</t>
  </si>
  <si>
    <t>QF-M1 score</t>
  </si>
  <si>
    <t>QF-M1 penalties</t>
  </si>
  <si>
    <t>QF-M1 winner</t>
  </si>
  <si>
    <t>QF-M2 score</t>
  </si>
  <si>
    <t>QF-M2 penalties</t>
  </si>
  <si>
    <t>QF-M2 winner</t>
  </si>
  <si>
    <t>QF-M3 score</t>
  </si>
  <si>
    <t>QF-M3 penalties</t>
  </si>
  <si>
    <t>QF-M3 winner</t>
  </si>
  <si>
    <t>QF-M4 score</t>
  </si>
  <si>
    <t>QF-M4 penalties</t>
  </si>
  <si>
    <t>QF-M4 winner</t>
  </si>
  <si>
    <t xml:space="preserve">  SEMI-FINALS</t>
  </si>
  <si>
    <t>SF-M1 score</t>
  </si>
  <si>
    <t>SF-M1 penalties</t>
  </si>
  <si>
    <t>SF-M1 winner</t>
  </si>
  <si>
    <t>SF-M2 score</t>
  </si>
  <si>
    <t>SF-M2 penalties</t>
  </si>
  <si>
    <t>SF-M2 winner</t>
  </si>
  <si>
    <t xml:space="preserve">  3RD PLACE &amp; FINAL</t>
  </si>
  <si>
    <t>3rd place score</t>
  </si>
  <si>
    <t>3rd place penalties</t>
  </si>
  <si>
    <t>3rd place (team)</t>
  </si>
  <si>
    <t>Final score</t>
  </si>
  <si>
    <t>Final penalties</t>
  </si>
  <si>
    <t>CHAMPION</t>
  </si>
  <si>
    <t>RUNNER-UP</t>
  </si>
  <si>
    <t xml:space="preserve">  AWARDS</t>
  </si>
  <si>
    <t>Top Scorer</t>
  </si>
  <si>
    <t>Ballon d'Or</t>
  </si>
  <si>
    <t>RAW DATA - paste participant exports here</t>
  </si>
  <si>
    <t>Each participant uses TWO columns. Paste their 'Admin export' columns C+D into their slot. Row 6 holds their real name (in the Home column).</t>
  </si>
  <si>
    <t>CONCEPT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</si>
  <si>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</si>
  <si>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</si>
  <si>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</si>
  <si>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</si>
  <si>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</si>
  <si>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</si>
  <si>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</si>
  <si>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</si>
  <si>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</si>
  <si>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</si>
  <si>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</si>
  <si>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</si>
  <si>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</si>
  <si>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</si>
  <si>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</si>
  <si>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</si>
  <si>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</si>
  <si>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</si>
  <si>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</si>
  <si>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</si>
  <si>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</si>
  <si>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</si>
  <si>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</si>
  <si>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</si>
  <si>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</si>
  <si>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</si>
  <si>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</si>
  <si>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</si>
  <si>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</si>
  <si>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</si>
  <si>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Matt</t>
  </si>
  <si>
    <t>Fer</t>
  </si>
  <si>
    <t>Pano</t>
  </si>
  <si>
    <t>Tere</t>
  </si>
  <si>
    <t>Nadia</t>
  </si>
  <si>
    <t>Jose</t>
  </si>
  <si>
    <t>Lucía</t>
  </si>
  <si>
    <t>Kike</t>
  </si>
  <si>
    <t>Paibol</t>
  </si>
  <si>
    <t>Pablo</t>
  </si>
  <si>
    <t>Almu</t>
  </si>
  <si>
    <t>Juanorro</t>
  </si>
  <si>
    <t>Cillian</t>
  </si>
  <si>
    <t>July</t>
  </si>
  <si>
    <t>Toño</t>
  </si>
  <si>
    <t>Juanin</t>
  </si>
  <si>
    <t>Meg</t>
  </si>
  <si>
    <t>Irene</t>
  </si>
  <si>
    <t>Andy</t>
  </si>
  <si>
    <t>Adri</t>
  </si>
  <si>
    <t>Ben</t>
  </si>
  <si>
    <t xml:space="preserve">Gon </t>
  </si>
  <si>
    <t>Mile</t>
  </si>
  <si>
    <t>Cami</t>
  </si>
  <si>
    <t>Hugo</t>
  </si>
  <si>
    <t>Jaime</t>
  </si>
  <si>
    <t>Emilio</t>
  </si>
  <si>
    <t>Manu</t>
  </si>
  <si>
    <t>Mexico</t>
  </si>
  <si>
    <t>South Korea</t>
  </si>
  <si>
    <t>Czech Rep.</t>
  </si>
  <si>
    <t>South Africa</t>
  </si>
  <si>
    <t>Canada</t>
  </si>
  <si>
    <t>Switzerland</t>
  </si>
  <si>
    <t>Qatar</t>
  </si>
  <si>
    <t>Bosnia-Herz.</t>
  </si>
  <si>
    <t>Brazil</t>
  </si>
  <si>
    <t>Morocco</t>
  </si>
  <si>
    <t>Scotland</t>
  </si>
  <si>
    <t>Haiti</t>
  </si>
  <si>
    <t>USA</t>
  </si>
  <si>
    <t>Turkey</t>
  </si>
  <si>
    <t>Australia</t>
  </si>
  <si>
    <t>Paraguay</t>
  </si>
  <si>
    <t>Germany</t>
  </si>
  <si>
    <t>Ecuador</t>
  </si>
  <si>
    <t>Ivory Coast</t>
  </si>
  <si>
    <t>Curacao</t>
  </si>
  <si>
    <t>Tunisia</t>
  </si>
  <si>
    <t>Netherlands</t>
  </si>
  <si>
    <t>Sweden</t>
  </si>
  <si>
    <t>Japan</t>
  </si>
  <si>
    <t>Belgium</t>
  </si>
  <si>
    <t>Egypt</t>
  </si>
  <si>
    <t>Iran</t>
  </si>
  <si>
    <t>New Zealand</t>
  </si>
  <si>
    <t>Spain</t>
  </si>
  <si>
    <t>Uruguay</t>
  </si>
  <si>
    <t>Saudi Arabia</t>
  </si>
  <si>
    <t>Cape Verde</t>
  </si>
  <si>
    <t>France</t>
  </si>
  <si>
    <t>Norway</t>
  </si>
  <si>
    <t>Senegal</t>
  </si>
  <si>
    <t>Iraq</t>
  </si>
  <si>
    <t>Argentina</t>
  </si>
  <si>
    <t>Austria</t>
  </si>
  <si>
    <t>Algeria</t>
  </si>
  <si>
    <t>Jordan</t>
  </si>
  <si>
    <t>Portugal</t>
  </si>
  <si>
    <t>Colombia</t>
  </si>
  <si>
    <t>Uzbekistan</t>
  </si>
  <si>
    <t>DR Congo</t>
  </si>
  <si>
    <t>England</t>
  </si>
  <si>
    <t>Croatia</t>
  </si>
  <si>
    <t>Ghana</t>
  </si>
  <si>
    <t>Panama</t>
  </si>
  <si>
    <t>POINTS CALCULATION (automatic)</t>
  </si>
  <si>
    <t>GROUP STAGE MATCHES</t>
  </si>
  <si>
    <t>Subtotal group matches</t>
  </si>
  <si>
    <t>GROUP STANDINGS</t>
  </si>
  <si>
    <t>Group A - 1st</t>
  </si>
  <si>
    <t>Group A - 2nd</t>
  </si>
  <si>
    <t>Group A - 3rd</t>
  </si>
  <si>
    <t>Group B - 1st</t>
  </si>
  <si>
    <t>Group B - 2nd</t>
  </si>
  <si>
    <t>Group B - 3rd</t>
  </si>
  <si>
    <t>Group C - 1st</t>
  </si>
  <si>
    <t>Group C - 2nd</t>
  </si>
  <si>
    <t>Group C - 3rd</t>
  </si>
  <si>
    <t>Group D - 1st</t>
  </si>
  <si>
    <t>Group D - 2nd</t>
  </si>
  <si>
    <t>Group D - 3rd</t>
  </si>
  <si>
    <t>Group E - 1st</t>
  </si>
  <si>
    <t>Group E - 2nd</t>
  </si>
  <si>
    <t>Group E - 3rd</t>
  </si>
  <si>
    <t>Group F - 1st</t>
  </si>
  <si>
    <t>Group F - 2nd</t>
  </si>
  <si>
    <t>Group F - 3rd</t>
  </si>
  <si>
    <t>Group G - 1st</t>
  </si>
  <si>
    <t>Group G - 2nd</t>
  </si>
  <si>
    <t>Group G - 3rd</t>
  </si>
  <si>
    <t>Group H - 1st</t>
  </si>
  <si>
    <t>Group H - 2nd</t>
  </si>
  <si>
    <t>Group H - 3rd</t>
  </si>
  <si>
    <t>Group I - 1st</t>
  </si>
  <si>
    <t>Group I - 2nd</t>
  </si>
  <si>
    <t>Group I - 3rd</t>
  </si>
  <si>
    <t>Group J - 1st</t>
  </si>
  <si>
    <t>Group J - 2nd</t>
  </si>
  <si>
    <t>Group J - 3rd</t>
  </si>
  <si>
    <t>Group K - 1st</t>
  </si>
  <si>
    <t>Group K - 2nd</t>
  </si>
  <si>
    <t>Group K - 3rd</t>
  </si>
  <si>
    <t>Group L - 1st</t>
  </si>
  <si>
    <t>Group L - 2nd</t>
  </si>
  <si>
    <t>Group L - 3rd</t>
  </si>
  <si>
    <t>Subtotal standings</t>
  </si>
  <si>
    <t>8 BEST THIRDS</t>
  </si>
  <si>
    <t>Third 3-1</t>
  </si>
  <si>
    <t>Third 3-2</t>
  </si>
  <si>
    <t>Third 3-3</t>
  </si>
  <si>
    <t>Third 3-4</t>
  </si>
  <si>
    <t>Third 3-5</t>
  </si>
  <si>
    <t>Third 3-6</t>
  </si>
  <si>
    <t>Third 3-7</t>
  </si>
  <si>
    <t>Third 3-8</t>
  </si>
  <si>
    <t>Subtotal thirds</t>
  </si>
  <si>
    <t>ROUND OF 32</t>
  </si>
  <si>
    <t>ROUND OF 32 M1 score</t>
  </si>
  <si>
    <t>ROUND OF 32 M1 penalties</t>
  </si>
  <si>
    <t>ROUND OF 32 M1 advances</t>
  </si>
  <si>
    <t>ROUND OF 32 M2 score</t>
  </si>
  <si>
    <t>ROUND OF 32 M2 penalties</t>
  </si>
  <si>
    <t>ROUND OF 32 M2 advances</t>
  </si>
  <si>
    <t>ROUND OF 32 M3 score</t>
  </si>
  <si>
    <t>ROUND OF 32 M3 penalties</t>
  </si>
  <si>
    <t>ROUND OF 32 M3 advances</t>
  </si>
  <si>
    <t>ROUND OF 32 M4 score</t>
  </si>
  <si>
    <t>ROUND OF 32 M4 penalties</t>
  </si>
  <si>
    <t>ROUND OF 32 M4 advances</t>
  </si>
  <si>
    <t>ROUND OF 32 M5 score</t>
  </si>
  <si>
    <t>ROUND OF 32 M5 penalties</t>
  </si>
  <si>
    <t>ROUND OF 32 M5 advances</t>
  </si>
  <si>
    <t>ROUND OF 32 M6 score</t>
  </si>
  <si>
    <t>ROUND OF 32 M6 penalties</t>
  </si>
  <si>
    <t>ROUND OF 32 M6 advances</t>
  </si>
  <si>
    <t>ROUND OF 32 M7 score</t>
  </si>
  <si>
    <t>ROUND OF 32 M7 penalties</t>
  </si>
  <si>
    <t>ROUND OF 32 M7 advances</t>
  </si>
  <si>
    <t>ROUND OF 32 M8 score</t>
  </si>
  <si>
    <t>ROUND OF 32 M8 penalties</t>
  </si>
  <si>
    <t>ROUND OF 32 M8 advances</t>
  </si>
  <si>
    <t>ROUND OF 32 M9 score</t>
  </si>
  <si>
    <t>ROUND OF 32 M9 penalties</t>
  </si>
  <si>
    <t>ROUND OF 32 M9 advances</t>
  </si>
  <si>
    <t>ROUND OF 32 M10 score</t>
  </si>
  <si>
    <t>ROUND OF 32 M10 penalties</t>
  </si>
  <si>
    <t>ROUND OF 32 M10 advances</t>
  </si>
  <si>
    <t>ROUND OF 32 M11 score</t>
  </si>
  <si>
    <t>ROUND OF 32 M11 penalties</t>
  </si>
  <si>
    <t>ROUND OF 32 M11 advances</t>
  </si>
  <si>
    <t>ROUND OF 32 M12 score</t>
  </si>
  <si>
    <t>ROUND OF 32 M12 penalties</t>
  </si>
  <si>
    <t>ROUND OF 32 M12 advances</t>
  </si>
  <si>
    <t>ROUND OF 32 M13 score</t>
  </si>
  <si>
    <t>ROUND OF 32 M13 penalties</t>
  </si>
  <si>
    <t>ROUND OF 32 M13 advances</t>
  </si>
  <si>
    <t>ROUND OF 32 M14 score</t>
  </si>
  <si>
    <t>ROUND OF 32 M14 penalties</t>
  </si>
  <si>
    <t>ROUND OF 32 M14 advances</t>
  </si>
  <si>
    <t>ROUND OF 32 M15 score</t>
  </si>
  <si>
    <t>ROUND OF 32 M15 penalties</t>
  </si>
  <si>
    <t>ROUND OF 32 M15 advances</t>
  </si>
  <si>
    <t>ROUND OF 32 M16 score</t>
  </si>
  <si>
    <t>ROUND OF 32 M16 penalties</t>
  </si>
  <si>
    <t>ROUND OF 32 M16 advances</t>
  </si>
  <si>
    <t>Subtotal round of 32</t>
  </si>
  <si>
    <t>ROUND OF 16</t>
  </si>
  <si>
    <t>ROUND OF 16 M1 score</t>
  </si>
  <si>
    <t>ROUND OF 16 M1 penalties</t>
  </si>
  <si>
    <t>ROUND OF 16 M1 advances</t>
  </si>
  <si>
    <t>ROUND OF 16 M2 score</t>
  </si>
  <si>
    <t>ROUND OF 16 M2 penalties</t>
  </si>
  <si>
    <t>ROUND OF 16 M2 advances</t>
  </si>
  <si>
    <t>ROUND OF 16 M3 score</t>
  </si>
  <si>
    <t>ROUND OF 16 M3 penalties</t>
  </si>
  <si>
    <t>ROUND OF 16 M3 advances</t>
  </si>
  <si>
    <t>ROUND OF 16 M4 score</t>
  </si>
  <si>
    <t>ROUND OF 16 M4 penalties</t>
  </si>
  <si>
    <t>ROUND OF 16 M4 advances</t>
  </si>
  <si>
    <t>ROUND OF 16 M5 score</t>
  </si>
  <si>
    <t>ROUND OF 16 M5 penalties</t>
  </si>
  <si>
    <t>ROUND OF 16 M5 advances</t>
  </si>
  <si>
    <t>ROUND OF 16 M6 score</t>
  </si>
  <si>
    <t>ROUND OF 16 M6 penalties</t>
  </si>
  <si>
    <t>ROUND OF 16 M6 advances</t>
  </si>
  <si>
    <t>ROUND OF 16 M7 score</t>
  </si>
  <si>
    <t>ROUND OF 16 M7 penalties</t>
  </si>
  <si>
    <t>ROUND OF 16 M7 advances</t>
  </si>
  <si>
    <t>ROUND OF 16 M8 score</t>
  </si>
  <si>
    <t>ROUND OF 16 M8 penalties</t>
  </si>
  <si>
    <t>ROUND OF 16 M8 advances</t>
  </si>
  <si>
    <t>Subtotal round of 16</t>
  </si>
  <si>
    <t>QUARTER-FINALS</t>
  </si>
  <si>
    <t>QUARTER-FINALS M1 score</t>
  </si>
  <si>
    <t>QUARTER-FINALS M1 penalties</t>
  </si>
  <si>
    <t>QUARTER-FINALS M1 advances</t>
  </si>
  <si>
    <t>QUARTER-FINALS M2 score</t>
  </si>
  <si>
    <t>QUARTER-FINALS M2 penalties</t>
  </si>
  <si>
    <t>QUARTER-FINALS M2 advances</t>
  </si>
  <si>
    <t>QUARTER-FINALS M3 score</t>
  </si>
  <si>
    <t>QUARTER-FINALS M3 penalties</t>
  </si>
  <si>
    <t>QUARTER-FINALS M3 advances</t>
  </si>
  <si>
    <t>QUARTER-FINALS M4 score</t>
  </si>
  <si>
    <t>QUARTER-FINALS M4 penalties</t>
  </si>
  <si>
    <t>QUARTER-FINALS M4 advances</t>
  </si>
  <si>
    <t>Subtotal quarter-finals</t>
  </si>
  <si>
    <t>SEMI-FINALS</t>
  </si>
  <si>
    <t>SEMI-FINALS M1 score</t>
  </si>
  <si>
    <t>SEMI-FINALS M1 penalties</t>
  </si>
  <si>
    <t>SEMI-FINALS M1 advances</t>
  </si>
  <si>
    <t>SEMI-FINALS M2 score</t>
  </si>
  <si>
    <t>SEMI-FINALS M2 penalties</t>
  </si>
  <si>
    <t>SEMI-FINALS M2 advances</t>
  </si>
  <si>
    <t>Subtotal semi-finals</t>
  </si>
  <si>
    <t>3RD PLACE &amp; FINAL</t>
  </si>
  <si>
    <t>Champion</t>
  </si>
  <si>
    <t>Runner-up</t>
  </si>
  <si>
    <t>Subtotal final/3rd</t>
  </si>
  <si>
    <t>Subtotal awards</t>
  </si>
  <si>
    <t>TOTAL</t>
  </si>
  <si>
    <t>POOL STANDINGS</t>
  </si>
  <si>
    <t>Live ranking - updates automatically as you fill in Real results.</t>
  </si>
  <si>
    <t>Helper zone (do not edit)</t>
  </si>
  <si>
    <t>POS</t>
  </si>
  <si>
    <t>PARTICIPANT</t>
  </si>
  <si>
    <t>POINTS</t>
  </si>
  <si>
    <t>Helper: Name</t>
  </si>
  <si>
    <t>Helper: Pts</t>
  </si>
  <si>
    <t>Helper: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</si>
</sst>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5BE066"/>
      <name val="Georgia"/>
    </font>
    <font/>
    <font>
      <b/>
      <sz val="14.0"/>
      <color rgb="FF0A2E0A"/>
      <name val="Georgia"/>
    </font>
    <font>
      <sz val="10.0"/>
      <color rgb="FF4A4A47"/>
      <name val="Helvetica Neue"/>
    </font>
    <font>
      <b/>
      <sz val="11.0"/>
      <color rgb="FF0A2E0A"/>
      <name val="Courier New"/>
    </font>
    <font>
      <b/>
      <sz val="18.0"/>
      <color rgb="FF0A2E0A"/>
      <name val="Georgia"/>
    </font>
    <font>
      <i/>
      <sz val="10.0"/>
      <color rgb="FF4A4A47"/>
      <name val="Helvetica Neue"/>
    </font>
    <font>
      <b/>
      <sz val="9.0"/>
      <color rgb="FFFFFFFF"/>
      <name val="Courier New"/>
    </font>
    <font>
      <b/>
      <sz val="11.0"/>
      <color rgb="FF0A2E0A"/>
      <name val="Helvetica Neue"/>
    </font>
    <font>
      <sz val="9.0"/>
      <color rgb="FF4A4A47"/>
      <name val="Helvetica Neue"/>
    </font>
    <font>
      <b/>
      <sz val="11.0"/>
      <color rgb="FFE07B3D"/>
      <name val="Helvetica Neue"/>
    </font>
    <font>
      <b/>
      <sz val="15.0"/>
      <color rgb="FF0A2E0A"/>
      <name val="Georgia"/>
    </font>
    <font>
      <b/>
      <sz val="10.0"/>
      <color rgb="FFFFFFFF"/>
      <name val="Helvetica Neue"/>
    </font>
    <font>
      <b/>
      <sz val="10.0"/>
      <color rgb="FF0A2E0A"/>
      <name val="Helvetica Neue"/>
    </font>
    <font>
      <sz val="9.0"/>
      <color rgb="FF0A2E0A"/>
      <name val="Helvetica Neue"/>
    </font>
    <font>
      <b/>
      <sz val="9.0"/>
      <color rgb="FFFFFFFF"/>
      <name val="Helvetica Neue"/>
    </font>
    <font>
      <b/>
      <sz val="13.0"/>
      <color rgb="FFFFFFFF"/>
      <name val="Georgia"/>
    </font>
    <font>
      <b/>
      <sz val="13.0"/>
      <color rgb="FF5BE066"/>
      <name val="Georgia"/>
    </font>
    <font>
      <b/>
      <sz val="20.0"/>
      <color rgb="FF0A2E0A"/>
      <name val="Georgia"/>
    </font>
    <font>
      <i/>
      <sz val="8.0"/>
      <color rgb="FFA8A8A4"/>
      <name val="Helvetica Neue"/>
    </font>
    <font>
      <b/>
      <sz val="12.0"/>
      <color rgb="FF0A2E0A"/>
      <name val="Helvetica Neue"/>
    </font>
    <font>
      <sz val="8.0"/>
      <color rgb="FFA8A8A4"/>
      <name val="Helvetica Neue"/>
    </font>
    <font>
      <sz val="11.0"/>
      <color rgb="FF0A2E0A"/>
      <name val="Helvetica Neue"/>
    </font>
  </fonts>
  <fills count="14">
    <fill>
      <patternFill patternType="none"/>
    </fill>
    <fill>
      <patternFill patternType="lightGray"/>
    </fill>
    <fill>
      <patternFill patternType="solid">
        <fgColor rgb="FF0A2E0A"/>
        <bgColor rgb="FF0A2E0A"/>
      </patternFill>
    </fill>
    <fill>
      <patternFill patternType="solid">
        <fgColor rgb="FF5BE066"/>
        <bgColor rgb="FF5BE066"/>
      </patternFill>
    </fill>
    <fill>
      <patternFill patternType="solid">
        <fgColor rgb="FFF4F4F2"/>
        <bgColor rgb="FFF4F4F2"/>
      </patternFill>
    </fill>
    <fill>
      <patternFill patternType="solid">
        <fgColor rgb="FFFCE5D3"/>
        <bgColor rgb="FFFCE5D3"/>
      </patternFill>
    </fill>
    <fill>
      <patternFill patternType="solid">
        <fgColor rgb="FFFFF8E7"/>
        <bgColor rgb="FFFFF8E7"/>
      </patternFill>
    </fill>
    <fill>
      <patternFill patternType="solid">
        <fgColor rgb="FFE8F8E8"/>
        <bgColor rgb="FFE8F8E8"/>
      </patternFill>
    </fill>
    <fill>
      <patternFill patternType="solid">
        <fgColor rgb="FFF7E78A"/>
        <bgColor rgb="FFF7E78A"/>
      </patternFill>
    </fill>
    <fill>
      <patternFill patternType="solid">
        <fgColor rgb="FFFBF5C8"/>
        <bgColor rgb="FFFBF5C8"/>
      </patternFill>
    </fill>
    <fill>
      <patternFill patternType="solid">
        <fgColor rgb="FFE0E0E0"/>
        <bgColor rgb="FFE0E0E0"/>
      </patternFill>
    </fill>
    <fill>
      <patternFill patternType="solid">
        <fgColor rgb="FFF0F0F0"/>
        <bgColor rgb="FFF0F0F0"/>
      </patternFill>
    </fill>
    <fill>
      <patternFill patternType="solid">
        <fgColor rgb="FFE8C99B"/>
        <bgColor rgb="FFE8C99B"/>
      </patternFill>
    </fill>
    <fill>
      <patternFill patternType="solid">
        <fgColor rgb="FFF4E5CD"/>
        <bgColor rgb="FFF4E5CD"/>
      </patternFill>
    </fill>
  </fills>
  <borders count="10">
    <border/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medium">
        <color rgb="FF0A2E0A"/>
      </left>
      <right style="medium">
        <color rgb="FF0A2E0A"/>
      </right>
      <top style="medium">
        <color rgb="FF0A2E0A"/>
      </top>
      <bottom style="medium">
        <color rgb="FF0A2E0A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/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left" shrinkToFit="0" vertical="center" wrapText="0"/>
    </xf>
    <xf borderId="5" fillId="3" fontId="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left" shrinkToFit="0" vertical="center" wrapText="0"/>
    </xf>
    <xf borderId="6" fillId="5" fontId="12" numFmtId="1" xfId="0" applyAlignment="1" applyBorder="1" applyFill="1" applyFont="1" applyNumberFormat="1">
      <alignment horizontal="center" shrinkToFit="0" vertical="center" wrapText="0"/>
    </xf>
    <xf borderId="6" fillId="5" fontId="1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shrinkToFit="0" vertical="bottom" wrapText="0"/>
    </xf>
    <xf borderId="0" fillId="0" fontId="13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1"/>
    </xf>
    <xf borderId="5" fillId="2" fontId="14" numFmtId="0" xfId="0" applyAlignment="1" applyBorder="1" applyFont="1">
      <alignment horizontal="center" shrinkToFit="0" vertical="center" wrapText="0"/>
    </xf>
    <xf borderId="7" fillId="2" fontId="14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7" fillId="3" fontId="15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7" fillId="3" fontId="15" numFmtId="0" xfId="0" applyAlignment="1" applyBorder="1" applyFont="1">
      <alignment horizontal="center" shrinkToFit="0" vertical="center" wrapText="0"/>
    </xf>
    <xf borderId="5" fillId="6" fontId="16" numFmtId="1" xfId="0" applyAlignment="1" applyBorder="1" applyFill="1" applyFont="1" applyNumberFormat="1">
      <alignment horizontal="center" shrinkToFit="0" vertical="center" wrapText="0"/>
    </xf>
    <xf borderId="5" fillId="6" fontId="16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5" fillId="3" fontId="15" numFmtId="0" xfId="0" applyAlignment="1" applyBorder="1" applyFont="1">
      <alignment horizontal="left"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5" fillId="7" fontId="15" numFmtId="0" xfId="0" applyAlignment="1" applyBorder="1" applyFill="1" applyFont="1">
      <alignment horizontal="right" shrinkToFit="0" vertical="center" wrapText="0"/>
    </xf>
    <xf borderId="5" fillId="7" fontId="15" numFmtId="0" xfId="0" applyAlignment="1" applyBorder="1" applyFont="1">
      <alignment horizontal="center" shrinkToFit="0" vertical="center" wrapText="0"/>
    </xf>
    <xf borderId="6" fillId="2" fontId="18" numFmtId="0" xfId="0" applyAlignment="1" applyBorder="1" applyFont="1">
      <alignment horizontal="right" shrinkToFit="0" vertical="center" wrapText="0"/>
    </xf>
    <xf borderId="6" fillId="2" fontId="1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1" numFmtId="0" xfId="0" applyAlignment="1" applyFont="1">
      <alignment shrinkToFit="0" vertical="bottom" wrapText="0"/>
    </xf>
    <xf borderId="5" fillId="8" fontId="10" numFmtId="0" xfId="0" applyAlignment="1" applyBorder="1" applyFill="1" applyFont="1">
      <alignment horizontal="center" shrinkToFit="0" vertical="center" wrapText="0"/>
    </xf>
    <xf borderId="5" fillId="9" fontId="10" numFmtId="0" xfId="0" applyAlignment="1" applyBorder="1" applyFill="1" applyFont="1">
      <alignment horizontal="left" shrinkToFit="0" vertical="center" wrapText="0"/>
    </xf>
    <xf borderId="5" fillId="9" fontId="22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5" fillId="10" fontId="10" numFmtId="0" xfId="0" applyAlignment="1" applyBorder="1" applyFill="1" applyFont="1">
      <alignment horizontal="center" shrinkToFit="0" vertical="center" wrapText="0"/>
    </xf>
    <xf borderId="5" fillId="11" fontId="10" numFmtId="0" xfId="0" applyAlignment="1" applyBorder="1" applyFill="1" applyFont="1">
      <alignment horizontal="left" shrinkToFit="0" vertical="center" wrapText="0"/>
    </xf>
    <xf borderId="5" fillId="11" fontId="22" numFmtId="0" xfId="0" applyAlignment="1" applyBorder="1" applyFont="1">
      <alignment horizontal="center" shrinkToFit="0" vertical="center" wrapText="0"/>
    </xf>
    <xf borderId="5" fillId="12" fontId="10" numFmtId="0" xfId="0" applyAlignment="1" applyBorder="1" applyFill="1" applyFont="1">
      <alignment horizontal="center" shrinkToFit="0" vertical="center" wrapText="0"/>
    </xf>
    <xf borderId="5" fillId="13" fontId="10" numFmtId="0" xfId="0" applyAlignment="1" applyBorder="1" applyFill="1" applyFont="1">
      <alignment horizontal="left" shrinkToFit="0" vertical="center" wrapText="0"/>
    </xf>
    <xf borderId="5" fillId="13" fontId="22" numFmtId="0" xfId="0" applyAlignment="1" applyBorder="1" applyFon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0" fontId="24" numFmtId="0" xfId="0" applyAlignment="1" applyBorder="1" applyFont="1">
      <alignment horizontal="left" shrinkToFit="0" vertical="center" wrapText="0"/>
    </xf>
    <xf borderId="5" fillId="0" fontId="2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3" width="3.0"/>
    <col customWidth="1" min="4" max="26" width="8.71"/>
  </cols>
  <sheetData>
    <row r="1">
      <c r="A1" s="1"/>
      <c r="B1" s="1"/>
      <c r="C1" s="1"/>
    </row>
    <row r="2" ht="30.0" customHeight="1">
      <c r="A2" s="1"/>
      <c r="B2" s="2" t="s">
        <v>0</v>
      </c>
      <c r="C2" s="1"/>
    </row>
    <row r="3" ht="30.0" customHeight="1">
      <c r="A3" s="1"/>
      <c r="B3" s="3"/>
      <c r="C3" s="1"/>
    </row>
    <row r="4" ht="30.0" customHeight="1">
      <c r="A4" s="1"/>
      <c r="B4" s="4"/>
      <c r="C4" s="1"/>
    </row>
    <row r="5" ht="12.0" customHeight="1">
      <c r="A5" s="1"/>
      <c r="B5" s="1"/>
      <c r="C5" s="1"/>
    </row>
    <row r="6" ht="21.75" customHeight="1">
      <c r="A6" s="1"/>
      <c r="B6" s="5" t="s">
        <v>1</v>
      </c>
      <c r="C6" s="1"/>
    </row>
    <row r="7" ht="18.0" customHeight="1">
      <c r="A7" s="1"/>
      <c r="B7" s="6"/>
      <c r="C7" s="1"/>
    </row>
    <row r="8" ht="21.75" customHeight="1">
      <c r="A8" s="1"/>
      <c r="B8" s="6" t="s">
        <v>2</v>
      </c>
      <c r="C8" s="1"/>
    </row>
    <row r="9" ht="21.75" customHeight="1">
      <c r="A9" s="1"/>
      <c r="B9" s="6" t="s">
        <v>3</v>
      </c>
      <c r="C9" s="1"/>
    </row>
    <row r="10" ht="21.75" customHeight="1">
      <c r="A10" s="1"/>
      <c r="B10" s="6" t="s">
        <v>4</v>
      </c>
      <c r="C10" s="1"/>
    </row>
    <row r="11" ht="21.75" customHeight="1">
      <c r="A11" s="1"/>
      <c r="B11" s="6" t="s">
        <v>5</v>
      </c>
      <c r="C11" s="1"/>
    </row>
    <row r="12" ht="21.75" customHeight="1">
      <c r="A12" s="1"/>
      <c r="B12" s="6" t="s">
        <v>6</v>
      </c>
      <c r="C12" s="1"/>
    </row>
    <row r="13" ht="21.75" customHeight="1">
      <c r="A13" s="1"/>
      <c r="B13" s="6" t="s">
        <v>7</v>
      </c>
      <c r="C13" s="1"/>
    </row>
    <row r="14" ht="18.0" customHeight="1">
      <c r="A14" s="1"/>
      <c r="B14" s="6"/>
      <c r="C14" s="1"/>
    </row>
    <row r="15" ht="21.75" customHeight="1">
      <c r="A15" s="1"/>
      <c r="B15" s="5" t="s">
        <v>8</v>
      </c>
      <c r="C15" s="1"/>
    </row>
    <row r="16" ht="21.75" customHeight="1">
      <c r="A16" s="1"/>
      <c r="B16" s="6" t="s">
        <v>9</v>
      </c>
      <c r="C16" s="1"/>
    </row>
    <row r="17" ht="21.75" customHeight="1">
      <c r="A17" s="1"/>
      <c r="B17" s="6" t="s">
        <v>10</v>
      </c>
      <c r="C17" s="1"/>
    </row>
    <row r="18" ht="18.0" customHeight="1">
      <c r="A18" s="1"/>
      <c r="B18" s="6"/>
      <c r="C18" s="1"/>
    </row>
    <row r="19" ht="21.75" customHeight="1">
      <c r="A19" s="1"/>
      <c r="B19" s="5" t="s">
        <v>11</v>
      </c>
      <c r="C19" s="1"/>
    </row>
    <row r="20" ht="18.0" customHeight="1">
      <c r="A20" s="1"/>
      <c r="B20" s="6"/>
      <c r="C20" s="1"/>
    </row>
    <row r="21" ht="21.75" customHeight="1">
      <c r="A21" s="1"/>
      <c r="B21" s="7" t="s">
        <v>12</v>
      </c>
      <c r="C21" s="1"/>
    </row>
    <row r="22" ht="21.75" customHeight="1">
      <c r="A22" s="1"/>
      <c r="B22" s="6" t="s">
        <v>13</v>
      </c>
      <c r="C22" s="1"/>
    </row>
    <row r="23" ht="21.75" customHeight="1">
      <c r="A23" s="1"/>
      <c r="B23" s="6" t="s">
        <v>14</v>
      </c>
      <c r="C23" s="1"/>
    </row>
    <row r="24" ht="18.0" customHeight="1">
      <c r="A24" s="1"/>
      <c r="B24" s="6"/>
      <c r="C24" s="1"/>
    </row>
    <row r="25" ht="21.75" customHeight="1">
      <c r="A25" s="1"/>
      <c r="B25" s="7" t="s">
        <v>15</v>
      </c>
      <c r="C25" s="1"/>
    </row>
    <row r="26" ht="21.75" customHeight="1">
      <c r="A26" s="1"/>
      <c r="B26" s="6" t="s">
        <v>16</v>
      </c>
      <c r="C26" s="1"/>
    </row>
    <row r="27" ht="21.75" customHeight="1">
      <c r="A27" s="1"/>
      <c r="B27" s="6" t="s">
        <v>17</v>
      </c>
      <c r="C27" s="1"/>
    </row>
    <row r="28" ht="21.75" customHeight="1">
      <c r="A28" s="1"/>
      <c r="B28" s="6" t="s">
        <v>18</v>
      </c>
      <c r="C28" s="1"/>
    </row>
    <row r="29" ht="18.0" customHeight="1">
      <c r="A29" s="1"/>
      <c r="B29" s="6"/>
      <c r="C29" s="1"/>
    </row>
    <row r="30" ht="21.75" customHeight="1">
      <c r="A30" s="1"/>
      <c r="B30" s="7" t="s">
        <v>19</v>
      </c>
      <c r="C30" s="1"/>
    </row>
    <row r="31" ht="21.75" customHeight="1">
      <c r="A31" s="1"/>
      <c r="B31" s="6" t="s">
        <v>20</v>
      </c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1">
    <mergeCell ref="B2:B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4" width="14.0"/>
    <col customWidth="1" min="5" max="5" width="3.0"/>
    <col customWidth="1" min="6" max="26" width="8.71"/>
  </cols>
  <sheetData>
    <row r="1">
      <c r="A1" s="1"/>
      <c r="B1" s="1"/>
      <c r="C1" s="1"/>
      <c r="D1" s="1"/>
      <c r="E1" s="1"/>
    </row>
    <row r="2" ht="31.5" customHeight="1">
      <c r="A2" s="1"/>
      <c r="B2" s="8" t="s">
        <v>21</v>
      </c>
      <c r="E2" s="1"/>
    </row>
    <row r="3" ht="21.75" customHeight="1">
      <c r="A3" s="1"/>
      <c r="B3" s="9" t="s">
        <v>22</v>
      </c>
      <c r="E3" s="1"/>
    </row>
    <row r="4">
      <c r="A4" s="1"/>
      <c r="B4" s="1"/>
      <c r="C4" s="1"/>
      <c r="D4" s="1"/>
      <c r="E4" s="1"/>
    </row>
    <row r="5" ht="21.75" customHeight="1">
      <c r="A5" s="1"/>
      <c r="B5" s="10" t="s">
        <v>23</v>
      </c>
      <c r="C5" s="10" t="s">
        <v>24</v>
      </c>
      <c r="D5" s="10" t="s">
        <v>25</v>
      </c>
      <c r="E5" s="1"/>
    </row>
    <row r="6" ht="21.75" customHeight="1">
      <c r="A6" s="1"/>
      <c r="B6" s="11" t="s">
        <v>26</v>
      </c>
      <c r="C6" s="12"/>
      <c r="D6" s="12"/>
      <c r="E6" s="1"/>
    </row>
    <row r="7" ht="18.0" customHeight="1">
      <c r="A7" s="1"/>
      <c r="B7" s="13" t="s">
        <v>27</v>
      </c>
      <c r="C7" s="14"/>
      <c r="D7" s="14"/>
      <c r="E7" s="1"/>
    </row>
    <row r="8" ht="18.0" customHeight="1">
      <c r="A8" s="1"/>
      <c r="B8" s="13" t="s">
        <v>28</v>
      </c>
      <c r="C8" s="14"/>
      <c r="D8" s="14"/>
      <c r="E8" s="1"/>
    </row>
    <row r="9" ht="18.0" customHeight="1">
      <c r="A9" s="1"/>
      <c r="B9" s="13" t="s">
        <v>29</v>
      </c>
      <c r="C9" s="14"/>
      <c r="D9" s="14"/>
      <c r="E9" s="1"/>
    </row>
    <row r="10" ht="18.0" customHeight="1">
      <c r="A10" s="1"/>
      <c r="B10" s="13" t="s">
        <v>30</v>
      </c>
      <c r="C10" s="14"/>
      <c r="D10" s="14"/>
      <c r="E10" s="1"/>
    </row>
    <row r="11" ht="18.0" customHeight="1">
      <c r="A11" s="1"/>
      <c r="B11" s="13" t="s">
        <v>31</v>
      </c>
      <c r="C11" s="14"/>
      <c r="D11" s="14"/>
      <c r="E11" s="1"/>
    </row>
    <row r="12" ht="18.0" customHeight="1">
      <c r="A12" s="1"/>
      <c r="B12" s="13" t="s">
        <v>32</v>
      </c>
      <c r="C12" s="14"/>
      <c r="D12" s="14"/>
      <c r="E12" s="1"/>
    </row>
    <row r="13" ht="18.0" customHeight="1">
      <c r="A13" s="1"/>
      <c r="B13" s="13" t="s">
        <v>33</v>
      </c>
      <c r="C13" s="14"/>
      <c r="D13" s="14"/>
      <c r="E13" s="1"/>
    </row>
    <row r="14" ht="18.0" customHeight="1">
      <c r="A14" s="1"/>
      <c r="B14" s="13" t="s">
        <v>34</v>
      </c>
      <c r="C14" s="14"/>
      <c r="D14" s="14"/>
      <c r="E14" s="1"/>
    </row>
    <row r="15" ht="18.0" customHeight="1">
      <c r="A15" s="1"/>
      <c r="B15" s="13" t="s">
        <v>35</v>
      </c>
      <c r="C15" s="14"/>
      <c r="D15" s="14"/>
      <c r="E15" s="1"/>
    </row>
    <row r="16" ht="18.0" customHeight="1">
      <c r="A16" s="1"/>
      <c r="B16" s="13" t="s">
        <v>36</v>
      </c>
      <c r="C16" s="14"/>
      <c r="D16" s="14"/>
      <c r="E16" s="1"/>
    </row>
    <row r="17" ht="18.0" customHeight="1">
      <c r="A17" s="1"/>
      <c r="B17" s="13" t="s">
        <v>37</v>
      </c>
      <c r="C17" s="14"/>
      <c r="D17" s="14"/>
      <c r="E17" s="1"/>
    </row>
    <row r="18" ht="18.0" customHeight="1">
      <c r="A18" s="1"/>
      <c r="B18" s="13" t="s">
        <v>38</v>
      </c>
      <c r="C18" s="14"/>
      <c r="D18" s="14"/>
      <c r="E18" s="1"/>
    </row>
    <row r="19" ht="18.0" customHeight="1">
      <c r="A19" s="1"/>
      <c r="B19" s="13" t="s">
        <v>39</v>
      </c>
      <c r="C19" s="14"/>
      <c r="D19" s="14"/>
      <c r="E19" s="1"/>
    </row>
    <row r="20" ht="18.0" customHeight="1">
      <c r="A20" s="1"/>
      <c r="B20" s="13" t="s">
        <v>40</v>
      </c>
      <c r="C20" s="14"/>
      <c r="D20" s="14"/>
      <c r="E20" s="1"/>
    </row>
    <row r="21" ht="18.0" customHeight="1">
      <c r="A21" s="1"/>
      <c r="B21" s="13" t="s">
        <v>41</v>
      </c>
      <c r="C21" s="14"/>
      <c r="D21" s="14"/>
      <c r="E21" s="1"/>
    </row>
    <row r="22" ht="18.0" customHeight="1">
      <c r="A22" s="1"/>
      <c r="B22" s="13" t="s">
        <v>42</v>
      </c>
      <c r="C22" s="14"/>
      <c r="D22" s="14"/>
      <c r="E22" s="1"/>
    </row>
    <row r="23" ht="18.0" customHeight="1">
      <c r="A23" s="1"/>
      <c r="B23" s="13" t="s">
        <v>43</v>
      </c>
      <c r="C23" s="14"/>
      <c r="D23" s="14"/>
      <c r="E23" s="1"/>
    </row>
    <row r="24" ht="18.0" customHeight="1">
      <c r="A24" s="1"/>
      <c r="B24" s="13" t="s">
        <v>44</v>
      </c>
      <c r="C24" s="14"/>
      <c r="D24" s="14"/>
      <c r="E24" s="1"/>
    </row>
    <row r="25" ht="18.0" customHeight="1">
      <c r="A25" s="1"/>
      <c r="B25" s="13" t="s">
        <v>45</v>
      </c>
      <c r="C25" s="14"/>
      <c r="D25" s="14"/>
      <c r="E25" s="1"/>
    </row>
    <row r="26" ht="18.0" customHeight="1">
      <c r="A26" s="1"/>
      <c r="B26" s="13" t="s">
        <v>46</v>
      </c>
      <c r="C26" s="14"/>
      <c r="D26" s="14"/>
      <c r="E26" s="1"/>
    </row>
    <row r="27" ht="18.0" customHeight="1">
      <c r="A27" s="1"/>
      <c r="B27" s="13" t="s">
        <v>47</v>
      </c>
      <c r="C27" s="14"/>
      <c r="D27" s="14"/>
      <c r="E27" s="1"/>
    </row>
    <row r="28" ht="18.0" customHeight="1">
      <c r="A28" s="1"/>
      <c r="B28" s="13" t="s">
        <v>48</v>
      </c>
      <c r="C28" s="14"/>
      <c r="D28" s="14"/>
      <c r="E28" s="1"/>
    </row>
    <row r="29" ht="18.0" customHeight="1">
      <c r="A29" s="1"/>
      <c r="B29" s="13" t="s">
        <v>49</v>
      </c>
      <c r="C29" s="14"/>
      <c r="D29" s="14"/>
      <c r="E29" s="1"/>
    </row>
    <row r="30" ht="18.0" customHeight="1">
      <c r="A30" s="1"/>
      <c r="B30" s="13" t="s">
        <v>50</v>
      </c>
      <c r="C30" s="14"/>
      <c r="D30" s="14"/>
      <c r="E30" s="1"/>
    </row>
    <row r="31" ht="18.0" customHeight="1">
      <c r="A31" s="1"/>
      <c r="B31" s="13" t="s">
        <v>51</v>
      </c>
      <c r="C31" s="14"/>
      <c r="D31" s="14"/>
      <c r="E31" s="1"/>
    </row>
    <row r="32" ht="18.0" customHeight="1">
      <c r="A32" s="1"/>
      <c r="B32" s="13" t="s">
        <v>52</v>
      </c>
      <c r="C32" s="14"/>
      <c r="D32" s="14"/>
      <c r="E32" s="1"/>
    </row>
    <row r="33" ht="18.0" customHeight="1">
      <c r="A33" s="1"/>
      <c r="B33" s="13" t="s">
        <v>53</v>
      </c>
      <c r="C33" s="14"/>
      <c r="D33" s="14"/>
      <c r="E33" s="1"/>
    </row>
    <row r="34" ht="18.0" customHeight="1">
      <c r="A34" s="1"/>
      <c r="B34" s="13" t="s">
        <v>54</v>
      </c>
      <c r="C34" s="14"/>
      <c r="D34" s="14"/>
      <c r="E34" s="1"/>
    </row>
    <row r="35" ht="18.0" customHeight="1">
      <c r="A35" s="1"/>
      <c r="B35" s="13" t="s">
        <v>55</v>
      </c>
      <c r="C35" s="14"/>
      <c r="D35" s="14"/>
      <c r="E35" s="1"/>
    </row>
    <row r="36" ht="18.0" customHeight="1">
      <c r="A36" s="1"/>
      <c r="B36" s="13" t="s">
        <v>56</v>
      </c>
      <c r="C36" s="14"/>
      <c r="D36" s="14"/>
      <c r="E36" s="1"/>
    </row>
    <row r="37" ht="18.0" customHeight="1">
      <c r="A37" s="1"/>
      <c r="B37" s="13" t="s">
        <v>57</v>
      </c>
      <c r="C37" s="14"/>
      <c r="D37" s="14"/>
      <c r="E37" s="1"/>
    </row>
    <row r="38" ht="18.0" customHeight="1">
      <c r="A38" s="1"/>
      <c r="B38" s="13" t="s">
        <v>58</v>
      </c>
      <c r="C38" s="14"/>
      <c r="D38" s="14"/>
      <c r="E38" s="1"/>
    </row>
    <row r="39" ht="18.0" customHeight="1">
      <c r="A39" s="1"/>
      <c r="B39" s="13" t="s">
        <v>59</v>
      </c>
      <c r="C39" s="14"/>
      <c r="D39" s="14"/>
      <c r="E39" s="1"/>
    </row>
    <row r="40" ht="18.0" customHeight="1">
      <c r="A40" s="1"/>
      <c r="B40" s="13" t="s">
        <v>60</v>
      </c>
      <c r="C40" s="14"/>
      <c r="D40" s="14"/>
      <c r="E40" s="1"/>
    </row>
    <row r="41" ht="18.0" customHeight="1">
      <c r="A41" s="1"/>
      <c r="B41" s="13" t="s">
        <v>61</v>
      </c>
      <c r="C41" s="14"/>
      <c r="D41" s="14"/>
      <c r="E41" s="1"/>
    </row>
    <row r="42" ht="18.0" customHeight="1">
      <c r="A42" s="1"/>
      <c r="B42" s="13" t="s">
        <v>62</v>
      </c>
      <c r="C42" s="14"/>
      <c r="D42" s="14"/>
      <c r="E42" s="1"/>
    </row>
    <row r="43" ht="18.0" customHeight="1">
      <c r="A43" s="1"/>
      <c r="B43" s="13" t="s">
        <v>63</v>
      </c>
      <c r="C43" s="14"/>
      <c r="D43" s="14"/>
      <c r="E43" s="1"/>
    </row>
    <row r="44" ht="18.0" customHeight="1">
      <c r="A44" s="1"/>
      <c r="B44" s="13" t="s">
        <v>64</v>
      </c>
      <c r="C44" s="14"/>
      <c r="D44" s="14"/>
      <c r="E44" s="1"/>
    </row>
    <row r="45" ht="18.0" customHeight="1">
      <c r="A45" s="1"/>
      <c r="B45" s="13" t="s">
        <v>65</v>
      </c>
      <c r="C45" s="14"/>
      <c r="D45" s="14"/>
      <c r="E45" s="1"/>
    </row>
    <row r="46" ht="18.0" customHeight="1">
      <c r="A46" s="1"/>
      <c r="B46" s="13" t="s">
        <v>66</v>
      </c>
      <c r="C46" s="14"/>
      <c r="D46" s="14"/>
      <c r="E46" s="1"/>
    </row>
    <row r="47" ht="18.0" customHeight="1">
      <c r="A47" s="1"/>
      <c r="B47" s="13" t="s">
        <v>67</v>
      </c>
      <c r="C47" s="14"/>
      <c r="D47" s="14"/>
      <c r="E47" s="1"/>
    </row>
    <row r="48" ht="18.0" customHeight="1">
      <c r="A48" s="1"/>
      <c r="B48" s="13" t="s">
        <v>68</v>
      </c>
      <c r="C48" s="14"/>
      <c r="D48" s="14"/>
      <c r="E48" s="1"/>
    </row>
    <row r="49" ht="18.0" customHeight="1">
      <c r="A49" s="1"/>
      <c r="B49" s="13" t="s">
        <v>69</v>
      </c>
      <c r="C49" s="14"/>
      <c r="D49" s="14"/>
      <c r="E49" s="1"/>
    </row>
    <row r="50" ht="18.0" customHeight="1">
      <c r="A50" s="1"/>
      <c r="B50" s="13" t="s">
        <v>70</v>
      </c>
      <c r="C50" s="14"/>
      <c r="D50" s="14"/>
      <c r="E50" s="1"/>
    </row>
    <row r="51" ht="18.0" customHeight="1">
      <c r="A51" s="1"/>
      <c r="B51" s="13" t="s">
        <v>71</v>
      </c>
      <c r="C51" s="14"/>
      <c r="D51" s="14"/>
      <c r="E51" s="1"/>
    </row>
    <row r="52" ht="18.0" customHeight="1">
      <c r="A52" s="1"/>
      <c r="B52" s="13" t="s">
        <v>72</v>
      </c>
      <c r="C52" s="14"/>
      <c r="D52" s="14"/>
      <c r="E52" s="1"/>
    </row>
    <row r="53" ht="18.0" customHeight="1">
      <c r="A53" s="1"/>
      <c r="B53" s="13" t="s">
        <v>73</v>
      </c>
      <c r="C53" s="14"/>
      <c r="D53" s="14"/>
      <c r="E53" s="1"/>
    </row>
    <row r="54" ht="18.0" customHeight="1">
      <c r="A54" s="1"/>
      <c r="B54" s="13" t="s">
        <v>74</v>
      </c>
      <c r="C54" s="14"/>
      <c r="D54" s="14"/>
      <c r="E54" s="1"/>
    </row>
    <row r="55" ht="18.0" customHeight="1">
      <c r="A55" s="1"/>
      <c r="B55" s="13" t="s">
        <v>75</v>
      </c>
      <c r="C55" s="14"/>
      <c r="D55" s="14"/>
      <c r="E55" s="1"/>
    </row>
    <row r="56" ht="18.0" customHeight="1">
      <c r="A56" s="1"/>
      <c r="B56" s="13" t="s">
        <v>76</v>
      </c>
      <c r="C56" s="14"/>
      <c r="D56" s="14"/>
      <c r="E56" s="1"/>
    </row>
    <row r="57" ht="18.0" customHeight="1">
      <c r="A57" s="1"/>
      <c r="B57" s="13" t="s">
        <v>77</v>
      </c>
      <c r="C57" s="14"/>
      <c r="D57" s="14"/>
      <c r="E57" s="1"/>
    </row>
    <row r="58" ht="18.0" customHeight="1">
      <c r="A58" s="1"/>
      <c r="B58" s="13" t="s">
        <v>78</v>
      </c>
      <c r="C58" s="14"/>
      <c r="D58" s="14"/>
      <c r="E58" s="1"/>
    </row>
    <row r="59" ht="18.0" customHeight="1">
      <c r="A59" s="1"/>
      <c r="B59" s="13" t="s">
        <v>79</v>
      </c>
      <c r="C59" s="14"/>
      <c r="D59" s="14"/>
      <c r="E59" s="1"/>
    </row>
    <row r="60" ht="18.0" customHeight="1">
      <c r="A60" s="1"/>
      <c r="B60" s="13" t="s">
        <v>80</v>
      </c>
      <c r="C60" s="14"/>
      <c r="D60" s="14"/>
      <c r="E60" s="1"/>
    </row>
    <row r="61" ht="18.0" customHeight="1">
      <c r="A61" s="1"/>
      <c r="B61" s="13" t="s">
        <v>81</v>
      </c>
      <c r="C61" s="14"/>
      <c r="D61" s="14"/>
      <c r="E61" s="1"/>
    </row>
    <row r="62" ht="18.0" customHeight="1">
      <c r="A62" s="1"/>
      <c r="B62" s="13" t="s">
        <v>82</v>
      </c>
      <c r="C62" s="14"/>
      <c r="D62" s="14"/>
      <c r="E62" s="1"/>
    </row>
    <row r="63" ht="18.0" customHeight="1">
      <c r="A63" s="1"/>
      <c r="B63" s="13" t="s">
        <v>83</v>
      </c>
      <c r="C63" s="14"/>
      <c r="D63" s="14"/>
      <c r="E63" s="1"/>
    </row>
    <row r="64" ht="18.0" customHeight="1">
      <c r="A64" s="1"/>
      <c r="B64" s="13" t="s">
        <v>84</v>
      </c>
      <c r="C64" s="14"/>
      <c r="D64" s="14"/>
      <c r="E64" s="1"/>
    </row>
    <row r="65" ht="18.0" customHeight="1">
      <c r="A65" s="1"/>
      <c r="B65" s="13" t="s">
        <v>85</v>
      </c>
      <c r="C65" s="14"/>
      <c r="D65" s="14"/>
      <c r="E65" s="1"/>
    </row>
    <row r="66" ht="18.0" customHeight="1">
      <c r="A66" s="1"/>
      <c r="B66" s="13" t="s">
        <v>86</v>
      </c>
      <c r="C66" s="14"/>
      <c r="D66" s="14"/>
      <c r="E66" s="1"/>
    </row>
    <row r="67" ht="18.0" customHeight="1">
      <c r="A67" s="1"/>
      <c r="B67" s="13" t="s">
        <v>87</v>
      </c>
      <c r="C67" s="14"/>
      <c r="D67" s="14"/>
      <c r="E67" s="1"/>
    </row>
    <row r="68" ht="18.0" customHeight="1">
      <c r="A68" s="1"/>
      <c r="B68" s="13" t="s">
        <v>88</v>
      </c>
      <c r="C68" s="14"/>
      <c r="D68" s="14"/>
      <c r="E68" s="1"/>
    </row>
    <row r="69" ht="18.0" customHeight="1">
      <c r="A69" s="1"/>
      <c r="B69" s="13" t="s">
        <v>89</v>
      </c>
      <c r="C69" s="14"/>
      <c r="D69" s="14"/>
      <c r="E69" s="1"/>
    </row>
    <row r="70" ht="18.0" customHeight="1">
      <c r="A70" s="1"/>
      <c r="B70" s="13" t="s">
        <v>90</v>
      </c>
      <c r="C70" s="14"/>
      <c r="D70" s="14"/>
      <c r="E70" s="1"/>
    </row>
    <row r="71" ht="18.0" customHeight="1">
      <c r="A71" s="1"/>
      <c r="B71" s="13" t="s">
        <v>91</v>
      </c>
      <c r="C71" s="14"/>
      <c r="D71" s="14"/>
      <c r="E71" s="1"/>
    </row>
    <row r="72" ht="18.0" customHeight="1">
      <c r="A72" s="1"/>
      <c r="B72" s="13" t="s">
        <v>92</v>
      </c>
      <c r="C72" s="14"/>
      <c r="D72" s="14"/>
      <c r="E72" s="1"/>
    </row>
    <row r="73" ht="18.0" customHeight="1">
      <c r="A73" s="1"/>
      <c r="B73" s="13" t="s">
        <v>93</v>
      </c>
      <c r="C73" s="14"/>
      <c r="D73" s="14"/>
      <c r="E73" s="1"/>
    </row>
    <row r="74" ht="18.0" customHeight="1">
      <c r="A74" s="1"/>
      <c r="B74" s="13" t="s">
        <v>94</v>
      </c>
      <c r="C74" s="14"/>
      <c r="D74" s="14"/>
      <c r="E74" s="1"/>
    </row>
    <row r="75" ht="18.0" customHeight="1">
      <c r="A75" s="1"/>
      <c r="B75" s="13" t="s">
        <v>95</v>
      </c>
      <c r="C75" s="14"/>
      <c r="D75" s="14"/>
      <c r="E75" s="1"/>
    </row>
    <row r="76" ht="18.0" customHeight="1">
      <c r="A76" s="1"/>
      <c r="B76" s="13" t="s">
        <v>96</v>
      </c>
      <c r="C76" s="14"/>
      <c r="D76" s="14"/>
      <c r="E76" s="1"/>
    </row>
    <row r="77" ht="18.0" customHeight="1">
      <c r="A77" s="1"/>
      <c r="B77" s="13" t="s">
        <v>97</v>
      </c>
      <c r="C77" s="14"/>
      <c r="D77" s="14"/>
      <c r="E77" s="1"/>
    </row>
    <row r="78" ht="18.0" customHeight="1">
      <c r="A78" s="1"/>
      <c r="B78" s="13" t="s">
        <v>98</v>
      </c>
      <c r="C78" s="14"/>
      <c r="D78" s="14"/>
      <c r="E78" s="1"/>
    </row>
    <row r="79" ht="21.75" customHeight="1">
      <c r="A79" s="1"/>
      <c r="B79" s="11" t="s">
        <v>99</v>
      </c>
      <c r="C79" s="12"/>
      <c r="D79" s="12"/>
      <c r="E79" s="1"/>
    </row>
    <row r="80" ht="18.0" customHeight="1">
      <c r="A80" s="1"/>
      <c r="B80" s="13" t="s">
        <v>100</v>
      </c>
      <c r="C80" s="15"/>
      <c r="D80" s="16"/>
      <c r="E80" s="1"/>
    </row>
    <row r="81" ht="18.0" customHeight="1">
      <c r="A81" s="1"/>
      <c r="B81" s="13" t="s">
        <v>101</v>
      </c>
      <c r="C81" s="15"/>
      <c r="D81" s="16"/>
      <c r="E81" s="1"/>
    </row>
    <row r="82" ht="18.0" customHeight="1">
      <c r="A82" s="1"/>
      <c r="B82" s="13" t="s">
        <v>102</v>
      </c>
      <c r="C82" s="15"/>
      <c r="D82" s="16"/>
      <c r="E82" s="1"/>
    </row>
    <row r="83" ht="18.0" customHeight="1">
      <c r="A83" s="1"/>
      <c r="B83" s="13" t="s">
        <v>103</v>
      </c>
      <c r="C83" s="15"/>
      <c r="D83" s="16"/>
      <c r="E83" s="1"/>
    </row>
    <row r="84" ht="18.0" customHeight="1">
      <c r="A84" s="1"/>
      <c r="B84" s="13" t="s">
        <v>104</v>
      </c>
      <c r="C84" s="15"/>
      <c r="D84" s="16"/>
      <c r="E84" s="1"/>
    </row>
    <row r="85" ht="18.0" customHeight="1">
      <c r="A85" s="1"/>
      <c r="B85" s="13" t="s">
        <v>105</v>
      </c>
      <c r="C85" s="15"/>
      <c r="D85" s="16"/>
      <c r="E85" s="1"/>
    </row>
    <row r="86" ht="18.0" customHeight="1">
      <c r="A86" s="1"/>
      <c r="B86" s="13" t="s">
        <v>106</v>
      </c>
      <c r="C86" s="15"/>
      <c r="D86" s="16"/>
      <c r="E86" s="1"/>
    </row>
    <row r="87" ht="18.0" customHeight="1">
      <c r="A87" s="1"/>
      <c r="B87" s="13" t="s">
        <v>107</v>
      </c>
      <c r="C87" s="15"/>
      <c r="D87" s="16"/>
      <c r="E87" s="1"/>
    </row>
    <row r="88" ht="18.0" customHeight="1">
      <c r="A88" s="1"/>
      <c r="B88" s="13" t="s">
        <v>108</v>
      </c>
      <c r="C88" s="15"/>
      <c r="D88" s="16"/>
      <c r="E88" s="1"/>
    </row>
    <row r="89" ht="18.0" customHeight="1">
      <c r="A89" s="1"/>
      <c r="B89" s="13" t="s">
        <v>109</v>
      </c>
      <c r="C89" s="15"/>
      <c r="D89" s="16"/>
      <c r="E89" s="1"/>
    </row>
    <row r="90" ht="18.0" customHeight="1">
      <c r="A90" s="1"/>
      <c r="B90" s="13" t="s">
        <v>110</v>
      </c>
      <c r="C90" s="15"/>
      <c r="D90" s="16"/>
      <c r="E90" s="1"/>
    </row>
    <row r="91" ht="18.0" customHeight="1">
      <c r="A91" s="1"/>
      <c r="B91" s="13" t="s">
        <v>111</v>
      </c>
      <c r="C91" s="15"/>
      <c r="D91" s="16"/>
      <c r="E91" s="1"/>
    </row>
    <row r="92" ht="18.0" customHeight="1">
      <c r="A92" s="1"/>
      <c r="B92" s="13" t="s">
        <v>112</v>
      </c>
      <c r="C92" s="15"/>
      <c r="D92" s="16"/>
      <c r="E92" s="1"/>
    </row>
    <row r="93" ht="18.0" customHeight="1">
      <c r="A93" s="1"/>
      <c r="B93" s="13" t="s">
        <v>113</v>
      </c>
      <c r="C93" s="15"/>
      <c r="D93" s="16"/>
      <c r="E93" s="1"/>
    </row>
    <row r="94" ht="18.0" customHeight="1">
      <c r="A94" s="1"/>
      <c r="B94" s="13" t="s">
        <v>114</v>
      </c>
      <c r="C94" s="15"/>
      <c r="D94" s="16"/>
      <c r="E94" s="1"/>
    </row>
    <row r="95" ht="18.0" customHeight="1">
      <c r="A95" s="1"/>
      <c r="B95" s="13" t="s">
        <v>115</v>
      </c>
      <c r="C95" s="15"/>
      <c r="D95" s="16"/>
      <c r="E95" s="1"/>
    </row>
    <row r="96" ht="18.0" customHeight="1">
      <c r="A96" s="1"/>
      <c r="B96" s="13" t="s">
        <v>116</v>
      </c>
      <c r="C96" s="15"/>
      <c r="D96" s="16"/>
      <c r="E96" s="1"/>
    </row>
    <row r="97" ht="18.0" customHeight="1">
      <c r="A97" s="1"/>
      <c r="B97" s="13" t="s">
        <v>117</v>
      </c>
      <c r="C97" s="15"/>
      <c r="D97" s="16"/>
      <c r="E97" s="1"/>
    </row>
    <row r="98" ht="18.0" customHeight="1">
      <c r="A98" s="1"/>
      <c r="B98" s="13" t="s">
        <v>118</v>
      </c>
      <c r="C98" s="15"/>
      <c r="D98" s="16"/>
      <c r="E98" s="1"/>
    </row>
    <row r="99" ht="18.0" customHeight="1">
      <c r="A99" s="1"/>
      <c r="B99" s="13" t="s">
        <v>119</v>
      </c>
      <c r="C99" s="15"/>
      <c r="D99" s="16"/>
      <c r="E99" s="1"/>
    </row>
    <row r="100" ht="18.0" customHeight="1">
      <c r="A100" s="1"/>
      <c r="B100" s="13" t="s">
        <v>120</v>
      </c>
      <c r="C100" s="15"/>
      <c r="D100" s="16"/>
      <c r="E100" s="1"/>
    </row>
    <row r="101" ht="18.0" customHeight="1">
      <c r="A101" s="1"/>
      <c r="B101" s="13" t="s">
        <v>121</v>
      </c>
      <c r="C101" s="15"/>
      <c r="D101" s="16"/>
      <c r="E101" s="1"/>
    </row>
    <row r="102" ht="18.0" customHeight="1">
      <c r="A102" s="1"/>
      <c r="B102" s="13" t="s">
        <v>122</v>
      </c>
      <c r="C102" s="15"/>
      <c r="D102" s="16"/>
      <c r="E102" s="1"/>
    </row>
    <row r="103" ht="18.0" customHeight="1">
      <c r="A103" s="1"/>
      <c r="B103" s="13" t="s">
        <v>123</v>
      </c>
      <c r="C103" s="15"/>
      <c r="D103" s="16"/>
      <c r="E103" s="1"/>
    </row>
    <row r="104" ht="18.0" customHeight="1">
      <c r="A104" s="1"/>
      <c r="B104" s="13" t="s">
        <v>124</v>
      </c>
      <c r="C104" s="15"/>
      <c r="D104" s="16"/>
      <c r="E104" s="1"/>
    </row>
    <row r="105" ht="18.0" customHeight="1">
      <c r="A105" s="1"/>
      <c r="B105" s="13" t="s">
        <v>125</v>
      </c>
      <c r="C105" s="15"/>
      <c r="D105" s="16"/>
      <c r="E105" s="1"/>
    </row>
    <row r="106" ht="18.0" customHeight="1">
      <c r="A106" s="1"/>
      <c r="B106" s="13" t="s">
        <v>126</v>
      </c>
      <c r="C106" s="15"/>
      <c r="D106" s="16"/>
      <c r="E106" s="1"/>
    </row>
    <row r="107" ht="18.0" customHeight="1">
      <c r="A107" s="1"/>
      <c r="B107" s="13" t="s">
        <v>127</v>
      </c>
      <c r="C107" s="15"/>
      <c r="D107" s="16"/>
      <c r="E107" s="1"/>
    </row>
    <row r="108" ht="18.0" customHeight="1">
      <c r="A108" s="1"/>
      <c r="B108" s="13" t="s">
        <v>128</v>
      </c>
      <c r="C108" s="15"/>
      <c r="D108" s="16"/>
      <c r="E108" s="1"/>
    </row>
    <row r="109" ht="18.0" customHeight="1">
      <c r="A109" s="1"/>
      <c r="B109" s="13" t="s">
        <v>129</v>
      </c>
      <c r="C109" s="15"/>
      <c r="D109" s="16"/>
      <c r="E109" s="1"/>
    </row>
    <row r="110" ht="18.0" customHeight="1">
      <c r="A110" s="1"/>
      <c r="B110" s="13" t="s">
        <v>130</v>
      </c>
      <c r="C110" s="15"/>
      <c r="D110" s="16"/>
      <c r="E110" s="1"/>
    </row>
    <row r="111" ht="18.0" customHeight="1">
      <c r="A111" s="1"/>
      <c r="B111" s="13" t="s">
        <v>131</v>
      </c>
      <c r="C111" s="15"/>
      <c r="D111" s="16"/>
      <c r="E111" s="1"/>
    </row>
    <row r="112" ht="18.0" customHeight="1">
      <c r="A112" s="1"/>
      <c r="B112" s="13" t="s">
        <v>132</v>
      </c>
      <c r="C112" s="15"/>
      <c r="D112" s="16"/>
      <c r="E112" s="1"/>
    </row>
    <row r="113" ht="18.0" customHeight="1">
      <c r="A113" s="1"/>
      <c r="B113" s="13" t="s">
        <v>133</v>
      </c>
      <c r="C113" s="15"/>
      <c r="D113" s="16"/>
      <c r="E113" s="1"/>
    </row>
    <row r="114" ht="18.0" customHeight="1">
      <c r="A114" s="1"/>
      <c r="B114" s="13" t="s">
        <v>134</v>
      </c>
      <c r="C114" s="15"/>
      <c r="D114" s="16"/>
      <c r="E114" s="1"/>
    </row>
    <row r="115" ht="18.0" customHeight="1">
      <c r="A115" s="1"/>
      <c r="B115" s="13" t="s">
        <v>135</v>
      </c>
      <c r="C115" s="15"/>
      <c r="D115" s="16"/>
      <c r="E115" s="1"/>
    </row>
    <row r="116" ht="21.75" customHeight="1">
      <c r="A116" s="1"/>
      <c r="B116" s="11" t="s">
        <v>136</v>
      </c>
      <c r="C116" s="12"/>
      <c r="D116" s="12"/>
      <c r="E116" s="1"/>
    </row>
    <row r="117" ht="18.0" customHeight="1">
      <c r="A117" s="1"/>
      <c r="B117" s="13" t="s">
        <v>137</v>
      </c>
      <c r="C117" s="15"/>
      <c r="D117" s="16"/>
      <c r="E117" s="1"/>
    </row>
    <row r="118" ht="18.0" customHeight="1">
      <c r="A118" s="1"/>
      <c r="B118" s="13" t="s">
        <v>138</v>
      </c>
      <c r="C118" s="15"/>
      <c r="D118" s="16"/>
      <c r="E118" s="1"/>
    </row>
    <row r="119" ht="18.0" customHeight="1">
      <c r="A119" s="1"/>
      <c r="B119" s="13" t="s">
        <v>139</v>
      </c>
      <c r="C119" s="15"/>
      <c r="D119" s="16"/>
      <c r="E119" s="1"/>
    </row>
    <row r="120" ht="18.0" customHeight="1">
      <c r="A120" s="1"/>
      <c r="B120" s="13" t="s">
        <v>140</v>
      </c>
      <c r="C120" s="15"/>
      <c r="D120" s="16"/>
      <c r="E120" s="1"/>
    </row>
    <row r="121" ht="18.0" customHeight="1">
      <c r="A121" s="1"/>
      <c r="B121" s="13" t="s">
        <v>141</v>
      </c>
      <c r="C121" s="15"/>
      <c r="D121" s="16"/>
      <c r="E121" s="1"/>
    </row>
    <row r="122" ht="18.0" customHeight="1">
      <c r="A122" s="1"/>
      <c r="B122" s="13" t="s">
        <v>142</v>
      </c>
      <c r="C122" s="15"/>
      <c r="D122" s="16"/>
      <c r="E122" s="1"/>
    </row>
    <row r="123" ht="18.0" customHeight="1">
      <c r="A123" s="1"/>
      <c r="B123" s="13" t="s">
        <v>143</v>
      </c>
      <c r="C123" s="15"/>
      <c r="D123" s="16"/>
      <c r="E123" s="1"/>
    </row>
    <row r="124" ht="18.0" customHeight="1">
      <c r="A124" s="1"/>
      <c r="B124" s="13" t="s">
        <v>144</v>
      </c>
      <c r="C124" s="15"/>
      <c r="D124" s="16"/>
      <c r="E124" s="1"/>
    </row>
    <row r="125" ht="21.75" customHeight="1">
      <c r="A125" s="1"/>
      <c r="B125" s="11" t="s">
        <v>145</v>
      </c>
      <c r="C125" s="12"/>
      <c r="D125" s="12"/>
      <c r="E125" s="1"/>
    </row>
    <row r="126" ht="18.0" customHeight="1">
      <c r="A126" s="1"/>
      <c r="B126" s="13" t="s">
        <v>146</v>
      </c>
      <c r="C126" s="14"/>
      <c r="D126" s="14"/>
      <c r="E126" s="1"/>
    </row>
    <row r="127" ht="18.0" customHeight="1">
      <c r="A127" s="1"/>
      <c r="B127" s="13" t="s">
        <v>147</v>
      </c>
      <c r="C127" s="15"/>
      <c r="D127" s="16"/>
      <c r="E127" s="1"/>
    </row>
    <row r="128" ht="18.0" customHeight="1">
      <c r="A128" s="1"/>
      <c r="B128" s="13" t="s">
        <v>148</v>
      </c>
      <c r="C128" s="15"/>
      <c r="D128" s="16"/>
      <c r="E128" s="1"/>
    </row>
    <row r="129" ht="18.0" customHeight="1">
      <c r="A129" s="1"/>
      <c r="B129" s="13" t="s">
        <v>149</v>
      </c>
      <c r="C129" s="14"/>
      <c r="D129" s="14"/>
      <c r="E129" s="1"/>
    </row>
    <row r="130" ht="18.0" customHeight="1">
      <c r="A130" s="1"/>
      <c r="B130" s="13" t="s">
        <v>150</v>
      </c>
      <c r="C130" s="15"/>
      <c r="D130" s="16"/>
      <c r="E130" s="1"/>
    </row>
    <row r="131" ht="18.0" customHeight="1">
      <c r="A131" s="1"/>
      <c r="B131" s="13" t="s">
        <v>151</v>
      </c>
      <c r="C131" s="15"/>
      <c r="D131" s="16"/>
      <c r="E131" s="1"/>
    </row>
    <row r="132" ht="18.0" customHeight="1">
      <c r="A132" s="1"/>
      <c r="B132" s="13" t="s">
        <v>152</v>
      </c>
      <c r="C132" s="14"/>
      <c r="D132" s="14"/>
      <c r="E132" s="1"/>
    </row>
    <row r="133" ht="18.0" customHeight="1">
      <c r="A133" s="1"/>
      <c r="B133" s="13" t="s">
        <v>153</v>
      </c>
      <c r="C133" s="15"/>
      <c r="D133" s="16"/>
      <c r="E133" s="1"/>
    </row>
    <row r="134" ht="18.0" customHeight="1">
      <c r="A134" s="1"/>
      <c r="B134" s="13" t="s">
        <v>154</v>
      </c>
      <c r="C134" s="15"/>
      <c r="D134" s="16"/>
      <c r="E134" s="1"/>
    </row>
    <row r="135" ht="18.0" customHeight="1">
      <c r="A135" s="1"/>
      <c r="B135" s="13" t="s">
        <v>155</v>
      </c>
      <c r="C135" s="14"/>
      <c r="D135" s="14"/>
      <c r="E135" s="1"/>
    </row>
    <row r="136" ht="18.0" customHeight="1">
      <c r="A136" s="1"/>
      <c r="B136" s="13" t="s">
        <v>156</v>
      </c>
      <c r="C136" s="15"/>
      <c r="D136" s="16"/>
      <c r="E136" s="1"/>
    </row>
    <row r="137" ht="18.0" customHeight="1">
      <c r="A137" s="1"/>
      <c r="B137" s="13" t="s">
        <v>157</v>
      </c>
      <c r="C137" s="15"/>
      <c r="D137" s="16"/>
      <c r="E137" s="1"/>
    </row>
    <row r="138" ht="18.0" customHeight="1">
      <c r="A138" s="1"/>
      <c r="B138" s="13" t="s">
        <v>158</v>
      </c>
      <c r="C138" s="14"/>
      <c r="D138" s="14"/>
      <c r="E138" s="1"/>
    </row>
    <row r="139" ht="18.0" customHeight="1">
      <c r="A139" s="1"/>
      <c r="B139" s="13" t="s">
        <v>159</v>
      </c>
      <c r="C139" s="15"/>
      <c r="D139" s="16"/>
      <c r="E139" s="1"/>
    </row>
    <row r="140" ht="18.0" customHeight="1">
      <c r="A140" s="1"/>
      <c r="B140" s="13" t="s">
        <v>160</v>
      </c>
      <c r="C140" s="15"/>
      <c r="D140" s="16"/>
      <c r="E140" s="1"/>
    </row>
    <row r="141" ht="18.0" customHeight="1">
      <c r="A141" s="1"/>
      <c r="B141" s="13" t="s">
        <v>161</v>
      </c>
      <c r="C141" s="14"/>
      <c r="D141" s="14"/>
      <c r="E141" s="1"/>
    </row>
    <row r="142" ht="18.0" customHeight="1">
      <c r="A142" s="1"/>
      <c r="B142" s="13" t="s">
        <v>162</v>
      </c>
      <c r="C142" s="15"/>
      <c r="D142" s="16"/>
      <c r="E142" s="1"/>
    </row>
    <row r="143" ht="18.0" customHeight="1">
      <c r="A143" s="1"/>
      <c r="B143" s="13" t="s">
        <v>163</v>
      </c>
      <c r="C143" s="15"/>
      <c r="D143" s="16"/>
      <c r="E143" s="1"/>
    </row>
    <row r="144" ht="18.0" customHeight="1">
      <c r="A144" s="1"/>
      <c r="B144" s="13" t="s">
        <v>164</v>
      </c>
      <c r="C144" s="14"/>
      <c r="D144" s="14"/>
      <c r="E144" s="1"/>
    </row>
    <row r="145" ht="18.0" customHeight="1">
      <c r="A145" s="1"/>
      <c r="B145" s="13" t="s">
        <v>165</v>
      </c>
      <c r="C145" s="15"/>
      <c r="D145" s="16"/>
      <c r="E145" s="1"/>
    </row>
    <row r="146" ht="18.0" customHeight="1">
      <c r="A146" s="1"/>
      <c r="B146" s="13" t="s">
        <v>166</v>
      </c>
      <c r="C146" s="15"/>
      <c r="D146" s="16"/>
      <c r="E146" s="1"/>
    </row>
    <row r="147" ht="18.0" customHeight="1">
      <c r="A147" s="1"/>
      <c r="B147" s="13" t="s">
        <v>167</v>
      </c>
      <c r="C147" s="14"/>
      <c r="D147" s="14"/>
      <c r="E147" s="1"/>
    </row>
    <row r="148" ht="18.0" customHeight="1">
      <c r="A148" s="1"/>
      <c r="B148" s="13" t="s">
        <v>168</v>
      </c>
      <c r="C148" s="15"/>
      <c r="D148" s="16"/>
      <c r="E148" s="1"/>
    </row>
    <row r="149" ht="18.0" customHeight="1">
      <c r="A149" s="1"/>
      <c r="B149" s="13" t="s">
        <v>169</v>
      </c>
      <c r="C149" s="15"/>
      <c r="D149" s="16"/>
      <c r="E149" s="1"/>
    </row>
    <row r="150" ht="18.0" customHeight="1">
      <c r="A150" s="1"/>
      <c r="B150" s="13" t="s">
        <v>170</v>
      </c>
      <c r="C150" s="14"/>
      <c r="D150" s="14"/>
      <c r="E150" s="1"/>
    </row>
    <row r="151" ht="18.0" customHeight="1">
      <c r="A151" s="1"/>
      <c r="B151" s="13" t="s">
        <v>171</v>
      </c>
      <c r="C151" s="15"/>
      <c r="D151" s="16"/>
      <c r="E151" s="1"/>
    </row>
    <row r="152" ht="18.0" customHeight="1">
      <c r="A152" s="1"/>
      <c r="B152" s="13" t="s">
        <v>172</v>
      </c>
      <c r="C152" s="15"/>
      <c r="D152" s="16"/>
      <c r="E152" s="1"/>
    </row>
    <row r="153" ht="18.0" customHeight="1">
      <c r="A153" s="1"/>
      <c r="B153" s="13" t="s">
        <v>173</v>
      </c>
      <c r="C153" s="14"/>
      <c r="D153" s="14"/>
      <c r="E153" s="1"/>
    </row>
    <row r="154" ht="18.0" customHeight="1">
      <c r="A154" s="1"/>
      <c r="B154" s="13" t="s">
        <v>174</v>
      </c>
      <c r="C154" s="15"/>
      <c r="D154" s="16"/>
      <c r="E154" s="1"/>
    </row>
    <row r="155" ht="18.0" customHeight="1">
      <c r="A155" s="1"/>
      <c r="B155" s="13" t="s">
        <v>175</v>
      </c>
      <c r="C155" s="15"/>
      <c r="D155" s="16"/>
      <c r="E155" s="1"/>
    </row>
    <row r="156" ht="18.0" customHeight="1">
      <c r="A156" s="1"/>
      <c r="B156" s="13" t="s">
        <v>176</v>
      </c>
      <c r="C156" s="14"/>
      <c r="D156" s="14"/>
      <c r="E156" s="1"/>
    </row>
    <row r="157" ht="18.0" customHeight="1">
      <c r="A157" s="1"/>
      <c r="B157" s="13" t="s">
        <v>177</v>
      </c>
      <c r="C157" s="15"/>
      <c r="D157" s="16"/>
      <c r="E157" s="1"/>
    </row>
    <row r="158" ht="18.0" customHeight="1">
      <c r="A158" s="1"/>
      <c r="B158" s="13" t="s">
        <v>178</v>
      </c>
      <c r="C158" s="15"/>
      <c r="D158" s="16"/>
      <c r="E158" s="1"/>
    </row>
    <row r="159" ht="18.0" customHeight="1">
      <c r="A159" s="1"/>
      <c r="B159" s="13" t="s">
        <v>179</v>
      </c>
      <c r="C159" s="14"/>
      <c r="D159" s="14"/>
      <c r="E159" s="1"/>
    </row>
    <row r="160" ht="18.0" customHeight="1">
      <c r="A160" s="1"/>
      <c r="B160" s="13" t="s">
        <v>180</v>
      </c>
      <c r="C160" s="15"/>
      <c r="D160" s="16"/>
      <c r="E160" s="1"/>
    </row>
    <row r="161" ht="18.0" customHeight="1">
      <c r="A161" s="1"/>
      <c r="B161" s="13" t="s">
        <v>181</v>
      </c>
      <c r="C161" s="15"/>
      <c r="D161" s="16"/>
      <c r="E161" s="1"/>
    </row>
    <row r="162" ht="18.0" customHeight="1">
      <c r="A162" s="1"/>
      <c r="B162" s="13" t="s">
        <v>182</v>
      </c>
      <c r="C162" s="14"/>
      <c r="D162" s="14"/>
      <c r="E162" s="1"/>
    </row>
    <row r="163" ht="18.0" customHeight="1">
      <c r="A163" s="1"/>
      <c r="B163" s="13" t="s">
        <v>183</v>
      </c>
      <c r="C163" s="15"/>
      <c r="D163" s="16"/>
      <c r="E163" s="1"/>
    </row>
    <row r="164" ht="18.0" customHeight="1">
      <c r="A164" s="1"/>
      <c r="B164" s="13" t="s">
        <v>184</v>
      </c>
      <c r="C164" s="15"/>
      <c r="D164" s="16"/>
      <c r="E164" s="1"/>
    </row>
    <row r="165" ht="18.0" customHeight="1">
      <c r="A165" s="1"/>
      <c r="B165" s="13" t="s">
        <v>185</v>
      </c>
      <c r="C165" s="14"/>
      <c r="D165" s="14"/>
      <c r="E165" s="1"/>
    </row>
    <row r="166" ht="18.0" customHeight="1">
      <c r="A166" s="1"/>
      <c r="B166" s="13" t="s">
        <v>186</v>
      </c>
      <c r="C166" s="15"/>
      <c r="D166" s="16"/>
      <c r="E166" s="1"/>
    </row>
    <row r="167" ht="18.0" customHeight="1">
      <c r="A167" s="1"/>
      <c r="B167" s="13" t="s">
        <v>187</v>
      </c>
      <c r="C167" s="15"/>
      <c r="D167" s="16"/>
      <c r="E167" s="1"/>
    </row>
    <row r="168" ht="18.0" customHeight="1">
      <c r="A168" s="1"/>
      <c r="B168" s="13" t="s">
        <v>188</v>
      </c>
      <c r="C168" s="14"/>
      <c r="D168" s="14"/>
      <c r="E168" s="1"/>
    </row>
    <row r="169" ht="18.0" customHeight="1">
      <c r="A169" s="1"/>
      <c r="B169" s="13" t="s">
        <v>189</v>
      </c>
      <c r="C169" s="15"/>
      <c r="D169" s="16"/>
      <c r="E169" s="1"/>
    </row>
    <row r="170" ht="18.0" customHeight="1">
      <c r="A170" s="1"/>
      <c r="B170" s="13" t="s">
        <v>190</v>
      </c>
      <c r="C170" s="15"/>
      <c r="D170" s="16"/>
      <c r="E170" s="1"/>
    </row>
    <row r="171" ht="18.0" customHeight="1">
      <c r="A171" s="1"/>
      <c r="B171" s="13" t="s">
        <v>191</v>
      </c>
      <c r="C171" s="14"/>
      <c r="D171" s="14"/>
      <c r="E171" s="1"/>
    </row>
    <row r="172" ht="18.0" customHeight="1">
      <c r="A172" s="1"/>
      <c r="B172" s="13" t="s">
        <v>192</v>
      </c>
      <c r="C172" s="15"/>
      <c r="D172" s="16"/>
      <c r="E172" s="1"/>
    </row>
    <row r="173" ht="18.0" customHeight="1">
      <c r="A173" s="1"/>
      <c r="B173" s="13" t="s">
        <v>193</v>
      </c>
      <c r="C173" s="15"/>
      <c r="D173" s="16"/>
      <c r="E173" s="1"/>
    </row>
    <row r="174" ht="21.75" customHeight="1">
      <c r="A174" s="1"/>
      <c r="B174" s="11" t="s">
        <v>194</v>
      </c>
      <c r="C174" s="12"/>
      <c r="D174" s="12"/>
      <c r="E174" s="1"/>
    </row>
    <row r="175" ht="18.0" customHeight="1">
      <c r="A175" s="1"/>
      <c r="B175" s="13" t="s">
        <v>195</v>
      </c>
      <c r="C175" s="14"/>
      <c r="D175" s="14"/>
      <c r="E175" s="1"/>
    </row>
    <row r="176" ht="18.0" customHeight="1">
      <c r="A176" s="1"/>
      <c r="B176" s="13" t="s">
        <v>196</v>
      </c>
      <c r="C176" s="15"/>
      <c r="D176" s="16"/>
      <c r="E176" s="1"/>
    </row>
    <row r="177" ht="18.0" customHeight="1">
      <c r="A177" s="1"/>
      <c r="B177" s="13" t="s">
        <v>197</v>
      </c>
      <c r="C177" s="15"/>
      <c r="D177" s="16"/>
      <c r="E177" s="1"/>
    </row>
    <row r="178" ht="18.0" customHeight="1">
      <c r="A178" s="1"/>
      <c r="B178" s="13" t="s">
        <v>198</v>
      </c>
      <c r="C178" s="14"/>
      <c r="D178" s="14"/>
      <c r="E178" s="1"/>
    </row>
    <row r="179" ht="18.0" customHeight="1">
      <c r="A179" s="1"/>
      <c r="B179" s="13" t="s">
        <v>199</v>
      </c>
      <c r="C179" s="15"/>
      <c r="D179" s="16"/>
      <c r="E179" s="1"/>
    </row>
    <row r="180" ht="18.0" customHeight="1">
      <c r="A180" s="1"/>
      <c r="B180" s="13" t="s">
        <v>200</v>
      </c>
      <c r="C180" s="15"/>
      <c r="D180" s="16"/>
      <c r="E180" s="1"/>
    </row>
    <row r="181" ht="18.0" customHeight="1">
      <c r="A181" s="1"/>
      <c r="B181" s="13" t="s">
        <v>201</v>
      </c>
      <c r="C181" s="14"/>
      <c r="D181" s="14"/>
      <c r="E181" s="1"/>
    </row>
    <row r="182" ht="18.0" customHeight="1">
      <c r="A182" s="1"/>
      <c r="B182" s="13" t="s">
        <v>202</v>
      </c>
      <c r="C182" s="15"/>
      <c r="D182" s="16"/>
      <c r="E182" s="1"/>
    </row>
    <row r="183" ht="18.0" customHeight="1">
      <c r="A183" s="1"/>
      <c r="B183" s="13" t="s">
        <v>203</v>
      </c>
      <c r="C183" s="15"/>
      <c r="D183" s="16"/>
      <c r="E183" s="1"/>
    </row>
    <row r="184" ht="18.0" customHeight="1">
      <c r="A184" s="1"/>
      <c r="B184" s="13" t="s">
        <v>204</v>
      </c>
      <c r="C184" s="14"/>
      <c r="D184" s="14"/>
      <c r="E184" s="1"/>
    </row>
    <row r="185" ht="18.0" customHeight="1">
      <c r="A185" s="1"/>
      <c r="B185" s="13" t="s">
        <v>205</v>
      </c>
      <c r="C185" s="15"/>
      <c r="D185" s="16"/>
      <c r="E185" s="1"/>
    </row>
    <row r="186" ht="18.0" customHeight="1">
      <c r="A186" s="1"/>
      <c r="B186" s="13" t="s">
        <v>206</v>
      </c>
      <c r="C186" s="15"/>
      <c r="D186" s="16"/>
      <c r="E186" s="1"/>
    </row>
    <row r="187" ht="18.0" customHeight="1">
      <c r="A187" s="1"/>
      <c r="B187" s="13" t="s">
        <v>207</v>
      </c>
      <c r="C187" s="14"/>
      <c r="D187" s="14"/>
      <c r="E187" s="1"/>
    </row>
    <row r="188" ht="18.0" customHeight="1">
      <c r="A188" s="1"/>
      <c r="B188" s="13" t="s">
        <v>208</v>
      </c>
      <c r="C188" s="15"/>
      <c r="D188" s="16"/>
      <c r="E188" s="1"/>
    </row>
    <row r="189" ht="18.0" customHeight="1">
      <c r="A189" s="1"/>
      <c r="B189" s="13" t="s">
        <v>209</v>
      </c>
      <c r="C189" s="15"/>
      <c r="D189" s="16"/>
      <c r="E189" s="1"/>
    </row>
    <row r="190" ht="18.0" customHeight="1">
      <c r="A190" s="1"/>
      <c r="B190" s="13" t="s">
        <v>210</v>
      </c>
      <c r="C190" s="14"/>
      <c r="D190" s="14"/>
      <c r="E190" s="1"/>
    </row>
    <row r="191" ht="18.0" customHeight="1">
      <c r="A191" s="1"/>
      <c r="B191" s="13" t="s">
        <v>211</v>
      </c>
      <c r="C191" s="15"/>
      <c r="D191" s="16"/>
      <c r="E191" s="1"/>
    </row>
    <row r="192" ht="18.0" customHeight="1">
      <c r="A192" s="1"/>
      <c r="B192" s="13" t="s">
        <v>212</v>
      </c>
      <c r="C192" s="15"/>
      <c r="D192" s="16"/>
      <c r="E192" s="1"/>
    </row>
    <row r="193" ht="18.0" customHeight="1">
      <c r="A193" s="1"/>
      <c r="B193" s="13" t="s">
        <v>213</v>
      </c>
      <c r="C193" s="14"/>
      <c r="D193" s="14"/>
      <c r="E193" s="1"/>
    </row>
    <row r="194" ht="18.0" customHeight="1">
      <c r="A194" s="1"/>
      <c r="B194" s="13" t="s">
        <v>214</v>
      </c>
      <c r="C194" s="15"/>
      <c r="D194" s="16"/>
      <c r="E194" s="1"/>
    </row>
    <row r="195" ht="18.0" customHeight="1">
      <c r="A195" s="1"/>
      <c r="B195" s="13" t="s">
        <v>215</v>
      </c>
      <c r="C195" s="15"/>
      <c r="D195" s="16"/>
      <c r="E195" s="1"/>
    </row>
    <row r="196" ht="18.0" customHeight="1">
      <c r="A196" s="1"/>
      <c r="B196" s="13" t="s">
        <v>216</v>
      </c>
      <c r="C196" s="14"/>
      <c r="D196" s="14"/>
      <c r="E196" s="1"/>
    </row>
    <row r="197" ht="18.0" customHeight="1">
      <c r="A197" s="1"/>
      <c r="B197" s="13" t="s">
        <v>217</v>
      </c>
      <c r="C197" s="15"/>
      <c r="D197" s="16"/>
      <c r="E197" s="1"/>
    </row>
    <row r="198" ht="18.0" customHeight="1">
      <c r="A198" s="1"/>
      <c r="B198" s="13" t="s">
        <v>218</v>
      </c>
      <c r="C198" s="15"/>
      <c r="D198" s="16"/>
      <c r="E198" s="1"/>
    </row>
    <row r="199" ht="21.75" customHeight="1">
      <c r="A199" s="1"/>
      <c r="B199" s="11" t="s">
        <v>219</v>
      </c>
      <c r="C199" s="12"/>
      <c r="D199" s="12"/>
      <c r="E199" s="1"/>
    </row>
    <row r="200" ht="18.0" customHeight="1">
      <c r="A200" s="1"/>
      <c r="B200" s="13" t="s">
        <v>220</v>
      </c>
      <c r="C200" s="14"/>
      <c r="D200" s="14"/>
      <c r="E200" s="1"/>
    </row>
    <row r="201" ht="18.0" customHeight="1">
      <c r="A201" s="1"/>
      <c r="B201" s="13" t="s">
        <v>221</v>
      </c>
      <c r="C201" s="15"/>
      <c r="D201" s="16"/>
      <c r="E201" s="1"/>
    </row>
    <row r="202" ht="18.0" customHeight="1">
      <c r="A202" s="1"/>
      <c r="B202" s="13" t="s">
        <v>222</v>
      </c>
      <c r="C202" s="15"/>
      <c r="D202" s="16"/>
      <c r="E202" s="1"/>
    </row>
    <row r="203" ht="18.0" customHeight="1">
      <c r="A203" s="1"/>
      <c r="B203" s="13" t="s">
        <v>223</v>
      </c>
      <c r="C203" s="14"/>
      <c r="D203" s="14"/>
      <c r="E203" s="1"/>
    </row>
    <row r="204" ht="18.0" customHeight="1">
      <c r="A204" s="1"/>
      <c r="B204" s="13" t="s">
        <v>224</v>
      </c>
      <c r="C204" s="15"/>
      <c r="D204" s="16"/>
      <c r="E204" s="1"/>
    </row>
    <row r="205" ht="18.0" customHeight="1">
      <c r="A205" s="1"/>
      <c r="B205" s="13" t="s">
        <v>225</v>
      </c>
      <c r="C205" s="15"/>
      <c r="D205" s="16"/>
      <c r="E205" s="1"/>
    </row>
    <row r="206" ht="18.0" customHeight="1">
      <c r="A206" s="1"/>
      <c r="B206" s="13" t="s">
        <v>226</v>
      </c>
      <c r="C206" s="14"/>
      <c r="D206" s="14"/>
      <c r="E206" s="1"/>
    </row>
    <row r="207" ht="18.0" customHeight="1">
      <c r="A207" s="1"/>
      <c r="B207" s="13" t="s">
        <v>227</v>
      </c>
      <c r="C207" s="15"/>
      <c r="D207" s="16"/>
      <c r="E207" s="1"/>
    </row>
    <row r="208" ht="18.0" customHeight="1">
      <c r="A208" s="1"/>
      <c r="B208" s="13" t="s">
        <v>228</v>
      </c>
      <c r="C208" s="15"/>
      <c r="D208" s="16"/>
      <c r="E208" s="1"/>
    </row>
    <row r="209" ht="18.0" customHeight="1">
      <c r="A209" s="1"/>
      <c r="B209" s="13" t="s">
        <v>229</v>
      </c>
      <c r="C209" s="14"/>
      <c r="D209" s="14"/>
      <c r="E209" s="1"/>
    </row>
    <row r="210" ht="18.0" customHeight="1">
      <c r="A210" s="1"/>
      <c r="B210" s="13" t="s">
        <v>230</v>
      </c>
      <c r="C210" s="15"/>
      <c r="D210" s="16"/>
      <c r="E210" s="1"/>
    </row>
    <row r="211" ht="18.0" customHeight="1">
      <c r="A211" s="1"/>
      <c r="B211" s="13" t="s">
        <v>231</v>
      </c>
      <c r="C211" s="15"/>
      <c r="D211" s="16"/>
      <c r="E211" s="1"/>
    </row>
    <row r="212" ht="21.75" customHeight="1">
      <c r="A212" s="1"/>
      <c r="B212" s="11" t="s">
        <v>232</v>
      </c>
      <c r="C212" s="12"/>
      <c r="D212" s="12"/>
      <c r="E212" s="1"/>
    </row>
    <row r="213" ht="18.0" customHeight="1">
      <c r="A213" s="1"/>
      <c r="B213" s="13" t="s">
        <v>233</v>
      </c>
      <c r="C213" s="14"/>
      <c r="D213" s="14"/>
      <c r="E213" s="1"/>
    </row>
    <row r="214" ht="18.0" customHeight="1">
      <c r="A214" s="1"/>
      <c r="B214" s="13" t="s">
        <v>234</v>
      </c>
      <c r="C214" s="15"/>
      <c r="D214" s="16"/>
      <c r="E214" s="1"/>
    </row>
    <row r="215" ht="18.0" customHeight="1">
      <c r="A215" s="1"/>
      <c r="B215" s="13" t="s">
        <v>235</v>
      </c>
      <c r="C215" s="15"/>
      <c r="D215" s="16"/>
      <c r="E215" s="1"/>
    </row>
    <row r="216" ht="18.0" customHeight="1">
      <c r="A216" s="1"/>
      <c r="B216" s="13" t="s">
        <v>236</v>
      </c>
      <c r="C216" s="14"/>
      <c r="D216" s="14"/>
      <c r="E216" s="1"/>
    </row>
    <row r="217" ht="18.0" customHeight="1">
      <c r="A217" s="1"/>
      <c r="B217" s="13" t="s">
        <v>237</v>
      </c>
      <c r="C217" s="15"/>
      <c r="D217" s="16"/>
      <c r="E217" s="1"/>
    </row>
    <row r="218" ht="18.0" customHeight="1">
      <c r="A218" s="1"/>
      <c r="B218" s="13" t="s">
        <v>238</v>
      </c>
      <c r="C218" s="15"/>
      <c r="D218" s="16"/>
      <c r="E218" s="1"/>
    </row>
    <row r="219" ht="21.75" customHeight="1">
      <c r="A219" s="1"/>
      <c r="B219" s="11" t="s">
        <v>239</v>
      </c>
      <c r="C219" s="12"/>
      <c r="D219" s="12"/>
      <c r="E219" s="1"/>
    </row>
    <row r="220" ht="18.0" customHeight="1">
      <c r="A220" s="1"/>
      <c r="B220" s="13" t="s">
        <v>240</v>
      </c>
      <c r="C220" s="14"/>
      <c r="D220" s="14"/>
      <c r="E220" s="1"/>
    </row>
    <row r="221" ht="18.0" customHeight="1">
      <c r="A221" s="1"/>
      <c r="B221" s="13" t="s">
        <v>241</v>
      </c>
      <c r="C221" s="15"/>
      <c r="D221" s="16"/>
      <c r="E221" s="1"/>
    </row>
    <row r="222" ht="18.0" customHeight="1">
      <c r="A222" s="1"/>
      <c r="B222" s="13" t="s">
        <v>242</v>
      </c>
      <c r="C222" s="15"/>
      <c r="D222" s="16"/>
      <c r="E222" s="1"/>
    </row>
    <row r="223" ht="18.0" customHeight="1">
      <c r="A223" s="1"/>
      <c r="B223" s="13" t="s">
        <v>243</v>
      </c>
      <c r="C223" s="14"/>
      <c r="D223" s="14"/>
      <c r="E223" s="1"/>
    </row>
    <row r="224" ht="18.0" customHeight="1">
      <c r="A224" s="1"/>
      <c r="B224" s="13" t="s">
        <v>244</v>
      </c>
      <c r="C224" s="15"/>
      <c r="D224" s="16"/>
      <c r="E224" s="1"/>
    </row>
    <row r="225" ht="18.0" customHeight="1">
      <c r="A225" s="1"/>
      <c r="B225" s="13" t="s">
        <v>245</v>
      </c>
      <c r="C225" s="15"/>
      <c r="D225" s="16"/>
      <c r="E225" s="1"/>
    </row>
    <row r="226" ht="18.0" customHeight="1">
      <c r="A226" s="1"/>
      <c r="B226" s="13" t="s">
        <v>246</v>
      </c>
      <c r="C226" s="15"/>
      <c r="D226" s="16"/>
      <c r="E226" s="1"/>
    </row>
    <row r="227" ht="21.75" customHeight="1">
      <c r="A227" s="1"/>
      <c r="B227" s="11" t="s">
        <v>247</v>
      </c>
      <c r="C227" s="12"/>
      <c r="D227" s="12"/>
      <c r="E227" s="1"/>
    </row>
    <row r="228" ht="18.0" customHeight="1">
      <c r="A228" s="1"/>
      <c r="B228" s="13" t="s">
        <v>248</v>
      </c>
      <c r="C228" s="15"/>
      <c r="D228" s="16"/>
      <c r="E228" s="1"/>
    </row>
    <row r="229" ht="18.0" customHeight="1">
      <c r="A229" s="1"/>
      <c r="B229" s="13" t="s">
        <v>249</v>
      </c>
      <c r="C229" s="15"/>
      <c r="D229" s="16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6" width="10.0"/>
    <col customWidth="1" min="7" max="7" width="10.86"/>
    <col customWidth="1" min="8" max="62" width="1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27.75" customHeight="1">
      <c r="A2" s="1"/>
      <c r="B2" s="17" t="s">
        <v>250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ht="31.5" customHeight="1">
      <c r="A3" s="1"/>
      <c r="B3" s="18" t="s">
        <v>251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ht="21.75" customHeight="1">
      <c r="A5" s="1"/>
      <c r="B5" s="19" t="s">
        <v>252</v>
      </c>
      <c r="C5" s="20" t="s">
        <v>253</v>
      </c>
      <c r="D5" s="21"/>
      <c r="E5" s="20" t="s">
        <v>254</v>
      </c>
      <c r="F5" s="21"/>
      <c r="G5" s="20" t="s">
        <v>255</v>
      </c>
      <c r="H5" s="21"/>
      <c r="I5" s="20" t="s">
        <v>256</v>
      </c>
      <c r="J5" s="21"/>
      <c r="K5" s="20" t="s">
        <v>257</v>
      </c>
      <c r="L5" s="21"/>
      <c r="M5" s="20" t="s">
        <v>258</v>
      </c>
      <c r="N5" s="21"/>
      <c r="O5" s="20" t="s">
        <v>259</v>
      </c>
      <c r="P5" s="21"/>
      <c r="Q5" s="20" t="s">
        <v>260</v>
      </c>
      <c r="R5" s="21"/>
      <c r="S5" s="20" t="s">
        <v>261</v>
      </c>
      <c r="T5" s="21"/>
      <c r="U5" s="20" t="s">
        <v>262</v>
      </c>
      <c r="V5" s="21"/>
      <c r="W5" s="20" t="s">
        <v>263</v>
      </c>
      <c r="X5" s="21"/>
      <c r="Y5" s="20" t="s">
        <v>264</v>
      </c>
      <c r="Z5" s="21"/>
      <c r="AA5" s="20" t="s">
        <v>265</v>
      </c>
      <c r="AB5" s="21"/>
      <c r="AC5" s="20" t="s">
        <v>266</v>
      </c>
      <c r="AD5" s="21"/>
      <c r="AE5" s="20" t="s">
        <v>267</v>
      </c>
      <c r="AF5" s="21"/>
      <c r="AG5" s="20" t="s">
        <v>268</v>
      </c>
      <c r="AH5" s="21"/>
      <c r="AI5" s="20" t="s">
        <v>269</v>
      </c>
      <c r="AJ5" s="21"/>
      <c r="AK5" s="20" t="s">
        <v>270</v>
      </c>
      <c r="AL5" s="21"/>
      <c r="AM5" s="20" t="s">
        <v>271</v>
      </c>
      <c r="AN5" s="21"/>
      <c r="AO5" s="20" t="s">
        <v>272</v>
      </c>
      <c r="AP5" s="21"/>
      <c r="AQ5" s="20" t="s">
        <v>273</v>
      </c>
      <c r="AR5" s="21"/>
      <c r="AS5" s="20" t="s">
        <v>274</v>
      </c>
      <c r="AT5" s="21"/>
      <c r="AU5" s="20" t="s">
        <v>275</v>
      </c>
      <c r="AV5" s="21"/>
      <c r="AW5" s="20" t="s">
        <v>276</v>
      </c>
      <c r="AX5" s="21"/>
      <c r="AY5" s="20" t="s">
        <v>277</v>
      </c>
      <c r="AZ5" s="21"/>
      <c r="BA5" s="20" t="s">
        <v>278</v>
      </c>
      <c r="BB5" s="21"/>
      <c r="BC5" s="20" t="s">
        <v>279</v>
      </c>
      <c r="BD5" s="21"/>
      <c r="BE5" s="20" t="s">
        <v>280</v>
      </c>
      <c r="BF5" s="21"/>
      <c r="BG5" s="20" t="s">
        <v>281</v>
      </c>
      <c r="BH5" s="21"/>
      <c r="BI5" s="20" t="s">
        <v>282</v>
      </c>
      <c r="BJ5" s="21"/>
    </row>
    <row r="6" ht="21.75" customHeight="1">
      <c r="A6" s="1"/>
      <c r="B6" s="11" t="s">
        <v>26</v>
      </c>
      <c r="C6" s="22" t="s">
        <v>283</v>
      </c>
      <c r="D6" s="23"/>
      <c r="E6" s="22" t="s">
        <v>284</v>
      </c>
      <c r="F6" s="23"/>
      <c r="G6" s="22" t="s">
        <v>285</v>
      </c>
      <c r="H6" s="23"/>
      <c r="I6" s="22" t="s">
        <v>286</v>
      </c>
      <c r="J6" s="23"/>
      <c r="K6" s="22" t="s">
        <v>287</v>
      </c>
      <c r="L6" s="23"/>
      <c r="M6" s="22" t="s">
        <v>288</v>
      </c>
      <c r="N6" s="23"/>
      <c r="O6" s="22" t="s">
        <v>289</v>
      </c>
      <c r="P6" s="23"/>
      <c r="Q6" s="22" t="s">
        <v>290</v>
      </c>
      <c r="R6" s="23"/>
      <c r="S6" s="22" t="s">
        <v>291</v>
      </c>
      <c r="T6" s="23"/>
      <c r="U6" s="22" t="s">
        <v>292</v>
      </c>
      <c r="V6" s="23"/>
      <c r="W6" s="22" t="s">
        <v>293</v>
      </c>
      <c r="X6" s="23"/>
      <c r="Y6" s="22" t="s">
        <v>294</v>
      </c>
      <c r="Z6" s="23"/>
      <c r="AA6" s="22" t="s">
        <v>295</v>
      </c>
      <c r="AB6" s="23"/>
      <c r="AC6" s="22" t="s">
        <v>296</v>
      </c>
      <c r="AD6" s="23"/>
      <c r="AE6" s="22" t="s">
        <v>297</v>
      </c>
      <c r="AF6" s="23"/>
      <c r="AG6" s="22" t="s">
        <v>298</v>
      </c>
      <c r="AH6" s="23"/>
      <c r="AI6" s="22" t="s">
        <v>299</v>
      </c>
      <c r="AJ6" s="23"/>
      <c r="AK6" s="22" t="s">
        <v>300</v>
      </c>
      <c r="AL6" s="23"/>
      <c r="AM6" s="22" t="s">
        <v>301</v>
      </c>
      <c r="AN6" s="23"/>
      <c r="AO6" s="22" t="s">
        <v>302</v>
      </c>
      <c r="AP6" s="23"/>
      <c r="AQ6" s="22" t="s">
        <v>303</v>
      </c>
      <c r="AR6" s="23"/>
      <c r="AS6" s="22" t="s">
        <v>304</v>
      </c>
      <c r="AT6" s="23"/>
      <c r="AU6" s="22" t="s">
        <v>305</v>
      </c>
      <c r="AV6" s="23"/>
      <c r="AW6" s="22" t="s">
        <v>306</v>
      </c>
      <c r="AX6" s="23"/>
      <c r="AY6" s="22" t="s">
        <v>307</v>
      </c>
      <c r="AZ6" s="23"/>
      <c r="BA6" s="22" t="s">
        <v>308</v>
      </c>
      <c r="BB6" s="23"/>
      <c r="BC6" s="22" t="s">
        <v>309</v>
      </c>
      <c r="BD6" s="23"/>
      <c r="BE6" s="22" t="s">
        <v>310</v>
      </c>
      <c r="BF6" s="23"/>
      <c r="BG6" s="24"/>
      <c r="BH6" s="23"/>
      <c r="BI6" s="24"/>
      <c r="BJ6" s="23"/>
    </row>
    <row r="7" ht="18.0" customHeight="1">
      <c r="A7" s="1"/>
      <c r="B7" s="13" t="s">
        <v>27</v>
      </c>
      <c r="C7" s="25">
        <v>2.0</v>
      </c>
      <c r="D7" s="25">
        <v>1.0</v>
      </c>
      <c r="E7" s="25">
        <v>2.0</v>
      </c>
      <c r="F7" s="25">
        <v>0.0</v>
      </c>
      <c r="G7" s="25">
        <v>3.0</v>
      </c>
      <c r="H7" s="25">
        <v>0.0</v>
      </c>
      <c r="I7" s="25">
        <v>3.0</v>
      </c>
      <c r="J7" s="25">
        <v>1.0</v>
      </c>
      <c r="K7" s="25">
        <v>3.0</v>
      </c>
      <c r="L7" s="25">
        <v>1.0</v>
      </c>
      <c r="M7" s="25">
        <v>2.0</v>
      </c>
      <c r="N7" s="25">
        <v>1.0</v>
      </c>
      <c r="O7" s="25">
        <v>1.0</v>
      </c>
      <c r="P7" s="25">
        <v>1.0</v>
      </c>
      <c r="Q7" s="25">
        <v>2.0</v>
      </c>
      <c r="R7" s="25">
        <v>0.0</v>
      </c>
      <c r="S7" s="25">
        <v>2.0</v>
      </c>
      <c r="T7" s="25">
        <v>0.0</v>
      </c>
      <c r="U7" s="25">
        <v>2.0</v>
      </c>
      <c r="V7" s="25">
        <v>0.0</v>
      </c>
      <c r="W7" s="25">
        <v>2.0</v>
      </c>
      <c r="X7" s="25">
        <v>1.0</v>
      </c>
      <c r="Y7" s="25">
        <v>1.0</v>
      </c>
      <c r="Z7" s="25">
        <v>1.0</v>
      </c>
      <c r="AA7" s="25">
        <v>2.0</v>
      </c>
      <c r="AB7" s="25">
        <v>0.0</v>
      </c>
      <c r="AC7" s="25">
        <v>1.0</v>
      </c>
      <c r="AD7" s="25">
        <v>0.0</v>
      </c>
      <c r="AE7" s="25">
        <v>2.0</v>
      </c>
      <c r="AF7" s="25">
        <v>0.0</v>
      </c>
      <c r="AG7" s="25">
        <v>2.0</v>
      </c>
      <c r="AH7" s="25">
        <v>0.0</v>
      </c>
      <c r="AI7" s="25">
        <v>2.0</v>
      </c>
      <c r="AJ7" s="25">
        <v>1.0</v>
      </c>
      <c r="AK7" s="25">
        <v>2.0</v>
      </c>
      <c r="AL7" s="25">
        <v>0.0</v>
      </c>
      <c r="AM7" s="25">
        <v>3.0</v>
      </c>
      <c r="AN7" s="25">
        <v>0.0</v>
      </c>
      <c r="AO7" s="25">
        <v>2.0</v>
      </c>
      <c r="AP7" s="25">
        <v>0.0</v>
      </c>
      <c r="AQ7" s="25">
        <v>2.0</v>
      </c>
      <c r="AR7" s="25">
        <v>0.0</v>
      </c>
      <c r="AS7" s="25">
        <v>2.0</v>
      </c>
      <c r="AT7" s="25">
        <v>1.0</v>
      </c>
      <c r="AU7" s="25">
        <v>2.0</v>
      </c>
      <c r="AV7" s="25">
        <v>0.0</v>
      </c>
      <c r="AW7" s="25">
        <v>2.0</v>
      </c>
      <c r="AX7" s="25">
        <v>1.0</v>
      </c>
      <c r="AY7" s="25">
        <v>3.0</v>
      </c>
      <c r="AZ7" s="25">
        <v>1.0</v>
      </c>
      <c r="BA7" s="25">
        <v>2.0</v>
      </c>
      <c r="BB7" s="25">
        <v>0.0</v>
      </c>
      <c r="BC7" s="25">
        <v>2.0</v>
      </c>
      <c r="BD7" s="25">
        <v>1.0</v>
      </c>
      <c r="BE7" s="25">
        <v>2.0</v>
      </c>
      <c r="BF7" s="25">
        <v>0.0</v>
      </c>
      <c r="BG7" s="26"/>
      <c r="BH7" s="26"/>
      <c r="BI7" s="26"/>
      <c r="BJ7" s="26"/>
    </row>
    <row r="8" ht="18.0" customHeight="1">
      <c r="A8" s="1"/>
      <c r="B8" s="13" t="s">
        <v>28</v>
      </c>
      <c r="C8" s="25">
        <v>1.0</v>
      </c>
      <c r="D8" s="25">
        <v>1.0</v>
      </c>
      <c r="E8" s="25">
        <v>1.0</v>
      </c>
      <c r="F8" s="25">
        <v>1.0</v>
      </c>
      <c r="G8" s="25">
        <v>1.0</v>
      </c>
      <c r="H8" s="25">
        <v>1.0</v>
      </c>
      <c r="I8" s="25">
        <v>2.0</v>
      </c>
      <c r="J8" s="25">
        <v>1.0</v>
      </c>
      <c r="K8" s="25">
        <v>1.0</v>
      </c>
      <c r="L8" s="25">
        <v>2.0</v>
      </c>
      <c r="M8" s="25">
        <v>2.0</v>
      </c>
      <c r="N8" s="25">
        <v>1.0</v>
      </c>
      <c r="O8" s="25">
        <v>2.0</v>
      </c>
      <c r="P8" s="25">
        <v>0.0</v>
      </c>
      <c r="Q8" s="25">
        <v>2.0</v>
      </c>
      <c r="R8" s="25">
        <v>1.0</v>
      </c>
      <c r="S8" s="25">
        <v>1.0</v>
      </c>
      <c r="T8" s="25">
        <v>1.0</v>
      </c>
      <c r="U8" s="25">
        <v>1.0</v>
      </c>
      <c r="V8" s="25">
        <v>0.0</v>
      </c>
      <c r="W8" s="25">
        <v>2.0</v>
      </c>
      <c r="X8" s="25">
        <v>0.0</v>
      </c>
      <c r="Y8" s="25">
        <v>1.0</v>
      </c>
      <c r="Z8" s="25">
        <v>1.0</v>
      </c>
      <c r="AA8" s="25">
        <v>1.0</v>
      </c>
      <c r="AB8" s="25">
        <v>1.0</v>
      </c>
      <c r="AC8" s="25">
        <v>1.0</v>
      </c>
      <c r="AD8" s="25">
        <v>2.0</v>
      </c>
      <c r="AE8" s="25">
        <v>1.0</v>
      </c>
      <c r="AF8" s="25">
        <v>1.0</v>
      </c>
      <c r="AG8" s="25">
        <v>1.0</v>
      </c>
      <c r="AH8" s="25">
        <v>0.0</v>
      </c>
      <c r="AI8" s="25">
        <v>0.0</v>
      </c>
      <c r="AJ8" s="25">
        <v>2.0</v>
      </c>
      <c r="AK8" s="25">
        <v>2.0</v>
      </c>
      <c r="AL8" s="25">
        <v>1.0</v>
      </c>
      <c r="AM8" s="25">
        <v>1.0</v>
      </c>
      <c r="AN8" s="25">
        <v>1.0</v>
      </c>
      <c r="AO8" s="25">
        <v>1.0</v>
      </c>
      <c r="AP8" s="25">
        <v>1.0</v>
      </c>
      <c r="AQ8" s="25">
        <v>1.0</v>
      </c>
      <c r="AR8" s="25">
        <v>1.0</v>
      </c>
      <c r="AS8" s="25">
        <v>1.0</v>
      </c>
      <c r="AT8" s="25">
        <v>1.0</v>
      </c>
      <c r="AU8" s="25">
        <v>1.0</v>
      </c>
      <c r="AV8" s="25">
        <v>1.0</v>
      </c>
      <c r="AW8" s="25">
        <v>1.0</v>
      </c>
      <c r="AX8" s="25">
        <v>1.0</v>
      </c>
      <c r="AY8" s="25">
        <v>2.0</v>
      </c>
      <c r="AZ8" s="25">
        <v>0.0</v>
      </c>
      <c r="BA8" s="25">
        <v>1.0</v>
      </c>
      <c r="BB8" s="25">
        <v>1.0</v>
      </c>
      <c r="BC8" s="25">
        <v>1.0</v>
      </c>
      <c r="BD8" s="25">
        <v>1.0</v>
      </c>
      <c r="BE8" s="25">
        <v>1.0</v>
      </c>
      <c r="BF8" s="25">
        <v>1.0</v>
      </c>
      <c r="BG8" s="26"/>
      <c r="BH8" s="26"/>
      <c r="BI8" s="26"/>
      <c r="BJ8" s="26"/>
    </row>
    <row r="9" ht="18.0" customHeight="1">
      <c r="A9" s="1"/>
      <c r="B9" s="13" t="s">
        <v>29</v>
      </c>
      <c r="C9" s="25">
        <v>2.0</v>
      </c>
      <c r="D9" s="25">
        <v>0.0</v>
      </c>
      <c r="E9" s="25">
        <v>1.0</v>
      </c>
      <c r="F9" s="25">
        <v>0.0</v>
      </c>
      <c r="G9" s="25">
        <v>1.0</v>
      </c>
      <c r="H9" s="25">
        <v>0.0</v>
      </c>
      <c r="I9" s="25">
        <v>2.0</v>
      </c>
      <c r="J9" s="25">
        <v>0.0</v>
      </c>
      <c r="K9" s="25">
        <v>2.0</v>
      </c>
      <c r="L9" s="25">
        <v>0.0</v>
      </c>
      <c r="M9" s="25">
        <v>2.0</v>
      </c>
      <c r="N9" s="25">
        <v>1.0</v>
      </c>
      <c r="O9" s="25">
        <v>1.0</v>
      </c>
      <c r="P9" s="25">
        <v>0.0</v>
      </c>
      <c r="Q9" s="25">
        <v>2.0</v>
      </c>
      <c r="R9" s="25">
        <v>1.0</v>
      </c>
      <c r="S9" s="25">
        <v>1.0</v>
      </c>
      <c r="T9" s="25">
        <v>1.0</v>
      </c>
      <c r="U9" s="25">
        <v>2.0</v>
      </c>
      <c r="V9" s="25">
        <v>1.0</v>
      </c>
      <c r="W9" s="25">
        <v>1.0</v>
      </c>
      <c r="X9" s="25">
        <v>1.0</v>
      </c>
      <c r="Y9" s="25">
        <v>2.0</v>
      </c>
      <c r="Z9" s="25">
        <v>0.0</v>
      </c>
      <c r="AA9" s="25">
        <v>2.0</v>
      </c>
      <c r="AB9" s="25">
        <v>1.0</v>
      </c>
      <c r="AC9" s="25">
        <v>1.0</v>
      </c>
      <c r="AD9" s="25">
        <v>0.0</v>
      </c>
      <c r="AE9" s="25">
        <v>1.0</v>
      </c>
      <c r="AF9" s="25">
        <v>0.0</v>
      </c>
      <c r="AG9" s="25">
        <v>2.0</v>
      </c>
      <c r="AH9" s="25">
        <v>0.0</v>
      </c>
      <c r="AI9" s="25">
        <v>1.0</v>
      </c>
      <c r="AJ9" s="25">
        <v>0.0</v>
      </c>
      <c r="AK9" s="25">
        <v>2.0</v>
      </c>
      <c r="AL9" s="25">
        <v>1.0</v>
      </c>
      <c r="AM9" s="25">
        <v>2.0</v>
      </c>
      <c r="AN9" s="25">
        <v>0.0</v>
      </c>
      <c r="AO9" s="25">
        <v>2.0</v>
      </c>
      <c r="AP9" s="25">
        <v>0.0</v>
      </c>
      <c r="AQ9" s="25">
        <v>1.0</v>
      </c>
      <c r="AR9" s="25">
        <v>1.0</v>
      </c>
      <c r="AS9" s="25">
        <v>2.0</v>
      </c>
      <c r="AT9" s="25">
        <v>2.0</v>
      </c>
      <c r="AU9" s="25">
        <v>2.0</v>
      </c>
      <c r="AV9" s="25">
        <v>0.0</v>
      </c>
      <c r="AW9" s="25">
        <v>1.0</v>
      </c>
      <c r="AX9" s="25">
        <v>1.0</v>
      </c>
      <c r="AY9" s="25">
        <v>1.0</v>
      </c>
      <c r="AZ9" s="25">
        <v>2.0</v>
      </c>
      <c r="BA9" s="25">
        <v>2.0</v>
      </c>
      <c r="BB9" s="25">
        <v>1.0</v>
      </c>
      <c r="BC9" s="25">
        <v>1.0</v>
      </c>
      <c r="BD9" s="25">
        <v>0.0</v>
      </c>
      <c r="BE9" s="25">
        <v>2.0</v>
      </c>
      <c r="BF9" s="25">
        <v>1.0</v>
      </c>
      <c r="BG9" s="26"/>
      <c r="BH9" s="26"/>
      <c r="BI9" s="26"/>
      <c r="BJ9" s="26"/>
    </row>
    <row r="10" ht="18.0" customHeight="1">
      <c r="A10" s="1"/>
      <c r="B10" s="13" t="s">
        <v>30</v>
      </c>
      <c r="C10" s="25">
        <v>2.0</v>
      </c>
      <c r="D10" s="25">
        <v>1.0</v>
      </c>
      <c r="E10" s="25">
        <v>1.0</v>
      </c>
      <c r="F10" s="25">
        <v>1.0</v>
      </c>
      <c r="G10" s="25">
        <v>3.0</v>
      </c>
      <c r="H10" s="25">
        <v>1.0</v>
      </c>
      <c r="I10" s="25">
        <v>1.0</v>
      </c>
      <c r="J10" s="25">
        <v>1.0</v>
      </c>
      <c r="K10" s="25">
        <v>1.0</v>
      </c>
      <c r="L10" s="25">
        <v>0.0</v>
      </c>
      <c r="M10" s="25">
        <v>2.0</v>
      </c>
      <c r="N10" s="25">
        <v>1.0</v>
      </c>
      <c r="O10" s="25">
        <v>2.0</v>
      </c>
      <c r="P10" s="25">
        <v>0.0</v>
      </c>
      <c r="Q10" s="25">
        <v>2.0</v>
      </c>
      <c r="R10" s="25">
        <v>1.0</v>
      </c>
      <c r="S10" s="25">
        <v>1.0</v>
      </c>
      <c r="T10" s="25">
        <v>1.0</v>
      </c>
      <c r="U10" s="25">
        <v>2.0</v>
      </c>
      <c r="V10" s="25">
        <v>2.0</v>
      </c>
      <c r="W10" s="25">
        <v>0.0</v>
      </c>
      <c r="X10" s="25">
        <v>0.0</v>
      </c>
      <c r="Y10" s="25">
        <v>1.0</v>
      </c>
      <c r="Z10" s="25">
        <v>2.0</v>
      </c>
      <c r="AA10" s="25">
        <v>1.0</v>
      </c>
      <c r="AB10" s="25">
        <v>1.0</v>
      </c>
      <c r="AC10" s="25">
        <v>2.0</v>
      </c>
      <c r="AD10" s="25">
        <v>2.0</v>
      </c>
      <c r="AE10" s="25">
        <v>2.0</v>
      </c>
      <c r="AF10" s="25">
        <v>1.0</v>
      </c>
      <c r="AG10" s="25">
        <v>2.0</v>
      </c>
      <c r="AH10" s="25">
        <v>1.0</v>
      </c>
      <c r="AI10" s="25">
        <v>2.0</v>
      </c>
      <c r="AJ10" s="25">
        <v>1.0</v>
      </c>
      <c r="AK10" s="25">
        <v>1.0</v>
      </c>
      <c r="AL10" s="25">
        <v>1.0</v>
      </c>
      <c r="AM10" s="25">
        <v>2.0</v>
      </c>
      <c r="AN10" s="25">
        <v>1.0</v>
      </c>
      <c r="AO10" s="25">
        <v>1.0</v>
      </c>
      <c r="AP10" s="25">
        <v>1.0</v>
      </c>
      <c r="AQ10" s="25">
        <v>2.0</v>
      </c>
      <c r="AR10" s="25">
        <v>1.0</v>
      </c>
      <c r="AS10" s="25">
        <v>1.0</v>
      </c>
      <c r="AT10" s="25">
        <v>0.0</v>
      </c>
      <c r="AU10" s="25">
        <v>1.0</v>
      </c>
      <c r="AV10" s="25">
        <v>1.0</v>
      </c>
      <c r="AW10" s="25">
        <v>1.0</v>
      </c>
      <c r="AX10" s="25">
        <v>0.0</v>
      </c>
      <c r="AY10" s="25">
        <v>2.0</v>
      </c>
      <c r="AZ10" s="25">
        <v>1.0</v>
      </c>
      <c r="BA10" s="25">
        <v>2.0</v>
      </c>
      <c r="BB10" s="25">
        <v>1.0</v>
      </c>
      <c r="BC10" s="25">
        <v>0.0</v>
      </c>
      <c r="BD10" s="25">
        <v>0.0</v>
      </c>
      <c r="BE10" s="25">
        <v>1.0</v>
      </c>
      <c r="BF10" s="25">
        <v>2.0</v>
      </c>
      <c r="BG10" s="26"/>
      <c r="BH10" s="26"/>
      <c r="BI10" s="26"/>
      <c r="BJ10" s="26"/>
    </row>
    <row r="11" ht="18.0" customHeight="1">
      <c r="A11" s="1"/>
      <c r="B11" s="13" t="s">
        <v>31</v>
      </c>
      <c r="C11" s="25">
        <v>1.0</v>
      </c>
      <c r="D11" s="25">
        <v>2.0</v>
      </c>
      <c r="E11" s="25">
        <v>0.0</v>
      </c>
      <c r="F11" s="25">
        <v>2.0</v>
      </c>
      <c r="G11" s="25">
        <v>1.0</v>
      </c>
      <c r="H11" s="25">
        <v>1.0</v>
      </c>
      <c r="I11" s="25">
        <v>1.0</v>
      </c>
      <c r="J11" s="25">
        <v>2.0</v>
      </c>
      <c r="K11" s="25">
        <v>1.0</v>
      </c>
      <c r="L11" s="25">
        <v>1.0</v>
      </c>
      <c r="M11" s="25">
        <v>1.0</v>
      </c>
      <c r="N11" s="25">
        <v>2.0</v>
      </c>
      <c r="O11" s="25">
        <v>1.0</v>
      </c>
      <c r="P11" s="25">
        <v>2.0</v>
      </c>
      <c r="Q11" s="25">
        <v>1.0</v>
      </c>
      <c r="R11" s="25">
        <v>2.0</v>
      </c>
      <c r="S11" s="25">
        <v>1.0</v>
      </c>
      <c r="T11" s="25">
        <v>2.0</v>
      </c>
      <c r="U11" s="25">
        <v>1.0</v>
      </c>
      <c r="V11" s="25">
        <v>2.0</v>
      </c>
      <c r="W11" s="25">
        <v>0.0</v>
      </c>
      <c r="X11" s="25">
        <v>2.0</v>
      </c>
      <c r="Y11" s="25">
        <v>1.0</v>
      </c>
      <c r="Z11" s="25">
        <v>1.0</v>
      </c>
      <c r="AA11" s="25">
        <v>0.0</v>
      </c>
      <c r="AB11" s="25">
        <v>1.0</v>
      </c>
      <c r="AC11" s="25">
        <v>1.0</v>
      </c>
      <c r="AD11" s="25">
        <v>1.0</v>
      </c>
      <c r="AE11" s="25">
        <v>1.0</v>
      </c>
      <c r="AF11" s="25">
        <v>1.0</v>
      </c>
      <c r="AG11" s="25">
        <v>1.0</v>
      </c>
      <c r="AH11" s="25">
        <v>1.0</v>
      </c>
      <c r="AI11" s="25">
        <v>1.0</v>
      </c>
      <c r="AJ11" s="25">
        <v>1.0</v>
      </c>
      <c r="AK11" s="25">
        <v>1.0</v>
      </c>
      <c r="AL11" s="25">
        <v>2.0</v>
      </c>
      <c r="AM11" s="25">
        <v>1.0</v>
      </c>
      <c r="AN11" s="25">
        <v>2.0</v>
      </c>
      <c r="AO11" s="25">
        <v>1.0</v>
      </c>
      <c r="AP11" s="25">
        <v>2.0</v>
      </c>
      <c r="AQ11" s="25">
        <v>1.0</v>
      </c>
      <c r="AR11" s="25">
        <v>2.0</v>
      </c>
      <c r="AS11" s="25">
        <v>3.0</v>
      </c>
      <c r="AT11" s="25">
        <v>2.0</v>
      </c>
      <c r="AU11" s="25">
        <v>1.0</v>
      </c>
      <c r="AV11" s="25">
        <v>2.0</v>
      </c>
      <c r="AW11" s="25">
        <v>2.0</v>
      </c>
      <c r="AX11" s="25">
        <v>1.0</v>
      </c>
      <c r="AY11" s="25">
        <v>0.0</v>
      </c>
      <c r="AZ11" s="25">
        <v>1.0</v>
      </c>
      <c r="BA11" s="25">
        <v>1.0</v>
      </c>
      <c r="BB11" s="25">
        <v>2.0</v>
      </c>
      <c r="BC11" s="25">
        <v>0.0</v>
      </c>
      <c r="BD11" s="25">
        <v>3.0</v>
      </c>
      <c r="BE11" s="25">
        <v>0.0</v>
      </c>
      <c r="BF11" s="25">
        <v>2.0</v>
      </c>
      <c r="BG11" s="26"/>
      <c r="BH11" s="26"/>
      <c r="BI11" s="26"/>
      <c r="BJ11" s="26"/>
    </row>
    <row r="12" ht="18.0" customHeight="1">
      <c r="A12" s="1"/>
      <c r="B12" s="13" t="s">
        <v>32</v>
      </c>
      <c r="C12" s="25">
        <v>1.0</v>
      </c>
      <c r="D12" s="25">
        <v>2.0</v>
      </c>
      <c r="E12" s="25">
        <v>0.0</v>
      </c>
      <c r="F12" s="25">
        <v>2.0</v>
      </c>
      <c r="G12" s="25">
        <v>0.0</v>
      </c>
      <c r="H12" s="25">
        <v>2.0</v>
      </c>
      <c r="I12" s="25">
        <v>1.0</v>
      </c>
      <c r="J12" s="25">
        <v>2.0</v>
      </c>
      <c r="K12" s="25">
        <v>1.0</v>
      </c>
      <c r="L12" s="25">
        <v>2.0</v>
      </c>
      <c r="M12" s="25">
        <v>1.0</v>
      </c>
      <c r="N12" s="25">
        <v>2.0</v>
      </c>
      <c r="O12" s="25">
        <v>2.0</v>
      </c>
      <c r="P12" s="25">
        <v>2.0</v>
      </c>
      <c r="Q12" s="25">
        <v>0.0</v>
      </c>
      <c r="R12" s="25">
        <v>2.0</v>
      </c>
      <c r="S12" s="25">
        <v>0.0</v>
      </c>
      <c r="T12" s="25">
        <v>2.0</v>
      </c>
      <c r="U12" s="25">
        <v>0.0</v>
      </c>
      <c r="V12" s="25">
        <v>2.0</v>
      </c>
      <c r="W12" s="25">
        <v>1.0</v>
      </c>
      <c r="X12" s="25">
        <v>3.0</v>
      </c>
      <c r="Y12" s="25">
        <v>1.0</v>
      </c>
      <c r="Z12" s="25">
        <v>2.0</v>
      </c>
      <c r="AA12" s="25">
        <v>1.0</v>
      </c>
      <c r="AB12" s="25">
        <v>2.0</v>
      </c>
      <c r="AC12" s="25">
        <v>0.0</v>
      </c>
      <c r="AD12" s="25">
        <v>0.0</v>
      </c>
      <c r="AE12" s="25">
        <v>0.0</v>
      </c>
      <c r="AF12" s="25">
        <v>1.0</v>
      </c>
      <c r="AG12" s="25">
        <v>1.0</v>
      </c>
      <c r="AH12" s="25">
        <v>2.0</v>
      </c>
      <c r="AI12" s="25">
        <v>1.0</v>
      </c>
      <c r="AJ12" s="25">
        <v>1.0</v>
      </c>
      <c r="AK12" s="25">
        <v>0.0</v>
      </c>
      <c r="AL12" s="25">
        <v>1.0</v>
      </c>
      <c r="AM12" s="25">
        <v>0.0</v>
      </c>
      <c r="AN12" s="25">
        <v>2.0</v>
      </c>
      <c r="AO12" s="25">
        <v>0.0</v>
      </c>
      <c r="AP12" s="25">
        <v>2.0</v>
      </c>
      <c r="AQ12" s="25">
        <v>1.0</v>
      </c>
      <c r="AR12" s="25">
        <v>2.0</v>
      </c>
      <c r="AS12" s="25">
        <v>0.0</v>
      </c>
      <c r="AT12" s="25">
        <v>0.0</v>
      </c>
      <c r="AU12" s="25">
        <v>1.0</v>
      </c>
      <c r="AV12" s="25">
        <v>2.0</v>
      </c>
      <c r="AW12" s="25">
        <v>2.0</v>
      </c>
      <c r="AX12" s="25">
        <v>2.0</v>
      </c>
      <c r="AY12" s="25">
        <v>3.0</v>
      </c>
      <c r="AZ12" s="25">
        <v>1.0</v>
      </c>
      <c r="BA12" s="25">
        <v>1.0</v>
      </c>
      <c r="BB12" s="25">
        <v>2.0</v>
      </c>
      <c r="BC12" s="25">
        <v>1.0</v>
      </c>
      <c r="BD12" s="25">
        <v>3.0</v>
      </c>
      <c r="BE12" s="25">
        <v>1.0</v>
      </c>
      <c r="BF12" s="25">
        <v>2.0</v>
      </c>
      <c r="BG12" s="26"/>
      <c r="BH12" s="26"/>
      <c r="BI12" s="26"/>
      <c r="BJ12" s="26"/>
    </row>
    <row r="13" ht="18.0" customHeight="1">
      <c r="A13" s="1"/>
      <c r="B13" s="13" t="s">
        <v>33</v>
      </c>
      <c r="C13" s="25">
        <v>2.0</v>
      </c>
      <c r="D13" s="25">
        <v>0.0</v>
      </c>
      <c r="E13" s="25">
        <v>2.0</v>
      </c>
      <c r="F13" s="25">
        <v>1.0</v>
      </c>
      <c r="G13" s="25">
        <v>2.0</v>
      </c>
      <c r="H13" s="25">
        <v>0.0</v>
      </c>
      <c r="I13" s="25">
        <v>2.0</v>
      </c>
      <c r="J13" s="25">
        <v>0.0</v>
      </c>
      <c r="K13" s="25">
        <v>2.0</v>
      </c>
      <c r="L13" s="25">
        <v>1.0</v>
      </c>
      <c r="M13" s="25">
        <v>2.0</v>
      </c>
      <c r="N13" s="25">
        <v>1.0</v>
      </c>
      <c r="O13" s="25">
        <v>2.0</v>
      </c>
      <c r="P13" s="25">
        <v>2.0</v>
      </c>
      <c r="Q13" s="25">
        <v>2.0</v>
      </c>
      <c r="R13" s="25">
        <v>0.0</v>
      </c>
      <c r="S13" s="25">
        <v>1.0</v>
      </c>
      <c r="T13" s="25">
        <v>0.0</v>
      </c>
      <c r="U13" s="25">
        <v>1.0</v>
      </c>
      <c r="V13" s="25">
        <v>1.0</v>
      </c>
      <c r="W13" s="25">
        <v>3.0</v>
      </c>
      <c r="X13" s="25">
        <v>0.0</v>
      </c>
      <c r="Y13" s="25">
        <v>1.0</v>
      </c>
      <c r="Z13" s="25">
        <v>1.0</v>
      </c>
      <c r="AA13" s="25">
        <v>2.0</v>
      </c>
      <c r="AB13" s="25">
        <v>1.0</v>
      </c>
      <c r="AC13" s="25">
        <v>1.0</v>
      </c>
      <c r="AD13" s="25">
        <v>2.0</v>
      </c>
      <c r="AE13" s="25">
        <v>1.0</v>
      </c>
      <c r="AF13" s="25">
        <v>1.0</v>
      </c>
      <c r="AG13" s="25">
        <v>2.0</v>
      </c>
      <c r="AH13" s="25">
        <v>1.0</v>
      </c>
      <c r="AI13" s="25">
        <v>2.0</v>
      </c>
      <c r="AJ13" s="25">
        <v>0.0</v>
      </c>
      <c r="AK13" s="25">
        <v>2.0</v>
      </c>
      <c r="AL13" s="25">
        <v>1.0</v>
      </c>
      <c r="AM13" s="25">
        <v>2.0</v>
      </c>
      <c r="AN13" s="25">
        <v>1.0</v>
      </c>
      <c r="AO13" s="25">
        <v>1.0</v>
      </c>
      <c r="AP13" s="25">
        <v>1.0</v>
      </c>
      <c r="AQ13" s="25">
        <v>2.0</v>
      </c>
      <c r="AR13" s="25">
        <v>1.0</v>
      </c>
      <c r="AS13" s="25">
        <v>1.0</v>
      </c>
      <c r="AT13" s="25">
        <v>0.0</v>
      </c>
      <c r="AU13" s="25">
        <v>1.0</v>
      </c>
      <c r="AV13" s="25">
        <v>1.0</v>
      </c>
      <c r="AW13" s="25">
        <v>0.0</v>
      </c>
      <c r="AX13" s="25">
        <v>0.0</v>
      </c>
      <c r="AY13" s="25">
        <v>1.0</v>
      </c>
      <c r="AZ13" s="25">
        <v>1.0</v>
      </c>
      <c r="BA13" s="25">
        <v>2.0</v>
      </c>
      <c r="BB13" s="25">
        <v>0.0</v>
      </c>
      <c r="BC13" s="25">
        <v>1.0</v>
      </c>
      <c r="BD13" s="25">
        <v>0.0</v>
      </c>
      <c r="BE13" s="25">
        <v>2.0</v>
      </c>
      <c r="BF13" s="25">
        <v>1.0</v>
      </c>
      <c r="BG13" s="26"/>
      <c r="BH13" s="26"/>
      <c r="BI13" s="26"/>
      <c r="BJ13" s="26"/>
    </row>
    <row r="14" ht="18.0" customHeight="1">
      <c r="A14" s="1"/>
      <c r="B14" s="13" t="s">
        <v>34</v>
      </c>
      <c r="C14" s="25">
        <v>0.0</v>
      </c>
      <c r="D14" s="25">
        <v>2.0</v>
      </c>
      <c r="E14" s="25">
        <v>1.0</v>
      </c>
      <c r="F14" s="25">
        <v>2.0</v>
      </c>
      <c r="G14" s="25">
        <v>0.0</v>
      </c>
      <c r="H14" s="25">
        <v>2.0</v>
      </c>
      <c r="I14" s="25">
        <v>0.0</v>
      </c>
      <c r="J14" s="25">
        <v>3.0</v>
      </c>
      <c r="K14" s="25">
        <v>0.0</v>
      </c>
      <c r="L14" s="25">
        <v>3.0</v>
      </c>
      <c r="M14" s="25">
        <v>1.0</v>
      </c>
      <c r="N14" s="25">
        <v>2.0</v>
      </c>
      <c r="O14" s="25">
        <v>2.0</v>
      </c>
      <c r="P14" s="25">
        <v>1.0</v>
      </c>
      <c r="Q14" s="25">
        <v>0.0</v>
      </c>
      <c r="R14" s="25">
        <v>2.0</v>
      </c>
      <c r="S14" s="25">
        <v>0.0</v>
      </c>
      <c r="T14" s="25">
        <v>2.0</v>
      </c>
      <c r="U14" s="25">
        <v>0.0</v>
      </c>
      <c r="V14" s="25">
        <v>2.0</v>
      </c>
      <c r="W14" s="25">
        <v>0.0</v>
      </c>
      <c r="X14" s="25">
        <v>2.0</v>
      </c>
      <c r="Y14" s="25">
        <v>0.0</v>
      </c>
      <c r="Z14" s="25">
        <v>2.0</v>
      </c>
      <c r="AA14" s="25">
        <v>0.0</v>
      </c>
      <c r="AB14" s="25">
        <v>2.0</v>
      </c>
      <c r="AC14" s="25">
        <v>1.0</v>
      </c>
      <c r="AD14" s="25">
        <v>2.0</v>
      </c>
      <c r="AE14" s="25">
        <v>0.0</v>
      </c>
      <c r="AF14" s="25">
        <v>2.0</v>
      </c>
      <c r="AG14" s="25">
        <v>0.0</v>
      </c>
      <c r="AH14" s="25">
        <v>2.0</v>
      </c>
      <c r="AI14" s="25">
        <v>0.0</v>
      </c>
      <c r="AJ14" s="25">
        <v>3.0</v>
      </c>
      <c r="AK14" s="25">
        <v>0.0</v>
      </c>
      <c r="AL14" s="25">
        <v>2.0</v>
      </c>
      <c r="AM14" s="25">
        <v>0.0</v>
      </c>
      <c r="AN14" s="25">
        <v>2.0</v>
      </c>
      <c r="AO14" s="25">
        <v>0.0</v>
      </c>
      <c r="AP14" s="25">
        <v>2.0</v>
      </c>
      <c r="AQ14" s="25">
        <v>0.0</v>
      </c>
      <c r="AR14" s="25">
        <v>2.0</v>
      </c>
      <c r="AS14" s="25">
        <v>0.0</v>
      </c>
      <c r="AT14" s="25">
        <v>2.0</v>
      </c>
      <c r="AU14" s="25">
        <v>0.0</v>
      </c>
      <c r="AV14" s="25">
        <v>2.0</v>
      </c>
      <c r="AW14" s="25">
        <v>1.0</v>
      </c>
      <c r="AX14" s="25">
        <v>1.0</v>
      </c>
      <c r="AY14" s="25">
        <v>0.0</v>
      </c>
      <c r="AZ14" s="25">
        <v>3.0</v>
      </c>
      <c r="BA14" s="25">
        <v>0.0</v>
      </c>
      <c r="BB14" s="25">
        <v>2.0</v>
      </c>
      <c r="BC14" s="25">
        <v>0.0</v>
      </c>
      <c r="BD14" s="25">
        <v>2.0</v>
      </c>
      <c r="BE14" s="25">
        <v>0.0</v>
      </c>
      <c r="BF14" s="25">
        <v>2.0</v>
      </c>
      <c r="BG14" s="26"/>
      <c r="BH14" s="26"/>
      <c r="BI14" s="26"/>
      <c r="BJ14" s="26"/>
    </row>
    <row r="15" ht="18.0" customHeight="1">
      <c r="A15" s="1"/>
      <c r="B15" s="13" t="s">
        <v>35</v>
      </c>
      <c r="C15" s="25">
        <v>1.0</v>
      </c>
      <c r="D15" s="25">
        <v>1.0</v>
      </c>
      <c r="E15" s="25">
        <v>2.0</v>
      </c>
      <c r="F15" s="25">
        <v>0.0</v>
      </c>
      <c r="G15" s="25">
        <v>1.0</v>
      </c>
      <c r="H15" s="25">
        <v>0.0</v>
      </c>
      <c r="I15" s="25">
        <v>1.0</v>
      </c>
      <c r="J15" s="25">
        <v>0.0</v>
      </c>
      <c r="K15" s="25">
        <v>2.0</v>
      </c>
      <c r="L15" s="25">
        <v>0.0</v>
      </c>
      <c r="M15" s="25">
        <v>2.0</v>
      </c>
      <c r="N15" s="25">
        <v>1.0</v>
      </c>
      <c r="O15" s="25">
        <v>2.0</v>
      </c>
      <c r="P15" s="25">
        <v>0.0</v>
      </c>
      <c r="Q15" s="25">
        <v>2.0</v>
      </c>
      <c r="R15" s="25">
        <v>0.0</v>
      </c>
      <c r="S15" s="25">
        <v>2.0</v>
      </c>
      <c r="T15" s="25">
        <v>1.0</v>
      </c>
      <c r="U15" s="25">
        <v>2.0</v>
      </c>
      <c r="V15" s="25">
        <v>0.0</v>
      </c>
      <c r="W15" s="25">
        <v>2.0</v>
      </c>
      <c r="X15" s="25">
        <v>0.0</v>
      </c>
      <c r="Y15" s="25">
        <v>2.0</v>
      </c>
      <c r="Z15" s="25">
        <v>1.0</v>
      </c>
      <c r="AA15" s="25">
        <v>2.0</v>
      </c>
      <c r="AB15" s="25">
        <v>1.0</v>
      </c>
      <c r="AC15" s="25">
        <v>3.0</v>
      </c>
      <c r="AD15" s="25">
        <v>2.0</v>
      </c>
      <c r="AE15" s="25">
        <v>2.0</v>
      </c>
      <c r="AF15" s="25">
        <v>0.0</v>
      </c>
      <c r="AG15" s="25">
        <v>3.0</v>
      </c>
      <c r="AH15" s="25">
        <v>1.0</v>
      </c>
      <c r="AI15" s="25">
        <v>2.0</v>
      </c>
      <c r="AJ15" s="25">
        <v>1.0</v>
      </c>
      <c r="AK15" s="25">
        <v>2.0</v>
      </c>
      <c r="AL15" s="25">
        <v>1.0</v>
      </c>
      <c r="AM15" s="25">
        <v>2.0</v>
      </c>
      <c r="AN15" s="25">
        <v>0.0</v>
      </c>
      <c r="AO15" s="25">
        <v>2.0</v>
      </c>
      <c r="AP15" s="25">
        <v>1.0</v>
      </c>
      <c r="AQ15" s="25">
        <v>3.0</v>
      </c>
      <c r="AR15" s="25">
        <v>0.0</v>
      </c>
      <c r="AS15" s="25">
        <v>2.0</v>
      </c>
      <c r="AT15" s="25">
        <v>1.0</v>
      </c>
      <c r="AU15" s="25">
        <v>2.0</v>
      </c>
      <c r="AV15" s="25">
        <v>1.0</v>
      </c>
      <c r="AW15" s="25">
        <v>2.0</v>
      </c>
      <c r="AX15" s="25">
        <v>1.0</v>
      </c>
      <c r="AY15" s="25">
        <v>2.0</v>
      </c>
      <c r="AZ15" s="25">
        <v>0.0</v>
      </c>
      <c r="BA15" s="25">
        <v>2.0</v>
      </c>
      <c r="BB15" s="25">
        <v>0.0</v>
      </c>
      <c r="BC15" s="25">
        <v>3.0</v>
      </c>
      <c r="BD15" s="25">
        <v>1.0</v>
      </c>
      <c r="BE15" s="25">
        <v>3.0</v>
      </c>
      <c r="BF15" s="25">
        <v>1.0</v>
      </c>
      <c r="BG15" s="26"/>
      <c r="BH15" s="26"/>
      <c r="BI15" s="26"/>
      <c r="BJ15" s="26"/>
    </row>
    <row r="16" ht="18.0" customHeight="1">
      <c r="A16" s="1"/>
      <c r="B16" s="13" t="s">
        <v>36</v>
      </c>
      <c r="C16" s="25">
        <v>2.0</v>
      </c>
      <c r="D16" s="25">
        <v>1.0</v>
      </c>
      <c r="E16" s="25">
        <v>2.0</v>
      </c>
      <c r="F16" s="25">
        <v>1.0</v>
      </c>
      <c r="G16" s="25">
        <v>2.0</v>
      </c>
      <c r="H16" s="25">
        <v>1.0</v>
      </c>
      <c r="I16" s="25">
        <v>2.0</v>
      </c>
      <c r="J16" s="25">
        <v>0.0</v>
      </c>
      <c r="K16" s="25">
        <v>2.0</v>
      </c>
      <c r="L16" s="25">
        <v>0.0</v>
      </c>
      <c r="M16" s="25">
        <v>2.0</v>
      </c>
      <c r="N16" s="25">
        <v>1.0</v>
      </c>
      <c r="O16" s="25">
        <v>1.0</v>
      </c>
      <c r="P16" s="25">
        <v>1.0</v>
      </c>
      <c r="Q16" s="25">
        <v>2.0</v>
      </c>
      <c r="R16" s="25">
        <v>0.0</v>
      </c>
      <c r="S16" s="25">
        <v>2.0</v>
      </c>
      <c r="T16" s="25">
        <v>0.0</v>
      </c>
      <c r="U16" s="25">
        <v>2.0</v>
      </c>
      <c r="V16" s="25">
        <v>0.0</v>
      </c>
      <c r="W16" s="25">
        <v>2.0</v>
      </c>
      <c r="X16" s="25">
        <v>0.0</v>
      </c>
      <c r="Y16" s="25">
        <v>1.0</v>
      </c>
      <c r="Z16" s="25">
        <v>0.0</v>
      </c>
      <c r="AA16" s="25">
        <v>3.0</v>
      </c>
      <c r="AB16" s="25">
        <v>1.0</v>
      </c>
      <c r="AC16" s="25">
        <v>2.0</v>
      </c>
      <c r="AD16" s="25">
        <v>1.0</v>
      </c>
      <c r="AE16" s="25">
        <v>2.0</v>
      </c>
      <c r="AF16" s="25">
        <v>0.0</v>
      </c>
      <c r="AG16" s="25">
        <v>2.0</v>
      </c>
      <c r="AH16" s="25">
        <v>1.0</v>
      </c>
      <c r="AI16" s="25">
        <v>3.0</v>
      </c>
      <c r="AJ16" s="25">
        <v>1.0</v>
      </c>
      <c r="AK16" s="25">
        <v>2.0</v>
      </c>
      <c r="AL16" s="25">
        <v>0.0</v>
      </c>
      <c r="AM16" s="25">
        <v>2.0</v>
      </c>
      <c r="AN16" s="25">
        <v>0.0</v>
      </c>
      <c r="AO16" s="25">
        <v>2.0</v>
      </c>
      <c r="AP16" s="25">
        <v>0.0</v>
      </c>
      <c r="AQ16" s="25">
        <v>2.0</v>
      </c>
      <c r="AR16" s="25">
        <v>0.0</v>
      </c>
      <c r="AS16" s="25">
        <v>3.0</v>
      </c>
      <c r="AT16" s="25">
        <v>0.0</v>
      </c>
      <c r="AU16" s="25">
        <v>2.0</v>
      </c>
      <c r="AV16" s="25">
        <v>0.0</v>
      </c>
      <c r="AW16" s="25">
        <v>2.0</v>
      </c>
      <c r="AX16" s="25">
        <v>3.0</v>
      </c>
      <c r="AY16" s="25">
        <v>1.0</v>
      </c>
      <c r="AZ16" s="25">
        <v>0.0</v>
      </c>
      <c r="BA16" s="25">
        <v>1.0</v>
      </c>
      <c r="BB16" s="25">
        <v>1.0</v>
      </c>
      <c r="BC16" s="25">
        <v>0.0</v>
      </c>
      <c r="BD16" s="25">
        <v>1.0</v>
      </c>
      <c r="BE16" s="25">
        <v>3.0</v>
      </c>
      <c r="BF16" s="25">
        <v>0.0</v>
      </c>
      <c r="BG16" s="26"/>
      <c r="BH16" s="26"/>
      <c r="BI16" s="26"/>
      <c r="BJ16" s="26"/>
    </row>
    <row r="17" ht="18.0" customHeight="1">
      <c r="A17" s="1"/>
      <c r="B17" s="13" t="s">
        <v>37</v>
      </c>
      <c r="C17" s="25">
        <v>1.0</v>
      </c>
      <c r="D17" s="25">
        <v>1.0</v>
      </c>
      <c r="E17" s="25">
        <v>1.0</v>
      </c>
      <c r="F17" s="25">
        <v>1.0</v>
      </c>
      <c r="G17" s="25">
        <v>1.0</v>
      </c>
      <c r="H17" s="25">
        <v>0.0</v>
      </c>
      <c r="I17" s="25">
        <v>2.0</v>
      </c>
      <c r="J17" s="25">
        <v>1.0</v>
      </c>
      <c r="K17" s="25">
        <v>2.0</v>
      </c>
      <c r="L17" s="25">
        <v>0.0</v>
      </c>
      <c r="M17" s="25">
        <v>2.0</v>
      </c>
      <c r="N17" s="25">
        <v>1.0</v>
      </c>
      <c r="O17" s="25">
        <v>1.0</v>
      </c>
      <c r="P17" s="25">
        <v>1.0</v>
      </c>
      <c r="Q17" s="25">
        <v>1.0</v>
      </c>
      <c r="R17" s="25">
        <v>1.0</v>
      </c>
      <c r="S17" s="25">
        <v>1.0</v>
      </c>
      <c r="T17" s="25">
        <v>1.0</v>
      </c>
      <c r="U17" s="25">
        <v>1.0</v>
      </c>
      <c r="V17" s="25">
        <v>1.0</v>
      </c>
      <c r="W17" s="25">
        <v>1.0</v>
      </c>
      <c r="X17" s="25">
        <v>0.0</v>
      </c>
      <c r="Y17" s="25">
        <v>2.0</v>
      </c>
      <c r="Z17" s="25">
        <v>0.0</v>
      </c>
      <c r="AA17" s="25">
        <v>1.0</v>
      </c>
      <c r="AB17" s="25">
        <v>1.0</v>
      </c>
      <c r="AC17" s="25">
        <v>1.0</v>
      </c>
      <c r="AD17" s="25">
        <v>1.0</v>
      </c>
      <c r="AE17" s="25">
        <v>1.0</v>
      </c>
      <c r="AF17" s="25">
        <v>1.0</v>
      </c>
      <c r="AG17" s="25">
        <v>1.0</v>
      </c>
      <c r="AH17" s="25">
        <v>1.0</v>
      </c>
      <c r="AI17" s="25">
        <v>2.0</v>
      </c>
      <c r="AJ17" s="25">
        <v>1.0</v>
      </c>
      <c r="AK17" s="25">
        <v>2.0</v>
      </c>
      <c r="AL17" s="25">
        <v>1.0</v>
      </c>
      <c r="AM17" s="25">
        <v>1.0</v>
      </c>
      <c r="AN17" s="25">
        <v>1.0</v>
      </c>
      <c r="AO17" s="25">
        <v>1.0</v>
      </c>
      <c r="AP17" s="25">
        <v>1.0</v>
      </c>
      <c r="AQ17" s="25">
        <v>1.0</v>
      </c>
      <c r="AR17" s="25">
        <v>1.0</v>
      </c>
      <c r="AS17" s="25">
        <v>1.0</v>
      </c>
      <c r="AT17" s="25">
        <v>1.0</v>
      </c>
      <c r="AU17" s="25">
        <v>1.0</v>
      </c>
      <c r="AV17" s="25">
        <v>1.0</v>
      </c>
      <c r="AW17" s="25">
        <v>1.0</v>
      </c>
      <c r="AX17" s="25">
        <v>1.0</v>
      </c>
      <c r="AY17" s="25">
        <v>1.0</v>
      </c>
      <c r="AZ17" s="25">
        <v>1.0</v>
      </c>
      <c r="BA17" s="25">
        <v>2.0</v>
      </c>
      <c r="BB17" s="25">
        <v>0.0</v>
      </c>
      <c r="BC17" s="25">
        <v>3.0</v>
      </c>
      <c r="BD17" s="25">
        <v>2.0</v>
      </c>
      <c r="BE17" s="25">
        <v>1.0</v>
      </c>
      <c r="BF17" s="25">
        <v>2.0</v>
      </c>
      <c r="BG17" s="26"/>
      <c r="BH17" s="26"/>
      <c r="BI17" s="26"/>
      <c r="BJ17" s="26"/>
    </row>
    <row r="18" ht="18.0" customHeight="1">
      <c r="A18" s="1"/>
      <c r="B18" s="13" t="s">
        <v>38</v>
      </c>
      <c r="C18" s="25">
        <v>2.0</v>
      </c>
      <c r="D18" s="25">
        <v>1.0</v>
      </c>
      <c r="E18" s="25">
        <v>2.0</v>
      </c>
      <c r="F18" s="25">
        <v>1.0</v>
      </c>
      <c r="G18" s="25">
        <v>1.0</v>
      </c>
      <c r="H18" s="25">
        <v>2.0</v>
      </c>
      <c r="I18" s="25">
        <v>1.0</v>
      </c>
      <c r="J18" s="25">
        <v>0.0</v>
      </c>
      <c r="K18" s="25">
        <v>2.0</v>
      </c>
      <c r="L18" s="25">
        <v>1.0</v>
      </c>
      <c r="M18" s="25">
        <v>2.0</v>
      </c>
      <c r="N18" s="25">
        <v>1.0</v>
      </c>
      <c r="O18" s="25">
        <v>0.0</v>
      </c>
      <c r="P18" s="25">
        <v>2.0</v>
      </c>
      <c r="Q18" s="25">
        <v>2.0</v>
      </c>
      <c r="R18" s="25">
        <v>1.0</v>
      </c>
      <c r="S18" s="25">
        <v>2.0</v>
      </c>
      <c r="T18" s="25">
        <v>0.0</v>
      </c>
      <c r="U18" s="25">
        <v>2.0</v>
      </c>
      <c r="V18" s="25">
        <v>1.0</v>
      </c>
      <c r="W18" s="25">
        <v>1.0</v>
      </c>
      <c r="X18" s="25">
        <v>1.0</v>
      </c>
      <c r="Y18" s="25">
        <v>2.0</v>
      </c>
      <c r="Z18" s="25">
        <v>1.0</v>
      </c>
      <c r="AA18" s="25">
        <v>2.0</v>
      </c>
      <c r="AB18" s="25">
        <v>0.0</v>
      </c>
      <c r="AC18" s="25">
        <v>1.0</v>
      </c>
      <c r="AD18" s="25">
        <v>0.0</v>
      </c>
      <c r="AE18" s="25">
        <v>2.0</v>
      </c>
      <c r="AF18" s="25">
        <v>1.0</v>
      </c>
      <c r="AG18" s="25">
        <v>2.0</v>
      </c>
      <c r="AH18" s="25">
        <v>2.0</v>
      </c>
      <c r="AI18" s="25">
        <v>0.0</v>
      </c>
      <c r="AJ18" s="25">
        <v>0.0</v>
      </c>
      <c r="AK18" s="25">
        <v>1.0</v>
      </c>
      <c r="AL18" s="25">
        <v>0.0</v>
      </c>
      <c r="AM18" s="25">
        <v>2.0</v>
      </c>
      <c r="AN18" s="25">
        <v>1.0</v>
      </c>
      <c r="AO18" s="25">
        <v>1.0</v>
      </c>
      <c r="AP18" s="25">
        <v>0.0</v>
      </c>
      <c r="AQ18" s="25">
        <v>2.0</v>
      </c>
      <c r="AR18" s="25">
        <v>1.0</v>
      </c>
      <c r="AS18" s="25">
        <v>1.0</v>
      </c>
      <c r="AT18" s="25">
        <v>0.0</v>
      </c>
      <c r="AU18" s="25">
        <v>2.0</v>
      </c>
      <c r="AV18" s="25">
        <v>0.0</v>
      </c>
      <c r="AW18" s="25">
        <v>1.0</v>
      </c>
      <c r="AX18" s="25">
        <v>2.0</v>
      </c>
      <c r="AY18" s="25">
        <v>2.0</v>
      </c>
      <c r="AZ18" s="25">
        <v>1.0</v>
      </c>
      <c r="BA18" s="25">
        <v>1.0</v>
      </c>
      <c r="BB18" s="25">
        <v>1.0</v>
      </c>
      <c r="BC18" s="25">
        <v>1.0</v>
      </c>
      <c r="BD18" s="25">
        <v>1.0</v>
      </c>
      <c r="BE18" s="25">
        <v>2.0</v>
      </c>
      <c r="BF18" s="25">
        <v>1.0</v>
      </c>
      <c r="BG18" s="26"/>
      <c r="BH18" s="26"/>
      <c r="BI18" s="26"/>
      <c r="BJ18" s="26"/>
    </row>
    <row r="19" ht="18.0" customHeight="1">
      <c r="A19" s="1"/>
      <c r="B19" s="13" t="s">
        <v>39</v>
      </c>
      <c r="C19" s="25">
        <v>2.0</v>
      </c>
      <c r="D19" s="25">
        <v>1.0</v>
      </c>
      <c r="E19" s="25">
        <v>2.0</v>
      </c>
      <c r="F19" s="25">
        <v>0.0</v>
      </c>
      <c r="G19" s="25">
        <v>2.0</v>
      </c>
      <c r="H19" s="25">
        <v>2.0</v>
      </c>
      <c r="I19" s="25">
        <v>1.0</v>
      </c>
      <c r="J19" s="25">
        <v>2.0</v>
      </c>
      <c r="K19" s="25">
        <v>2.0</v>
      </c>
      <c r="L19" s="25">
        <v>0.0</v>
      </c>
      <c r="M19" s="25">
        <v>2.0</v>
      </c>
      <c r="N19" s="25">
        <v>1.0</v>
      </c>
      <c r="O19" s="25">
        <v>3.0</v>
      </c>
      <c r="P19" s="25">
        <v>1.0</v>
      </c>
      <c r="Q19" s="25">
        <v>1.0</v>
      </c>
      <c r="R19" s="25">
        <v>1.0</v>
      </c>
      <c r="S19" s="25">
        <v>2.0</v>
      </c>
      <c r="T19" s="25">
        <v>0.0</v>
      </c>
      <c r="U19" s="25">
        <v>2.0</v>
      </c>
      <c r="V19" s="25">
        <v>1.0</v>
      </c>
      <c r="W19" s="25">
        <v>2.0</v>
      </c>
      <c r="X19" s="25">
        <v>1.0</v>
      </c>
      <c r="Y19" s="25">
        <v>2.0</v>
      </c>
      <c r="Z19" s="25">
        <v>2.0</v>
      </c>
      <c r="AA19" s="25">
        <v>3.0</v>
      </c>
      <c r="AB19" s="25">
        <v>1.0</v>
      </c>
      <c r="AC19" s="25">
        <v>2.0</v>
      </c>
      <c r="AD19" s="25">
        <v>2.0</v>
      </c>
      <c r="AE19" s="25">
        <v>2.0</v>
      </c>
      <c r="AF19" s="25">
        <v>1.0</v>
      </c>
      <c r="AG19" s="25">
        <v>1.0</v>
      </c>
      <c r="AH19" s="25">
        <v>0.0</v>
      </c>
      <c r="AI19" s="25">
        <v>2.0</v>
      </c>
      <c r="AJ19" s="25">
        <v>0.0</v>
      </c>
      <c r="AK19" s="25">
        <v>1.0</v>
      </c>
      <c r="AL19" s="25">
        <v>1.0</v>
      </c>
      <c r="AM19" s="25">
        <v>3.0</v>
      </c>
      <c r="AN19" s="25">
        <v>0.0</v>
      </c>
      <c r="AO19" s="25">
        <v>2.0</v>
      </c>
      <c r="AP19" s="25">
        <v>1.0</v>
      </c>
      <c r="AQ19" s="25">
        <v>2.0</v>
      </c>
      <c r="AR19" s="25">
        <v>0.0</v>
      </c>
      <c r="AS19" s="25">
        <v>2.0</v>
      </c>
      <c r="AT19" s="25">
        <v>2.0</v>
      </c>
      <c r="AU19" s="25">
        <v>2.0</v>
      </c>
      <c r="AV19" s="25">
        <v>1.0</v>
      </c>
      <c r="AW19" s="25">
        <v>4.0</v>
      </c>
      <c r="AX19" s="25">
        <v>2.0</v>
      </c>
      <c r="AY19" s="25">
        <v>3.0</v>
      </c>
      <c r="AZ19" s="25">
        <v>3.0</v>
      </c>
      <c r="BA19" s="25">
        <v>2.0</v>
      </c>
      <c r="BB19" s="25">
        <v>1.0</v>
      </c>
      <c r="BC19" s="25">
        <v>2.0</v>
      </c>
      <c r="BD19" s="25">
        <v>1.0</v>
      </c>
      <c r="BE19" s="25">
        <v>2.0</v>
      </c>
      <c r="BF19" s="25">
        <v>0.0</v>
      </c>
      <c r="BG19" s="26"/>
      <c r="BH19" s="26"/>
      <c r="BI19" s="26"/>
      <c r="BJ19" s="26"/>
    </row>
    <row r="20" ht="18.0" customHeight="1">
      <c r="A20" s="1"/>
      <c r="B20" s="13" t="s">
        <v>40</v>
      </c>
      <c r="C20" s="25">
        <v>0.0</v>
      </c>
      <c r="D20" s="25">
        <v>3.0</v>
      </c>
      <c r="E20" s="25">
        <v>0.0</v>
      </c>
      <c r="F20" s="25">
        <v>2.0</v>
      </c>
      <c r="G20" s="25">
        <v>0.0</v>
      </c>
      <c r="H20" s="25">
        <v>2.0</v>
      </c>
      <c r="I20" s="25">
        <v>0.0</v>
      </c>
      <c r="J20" s="25">
        <v>2.0</v>
      </c>
      <c r="K20" s="25">
        <v>0.0</v>
      </c>
      <c r="L20" s="25">
        <v>2.0</v>
      </c>
      <c r="M20" s="25">
        <v>1.0</v>
      </c>
      <c r="N20" s="25">
        <v>2.0</v>
      </c>
      <c r="O20" s="25">
        <v>0.0</v>
      </c>
      <c r="P20" s="25">
        <v>3.0</v>
      </c>
      <c r="Q20" s="25">
        <v>0.0</v>
      </c>
      <c r="R20" s="25">
        <v>2.0</v>
      </c>
      <c r="S20" s="25">
        <v>0.0</v>
      </c>
      <c r="T20" s="25">
        <v>2.0</v>
      </c>
      <c r="U20" s="25">
        <v>0.0</v>
      </c>
      <c r="V20" s="25">
        <v>2.0</v>
      </c>
      <c r="W20" s="25">
        <v>0.0</v>
      </c>
      <c r="X20" s="25">
        <v>2.0</v>
      </c>
      <c r="Y20" s="25">
        <v>0.0</v>
      </c>
      <c r="Z20" s="25">
        <v>4.0</v>
      </c>
      <c r="AA20" s="25">
        <v>0.0</v>
      </c>
      <c r="AB20" s="25">
        <v>1.0</v>
      </c>
      <c r="AC20" s="25">
        <v>0.0</v>
      </c>
      <c r="AD20" s="25">
        <v>2.0</v>
      </c>
      <c r="AE20" s="25">
        <v>0.0</v>
      </c>
      <c r="AF20" s="25">
        <v>2.0</v>
      </c>
      <c r="AG20" s="25">
        <v>0.0</v>
      </c>
      <c r="AH20" s="25">
        <v>2.0</v>
      </c>
      <c r="AI20" s="25">
        <v>1.0</v>
      </c>
      <c r="AJ20" s="25">
        <v>0.0</v>
      </c>
      <c r="AK20" s="25">
        <v>0.0</v>
      </c>
      <c r="AL20" s="25">
        <v>2.0</v>
      </c>
      <c r="AM20" s="25">
        <v>0.0</v>
      </c>
      <c r="AN20" s="25">
        <v>2.0</v>
      </c>
      <c r="AO20" s="25">
        <v>0.0</v>
      </c>
      <c r="AP20" s="25">
        <v>1.0</v>
      </c>
      <c r="AQ20" s="25">
        <v>0.0</v>
      </c>
      <c r="AR20" s="25">
        <v>2.0</v>
      </c>
      <c r="AS20" s="25">
        <v>0.0</v>
      </c>
      <c r="AT20" s="25">
        <v>2.0</v>
      </c>
      <c r="AU20" s="25">
        <v>0.0</v>
      </c>
      <c r="AV20" s="25">
        <v>2.0</v>
      </c>
      <c r="AW20" s="25">
        <v>1.0</v>
      </c>
      <c r="AX20" s="25">
        <v>3.0</v>
      </c>
      <c r="AY20" s="25">
        <v>0.0</v>
      </c>
      <c r="AZ20" s="25">
        <v>1.0</v>
      </c>
      <c r="BA20" s="25">
        <v>0.0</v>
      </c>
      <c r="BB20" s="25">
        <v>3.0</v>
      </c>
      <c r="BC20" s="25">
        <v>0.0</v>
      </c>
      <c r="BD20" s="25">
        <v>3.0</v>
      </c>
      <c r="BE20" s="25">
        <v>0.0</v>
      </c>
      <c r="BF20" s="25">
        <v>2.0</v>
      </c>
      <c r="BG20" s="26"/>
      <c r="BH20" s="26"/>
      <c r="BI20" s="26"/>
      <c r="BJ20" s="26"/>
    </row>
    <row r="21" ht="18.0" customHeight="1">
      <c r="A21" s="1"/>
      <c r="B21" s="13" t="s">
        <v>41</v>
      </c>
      <c r="C21" s="25">
        <v>1.0</v>
      </c>
      <c r="D21" s="25">
        <v>2.0</v>
      </c>
      <c r="E21" s="25">
        <v>1.0</v>
      </c>
      <c r="F21" s="25">
        <v>1.0</v>
      </c>
      <c r="G21" s="25">
        <v>1.0</v>
      </c>
      <c r="H21" s="25">
        <v>2.0</v>
      </c>
      <c r="I21" s="25">
        <v>0.0</v>
      </c>
      <c r="J21" s="25">
        <v>1.0</v>
      </c>
      <c r="K21" s="25">
        <v>2.0</v>
      </c>
      <c r="L21" s="25">
        <v>1.0</v>
      </c>
      <c r="M21" s="25">
        <v>1.0</v>
      </c>
      <c r="N21" s="25">
        <v>2.0</v>
      </c>
      <c r="O21" s="25">
        <v>0.0</v>
      </c>
      <c r="P21" s="25">
        <v>2.0</v>
      </c>
      <c r="Q21" s="25">
        <v>0.0</v>
      </c>
      <c r="R21" s="25">
        <v>2.0</v>
      </c>
      <c r="S21" s="25">
        <v>0.0</v>
      </c>
      <c r="T21" s="25">
        <v>2.0</v>
      </c>
      <c r="U21" s="25">
        <v>1.0</v>
      </c>
      <c r="V21" s="25">
        <v>1.0</v>
      </c>
      <c r="W21" s="25">
        <v>0.0</v>
      </c>
      <c r="X21" s="25">
        <v>1.0</v>
      </c>
      <c r="Y21" s="25">
        <v>0.0</v>
      </c>
      <c r="Z21" s="25">
        <v>2.0</v>
      </c>
      <c r="AA21" s="25">
        <v>1.0</v>
      </c>
      <c r="AB21" s="25">
        <v>2.0</v>
      </c>
      <c r="AC21" s="25">
        <v>1.0</v>
      </c>
      <c r="AD21" s="25">
        <v>2.0</v>
      </c>
      <c r="AE21" s="25">
        <v>1.0</v>
      </c>
      <c r="AF21" s="25">
        <v>1.0</v>
      </c>
      <c r="AG21" s="25">
        <v>0.0</v>
      </c>
      <c r="AH21" s="25">
        <v>2.0</v>
      </c>
      <c r="AI21" s="25">
        <v>0.0</v>
      </c>
      <c r="AJ21" s="25">
        <v>2.0</v>
      </c>
      <c r="AK21" s="25">
        <v>1.0</v>
      </c>
      <c r="AL21" s="25">
        <v>2.0</v>
      </c>
      <c r="AM21" s="25">
        <v>2.0</v>
      </c>
      <c r="AN21" s="25">
        <v>1.0</v>
      </c>
      <c r="AO21" s="25">
        <v>0.0</v>
      </c>
      <c r="AP21" s="25">
        <v>2.0</v>
      </c>
      <c r="AQ21" s="25">
        <v>1.0</v>
      </c>
      <c r="AR21" s="25">
        <v>1.0</v>
      </c>
      <c r="AS21" s="25">
        <v>1.0</v>
      </c>
      <c r="AT21" s="25">
        <v>3.0</v>
      </c>
      <c r="AU21" s="25">
        <v>1.0</v>
      </c>
      <c r="AV21" s="25">
        <v>1.0</v>
      </c>
      <c r="AW21" s="25">
        <v>2.0</v>
      </c>
      <c r="AX21" s="25">
        <v>2.0</v>
      </c>
      <c r="AY21" s="25">
        <v>1.0</v>
      </c>
      <c r="AZ21" s="25">
        <v>3.0</v>
      </c>
      <c r="BA21" s="25">
        <v>1.0</v>
      </c>
      <c r="BB21" s="25">
        <v>1.0</v>
      </c>
      <c r="BC21" s="25">
        <v>0.0</v>
      </c>
      <c r="BD21" s="25">
        <v>2.0</v>
      </c>
      <c r="BE21" s="25">
        <v>1.0</v>
      </c>
      <c r="BF21" s="25">
        <v>1.0</v>
      </c>
      <c r="BG21" s="26"/>
      <c r="BH21" s="26"/>
      <c r="BI21" s="26"/>
      <c r="BJ21" s="26"/>
    </row>
    <row r="22" ht="18.0" customHeight="1">
      <c r="A22" s="1"/>
      <c r="B22" s="13" t="s">
        <v>42</v>
      </c>
      <c r="C22" s="25">
        <v>4.0</v>
      </c>
      <c r="D22" s="25">
        <v>0.0</v>
      </c>
      <c r="E22" s="25">
        <v>4.0</v>
      </c>
      <c r="F22" s="25">
        <v>0.0</v>
      </c>
      <c r="G22" s="25">
        <v>5.0</v>
      </c>
      <c r="H22" s="25">
        <v>1.0</v>
      </c>
      <c r="I22" s="25">
        <v>4.0</v>
      </c>
      <c r="J22" s="25">
        <v>0.0</v>
      </c>
      <c r="K22" s="25">
        <v>5.0</v>
      </c>
      <c r="L22" s="25">
        <v>0.0</v>
      </c>
      <c r="M22" s="25">
        <v>2.0</v>
      </c>
      <c r="N22" s="25">
        <v>1.0</v>
      </c>
      <c r="O22" s="25">
        <v>4.0</v>
      </c>
      <c r="P22" s="25">
        <v>1.0</v>
      </c>
      <c r="Q22" s="25">
        <v>4.0</v>
      </c>
      <c r="R22" s="25">
        <v>0.0</v>
      </c>
      <c r="S22" s="25">
        <v>3.0</v>
      </c>
      <c r="T22" s="25">
        <v>0.0</v>
      </c>
      <c r="U22" s="25">
        <v>4.0</v>
      </c>
      <c r="V22" s="25">
        <v>0.0</v>
      </c>
      <c r="W22" s="25">
        <v>3.0</v>
      </c>
      <c r="X22" s="25">
        <v>1.0</v>
      </c>
      <c r="Y22" s="25">
        <v>5.0</v>
      </c>
      <c r="Z22" s="25">
        <v>1.0</v>
      </c>
      <c r="AA22" s="25">
        <v>4.0</v>
      </c>
      <c r="AB22" s="25">
        <v>0.0</v>
      </c>
      <c r="AC22" s="25">
        <v>3.0</v>
      </c>
      <c r="AD22" s="25">
        <v>0.0</v>
      </c>
      <c r="AE22" s="25">
        <v>4.0</v>
      </c>
      <c r="AF22" s="25">
        <v>0.0</v>
      </c>
      <c r="AG22" s="25">
        <v>5.0</v>
      </c>
      <c r="AH22" s="25">
        <v>0.0</v>
      </c>
      <c r="AI22" s="25">
        <v>3.0</v>
      </c>
      <c r="AJ22" s="25">
        <v>0.0</v>
      </c>
      <c r="AK22" s="25">
        <v>5.0</v>
      </c>
      <c r="AL22" s="25">
        <v>0.0</v>
      </c>
      <c r="AM22" s="25">
        <v>4.0</v>
      </c>
      <c r="AN22" s="25">
        <v>0.0</v>
      </c>
      <c r="AO22" s="25">
        <v>4.0</v>
      </c>
      <c r="AP22" s="25">
        <v>0.0</v>
      </c>
      <c r="AQ22" s="25">
        <v>3.0</v>
      </c>
      <c r="AR22" s="25">
        <v>0.0</v>
      </c>
      <c r="AS22" s="25">
        <v>3.0</v>
      </c>
      <c r="AT22" s="25">
        <v>0.0</v>
      </c>
      <c r="AU22" s="25">
        <v>4.0</v>
      </c>
      <c r="AV22" s="25">
        <v>0.0</v>
      </c>
      <c r="AW22" s="25">
        <v>2.0</v>
      </c>
      <c r="AX22" s="25">
        <v>1.0</v>
      </c>
      <c r="AY22" s="25">
        <v>5.0</v>
      </c>
      <c r="AZ22" s="25">
        <v>0.0</v>
      </c>
      <c r="BA22" s="25">
        <v>3.0</v>
      </c>
      <c r="BB22" s="25">
        <v>0.0</v>
      </c>
      <c r="BC22" s="25">
        <v>5.0</v>
      </c>
      <c r="BD22" s="25">
        <v>0.0</v>
      </c>
      <c r="BE22" s="25">
        <v>4.0</v>
      </c>
      <c r="BF22" s="25">
        <v>0.0</v>
      </c>
      <c r="BG22" s="26"/>
      <c r="BH22" s="26"/>
      <c r="BI22" s="26"/>
      <c r="BJ22" s="26"/>
    </row>
    <row r="23" ht="18.0" customHeight="1">
      <c r="A23" s="1"/>
      <c r="B23" s="13" t="s">
        <v>43</v>
      </c>
      <c r="C23" s="25">
        <v>1.0</v>
      </c>
      <c r="D23" s="25">
        <v>3.0</v>
      </c>
      <c r="E23" s="25">
        <v>0.0</v>
      </c>
      <c r="F23" s="25">
        <v>2.0</v>
      </c>
      <c r="G23" s="25">
        <v>1.0</v>
      </c>
      <c r="H23" s="25">
        <v>3.0</v>
      </c>
      <c r="I23" s="25">
        <v>1.0</v>
      </c>
      <c r="J23" s="25">
        <v>3.0</v>
      </c>
      <c r="K23" s="25">
        <v>1.0</v>
      </c>
      <c r="L23" s="25">
        <v>2.0</v>
      </c>
      <c r="M23" s="25">
        <v>1.0</v>
      </c>
      <c r="N23" s="25">
        <v>2.0</v>
      </c>
      <c r="O23" s="25">
        <v>1.0</v>
      </c>
      <c r="P23" s="25">
        <v>2.0</v>
      </c>
      <c r="Q23" s="25">
        <v>1.0</v>
      </c>
      <c r="R23" s="25">
        <v>3.0</v>
      </c>
      <c r="S23" s="25">
        <v>0.0</v>
      </c>
      <c r="T23" s="25">
        <v>2.0</v>
      </c>
      <c r="U23" s="25">
        <v>0.0</v>
      </c>
      <c r="V23" s="25">
        <v>2.0</v>
      </c>
      <c r="W23" s="25">
        <v>0.0</v>
      </c>
      <c r="X23" s="25">
        <v>2.0</v>
      </c>
      <c r="Y23" s="25">
        <v>1.0</v>
      </c>
      <c r="Z23" s="25">
        <v>2.0</v>
      </c>
      <c r="AA23" s="25">
        <v>0.0</v>
      </c>
      <c r="AB23" s="25">
        <v>2.0</v>
      </c>
      <c r="AC23" s="25">
        <v>1.0</v>
      </c>
      <c r="AD23" s="25">
        <v>2.0</v>
      </c>
      <c r="AE23" s="25">
        <v>0.0</v>
      </c>
      <c r="AF23" s="25">
        <v>2.0</v>
      </c>
      <c r="AG23" s="25">
        <v>1.0</v>
      </c>
      <c r="AH23" s="25">
        <v>2.0</v>
      </c>
      <c r="AI23" s="25">
        <v>1.0</v>
      </c>
      <c r="AJ23" s="25">
        <v>3.0</v>
      </c>
      <c r="AK23" s="25">
        <v>1.0</v>
      </c>
      <c r="AL23" s="25">
        <v>2.0</v>
      </c>
      <c r="AM23" s="25">
        <v>1.0</v>
      </c>
      <c r="AN23" s="25">
        <v>2.0</v>
      </c>
      <c r="AO23" s="25">
        <v>0.0</v>
      </c>
      <c r="AP23" s="25">
        <v>3.0</v>
      </c>
      <c r="AQ23" s="25">
        <v>0.0</v>
      </c>
      <c r="AR23" s="25">
        <v>2.0</v>
      </c>
      <c r="AS23" s="25">
        <v>1.0</v>
      </c>
      <c r="AT23" s="25">
        <v>1.0</v>
      </c>
      <c r="AU23" s="25">
        <v>1.0</v>
      </c>
      <c r="AV23" s="25">
        <v>2.0</v>
      </c>
      <c r="AW23" s="25">
        <v>3.0</v>
      </c>
      <c r="AX23" s="25">
        <v>2.0</v>
      </c>
      <c r="AY23" s="25">
        <v>0.0</v>
      </c>
      <c r="AZ23" s="25">
        <v>2.0</v>
      </c>
      <c r="BA23" s="25">
        <v>0.0</v>
      </c>
      <c r="BB23" s="25">
        <v>2.0</v>
      </c>
      <c r="BC23" s="25">
        <v>1.0</v>
      </c>
      <c r="BD23" s="25">
        <v>2.0</v>
      </c>
      <c r="BE23" s="25">
        <v>0.0</v>
      </c>
      <c r="BF23" s="25">
        <v>3.0</v>
      </c>
      <c r="BG23" s="26"/>
      <c r="BH23" s="26"/>
      <c r="BI23" s="26"/>
      <c r="BJ23" s="26"/>
    </row>
    <row r="24" ht="18.0" customHeight="1">
      <c r="A24" s="1"/>
      <c r="B24" s="13" t="s">
        <v>44</v>
      </c>
      <c r="C24" s="25">
        <v>2.0</v>
      </c>
      <c r="D24" s="25">
        <v>0.0</v>
      </c>
      <c r="E24" s="25">
        <v>2.0</v>
      </c>
      <c r="F24" s="25">
        <v>0.0</v>
      </c>
      <c r="G24" s="25">
        <v>3.0</v>
      </c>
      <c r="H24" s="25">
        <v>0.0</v>
      </c>
      <c r="I24" s="25">
        <v>2.0</v>
      </c>
      <c r="J24" s="25">
        <v>0.0</v>
      </c>
      <c r="K24" s="25">
        <v>3.0</v>
      </c>
      <c r="L24" s="25">
        <v>0.0</v>
      </c>
      <c r="M24" s="25">
        <v>2.0</v>
      </c>
      <c r="N24" s="25">
        <v>1.0</v>
      </c>
      <c r="O24" s="25">
        <v>3.0</v>
      </c>
      <c r="P24" s="25">
        <v>0.0</v>
      </c>
      <c r="Q24" s="25">
        <v>3.0</v>
      </c>
      <c r="R24" s="25">
        <v>0.0</v>
      </c>
      <c r="S24" s="25">
        <v>2.0</v>
      </c>
      <c r="T24" s="25">
        <v>0.0</v>
      </c>
      <c r="U24" s="25">
        <v>3.0</v>
      </c>
      <c r="V24" s="25">
        <v>0.0</v>
      </c>
      <c r="W24" s="25">
        <v>1.0</v>
      </c>
      <c r="X24" s="25">
        <v>0.0</v>
      </c>
      <c r="Y24" s="25">
        <v>4.0</v>
      </c>
      <c r="Z24" s="25">
        <v>0.0</v>
      </c>
      <c r="AA24" s="25">
        <v>3.0</v>
      </c>
      <c r="AB24" s="25">
        <v>0.0</v>
      </c>
      <c r="AC24" s="25">
        <v>3.0</v>
      </c>
      <c r="AD24" s="25">
        <v>0.0</v>
      </c>
      <c r="AE24" s="25">
        <v>3.0</v>
      </c>
      <c r="AF24" s="25">
        <v>0.0</v>
      </c>
      <c r="AG24" s="25">
        <v>3.0</v>
      </c>
      <c r="AH24" s="25">
        <v>0.0</v>
      </c>
      <c r="AI24" s="25">
        <v>1.0</v>
      </c>
      <c r="AJ24" s="25">
        <v>1.0</v>
      </c>
      <c r="AK24" s="25">
        <v>3.0</v>
      </c>
      <c r="AL24" s="25">
        <v>0.0</v>
      </c>
      <c r="AM24" s="25">
        <v>2.0</v>
      </c>
      <c r="AN24" s="25">
        <v>0.0</v>
      </c>
      <c r="AO24" s="25">
        <v>3.0</v>
      </c>
      <c r="AP24" s="25">
        <v>0.0</v>
      </c>
      <c r="AQ24" s="25">
        <v>3.0</v>
      </c>
      <c r="AR24" s="25">
        <v>1.0</v>
      </c>
      <c r="AS24" s="25">
        <v>2.0</v>
      </c>
      <c r="AT24" s="25">
        <v>0.0</v>
      </c>
      <c r="AU24" s="25">
        <v>3.0</v>
      </c>
      <c r="AV24" s="25">
        <v>0.0</v>
      </c>
      <c r="AW24" s="25">
        <v>1.0</v>
      </c>
      <c r="AX24" s="25">
        <v>1.0</v>
      </c>
      <c r="AY24" s="25">
        <v>3.0</v>
      </c>
      <c r="AZ24" s="25">
        <v>0.0</v>
      </c>
      <c r="BA24" s="25">
        <v>3.0</v>
      </c>
      <c r="BB24" s="25">
        <v>1.0</v>
      </c>
      <c r="BC24" s="25">
        <v>4.0</v>
      </c>
      <c r="BD24" s="25">
        <v>0.0</v>
      </c>
      <c r="BE24" s="25">
        <v>2.0</v>
      </c>
      <c r="BF24" s="25">
        <v>0.0</v>
      </c>
      <c r="BG24" s="26"/>
      <c r="BH24" s="26"/>
      <c r="BI24" s="26"/>
      <c r="BJ24" s="26"/>
    </row>
    <row r="25" ht="18.0" customHeight="1">
      <c r="A25" s="1"/>
      <c r="B25" s="13" t="s">
        <v>45</v>
      </c>
      <c r="C25" s="25">
        <v>2.0</v>
      </c>
      <c r="D25" s="25">
        <v>0.0</v>
      </c>
      <c r="E25" s="25">
        <v>1.0</v>
      </c>
      <c r="F25" s="25">
        <v>1.0</v>
      </c>
      <c r="G25" s="25">
        <v>2.0</v>
      </c>
      <c r="H25" s="25">
        <v>0.0</v>
      </c>
      <c r="I25" s="25">
        <v>2.0</v>
      </c>
      <c r="J25" s="25">
        <v>1.0</v>
      </c>
      <c r="K25" s="25">
        <v>2.0</v>
      </c>
      <c r="L25" s="25">
        <v>1.0</v>
      </c>
      <c r="M25" s="25">
        <v>2.0</v>
      </c>
      <c r="N25" s="25">
        <v>1.0</v>
      </c>
      <c r="O25" s="25">
        <v>1.0</v>
      </c>
      <c r="P25" s="25">
        <v>1.0</v>
      </c>
      <c r="Q25" s="25">
        <v>2.0</v>
      </c>
      <c r="R25" s="25">
        <v>0.0</v>
      </c>
      <c r="S25" s="25">
        <v>1.0</v>
      </c>
      <c r="T25" s="25">
        <v>1.0</v>
      </c>
      <c r="U25" s="25">
        <v>2.0</v>
      </c>
      <c r="V25" s="25">
        <v>1.0</v>
      </c>
      <c r="W25" s="25">
        <v>1.0</v>
      </c>
      <c r="X25" s="25">
        <v>1.0</v>
      </c>
      <c r="Y25" s="25">
        <v>2.0</v>
      </c>
      <c r="Z25" s="25">
        <v>1.0</v>
      </c>
      <c r="AA25" s="25">
        <v>1.0</v>
      </c>
      <c r="AB25" s="25">
        <v>1.0</v>
      </c>
      <c r="AC25" s="25">
        <v>1.0</v>
      </c>
      <c r="AD25" s="25">
        <v>1.0</v>
      </c>
      <c r="AE25" s="25">
        <v>2.0</v>
      </c>
      <c r="AF25" s="25">
        <v>1.0</v>
      </c>
      <c r="AG25" s="25">
        <v>1.0</v>
      </c>
      <c r="AH25" s="25">
        <v>1.0</v>
      </c>
      <c r="AI25" s="25">
        <v>2.0</v>
      </c>
      <c r="AJ25" s="25">
        <v>0.0</v>
      </c>
      <c r="AK25" s="25">
        <v>2.0</v>
      </c>
      <c r="AL25" s="25">
        <v>1.0</v>
      </c>
      <c r="AM25" s="25">
        <v>3.0</v>
      </c>
      <c r="AN25" s="25">
        <v>1.0</v>
      </c>
      <c r="AO25" s="25">
        <v>1.0</v>
      </c>
      <c r="AP25" s="25">
        <v>1.0</v>
      </c>
      <c r="AQ25" s="25">
        <v>1.0</v>
      </c>
      <c r="AR25" s="25">
        <v>1.0</v>
      </c>
      <c r="AS25" s="25">
        <v>2.0</v>
      </c>
      <c r="AT25" s="25">
        <v>1.0</v>
      </c>
      <c r="AU25" s="25">
        <v>2.0</v>
      </c>
      <c r="AV25" s="25">
        <v>1.0</v>
      </c>
      <c r="AW25" s="25">
        <v>0.0</v>
      </c>
      <c r="AX25" s="25">
        <v>2.0</v>
      </c>
      <c r="AY25" s="25">
        <v>1.0</v>
      </c>
      <c r="AZ25" s="25">
        <v>2.0</v>
      </c>
      <c r="BA25" s="25">
        <v>0.0</v>
      </c>
      <c r="BB25" s="25">
        <v>0.0</v>
      </c>
      <c r="BC25" s="25">
        <v>2.0</v>
      </c>
      <c r="BD25" s="25">
        <v>1.0</v>
      </c>
      <c r="BE25" s="25">
        <v>2.0</v>
      </c>
      <c r="BF25" s="25">
        <v>1.0</v>
      </c>
      <c r="BG25" s="26"/>
      <c r="BH25" s="26"/>
      <c r="BI25" s="26"/>
      <c r="BJ25" s="26"/>
    </row>
    <row r="26" ht="18.0" customHeight="1">
      <c r="A26" s="1"/>
      <c r="B26" s="13" t="s">
        <v>46</v>
      </c>
      <c r="C26" s="25">
        <v>1.0</v>
      </c>
      <c r="D26" s="25">
        <v>2.0</v>
      </c>
      <c r="E26" s="25">
        <v>0.0</v>
      </c>
      <c r="F26" s="25">
        <v>2.0</v>
      </c>
      <c r="G26" s="25">
        <v>1.0</v>
      </c>
      <c r="H26" s="25">
        <v>2.0</v>
      </c>
      <c r="I26" s="25">
        <v>0.0</v>
      </c>
      <c r="J26" s="25">
        <v>1.0</v>
      </c>
      <c r="K26" s="25">
        <v>0.0</v>
      </c>
      <c r="L26" s="25">
        <v>2.0</v>
      </c>
      <c r="M26" s="25">
        <v>1.0</v>
      </c>
      <c r="N26" s="25">
        <v>2.0</v>
      </c>
      <c r="O26" s="25">
        <v>0.0</v>
      </c>
      <c r="P26" s="25">
        <v>2.0</v>
      </c>
      <c r="Q26" s="25">
        <v>1.0</v>
      </c>
      <c r="R26" s="25">
        <v>1.0</v>
      </c>
      <c r="S26" s="25">
        <v>1.0</v>
      </c>
      <c r="T26" s="25">
        <v>1.0</v>
      </c>
      <c r="U26" s="25">
        <v>1.0</v>
      </c>
      <c r="V26" s="25">
        <v>3.0</v>
      </c>
      <c r="W26" s="25">
        <v>0.0</v>
      </c>
      <c r="X26" s="25">
        <v>2.0</v>
      </c>
      <c r="Y26" s="25">
        <v>1.0</v>
      </c>
      <c r="Z26" s="25">
        <v>2.0</v>
      </c>
      <c r="AA26" s="25">
        <v>1.0</v>
      </c>
      <c r="AB26" s="25">
        <v>2.0</v>
      </c>
      <c r="AC26" s="25">
        <v>1.0</v>
      </c>
      <c r="AD26" s="25">
        <v>1.0</v>
      </c>
      <c r="AE26" s="25">
        <v>1.0</v>
      </c>
      <c r="AF26" s="25">
        <v>2.0</v>
      </c>
      <c r="AG26" s="25">
        <v>1.0</v>
      </c>
      <c r="AH26" s="25">
        <v>3.0</v>
      </c>
      <c r="AI26" s="25">
        <v>0.0</v>
      </c>
      <c r="AJ26" s="25">
        <v>2.0</v>
      </c>
      <c r="AK26" s="25">
        <v>1.0</v>
      </c>
      <c r="AL26" s="25">
        <v>3.0</v>
      </c>
      <c r="AM26" s="25">
        <v>1.0</v>
      </c>
      <c r="AN26" s="25">
        <v>1.0</v>
      </c>
      <c r="AO26" s="25">
        <v>1.0</v>
      </c>
      <c r="AP26" s="25">
        <v>2.0</v>
      </c>
      <c r="AQ26" s="25">
        <v>1.0</v>
      </c>
      <c r="AR26" s="25">
        <v>2.0</v>
      </c>
      <c r="AS26" s="25">
        <v>1.0</v>
      </c>
      <c r="AT26" s="25">
        <v>3.0</v>
      </c>
      <c r="AU26" s="25">
        <v>1.0</v>
      </c>
      <c r="AV26" s="25">
        <v>2.0</v>
      </c>
      <c r="AW26" s="25">
        <v>1.0</v>
      </c>
      <c r="AX26" s="25">
        <v>0.0</v>
      </c>
      <c r="AY26" s="25">
        <v>0.0</v>
      </c>
      <c r="AZ26" s="25">
        <v>3.0</v>
      </c>
      <c r="BA26" s="25">
        <v>1.0</v>
      </c>
      <c r="BB26" s="25">
        <v>1.0</v>
      </c>
      <c r="BC26" s="25">
        <v>0.0</v>
      </c>
      <c r="BD26" s="25">
        <v>2.0</v>
      </c>
      <c r="BE26" s="25">
        <v>1.0</v>
      </c>
      <c r="BF26" s="25">
        <v>2.0</v>
      </c>
      <c r="BG26" s="26"/>
      <c r="BH26" s="26"/>
      <c r="BI26" s="26"/>
      <c r="BJ26" s="26"/>
    </row>
    <row r="27" ht="18.0" customHeight="1">
      <c r="A27" s="1"/>
      <c r="B27" s="13" t="s">
        <v>47</v>
      </c>
      <c r="C27" s="25">
        <v>2.0</v>
      </c>
      <c r="D27" s="25">
        <v>1.0</v>
      </c>
      <c r="E27" s="25">
        <v>2.0</v>
      </c>
      <c r="F27" s="25">
        <v>1.0</v>
      </c>
      <c r="G27" s="25">
        <v>2.0</v>
      </c>
      <c r="H27" s="25">
        <v>1.0</v>
      </c>
      <c r="I27" s="25">
        <v>2.0</v>
      </c>
      <c r="J27" s="25">
        <v>1.0</v>
      </c>
      <c r="K27" s="25">
        <v>2.0</v>
      </c>
      <c r="L27" s="25">
        <v>0.0</v>
      </c>
      <c r="M27" s="25">
        <v>2.0</v>
      </c>
      <c r="N27" s="25">
        <v>1.0</v>
      </c>
      <c r="O27" s="25">
        <v>1.0</v>
      </c>
      <c r="P27" s="25">
        <v>1.0</v>
      </c>
      <c r="Q27" s="25">
        <v>2.0</v>
      </c>
      <c r="R27" s="25">
        <v>1.0</v>
      </c>
      <c r="S27" s="25">
        <v>1.0</v>
      </c>
      <c r="T27" s="25">
        <v>1.0</v>
      </c>
      <c r="U27" s="25">
        <v>2.0</v>
      </c>
      <c r="V27" s="25">
        <v>1.0</v>
      </c>
      <c r="W27" s="25">
        <v>2.0</v>
      </c>
      <c r="X27" s="25">
        <v>1.0</v>
      </c>
      <c r="Y27" s="25">
        <v>1.0</v>
      </c>
      <c r="Z27" s="25">
        <v>1.0</v>
      </c>
      <c r="AA27" s="25">
        <v>1.0</v>
      </c>
      <c r="AB27" s="25">
        <v>1.0</v>
      </c>
      <c r="AC27" s="25">
        <v>0.0</v>
      </c>
      <c r="AD27" s="25">
        <v>1.0</v>
      </c>
      <c r="AE27" s="25">
        <v>1.0</v>
      </c>
      <c r="AF27" s="25">
        <v>1.0</v>
      </c>
      <c r="AG27" s="25">
        <v>2.0</v>
      </c>
      <c r="AH27" s="25">
        <v>0.0</v>
      </c>
      <c r="AI27" s="25">
        <v>1.0</v>
      </c>
      <c r="AJ27" s="25">
        <v>1.0</v>
      </c>
      <c r="AK27" s="25">
        <v>1.0</v>
      </c>
      <c r="AL27" s="25">
        <v>0.0</v>
      </c>
      <c r="AM27" s="25">
        <v>2.0</v>
      </c>
      <c r="AN27" s="25">
        <v>0.0</v>
      </c>
      <c r="AO27" s="25">
        <v>2.0</v>
      </c>
      <c r="AP27" s="25">
        <v>1.0</v>
      </c>
      <c r="AQ27" s="25">
        <v>1.0</v>
      </c>
      <c r="AR27" s="25">
        <v>1.0</v>
      </c>
      <c r="AS27" s="25">
        <v>2.0</v>
      </c>
      <c r="AT27" s="25">
        <v>1.0</v>
      </c>
      <c r="AU27" s="25">
        <v>1.0</v>
      </c>
      <c r="AV27" s="25">
        <v>1.0</v>
      </c>
      <c r="AW27" s="25">
        <v>0.0</v>
      </c>
      <c r="AX27" s="25">
        <v>1.0</v>
      </c>
      <c r="AY27" s="25">
        <v>2.0</v>
      </c>
      <c r="AZ27" s="25">
        <v>2.0</v>
      </c>
      <c r="BA27" s="25">
        <v>2.0</v>
      </c>
      <c r="BB27" s="25">
        <v>1.0</v>
      </c>
      <c r="BC27" s="25">
        <v>1.0</v>
      </c>
      <c r="BD27" s="25">
        <v>1.0</v>
      </c>
      <c r="BE27" s="25">
        <v>2.0</v>
      </c>
      <c r="BF27" s="25">
        <v>0.0</v>
      </c>
      <c r="BG27" s="26"/>
      <c r="BH27" s="26"/>
      <c r="BI27" s="26"/>
      <c r="BJ27" s="26"/>
    </row>
    <row r="28" ht="18.0" customHeight="1">
      <c r="A28" s="1"/>
      <c r="B28" s="13" t="s">
        <v>48</v>
      </c>
      <c r="C28" s="25">
        <v>2.0</v>
      </c>
      <c r="D28" s="25">
        <v>0.0</v>
      </c>
      <c r="E28" s="25">
        <v>2.0</v>
      </c>
      <c r="F28" s="25">
        <v>1.0</v>
      </c>
      <c r="G28" s="25">
        <v>1.0</v>
      </c>
      <c r="H28" s="25">
        <v>1.0</v>
      </c>
      <c r="I28" s="25">
        <v>1.0</v>
      </c>
      <c r="J28" s="25">
        <v>0.0</v>
      </c>
      <c r="K28" s="25">
        <v>3.0</v>
      </c>
      <c r="L28" s="25">
        <v>1.0</v>
      </c>
      <c r="M28" s="25">
        <v>2.0</v>
      </c>
      <c r="N28" s="25">
        <v>1.0</v>
      </c>
      <c r="O28" s="25">
        <v>3.0</v>
      </c>
      <c r="P28" s="25">
        <v>1.0</v>
      </c>
      <c r="Q28" s="25">
        <v>2.0</v>
      </c>
      <c r="R28" s="25">
        <v>1.0</v>
      </c>
      <c r="S28" s="25">
        <v>2.0</v>
      </c>
      <c r="T28" s="25">
        <v>1.0</v>
      </c>
      <c r="U28" s="25">
        <v>2.0</v>
      </c>
      <c r="V28" s="25">
        <v>0.0</v>
      </c>
      <c r="W28" s="25">
        <v>2.0</v>
      </c>
      <c r="X28" s="25">
        <v>0.0</v>
      </c>
      <c r="Y28" s="25">
        <v>2.0</v>
      </c>
      <c r="Z28" s="25">
        <v>2.0</v>
      </c>
      <c r="AA28" s="25">
        <v>2.0</v>
      </c>
      <c r="AB28" s="25">
        <v>0.0</v>
      </c>
      <c r="AC28" s="25">
        <v>1.0</v>
      </c>
      <c r="AD28" s="25">
        <v>2.0</v>
      </c>
      <c r="AE28" s="25">
        <v>2.0</v>
      </c>
      <c r="AF28" s="25">
        <v>0.0</v>
      </c>
      <c r="AG28" s="25">
        <v>1.0</v>
      </c>
      <c r="AH28" s="25">
        <v>0.0</v>
      </c>
      <c r="AI28" s="25">
        <v>1.0</v>
      </c>
      <c r="AJ28" s="25">
        <v>0.0</v>
      </c>
      <c r="AK28" s="25">
        <v>2.0</v>
      </c>
      <c r="AL28" s="25">
        <v>0.0</v>
      </c>
      <c r="AM28" s="25">
        <v>2.0</v>
      </c>
      <c r="AN28" s="25">
        <v>0.0</v>
      </c>
      <c r="AO28" s="25">
        <v>2.0</v>
      </c>
      <c r="AP28" s="25">
        <v>1.0</v>
      </c>
      <c r="AQ28" s="25">
        <v>2.0</v>
      </c>
      <c r="AR28" s="25">
        <v>1.0</v>
      </c>
      <c r="AS28" s="25">
        <v>2.0</v>
      </c>
      <c r="AT28" s="25">
        <v>0.0</v>
      </c>
      <c r="AU28" s="25">
        <v>2.0</v>
      </c>
      <c r="AV28" s="25">
        <v>0.0</v>
      </c>
      <c r="AW28" s="25">
        <v>0.0</v>
      </c>
      <c r="AX28" s="25">
        <v>2.0</v>
      </c>
      <c r="AY28" s="25">
        <v>1.0</v>
      </c>
      <c r="AZ28" s="25">
        <v>0.0</v>
      </c>
      <c r="BA28" s="25">
        <v>1.0</v>
      </c>
      <c r="BB28" s="25">
        <v>1.0</v>
      </c>
      <c r="BC28" s="25">
        <v>3.0</v>
      </c>
      <c r="BD28" s="25">
        <v>2.0</v>
      </c>
      <c r="BE28" s="25">
        <v>2.0</v>
      </c>
      <c r="BF28" s="25">
        <v>0.0</v>
      </c>
      <c r="BG28" s="26"/>
      <c r="BH28" s="26"/>
      <c r="BI28" s="26"/>
      <c r="BJ28" s="26"/>
    </row>
    <row r="29" ht="18.0" customHeight="1">
      <c r="A29" s="1"/>
      <c r="B29" s="13" t="s">
        <v>49</v>
      </c>
      <c r="C29" s="25">
        <v>2.0</v>
      </c>
      <c r="D29" s="25">
        <v>2.0</v>
      </c>
      <c r="E29" s="25">
        <v>2.0</v>
      </c>
      <c r="F29" s="25">
        <v>1.0</v>
      </c>
      <c r="G29" s="25">
        <v>2.0</v>
      </c>
      <c r="H29" s="25">
        <v>1.0</v>
      </c>
      <c r="I29" s="25">
        <v>2.0</v>
      </c>
      <c r="J29" s="25">
        <v>1.0</v>
      </c>
      <c r="K29" s="25">
        <v>2.0</v>
      </c>
      <c r="L29" s="25">
        <v>1.0</v>
      </c>
      <c r="M29" s="25">
        <v>1.0</v>
      </c>
      <c r="N29" s="25">
        <v>2.0</v>
      </c>
      <c r="O29" s="25">
        <v>3.0</v>
      </c>
      <c r="P29" s="25">
        <v>2.0</v>
      </c>
      <c r="Q29" s="25">
        <v>2.0</v>
      </c>
      <c r="R29" s="25">
        <v>1.0</v>
      </c>
      <c r="S29" s="25">
        <v>1.0</v>
      </c>
      <c r="T29" s="25">
        <v>2.0</v>
      </c>
      <c r="U29" s="25">
        <v>1.0</v>
      </c>
      <c r="V29" s="25">
        <v>1.0</v>
      </c>
      <c r="W29" s="25">
        <v>1.0</v>
      </c>
      <c r="X29" s="25">
        <v>1.0</v>
      </c>
      <c r="Y29" s="25">
        <v>2.0</v>
      </c>
      <c r="Z29" s="25">
        <v>1.0</v>
      </c>
      <c r="AA29" s="25">
        <v>2.0</v>
      </c>
      <c r="AB29" s="25">
        <v>2.0</v>
      </c>
      <c r="AC29" s="25">
        <v>1.0</v>
      </c>
      <c r="AD29" s="25">
        <v>2.0</v>
      </c>
      <c r="AE29" s="25">
        <v>1.0</v>
      </c>
      <c r="AF29" s="25">
        <v>1.0</v>
      </c>
      <c r="AG29" s="25">
        <v>1.0</v>
      </c>
      <c r="AH29" s="25">
        <v>1.0</v>
      </c>
      <c r="AI29" s="25">
        <v>1.0</v>
      </c>
      <c r="AJ29" s="25">
        <v>1.0</v>
      </c>
      <c r="AK29" s="25">
        <v>2.0</v>
      </c>
      <c r="AL29" s="25">
        <v>1.0</v>
      </c>
      <c r="AM29" s="25">
        <v>1.0</v>
      </c>
      <c r="AN29" s="25">
        <v>1.0</v>
      </c>
      <c r="AO29" s="25">
        <v>1.0</v>
      </c>
      <c r="AP29" s="25">
        <v>2.0</v>
      </c>
      <c r="AQ29" s="25">
        <v>1.0</v>
      </c>
      <c r="AR29" s="25">
        <v>2.0</v>
      </c>
      <c r="AS29" s="25">
        <v>1.0</v>
      </c>
      <c r="AT29" s="25">
        <v>0.0</v>
      </c>
      <c r="AU29" s="25">
        <v>1.0</v>
      </c>
      <c r="AV29" s="25">
        <v>1.0</v>
      </c>
      <c r="AW29" s="25">
        <v>2.0</v>
      </c>
      <c r="AX29" s="25">
        <v>1.0</v>
      </c>
      <c r="AY29" s="25">
        <v>2.0</v>
      </c>
      <c r="AZ29" s="25">
        <v>1.0</v>
      </c>
      <c r="BA29" s="25">
        <v>2.0</v>
      </c>
      <c r="BB29" s="25">
        <v>1.0</v>
      </c>
      <c r="BC29" s="25">
        <v>2.0</v>
      </c>
      <c r="BD29" s="25">
        <v>1.0</v>
      </c>
      <c r="BE29" s="25">
        <v>1.0</v>
      </c>
      <c r="BF29" s="25">
        <v>1.0</v>
      </c>
      <c r="BG29" s="26"/>
      <c r="BH29" s="26"/>
      <c r="BI29" s="26"/>
      <c r="BJ29" s="26"/>
    </row>
    <row r="30" ht="18.0" customHeight="1">
      <c r="A30" s="1"/>
      <c r="B30" s="13" t="s">
        <v>50</v>
      </c>
      <c r="C30" s="25">
        <v>1.0</v>
      </c>
      <c r="D30" s="25">
        <v>1.0</v>
      </c>
      <c r="E30" s="25">
        <v>1.0</v>
      </c>
      <c r="F30" s="25">
        <v>1.0</v>
      </c>
      <c r="G30" s="25">
        <v>0.0</v>
      </c>
      <c r="H30" s="25">
        <v>0.0</v>
      </c>
      <c r="I30" s="25">
        <v>1.0</v>
      </c>
      <c r="J30" s="25">
        <v>0.0</v>
      </c>
      <c r="K30" s="25">
        <v>1.0</v>
      </c>
      <c r="L30" s="25">
        <v>2.0</v>
      </c>
      <c r="M30" s="25">
        <v>2.0</v>
      </c>
      <c r="N30" s="25">
        <v>1.0</v>
      </c>
      <c r="O30" s="25">
        <v>2.0</v>
      </c>
      <c r="P30" s="25">
        <v>1.0</v>
      </c>
      <c r="Q30" s="25">
        <v>1.0</v>
      </c>
      <c r="R30" s="25">
        <v>1.0</v>
      </c>
      <c r="S30" s="25">
        <v>1.0</v>
      </c>
      <c r="T30" s="25">
        <v>1.0</v>
      </c>
      <c r="U30" s="25">
        <v>1.0</v>
      </c>
      <c r="V30" s="25">
        <v>1.0</v>
      </c>
      <c r="W30" s="25">
        <v>1.0</v>
      </c>
      <c r="X30" s="25">
        <v>2.0</v>
      </c>
      <c r="Y30" s="25">
        <v>1.0</v>
      </c>
      <c r="Z30" s="25">
        <v>0.0</v>
      </c>
      <c r="AA30" s="25">
        <v>1.0</v>
      </c>
      <c r="AB30" s="25">
        <v>1.0</v>
      </c>
      <c r="AC30" s="25">
        <v>1.0</v>
      </c>
      <c r="AD30" s="25">
        <v>1.0</v>
      </c>
      <c r="AE30" s="25">
        <v>1.0</v>
      </c>
      <c r="AF30" s="25">
        <v>0.0</v>
      </c>
      <c r="AG30" s="25">
        <v>1.0</v>
      </c>
      <c r="AH30" s="25">
        <v>0.0</v>
      </c>
      <c r="AI30" s="25">
        <v>1.0</v>
      </c>
      <c r="AJ30" s="25">
        <v>0.0</v>
      </c>
      <c r="AK30" s="25">
        <v>1.0</v>
      </c>
      <c r="AL30" s="25">
        <v>1.0</v>
      </c>
      <c r="AM30" s="25">
        <v>1.0</v>
      </c>
      <c r="AN30" s="25">
        <v>1.0</v>
      </c>
      <c r="AO30" s="25">
        <v>1.0</v>
      </c>
      <c r="AP30" s="25">
        <v>1.0</v>
      </c>
      <c r="AQ30" s="25">
        <v>2.0</v>
      </c>
      <c r="AR30" s="25">
        <v>1.0</v>
      </c>
      <c r="AS30" s="25">
        <v>1.0</v>
      </c>
      <c r="AT30" s="25">
        <v>1.0</v>
      </c>
      <c r="AU30" s="25">
        <v>2.0</v>
      </c>
      <c r="AV30" s="25">
        <v>0.0</v>
      </c>
      <c r="AW30" s="25">
        <v>3.0</v>
      </c>
      <c r="AX30" s="25">
        <v>1.0</v>
      </c>
      <c r="AY30" s="25">
        <v>3.0</v>
      </c>
      <c r="AZ30" s="25">
        <v>2.0</v>
      </c>
      <c r="BA30" s="25">
        <v>1.0</v>
      </c>
      <c r="BB30" s="25">
        <v>1.0</v>
      </c>
      <c r="BC30" s="25">
        <v>4.0</v>
      </c>
      <c r="BD30" s="25">
        <v>1.0</v>
      </c>
      <c r="BE30" s="25">
        <v>1.0</v>
      </c>
      <c r="BF30" s="25">
        <v>1.0</v>
      </c>
      <c r="BG30" s="26"/>
      <c r="BH30" s="26"/>
      <c r="BI30" s="26"/>
      <c r="BJ30" s="26"/>
    </row>
    <row r="31" ht="18.0" customHeight="1">
      <c r="A31" s="1"/>
      <c r="B31" s="13" t="s">
        <v>51</v>
      </c>
      <c r="C31" s="25">
        <v>4.0</v>
      </c>
      <c r="D31" s="25">
        <v>0.0</v>
      </c>
      <c r="E31" s="25">
        <v>4.0</v>
      </c>
      <c r="F31" s="25">
        <v>0.0</v>
      </c>
      <c r="G31" s="25">
        <v>6.0</v>
      </c>
      <c r="H31" s="25">
        <v>0.0</v>
      </c>
      <c r="I31" s="25">
        <v>4.0</v>
      </c>
      <c r="J31" s="25">
        <v>0.0</v>
      </c>
      <c r="K31" s="25">
        <v>3.0</v>
      </c>
      <c r="L31" s="25">
        <v>0.0</v>
      </c>
      <c r="M31" s="25">
        <v>2.0</v>
      </c>
      <c r="N31" s="25">
        <v>1.0</v>
      </c>
      <c r="O31" s="25">
        <v>3.0</v>
      </c>
      <c r="P31" s="25">
        <v>0.0</v>
      </c>
      <c r="Q31" s="25">
        <v>4.0</v>
      </c>
      <c r="R31" s="25">
        <v>0.0</v>
      </c>
      <c r="S31" s="25">
        <v>2.0</v>
      </c>
      <c r="T31" s="25">
        <v>0.0</v>
      </c>
      <c r="U31" s="25">
        <v>4.0</v>
      </c>
      <c r="V31" s="25">
        <v>0.0</v>
      </c>
      <c r="W31" s="25">
        <v>3.0</v>
      </c>
      <c r="X31" s="25">
        <v>0.0</v>
      </c>
      <c r="Y31" s="25">
        <v>6.0</v>
      </c>
      <c r="Z31" s="25">
        <v>1.0</v>
      </c>
      <c r="AA31" s="25">
        <v>3.0</v>
      </c>
      <c r="AB31" s="25">
        <v>0.0</v>
      </c>
      <c r="AC31" s="25">
        <v>3.0</v>
      </c>
      <c r="AD31" s="25">
        <v>0.0</v>
      </c>
      <c r="AE31" s="25">
        <v>4.0</v>
      </c>
      <c r="AF31" s="25">
        <v>0.0</v>
      </c>
      <c r="AG31" s="25">
        <v>4.0</v>
      </c>
      <c r="AH31" s="25">
        <v>0.0</v>
      </c>
      <c r="AI31" s="25">
        <v>4.0</v>
      </c>
      <c r="AJ31" s="25">
        <v>0.0</v>
      </c>
      <c r="AK31" s="25">
        <v>7.0</v>
      </c>
      <c r="AL31" s="25">
        <v>0.0</v>
      </c>
      <c r="AM31" s="25">
        <v>4.0</v>
      </c>
      <c r="AN31" s="25">
        <v>0.0</v>
      </c>
      <c r="AO31" s="25">
        <v>4.0</v>
      </c>
      <c r="AP31" s="25">
        <v>0.0</v>
      </c>
      <c r="AQ31" s="25">
        <v>4.0</v>
      </c>
      <c r="AR31" s="25">
        <v>0.0</v>
      </c>
      <c r="AS31" s="25">
        <v>4.0</v>
      </c>
      <c r="AT31" s="25">
        <v>0.0</v>
      </c>
      <c r="AU31" s="25">
        <v>4.0</v>
      </c>
      <c r="AV31" s="25">
        <v>0.0</v>
      </c>
      <c r="AW31" s="25">
        <v>3.0</v>
      </c>
      <c r="AX31" s="25">
        <v>1.0</v>
      </c>
      <c r="AY31" s="25">
        <v>6.0</v>
      </c>
      <c r="AZ31" s="25">
        <v>0.0</v>
      </c>
      <c r="BA31" s="25">
        <v>2.0</v>
      </c>
      <c r="BB31" s="25">
        <v>0.0</v>
      </c>
      <c r="BC31" s="25">
        <v>6.0</v>
      </c>
      <c r="BD31" s="25">
        <v>0.0</v>
      </c>
      <c r="BE31" s="25">
        <v>4.0</v>
      </c>
      <c r="BF31" s="25">
        <v>0.0</v>
      </c>
      <c r="BG31" s="26"/>
      <c r="BH31" s="26"/>
      <c r="BI31" s="26"/>
      <c r="BJ31" s="26"/>
    </row>
    <row r="32" ht="18.0" customHeight="1">
      <c r="A32" s="1"/>
      <c r="B32" s="13" t="s">
        <v>52</v>
      </c>
      <c r="C32" s="25">
        <v>1.0</v>
      </c>
      <c r="D32" s="25">
        <v>1.0</v>
      </c>
      <c r="E32" s="25">
        <v>1.0</v>
      </c>
      <c r="F32" s="25">
        <v>2.0</v>
      </c>
      <c r="G32" s="25">
        <v>1.0</v>
      </c>
      <c r="H32" s="25">
        <v>1.0</v>
      </c>
      <c r="I32" s="25">
        <v>2.0</v>
      </c>
      <c r="J32" s="25">
        <v>2.0</v>
      </c>
      <c r="K32" s="25">
        <v>2.0</v>
      </c>
      <c r="L32" s="25">
        <v>1.0</v>
      </c>
      <c r="M32" s="25">
        <v>1.0</v>
      </c>
      <c r="N32" s="25">
        <v>2.0</v>
      </c>
      <c r="O32" s="25">
        <v>0.0</v>
      </c>
      <c r="P32" s="25">
        <v>2.0</v>
      </c>
      <c r="Q32" s="25">
        <v>1.0</v>
      </c>
      <c r="R32" s="25">
        <v>1.0</v>
      </c>
      <c r="S32" s="25">
        <v>1.0</v>
      </c>
      <c r="T32" s="25">
        <v>1.0</v>
      </c>
      <c r="U32" s="25">
        <v>1.0</v>
      </c>
      <c r="V32" s="25">
        <v>1.0</v>
      </c>
      <c r="W32" s="25">
        <v>1.0</v>
      </c>
      <c r="X32" s="25">
        <v>1.0</v>
      </c>
      <c r="Y32" s="25">
        <v>1.0</v>
      </c>
      <c r="Z32" s="25">
        <v>2.0</v>
      </c>
      <c r="AA32" s="25">
        <v>1.0</v>
      </c>
      <c r="AB32" s="25">
        <v>1.0</v>
      </c>
      <c r="AC32" s="25">
        <v>0.0</v>
      </c>
      <c r="AD32" s="25">
        <v>1.0</v>
      </c>
      <c r="AE32" s="25">
        <v>1.0</v>
      </c>
      <c r="AF32" s="25">
        <v>1.0</v>
      </c>
      <c r="AG32" s="25">
        <v>1.0</v>
      </c>
      <c r="AH32" s="25">
        <v>2.0</v>
      </c>
      <c r="AI32" s="25">
        <v>2.0</v>
      </c>
      <c r="AJ32" s="25">
        <v>1.0</v>
      </c>
      <c r="AK32" s="25">
        <v>0.0</v>
      </c>
      <c r="AL32" s="25">
        <v>1.0</v>
      </c>
      <c r="AM32" s="25">
        <v>1.0</v>
      </c>
      <c r="AN32" s="25">
        <v>1.0</v>
      </c>
      <c r="AO32" s="25">
        <v>1.0</v>
      </c>
      <c r="AP32" s="25">
        <v>1.0</v>
      </c>
      <c r="AQ32" s="25">
        <v>1.0</v>
      </c>
      <c r="AR32" s="25">
        <v>2.0</v>
      </c>
      <c r="AS32" s="25">
        <v>2.0</v>
      </c>
      <c r="AT32" s="25">
        <v>0.0</v>
      </c>
      <c r="AU32" s="25">
        <v>1.0</v>
      </c>
      <c r="AV32" s="25">
        <v>1.0</v>
      </c>
      <c r="AW32" s="25">
        <v>1.0</v>
      </c>
      <c r="AX32" s="25">
        <v>2.0</v>
      </c>
      <c r="AY32" s="25">
        <v>0.0</v>
      </c>
      <c r="AZ32" s="25">
        <v>3.0</v>
      </c>
      <c r="BA32" s="25">
        <v>1.0</v>
      </c>
      <c r="BB32" s="25">
        <v>1.0</v>
      </c>
      <c r="BC32" s="25">
        <v>3.0</v>
      </c>
      <c r="BD32" s="25">
        <v>1.0</v>
      </c>
      <c r="BE32" s="25">
        <v>2.0</v>
      </c>
      <c r="BF32" s="25">
        <v>1.0</v>
      </c>
      <c r="BG32" s="26"/>
      <c r="BH32" s="26"/>
      <c r="BI32" s="26"/>
      <c r="BJ32" s="26"/>
    </row>
    <row r="33" ht="18.0" customHeight="1">
      <c r="A33" s="1"/>
      <c r="B33" s="13" t="s">
        <v>53</v>
      </c>
      <c r="C33" s="25">
        <v>2.0</v>
      </c>
      <c r="D33" s="25">
        <v>1.0</v>
      </c>
      <c r="E33" s="25">
        <v>2.0</v>
      </c>
      <c r="F33" s="25">
        <v>1.0</v>
      </c>
      <c r="G33" s="25">
        <v>2.0</v>
      </c>
      <c r="H33" s="25">
        <v>0.0</v>
      </c>
      <c r="I33" s="25">
        <v>3.0</v>
      </c>
      <c r="J33" s="25">
        <v>1.0</v>
      </c>
      <c r="K33" s="25">
        <v>3.0</v>
      </c>
      <c r="L33" s="25">
        <v>0.0</v>
      </c>
      <c r="M33" s="25">
        <v>2.0</v>
      </c>
      <c r="N33" s="25">
        <v>1.0</v>
      </c>
      <c r="O33" s="25">
        <v>3.0</v>
      </c>
      <c r="P33" s="25">
        <v>1.0</v>
      </c>
      <c r="Q33" s="25">
        <v>2.0</v>
      </c>
      <c r="R33" s="25">
        <v>0.0</v>
      </c>
      <c r="S33" s="25">
        <v>1.0</v>
      </c>
      <c r="T33" s="25">
        <v>1.0</v>
      </c>
      <c r="U33" s="25">
        <v>2.0</v>
      </c>
      <c r="V33" s="25">
        <v>1.0</v>
      </c>
      <c r="W33" s="25">
        <v>2.0</v>
      </c>
      <c r="X33" s="25">
        <v>1.0</v>
      </c>
      <c r="Y33" s="25">
        <v>3.0</v>
      </c>
      <c r="Z33" s="25">
        <v>0.0</v>
      </c>
      <c r="AA33" s="25">
        <v>1.0</v>
      </c>
      <c r="AB33" s="25">
        <v>1.0</v>
      </c>
      <c r="AC33" s="25">
        <v>3.0</v>
      </c>
      <c r="AD33" s="25">
        <v>0.0</v>
      </c>
      <c r="AE33" s="25">
        <v>2.0</v>
      </c>
      <c r="AF33" s="25">
        <v>1.0</v>
      </c>
      <c r="AG33" s="25">
        <v>2.0</v>
      </c>
      <c r="AH33" s="25">
        <v>0.0</v>
      </c>
      <c r="AI33" s="25">
        <v>2.0</v>
      </c>
      <c r="AJ33" s="25">
        <v>0.0</v>
      </c>
      <c r="AK33" s="25">
        <v>2.0</v>
      </c>
      <c r="AL33" s="25">
        <v>1.0</v>
      </c>
      <c r="AM33" s="25">
        <v>2.0</v>
      </c>
      <c r="AN33" s="25">
        <v>1.0</v>
      </c>
      <c r="AO33" s="25">
        <v>2.0</v>
      </c>
      <c r="AP33" s="25">
        <v>1.0</v>
      </c>
      <c r="AQ33" s="25">
        <v>2.0</v>
      </c>
      <c r="AR33" s="25">
        <v>1.0</v>
      </c>
      <c r="AS33" s="25">
        <v>2.0</v>
      </c>
      <c r="AT33" s="25">
        <v>1.0</v>
      </c>
      <c r="AU33" s="25">
        <v>2.0</v>
      </c>
      <c r="AV33" s="25">
        <v>1.0</v>
      </c>
      <c r="AW33" s="25">
        <v>4.0</v>
      </c>
      <c r="AX33" s="25">
        <v>1.0</v>
      </c>
      <c r="AY33" s="25">
        <v>4.0</v>
      </c>
      <c r="AZ33" s="25">
        <v>1.0</v>
      </c>
      <c r="BA33" s="25">
        <v>1.0</v>
      </c>
      <c r="BB33" s="25">
        <v>0.0</v>
      </c>
      <c r="BC33" s="25">
        <v>2.0</v>
      </c>
      <c r="BD33" s="25">
        <v>2.0</v>
      </c>
      <c r="BE33" s="25">
        <v>2.0</v>
      </c>
      <c r="BF33" s="25">
        <v>0.0</v>
      </c>
      <c r="BG33" s="26"/>
      <c r="BH33" s="26"/>
      <c r="BI33" s="26"/>
      <c r="BJ33" s="26"/>
    </row>
    <row r="34" ht="18.0" customHeight="1">
      <c r="A34" s="1"/>
      <c r="B34" s="13" t="s">
        <v>54</v>
      </c>
      <c r="C34" s="25">
        <v>3.0</v>
      </c>
      <c r="D34" s="25">
        <v>0.0</v>
      </c>
      <c r="E34" s="25">
        <v>2.0</v>
      </c>
      <c r="F34" s="25">
        <v>0.0</v>
      </c>
      <c r="G34" s="25">
        <v>3.0</v>
      </c>
      <c r="H34" s="25">
        <v>0.0</v>
      </c>
      <c r="I34" s="25">
        <v>2.0</v>
      </c>
      <c r="J34" s="25">
        <v>0.0</v>
      </c>
      <c r="K34" s="25">
        <v>2.0</v>
      </c>
      <c r="L34" s="25">
        <v>0.0</v>
      </c>
      <c r="M34" s="25">
        <v>2.0</v>
      </c>
      <c r="N34" s="25">
        <v>1.0</v>
      </c>
      <c r="O34" s="25">
        <v>2.0</v>
      </c>
      <c r="P34" s="25">
        <v>0.0</v>
      </c>
      <c r="Q34" s="25">
        <v>3.0</v>
      </c>
      <c r="R34" s="25">
        <v>0.0</v>
      </c>
      <c r="S34" s="25">
        <v>2.0</v>
      </c>
      <c r="T34" s="25">
        <v>0.0</v>
      </c>
      <c r="U34" s="25">
        <v>3.0</v>
      </c>
      <c r="V34" s="25">
        <v>0.0</v>
      </c>
      <c r="W34" s="25">
        <v>2.0</v>
      </c>
      <c r="X34" s="25">
        <v>0.0</v>
      </c>
      <c r="Y34" s="25">
        <v>3.0</v>
      </c>
      <c r="Z34" s="25">
        <v>1.0</v>
      </c>
      <c r="AA34" s="25">
        <v>2.0</v>
      </c>
      <c r="AB34" s="25">
        <v>0.0</v>
      </c>
      <c r="AC34" s="25">
        <v>1.0</v>
      </c>
      <c r="AD34" s="25">
        <v>0.0</v>
      </c>
      <c r="AE34" s="25">
        <v>2.0</v>
      </c>
      <c r="AF34" s="25">
        <v>0.0</v>
      </c>
      <c r="AG34" s="25">
        <v>3.0</v>
      </c>
      <c r="AH34" s="25">
        <v>1.0</v>
      </c>
      <c r="AI34" s="25">
        <v>2.0</v>
      </c>
      <c r="AJ34" s="25">
        <v>0.0</v>
      </c>
      <c r="AK34" s="25">
        <v>4.0</v>
      </c>
      <c r="AL34" s="25">
        <v>0.0</v>
      </c>
      <c r="AM34" s="25">
        <v>3.0</v>
      </c>
      <c r="AN34" s="25">
        <v>0.0</v>
      </c>
      <c r="AO34" s="25">
        <v>3.0</v>
      </c>
      <c r="AP34" s="25">
        <v>0.0</v>
      </c>
      <c r="AQ34" s="25">
        <v>3.0</v>
      </c>
      <c r="AR34" s="25">
        <v>0.0</v>
      </c>
      <c r="AS34" s="25">
        <v>1.0</v>
      </c>
      <c r="AT34" s="25">
        <v>1.0</v>
      </c>
      <c r="AU34" s="25">
        <v>4.0</v>
      </c>
      <c r="AV34" s="25">
        <v>1.0</v>
      </c>
      <c r="AW34" s="25">
        <v>1.0</v>
      </c>
      <c r="AX34" s="25">
        <v>1.0</v>
      </c>
      <c r="AY34" s="25">
        <v>2.0</v>
      </c>
      <c r="AZ34" s="25">
        <v>0.0</v>
      </c>
      <c r="BA34" s="25">
        <v>2.0</v>
      </c>
      <c r="BB34" s="25">
        <v>0.0</v>
      </c>
      <c r="BC34" s="25">
        <v>3.0</v>
      </c>
      <c r="BD34" s="25">
        <v>0.0</v>
      </c>
      <c r="BE34" s="25">
        <v>3.0</v>
      </c>
      <c r="BF34" s="25">
        <v>0.0</v>
      </c>
      <c r="BG34" s="26"/>
      <c r="BH34" s="26"/>
      <c r="BI34" s="26"/>
      <c r="BJ34" s="26"/>
    </row>
    <row r="35" ht="18.0" customHeight="1">
      <c r="A35" s="1"/>
      <c r="B35" s="13" t="s">
        <v>55</v>
      </c>
      <c r="C35" s="25">
        <v>1.0</v>
      </c>
      <c r="D35" s="25">
        <v>2.0</v>
      </c>
      <c r="E35" s="25">
        <v>0.0</v>
      </c>
      <c r="F35" s="25">
        <v>2.0</v>
      </c>
      <c r="G35" s="25">
        <v>0.0</v>
      </c>
      <c r="H35" s="25">
        <v>3.0</v>
      </c>
      <c r="I35" s="25">
        <v>1.0</v>
      </c>
      <c r="J35" s="25">
        <v>2.0</v>
      </c>
      <c r="K35" s="25">
        <v>1.0</v>
      </c>
      <c r="L35" s="25">
        <v>2.0</v>
      </c>
      <c r="M35" s="25">
        <v>1.0</v>
      </c>
      <c r="N35" s="25">
        <v>2.0</v>
      </c>
      <c r="O35" s="25">
        <v>2.0</v>
      </c>
      <c r="P35" s="25">
        <v>2.0</v>
      </c>
      <c r="Q35" s="25">
        <v>1.0</v>
      </c>
      <c r="R35" s="25">
        <v>2.0</v>
      </c>
      <c r="S35" s="25">
        <v>0.0</v>
      </c>
      <c r="T35" s="25">
        <v>2.0</v>
      </c>
      <c r="U35" s="25">
        <v>1.0</v>
      </c>
      <c r="V35" s="25">
        <v>2.0</v>
      </c>
      <c r="W35" s="25">
        <v>1.0</v>
      </c>
      <c r="X35" s="25">
        <v>2.0</v>
      </c>
      <c r="Y35" s="25">
        <v>1.0</v>
      </c>
      <c r="Z35" s="25">
        <v>2.0</v>
      </c>
      <c r="AA35" s="25">
        <v>1.0</v>
      </c>
      <c r="AB35" s="25">
        <v>1.0</v>
      </c>
      <c r="AC35" s="25">
        <v>1.0</v>
      </c>
      <c r="AD35" s="25">
        <v>3.0</v>
      </c>
      <c r="AE35" s="25">
        <v>1.0</v>
      </c>
      <c r="AF35" s="25">
        <v>2.0</v>
      </c>
      <c r="AG35" s="25">
        <v>2.0</v>
      </c>
      <c r="AH35" s="25">
        <v>2.0</v>
      </c>
      <c r="AI35" s="25">
        <v>1.0</v>
      </c>
      <c r="AJ35" s="25">
        <v>2.0</v>
      </c>
      <c r="AK35" s="25">
        <v>1.0</v>
      </c>
      <c r="AL35" s="25">
        <v>2.0</v>
      </c>
      <c r="AM35" s="25">
        <v>1.0</v>
      </c>
      <c r="AN35" s="25">
        <v>2.0</v>
      </c>
      <c r="AO35" s="25">
        <v>1.0</v>
      </c>
      <c r="AP35" s="25">
        <v>2.0</v>
      </c>
      <c r="AQ35" s="25">
        <v>1.0</v>
      </c>
      <c r="AR35" s="25">
        <v>2.0</v>
      </c>
      <c r="AS35" s="25">
        <v>1.0</v>
      </c>
      <c r="AT35" s="25">
        <v>2.0</v>
      </c>
      <c r="AU35" s="25">
        <v>1.0</v>
      </c>
      <c r="AV35" s="25">
        <v>2.0</v>
      </c>
      <c r="AW35" s="25">
        <v>0.0</v>
      </c>
      <c r="AX35" s="25">
        <v>0.0</v>
      </c>
      <c r="AY35" s="25">
        <v>1.0</v>
      </c>
      <c r="AZ35" s="25">
        <v>3.0</v>
      </c>
      <c r="BA35" s="25">
        <v>2.0</v>
      </c>
      <c r="BB35" s="25">
        <v>1.0</v>
      </c>
      <c r="BC35" s="25">
        <v>1.0</v>
      </c>
      <c r="BD35" s="25">
        <v>2.0</v>
      </c>
      <c r="BE35" s="25">
        <v>1.0</v>
      </c>
      <c r="BF35" s="25">
        <v>3.0</v>
      </c>
      <c r="BG35" s="26"/>
      <c r="BH35" s="26"/>
      <c r="BI35" s="26"/>
      <c r="BJ35" s="26"/>
    </row>
    <row r="36" ht="18.0" customHeight="1">
      <c r="A36" s="1"/>
      <c r="B36" s="13" t="s">
        <v>56</v>
      </c>
      <c r="C36" s="25">
        <v>1.0</v>
      </c>
      <c r="D36" s="25">
        <v>2.0</v>
      </c>
      <c r="E36" s="25">
        <v>0.0</v>
      </c>
      <c r="F36" s="25">
        <v>1.0</v>
      </c>
      <c r="G36" s="25">
        <v>0.0</v>
      </c>
      <c r="H36" s="25">
        <v>2.0</v>
      </c>
      <c r="I36" s="25">
        <v>0.0</v>
      </c>
      <c r="J36" s="25">
        <v>1.0</v>
      </c>
      <c r="K36" s="25">
        <v>0.0</v>
      </c>
      <c r="L36" s="25">
        <v>3.0</v>
      </c>
      <c r="M36" s="25">
        <v>1.0</v>
      </c>
      <c r="N36" s="25">
        <v>2.0</v>
      </c>
      <c r="O36" s="25">
        <v>2.0</v>
      </c>
      <c r="P36" s="25">
        <v>4.0</v>
      </c>
      <c r="Q36" s="25">
        <v>0.0</v>
      </c>
      <c r="R36" s="25">
        <v>3.0</v>
      </c>
      <c r="S36" s="25">
        <v>0.0</v>
      </c>
      <c r="T36" s="25">
        <v>2.0</v>
      </c>
      <c r="U36" s="25">
        <v>0.0</v>
      </c>
      <c r="V36" s="25">
        <v>3.0</v>
      </c>
      <c r="W36" s="25">
        <v>1.0</v>
      </c>
      <c r="X36" s="25">
        <v>2.0</v>
      </c>
      <c r="Y36" s="25">
        <v>1.0</v>
      </c>
      <c r="Z36" s="25">
        <v>2.0</v>
      </c>
      <c r="AA36" s="25">
        <v>1.0</v>
      </c>
      <c r="AB36" s="25">
        <v>3.0</v>
      </c>
      <c r="AC36" s="25">
        <v>1.0</v>
      </c>
      <c r="AD36" s="25">
        <v>1.0</v>
      </c>
      <c r="AE36" s="25">
        <v>0.0</v>
      </c>
      <c r="AF36" s="25">
        <v>2.0</v>
      </c>
      <c r="AG36" s="25">
        <v>0.0</v>
      </c>
      <c r="AH36" s="25">
        <v>2.0</v>
      </c>
      <c r="AI36" s="25">
        <v>0.0</v>
      </c>
      <c r="AJ36" s="25">
        <v>1.0</v>
      </c>
      <c r="AK36" s="25">
        <v>0.0</v>
      </c>
      <c r="AL36" s="25">
        <v>3.0</v>
      </c>
      <c r="AM36" s="25">
        <v>0.0</v>
      </c>
      <c r="AN36" s="25">
        <v>2.0</v>
      </c>
      <c r="AO36" s="25">
        <v>1.0</v>
      </c>
      <c r="AP36" s="25">
        <v>2.0</v>
      </c>
      <c r="AQ36" s="25">
        <v>0.0</v>
      </c>
      <c r="AR36" s="25">
        <v>2.0</v>
      </c>
      <c r="AS36" s="25">
        <v>0.0</v>
      </c>
      <c r="AT36" s="25">
        <v>0.0</v>
      </c>
      <c r="AU36" s="25">
        <v>0.0</v>
      </c>
      <c r="AV36" s="25">
        <v>2.0</v>
      </c>
      <c r="AW36" s="25">
        <v>1.0</v>
      </c>
      <c r="AX36" s="25">
        <v>0.0</v>
      </c>
      <c r="AY36" s="25">
        <v>0.0</v>
      </c>
      <c r="AZ36" s="25">
        <v>1.0</v>
      </c>
      <c r="BA36" s="25">
        <v>0.0</v>
      </c>
      <c r="BB36" s="25">
        <v>2.0</v>
      </c>
      <c r="BC36" s="25">
        <v>1.0</v>
      </c>
      <c r="BD36" s="25">
        <v>3.0</v>
      </c>
      <c r="BE36" s="25">
        <v>0.0</v>
      </c>
      <c r="BF36" s="25">
        <v>2.0</v>
      </c>
      <c r="BG36" s="26"/>
      <c r="BH36" s="26"/>
      <c r="BI36" s="26"/>
      <c r="BJ36" s="26"/>
    </row>
    <row r="37" ht="18.0" customHeight="1">
      <c r="A37" s="1"/>
      <c r="B37" s="13" t="s">
        <v>57</v>
      </c>
      <c r="C37" s="25">
        <v>2.0</v>
      </c>
      <c r="D37" s="25">
        <v>1.0</v>
      </c>
      <c r="E37" s="25">
        <v>3.0</v>
      </c>
      <c r="F37" s="25">
        <v>1.0</v>
      </c>
      <c r="G37" s="25">
        <v>2.0</v>
      </c>
      <c r="H37" s="25">
        <v>0.0</v>
      </c>
      <c r="I37" s="25">
        <v>2.0</v>
      </c>
      <c r="J37" s="25">
        <v>1.0</v>
      </c>
      <c r="K37" s="25">
        <v>2.0</v>
      </c>
      <c r="L37" s="25">
        <v>2.0</v>
      </c>
      <c r="M37" s="25">
        <v>2.0</v>
      </c>
      <c r="N37" s="25">
        <v>1.0</v>
      </c>
      <c r="O37" s="25">
        <v>3.0</v>
      </c>
      <c r="P37" s="25">
        <v>2.0</v>
      </c>
      <c r="Q37" s="25">
        <v>2.0</v>
      </c>
      <c r="R37" s="25">
        <v>1.0</v>
      </c>
      <c r="S37" s="25">
        <v>1.0</v>
      </c>
      <c r="T37" s="25">
        <v>1.0</v>
      </c>
      <c r="U37" s="25">
        <v>2.0</v>
      </c>
      <c r="V37" s="25">
        <v>1.0</v>
      </c>
      <c r="W37" s="25">
        <v>2.0</v>
      </c>
      <c r="X37" s="25">
        <v>1.0</v>
      </c>
      <c r="Y37" s="25">
        <v>3.0</v>
      </c>
      <c r="Z37" s="25">
        <v>1.0</v>
      </c>
      <c r="AA37" s="25">
        <v>1.0</v>
      </c>
      <c r="AB37" s="25">
        <v>1.0</v>
      </c>
      <c r="AC37" s="25">
        <v>2.0</v>
      </c>
      <c r="AD37" s="25">
        <v>1.0</v>
      </c>
      <c r="AE37" s="25">
        <v>1.0</v>
      </c>
      <c r="AF37" s="25">
        <v>1.0</v>
      </c>
      <c r="AG37" s="25">
        <v>2.0</v>
      </c>
      <c r="AH37" s="25">
        <v>1.0</v>
      </c>
      <c r="AI37" s="25">
        <v>2.0</v>
      </c>
      <c r="AJ37" s="25">
        <v>0.0</v>
      </c>
      <c r="AK37" s="25">
        <v>2.0</v>
      </c>
      <c r="AL37" s="25">
        <v>1.0</v>
      </c>
      <c r="AM37" s="25">
        <v>3.0</v>
      </c>
      <c r="AN37" s="25">
        <v>1.0</v>
      </c>
      <c r="AO37" s="25">
        <v>2.0</v>
      </c>
      <c r="AP37" s="25">
        <v>1.0</v>
      </c>
      <c r="AQ37" s="25">
        <v>2.0</v>
      </c>
      <c r="AR37" s="25">
        <v>1.0</v>
      </c>
      <c r="AS37" s="25">
        <v>1.0</v>
      </c>
      <c r="AT37" s="25">
        <v>2.0</v>
      </c>
      <c r="AU37" s="25">
        <v>2.0</v>
      </c>
      <c r="AV37" s="25">
        <v>1.0</v>
      </c>
      <c r="AW37" s="25">
        <v>2.0</v>
      </c>
      <c r="AX37" s="25">
        <v>0.0</v>
      </c>
      <c r="AY37" s="25">
        <v>1.0</v>
      </c>
      <c r="AZ37" s="25">
        <v>1.0</v>
      </c>
      <c r="BA37" s="25">
        <v>1.0</v>
      </c>
      <c r="BB37" s="25">
        <v>1.0</v>
      </c>
      <c r="BC37" s="25">
        <v>2.0</v>
      </c>
      <c r="BD37" s="25">
        <v>1.0</v>
      </c>
      <c r="BE37" s="25">
        <v>3.0</v>
      </c>
      <c r="BF37" s="25">
        <v>1.0</v>
      </c>
      <c r="BG37" s="26"/>
      <c r="BH37" s="26"/>
      <c r="BI37" s="26"/>
      <c r="BJ37" s="26"/>
    </row>
    <row r="38" ht="18.0" customHeight="1">
      <c r="A38" s="1"/>
      <c r="B38" s="13" t="s">
        <v>58</v>
      </c>
      <c r="C38" s="25">
        <v>1.0</v>
      </c>
      <c r="D38" s="25">
        <v>0.0</v>
      </c>
      <c r="E38" s="25">
        <v>1.0</v>
      </c>
      <c r="F38" s="25">
        <v>2.0</v>
      </c>
      <c r="G38" s="25">
        <v>0.0</v>
      </c>
      <c r="H38" s="25">
        <v>0.0</v>
      </c>
      <c r="I38" s="25">
        <v>1.0</v>
      </c>
      <c r="J38" s="25">
        <v>0.0</v>
      </c>
      <c r="K38" s="25">
        <v>2.0</v>
      </c>
      <c r="L38" s="25">
        <v>0.0</v>
      </c>
      <c r="M38" s="25">
        <v>1.0</v>
      </c>
      <c r="N38" s="25">
        <v>2.0</v>
      </c>
      <c r="O38" s="25">
        <v>1.0</v>
      </c>
      <c r="P38" s="25">
        <v>1.0</v>
      </c>
      <c r="Q38" s="25">
        <v>2.0</v>
      </c>
      <c r="R38" s="25">
        <v>1.0</v>
      </c>
      <c r="S38" s="25">
        <v>1.0</v>
      </c>
      <c r="T38" s="25">
        <v>1.0</v>
      </c>
      <c r="U38" s="25">
        <v>2.0</v>
      </c>
      <c r="V38" s="25">
        <v>0.0</v>
      </c>
      <c r="W38" s="25">
        <v>2.0</v>
      </c>
      <c r="X38" s="25">
        <v>0.0</v>
      </c>
      <c r="Y38" s="25">
        <v>2.0</v>
      </c>
      <c r="Z38" s="25">
        <v>0.0</v>
      </c>
      <c r="AA38" s="25">
        <v>2.0</v>
      </c>
      <c r="AB38" s="25">
        <v>1.0</v>
      </c>
      <c r="AC38" s="25">
        <v>2.0</v>
      </c>
      <c r="AD38" s="25">
        <v>1.0</v>
      </c>
      <c r="AE38" s="25">
        <v>1.0</v>
      </c>
      <c r="AF38" s="25">
        <v>0.0</v>
      </c>
      <c r="AG38" s="25">
        <v>2.0</v>
      </c>
      <c r="AH38" s="25">
        <v>0.0</v>
      </c>
      <c r="AI38" s="25">
        <v>1.0</v>
      </c>
      <c r="AJ38" s="25">
        <v>1.0</v>
      </c>
      <c r="AK38" s="25">
        <v>1.0</v>
      </c>
      <c r="AL38" s="25">
        <v>1.0</v>
      </c>
      <c r="AM38" s="25">
        <v>1.0</v>
      </c>
      <c r="AN38" s="25">
        <v>0.0</v>
      </c>
      <c r="AO38" s="25">
        <v>1.0</v>
      </c>
      <c r="AP38" s="25">
        <v>0.0</v>
      </c>
      <c r="AQ38" s="25">
        <v>0.0</v>
      </c>
      <c r="AR38" s="25">
        <v>2.0</v>
      </c>
      <c r="AS38" s="25">
        <v>1.0</v>
      </c>
      <c r="AT38" s="25">
        <v>0.0</v>
      </c>
      <c r="AU38" s="25">
        <v>1.0</v>
      </c>
      <c r="AV38" s="25">
        <v>0.0</v>
      </c>
      <c r="AW38" s="25">
        <v>1.0</v>
      </c>
      <c r="AX38" s="25">
        <v>1.0</v>
      </c>
      <c r="AY38" s="25">
        <v>2.0</v>
      </c>
      <c r="AZ38" s="25">
        <v>1.0</v>
      </c>
      <c r="BA38" s="25">
        <v>1.0</v>
      </c>
      <c r="BB38" s="25">
        <v>1.0</v>
      </c>
      <c r="BC38" s="25">
        <v>2.0</v>
      </c>
      <c r="BD38" s="25">
        <v>1.0</v>
      </c>
      <c r="BE38" s="25">
        <v>2.0</v>
      </c>
      <c r="BF38" s="25">
        <v>0.0</v>
      </c>
      <c r="BG38" s="26"/>
      <c r="BH38" s="26"/>
      <c r="BI38" s="26"/>
      <c r="BJ38" s="26"/>
    </row>
    <row r="39" ht="18.0" customHeight="1">
      <c r="A39" s="1"/>
      <c r="B39" s="13" t="s">
        <v>59</v>
      </c>
      <c r="C39" s="25">
        <v>1.0</v>
      </c>
      <c r="D39" s="25">
        <v>1.0</v>
      </c>
      <c r="E39" s="25">
        <v>1.0</v>
      </c>
      <c r="F39" s="25">
        <v>0.0</v>
      </c>
      <c r="G39" s="25">
        <v>1.0</v>
      </c>
      <c r="H39" s="25">
        <v>0.0</v>
      </c>
      <c r="I39" s="25">
        <v>3.0</v>
      </c>
      <c r="J39" s="25">
        <v>2.0</v>
      </c>
      <c r="K39" s="25">
        <v>2.0</v>
      </c>
      <c r="L39" s="25">
        <v>1.0</v>
      </c>
      <c r="M39" s="25">
        <v>2.0</v>
      </c>
      <c r="N39" s="25">
        <v>1.0</v>
      </c>
      <c r="O39" s="25">
        <v>3.0</v>
      </c>
      <c r="P39" s="25">
        <v>0.0</v>
      </c>
      <c r="Q39" s="25">
        <v>2.0</v>
      </c>
      <c r="R39" s="25">
        <v>0.0</v>
      </c>
      <c r="S39" s="25">
        <v>2.0</v>
      </c>
      <c r="T39" s="25">
        <v>1.0</v>
      </c>
      <c r="U39" s="25">
        <v>1.0</v>
      </c>
      <c r="V39" s="25">
        <v>1.0</v>
      </c>
      <c r="W39" s="25">
        <v>2.0</v>
      </c>
      <c r="X39" s="25">
        <v>1.0</v>
      </c>
      <c r="Y39" s="25">
        <v>2.0</v>
      </c>
      <c r="Z39" s="25">
        <v>1.0</v>
      </c>
      <c r="AA39" s="25">
        <v>2.0</v>
      </c>
      <c r="AB39" s="25">
        <v>1.0</v>
      </c>
      <c r="AC39" s="25">
        <v>2.0</v>
      </c>
      <c r="AD39" s="25">
        <v>2.0</v>
      </c>
      <c r="AE39" s="25">
        <v>2.0</v>
      </c>
      <c r="AF39" s="25">
        <v>1.0</v>
      </c>
      <c r="AG39" s="25">
        <v>2.0</v>
      </c>
      <c r="AH39" s="25">
        <v>1.0</v>
      </c>
      <c r="AI39" s="25">
        <v>1.0</v>
      </c>
      <c r="AJ39" s="25">
        <v>2.0</v>
      </c>
      <c r="AK39" s="25">
        <v>2.0</v>
      </c>
      <c r="AL39" s="25">
        <v>1.0</v>
      </c>
      <c r="AM39" s="25">
        <v>1.0</v>
      </c>
      <c r="AN39" s="25">
        <v>1.0</v>
      </c>
      <c r="AO39" s="25">
        <v>2.0</v>
      </c>
      <c r="AP39" s="25">
        <v>0.0</v>
      </c>
      <c r="AQ39" s="25">
        <v>2.0</v>
      </c>
      <c r="AR39" s="25">
        <v>1.0</v>
      </c>
      <c r="AS39" s="25">
        <v>2.0</v>
      </c>
      <c r="AT39" s="25">
        <v>1.0</v>
      </c>
      <c r="AU39" s="25">
        <v>1.0</v>
      </c>
      <c r="AV39" s="25">
        <v>1.0</v>
      </c>
      <c r="AW39" s="25">
        <v>2.0</v>
      </c>
      <c r="AX39" s="25">
        <v>1.0</v>
      </c>
      <c r="AY39" s="25">
        <v>2.0</v>
      </c>
      <c r="AZ39" s="25">
        <v>0.0</v>
      </c>
      <c r="BA39" s="25">
        <v>2.0</v>
      </c>
      <c r="BB39" s="25">
        <v>0.0</v>
      </c>
      <c r="BC39" s="25">
        <v>1.0</v>
      </c>
      <c r="BD39" s="25">
        <v>0.0</v>
      </c>
      <c r="BE39" s="25">
        <v>1.0</v>
      </c>
      <c r="BF39" s="25">
        <v>1.0</v>
      </c>
      <c r="BG39" s="26"/>
      <c r="BH39" s="26"/>
      <c r="BI39" s="26"/>
      <c r="BJ39" s="26"/>
    </row>
    <row r="40" ht="18.0" customHeight="1">
      <c r="A40" s="1"/>
      <c r="B40" s="13" t="s">
        <v>60</v>
      </c>
      <c r="C40" s="25">
        <v>0.0</v>
      </c>
      <c r="D40" s="25">
        <v>2.0</v>
      </c>
      <c r="E40" s="25">
        <v>0.0</v>
      </c>
      <c r="F40" s="25">
        <v>0.0</v>
      </c>
      <c r="G40" s="25">
        <v>1.0</v>
      </c>
      <c r="H40" s="25">
        <v>0.0</v>
      </c>
      <c r="I40" s="25">
        <v>0.0</v>
      </c>
      <c r="J40" s="25">
        <v>2.0</v>
      </c>
      <c r="K40" s="25">
        <v>0.0</v>
      </c>
      <c r="L40" s="25">
        <v>2.0</v>
      </c>
      <c r="M40" s="25">
        <v>1.0</v>
      </c>
      <c r="N40" s="25">
        <v>2.0</v>
      </c>
      <c r="O40" s="25">
        <v>1.0</v>
      </c>
      <c r="P40" s="25">
        <v>2.0</v>
      </c>
      <c r="Q40" s="25">
        <v>0.0</v>
      </c>
      <c r="R40" s="25">
        <v>2.0</v>
      </c>
      <c r="S40" s="25">
        <v>0.0</v>
      </c>
      <c r="T40" s="25">
        <v>1.0</v>
      </c>
      <c r="U40" s="25">
        <v>0.0</v>
      </c>
      <c r="V40" s="25">
        <v>2.0</v>
      </c>
      <c r="W40" s="25">
        <v>1.0</v>
      </c>
      <c r="X40" s="25">
        <v>2.0</v>
      </c>
      <c r="Y40" s="25">
        <v>1.0</v>
      </c>
      <c r="Z40" s="25">
        <v>1.0</v>
      </c>
      <c r="AA40" s="25">
        <v>1.0</v>
      </c>
      <c r="AB40" s="25">
        <v>2.0</v>
      </c>
      <c r="AC40" s="25">
        <v>1.0</v>
      </c>
      <c r="AD40" s="25">
        <v>2.0</v>
      </c>
      <c r="AE40" s="25">
        <v>0.0</v>
      </c>
      <c r="AF40" s="25">
        <v>1.0</v>
      </c>
      <c r="AG40" s="25">
        <v>0.0</v>
      </c>
      <c r="AH40" s="25">
        <v>1.0</v>
      </c>
      <c r="AI40" s="25">
        <v>1.0</v>
      </c>
      <c r="AJ40" s="25">
        <v>1.0</v>
      </c>
      <c r="AK40" s="25">
        <v>1.0</v>
      </c>
      <c r="AL40" s="25">
        <v>1.0</v>
      </c>
      <c r="AM40" s="25">
        <v>1.0</v>
      </c>
      <c r="AN40" s="25">
        <v>1.0</v>
      </c>
      <c r="AO40" s="25">
        <v>0.0</v>
      </c>
      <c r="AP40" s="25">
        <v>1.0</v>
      </c>
      <c r="AQ40" s="25">
        <v>2.0</v>
      </c>
      <c r="AR40" s="25">
        <v>0.0</v>
      </c>
      <c r="AS40" s="25">
        <v>3.0</v>
      </c>
      <c r="AT40" s="25">
        <v>0.0</v>
      </c>
      <c r="AU40" s="25">
        <v>0.0</v>
      </c>
      <c r="AV40" s="25">
        <v>2.0</v>
      </c>
      <c r="AW40" s="25">
        <v>1.0</v>
      </c>
      <c r="AX40" s="25">
        <v>1.0</v>
      </c>
      <c r="AY40" s="25">
        <v>0.0</v>
      </c>
      <c r="AZ40" s="25">
        <v>3.0</v>
      </c>
      <c r="BA40" s="25">
        <v>1.0</v>
      </c>
      <c r="BB40" s="25">
        <v>0.0</v>
      </c>
      <c r="BC40" s="25">
        <v>0.0</v>
      </c>
      <c r="BD40" s="25">
        <v>2.0</v>
      </c>
      <c r="BE40" s="25">
        <v>1.0</v>
      </c>
      <c r="BF40" s="25">
        <v>2.0</v>
      </c>
      <c r="BG40" s="26"/>
      <c r="BH40" s="26"/>
      <c r="BI40" s="26"/>
      <c r="BJ40" s="26"/>
    </row>
    <row r="41" ht="18.0" customHeight="1">
      <c r="A41" s="1"/>
      <c r="B41" s="13" t="s">
        <v>61</v>
      </c>
      <c r="C41" s="25">
        <v>2.0</v>
      </c>
      <c r="D41" s="25">
        <v>1.0</v>
      </c>
      <c r="E41" s="25">
        <v>0.0</v>
      </c>
      <c r="F41" s="25">
        <v>1.0</v>
      </c>
      <c r="G41" s="25">
        <v>1.0</v>
      </c>
      <c r="H41" s="25">
        <v>1.0</v>
      </c>
      <c r="I41" s="25">
        <v>2.0</v>
      </c>
      <c r="J41" s="25">
        <v>1.0</v>
      </c>
      <c r="K41" s="25">
        <v>2.0</v>
      </c>
      <c r="L41" s="25">
        <v>1.0</v>
      </c>
      <c r="M41" s="25">
        <v>2.0</v>
      </c>
      <c r="N41" s="25">
        <v>1.0</v>
      </c>
      <c r="O41" s="25">
        <v>2.0</v>
      </c>
      <c r="P41" s="25">
        <v>2.0</v>
      </c>
      <c r="Q41" s="25">
        <v>2.0</v>
      </c>
      <c r="R41" s="25">
        <v>1.0</v>
      </c>
      <c r="S41" s="25">
        <v>1.0</v>
      </c>
      <c r="T41" s="25">
        <v>1.0</v>
      </c>
      <c r="U41" s="25">
        <v>1.0</v>
      </c>
      <c r="V41" s="25">
        <v>1.0</v>
      </c>
      <c r="W41" s="25">
        <v>2.0</v>
      </c>
      <c r="X41" s="25">
        <v>1.0</v>
      </c>
      <c r="Y41" s="25">
        <v>1.0</v>
      </c>
      <c r="Z41" s="25">
        <v>1.0</v>
      </c>
      <c r="AA41" s="25">
        <v>2.0</v>
      </c>
      <c r="AB41" s="25">
        <v>1.0</v>
      </c>
      <c r="AC41" s="25">
        <v>1.0</v>
      </c>
      <c r="AD41" s="25">
        <v>2.0</v>
      </c>
      <c r="AE41" s="25">
        <v>1.0</v>
      </c>
      <c r="AF41" s="25">
        <v>1.0</v>
      </c>
      <c r="AG41" s="25">
        <v>1.0</v>
      </c>
      <c r="AH41" s="25">
        <v>1.0</v>
      </c>
      <c r="AI41" s="25">
        <v>0.0</v>
      </c>
      <c r="AJ41" s="25">
        <v>0.0</v>
      </c>
      <c r="AK41" s="25">
        <v>1.0</v>
      </c>
      <c r="AL41" s="25">
        <v>0.0</v>
      </c>
      <c r="AM41" s="25">
        <v>1.0</v>
      </c>
      <c r="AN41" s="25">
        <v>1.0</v>
      </c>
      <c r="AO41" s="25">
        <v>1.0</v>
      </c>
      <c r="AP41" s="25">
        <v>1.0</v>
      </c>
      <c r="AQ41" s="25">
        <v>1.0</v>
      </c>
      <c r="AR41" s="25">
        <v>2.0</v>
      </c>
      <c r="AS41" s="25">
        <v>1.0</v>
      </c>
      <c r="AT41" s="25">
        <v>1.0</v>
      </c>
      <c r="AU41" s="25">
        <v>1.0</v>
      </c>
      <c r="AV41" s="25">
        <v>1.0</v>
      </c>
      <c r="AW41" s="25">
        <v>0.0</v>
      </c>
      <c r="AX41" s="25">
        <v>0.0</v>
      </c>
      <c r="AY41" s="25">
        <v>2.0</v>
      </c>
      <c r="AZ41" s="25">
        <v>1.0</v>
      </c>
      <c r="BA41" s="25">
        <v>2.0</v>
      </c>
      <c r="BB41" s="25">
        <v>1.0</v>
      </c>
      <c r="BC41" s="25">
        <v>3.0</v>
      </c>
      <c r="BD41" s="25">
        <v>2.0</v>
      </c>
      <c r="BE41" s="25">
        <v>2.0</v>
      </c>
      <c r="BF41" s="25">
        <v>1.0</v>
      </c>
      <c r="BG41" s="26"/>
      <c r="BH41" s="26"/>
      <c r="BI41" s="26"/>
      <c r="BJ41" s="26"/>
    </row>
    <row r="42" ht="18.0" customHeight="1">
      <c r="A42" s="1"/>
      <c r="B42" s="13" t="s">
        <v>62</v>
      </c>
      <c r="C42" s="25">
        <v>0.0</v>
      </c>
      <c r="D42" s="25">
        <v>3.0</v>
      </c>
      <c r="E42" s="25">
        <v>1.0</v>
      </c>
      <c r="F42" s="25">
        <v>2.0</v>
      </c>
      <c r="G42" s="25">
        <v>1.0</v>
      </c>
      <c r="H42" s="25">
        <v>2.0</v>
      </c>
      <c r="I42" s="25">
        <v>0.0</v>
      </c>
      <c r="J42" s="25">
        <v>3.0</v>
      </c>
      <c r="K42" s="25">
        <v>0.0</v>
      </c>
      <c r="L42" s="25">
        <v>2.0</v>
      </c>
      <c r="M42" s="25">
        <v>1.0</v>
      </c>
      <c r="N42" s="25">
        <v>2.0</v>
      </c>
      <c r="O42" s="25">
        <v>0.0</v>
      </c>
      <c r="P42" s="25">
        <v>2.0</v>
      </c>
      <c r="Q42" s="25">
        <v>0.0</v>
      </c>
      <c r="R42" s="25">
        <v>2.0</v>
      </c>
      <c r="S42" s="25">
        <v>0.0</v>
      </c>
      <c r="T42" s="25">
        <v>2.0</v>
      </c>
      <c r="U42" s="25">
        <v>0.0</v>
      </c>
      <c r="V42" s="25">
        <v>3.0</v>
      </c>
      <c r="W42" s="25">
        <v>0.0</v>
      </c>
      <c r="X42" s="25">
        <v>2.0</v>
      </c>
      <c r="Y42" s="25">
        <v>0.0</v>
      </c>
      <c r="Z42" s="25">
        <v>2.0</v>
      </c>
      <c r="AA42" s="25">
        <v>0.0</v>
      </c>
      <c r="AB42" s="25">
        <v>2.0</v>
      </c>
      <c r="AC42" s="25">
        <v>1.0</v>
      </c>
      <c r="AD42" s="25">
        <v>2.0</v>
      </c>
      <c r="AE42" s="25">
        <v>0.0</v>
      </c>
      <c r="AF42" s="25">
        <v>2.0</v>
      </c>
      <c r="AG42" s="25">
        <v>0.0</v>
      </c>
      <c r="AH42" s="25">
        <v>2.0</v>
      </c>
      <c r="AI42" s="25">
        <v>1.0</v>
      </c>
      <c r="AJ42" s="25">
        <v>2.0</v>
      </c>
      <c r="AK42" s="25">
        <v>1.0</v>
      </c>
      <c r="AL42" s="25">
        <v>2.0</v>
      </c>
      <c r="AM42" s="25">
        <v>0.0</v>
      </c>
      <c r="AN42" s="25">
        <v>2.0</v>
      </c>
      <c r="AO42" s="25">
        <v>1.0</v>
      </c>
      <c r="AP42" s="25">
        <v>3.0</v>
      </c>
      <c r="AQ42" s="25">
        <v>2.0</v>
      </c>
      <c r="AR42" s="25">
        <v>0.0</v>
      </c>
      <c r="AS42" s="25">
        <v>2.0</v>
      </c>
      <c r="AT42" s="25">
        <v>2.0</v>
      </c>
      <c r="AU42" s="25">
        <v>0.0</v>
      </c>
      <c r="AV42" s="25">
        <v>3.0</v>
      </c>
      <c r="AW42" s="25">
        <v>0.0</v>
      </c>
      <c r="AX42" s="25">
        <v>1.0</v>
      </c>
      <c r="AY42" s="25">
        <v>1.0</v>
      </c>
      <c r="AZ42" s="25">
        <v>2.0</v>
      </c>
      <c r="BA42" s="25">
        <v>0.0</v>
      </c>
      <c r="BB42" s="25">
        <v>2.0</v>
      </c>
      <c r="BC42" s="25">
        <v>0.0</v>
      </c>
      <c r="BD42" s="25">
        <v>3.0</v>
      </c>
      <c r="BE42" s="25">
        <v>0.0</v>
      </c>
      <c r="BF42" s="25">
        <v>3.0</v>
      </c>
      <c r="BG42" s="26"/>
      <c r="BH42" s="26"/>
      <c r="BI42" s="26"/>
      <c r="BJ42" s="26"/>
    </row>
    <row r="43" ht="18.0" customHeight="1">
      <c r="A43" s="1"/>
      <c r="B43" s="13" t="s">
        <v>63</v>
      </c>
      <c r="C43" s="25">
        <v>2.0</v>
      </c>
      <c r="D43" s="25">
        <v>1.0</v>
      </c>
      <c r="E43" s="25">
        <v>2.0</v>
      </c>
      <c r="F43" s="25">
        <v>1.0</v>
      </c>
      <c r="G43" s="25">
        <v>1.0</v>
      </c>
      <c r="H43" s="25">
        <v>1.0</v>
      </c>
      <c r="I43" s="25">
        <v>2.0</v>
      </c>
      <c r="J43" s="25">
        <v>0.0</v>
      </c>
      <c r="K43" s="25">
        <v>3.0</v>
      </c>
      <c r="L43" s="25">
        <v>1.0</v>
      </c>
      <c r="M43" s="25">
        <v>2.0</v>
      </c>
      <c r="N43" s="25">
        <v>1.0</v>
      </c>
      <c r="O43" s="25">
        <v>2.0</v>
      </c>
      <c r="P43" s="25">
        <v>2.0</v>
      </c>
      <c r="Q43" s="25">
        <v>2.0</v>
      </c>
      <c r="R43" s="25">
        <v>1.0</v>
      </c>
      <c r="S43" s="25">
        <v>2.0</v>
      </c>
      <c r="T43" s="25">
        <v>0.0</v>
      </c>
      <c r="U43" s="25">
        <v>2.0</v>
      </c>
      <c r="V43" s="25">
        <v>1.0</v>
      </c>
      <c r="W43" s="25">
        <v>1.0</v>
      </c>
      <c r="X43" s="25">
        <v>1.0</v>
      </c>
      <c r="Y43" s="25">
        <v>2.0</v>
      </c>
      <c r="Z43" s="25">
        <v>0.0</v>
      </c>
      <c r="AA43" s="25">
        <v>1.0</v>
      </c>
      <c r="AB43" s="25">
        <v>1.0</v>
      </c>
      <c r="AC43" s="25">
        <v>2.0</v>
      </c>
      <c r="AD43" s="25">
        <v>0.0</v>
      </c>
      <c r="AE43" s="25">
        <v>2.0</v>
      </c>
      <c r="AF43" s="25">
        <v>1.0</v>
      </c>
      <c r="AG43" s="25">
        <v>2.0</v>
      </c>
      <c r="AH43" s="25">
        <v>1.0</v>
      </c>
      <c r="AI43" s="25">
        <v>2.0</v>
      </c>
      <c r="AJ43" s="25">
        <v>0.0</v>
      </c>
      <c r="AK43" s="25">
        <v>2.0</v>
      </c>
      <c r="AL43" s="25">
        <v>1.0</v>
      </c>
      <c r="AM43" s="25">
        <v>3.0</v>
      </c>
      <c r="AN43" s="25">
        <v>1.0</v>
      </c>
      <c r="AO43" s="25">
        <v>2.0</v>
      </c>
      <c r="AP43" s="25">
        <v>1.0</v>
      </c>
      <c r="AQ43" s="25">
        <v>2.0</v>
      </c>
      <c r="AR43" s="25">
        <v>0.0</v>
      </c>
      <c r="AS43" s="25">
        <v>1.0</v>
      </c>
      <c r="AT43" s="25">
        <v>1.0</v>
      </c>
      <c r="AU43" s="25">
        <v>2.0</v>
      </c>
      <c r="AV43" s="25">
        <v>0.0</v>
      </c>
      <c r="AW43" s="25">
        <v>2.0</v>
      </c>
      <c r="AX43" s="25">
        <v>0.0</v>
      </c>
      <c r="AY43" s="25">
        <v>2.0</v>
      </c>
      <c r="AZ43" s="25">
        <v>0.0</v>
      </c>
      <c r="BA43" s="25">
        <v>2.0</v>
      </c>
      <c r="BB43" s="25">
        <v>0.0</v>
      </c>
      <c r="BC43" s="25">
        <v>2.0</v>
      </c>
      <c r="BD43" s="25">
        <v>1.0</v>
      </c>
      <c r="BE43" s="25">
        <v>2.0</v>
      </c>
      <c r="BF43" s="25">
        <v>0.0</v>
      </c>
      <c r="BG43" s="26"/>
      <c r="BH43" s="26"/>
      <c r="BI43" s="26"/>
      <c r="BJ43" s="26"/>
    </row>
    <row r="44" ht="18.0" customHeight="1">
      <c r="A44" s="1"/>
      <c r="B44" s="13" t="s">
        <v>64</v>
      </c>
      <c r="C44" s="25">
        <v>1.0</v>
      </c>
      <c r="D44" s="25">
        <v>0.0</v>
      </c>
      <c r="E44" s="25">
        <v>1.0</v>
      </c>
      <c r="F44" s="25">
        <v>0.0</v>
      </c>
      <c r="G44" s="25">
        <v>2.0</v>
      </c>
      <c r="H44" s="25">
        <v>1.0</v>
      </c>
      <c r="I44" s="25">
        <v>1.0</v>
      </c>
      <c r="J44" s="25">
        <v>1.0</v>
      </c>
      <c r="K44" s="25">
        <v>1.0</v>
      </c>
      <c r="L44" s="25">
        <v>0.0</v>
      </c>
      <c r="M44" s="25">
        <v>2.0</v>
      </c>
      <c r="N44" s="25">
        <v>1.0</v>
      </c>
      <c r="O44" s="25">
        <v>1.0</v>
      </c>
      <c r="P44" s="25">
        <v>1.0</v>
      </c>
      <c r="Q44" s="25">
        <v>2.0</v>
      </c>
      <c r="R44" s="25">
        <v>0.0</v>
      </c>
      <c r="S44" s="25">
        <v>1.0</v>
      </c>
      <c r="T44" s="25">
        <v>0.0</v>
      </c>
      <c r="U44" s="25">
        <v>1.0</v>
      </c>
      <c r="V44" s="25">
        <v>0.0</v>
      </c>
      <c r="W44" s="25">
        <v>1.0</v>
      </c>
      <c r="X44" s="25">
        <v>0.0</v>
      </c>
      <c r="Y44" s="25">
        <v>1.0</v>
      </c>
      <c r="Z44" s="25">
        <v>1.0</v>
      </c>
      <c r="AA44" s="25">
        <v>2.0</v>
      </c>
      <c r="AB44" s="25">
        <v>0.0</v>
      </c>
      <c r="AC44" s="25">
        <v>0.0</v>
      </c>
      <c r="AD44" s="25">
        <v>2.0</v>
      </c>
      <c r="AE44" s="25">
        <v>2.0</v>
      </c>
      <c r="AF44" s="25">
        <v>0.0</v>
      </c>
      <c r="AG44" s="25">
        <v>0.0</v>
      </c>
      <c r="AH44" s="25">
        <v>0.0</v>
      </c>
      <c r="AI44" s="25">
        <v>0.0</v>
      </c>
      <c r="AJ44" s="25">
        <v>0.0</v>
      </c>
      <c r="AK44" s="25">
        <v>0.0</v>
      </c>
      <c r="AL44" s="25">
        <v>0.0</v>
      </c>
      <c r="AM44" s="25">
        <v>2.0</v>
      </c>
      <c r="AN44" s="25">
        <v>0.0</v>
      </c>
      <c r="AO44" s="25">
        <v>2.0</v>
      </c>
      <c r="AP44" s="25">
        <v>0.0</v>
      </c>
      <c r="AQ44" s="25">
        <v>0.0</v>
      </c>
      <c r="AR44" s="25">
        <v>1.0</v>
      </c>
      <c r="AS44" s="25">
        <v>1.0</v>
      </c>
      <c r="AT44" s="25">
        <v>1.0</v>
      </c>
      <c r="AU44" s="25">
        <v>2.0</v>
      </c>
      <c r="AV44" s="25">
        <v>1.0</v>
      </c>
      <c r="AW44" s="25">
        <v>1.0</v>
      </c>
      <c r="AX44" s="25">
        <v>1.0</v>
      </c>
      <c r="AY44" s="25">
        <v>0.0</v>
      </c>
      <c r="AZ44" s="25">
        <v>0.0</v>
      </c>
      <c r="BA44" s="25">
        <v>1.0</v>
      </c>
      <c r="BB44" s="25">
        <v>1.0</v>
      </c>
      <c r="BC44" s="25">
        <v>1.0</v>
      </c>
      <c r="BD44" s="25">
        <v>0.0</v>
      </c>
      <c r="BE44" s="25">
        <v>1.0</v>
      </c>
      <c r="BF44" s="25">
        <v>3.0</v>
      </c>
      <c r="BG44" s="26"/>
      <c r="BH44" s="26"/>
      <c r="BI44" s="26"/>
      <c r="BJ44" s="26"/>
    </row>
    <row r="45" ht="18.0" customHeight="1">
      <c r="A45" s="1"/>
      <c r="B45" s="13" t="s">
        <v>65</v>
      </c>
      <c r="C45" s="25">
        <v>2.0</v>
      </c>
      <c r="D45" s="25">
        <v>0.0</v>
      </c>
      <c r="E45" s="25">
        <v>2.0</v>
      </c>
      <c r="F45" s="25">
        <v>1.0</v>
      </c>
      <c r="G45" s="25">
        <v>2.0</v>
      </c>
      <c r="H45" s="25">
        <v>0.0</v>
      </c>
      <c r="I45" s="25">
        <v>3.0</v>
      </c>
      <c r="J45" s="25">
        <v>1.0</v>
      </c>
      <c r="K45" s="25">
        <v>2.0</v>
      </c>
      <c r="L45" s="25">
        <v>0.0</v>
      </c>
      <c r="M45" s="25">
        <v>2.0</v>
      </c>
      <c r="N45" s="25">
        <v>1.0</v>
      </c>
      <c r="O45" s="25">
        <v>3.0</v>
      </c>
      <c r="P45" s="25">
        <v>1.0</v>
      </c>
      <c r="Q45" s="25">
        <v>2.0</v>
      </c>
      <c r="R45" s="25">
        <v>1.0</v>
      </c>
      <c r="S45" s="25">
        <v>2.0</v>
      </c>
      <c r="T45" s="25">
        <v>0.0</v>
      </c>
      <c r="U45" s="25">
        <v>2.0</v>
      </c>
      <c r="V45" s="25">
        <v>0.0</v>
      </c>
      <c r="W45" s="25">
        <v>3.0</v>
      </c>
      <c r="X45" s="25">
        <v>2.0</v>
      </c>
      <c r="Y45" s="25">
        <v>3.0</v>
      </c>
      <c r="Z45" s="25">
        <v>0.0</v>
      </c>
      <c r="AA45" s="25">
        <v>2.0</v>
      </c>
      <c r="AB45" s="25">
        <v>0.0</v>
      </c>
      <c r="AC45" s="25">
        <v>2.0</v>
      </c>
      <c r="AD45" s="25">
        <v>0.0</v>
      </c>
      <c r="AE45" s="25">
        <v>1.0</v>
      </c>
      <c r="AF45" s="25">
        <v>1.0</v>
      </c>
      <c r="AG45" s="25">
        <v>3.0</v>
      </c>
      <c r="AH45" s="25">
        <v>1.0</v>
      </c>
      <c r="AI45" s="25">
        <v>3.0</v>
      </c>
      <c r="AJ45" s="25">
        <v>0.0</v>
      </c>
      <c r="AK45" s="25">
        <v>2.0</v>
      </c>
      <c r="AL45" s="25">
        <v>0.0</v>
      </c>
      <c r="AM45" s="25">
        <v>2.0</v>
      </c>
      <c r="AN45" s="25">
        <v>0.0</v>
      </c>
      <c r="AO45" s="25">
        <v>1.0</v>
      </c>
      <c r="AP45" s="25">
        <v>1.0</v>
      </c>
      <c r="AQ45" s="25">
        <v>2.0</v>
      </c>
      <c r="AR45" s="25">
        <v>1.0</v>
      </c>
      <c r="AS45" s="25">
        <v>2.0</v>
      </c>
      <c r="AT45" s="25">
        <v>0.0</v>
      </c>
      <c r="AU45" s="25">
        <v>2.0</v>
      </c>
      <c r="AV45" s="25">
        <v>1.0</v>
      </c>
      <c r="AW45" s="25">
        <v>3.0</v>
      </c>
      <c r="AX45" s="25">
        <v>1.0</v>
      </c>
      <c r="AY45" s="25">
        <v>2.0</v>
      </c>
      <c r="AZ45" s="25">
        <v>1.0</v>
      </c>
      <c r="BA45" s="25">
        <v>2.0</v>
      </c>
      <c r="BB45" s="25">
        <v>1.0</v>
      </c>
      <c r="BC45" s="25">
        <v>3.0</v>
      </c>
      <c r="BD45" s="25">
        <v>0.0</v>
      </c>
      <c r="BE45" s="25">
        <v>2.0</v>
      </c>
      <c r="BF45" s="25">
        <v>0.0</v>
      </c>
      <c r="BG45" s="26"/>
      <c r="BH45" s="26"/>
      <c r="BI45" s="26"/>
      <c r="BJ45" s="26"/>
    </row>
    <row r="46" ht="18.0" customHeight="1">
      <c r="A46" s="1"/>
      <c r="B46" s="13" t="s">
        <v>66</v>
      </c>
      <c r="C46" s="25">
        <v>1.0</v>
      </c>
      <c r="D46" s="25">
        <v>2.0</v>
      </c>
      <c r="E46" s="25">
        <v>0.0</v>
      </c>
      <c r="F46" s="25">
        <v>2.0</v>
      </c>
      <c r="G46" s="25">
        <v>0.0</v>
      </c>
      <c r="H46" s="25">
        <v>1.0</v>
      </c>
      <c r="I46" s="25">
        <v>1.0</v>
      </c>
      <c r="J46" s="25">
        <v>2.0</v>
      </c>
      <c r="K46" s="25">
        <v>0.0</v>
      </c>
      <c r="L46" s="25">
        <v>2.0</v>
      </c>
      <c r="M46" s="25">
        <v>1.0</v>
      </c>
      <c r="N46" s="25">
        <v>2.0</v>
      </c>
      <c r="O46" s="25">
        <v>0.0</v>
      </c>
      <c r="P46" s="25">
        <v>2.0</v>
      </c>
      <c r="Q46" s="25">
        <v>0.0</v>
      </c>
      <c r="R46" s="25">
        <v>2.0</v>
      </c>
      <c r="S46" s="25">
        <v>1.0</v>
      </c>
      <c r="T46" s="25">
        <v>1.0</v>
      </c>
      <c r="U46" s="25">
        <v>0.0</v>
      </c>
      <c r="V46" s="25">
        <v>2.0</v>
      </c>
      <c r="W46" s="25">
        <v>0.0</v>
      </c>
      <c r="X46" s="25">
        <v>2.0</v>
      </c>
      <c r="Y46" s="25">
        <v>1.0</v>
      </c>
      <c r="Z46" s="25">
        <v>2.0</v>
      </c>
      <c r="AA46" s="25">
        <v>1.0</v>
      </c>
      <c r="AB46" s="25">
        <v>3.0</v>
      </c>
      <c r="AC46" s="25">
        <v>1.0</v>
      </c>
      <c r="AD46" s="25">
        <v>1.0</v>
      </c>
      <c r="AE46" s="25">
        <v>0.0</v>
      </c>
      <c r="AF46" s="25">
        <v>1.0</v>
      </c>
      <c r="AG46" s="25">
        <v>1.0</v>
      </c>
      <c r="AH46" s="25">
        <v>2.0</v>
      </c>
      <c r="AI46" s="25">
        <v>1.0</v>
      </c>
      <c r="AJ46" s="25">
        <v>2.0</v>
      </c>
      <c r="AK46" s="25">
        <v>1.0</v>
      </c>
      <c r="AL46" s="25">
        <v>2.0</v>
      </c>
      <c r="AM46" s="25">
        <v>1.0</v>
      </c>
      <c r="AN46" s="25">
        <v>0.0</v>
      </c>
      <c r="AO46" s="25">
        <v>0.0</v>
      </c>
      <c r="AP46" s="25">
        <v>1.0</v>
      </c>
      <c r="AQ46" s="25">
        <v>1.0</v>
      </c>
      <c r="AR46" s="25">
        <v>1.0</v>
      </c>
      <c r="AS46" s="25">
        <v>0.0</v>
      </c>
      <c r="AT46" s="25">
        <v>0.0</v>
      </c>
      <c r="AU46" s="25">
        <v>1.0</v>
      </c>
      <c r="AV46" s="25">
        <v>1.0</v>
      </c>
      <c r="AW46" s="25">
        <v>1.0</v>
      </c>
      <c r="AX46" s="25">
        <v>1.0</v>
      </c>
      <c r="AY46" s="25">
        <v>0.0</v>
      </c>
      <c r="AZ46" s="25">
        <v>2.0</v>
      </c>
      <c r="BA46" s="25">
        <v>1.0</v>
      </c>
      <c r="BB46" s="25">
        <v>1.0</v>
      </c>
      <c r="BC46" s="25">
        <v>1.0</v>
      </c>
      <c r="BD46" s="25">
        <v>3.0</v>
      </c>
      <c r="BE46" s="25">
        <v>2.0</v>
      </c>
      <c r="BF46" s="25">
        <v>0.0</v>
      </c>
      <c r="BG46" s="26"/>
      <c r="BH46" s="26"/>
      <c r="BI46" s="26"/>
      <c r="BJ46" s="26"/>
    </row>
    <row r="47" ht="18.0" customHeight="1">
      <c r="A47" s="1"/>
      <c r="B47" s="13" t="s">
        <v>67</v>
      </c>
      <c r="C47" s="25">
        <v>0.0</v>
      </c>
      <c r="D47" s="25">
        <v>3.0</v>
      </c>
      <c r="E47" s="25">
        <v>0.0</v>
      </c>
      <c r="F47" s="25">
        <v>3.0</v>
      </c>
      <c r="G47" s="25">
        <v>0.0</v>
      </c>
      <c r="H47" s="25">
        <v>2.0</v>
      </c>
      <c r="I47" s="25">
        <v>0.0</v>
      </c>
      <c r="J47" s="25">
        <v>3.0</v>
      </c>
      <c r="K47" s="25">
        <v>0.0</v>
      </c>
      <c r="L47" s="25">
        <v>3.0</v>
      </c>
      <c r="M47" s="25">
        <v>1.0</v>
      </c>
      <c r="N47" s="25">
        <v>2.0</v>
      </c>
      <c r="O47" s="25">
        <v>1.0</v>
      </c>
      <c r="P47" s="25">
        <v>3.0</v>
      </c>
      <c r="Q47" s="25">
        <v>0.0</v>
      </c>
      <c r="R47" s="25">
        <v>3.0</v>
      </c>
      <c r="S47" s="25">
        <v>0.0</v>
      </c>
      <c r="T47" s="25">
        <v>2.0</v>
      </c>
      <c r="U47" s="25">
        <v>0.0</v>
      </c>
      <c r="V47" s="25">
        <v>3.0</v>
      </c>
      <c r="W47" s="25">
        <v>0.0</v>
      </c>
      <c r="X47" s="25">
        <v>1.0</v>
      </c>
      <c r="Y47" s="25">
        <v>1.0</v>
      </c>
      <c r="Z47" s="25">
        <v>3.0</v>
      </c>
      <c r="AA47" s="25">
        <v>0.0</v>
      </c>
      <c r="AB47" s="25">
        <v>3.0</v>
      </c>
      <c r="AC47" s="25">
        <v>1.0</v>
      </c>
      <c r="AD47" s="25">
        <v>2.0</v>
      </c>
      <c r="AE47" s="25">
        <v>0.0</v>
      </c>
      <c r="AF47" s="25">
        <v>3.0</v>
      </c>
      <c r="AG47" s="25">
        <v>0.0</v>
      </c>
      <c r="AH47" s="25">
        <v>2.0</v>
      </c>
      <c r="AI47" s="25">
        <v>1.0</v>
      </c>
      <c r="AJ47" s="25">
        <v>3.0</v>
      </c>
      <c r="AK47" s="25">
        <v>1.0</v>
      </c>
      <c r="AL47" s="25">
        <v>4.0</v>
      </c>
      <c r="AM47" s="25">
        <v>0.0</v>
      </c>
      <c r="AN47" s="25">
        <v>3.0</v>
      </c>
      <c r="AO47" s="25">
        <v>1.0</v>
      </c>
      <c r="AP47" s="25">
        <v>3.0</v>
      </c>
      <c r="AQ47" s="25">
        <v>0.0</v>
      </c>
      <c r="AR47" s="25">
        <v>2.0</v>
      </c>
      <c r="AS47" s="25">
        <v>0.0</v>
      </c>
      <c r="AT47" s="25">
        <v>2.0</v>
      </c>
      <c r="AU47" s="25">
        <v>0.0</v>
      </c>
      <c r="AV47" s="25">
        <v>3.0</v>
      </c>
      <c r="AW47" s="25">
        <v>1.0</v>
      </c>
      <c r="AX47" s="25">
        <v>2.0</v>
      </c>
      <c r="AY47" s="25">
        <v>0.0</v>
      </c>
      <c r="AZ47" s="25">
        <v>3.0</v>
      </c>
      <c r="BA47" s="25">
        <v>0.0</v>
      </c>
      <c r="BB47" s="25">
        <v>2.0</v>
      </c>
      <c r="BC47" s="25">
        <v>1.0</v>
      </c>
      <c r="BD47" s="25">
        <v>2.0</v>
      </c>
      <c r="BE47" s="25">
        <v>1.0</v>
      </c>
      <c r="BF47" s="25">
        <v>2.0</v>
      </c>
      <c r="BG47" s="26"/>
      <c r="BH47" s="26"/>
      <c r="BI47" s="26"/>
      <c r="BJ47" s="26"/>
    </row>
    <row r="48" ht="18.0" customHeight="1">
      <c r="A48" s="1"/>
      <c r="B48" s="13" t="s">
        <v>68</v>
      </c>
      <c r="C48" s="25">
        <v>1.0</v>
      </c>
      <c r="D48" s="25">
        <v>1.0</v>
      </c>
      <c r="E48" s="25">
        <v>1.0</v>
      </c>
      <c r="F48" s="25">
        <v>1.0</v>
      </c>
      <c r="G48" s="25">
        <v>1.0</v>
      </c>
      <c r="H48" s="25">
        <v>1.0</v>
      </c>
      <c r="I48" s="25">
        <v>1.0</v>
      </c>
      <c r="J48" s="25">
        <v>0.0</v>
      </c>
      <c r="K48" s="25">
        <v>2.0</v>
      </c>
      <c r="L48" s="25">
        <v>1.0</v>
      </c>
      <c r="M48" s="25">
        <v>2.0</v>
      </c>
      <c r="N48" s="25">
        <v>1.0</v>
      </c>
      <c r="O48" s="25">
        <v>2.0</v>
      </c>
      <c r="P48" s="25">
        <v>2.0</v>
      </c>
      <c r="Q48" s="25">
        <v>2.0</v>
      </c>
      <c r="R48" s="25">
        <v>1.0</v>
      </c>
      <c r="S48" s="25">
        <v>1.0</v>
      </c>
      <c r="T48" s="25">
        <v>1.0</v>
      </c>
      <c r="U48" s="25">
        <v>1.0</v>
      </c>
      <c r="V48" s="25">
        <v>1.0</v>
      </c>
      <c r="W48" s="25">
        <v>1.0</v>
      </c>
      <c r="X48" s="25">
        <v>1.0</v>
      </c>
      <c r="Y48" s="25">
        <v>1.0</v>
      </c>
      <c r="Z48" s="25">
        <v>1.0</v>
      </c>
      <c r="AA48" s="25">
        <v>1.0</v>
      </c>
      <c r="AB48" s="25">
        <v>1.0</v>
      </c>
      <c r="AC48" s="25">
        <v>1.0</v>
      </c>
      <c r="AD48" s="25">
        <v>0.0</v>
      </c>
      <c r="AE48" s="25">
        <v>1.0</v>
      </c>
      <c r="AF48" s="25">
        <v>1.0</v>
      </c>
      <c r="AG48" s="25">
        <v>1.0</v>
      </c>
      <c r="AH48" s="25">
        <v>0.0</v>
      </c>
      <c r="AI48" s="25">
        <v>2.0</v>
      </c>
      <c r="AJ48" s="25">
        <v>1.0</v>
      </c>
      <c r="AK48" s="25">
        <v>1.0</v>
      </c>
      <c r="AL48" s="25">
        <v>0.0</v>
      </c>
      <c r="AM48" s="25">
        <v>1.0</v>
      </c>
      <c r="AN48" s="25">
        <v>1.0</v>
      </c>
      <c r="AO48" s="25">
        <v>1.0</v>
      </c>
      <c r="AP48" s="25">
        <v>1.0</v>
      </c>
      <c r="AQ48" s="25">
        <v>2.0</v>
      </c>
      <c r="AR48" s="25">
        <v>1.0</v>
      </c>
      <c r="AS48" s="25">
        <v>1.0</v>
      </c>
      <c r="AT48" s="25">
        <v>1.0</v>
      </c>
      <c r="AU48" s="25">
        <v>1.0</v>
      </c>
      <c r="AV48" s="25">
        <v>1.0</v>
      </c>
      <c r="AW48" s="25">
        <v>1.0</v>
      </c>
      <c r="AX48" s="25">
        <v>1.0</v>
      </c>
      <c r="AY48" s="25">
        <v>1.0</v>
      </c>
      <c r="AZ48" s="25">
        <v>1.0</v>
      </c>
      <c r="BA48" s="25">
        <v>1.0</v>
      </c>
      <c r="BB48" s="25">
        <v>1.0</v>
      </c>
      <c r="BC48" s="25">
        <v>1.0</v>
      </c>
      <c r="BD48" s="25">
        <v>2.0</v>
      </c>
      <c r="BE48" s="25">
        <v>1.0</v>
      </c>
      <c r="BF48" s="25">
        <v>1.0</v>
      </c>
      <c r="BG48" s="26"/>
      <c r="BH48" s="26"/>
      <c r="BI48" s="26"/>
      <c r="BJ48" s="26"/>
    </row>
    <row r="49" ht="18.0" customHeight="1">
      <c r="A49" s="1"/>
      <c r="B49" s="13" t="s">
        <v>69</v>
      </c>
      <c r="C49" s="25">
        <v>3.0</v>
      </c>
      <c r="D49" s="25">
        <v>0.0</v>
      </c>
      <c r="E49" s="25">
        <v>3.0</v>
      </c>
      <c r="F49" s="25">
        <v>0.0</v>
      </c>
      <c r="G49" s="25">
        <v>4.0</v>
      </c>
      <c r="H49" s="25">
        <v>0.0</v>
      </c>
      <c r="I49" s="25">
        <v>3.0</v>
      </c>
      <c r="J49" s="25">
        <v>0.0</v>
      </c>
      <c r="K49" s="25">
        <v>4.0</v>
      </c>
      <c r="L49" s="25">
        <v>0.0</v>
      </c>
      <c r="M49" s="25">
        <v>2.0</v>
      </c>
      <c r="N49" s="25">
        <v>1.0</v>
      </c>
      <c r="O49" s="25">
        <v>5.0</v>
      </c>
      <c r="P49" s="25">
        <v>0.0</v>
      </c>
      <c r="Q49" s="25">
        <v>3.0</v>
      </c>
      <c r="R49" s="25">
        <v>0.0</v>
      </c>
      <c r="S49" s="25">
        <v>3.0</v>
      </c>
      <c r="T49" s="25">
        <v>0.0</v>
      </c>
      <c r="U49" s="25">
        <v>3.0</v>
      </c>
      <c r="V49" s="25">
        <v>0.0</v>
      </c>
      <c r="W49" s="25">
        <v>3.0</v>
      </c>
      <c r="X49" s="25">
        <v>0.0</v>
      </c>
      <c r="Y49" s="25">
        <v>3.0</v>
      </c>
      <c r="Z49" s="25">
        <v>1.0</v>
      </c>
      <c r="AA49" s="25">
        <v>4.0</v>
      </c>
      <c r="AB49" s="25">
        <v>0.0</v>
      </c>
      <c r="AC49" s="25">
        <v>3.0</v>
      </c>
      <c r="AD49" s="25">
        <v>0.0</v>
      </c>
      <c r="AE49" s="25">
        <v>4.0</v>
      </c>
      <c r="AF49" s="25">
        <v>0.0</v>
      </c>
      <c r="AG49" s="25">
        <v>4.0</v>
      </c>
      <c r="AH49" s="25">
        <v>0.0</v>
      </c>
      <c r="AI49" s="25">
        <v>3.0</v>
      </c>
      <c r="AJ49" s="25">
        <v>0.0</v>
      </c>
      <c r="AK49" s="25">
        <v>4.0</v>
      </c>
      <c r="AL49" s="25">
        <v>0.0</v>
      </c>
      <c r="AM49" s="25">
        <v>3.0</v>
      </c>
      <c r="AN49" s="25">
        <v>0.0</v>
      </c>
      <c r="AO49" s="25">
        <v>3.0</v>
      </c>
      <c r="AP49" s="25">
        <v>0.0</v>
      </c>
      <c r="AQ49" s="25">
        <v>3.0</v>
      </c>
      <c r="AR49" s="25">
        <v>0.0</v>
      </c>
      <c r="AS49" s="25">
        <v>3.0</v>
      </c>
      <c r="AT49" s="25">
        <v>0.0</v>
      </c>
      <c r="AU49" s="25">
        <v>3.0</v>
      </c>
      <c r="AV49" s="25">
        <v>0.0</v>
      </c>
      <c r="AW49" s="25">
        <v>3.0</v>
      </c>
      <c r="AX49" s="25">
        <v>1.0</v>
      </c>
      <c r="AY49" s="25">
        <v>4.0</v>
      </c>
      <c r="AZ49" s="25">
        <v>1.0</v>
      </c>
      <c r="BA49" s="25">
        <v>3.0</v>
      </c>
      <c r="BB49" s="25">
        <v>0.0</v>
      </c>
      <c r="BC49" s="25">
        <v>3.0</v>
      </c>
      <c r="BD49" s="25">
        <v>1.0</v>
      </c>
      <c r="BE49" s="25">
        <v>3.0</v>
      </c>
      <c r="BF49" s="25">
        <v>0.0</v>
      </c>
      <c r="BG49" s="26"/>
      <c r="BH49" s="26"/>
      <c r="BI49" s="26"/>
      <c r="BJ49" s="26"/>
    </row>
    <row r="50" ht="18.0" customHeight="1">
      <c r="A50" s="1"/>
      <c r="B50" s="13" t="s">
        <v>70</v>
      </c>
      <c r="C50" s="25">
        <v>2.0</v>
      </c>
      <c r="D50" s="25">
        <v>1.0</v>
      </c>
      <c r="E50" s="25">
        <v>2.0</v>
      </c>
      <c r="F50" s="25">
        <v>0.0</v>
      </c>
      <c r="G50" s="25">
        <v>0.0</v>
      </c>
      <c r="H50" s="25">
        <v>0.0</v>
      </c>
      <c r="I50" s="25">
        <v>2.0</v>
      </c>
      <c r="J50" s="25">
        <v>0.0</v>
      </c>
      <c r="K50" s="25">
        <v>2.0</v>
      </c>
      <c r="L50" s="25">
        <v>0.0</v>
      </c>
      <c r="M50" s="25">
        <v>2.0</v>
      </c>
      <c r="N50" s="25">
        <v>1.0</v>
      </c>
      <c r="O50" s="25">
        <v>2.0</v>
      </c>
      <c r="P50" s="25">
        <v>1.0</v>
      </c>
      <c r="Q50" s="25">
        <v>2.0</v>
      </c>
      <c r="R50" s="25">
        <v>0.0</v>
      </c>
      <c r="S50" s="25">
        <v>2.0</v>
      </c>
      <c r="T50" s="25">
        <v>0.0</v>
      </c>
      <c r="U50" s="25">
        <v>2.0</v>
      </c>
      <c r="V50" s="25">
        <v>0.0</v>
      </c>
      <c r="W50" s="25">
        <v>2.0</v>
      </c>
      <c r="X50" s="25">
        <v>0.0</v>
      </c>
      <c r="Y50" s="25">
        <v>2.0</v>
      </c>
      <c r="Z50" s="25">
        <v>1.0</v>
      </c>
      <c r="AA50" s="25">
        <v>2.0</v>
      </c>
      <c r="AB50" s="25">
        <v>0.0</v>
      </c>
      <c r="AC50" s="25">
        <v>1.0</v>
      </c>
      <c r="AD50" s="25">
        <v>0.0</v>
      </c>
      <c r="AE50" s="25">
        <v>2.0</v>
      </c>
      <c r="AF50" s="25">
        <v>0.0</v>
      </c>
      <c r="AG50" s="25">
        <v>2.0</v>
      </c>
      <c r="AH50" s="25">
        <v>2.0</v>
      </c>
      <c r="AI50" s="25">
        <v>2.0</v>
      </c>
      <c r="AJ50" s="25">
        <v>0.0</v>
      </c>
      <c r="AK50" s="25">
        <v>1.0</v>
      </c>
      <c r="AL50" s="25">
        <v>0.0</v>
      </c>
      <c r="AM50" s="25">
        <v>2.0</v>
      </c>
      <c r="AN50" s="25">
        <v>0.0</v>
      </c>
      <c r="AO50" s="25">
        <v>2.0</v>
      </c>
      <c r="AP50" s="25">
        <v>1.0</v>
      </c>
      <c r="AQ50" s="25">
        <v>2.0</v>
      </c>
      <c r="AR50" s="25">
        <v>0.0</v>
      </c>
      <c r="AS50" s="25">
        <v>2.0</v>
      </c>
      <c r="AT50" s="25">
        <v>1.0</v>
      </c>
      <c r="AU50" s="25">
        <v>2.0</v>
      </c>
      <c r="AV50" s="25">
        <v>0.0</v>
      </c>
      <c r="AW50" s="25">
        <v>4.0</v>
      </c>
      <c r="AX50" s="25">
        <v>0.0</v>
      </c>
      <c r="AY50" s="25">
        <v>2.0</v>
      </c>
      <c r="AZ50" s="25">
        <v>0.0</v>
      </c>
      <c r="BA50" s="25">
        <v>2.0</v>
      </c>
      <c r="BB50" s="25">
        <v>0.0</v>
      </c>
      <c r="BC50" s="25">
        <v>2.0</v>
      </c>
      <c r="BD50" s="25">
        <v>0.0</v>
      </c>
      <c r="BE50" s="25">
        <v>2.0</v>
      </c>
      <c r="BF50" s="25">
        <v>0.0</v>
      </c>
      <c r="BG50" s="26"/>
      <c r="BH50" s="26"/>
      <c r="BI50" s="26"/>
      <c r="BJ50" s="26"/>
    </row>
    <row r="51" ht="18.0" customHeight="1">
      <c r="A51" s="1"/>
      <c r="B51" s="13" t="s">
        <v>71</v>
      </c>
      <c r="C51" s="25">
        <v>2.0</v>
      </c>
      <c r="D51" s="25">
        <v>0.0</v>
      </c>
      <c r="E51" s="25">
        <v>2.0</v>
      </c>
      <c r="F51" s="25">
        <v>0.0</v>
      </c>
      <c r="G51" s="25">
        <v>2.0</v>
      </c>
      <c r="H51" s="25">
        <v>0.0</v>
      </c>
      <c r="I51" s="25">
        <v>2.0</v>
      </c>
      <c r="J51" s="25">
        <v>1.0</v>
      </c>
      <c r="K51" s="25">
        <v>3.0</v>
      </c>
      <c r="L51" s="25">
        <v>0.0</v>
      </c>
      <c r="M51" s="25">
        <v>2.0</v>
      </c>
      <c r="N51" s="25">
        <v>1.0</v>
      </c>
      <c r="O51" s="25">
        <v>3.0</v>
      </c>
      <c r="P51" s="25">
        <v>1.0</v>
      </c>
      <c r="Q51" s="25">
        <v>3.0</v>
      </c>
      <c r="R51" s="25">
        <v>0.0</v>
      </c>
      <c r="S51" s="25">
        <v>2.0</v>
      </c>
      <c r="T51" s="25">
        <v>0.0</v>
      </c>
      <c r="U51" s="25">
        <v>3.0</v>
      </c>
      <c r="V51" s="25">
        <v>0.0</v>
      </c>
      <c r="W51" s="25">
        <v>2.0</v>
      </c>
      <c r="X51" s="25">
        <v>1.0</v>
      </c>
      <c r="Y51" s="25">
        <v>2.0</v>
      </c>
      <c r="Z51" s="25">
        <v>0.0</v>
      </c>
      <c r="AA51" s="25">
        <v>4.0</v>
      </c>
      <c r="AB51" s="25">
        <v>1.0</v>
      </c>
      <c r="AC51" s="25">
        <v>2.0</v>
      </c>
      <c r="AD51" s="25">
        <v>1.0</v>
      </c>
      <c r="AE51" s="25">
        <v>3.0</v>
      </c>
      <c r="AF51" s="25">
        <v>0.0</v>
      </c>
      <c r="AG51" s="25">
        <v>3.0</v>
      </c>
      <c r="AH51" s="25">
        <v>1.0</v>
      </c>
      <c r="AI51" s="25">
        <v>2.0</v>
      </c>
      <c r="AJ51" s="25">
        <v>0.0</v>
      </c>
      <c r="AK51" s="25">
        <v>3.0</v>
      </c>
      <c r="AL51" s="25">
        <v>1.0</v>
      </c>
      <c r="AM51" s="25">
        <v>3.0</v>
      </c>
      <c r="AN51" s="25">
        <v>0.0</v>
      </c>
      <c r="AO51" s="25">
        <v>3.0</v>
      </c>
      <c r="AP51" s="25">
        <v>1.0</v>
      </c>
      <c r="AQ51" s="25">
        <v>2.0</v>
      </c>
      <c r="AR51" s="25">
        <v>1.0</v>
      </c>
      <c r="AS51" s="25">
        <v>1.0</v>
      </c>
      <c r="AT51" s="25">
        <v>0.0</v>
      </c>
      <c r="AU51" s="25">
        <v>3.0</v>
      </c>
      <c r="AV51" s="25">
        <v>1.0</v>
      </c>
      <c r="AW51" s="25">
        <v>2.0</v>
      </c>
      <c r="AX51" s="25">
        <v>3.0</v>
      </c>
      <c r="AY51" s="25">
        <v>2.0</v>
      </c>
      <c r="AZ51" s="25">
        <v>0.0</v>
      </c>
      <c r="BA51" s="25">
        <v>3.0</v>
      </c>
      <c r="BB51" s="25">
        <v>0.0</v>
      </c>
      <c r="BC51" s="25">
        <v>4.0</v>
      </c>
      <c r="BD51" s="25">
        <v>0.0</v>
      </c>
      <c r="BE51" s="25">
        <v>2.0</v>
      </c>
      <c r="BF51" s="25">
        <v>0.0</v>
      </c>
      <c r="BG51" s="26"/>
      <c r="BH51" s="26"/>
      <c r="BI51" s="26"/>
      <c r="BJ51" s="26"/>
    </row>
    <row r="52" ht="18.0" customHeight="1">
      <c r="A52" s="1"/>
      <c r="B52" s="13" t="s">
        <v>72</v>
      </c>
      <c r="C52" s="25">
        <v>1.0</v>
      </c>
      <c r="D52" s="25">
        <v>3.0</v>
      </c>
      <c r="E52" s="25">
        <v>0.0</v>
      </c>
      <c r="F52" s="25">
        <v>2.0</v>
      </c>
      <c r="G52" s="25">
        <v>0.0</v>
      </c>
      <c r="H52" s="25">
        <v>3.0</v>
      </c>
      <c r="I52" s="25">
        <v>0.0</v>
      </c>
      <c r="J52" s="25">
        <v>1.0</v>
      </c>
      <c r="K52" s="25">
        <v>0.0</v>
      </c>
      <c r="L52" s="25">
        <v>2.0</v>
      </c>
      <c r="M52" s="25">
        <v>1.0</v>
      </c>
      <c r="N52" s="25">
        <v>2.0</v>
      </c>
      <c r="O52" s="25">
        <v>1.0</v>
      </c>
      <c r="P52" s="25">
        <v>4.0</v>
      </c>
      <c r="Q52" s="25">
        <v>0.0</v>
      </c>
      <c r="R52" s="25">
        <v>2.0</v>
      </c>
      <c r="S52" s="25">
        <v>0.0</v>
      </c>
      <c r="T52" s="25">
        <v>2.0</v>
      </c>
      <c r="U52" s="25">
        <v>0.0</v>
      </c>
      <c r="V52" s="25">
        <v>2.0</v>
      </c>
      <c r="W52" s="25">
        <v>0.0</v>
      </c>
      <c r="X52" s="25">
        <v>1.0</v>
      </c>
      <c r="Y52" s="25">
        <v>0.0</v>
      </c>
      <c r="Z52" s="25">
        <v>3.0</v>
      </c>
      <c r="AA52" s="25">
        <v>0.0</v>
      </c>
      <c r="AB52" s="25">
        <v>3.0</v>
      </c>
      <c r="AC52" s="25">
        <v>0.0</v>
      </c>
      <c r="AD52" s="25">
        <v>2.0</v>
      </c>
      <c r="AE52" s="25">
        <v>0.0</v>
      </c>
      <c r="AF52" s="25">
        <v>2.0</v>
      </c>
      <c r="AG52" s="25">
        <v>0.0</v>
      </c>
      <c r="AH52" s="25">
        <v>2.0</v>
      </c>
      <c r="AI52" s="25">
        <v>1.0</v>
      </c>
      <c r="AJ52" s="25">
        <v>2.0</v>
      </c>
      <c r="AK52" s="25">
        <v>0.0</v>
      </c>
      <c r="AL52" s="25">
        <v>2.0</v>
      </c>
      <c r="AM52" s="25">
        <v>0.0</v>
      </c>
      <c r="AN52" s="25">
        <v>2.0</v>
      </c>
      <c r="AO52" s="25">
        <v>0.0</v>
      </c>
      <c r="AP52" s="25">
        <v>2.0</v>
      </c>
      <c r="AQ52" s="25">
        <v>0.0</v>
      </c>
      <c r="AR52" s="25">
        <v>2.0</v>
      </c>
      <c r="AS52" s="25">
        <v>0.0</v>
      </c>
      <c r="AT52" s="25">
        <v>1.0</v>
      </c>
      <c r="AU52" s="25">
        <v>0.0</v>
      </c>
      <c r="AV52" s="25">
        <v>2.0</v>
      </c>
      <c r="AW52" s="25">
        <v>0.0</v>
      </c>
      <c r="AX52" s="25">
        <v>2.0</v>
      </c>
      <c r="AY52" s="25">
        <v>0.0</v>
      </c>
      <c r="AZ52" s="25">
        <v>3.0</v>
      </c>
      <c r="BA52" s="25">
        <v>0.0</v>
      </c>
      <c r="BB52" s="25">
        <v>2.0</v>
      </c>
      <c r="BC52" s="25">
        <v>2.0</v>
      </c>
      <c r="BD52" s="25">
        <v>2.0</v>
      </c>
      <c r="BE52" s="25">
        <v>0.0</v>
      </c>
      <c r="BF52" s="25">
        <v>2.0</v>
      </c>
      <c r="BG52" s="26"/>
      <c r="BH52" s="26"/>
      <c r="BI52" s="26"/>
      <c r="BJ52" s="26"/>
    </row>
    <row r="53" ht="18.0" customHeight="1">
      <c r="A53" s="1"/>
      <c r="B53" s="13" t="s">
        <v>73</v>
      </c>
      <c r="C53" s="25">
        <v>1.0</v>
      </c>
      <c r="D53" s="25">
        <v>1.0</v>
      </c>
      <c r="E53" s="25">
        <v>1.0</v>
      </c>
      <c r="F53" s="25">
        <v>1.0</v>
      </c>
      <c r="G53" s="25">
        <v>3.0</v>
      </c>
      <c r="H53" s="25">
        <v>1.0</v>
      </c>
      <c r="I53" s="25">
        <v>2.0</v>
      </c>
      <c r="J53" s="25">
        <v>2.0</v>
      </c>
      <c r="K53" s="25">
        <v>1.0</v>
      </c>
      <c r="L53" s="25">
        <v>1.0</v>
      </c>
      <c r="M53" s="25">
        <v>2.0</v>
      </c>
      <c r="N53" s="25">
        <v>1.0</v>
      </c>
      <c r="O53" s="25">
        <v>2.0</v>
      </c>
      <c r="P53" s="25">
        <v>0.0</v>
      </c>
      <c r="Q53" s="25">
        <v>1.0</v>
      </c>
      <c r="R53" s="25">
        <v>1.0</v>
      </c>
      <c r="S53" s="25">
        <v>1.0</v>
      </c>
      <c r="T53" s="25">
        <v>0.0</v>
      </c>
      <c r="U53" s="25">
        <v>1.0</v>
      </c>
      <c r="V53" s="25">
        <v>1.0</v>
      </c>
      <c r="W53" s="25">
        <v>1.0</v>
      </c>
      <c r="X53" s="25">
        <v>1.0</v>
      </c>
      <c r="Y53" s="25">
        <v>1.0</v>
      </c>
      <c r="Z53" s="25">
        <v>1.0</v>
      </c>
      <c r="AA53" s="25">
        <v>1.0</v>
      </c>
      <c r="AB53" s="25">
        <v>1.0</v>
      </c>
      <c r="AC53" s="25">
        <v>2.0</v>
      </c>
      <c r="AD53" s="25">
        <v>0.0</v>
      </c>
      <c r="AE53" s="25">
        <v>1.0</v>
      </c>
      <c r="AF53" s="25">
        <v>1.0</v>
      </c>
      <c r="AG53" s="25">
        <v>2.0</v>
      </c>
      <c r="AH53" s="25">
        <v>1.0</v>
      </c>
      <c r="AI53" s="25">
        <v>1.0</v>
      </c>
      <c r="AJ53" s="25">
        <v>2.0</v>
      </c>
      <c r="AK53" s="25">
        <v>1.0</v>
      </c>
      <c r="AL53" s="25">
        <v>0.0</v>
      </c>
      <c r="AM53" s="25">
        <v>1.0</v>
      </c>
      <c r="AN53" s="25">
        <v>1.0</v>
      </c>
      <c r="AO53" s="25">
        <v>1.0</v>
      </c>
      <c r="AP53" s="25">
        <v>2.0</v>
      </c>
      <c r="AQ53" s="25">
        <v>1.0</v>
      </c>
      <c r="AR53" s="25">
        <v>1.0</v>
      </c>
      <c r="AS53" s="25">
        <v>1.0</v>
      </c>
      <c r="AT53" s="25">
        <v>0.0</v>
      </c>
      <c r="AU53" s="25">
        <v>1.0</v>
      </c>
      <c r="AV53" s="25">
        <v>1.0</v>
      </c>
      <c r="AW53" s="25">
        <v>2.0</v>
      </c>
      <c r="AX53" s="25">
        <v>2.0</v>
      </c>
      <c r="AY53" s="25">
        <v>2.0</v>
      </c>
      <c r="AZ53" s="25">
        <v>1.0</v>
      </c>
      <c r="BA53" s="25">
        <v>0.0</v>
      </c>
      <c r="BB53" s="25">
        <v>1.0</v>
      </c>
      <c r="BC53" s="25">
        <v>0.0</v>
      </c>
      <c r="BD53" s="25">
        <v>1.0</v>
      </c>
      <c r="BE53" s="25">
        <v>1.0</v>
      </c>
      <c r="BF53" s="25">
        <v>1.0</v>
      </c>
      <c r="BG53" s="26"/>
      <c r="BH53" s="26"/>
      <c r="BI53" s="26"/>
      <c r="BJ53" s="26"/>
    </row>
    <row r="54" ht="18.0" customHeight="1">
      <c r="A54" s="1"/>
      <c r="B54" s="13" t="s">
        <v>74</v>
      </c>
      <c r="C54" s="25">
        <v>1.0</v>
      </c>
      <c r="D54" s="25">
        <v>1.0</v>
      </c>
      <c r="E54" s="25">
        <v>1.0</v>
      </c>
      <c r="F54" s="25">
        <v>2.0</v>
      </c>
      <c r="G54" s="25">
        <v>1.0</v>
      </c>
      <c r="H54" s="25">
        <v>2.0</v>
      </c>
      <c r="I54" s="25">
        <v>1.0</v>
      </c>
      <c r="J54" s="25">
        <v>3.0</v>
      </c>
      <c r="K54" s="25">
        <v>1.0</v>
      </c>
      <c r="L54" s="25">
        <v>3.0</v>
      </c>
      <c r="M54" s="25">
        <v>1.0</v>
      </c>
      <c r="N54" s="25">
        <v>2.0</v>
      </c>
      <c r="O54" s="25">
        <v>1.0</v>
      </c>
      <c r="P54" s="25">
        <v>1.0</v>
      </c>
      <c r="Q54" s="25">
        <v>1.0</v>
      </c>
      <c r="R54" s="25">
        <v>1.0</v>
      </c>
      <c r="S54" s="25">
        <v>0.0</v>
      </c>
      <c r="T54" s="25">
        <v>2.0</v>
      </c>
      <c r="U54" s="25">
        <v>1.0</v>
      </c>
      <c r="V54" s="25">
        <v>1.0</v>
      </c>
      <c r="W54" s="25">
        <v>1.0</v>
      </c>
      <c r="X54" s="25">
        <v>1.0</v>
      </c>
      <c r="Y54" s="25">
        <v>0.0</v>
      </c>
      <c r="Z54" s="25">
        <v>2.0</v>
      </c>
      <c r="AA54" s="25">
        <v>1.0</v>
      </c>
      <c r="AB54" s="25">
        <v>1.0</v>
      </c>
      <c r="AC54" s="25">
        <v>1.0</v>
      </c>
      <c r="AD54" s="25">
        <v>3.0</v>
      </c>
      <c r="AE54" s="25">
        <v>1.0</v>
      </c>
      <c r="AF54" s="25">
        <v>2.0</v>
      </c>
      <c r="AG54" s="25">
        <v>1.0</v>
      </c>
      <c r="AH54" s="25">
        <v>2.0</v>
      </c>
      <c r="AI54" s="25">
        <v>0.0</v>
      </c>
      <c r="AJ54" s="25">
        <v>1.0</v>
      </c>
      <c r="AK54" s="25">
        <v>1.0</v>
      </c>
      <c r="AL54" s="25">
        <v>2.0</v>
      </c>
      <c r="AM54" s="25">
        <v>1.0</v>
      </c>
      <c r="AN54" s="25">
        <v>1.0</v>
      </c>
      <c r="AO54" s="25">
        <v>1.0</v>
      </c>
      <c r="AP54" s="25">
        <v>2.0</v>
      </c>
      <c r="AQ54" s="25">
        <v>1.0</v>
      </c>
      <c r="AR54" s="25">
        <v>2.0</v>
      </c>
      <c r="AS54" s="25">
        <v>0.0</v>
      </c>
      <c r="AT54" s="25">
        <v>2.0</v>
      </c>
      <c r="AU54" s="25">
        <v>1.0</v>
      </c>
      <c r="AV54" s="25">
        <v>1.0</v>
      </c>
      <c r="AW54" s="25">
        <v>3.0</v>
      </c>
      <c r="AX54" s="25">
        <v>2.0</v>
      </c>
      <c r="AY54" s="25">
        <v>2.0</v>
      </c>
      <c r="AZ54" s="25">
        <v>2.0</v>
      </c>
      <c r="BA54" s="25">
        <v>2.0</v>
      </c>
      <c r="BB54" s="25">
        <v>2.0</v>
      </c>
      <c r="BC54" s="25">
        <v>0.0</v>
      </c>
      <c r="BD54" s="25">
        <v>2.0</v>
      </c>
      <c r="BE54" s="25">
        <v>0.0</v>
      </c>
      <c r="BF54" s="25">
        <v>2.0</v>
      </c>
      <c r="BG54" s="26"/>
      <c r="BH54" s="26"/>
      <c r="BI54" s="26"/>
      <c r="BJ54" s="26"/>
    </row>
    <row r="55" ht="18.0" customHeight="1">
      <c r="A55" s="1"/>
      <c r="B55" s="13" t="s">
        <v>75</v>
      </c>
      <c r="C55" s="25">
        <v>2.0</v>
      </c>
      <c r="D55" s="25">
        <v>1.0</v>
      </c>
      <c r="E55" s="25">
        <v>2.0</v>
      </c>
      <c r="F55" s="25">
        <v>0.0</v>
      </c>
      <c r="G55" s="25">
        <v>2.0</v>
      </c>
      <c r="H55" s="25">
        <v>0.0</v>
      </c>
      <c r="I55" s="25">
        <v>2.0</v>
      </c>
      <c r="J55" s="25">
        <v>1.0</v>
      </c>
      <c r="K55" s="25">
        <v>2.0</v>
      </c>
      <c r="L55" s="25">
        <v>1.0</v>
      </c>
      <c r="M55" s="25">
        <v>2.0</v>
      </c>
      <c r="N55" s="25">
        <v>1.0</v>
      </c>
      <c r="O55" s="25">
        <v>3.0</v>
      </c>
      <c r="P55" s="25">
        <v>1.0</v>
      </c>
      <c r="Q55" s="25">
        <v>2.0</v>
      </c>
      <c r="R55" s="25">
        <v>1.0</v>
      </c>
      <c r="S55" s="25">
        <v>2.0</v>
      </c>
      <c r="T55" s="25">
        <v>1.0</v>
      </c>
      <c r="U55" s="25">
        <v>2.0</v>
      </c>
      <c r="V55" s="25">
        <v>0.0</v>
      </c>
      <c r="W55" s="25">
        <v>2.0</v>
      </c>
      <c r="X55" s="25">
        <v>1.0</v>
      </c>
      <c r="Y55" s="25">
        <v>2.0</v>
      </c>
      <c r="Z55" s="25">
        <v>1.0</v>
      </c>
      <c r="AA55" s="25">
        <v>3.0</v>
      </c>
      <c r="AB55" s="25">
        <v>1.0</v>
      </c>
      <c r="AC55" s="25">
        <v>3.0</v>
      </c>
      <c r="AD55" s="25">
        <v>1.0</v>
      </c>
      <c r="AE55" s="25">
        <v>2.0</v>
      </c>
      <c r="AF55" s="25">
        <v>1.0</v>
      </c>
      <c r="AG55" s="25">
        <v>1.0</v>
      </c>
      <c r="AH55" s="25">
        <v>0.0</v>
      </c>
      <c r="AI55" s="25">
        <v>4.0</v>
      </c>
      <c r="AJ55" s="25">
        <v>0.0</v>
      </c>
      <c r="AK55" s="25">
        <v>2.0</v>
      </c>
      <c r="AL55" s="25">
        <v>1.0</v>
      </c>
      <c r="AM55" s="25">
        <v>3.0</v>
      </c>
      <c r="AN55" s="25">
        <v>1.0</v>
      </c>
      <c r="AO55" s="25">
        <v>1.0</v>
      </c>
      <c r="AP55" s="25">
        <v>1.0</v>
      </c>
      <c r="AQ55" s="25">
        <v>2.0</v>
      </c>
      <c r="AR55" s="25">
        <v>0.0</v>
      </c>
      <c r="AS55" s="25">
        <v>2.0</v>
      </c>
      <c r="AT55" s="25">
        <v>0.0</v>
      </c>
      <c r="AU55" s="25">
        <v>2.0</v>
      </c>
      <c r="AV55" s="25">
        <v>1.0</v>
      </c>
      <c r="AW55" s="25">
        <v>2.0</v>
      </c>
      <c r="AX55" s="25">
        <v>0.0</v>
      </c>
      <c r="AY55" s="25">
        <v>3.0</v>
      </c>
      <c r="AZ55" s="25">
        <v>1.0</v>
      </c>
      <c r="BA55" s="25">
        <v>2.0</v>
      </c>
      <c r="BB55" s="25">
        <v>1.0</v>
      </c>
      <c r="BC55" s="25">
        <v>3.0</v>
      </c>
      <c r="BD55" s="25">
        <v>0.0</v>
      </c>
      <c r="BE55" s="25">
        <v>2.0</v>
      </c>
      <c r="BF55" s="25">
        <v>0.0</v>
      </c>
      <c r="BG55" s="26"/>
      <c r="BH55" s="26"/>
      <c r="BI55" s="26"/>
      <c r="BJ55" s="26"/>
    </row>
    <row r="56" ht="18.0" customHeight="1">
      <c r="A56" s="1"/>
      <c r="B56" s="13" t="s">
        <v>76</v>
      </c>
      <c r="C56" s="25">
        <v>0.0</v>
      </c>
      <c r="D56" s="25">
        <v>2.0</v>
      </c>
      <c r="E56" s="25">
        <v>0.0</v>
      </c>
      <c r="F56" s="25">
        <v>2.0</v>
      </c>
      <c r="G56" s="25">
        <v>0.0</v>
      </c>
      <c r="H56" s="25">
        <v>3.0</v>
      </c>
      <c r="I56" s="25">
        <v>0.0</v>
      </c>
      <c r="J56" s="25">
        <v>2.0</v>
      </c>
      <c r="K56" s="25">
        <v>0.0</v>
      </c>
      <c r="L56" s="25">
        <v>2.0</v>
      </c>
      <c r="M56" s="25">
        <v>1.0</v>
      </c>
      <c r="N56" s="25">
        <v>2.0</v>
      </c>
      <c r="O56" s="25">
        <v>1.0</v>
      </c>
      <c r="P56" s="25">
        <v>2.0</v>
      </c>
      <c r="Q56" s="25">
        <v>0.0</v>
      </c>
      <c r="R56" s="25">
        <v>2.0</v>
      </c>
      <c r="S56" s="25">
        <v>0.0</v>
      </c>
      <c r="T56" s="25">
        <v>1.0</v>
      </c>
      <c r="U56" s="25">
        <v>0.0</v>
      </c>
      <c r="V56" s="25">
        <v>2.0</v>
      </c>
      <c r="W56" s="25">
        <v>0.0</v>
      </c>
      <c r="X56" s="25">
        <v>3.0</v>
      </c>
      <c r="Y56" s="25">
        <v>1.0</v>
      </c>
      <c r="Z56" s="25">
        <v>1.0</v>
      </c>
      <c r="AA56" s="25">
        <v>0.0</v>
      </c>
      <c r="AB56" s="25">
        <v>2.0</v>
      </c>
      <c r="AC56" s="25">
        <v>1.0</v>
      </c>
      <c r="AD56" s="25">
        <v>3.0</v>
      </c>
      <c r="AE56" s="25">
        <v>0.0</v>
      </c>
      <c r="AF56" s="25">
        <v>2.0</v>
      </c>
      <c r="AG56" s="25">
        <v>0.0</v>
      </c>
      <c r="AH56" s="25">
        <v>3.0</v>
      </c>
      <c r="AI56" s="25">
        <v>0.0</v>
      </c>
      <c r="AJ56" s="25">
        <v>2.0</v>
      </c>
      <c r="AK56" s="25">
        <v>1.0</v>
      </c>
      <c r="AL56" s="25">
        <v>2.0</v>
      </c>
      <c r="AM56" s="25">
        <v>0.0</v>
      </c>
      <c r="AN56" s="25">
        <v>2.0</v>
      </c>
      <c r="AO56" s="25">
        <v>0.0</v>
      </c>
      <c r="AP56" s="25">
        <v>2.0</v>
      </c>
      <c r="AQ56" s="25">
        <v>0.0</v>
      </c>
      <c r="AR56" s="25">
        <v>2.0</v>
      </c>
      <c r="AS56" s="25">
        <v>0.0</v>
      </c>
      <c r="AT56" s="25">
        <v>2.0</v>
      </c>
      <c r="AU56" s="25">
        <v>0.0</v>
      </c>
      <c r="AV56" s="25">
        <v>2.0</v>
      </c>
      <c r="AW56" s="25">
        <v>2.0</v>
      </c>
      <c r="AX56" s="25">
        <v>2.0</v>
      </c>
      <c r="AY56" s="25">
        <v>0.0</v>
      </c>
      <c r="AZ56" s="25">
        <v>1.0</v>
      </c>
      <c r="BA56" s="25">
        <v>0.0</v>
      </c>
      <c r="BB56" s="25">
        <v>2.0</v>
      </c>
      <c r="BC56" s="25">
        <v>0.0</v>
      </c>
      <c r="BD56" s="25">
        <v>4.0</v>
      </c>
      <c r="BE56" s="25">
        <v>0.0</v>
      </c>
      <c r="BF56" s="25">
        <v>2.0</v>
      </c>
      <c r="BG56" s="26"/>
      <c r="BH56" s="26"/>
      <c r="BI56" s="26"/>
      <c r="BJ56" s="26"/>
    </row>
    <row r="57" ht="18.0" customHeight="1">
      <c r="A57" s="1"/>
      <c r="B57" s="13" t="s">
        <v>77</v>
      </c>
      <c r="C57" s="25">
        <v>4.0</v>
      </c>
      <c r="D57" s="25">
        <v>0.0</v>
      </c>
      <c r="E57" s="25">
        <v>3.0</v>
      </c>
      <c r="F57" s="25">
        <v>0.0</v>
      </c>
      <c r="G57" s="25">
        <v>5.0</v>
      </c>
      <c r="H57" s="25">
        <v>0.0</v>
      </c>
      <c r="I57" s="25">
        <v>5.0</v>
      </c>
      <c r="J57" s="25">
        <v>0.0</v>
      </c>
      <c r="K57" s="25">
        <v>3.0</v>
      </c>
      <c r="L57" s="25">
        <v>0.0</v>
      </c>
      <c r="M57" s="25">
        <v>2.0</v>
      </c>
      <c r="N57" s="25">
        <v>1.0</v>
      </c>
      <c r="O57" s="25">
        <v>4.0</v>
      </c>
      <c r="P57" s="25">
        <v>1.0</v>
      </c>
      <c r="Q57" s="25">
        <v>3.0</v>
      </c>
      <c r="R57" s="25">
        <v>0.0</v>
      </c>
      <c r="S57" s="25">
        <v>2.0</v>
      </c>
      <c r="T57" s="25">
        <v>0.0</v>
      </c>
      <c r="U57" s="25">
        <v>3.0</v>
      </c>
      <c r="V57" s="25">
        <v>0.0</v>
      </c>
      <c r="W57" s="25">
        <v>3.0</v>
      </c>
      <c r="X57" s="25">
        <v>1.0</v>
      </c>
      <c r="Y57" s="25">
        <v>2.0</v>
      </c>
      <c r="Z57" s="25">
        <v>0.0</v>
      </c>
      <c r="AA57" s="25">
        <v>4.0</v>
      </c>
      <c r="AB57" s="25">
        <v>0.0</v>
      </c>
      <c r="AC57" s="25">
        <v>2.0</v>
      </c>
      <c r="AD57" s="25">
        <v>1.0</v>
      </c>
      <c r="AE57" s="25">
        <v>3.0</v>
      </c>
      <c r="AF57" s="25">
        <v>0.0</v>
      </c>
      <c r="AG57" s="25">
        <v>4.0</v>
      </c>
      <c r="AH57" s="25">
        <v>0.0</v>
      </c>
      <c r="AI57" s="25">
        <v>3.0</v>
      </c>
      <c r="AJ57" s="25">
        <v>0.0</v>
      </c>
      <c r="AK57" s="25">
        <v>3.0</v>
      </c>
      <c r="AL57" s="25">
        <v>1.0</v>
      </c>
      <c r="AM57" s="25">
        <v>5.0</v>
      </c>
      <c r="AN57" s="25">
        <v>0.0</v>
      </c>
      <c r="AO57" s="25">
        <v>3.0</v>
      </c>
      <c r="AP57" s="25">
        <v>0.0</v>
      </c>
      <c r="AQ57" s="25">
        <v>3.0</v>
      </c>
      <c r="AR57" s="25">
        <v>0.0</v>
      </c>
      <c r="AS57" s="25">
        <v>4.0</v>
      </c>
      <c r="AT57" s="25">
        <v>0.0</v>
      </c>
      <c r="AU57" s="25">
        <v>3.0</v>
      </c>
      <c r="AV57" s="25">
        <v>0.0</v>
      </c>
      <c r="AW57" s="25">
        <v>3.0</v>
      </c>
      <c r="AX57" s="25">
        <v>1.0</v>
      </c>
      <c r="AY57" s="25">
        <v>4.0</v>
      </c>
      <c r="AZ57" s="25">
        <v>1.0</v>
      </c>
      <c r="BA57" s="25">
        <v>2.0</v>
      </c>
      <c r="BB57" s="25">
        <v>1.0</v>
      </c>
      <c r="BC57" s="25">
        <v>4.0</v>
      </c>
      <c r="BD57" s="25">
        <v>0.0</v>
      </c>
      <c r="BE57" s="25">
        <v>3.0</v>
      </c>
      <c r="BF57" s="25">
        <v>0.0</v>
      </c>
      <c r="BG57" s="26"/>
      <c r="BH57" s="26"/>
      <c r="BI57" s="26"/>
      <c r="BJ57" s="26"/>
    </row>
    <row r="58" ht="18.0" customHeight="1">
      <c r="A58" s="1"/>
      <c r="B58" s="13" t="s">
        <v>78</v>
      </c>
      <c r="C58" s="25">
        <v>1.0</v>
      </c>
      <c r="D58" s="25">
        <v>1.0</v>
      </c>
      <c r="E58" s="25">
        <v>1.0</v>
      </c>
      <c r="F58" s="25">
        <v>1.0</v>
      </c>
      <c r="G58" s="25">
        <v>3.0</v>
      </c>
      <c r="H58" s="25">
        <v>1.0</v>
      </c>
      <c r="I58" s="25">
        <v>1.0</v>
      </c>
      <c r="J58" s="25">
        <v>2.0</v>
      </c>
      <c r="K58" s="25">
        <v>1.0</v>
      </c>
      <c r="L58" s="25">
        <v>2.0</v>
      </c>
      <c r="M58" s="25">
        <v>1.0</v>
      </c>
      <c r="N58" s="25">
        <v>2.0</v>
      </c>
      <c r="O58" s="25">
        <v>2.0</v>
      </c>
      <c r="P58" s="25">
        <v>1.0</v>
      </c>
      <c r="Q58" s="25">
        <v>1.0</v>
      </c>
      <c r="R58" s="25">
        <v>1.0</v>
      </c>
      <c r="S58" s="25">
        <v>1.0</v>
      </c>
      <c r="T58" s="25">
        <v>1.0</v>
      </c>
      <c r="U58" s="25">
        <v>1.0</v>
      </c>
      <c r="V58" s="25">
        <v>1.0</v>
      </c>
      <c r="W58" s="25">
        <v>1.0</v>
      </c>
      <c r="X58" s="25">
        <v>1.0</v>
      </c>
      <c r="Y58" s="25">
        <v>0.0</v>
      </c>
      <c r="Z58" s="25">
        <v>1.0</v>
      </c>
      <c r="AA58" s="25">
        <v>1.0</v>
      </c>
      <c r="AB58" s="25">
        <v>1.0</v>
      </c>
      <c r="AC58" s="25">
        <v>3.0</v>
      </c>
      <c r="AD58" s="25">
        <v>1.0</v>
      </c>
      <c r="AE58" s="25">
        <v>1.0</v>
      </c>
      <c r="AF58" s="25">
        <v>1.0</v>
      </c>
      <c r="AG58" s="25">
        <v>1.0</v>
      </c>
      <c r="AH58" s="25">
        <v>2.0</v>
      </c>
      <c r="AI58" s="25">
        <v>2.0</v>
      </c>
      <c r="AJ58" s="25">
        <v>1.0</v>
      </c>
      <c r="AK58" s="25">
        <v>2.0</v>
      </c>
      <c r="AL58" s="25">
        <v>1.0</v>
      </c>
      <c r="AM58" s="25">
        <v>1.0</v>
      </c>
      <c r="AN58" s="25">
        <v>1.0</v>
      </c>
      <c r="AO58" s="25">
        <v>2.0</v>
      </c>
      <c r="AP58" s="25">
        <v>1.0</v>
      </c>
      <c r="AQ58" s="25">
        <v>1.0</v>
      </c>
      <c r="AR58" s="25">
        <v>1.0</v>
      </c>
      <c r="AS58" s="25">
        <v>2.0</v>
      </c>
      <c r="AT58" s="25">
        <v>1.0</v>
      </c>
      <c r="AU58" s="25">
        <v>1.0</v>
      </c>
      <c r="AV58" s="25">
        <v>1.0</v>
      </c>
      <c r="AW58" s="25">
        <v>2.0</v>
      </c>
      <c r="AX58" s="25">
        <v>0.0</v>
      </c>
      <c r="AY58" s="25">
        <v>2.0</v>
      </c>
      <c r="AZ58" s="25">
        <v>1.0</v>
      </c>
      <c r="BA58" s="25">
        <v>2.0</v>
      </c>
      <c r="BB58" s="25">
        <v>1.0</v>
      </c>
      <c r="BC58" s="25">
        <v>3.0</v>
      </c>
      <c r="BD58" s="25">
        <v>2.0</v>
      </c>
      <c r="BE58" s="25">
        <v>2.0</v>
      </c>
      <c r="BF58" s="25">
        <v>1.0</v>
      </c>
      <c r="BG58" s="26"/>
      <c r="BH58" s="26"/>
      <c r="BI58" s="26"/>
      <c r="BJ58" s="26"/>
    </row>
    <row r="59" ht="18.0" customHeight="1">
      <c r="A59" s="1"/>
      <c r="B59" s="13" t="s">
        <v>79</v>
      </c>
      <c r="C59" s="25">
        <v>1.0</v>
      </c>
      <c r="D59" s="25">
        <v>3.0</v>
      </c>
      <c r="E59" s="25">
        <v>0.0</v>
      </c>
      <c r="F59" s="25">
        <v>2.0</v>
      </c>
      <c r="G59" s="25">
        <v>1.0</v>
      </c>
      <c r="H59" s="25">
        <v>2.0</v>
      </c>
      <c r="I59" s="25">
        <v>1.0</v>
      </c>
      <c r="J59" s="25">
        <v>3.0</v>
      </c>
      <c r="K59" s="25">
        <v>1.0</v>
      </c>
      <c r="L59" s="25">
        <v>3.0</v>
      </c>
      <c r="M59" s="25">
        <v>1.0</v>
      </c>
      <c r="N59" s="25">
        <v>2.0</v>
      </c>
      <c r="O59" s="25">
        <v>1.0</v>
      </c>
      <c r="P59" s="25">
        <v>2.0</v>
      </c>
      <c r="Q59" s="25">
        <v>1.0</v>
      </c>
      <c r="R59" s="25">
        <v>2.0</v>
      </c>
      <c r="S59" s="25">
        <v>0.0</v>
      </c>
      <c r="T59" s="25">
        <v>2.0</v>
      </c>
      <c r="U59" s="25">
        <v>0.0</v>
      </c>
      <c r="V59" s="25">
        <v>2.0</v>
      </c>
      <c r="W59" s="25">
        <v>1.0</v>
      </c>
      <c r="X59" s="25">
        <v>2.0</v>
      </c>
      <c r="Y59" s="25">
        <v>1.0</v>
      </c>
      <c r="Z59" s="25">
        <v>3.0</v>
      </c>
      <c r="AA59" s="25">
        <v>1.0</v>
      </c>
      <c r="AB59" s="25">
        <v>1.0</v>
      </c>
      <c r="AC59" s="25">
        <v>1.0</v>
      </c>
      <c r="AD59" s="25">
        <v>2.0</v>
      </c>
      <c r="AE59" s="25">
        <v>1.0</v>
      </c>
      <c r="AF59" s="25">
        <v>2.0</v>
      </c>
      <c r="AG59" s="25">
        <v>2.0</v>
      </c>
      <c r="AH59" s="25">
        <v>2.0</v>
      </c>
      <c r="AI59" s="25">
        <v>0.0</v>
      </c>
      <c r="AJ59" s="25">
        <v>1.0</v>
      </c>
      <c r="AK59" s="25">
        <v>1.0</v>
      </c>
      <c r="AL59" s="25">
        <v>2.0</v>
      </c>
      <c r="AM59" s="25">
        <v>1.0</v>
      </c>
      <c r="AN59" s="25">
        <v>2.0</v>
      </c>
      <c r="AO59" s="25">
        <v>1.0</v>
      </c>
      <c r="AP59" s="25">
        <v>2.0</v>
      </c>
      <c r="AQ59" s="25">
        <v>1.0</v>
      </c>
      <c r="AR59" s="25">
        <v>2.0</v>
      </c>
      <c r="AS59" s="25">
        <v>3.0</v>
      </c>
      <c r="AT59" s="25">
        <v>2.0</v>
      </c>
      <c r="AU59" s="25">
        <v>1.0</v>
      </c>
      <c r="AV59" s="25">
        <v>2.0</v>
      </c>
      <c r="AW59" s="25">
        <v>1.0</v>
      </c>
      <c r="AX59" s="25">
        <v>3.0</v>
      </c>
      <c r="AY59" s="25">
        <v>1.0</v>
      </c>
      <c r="AZ59" s="25">
        <v>2.0</v>
      </c>
      <c r="BA59" s="25">
        <v>1.0</v>
      </c>
      <c r="BB59" s="25">
        <v>2.0</v>
      </c>
      <c r="BC59" s="25">
        <v>2.0</v>
      </c>
      <c r="BD59" s="25">
        <v>4.0</v>
      </c>
      <c r="BE59" s="25">
        <v>0.0</v>
      </c>
      <c r="BF59" s="25">
        <v>1.0</v>
      </c>
      <c r="BG59" s="26"/>
      <c r="BH59" s="26"/>
      <c r="BI59" s="26"/>
      <c r="BJ59" s="26"/>
    </row>
    <row r="60" ht="18.0" customHeight="1">
      <c r="A60" s="1"/>
      <c r="B60" s="13" t="s">
        <v>80</v>
      </c>
      <c r="C60" s="25">
        <v>2.0</v>
      </c>
      <c r="D60" s="25">
        <v>0.0</v>
      </c>
      <c r="E60" s="25">
        <v>2.0</v>
      </c>
      <c r="F60" s="25">
        <v>0.0</v>
      </c>
      <c r="G60" s="25">
        <v>1.0</v>
      </c>
      <c r="H60" s="25">
        <v>0.0</v>
      </c>
      <c r="I60" s="25">
        <v>2.0</v>
      </c>
      <c r="J60" s="25">
        <v>0.0</v>
      </c>
      <c r="K60" s="25">
        <v>2.0</v>
      </c>
      <c r="L60" s="25">
        <v>0.0</v>
      </c>
      <c r="M60" s="25">
        <v>2.0</v>
      </c>
      <c r="N60" s="25">
        <v>1.0</v>
      </c>
      <c r="O60" s="25">
        <v>1.0</v>
      </c>
      <c r="P60" s="25">
        <v>0.0</v>
      </c>
      <c r="Q60" s="25">
        <v>2.0</v>
      </c>
      <c r="R60" s="25">
        <v>0.0</v>
      </c>
      <c r="S60" s="25">
        <v>2.0</v>
      </c>
      <c r="T60" s="25">
        <v>0.0</v>
      </c>
      <c r="U60" s="25">
        <v>2.0</v>
      </c>
      <c r="V60" s="25">
        <v>0.0</v>
      </c>
      <c r="W60" s="25">
        <v>2.0</v>
      </c>
      <c r="X60" s="25">
        <v>2.0</v>
      </c>
      <c r="Y60" s="25">
        <v>2.0</v>
      </c>
      <c r="Z60" s="25">
        <v>0.0</v>
      </c>
      <c r="AA60" s="25">
        <v>2.0</v>
      </c>
      <c r="AB60" s="25">
        <v>0.0</v>
      </c>
      <c r="AC60" s="25">
        <v>1.0</v>
      </c>
      <c r="AD60" s="25">
        <v>1.0</v>
      </c>
      <c r="AE60" s="25">
        <v>2.0</v>
      </c>
      <c r="AF60" s="25">
        <v>0.0</v>
      </c>
      <c r="AG60" s="25">
        <v>3.0</v>
      </c>
      <c r="AH60" s="25">
        <v>1.0</v>
      </c>
      <c r="AI60" s="25">
        <v>1.0</v>
      </c>
      <c r="AJ60" s="25">
        <v>0.0</v>
      </c>
      <c r="AK60" s="25">
        <v>1.0</v>
      </c>
      <c r="AL60" s="25">
        <v>0.0</v>
      </c>
      <c r="AM60" s="25">
        <v>2.0</v>
      </c>
      <c r="AN60" s="25">
        <v>0.0</v>
      </c>
      <c r="AO60" s="25">
        <v>2.0</v>
      </c>
      <c r="AP60" s="25">
        <v>0.0</v>
      </c>
      <c r="AQ60" s="25">
        <v>3.0</v>
      </c>
      <c r="AR60" s="25">
        <v>1.0</v>
      </c>
      <c r="AS60" s="25">
        <v>1.0</v>
      </c>
      <c r="AT60" s="25">
        <v>1.0</v>
      </c>
      <c r="AU60" s="25">
        <v>2.0</v>
      </c>
      <c r="AV60" s="25">
        <v>0.0</v>
      </c>
      <c r="AW60" s="25">
        <v>0.0</v>
      </c>
      <c r="AX60" s="25">
        <v>0.0</v>
      </c>
      <c r="AY60" s="25">
        <v>3.0</v>
      </c>
      <c r="AZ60" s="25">
        <v>0.0</v>
      </c>
      <c r="BA60" s="25">
        <v>2.0</v>
      </c>
      <c r="BB60" s="25">
        <v>0.0</v>
      </c>
      <c r="BC60" s="25">
        <v>2.0</v>
      </c>
      <c r="BD60" s="25">
        <v>0.0</v>
      </c>
      <c r="BE60" s="25">
        <v>2.0</v>
      </c>
      <c r="BF60" s="25">
        <v>0.0</v>
      </c>
      <c r="BG60" s="26"/>
      <c r="BH60" s="26"/>
      <c r="BI60" s="26"/>
      <c r="BJ60" s="26"/>
    </row>
    <row r="61" ht="18.0" customHeight="1">
      <c r="A61" s="1"/>
      <c r="B61" s="13" t="s">
        <v>81</v>
      </c>
      <c r="C61" s="25">
        <v>3.0</v>
      </c>
      <c r="D61" s="25">
        <v>0.0</v>
      </c>
      <c r="E61" s="25">
        <v>3.0</v>
      </c>
      <c r="F61" s="25">
        <v>0.0</v>
      </c>
      <c r="G61" s="25">
        <v>1.0</v>
      </c>
      <c r="H61" s="25">
        <v>1.0</v>
      </c>
      <c r="I61" s="25">
        <v>2.0</v>
      </c>
      <c r="J61" s="25">
        <v>0.0</v>
      </c>
      <c r="K61" s="25">
        <v>3.0</v>
      </c>
      <c r="L61" s="25">
        <v>1.0</v>
      </c>
      <c r="M61" s="25">
        <v>2.0</v>
      </c>
      <c r="N61" s="25">
        <v>1.0</v>
      </c>
      <c r="O61" s="25">
        <v>2.0</v>
      </c>
      <c r="P61" s="25">
        <v>0.0</v>
      </c>
      <c r="Q61" s="25">
        <v>2.0</v>
      </c>
      <c r="R61" s="25">
        <v>0.0</v>
      </c>
      <c r="S61" s="25">
        <v>2.0</v>
      </c>
      <c r="T61" s="25">
        <v>0.0</v>
      </c>
      <c r="U61" s="25">
        <v>2.0</v>
      </c>
      <c r="V61" s="25">
        <v>0.0</v>
      </c>
      <c r="W61" s="25">
        <v>2.0</v>
      </c>
      <c r="X61" s="25">
        <v>0.0</v>
      </c>
      <c r="Y61" s="25">
        <v>2.0</v>
      </c>
      <c r="Z61" s="25">
        <v>1.0</v>
      </c>
      <c r="AA61" s="25">
        <v>2.0</v>
      </c>
      <c r="AB61" s="25">
        <v>1.0</v>
      </c>
      <c r="AC61" s="25">
        <v>2.0</v>
      </c>
      <c r="AD61" s="25">
        <v>1.0</v>
      </c>
      <c r="AE61" s="25">
        <v>2.0</v>
      </c>
      <c r="AF61" s="25">
        <v>0.0</v>
      </c>
      <c r="AG61" s="25">
        <v>2.0</v>
      </c>
      <c r="AH61" s="25">
        <v>1.0</v>
      </c>
      <c r="AI61" s="25">
        <v>2.0</v>
      </c>
      <c r="AJ61" s="25">
        <v>1.0</v>
      </c>
      <c r="AK61" s="25">
        <v>2.0</v>
      </c>
      <c r="AL61" s="25">
        <v>0.0</v>
      </c>
      <c r="AM61" s="25">
        <v>2.0</v>
      </c>
      <c r="AN61" s="25">
        <v>0.0</v>
      </c>
      <c r="AO61" s="25">
        <v>3.0</v>
      </c>
      <c r="AP61" s="25">
        <v>0.0</v>
      </c>
      <c r="AQ61" s="25">
        <v>3.0</v>
      </c>
      <c r="AR61" s="25">
        <v>0.0</v>
      </c>
      <c r="AS61" s="25">
        <v>1.0</v>
      </c>
      <c r="AT61" s="25">
        <v>1.0</v>
      </c>
      <c r="AU61" s="25">
        <v>3.0</v>
      </c>
      <c r="AV61" s="25">
        <v>0.0</v>
      </c>
      <c r="AW61" s="25">
        <v>3.0</v>
      </c>
      <c r="AX61" s="25">
        <v>0.0</v>
      </c>
      <c r="AY61" s="25">
        <v>2.0</v>
      </c>
      <c r="AZ61" s="25">
        <v>0.0</v>
      </c>
      <c r="BA61" s="25">
        <v>3.0</v>
      </c>
      <c r="BB61" s="25">
        <v>0.0</v>
      </c>
      <c r="BC61" s="25">
        <v>3.0</v>
      </c>
      <c r="BD61" s="25">
        <v>1.0</v>
      </c>
      <c r="BE61" s="25">
        <v>3.0</v>
      </c>
      <c r="BF61" s="25">
        <v>0.0</v>
      </c>
      <c r="BG61" s="26"/>
      <c r="BH61" s="26"/>
      <c r="BI61" s="26"/>
      <c r="BJ61" s="26"/>
    </row>
    <row r="62" ht="18.0" customHeight="1">
      <c r="A62" s="1"/>
      <c r="B62" s="13" t="s">
        <v>82</v>
      </c>
      <c r="C62" s="25">
        <v>2.0</v>
      </c>
      <c r="D62" s="25">
        <v>0.0</v>
      </c>
      <c r="E62" s="25">
        <v>2.0</v>
      </c>
      <c r="F62" s="25">
        <v>0.0</v>
      </c>
      <c r="G62" s="25">
        <v>3.0</v>
      </c>
      <c r="H62" s="25">
        <v>0.0</v>
      </c>
      <c r="I62" s="25">
        <v>3.0</v>
      </c>
      <c r="J62" s="25">
        <v>0.0</v>
      </c>
      <c r="K62" s="25">
        <v>2.0</v>
      </c>
      <c r="L62" s="25">
        <v>0.0</v>
      </c>
      <c r="M62" s="25">
        <v>2.0</v>
      </c>
      <c r="N62" s="25">
        <v>1.0</v>
      </c>
      <c r="O62" s="25">
        <v>2.0</v>
      </c>
      <c r="P62" s="25">
        <v>1.0</v>
      </c>
      <c r="Q62" s="25">
        <v>2.0</v>
      </c>
      <c r="R62" s="25">
        <v>0.0</v>
      </c>
      <c r="S62" s="25">
        <v>1.0</v>
      </c>
      <c r="T62" s="25">
        <v>0.0</v>
      </c>
      <c r="U62" s="25">
        <v>3.0</v>
      </c>
      <c r="V62" s="25">
        <v>0.0</v>
      </c>
      <c r="W62" s="25">
        <v>2.0</v>
      </c>
      <c r="X62" s="25">
        <v>0.0</v>
      </c>
      <c r="Y62" s="25">
        <v>3.0</v>
      </c>
      <c r="Z62" s="25">
        <v>0.0</v>
      </c>
      <c r="AA62" s="25">
        <v>2.0</v>
      </c>
      <c r="AB62" s="25">
        <v>0.0</v>
      </c>
      <c r="AC62" s="25">
        <v>2.0</v>
      </c>
      <c r="AD62" s="25">
        <v>0.0</v>
      </c>
      <c r="AE62" s="25">
        <v>2.0</v>
      </c>
      <c r="AF62" s="25">
        <v>0.0</v>
      </c>
      <c r="AG62" s="25">
        <v>1.0</v>
      </c>
      <c r="AH62" s="25">
        <v>0.0</v>
      </c>
      <c r="AI62" s="25">
        <v>1.0</v>
      </c>
      <c r="AJ62" s="25">
        <v>0.0</v>
      </c>
      <c r="AK62" s="25">
        <v>2.0</v>
      </c>
      <c r="AL62" s="25">
        <v>0.0</v>
      </c>
      <c r="AM62" s="25">
        <v>2.0</v>
      </c>
      <c r="AN62" s="25">
        <v>0.0</v>
      </c>
      <c r="AO62" s="25">
        <v>2.0</v>
      </c>
      <c r="AP62" s="25">
        <v>0.0</v>
      </c>
      <c r="AQ62" s="25">
        <v>2.0</v>
      </c>
      <c r="AR62" s="25">
        <v>1.0</v>
      </c>
      <c r="AS62" s="25">
        <v>2.0</v>
      </c>
      <c r="AT62" s="25">
        <v>1.0</v>
      </c>
      <c r="AU62" s="25">
        <v>2.0</v>
      </c>
      <c r="AV62" s="25">
        <v>0.0</v>
      </c>
      <c r="AW62" s="25">
        <v>1.0</v>
      </c>
      <c r="AX62" s="25">
        <v>1.0</v>
      </c>
      <c r="AY62" s="25">
        <v>1.0</v>
      </c>
      <c r="AZ62" s="25">
        <v>0.0</v>
      </c>
      <c r="BA62" s="25">
        <v>2.0</v>
      </c>
      <c r="BB62" s="25">
        <v>1.0</v>
      </c>
      <c r="BC62" s="25">
        <v>3.0</v>
      </c>
      <c r="BD62" s="25">
        <v>0.0</v>
      </c>
      <c r="BE62" s="25">
        <v>2.0</v>
      </c>
      <c r="BF62" s="25">
        <v>0.0</v>
      </c>
      <c r="BG62" s="26"/>
      <c r="BH62" s="26"/>
      <c r="BI62" s="26"/>
      <c r="BJ62" s="26"/>
    </row>
    <row r="63" ht="18.0" customHeight="1">
      <c r="A63" s="1"/>
      <c r="B63" s="13" t="s">
        <v>83</v>
      </c>
      <c r="C63" s="25">
        <v>2.0</v>
      </c>
      <c r="D63" s="25">
        <v>1.0</v>
      </c>
      <c r="E63" s="25">
        <v>2.0</v>
      </c>
      <c r="F63" s="25">
        <v>1.0</v>
      </c>
      <c r="G63" s="25">
        <v>1.0</v>
      </c>
      <c r="H63" s="25">
        <v>1.0</v>
      </c>
      <c r="I63" s="25">
        <v>3.0</v>
      </c>
      <c r="J63" s="25">
        <v>1.0</v>
      </c>
      <c r="K63" s="25">
        <v>2.0</v>
      </c>
      <c r="L63" s="25">
        <v>0.0</v>
      </c>
      <c r="M63" s="25">
        <v>2.0</v>
      </c>
      <c r="N63" s="25">
        <v>1.0</v>
      </c>
      <c r="O63" s="25">
        <v>2.0</v>
      </c>
      <c r="P63" s="25">
        <v>2.0</v>
      </c>
      <c r="Q63" s="25">
        <v>2.0</v>
      </c>
      <c r="R63" s="25">
        <v>0.0</v>
      </c>
      <c r="S63" s="25">
        <v>2.0</v>
      </c>
      <c r="T63" s="25">
        <v>0.0</v>
      </c>
      <c r="U63" s="25">
        <v>2.0</v>
      </c>
      <c r="V63" s="25">
        <v>1.0</v>
      </c>
      <c r="W63" s="25">
        <v>2.0</v>
      </c>
      <c r="X63" s="25">
        <v>1.0</v>
      </c>
      <c r="Y63" s="25">
        <v>2.0</v>
      </c>
      <c r="Z63" s="25">
        <v>2.0</v>
      </c>
      <c r="AA63" s="25">
        <v>1.0</v>
      </c>
      <c r="AB63" s="25">
        <v>1.0</v>
      </c>
      <c r="AC63" s="25">
        <v>1.0</v>
      </c>
      <c r="AD63" s="25">
        <v>1.0</v>
      </c>
      <c r="AE63" s="25">
        <v>1.0</v>
      </c>
      <c r="AF63" s="25">
        <v>1.0</v>
      </c>
      <c r="AG63" s="25">
        <v>2.0</v>
      </c>
      <c r="AH63" s="25">
        <v>0.0</v>
      </c>
      <c r="AI63" s="25">
        <v>2.0</v>
      </c>
      <c r="AJ63" s="25">
        <v>0.0</v>
      </c>
      <c r="AK63" s="25">
        <v>2.0</v>
      </c>
      <c r="AL63" s="25">
        <v>1.0</v>
      </c>
      <c r="AM63" s="25">
        <v>2.0</v>
      </c>
      <c r="AN63" s="25">
        <v>1.0</v>
      </c>
      <c r="AO63" s="25">
        <v>2.0</v>
      </c>
      <c r="AP63" s="25">
        <v>1.0</v>
      </c>
      <c r="AQ63" s="25">
        <v>2.0</v>
      </c>
      <c r="AR63" s="25">
        <v>0.0</v>
      </c>
      <c r="AS63" s="25">
        <v>3.0</v>
      </c>
      <c r="AT63" s="25">
        <v>1.0</v>
      </c>
      <c r="AU63" s="25">
        <v>2.0</v>
      </c>
      <c r="AV63" s="25">
        <v>1.0</v>
      </c>
      <c r="AW63" s="25">
        <v>2.0</v>
      </c>
      <c r="AX63" s="25">
        <v>0.0</v>
      </c>
      <c r="AY63" s="25">
        <v>3.0</v>
      </c>
      <c r="AZ63" s="25">
        <v>1.0</v>
      </c>
      <c r="BA63" s="25">
        <v>2.0</v>
      </c>
      <c r="BB63" s="25">
        <v>0.0</v>
      </c>
      <c r="BC63" s="25">
        <v>2.0</v>
      </c>
      <c r="BD63" s="25">
        <v>1.0</v>
      </c>
      <c r="BE63" s="25">
        <v>3.0</v>
      </c>
      <c r="BF63" s="25">
        <v>1.0</v>
      </c>
      <c r="BG63" s="26"/>
      <c r="BH63" s="26"/>
      <c r="BI63" s="26"/>
      <c r="BJ63" s="26"/>
    </row>
    <row r="64" ht="18.0" customHeight="1">
      <c r="A64" s="1"/>
      <c r="B64" s="13" t="s">
        <v>84</v>
      </c>
      <c r="C64" s="25">
        <v>1.0</v>
      </c>
      <c r="D64" s="25">
        <v>2.0</v>
      </c>
      <c r="E64" s="25">
        <v>0.0</v>
      </c>
      <c r="F64" s="25">
        <v>1.0</v>
      </c>
      <c r="G64" s="25">
        <v>0.0</v>
      </c>
      <c r="H64" s="25">
        <v>3.0</v>
      </c>
      <c r="I64" s="25">
        <v>0.0</v>
      </c>
      <c r="J64" s="25">
        <v>2.0</v>
      </c>
      <c r="K64" s="25">
        <v>1.0</v>
      </c>
      <c r="L64" s="25">
        <v>2.0</v>
      </c>
      <c r="M64" s="25">
        <v>1.0</v>
      </c>
      <c r="N64" s="25">
        <v>2.0</v>
      </c>
      <c r="O64" s="25">
        <v>1.0</v>
      </c>
      <c r="P64" s="25">
        <v>2.0</v>
      </c>
      <c r="Q64" s="25">
        <v>0.0</v>
      </c>
      <c r="R64" s="25">
        <v>2.0</v>
      </c>
      <c r="S64" s="25">
        <v>1.0</v>
      </c>
      <c r="T64" s="25">
        <v>1.0</v>
      </c>
      <c r="U64" s="25">
        <v>0.0</v>
      </c>
      <c r="V64" s="25">
        <v>2.0</v>
      </c>
      <c r="W64" s="25">
        <v>0.0</v>
      </c>
      <c r="X64" s="25">
        <v>1.0</v>
      </c>
      <c r="Y64" s="25">
        <v>0.0</v>
      </c>
      <c r="Z64" s="25">
        <v>3.0</v>
      </c>
      <c r="AA64" s="25">
        <v>0.0</v>
      </c>
      <c r="AB64" s="25">
        <v>2.0</v>
      </c>
      <c r="AC64" s="25">
        <v>1.0</v>
      </c>
      <c r="AD64" s="25">
        <v>0.0</v>
      </c>
      <c r="AE64" s="25">
        <v>0.0</v>
      </c>
      <c r="AF64" s="25">
        <v>2.0</v>
      </c>
      <c r="AG64" s="25">
        <v>1.0</v>
      </c>
      <c r="AH64" s="25">
        <v>3.0</v>
      </c>
      <c r="AI64" s="25">
        <v>0.0</v>
      </c>
      <c r="AJ64" s="25">
        <v>1.0</v>
      </c>
      <c r="AK64" s="25">
        <v>1.0</v>
      </c>
      <c r="AL64" s="25">
        <v>2.0</v>
      </c>
      <c r="AM64" s="25">
        <v>1.0</v>
      </c>
      <c r="AN64" s="25">
        <v>2.0</v>
      </c>
      <c r="AO64" s="25">
        <v>0.0</v>
      </c>
      <c r="AP64" s="25">
        <v>2.0</v>
      </c>
      <c r="AQ64" s="25">
        <v>1.0</v>
      </c>
      <c r="AR64" s="25">
        <v>1.0</v>
      </c>
      <c r="AS64" s="25">
        <v>2.0</v>
      </c>
      <c r="AT64" s="25">
        <v>1.0</v>
      </c>
      <c r="AU64" s="25">
        <v>1.0</v>
      </c>
      <c r="AV64" s="25">
        <v>1.0</v>
      </c>
      <c r="AW64" s="25">
        <v>2.0</v>
      </c>
      <c r="AX64" s="25">
        <v>1.0</v>
      </c>
      <c r="AY64" s="25">
        <v>0.0</v>
      </c>
      <c r="AZ64" s="25">
        <v>1.0</v>
      </c>
      <c r="BA64" s="25">
        <v>1.0</v>
      </c>
      <c r="BB64" s="25">
        <v>1.0</v>
      </c>
      <c r="BC64" s="25">
        <v>1.0</v>
      </c>
      <c r="BD64" s="25">
        <v>2.0</v>
      </c>
      <c r="BE64" s="25">
        <v>1.0</v>
      </c>
      <c r="BF64" s="25">
        <v>2.0</v>
      </c>
      <c r="BG64" s="26"/>
      <c r="BH64" s="26"/>
      <c r="BI64" s="26"/>
      <c r="BJ64" s="26"/>
    </row>
    <row r="65" ht="18.0" customHeight="1">
      <c r="A65" s="1"/>
      <c r="B65" s="13" t="s">
        <v>85</v>
      </c>
      <c r="C65" s="25">
        <v>1.0</v>
      </c>
      <c r="D65" s="25">
        <v>2.0</v>
      </c>
      <c r="E65" s="25">
        <v>1.0</v>
      </c>
      <c r="F65" s="25">
        <v>1.0</v>
      </c>
      <c r="G65" s="25">
        <v>1.0</v>
      </c>
      <c r="H65" s="25">
        <v>1.0</v>
      </c>
      <c r="I65" s="25">
        <v>0.0</v>
      </c>
      <c r="J65" s="25">
        <v>1.0</v>
      </c>
      <c r="K65" s="25">
        <v>1.0</v>
      </c>
      <c r="L65" s="25">
        <v>2.0</v>
      </c>
      <c r="M65" s="25">
        <v>1.0</v>
      </c>
      <c r="N65" s="25">
        <v>2.0</v>
      </c>
      <c r="O65" s="25">
        <v>1.0</v>
      </c>
      <c r="P65" s="25">
        <v>3.0</v>
      </c>
      <c r="Q65" s="25">
        <v>1.0</v>
      </c>
      <c r="R65" s="25">
        <v>1.0</v>
      </c>
      <c r="S65" s="25">
        <v>1.0</v>
      </c>
      <c r="T65" s="25">
        <v>1.0</v>
      </c>
      <c r="U65" s="25">
        <v>1.0</v>
      </c>
      <c r="V65" s="25">
        <v>1.0</v>
      </c>
      <c r="W65" s="25">
        <v>1.0</v>
      </c>
      <c r="X65" s="25">
        <v>1.0</v>
      </c>
      <c r="Y65" s="25">
        <v>0.0</v>
      </c>
      <c r="Z65" s="25">
        <v>2.0</v>
      </c>
      <c r="AA65" s="25">
        <v>1.0</v>
      </c>
      <c r="AB65" s="25">
        <v>1.0</v>
      </c>
      <c r="AC65" s="25">
        <v>1.0</v>
      </c>
      <c r="AD65" s="25">
        <v>2.0</v>
      </c>
      <c r="AE65" s="25">
        <v>1.0</v>
      </c>
      <c r="AF65" s="25">
        <v>1.0</v>
      </c>
      <c r="AG65" s="25">
        <v>2.0</v>
      </c>
      <c r="AH65" s="25">
        <v>2.0</v>
      </c>
      <c r="AI65" s="25">
        <v>2.0</v>
      </c>
      <c r="AJ65" s="25">
        <v>2.0</v>
      </c>
      <c r="AK65" s="25">
        <v>1.0</v>
      </c>
      <c r="AL65" s="25">
        <v>2.0</v>
      </c>
      <c r="AM65" s="25">
        <v>1.0</v>
      </c>
      <c r="AN65" s="25">
        <v>1.0</v>
      </c>
      <c r="AO65" s="25">
        <v>1.0</v>
      </c>
      <c r="AP65" s="25">
        <v>1.0</v>
      </c>
      <c r="AQ65" s="25">
        <v>1.0</v>
      </c>
      <c r="AR65" s="25">
        <v>2.0</v>
      </c>
      <c r="AS65" s="25">
        <v>1.0</v>
      </c>
      <c r="AT65" s="25">
        <v>1.0</v>
      </c>
      <c r="AU65" s="25">
        <v>1.0</v>
      </c>
      <c r="AV65" s="25">
        <v>1.0</v>
      </c>
      <c r="AW65" s="25">
        <v>1.0</v>
      </c>
      <c r="AX65" s="25">
        <v>2.0</v>
      </c>
      <c r="AY65" s="25">
        <v>0.0</v>
      </c>
      <c r="AZ65" s="25">
        <v>2.0</v>
      </c>
      <c r="BA65" s="25">
        <v>1.0</v>
      </c>
      <c r="BB65" s="25">
        <v>2.0</v>
      </c>
      <c r="BC65" s="25">
        <v>2.0</v>
      </c>
      <c r="BD65" s="25">
        <v>2.0</v>
      </c>
      <c r="BE65" s="25">
        <v>1.0</v>
      </c>
      <c r="BF65" s="25">
        <v>2.0</v>
      </c>
      <c r="BG65" s="26"/>
      <c r="BH65" s="26"/>
      <c r="BI65" s="26"/>
      <c r="BJ65" s="26"/>
    </row>
    <row r="66" ht="18.0" customHeight="1">
      <c r="A66" s="1"/>
      <c r="B66" s="13" t="s">
        <v>86</v>
      </c>
      <c r="C66" s="25">
        <v>0.0</v>
      </c>
      <c r="D66" s="25">
        <v>4.0</v>
      </c>
      <c r="E66" s="25">
        <v>0.0</v>
      </c>
      <c r="F66" s="25">
        <v>2.0</v>
      </c>
      <c r="G66" s="25">
        <v>0.0</v>
      </c>
      <c r="H66" s="25">
        <v>2.0</v>
      </c>
      <c r="I66" s="25">
        <v>0.0</v>
      </c>
      <c r="J66" s="25">
        <v>4.0</v>
      </c>
      <c r="K66" s="25">
        <v>0.0</v>
      </c>
      <c r="L66" s="25">
        <v>3.0</v>
      </c>
      <c r="M66" s="25">
        <v>1.0</v>
      </c>
      <c r="N66" s="25">
        <v>2.0</v>
      </c>
      <c r="O66" s="25">
        <v>0.0</v>
      </c>
      <c r="P66" s="25">
        <v>3.0</v>
      </c>
      <c r="Q66" s="25">
        <v>0.0</v>
      </c>
      <c r="R66" s="25">
        <v>3.0</v>
      </c>
      <c r="S66" s="25">
        <v>0.0</v>
      </c>
      <c r="T66" s="25">
        <v>2.0</v>
      </c>
      <c r="U66" s="25">
        <v>0.0</v>
      </c>
      <c r="V66" s="25">
        <v>4.0</v>
      </c>
      <c r="W66" s="25">
        <v>0.0</v>
      </c>
      <c r="X66" s="25">
        <v>4.0</v>
      </c>
      <c r="Y66" s="25">
        <v>0.0</v>
      </c>
      <c r="Z66" s="25">
        <v>1.0</v>
      </c>
      <c r="AA66" s="25">
        <v>0.0</v>
      </c>
      <c r="AB66" s="25">
        <v>3.0</v>
      </c>
      <c r="AC66" s="25">
        <v>1.0</v>
      </c>
      <c r="AD66" s="25">
        <v>3.0</v>
      </c>
      <c r="AE66" s="25">
        <v>0.0</v>
      </c>
      <c r="AF66" s="25">
        <v>3.0</v>
      </c>
      <c r="AG66" s="25">
        <v>0.0</v>
      </c>
      <c r="AH66" s="25">
        <v>3.0</v>
      </c>
      <c r="AI66" s="25">
        <v>0.0</v>
      </c>
      <c r="AJ66" s="25">
        <v>3.0</v>
      </c>
      <c r="AK66" s="25">
        <v>1.0</v>
      </c>
      <c r="AL66" s="25">
        <v>3.0</v>
      </c>
      <c r="AM66" s="25">
        <v>0.0</v>
      </c>
      <c r="AN66" s="25">
        <v>3.0</v>
      </c>
      <c r="AO66" s="25">
        <v>0.0</v>
      </c>
      <c r="AP66" s="25">
        <v>3.0</v>
      </c>
      <c r="AQ66" s="25">
        <v>0.0</v>
      </c>
      <c r="AR66" s="25">
        <v>3.0</v>
      </c>
      <c r="AS66" s="25">
        <v>1.0</v>
      </c>
      <c r="AT66" s="25">
        <v>2.0</v>
      </c>
      <c r="AU66" s="25">
        <v>0.0</v>
      </c>
      <c r="AV66" s="25">
        <v>3.0</v>
      </c>
      <c r="AW66" s="25">
        <v>1.0</v>
      </c>
      <c r="AX66" s="25">
        <v>3.0</v>
      </c>
      <c r="AY66" s="25">
        <v>0.0</v>
      </c>
      <c r="AZ66" s="25">
        <v>4.0</v>
      </c>
      <c r="BA66" s="25">
        <v>0.0</v>
      </c>
      <c r="BB66" s="25">
        <v>2.0</v>
      </c>
      <c r="BC66" s="25">
        <v>0.0</v>
      </c>
      <c r="BD66" s="25">
        <v>2.0</v>
      </c>
      <c r="BE66" s="25">
        <v>0.0</v>
      </c>
      <c r="BF66" s="25">
        <v>3.0</v>
      </c>
      <c r="BG66" s="26"/>
      <c r="BH66" s="26"/>
      <c r="BI66" s="26"/>
      <c r="BJ66" s="26"/>
    </row>
    <row r="67" ht="18.0" customHeight="1">
      <c r="A67" s="1"/>
      <c r="B67" s="13" t="s">
        <v>87</v>
      </c>
      <c r="C67" s="25">
        <v>3.0</v>
      </c>
      <c r="D67" s="25">
        <v>0.0</v>
      </c>
      <c r="E67" s="25">
        <v>3.0</v>
      </c>
      <c r="F67" s="25">
        <v>0.0</v>
      </c>
      <c r="G67" s="25">
        <v>3.0</v>
      </c>
      <c r="H67" s="25">
        <v>0.0</v>
      </c>
      <c r="I67" s="25">
        <v>4.0</v>
      </c>
      <c r="J67" s="25">
        <v>1.0</v>
      </c>
      <c r="K67" s="25">
        <v>3.0</v>
      </c>
      <c r="L67" s="25">
        <v>0.0</v>
      </c>
      <c r="M67" s="25">
        <v>2.0</v>
      </c>
      <c r="N67" s="25">
        <v>1.0</v>
      </c>
      <c r="O67" s="25">
        <v>4.0</v>
      </c>
      <c r="P67" s="25">
        <v>1.0</v>
      </c>
      <c r="Q67" s="25">
        <v>2.0</v>
      </c>
      <c r="R67" s="25">
        <v>0.0</v>
      </c>
      <c r="S67" s="25">
        <v>2.0</v>
      </c>
      <c r="T67" s="25">
        <v>0.0</v>
      </c>
      <c r="U67" s="25">
        <v>3.0</v>
      </c>
      <c r="V67" s="25">
        <v>0.0</v>
      </c>
      <c r="W67" s="25">
        <v>2.0</v>
      </c>
      <c r="X67" s="25">
        <v>0.0</v>
      </c>
      <c r="Y67" s="25">
        <v>4.0</v>
      </c>
      <c r="Z67" s="25">
        <v>0.0</v>
      </c>
      <c r="AA67" s="25">
        <v>3.0</v>
      </c>
      <c r="AB67" s="25">
        <v>0.0</v>
      </c>
      <c r="AC67" s="25">
        <v>2.0</v>
      </c>
      <c r="AD67" s="25">
        <v>1.0</v>
      </c>
      <c r="AE67" s="25">
        <v>3.0</v>
      </c>
      <c r="AF67" s="25">
        <v>0.0</v>
      </c>
      <c r="AG67" s="25">
        <v>3.0</v>
      </c>
      <c r="AH67" s="25">
        <v>0.0</v>
      </c>
      <c r="AI67" s="25">
        <v>2.0</v>
      </c>
      <c r="AJ67" s="25">
        <v>0.0</v>
      </c>
      <c r="AK67" s="25">
        <v>3.0</v>
      </c>
      <c r="AL67" s="25">
        <v>1.0</v>
      </c>
      <c r="AM67" s="25">
        <v>3.0</v>
      </c>
      <c r="AN67" s="25">
        <v>0.0</v>
      </c>
      <c r="AO67" s="25">
        <v>3.0</v>
      </c>
      <c r="AP67" s="25">
        <v>0.0</v>
      </c>
      <c r="AQ67" s="25">
        <v>3.0</v>
      </c>
      <c r="AR67" s="25">
        <v>0.0</v>
      </c>
      <c r="AS67" s="25">
        <v>3.0</v>
      </c>
      <c r="AT67" s="25">
        <v>1.0</v>
      </c>
      <c r="AU67" s="25">
        <v>3.0</v>
      </c>
      <c r="AV67" s="25">
        <v>0.0</v>
      </c>
      <c r="AW67" s="25">
        <v>3.0</v>
      </c>
      <c r="AX67" s="25">
        <v>0.0</v>
      </c>
      <c r="AY67" s="25">
        <v>2.0</v>
      </c>
      <c r="AZ67" s="25">
        <v>1.0</v>
      </c>
      <c r="BA67" s="25">
        <v>2.0</v>
      </c>
      <c r="BB67" s="25">
        <v>0.0</v>
      </c>
      <c r="BC67" s="25">
        <v>4.0</v>
      </c>
      <c r="BD67" s="25">
        <v>0.0</v>
      </c>
      <c r="BE67" s="25">
        <v>3.0</v>
      </c>
      <c r="BF67" s="25">
        <v>0.0</v>
      </c>
      <c r="BG67" s="26"/>
      <c r="BH67" s="26"/>
      <c r="BI67" s="26"/>
      <c r="BJ67" s="26"/>
    </row>
    <row r="68" ht="18.0" customHeight="1">
      <c r="A68" s="1"/>
      <c r="B68" s="13" t="s">
        <v>88</v>
      </c>
      <c r="C68" s="25">
        <v>1.0</v>
      </c>
      <c r="D68" s="25">
        <v>2.0</v>
      </c>
      <c r="E68" s="25">
        <v>0.0</v>
      </c>
      <c r="F68" s="25">
        <v>2.0</v>
      </c>
      <c r="G68" s="25">
        <v>2.0</v>
      </c>
      <c r="H68" s="25">
        <v>2.0</v>
      </c>
      <c r="I68" s="25">
        <v>1.0</v>
      </c>
      <c r="J68" s="25">
        <v>3.0</v>
      </c>
      <c r="K68" s="25">
        <v>0.0</v>
      </c>
      <c r="L68" s="25">
        <v>2.0</v>
      </c>
      <c r="M68" s="25">
        <v>1.0</v>
      </c>
      <c r="N68" s="25">
        <v>2.0</v>
      </c>
      <c r="O68" s="25">
        <v>1.0</v>
      </c>
      <c r="P68" s="25">
        <v>2.0</v>
      </c>
      <c r="Q68" s="25">
        <v>0.0</v>
      </c>
      <c r="R68" s="25">
        <v>2.0</v>
      </c>
      <c r="S68" s="25">
        <v>0.0</v>
      </c>
      <c r="T68" s="25">
        <v>2.0</v>
      </c>
      <c r="U68" s="25">
        <v>0.0</v>
      </c>
      <c r="V68" s="25">
        <v>2.0</v>
      </c>
      <c r="W68" s="25">
        <v>0.0</v>
      </c>
      <c r="X68" s="25">
        <v>2.0</v>
      </c>
      <c r="Y68" s="25">
        <v>2.0</v>
      </c>
      <c r="Z68" s="25">
        <v>2.0</v>
      </c>
      <c r="AA68" s="25">
        <v>0.0</v>
      </c>
      <c r="AB68" s="25">
        <v>2.0</v>
      </c>
      <c r="AC68" s="25">
        <v>1.0</v>
      </c>
      <c r="AD68" s="25">
        <v>2.0</v>
      </c>
      <c r="AE68" s="25">
        <v>0.0</v>
      </c>
      <c r="AF68" s="25">
        <v>2.0</v>
      </c>
      <c r="AG68" s="25">
        <v>0.0</v>
      </c>
      <c r="AH68" s="25">
        <v>2.0</v>
      </c>
      <c r="AI68" s="25">
        <v>1.0</v>
      </c>
      <c r="AJ68" s="25">
        <v>3.0</v>
      </c>
      <c r="AK68" s="25">
        <v>1.0</v>
      </c>
      <c r="AL68" s="25">
        <v>2.0</v>
      </c>
      <c r="AM68" s="25">
        <v>0.0</v>
      </c>
      <c r="AN68" s="25">
        <v>2.0</v>
      </c>
      <c r="AO68" s="25">
        <v>0.0</v>
      </c>
      <c r="AP68" s="25">
        <v>2.0</v>
      </c>
      <c r="AQ68" s="25">
        <v>0.0</v>
      </c>
      <c r="AR68" s="25">
        <v>2.0</v>
      </c>
      <c r="AS68" s="25">
        <v>1.0</v>
      </c>
      <c r="AT68" s="25">
        <v>2.0</v>
      </c>
      <c r="AU68" s="25">
        <v>0.0</v>
      </c>
      <c r="AV68" s="25">
        <v>2.0</v>
      </c>
      <c r="AW68" s="25">
        <v>0.0</v>
      </c>
      <c r="AX68" s="25">
        <v>3.0</v>
      </c>
      <c r="AY68" s="25">
        <v>0.0</v>
      </c>
      <c r="AZ68" s="25">
        <v>2.0</v>
      </c>
      <c r="BA68" s="25">
        <v>0.0</v>
      </c>
      <c r="BB68" s="25">
        <v>2.0</v>
      </c>
      <c r="BC68" s="25">
        <v>0.0</v>
      </c>
      <c r="BD68" s="25">
        <v>3.0</v>
      </c>
      <c r="BE68" s="25">
        <v>0.0</v>
      </c>
      <c r="BF68" s="25">
        <v>2.0</v>
      </c>
      <c r="BG68" s="26"/>
      <c r="BH68" s="26"/>
      <c r="BI68" s="26"/>
      <c r="BJ68" s="26"/>
    </row>
    <row r="69" ht="18.0" customHeight="1">
      <c r="A69" s="1"/>
      <c r="B69" s="13" t="s">
        <v>89</v>
      </c>
      <c r="C69" s="25">
        <v>2.0</v>
      </c>
      <c r="D69" s="25">
        <v>0.0</v>
      </c>
      <c r="E69" s="25">
        <v>3.0</v>
      </c>
      <c r="F69" s="25">
        <v>0.0</v>
      </c>
      <c r="G69" s="25">
        <v>3.0</v>
      </c>
      <c r="H69" s="25">
        <v>0.0</v>
      </c>
      <c r="I69" s="25">
        <v>3.0</v>
      </c>
      <c r="J69" s="25">
        <v>0.0</v>
      </c>
      <c r="K69" s="25">
        <v>3.0</v>
      </c>
      <c r="L69" s="25">
        <v>1.0</v>
      </c>
      <c r="M69" s="25">
        <v>2.0</v>
      </c>
      <c r="N69" s="25">
        <v>1.0</v>
      </c>
      <c r="O69" s="25">
        <v>3.0</v>
      </c>
      <c r="P69" s="25">
        <v>0.0</v>
      </c>
      <c r="Q69" s="25">
        <v>3.0</v>
      </c>
      <c r="R69" s="25">
        <v>0.0</v>
      </c>
      <c r="S69" s="25">
        <v>2.0</v>
      </c>
      <c r="T69" s="25">
        <v>0.0</v>
      </c>
      <c r="U69" s="25">
        <v>2.0</v>
      </c>
      <c r="V69" s="25">
        <v>0.0</v>
      </c>
      <c r="W69" s="25">
        <v>2.0</v>
      </c>
      <c r="X69" s="25">
        <v>1.0</v>
      </c>
      <c r="Y69" s="25">
        <v>2.0</v>
      </c>
      <c r="Z69" s="25">
        <v>1.0</v>
      </c>
      <c r="AA69" s="25">
        <v>4.0</v>
      </c>
      <c r="AB69" s="25">
        <v>0.0</v>
      </c>
      <c r="AC69" s="25">
        <v>2.0</v>
      </c>
      <c r="AD69" s="25">
        <v>0.0</v>
      </c>
      <c r="AE69" s="25">
        <v>2.0</v>
      </c>
      <c r="AF69" s="25">
        <v>0.0</v>
      </c>
      <c r="AG69" s="25">
        <v>3.0</v>
      </c>
      <c r="AH69" s="25">
        <v>1.0</v>
      </c>
      <c r="AI69" s="25">
        <v>3.0</v>
      </c>
      <c r="AJ69" s="25">
        <v>0.0</v>
      </c>
      <c r="AK69" s="25">
        <v>2.0</v>
      </c>
      <c r="AL69" s="25">
        <v>0.0</v>
      </c>
      <c r="AM69" s="25">
        <v>3.0</v>
      </c>
      <c r="AN69" s="25">
        <v>1.0</v>
      </c>
      <c r="AO69" s="25">
        <v>2.0</v>
      </c>
      <c r="AP69" s="25">
        <v>0.0</v>
      </c>
      <c r="AQ69" s="25">
        <v>2.0</v>
      </c>
      <c r="AR69" s="25">
        <v>1.0</v>
      </c>
      <c r="AS69" s="25">
        <v>3.0</v>
      </c>
      <c r="AT69" s="25">
        <v>0.0</v>
      </c>
      <c r="AU69" s="25">
        <v>2.0</v>
      </c>
      <c r="AV69" s="25">
        <v>0.0</v>
      </c>
      <c r="AW69" s="25">
        <v>2.0</v>
      </c>
      <c r="AX69" s="25">
        <v>1.0</v>
      </c>
      <c r="AY69" s="25">
        <v>2.0</v>
      </c>
      <c r="AZ69" s="25">
        <v>0.0</v>
      </c>
      <c r="BA69" s="25">
        <v>2.0</v>
      </c>
      <c r="BB69" s="25">
        <v>1.0</v>
      </c>
      <c r="BC69" s="25">
        <v>5.0</v>
      </c>
      <c r="BD69" s="25">
        <v>1.0</v>
      </c>
      <c r="BE69" s="25">
        <v>4.0</v>
      </c>
      <c r="BF69" s="25">
        <v>0.0</v>
      </c>
      <c r="BG69" s="26"/>
      <c r="BH69" s="26"/>
      <c r="BI69" s="26"/>
      <c r="BJ69" s="26"/>
    </row>
    <row r="70" ht="18.0" customHeight="1">
      <c r="A70" s="1"/>
      <c r="B70" s="13" t="s">
        <v>90</v>
      </c>
      <c r="C70" s="25">
        <v>2.0</v>
      </c>
      <c r="D70" s="25">
        <v>0.0</v>
      </c>
      <c r="E70" s="25">
        <v>2.0</v>
      </c>
      <c r="F70" s="25">
        <v>0.0</v>
      </c>
      <c r="G70" s="25">
        <v>2.0</v>
      </c>
      <c r="H70" s="25">
        <v>1.0</v>
      </c>
      <c r="I70" s="25">
        <v>2.0</v>
      </c>
      <c r="J70" s="25">
        <v>0.0</v>
      </c>
      <c r="K70" s="25">
        <v>2.0</v>
      </c>
      <c r="L70" s="25">
        <v>1.0</v>
      </c>
      <c r="M70" s="25">
        <v>2.0</v>
      </c>
      <c r="N70" s="25">
        <v>1.0</v>
      </c>
      <c r="O70" s="25">
        <v>2.0</v>
      </c>
      <c r="P70" s="25">
        <v>0.0</v>
      </c>
      <c r="Q70" s="25">
        <v>2.0</v>
      </c>
      <c r="R70" s="25">
        <v>0.0</v>
      </c>
      <c r="S70" s="25">
        <v>2.0</v>
      </c>
      <c r="T70" s="25">
        <v>0.0</v>
      </c>
      <c r="U70" s="25">
        <v>2.0</v>
      </c>
      <c r="V70" s="25">
        <v>0.0</v>
      </c>
      <c r="W70" s="25">
        <v>2.0</v>
      </c>
      <c r="X70" s="25">
        <v>1.0</v>
      </c>
      <c r="Y70" s="25">
        <v>3.0</v>
      </c>
      <c r="Z70" s="25">
        <v>2.0</v>
      </c>
      <c r="AA70" s="25">
        <v>2.0</v>
      </c>
      <c r="AB70" s="25">
        <v>1.0</v>
      </c>
      <c r="AC70" s="25">
        <v>2.0</v>
      </c>
      <c r="AD70" s="25">
        <v>0.0</v>
      </c>
      <c r="AE70" s="25">
        <v>2.0</v>
      </c>
      <c r="AF70" s="25">
        <v>1.0</v>
      </c>
      <c r="AG70" s="25">
        <v>3.0</v>
      </c>
      <c r="AH70" s="25">
        <v>1.0</v>
      </c>
      <c r="AI70" s="25">
        <v>2.0</v>
      </c>
      <c r="AJ70" s="25">
        <v>1.0</v>
      </c>
      <c r="AK70" s="25">
        <v>1.0</v>
      </c>
      <c r="AL70" s="25">
        <v>0.0</v>
      </c>
      <c r="AM70" s="25">
        <v>2.0</v>
      </c>
      <c r="AN70" s="25">
        <v>0.0</v>
      </c>
      <c r="AO70" s="25">
        <v>2.0</v>
      </c>
      <c r="AP70" s="25">
        <v>1.0</v>
      </c>
      <c r="AQ70" s="25">
        <v>2.0</v>
      </c>
      <c r="AR70" s="25">
        <v>0.0</v>
      </c>
      <c r="AS70" s="25">
        <v>2.0</v>
      </c>
      <c r="AT70" s="25">
        <v>1.0</v>
      </c>
      <c r="AU70" s="25">
        <v>2.0</v>
      </c>
      <c r="AV70" s="25">
        <v>1.0</v>
      </c>
      <c r="AW70" s="25">
        <v>2.0</v>
      </c>
      <c r="AX70" s="25">
        <v>1.0</v>
      </c>
      <c r="AY70" s="25">
        <v>1.0</v>
      </c>
      <c r="AZ70" s="25">
        <v>0.0</v>
      </c>
      <c r="BA70" s="25">
        <v>2.0</v>
      </c>
      <c r="BB70" s="25">
        <v>0.0</v>
      </c>
      <c r="BC70" s="25">
        <v>3.0</v>
      </c>
      <c r="BD70" s="25">
        <v>1.0</v>
      </c>
      <c r="BE70" s="25">
        <v>2.0</v>
      </c>
      <c r="BF70" s="25">
        <v>0.0</v>
      </c>
      <c r="BG70" s="26"/>
      <c r="BH70" s="26"/>
      <c r="BI70" s="26"/>
      <c r="BJ70" s="26"/>
    </row>
    <row r="71" ht="18.0" customHeight="1">
      <c r="A71" s="1"/>
      <c r="B71" s="13" t="s">
        <v>91</v>
      </c>
      <c r="C71" s="25">
        <v>1.0</v>
      </c>
      <c r="D71" s="25">
        <v>1.0</v>
      </c>
      <c r="E71" s="25">
        <v>1.0</v>
      </c>
      <c r="F71" s="25">
        <v>1.0</v>
      </c>
      <c r="G71" s="25">
        <v>1.0</v>
      </c>
      <c r="H71" s="25">
        <v>1.0</v>
      </c>
      <c r="I71" s="25">
        <v>1.0</v>
      </c>
      <c r="J71" s="25">
        <v>3.0</v>
      </c>
      <c r="K71" s="25">
        <v>2.0</v>
      </c>
      <c r="L71" s="25">
        <v>3.0</v>
      </c>
      <c r="M71" s="25">
        <v>1.0</v>
      </c>
      <c r="N71" s="25">
        <v>2.0</v>
      </c>
      <c r="O71" s="25">
        <v>2.0</v>
      </c>
      <c r="P71" s="25">
        <v>3.0</v>
      </c>
      <c r="Q71" s="25">
        <v>1.0</v>
      </c>
      <c r="R71" s="25">
        <v>1.0</v>
      </c>
      <c r="S71" s="25">
        <v>1.0</v>
      </c>
      <c r="T71" s="25">
        <v>2.0</v>
      </c>
      <c r="U71" s="25">
        <v>1.0</v>
      </c>
      <c r="V71" s="25">
        <v>1.0</v>
      </c>
      <c r="W71" s="25">
        <v>1.0</v>
      </c>
      <c r="X71" s="25">
        <v>1.0</v>
      </c>
      <c r="Y71" s="25">
        <v>1.0</v>
      </c>
      <c r="Z71" s="25">
        <v>3.0</v>
      </c>
      <c r="AA71" s="25">
        <v>1.0</v>
      </c>
      <c r="AB71" s="25">
        <v>1.0</v>
      </c>
      <c r="AC71" s="25">
        <v>2.0</v>
      </c>
      <c r="AD71" s="25">
        <v>2.0</v>
      </c>
      <c r="AE71" s="25">
        <v>1.0</v>
      </c>
      <c r="AF71" s="25">
        <v>1.0</v>
      </c>
      <c r="AG71" s="25">
        <v>1.0</v>
      </c>
      <c r="AH71" s="25">
        <v>1.0</v>
      </c>
      <c r="AI71" s="25">
        <v>1.0</v>
      </c>
      <c r="AJ71" s="25">
        <v>1.0</v>
      </c>
      <c r="AK71" s="25">
        <v>1.0</v>
      </c>
      <c r="AL71" s="25">
        <v>2.0</v>
      </c>
      <c r="AM71" s="25">
        <v>1.0</v>
      </c>
      <c r="AN71" s="25">
        <v>1.0</v>
      </c>
      <c r="AO71" s="25">
        <v>1.0</v>
      </c>
      <c r="AP71" s="25">
        <v>1.0</v>
      </c>
      <c r="AQ71" s="25">
        <v>1.0</v>
      </c>
      <c r="AR71" s="25">
        <v>2.0</v>
      </c>
      <c r="AS71" s="25">
        <v>1.0</v>
      </c>
      <c r="AT71" s="25">
        <v>2.0</v>
      </c>
      <c r="AU71" s="25">
        <v>1.0</v>
      </c>
      <c r="AV71" s="25">
        <v>1.0</v>
      </c>
      <c r="AW71" s="25">
        <v>1.0</v>
      </c>
      <c r="AX71" s="25">
        <v>1.0</v>
      </c>
      <c r="AY71" s="25">
        <v>1.0</v>
      </c>
      <c r="AZ71" s="25">
        <v>3.0</v>
      </c>
      <c r="BA71" s="25">
        <v>2.0</v>
      </c>
      <c r="BB71" s="25">
        <v>1.0</v>
      </c>
      <c r="BC71" s="25">
        <v>2.0</v>
      </c>
      <c r="BD71" s="25">
        <v>3.0</v>
      </c>
      <c r="BE71" s="25">
        <v>1.0</v>
      </c>
      <c r="BF71" s="25">
        <v>2.0</v>
      </c>
      <c r="BG71" s="26"/>
      <c r="BH71" s="26"/>
      <c r="BI71" s="26"/>
      <c r="BJ71" s="26"/>
    </row>
    <row r="72" ht="18.0" customHeight="1">
      <c r="A72" s="1"/>
      <c r="B72" s="13" t="s">
        <v>92</v>
      </c>
      <c r="C72" s="25">
        <v>1.0</v>
      </c>
      <c r="D72" s="25">
        <v>1.0</v>
      </c>
      <c r="E72" s="25">
        <v>1.0</v>
      </c>
      <c r="F72" s="25">
        <v>0.0</v>
      </c>
      <c r="G72" s="25">
        <v>0.0</v>
      </c>
      <c r="H72" s="25">
        <v>1.0</v>
      </c>
      <c r="I72" s="25">
        <v>1.0</v>
      </c>
      <c r="J72" s="25">
        <v>1.0</v>
      </c>
      <c r="K72" s="25">
        <v>2.0</v>
      </c>
      <c r="L72" s="25">
        <v>1.0</v>
      </c>
      <c r="M72" s="25">
        <v>2.0</v>
      </c>
      <c r="N72" s="25">
        <v>1.0</v>
      </c>
      <c r="O72" s="25">
        <v>1.0</v>
      </c>
      <c r="P72" s="25">
        <v>0.0</v>
      </c>
      <c r="Q72" s="25">
        <v>1.0</v>
      </c>
      <c r="R72" s="25">
        <v>1.0</v>
      </c>
      <c r="S72" s="25">
        <v>1.0</v>
      </c>
      <c r="T72" s="25">
        <v>1.0</v>
      </c>
      <c r="U72" s="25">
        <v>1.0</v>
      </c>
      <c r="V72" s="25">
        <v>1.0</v>
      </c>
      <c r="W72" s="25">
        <v>1.0</v>
      </c>
      <c r="X72" s="25">
        <v>1.0</v>
      </c>
      <c r="Y72" s="25">
        <v>0.0</v>
      </c>
      <c r="Z72" s="25">
        <v>2.0</v>
      </c>
      <c r="AA72" s="25">
        <v>1.0</v>
      </c>
      <c r="AB72" s="25">
        <v>1.0</v>
      </c>
      <c r="AC72" s="25">
        <v>1.0</v>
      </c>
      <c r="AD72" s="25">
        <v>1.0</v>
      </c>
      <c r="AE72" s="25">
        <v>1.0</v>
      </c>
      <c r="AF72" s="25">
        <v>1.0</v>
      </c>
      <c r="AG72" s="25">
        <v>2.0</v>
      </c>
      <c r="AH72" s="25">
        <v>1.0</v>
      </c>
      <c r="AI72" s="25">
        <v>2.0</v>
      </c>
      <c r="AJ72" s="25">
        <v>0.0</v>
      </c>
      <c r="AK72" s="25">
        <v>2.0</v>
      </c>
      <c r="AL72" s="25">
        <v>1.0</v>
      </c>
      <c r="AM72" s="25">
        <v>1.0</v>
      </c>
      <c r="AN72" s="25">
        <v>1.0</v>
      </c>
      <c r="AO72" s="25">
        <v>1.0</v>
      </c>
      <c r="AP72" s="25">
        <v>1.0</v>
      </c>
      <c r="AQ72" s="25">
        <v>1.0</v>
      </c>
      <c r="AR72" s="25">
        <v>1.0</v>
      </c>
      <c r="AS72" s="25">
        <v>1.0</v>
      </c>
      <c r="AT72" s="25">
        <v>0.0</v>
      </c>
      <c r="AU72" s="25">
        <v>2.0</v>
      </c>
      <c r="AV72" s="25">
        <v>1.0</v>
      </c>
      <c r="AW72" s="25">
        <v>2.0</v>
      </c>
      <c r="AX72" s="25">
        <v>2.0</v>
      </c>
      <c r="AY72" s="25">
        <v>2.0</v>
      </c>
      <c r="AZ72" s="25">
        <v>1.0</v>
      </c>
      <c r="BA72" s="25">
        <v>1.0</v>
      </c>
      <c r="BB72" s="25">
        <v>1.0</v>
      </c>
      <c r="BC72" s="25">
        <v>1.0</v>
      </c>
      <c r="BD72" s="25">
        <v>1.0</v>
      </c>
      <c r="BE72" s="25">
        <v>1.0</v>
      </c>
      <c r="BF72" s="25">
        <v>1.0</v>
      </c>
      <c r="BG72" s="26"/>
      <c r="BH72" s="26"/>
      <c r="BI72" s="26"/>
      <c r="BJ72" s="26"/>
    </row>
    <row r="73" ht="18.0" customHeight="1">
      <c r="A73" s="1"/>
      <c r="B73" s="13" t="s">
        <v>93</v>
      </c>
      <c r="C73" s="25">
        <v>1.0</v>
      </c>
      <c r="D73" s="25">
        <v>1.0</v>
      </c>
      <c r="E73" s="25">
        <v>2.0</v>
      </c>
      <c r="F73" s="25">
        <v>1.0</v>
      </c>
      <c r="G73" s="25">
        <v>1.0</v>
      </c>
      <c r="H73" s="25">
        <v>1.0</v>
      </c>
      <c r="I73" s="25">
        <v>2.0</v>
      </c>
      <c r="J73" s="25">
        <v>2.0</v>
      </c>
      <c r="K73" s="25">
        <v>3.0</v>
      </c>
      <c r="L73" s="25">
        <v>1.0</v>
      </c>
      <c r="M73" s="25">
        <v>2.0</v>
      </c>
      <c r="N73" s="25">
        <v>1.0</v>
      </c>
      <c r="O73" s="25">
        <v>2.0</v>
      </c>
      <c r="P73" s="25">
        <v>1.0</v>
      </c>
      <c r="Q73" s="25">
        <v>2.0</v>
      </c>
      <c r="R73" s="25">
        <v>1.0</v>
      </c>
      <c r="S73" s="25">
        <v>2.0</v>
      </c>
      <c r="T73" s="25">
        <v>1.0</v>
      </c>
      <c r="U73" s="25">
        <v>1.0</v>
      </c>
      <c r="V73" s="25">
        <v>1.0</v>
      </c>
      <c r="W73" s="25">
        <v>1.0</v>
      </c>
      <c r="X73" s="25">
        <v>1.0</v>
      </c>
      <c r="Y73" s="25">
        <v>1.0</v>
      </c>
      <c r="Z73" s="25">
        <v>1.0</v>
      </c>
      <c r="AA73" s="25">
        <v>1.0</v>
      </c>
      <c r="AB73" s="25">
        <v>1.0</v>
      </c>
      <c r="AC73" s="25">
        <v>2.0</v>
      </c>
      <c r="AD73" s="25">
        <v>2.0</v>
      </c>
      <c r="AE73" s="25">
        <v>2.0</v>
      </c>
      <c r="AF73" s="25">
        <v>1.0</v>
      </c>
      <c r="AG73" s="25">
        <v>1.0</v>
      </c>
      <c r="AH73" s="25">
        <v>1.0</v>
      </c>
      <c r="AI73" s="25">
        <v>1.0</v>
      </c>
      <c r="AJ73" s="25">
        <v>1.0</v>
      </c>
      <c r="AK73" s="25">
        <v>2.0</v>
      </c>
      <c r="AL73" s="25">
        <v>0.0</v>
      </c>
      <c r="AM73" s="25">
        <v>2.0</v>
      </c>
      <c r="AN73" s="25">
        <v>1.0</v>
      </c>
      <c r="AO73" s="25">
        <v>1.0</v>
      </c>
      <c r="AP73" s="25">
        <v>1.0</v>
      </c>
      <c r="AQ73" s="25">
        <v>2.0</v>
      </c>
      <c r="AR73" s="25">
        <v>0.0</v>
      </c>
      <c r="AS73" s="25">
        <v>1.0</v>
      </c>
      <c r="AT73" s="25">
        <v>1.0</v>
      </c>
      <c r="AU73" s="25">
        <v>2.0</v>
      </c>
      <c r="AV73" s="25">
        <v>1.0</v>
      </c>
      <c r="AW73" s="25">
        <v>0.0</v>
      </c>
      <c r="AX73" s="25">
        <v>0.0</v>
      </c>
      <c r="AY73" s="25">
        <v>3.0</v>
      </c>
      <c r="AZ73" s="25">
        <v>2.0</v>
      </c>
      <c r="BA73" s="25">
        <v>1.0</v>
      </c>
      <c r="BB73" s="25">
        <v>1.0</v>
      </c>
      <c r="BC73" s="25">
        <v>1.0</v>
      </c>
      <c r="BD73" s="25">
        <v>1.0</v>
      </c>
      <c r="BE73" s="25">
        <v>2.0</v>
      </c>
      <c r="BF73" s="25">
        <v>1.0</v>
      </c>
      <c r="BG73" s="26"/>
      <c r="BH73" s="26"/>
      <c r="BI73" s="26"/>
      <c r="BJ73" s="26"/>
    </row>
    <row r="74" ht="18.0" customHeight="1">
      <c r="A74" s="1"/>
      <c r="B74" s="13" t="s">
        <v>94</v>
      </c>
      <c r="C74" s="25">
        <v>2.0</v>
      </c>
      <c r="D74" s="25">
        <v>0.0</v>
      </c>
      <c r="E74" s="25">
        <v>2.0</v>
      </c>
      <c r="F74" s="25">
        <v>1.0</v>
      </c>
      <c r="G74" s="25">
        <v>2.0</v>
      </c>
      <c r="H74" s="25">
        <v>1.0</v>
      </c>
      <c r="I74" s="25">
        <v>1.0</v>
      </c>
      <c r="J74" s="25">
        <v>0.0</v>
      </c>
      <c r="K74" s="25">
        <v>2.0</v>
      </c>
      <c r="L74" s="25">
        <v>1.0</v>
      </c>
      <c r="M74" s="25">
        <v>2.0</v>
      </c>
      <c r="N74" s="25">
        <v>1.0</v>
      </c>
      <c r="O74" s="25">
        <v>2.0</v>
      </c>
      <c r="P74" s="25">
        <v>0.0</v>
      </c>
      <c r="Q74" s="25">
        <v>2.0</v>
      </c>
      <c r="R74" s="25">
        <v>2.0</v>
      </c>
      <c r="S74" s="25">
        <v>0.0</v>
      </c>
      <c r="T74" s="25">
        <v>1.0</v>
      </c>
      <c r="U74" s="25">
        <v>2.0</v>
      </c>
      <c r="V74" s="25">
        <v>0.0</v>
      </c>
      <c r="W74" s="25">
        <v>1.0</v>
      </c>
      <c r="X74" s="25">
        <v>1.0</v>
      </c>
      <c r="Y74" s="25">
        <v>2.0</v>
      </c>
      <c r="Z74" s="25">
        <v>0.0</v>
      </c>
      <c r="AA74" s="25">
        <v>1.0</v>
      </c>
      <c r="AB74" s="25">
        <v>1.0</v>
      </c>
      <c r="AC74" s="25">
        <v>2.0</v>
      </c>
      <c r="AD74" s="25">
        <v>1.0</v>
      </c>
      <c r="AE74" s="25">
        <v>1.0</v>
      </c>
      <c r="AF74" s="25">
        <v>1.0</v>
      </c>
      <c r="AG74" s="25">
        <v>2.0</v>
      </c>
      <c r="AH74" s="25">
        <v>0.0</v>
      </c>
      <c r="AI74" s="25">
        <v>1.0</v>
      </c>
      <c r="AJ74" s="25">
        <v>0.0</v>
      </c>
      <c r="AK74" s="25">
        <v>3.0</v>
      </c>
      <c r="AL74" s="25">
        <v>0.0</v>
      </c>
      <c r="AM74" s="25">
        <v>2.0</v>
      </c>
      <c r="AN74" s="25">
        <v>1.0</v>
      </c>
      <c r="AO74" s="25">
        <v>1.0</v>
      </c>
      <c r="AP74" s="25">
        <v>0.0</v>
      </c>
      <c r="AQ74" s="25">
        <v>1.0</v>
      </c>
      <c r="AR74" s="25">
        <v>1.0</v>
      </c>
      <c r="AS74" s="25">
        <v>0.0</v>
      </c>
      <c r="AT74" s="25">
        <v>1.0</v>
      </c>
      <c r="AU74" s="25">
        <v>2.0</v>
      </c>
      <c r="AV74" s="25">
        <v>0.0</v>
      </c>
      <c r="AW74" s="25">
        <v>1.0</v>
      </c>
      <c r="AX74" s="25">
        <v>2.0</v>
      </c>
      <c r="AY74" s="25">
        <v>2.0</v>
      </c>
      <c r="AZ74" s="25">
        <v>0.0</v>
      </c>
      <c r="BA74" s="25">
        <v>1.0</v>
      </c>
      <c r="BB74" s="25">
        <v>1.0</v>
      </c>
      <c r="BC74" s="25">
        <v>2.0</v>
      </c>
      <c r="BD74" s="25">
        <v>1.0</v>
      </c>
      <c r="BE74" s="25">
        <v>2.0</v>
      </c>
      <c r="BF74" s="25">
        <v>0.0</v>
      </c>
      <c r="BG74" s="26"/>
      <c r="BH74" s="26"/>
      <c r="BI74" s="26"/>
      <c r="BJ74" s="26"/>
    </row>
    <row r="75" ht="18.0" customHeight="1">
      <c r="A75" s="1"/>
      <c r="B75" s="13" t="s">
        <v>95</v>
      </c>
      <c r="C75" s="25">
        <v>3.0</v>
      </c>
      <c r="D75" s="25">
        <v>1.0</v>
      </c>
      <c r="E75" s="25">
        <v>2.0</v>
      </c>
      <c r="F75" s="25">
        <v>0.0</v>
      </c>
      <c r="G75" s="25">
        <v>2.0</v>
      </c>
      <c r="H75" s="25">
        <v>0.0</v>
      </c>
      <c r="I75" s="25">
        <v>3.0</v>
      </c>
      <c r="J75" s="25">
        <v>1.0</v>
      </c>
      <c r="K75" s="25">
        <v>1.0</v>
      </c>
      <c r="L75" s="25">
        <v>2.0</v>
      </c>
      <c r="M75" s="25">
        <v>2.0</v>
      </c>
      <c r="N75" s="25">
        <v>1.0</v>
      </c>
      <c r="O75" s="25">
        <v>3.0</v>
      </c>
      <c r="P75" s="25">
        <v>1.0</v>
      </c>
      <c r="Q75" s="25">
        <v>3.0</v>
      </c>
      <c r="R75" s="25">
        <v>0.0</v>
      </c>
      <c r="S75" s="25">
        <v>2.0</v>
      </c>
      <c r="T75" s="25">
        <v>0.0</v>
      </c>
      <c r="U75" s="25">
        <v>2.0</v>
      </c>
      <c r="V75" s="25">
        <v>0.0</v>
      </c>
      <c r="W75" s="25">
        <v>2.0</v>
      </c>
      <c r="X75" s="25">
        <v>0.0</v>
      </c>
      <c r="Y75" s="25">
        <v>3.0</v>
      </c>
      <c r="Z75" s="25">
        <v>1.0</v>
      </c>
      <c r="AA75" s="25">
        <v>2.0</v>
      </c>
      <c r="AB75" s="25">
        <v>0.0</v>
      </c>
      <c r="AC75" s="25">
        <v>2.0</v>
      </c>
      <c r="AD75" s="25">
        <v>0.0</v>
      </c>
      <c r="AE75" s="25">
        <v>2.0</v>
      </c>
      <c r="AF75" s="25">
        <v>0.0</v>
      </c>
      <c r="AG75" s="25">
        <v>3.0</v>
      </c>
      <c r="AH75" s="25">
        <v>1.0</v>
      </c>
      <c r="AI75" s="25">
        <v>2.0</v>
      </c>
      <c r="AJ75" s="25">
        <v>1.0</v>
      </c>
      <c r="AK75" s="25">
        <v>3.0</v>
      </c>
      <c r="AL75" s="25">
        <v>1.0</v>
      </c>
      <c r="AM75" s="25">
        <v>3.0</v>
      </c>
      <c r="AN75" s="25">
        <v>0.0</v>
      </c>
      <c r="AO75" s="25">
        <v>2.0</v>
      </c>
      <c r="AP75" s="25">
        <v>0.0</v>
      </c>
      <c r="AQ75" s="25">
        <v>2.0</v>
      </c>
      <c r="AR75" s="25">
        <v>1.0</v>
      </c>
      <c r="AS75" s="25">
        <v>2.0</v>
      </c>
      <c r="AT75" s="25">
        <v>0.0</v>
      </c>
      <c r="AU75" s="25">
        <v>2.0</v>
      </c>
      <c r="AV75" s="25">
        <v>1.0</v>
      </c>
      <c r="AW75" s="25">
        <v>2.0</v>
      </c>
      <c r="AX75" s="25">
        <v>2.0</v>
      </c>
      <c r="AY75" s="25">
        <v>2.0</v>
      </c>
      <c r="AZ75" s="25">
        <v>0.0</v>
      </c>
      <c r="BA75" s="25">
        <v>2.0</v>
      </c>
      <c r="BB75" s="25">
        <v>0.0</v>
      </c>
      <c r="BC75" s="25">
        <v>3.0</v>
      </c>
      <c r="BD75" s="25">
        <v>1.0</v>
      </c>
      <c r="BE75" s="25">
        <v>2.0</v>
      </c>
      <c r="BF75" s="25">
        <v>1.0</v>
      </c>
      <c r="BG75" s="26"/>
      <c r="BH75" s="26"/>
      <c r="BI75" s="26"/>
      <c r="BJ75" s="26"/>
    </row>
    <row r="76" ht="18.0" customHeight="1">
      <c r="A76" s="1"/>
      <c r="B76" s="13" t="s">
        <v>96</v>
      </c>
      <c r="C76" s="25">
        <v>0.0</v>
      </c>
      <c r="D76" s="25">
        <v>2.0</v>
      </c>
      <c r="E76" s="25">
        <v>0.0</v>
      </c>
      <c r="F76" s="25">
        <v>2.0</v>
      </c>
      <c r="G76" s="25">
        <v>0.0</v>
      </c>
      <c r="H76" s="25">
        <v>2.0</v>
      </c>
      <c r="I76" s="25">
        <v>0.0</v>
      </c>
      <c r="J76" s="25">
        <v>2.0</v>
      </c>
      <c r="K76" s="25">
        <v>0.0</v>
      </c>
      <c r="L76" s="25">
        <v>2.0</v>
      </c>
      <c r="M76" s="25">
        <v>1.0</v>
      </c>
      <c r="N76" s="25">
        <v>2.0</v>
      </c>
      <c r="O76" s="25">
        <v>1.0</v>
      </c>
      <c r="P76" s="25">
        <v>2.0</v>
      </c>
      <c r="Q76" s="25">
        <v>0.0</v>
      </c>
      <c r="R76" s="25">
        <v>2.0</v>
      </c>
      <c r="S76" s="25">
        <v>0.0</v>
      </c>
      <c r="T76" s="25">
        <v>2.0</v>
      </c>
      <c r="U76" s="25">
        <v>0.0</v>
      </c>
      <c r="V76" s="25">
        <v>2.0</v>
      </c>
      <c r="W76" s="25">
        <v>1.0</v>
      </c>
      <c r="X76" s="25">
        <v>3.0</v>
      </c>
      <c r="Y76" s="25">
        <v>0.0</v>
      </c>
      <c r="Z76" s="25">
        <v>3.0</v>
      </c>
      <c r="AA76" s="25">
        <v>0.0</v>
      </c>
      <c r="AB76" s="25">
        <v>1.0</v>
      </c>
      <c r="AC76" s="25">
        <v>1.0</v>
      </c>
      <c r="AD76" s="25">
        <v>2.0</v>
      </c>
      <c r="AE76" s="25">
        <v>0.0</v>
      </c>
      <c r="AF76" s="25">
        <v>2.0</v>
      </c>
      <c r="AG76" s="25">
        <v>0.0</v>
      </c>
      <c r="AH76" s="25">
        <v>2.0</v>
      </c>
      <c r="AI76" s="25">
        <v>0.0</v>
      </c>
      <c r="AJ76" s="25">
        <v>1.0</v>
      </c>
      <c r="AK76" s="25">
        <v>0.0</v>
      </c>
      <c r="AL76" s="25">
        <v>2.0</v>
      </c>
      <c r="AM76" s="25">
        <v>0.0</v>
      </c>
      <c r="AN76" s="25">
        <v>2.0</v>
      </c>
      <c r="AO76" s="25">
        <v>0.0</v>
      </c>
      <c r="AP76" s="25">
        <v>2.0</v>
      </c>
      <c r="AQ76" s="25">
        <v>0.0</v>
      </c>
      <c r="AR76" s="25">
        <v>2.0</v>
      </c>
      <c r="AS76" s="25">
        <v>1.0</v>
      </c>
      <c r="AT76" s="25">
        <v>3.0</v>
      </c>
      <c r="AU76" s="25">
        <v>0.0</v>
      </c>
      <c r="AV76" s="25">
        <v>2.0</v>
      </c>
      <c r="AW76" s="25">
        <v>1.0</v>
      </c>
      <c r="AX76" s="25">
        <v>2.0</v>
      </c>
      <c r="AY76" s="25">
        <v>0.0</v>
      </c>
      <c r="AZ76" s="25">
        <v>2.0</v>
      </c>
      <c r="BA76" s="25">
        <v>1.0</v>
      </c>
      <c r="BB76" s="25">
        <v>2.0</v>
      </c>
      <c r="BC76" s="25">
        <v>0.0</v>
      </c>
      <c r="BD76" s="25">
        <v>2.0</v>
      </c>
      <c r="BE76" s="25">
        <v>0.0</v>
      </c>
      <c r="BF76" s="25">
        <v>2.0</v>
      </c>
      <c r="BG76" s="26"/>
      <c r="BH76" s="26"/>
      <c r="BI76" s="26"/>
      <c r="BJ76" s="26"/>
    </row>
    <row r="77" ht="18.0" customHeight="1">
      <c r="A77" s="1"/>
      <c r="B77" s="13" t="s">
        <v>97</v>
      </c>
      <c r="C77" s="25">
        <v>2.0</v>
      </c>
      <c r="D77" s="25">
        <v>1.0</v>
      </c>
      <c r="E77" s="25">
        <v>1.0</v>
      </c>
      <c r="F77" s="25">
        <v>0.0</v>
      </c>
      <c r="G77" s="25">
        <v>1.0</v>
      </c>
      <c r="H77" s="25">
        <v>1.0</v>
      </c>
      <c r="I77" s="25">
        <v>1.0</v>
      </c>
      <c r="J77" s="25">
        <v>0.0</v>
      </c>
      <c r="K77" s="25">
        <v>2.0</v>
      </c>
      <c r="L77" s="25">
        <v>1.0</v>
      </c>
      <c r="M77" s="25">
        <v>2.0</v>
      </c>
      <c r="N77" s="25">
        <v>1.0</v>
      </c>
      <c r="O77" s="25">
        <v>2.0</v>
      </c>
      <c r="P77" s="25">
        <v>2.0</v>
      </c>
      <c r="Q77" s="25">
        <v>2.0</v>
      </c>
      <c r="R77" s="25">
        <v>0.0</v>
      </c>
      <c r="S77" s="25">
        <v>2.0</v>
      </c>
      <c r="T77" s="25">
        <v>0.0</v>
      </c>
      <c r="U77" s="25">
        <v>1.0</v>
      </c>
      <c r="V77" s="25">
        <v>1.0</v>
      </c>
      <c r="W77" s="25">
        <v>1.0</v>
      </c>
      <c r="X77" s="25">
        <v>1.0</v>
      </c>
      <c r="Y77" s="25">
        <v>2.0</v>
      </c>
      <c r="Z77" s="25">
        <v>1.0</v>
      </c>
      <c r="AA77" s="25">
        <v>2.0</v>
      </c>
      <c r="AB77" s="25">
        <v>1.0</v>
      </c>
      <c r="AC77" s="25">
        <v>2.0</v>
      </c>
      <c r="AD77" s="25">
        <v>1.0</v>
      </c>
      <c r="AE77" s="25">
        <v>1.0</v>
      </c>
      <c r="AF77" s="25">
        <v>1.0</v>
      </c>
      <c r="AG77" s="25">
        <v>2.0</v>
      </c>
      <c r="AH77" s="25">
        <v>1.0</v>
      </c>
      <c r="AI77" s="25">
        <v>1.0</v>
      </c>
      <c r="AJ77" s="25">
        <v>1.0</v>
      </c>
      <c r="AK77" s="25">
        <v>1.0</v>
      </c>
      <c r="AL77" s="25">
        <v>2.0</v>
      </c>
      <c r="AM77" s="25">
        <v>1.0</v>
      </c>
      <c r="AN77" s="25">
        <v>1.0</v>
      </c>
      <c r="AO77" s="25">
        <v>1.0</v>
      </c>
      <c r="AP77" s="25">
        <v>1.0</v>
      </c>
      <c r="AQ77" s="25">
        <v>1.0</v>
      </c>
      <c r="AR77" s="25">
        <v>1.0</v>
      </c>
      <c r="AS77" s="25">
        <v>2.0</v>
      </c>
      <c r="AT77" s="25">
        <v>1.0</v>
      </c>
      <c r="AU77" s="25">
        <v>1.0</v>
      </c>
      <c r="AV77" s="25">
        <v>1.0</v>
      </c>
      <c r="AW77" s="25">
        <v>2.0</v>
      </c>
      <c r="AX77" s="25">
        <v>0.0</v>
      </c>
      <c r="AY77" s="25">
        <v>1.0</v>
      </c>
      <c r="AZ77" s="25">
        <v>0.0</v>
      </c>
      <c r="BA77" s="25">
        <v>1.0</v>
      </c>
      <c r="BB77" s="25">
        <v>0.0</v>
      </c>
      <c r="BC77" s="25">
        <v>2.0</v>
      </c>
      <c r="BD77" s="25">
        <v>0.0</v>
      </c>
      <c r="BE77" s="25">
        <v>1.0</v>
      </c>
      <c r="BF77" s="25">
        <v>1.0</v>
      </c>
      <c r="BG77" s="26"/>
      <c r="BH77" s="26"/>
      <c r="BI77" s="26"/>
      <c r="BJ77" s="26"/>
    </row>
    <row r="78" ht="18.0" customHeight="1">
      <c r="A78" s="1"/>
      <c r="B78" s="13" t="s">
        <v>98</v>
      </c>
      <c r="C78" s="25">
        <v>0.0</v>
      </c>
      <c r="D78" s="25">
        <v>4.0</v>
      </c>
      <c r="E78" s="25">
        <v>0.0</v>
      </c>
      <c r="F78" s="25">
        <v>2.0</v>
      </c>
      <c r="G78" s="25">
        <v>0.0</v>
      </c>
      <c r="H78" s="25">
        <v>3.0</v>
      </c>
      <c r="I78" s="25">
        <v>0.0</v>
      </c>
      <c r="J78" s="25">
        <v>3.0</v>
      </c>
      <c r="K78" s="25">
        <v>0.0</v>
      </c>
      <c r="L78" s="25">
        <v>3.0</v>
      </c>
      <c r="M78" s="25">
        <v>1.0</v>
      </c>
      <c r="N78" s="25">
        <v>2.0</v>
      </c>
      <c r="O78" s="25">
        <v>1.0</v>
      </c>
      <c r="P78" s="25">
        <v>5.0</v>
      </c>
      <c r="Q78" s="25">
        <v>0.0</v>
      </c>
      <c r="R78" s="25">
        <v>2.0</v>
      </c>
      <c r="S78" s="25">
        <v>0.0</v>
      </c>
      <c r="T78" s="25">
        <v>2.0</v>
      </c>
      <c r="U78" s="25">
        <v>0.0</v>
      </c>
      <c r="V78" s="25">
        <v>3.0</v>
      </c>
      <c r="W78" s="25">
        <v>0.0</v>
      </c>
      <c r="X78" s="25">
        <v>2.0</v>
      </c>
      <c r="Y78" s="25">
        <v>0.0</v>
      </c>
      <c r="Z78" s="25">
        <v>4.0</v>
      </c>
      <c r="AA78" s="25">
        <v>0.0</v>
      </c>
      <c r="AB78" s="25">
        <v>2.0</v>
      </c>
      <c r="AC78" s="25">
        <v>1.0</v>
      </c>
      <c r="AD78" s="25">
        <v>2.0</v>
      </c>
      <c r="AE78" s="25">
        <v>0.0</v>
      </c>
      <c r="AF78" s="25">
        <v>3.0</v>
      </c>
      <c r="AG78" s="25">
        <v>0.0</v>
      </c>
      <c r="AH78" s="25">
        <v>3.0</v>
      </c>
      <c r="AI78" s="25">
        <v>0.0</v>
      </c>
      <c r="AJ78" s="25">
        <v>3.0</v>
      </c>
      <c r="AK78" s="25">
        <v>0.0</v>
      </c>
      <c r="AL78" s="25">
        <v>5.0</v>
      </c>
      <c r="AM78" s="25">
        <v>0.0</v>
      </c>
      <c r="AN78" s="25">
        <v>3.0</v>
      </c>
      <c r="AO78" s="25">
        <v>1.0</v>
      </c>
      <c r="AP78" s="25">
        <v>2.0</v>
      </c>
      <c r="AQ78" s="25">
        <v>0.0</v>
      </c>
      <c r="AR78" s="25">
        <v>3.0</v>
      </c>
      <c r="AS78" s="25">
        <v>1.0</v>
      </c>
      <c r="AT78" s="25">
        <v>2.0</v>
      </c>
      <c r="AU78" s="25">
        <v>0.0</v>
      </c>
      <c r="AV78" s="25">
        <v>3.0</v>
      </c>
      <c r="AW78" s="25">
        <v>1.0</v>
      </c>
      <c r="AX78" s="25">
        <v>1.0</v>
      </c>
      <c r="AY78" s="25">
        <v>0.0</v>
      </c>
      <c r="AZ78" s="25">
        <v>4.0</v>
      </c>
      <c r="BA78" s="25">
        <v>0.0</v>
      </c>
      <c r="BB78" s="25">
        <v>3.0</v>
      </c>
      <c r="BC78" s="25">
        <v>1.0</v>
      </c>
      <c r="BD78" s="25">
        <v>3.0</v>
      </c>
      <c r="BE78" s="25">
        <v>0.0</v>
      </c>
      <c r="BF78" s="25">
        <v>3.0</v>
      </c>
      <c r="BG78" s="26"/>
      <c r="BH78" s="26"/>
      <c r="BI78" s="26"/>
      <c r="BJ78" s="26"/>
    </row>
    <row r="79" ht="21.75" customHeight="1">
      <c r="A79" s="1"/>
      <c r="B79" s="11" t="s">
        <v>99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</row>
    <row r="80" ht="18.0" customHeight="1">
      <c r="A80" s="1"/>
      <c r="B80" s="13" t="s">
        <v>100</v>
      </c>
      <c r="C80" s="26" t="s">
        <v>311</v>
      </c>
      <c r="D80" s="16"/>
      <c r="E80" s="26" t="s">
        <v>311</v>
      </c>
      <c r="F80" s="16"/>
      <c r="G80" s="26" t="s">
        <v>311</v>
      </c>
      <c r="H80" s="16"/>
      <c r="I80" s="26" t="s">
        <v>311</v>
      </c>
      <c r="J80" s="16"/>
      <c r="K80" s="26" t="s">
        <v>311</v>
      </c>
      <c r="L80" s="16"/>
      <c r="M80" s="26" t="s">
        <v>311</v>
      </c>
      <c r="N80" s="16"/>
      <c r="O80" s="26" t="s">
        <v>311</v>
      </c>
      <c r="P80" s="16"/>
      <c r="Q80" s="26" t="s">
        <v>311</v>
      </c>
      <c r="R80" s="16"/>
      <c r="S80" s="26" t="s">
        <v>311</v>
      </c>
      <c r="T80" s="16"/>
      <c r="U80" s="26" t="s">
        <v>311</v>
      </c>
      <c r="V80" s="16"/>
      <c r="W80" s="26" t="s">
        <v>312</v>
      </c>
      <c r="X80" s="16"/>
      <c r="Y80" s="26" t="s">
        <v>312</v>
      </c>
      <c r="Z80" s="16"/>
      <c r="AA80" s="26" t="s">
        <v>311</v>
      </c>
      <c r="AB80" s="16"/>
      <c r="AC80" s="26" t="s">
        <v>313</v>
      </c>
      <c r="AD80" s="16"/>
      <c r="AE80" s="26" t="s">
        <v>311</v>
      </c>
      <c r="AF80" s="16"/>
      <c r="AG80" s="26" t="s">
        <v>311</v>
      </c>
      <c r="AH80" s="16"/>
      <c r="AI80" s="26" t="s">
        <v>313</v>
      </c>
      <c r="AJ80" s="16"/>
      <c r="AK80" s="26" t="s">
        <v>311</v>
      </c>
      <c r="AL80" s="16"/>
      <c r="AM80" s="26" t="s">
        <v>311</v>
      </c>
      <c r="AN80" s="16"/>
      <c r="AO80" s="26" t="s">
        <v>311</v>
      </c>
      <c r="AP80" s="16"/>
      <c r="AQ80" s="26" t="s">
        <v>311</v>
      </c>
      <c r="AR80" s="16"/>
      <c r="AS80" s="26" t="s">
        <v>311</v>
      </c>
      <c r="AT80" s="16"/>
      <c r="AU80" s="26" t="s">
        <v>311</v>
      </c>
      <c r="AV80" s="16"/>
      <c r="AW80" s="26" t="s">
        <v>311</v>
      </c>
      <c r="AX80" s="16"/>
      <c r="AY80" s="26" t="s">
        <v>311</v>
      </c>
      <c r="AZ80" s="16"/>
      <c r="BA80" s="26" t="s">
        <v>311</v>
      </c>
      <c r="BB80" s="16"/>
      <c r="BC80" s="26" t="s">
        <v>311</v>
      </c>
      <c r="BD80" s="16"/>
      <c r="BE80" s="26" t="s">
        <v>312</v>
      </c>
      <c r="BF80" s="16"/>
      <c r="BG80" s="26"/>
      <c r="BH80" s="16"/>
      <c r="BI80" s="26"/>
      <c r="BJ80" s="16"/>
    </row>
    <row r="81" ht="18.0" customHeight="1">
      <c r="A81" s="1"/>
      <c r="B81" s="13" t="s">
        <v>101</v>
      </c>
      <c r="C81" s="26" t="s">
        <v>313</v>
      </c>
      <c r="D81" s="16"/>
      <c r="E81" s="26" t="s">
        <v>312</v>
      </c>
      <c r="F81" s="16"/>
      <c r="G81" s="26" t="s">
        <v>313</v>
      </c>
      <c r="H81" s="16"/>
      <c r="I81" s="26" t="s">
        <v>312</v>
      </c>
      <c r="J81" s="16"/>
      <c r="K81" s="26" t="s">
        <v>313</v>
      </c>
      <c r="L81" s="16"/>
      <c r="M81" s="26" t="s">
        <v>312</v>
      </c>
      <c r="N81" s="16"/>
      <c r="O81" s="26" t="s">
        <v>312</v>
      </c>
      <c r="P81" s="16"/>
      <c r="Q81" s="26" t="s">
        <v>312</v>
      </c>
      <c r="R81" s="16"/>
      <c r="S81" s="26" t="s">
        <v>312</v>
      </c>
      <c r="T81" s="16"/>
      <c r="U81" s="26" t="s">
        <v>312</v>
      </c>
      <c r="V81" s="16"/>
      <c r="W81" s="26" t="s">
        <v>311</v>
      </c>
      <c r="X81" s="16"/>
      <c r="Y81" s="26" t="s">
        <v>313</v>
      </c>
      <c r="Z81" s="16"/>
      <c r="AA81" s="26" t="s">
        <v>312</v>
      </c>
      <c r="AB81" s="16"/>
      <c r="AC81" s="26" t="s">
        <v>311</v>
      </c>
      <c r="AD81" s="16"/>
      <c r="AE81" s="26" t="s">
        <v>313</v>
      </c>
      <c r="AF81" s="16"/>
      <c r="AG81" s="26" t="s">
        <v>312</v>
      </c>
      <c r="AH81" s="16"/>
      <c r="AI81" s="26" t="s">
        <v>311</v>
      </c>
      <c r="AJ81" s="16"/>
      <c r="AK81" s="26" t="s">
        <v>312</v>
      </c>
      <c r="AL81" s="16"/>
      <c r="AM81" s="26" t="s">
        <v>312</v>
      </c>
      <c r="AN81" s="16"/>
      <c r="AO81" s="26" t="s">
        <v>312</v>
      </c>
      <c r="AP81" s="16"/>
      <c r="AQ81" s="26" t="s">
        <v>312</v>
      </c>
      <c r="AR81" s="16"/>
      <c r="AS81" s="26" t="s">
        <v>313</v>
      </c>
      <c r="AT81" s="16"/>
      <c r="AU81" s="26" t="s">
        <v>312</v>
      </c>
      <c r="AV81" s="16"/>
      <c r="AW81" s="26" t="s">
        <v>313</v>
      </c>
      <c r="AX81" s="16"/>
      <c r="AY81" s="26" t="s">
        <v>314</v>
      </c>
      <c r="AZ81" s="16"/>
      <c r="BA81" s="26" t="s">
        <v>312</v>
      </c>
      <c r="BB81" s="16"/>
      <c r="BC81" s="26" t="s">
        <v>312</v>
      </c>
      <c r="BD81" s="16"/>
      <c r="BE81" s="26" t="s">
        <v>311</v>
      </c>
      <c r="BF81" s="16"/>
      <c r="BG81" s="26"/>
      <c r="BH81" s="16"/>
      <c r="BI81" s="26"/>
      <c r="BJ81" s="16"/>
    </row>
    <row r="82" ht="18.0" customHeight="1">
      <c r="A82" s="1"/>
      <c r="B82" s="13" t="s">
        <v>102</v>
      </c>
      <c r="C82" s="26" t="s">
        <v>312</v>
      </c>
      <c r="D82" s="16"/>
      <c r="E82" s="26" t="s">
        <v>313</v>
      </c>
      <c r="F82" s="16"/>
      <c r="G82" s="26" t="s">
        <v>312</v>
      </c>
      <c r="H82" s="16"/>
      <c r="I82" s="26" t="s">
        <v>313</v>
      </c>
      <c r="J82" s="16"/>
      <c r="K82" s="26" t="s">
        <v>312</v>
      </c>
      <c r="L82" s="16"/>
      <c r="M82" s="26" t="s">
        <v>313</v>
      </c>
      <c r="N82" s="16"/>
      <c r="O82" s="26" t="s">
        <v>313</v>
      </c>
      <c r="P82" s="16"/>
      <c r="Q82" s="26" t="s">
        <v>313</v>
      </c>
      <c r="R82" s="16"/>
      <c r="S82" s="26" t="s">
        <v>313</v>
      </c>
      <c r="T82" s="16"/>
      <c r="U82" s="26" t="s">
        <v>313</v>
      </c>
      <c r="V82" s="16"/>
      <c r="W82" s="26" t="s">
        <v>314</v>
      </c>
      <c r="X82" s="16"/>
      <c r="Y82" s="26" t="s">
        <v>311</v>
      </c>
      <c r="Z82" s="16"/>
      <c r="AA82" s="26" t="s">
        <v>313</v>
      </c>
      <c r="AB82" s="16"/>
      <c r="AC82" s="26" t="s">
        <v>312</v>
      </c>
      <c r="AD82" s="16"/>
      <c r="AE82" s="26" t="s">
        <v>312</v>
      </c>
      <c r="AF82" s="16"/>
      <c r="AG82" s="26" t="s">
        <v>313</v>
      </c>
      <c r="AH82" s="16"/>
      <c r="AI82" s="26" t="s">
        <v>314</v>
      </c>
      <c r="AJ82" s="16"/>
      <c r="AK82" s="26" t="s">
        <v>313</v>
      </c>
      <c r="AL82" s="16"/>
      <c r="AM82" s="26" t="s">
        <v>313</v>
      </c>
      <c r="AN82" s="16"/>
      <c r="AO82" s="26" t="s">
        <v>313</v>
      </c>
      <c r="AP82" s="16"/>
      <c r="AQ82" s="26" t="s">
        <v>313</v>
      </c>
      <c r="AR82" s="16"/>
      <c r="AS82" s="26" t="s">
        <v>314</v>
      </c>
      <c r="AT82" s="16"/>
      <c r="AU82" s="26" t="s">
        <v>313</v>
      </c>
      <c r="AV82" s="16"/>
      <c r="AW82" s="26" t="s">
        <v>314</v>
      </c>
      <c r="AX82" s="16"/>
      <c r="AY82" s="26" t="s">
        <v>312</v>
      </c>
      <c r="AZ82" s="16"/>
      <c r="BA82" s="26" t="s">
        <v>313</v>
      </c>
      <c r="BB82" s="16"/>
      <c r="BC82" s="26" t="s">
        <v>313</v>
      </c>
      <c r="BD82" s="16"/>
      <c r="BE82" s="26" t="s">
        <v>313</v>
      </c>
      <c r="BF82" s="16"/>
      <c r="BG82" s="26"/>
      <c r="BH82" s="16"/>
      <c r="BI82" s="26"/>
      <c r="BJ82" s="16"/>
    </row>
    <row r="83" ht="18.0" customHeight="1">
      <c r="A83" s="1"/>
      <c r="B83" s="13" t="s">
        <v>103</v>
      </c>
      <c r="C83" s="26" t="s">
        <v>315</v>
      </c>
      <c r="D83" s="16"/>
      <c r="E83" s="26" t="s">
        <v>316</v>
      </c>
      <c r="F83" s="16"/>
      <c r="G83" s="26" t="s">
        <v>316</v>
      </c>
      <c r="H83" s="16"/>
      <c r="I83" s="26" t="s">
        <v>316</v>
      </c>
      <c r="J83" s="16"/>
      <c r="K83" s="26" t="s">
        <v>316</v>
      </c>
      <c r="L83" s="16"/>
      <c r="M83" s="26" t="s">
        <v>316</v>
      </c>
      <c r="N83" s="16"/>
      <c r="O83" s="26" t="s">
        <v>317</v>
      </c>
      <c r="P83" s="16"/>
      <c r="Q83" s="26" t="s">
        <v>315</v>
      </c>
      <c r="R83" s="16"/>
      <c r="S83" s="26" t="s">
        <v>316</v>
      </c>
      <c r="T83" s="16"/>
      <c r="U83" s="26" t="s">
        <v>316</v>
      </c>
      <c r="V83" s="16"/>
      <c r="W83" s="26" t="s">
        <v>316</v>
      </c>
      <c r="X83" s="16"/>
      <c r="Y83" s="26" t="s">
        <v>316</v>
      </c>
      <c r="Z83" s="16"/>
      <c r="AA83" s="26" t="s">
        <v>315</v>
      </c>
      <c r="AB83" s="16"/>
      <c r="AC83" s="26" t="s">
        <v>316</v>
      </c>
      <c r="AD83" s="16"/>
      <c r="AE83" s="26" t="s">
        <v>316</v>
      </c>
      <c r="AF83" s="16"/>
      <c r="AG83" s="26" t="s">
        <v>316</v>
      </c>
      <c r="AH83" s="16"/>
      <c r="AI83" s="26" t="s">
        <v>316</v>
      </c>
      <c r="AJ83" s="16"/>
      <c r="AK83" s="26" t="s">
        <v>316</v>
      </c>
      <c r="AL83" s="16"/>
      <c r="AM83" s="26" t="s">
        <v>316</v>
      </c>
      <c r="AN83" s="16"/>
      <c r="AO83" s="26" t="s">
        <v>316</v>
      </c>
      <c r="AP83" s="16"/>
      <c r="AQ83" s="26" t="s">
        <v>316</v>
      </c>
      <c r="AR83" s="16"/>
      <c r="AS83" s="26" t="s">
        <v>315</v>
      </c>
      <c r="AT83" s="16"/>
      <c r="AU83" s="26" t="s">
        <v>316</v>
      </c>
      <c r="AV83" s="16"/>
      <c r="AW83" s="26" t="s">
        <v>317</v>
      </c>
      <c r="AX83" s="16"/>
      <c r="AY83" s="26" t="s">
        <v>316</v>
      </c>
      <c r="AZ83" s="16"/>
      <c r="BA83" s="26" t="s">
        <v>316</v>
      </c>
      <c r="BB83" s="16"/>
      <c r="BC83" s="26" t="s">
        <v>316</v>
      </c>
      <c r="BD83" s="16"/>
      <c r="BE83" s="26" t="s">
        <v>315</v>
      </c>
      <c r="BF83" s="16"/>
      <c r="BG83" s="26"/>
      <c r="BH83" s="16"/>
      <c r="BI83" s="26"/>
      <c r="BJ83" s="16"/>
    </row>
    <row r="84" ht="18.0" customHeight="1">
      <c r="A84" s="1"/>
      <c r="B84" s="13" t="s">
        <v>104</v>
      </c>
      <c r="C84" s="26" t="s">
        <v>316</v>
      </c>
      <c r="D84" s="16"/>
      <c r="E84" s="26" t="s">
        <v>315</v>
      </c>
      <c r="F84" s="16"/>
      <c r="G84" s="26" t="s">
        <v>315</v>
      </c>
      <c r="H84" s="16"/>
      <c r="I84" s="26" t="s">
        <v>315</v>
      </c>
      <c r="J84" s="16"/>
      <c r="K84" s="26" t="s">
        <v>315</v>
      </c>
      <c r="L84" s="16"/>
      <c r="M84" s="26" t="s">
        <v>315</v>
      </c>
      <c r="N84" s="16"/>
      <c r="O84" s="26" t="s">
        <v>316</v>
      </c>
      <c r="P84" s="16"/>
      <c r="Q84" s="26" t="s">
        <v>316</v>
      </c>
      <c r="R84" s="16"/>
      <c r="S84" s="26" t="s">
        <v>315</v>
      </c>
      <c r="T84" s="16"/>
      <c r="U84" s="26" t="s">
        <v>315</v>
      </c>
      <c r="V84" s="16"/>
      <c r="W84" s="26" t="s">
        <v>315</v>
      </c>
      <c r="X84" s="16"/>
      <c r="Y84" s="26" t="s">
        <v>318</v>
      </c>
      <c r="Z84" s="16"/>
      <c r="AA84" s="26" t="s">
        <v>316</v>
      </c>
      <c r="AB84" s="16"/>
      <c r="AC84" s="26" t="s">
        <v>318</v>
      </c>
      <c r="AD84" s="16"/>
      <c r="AE84" s="26" t="s">
        <v>315</v>
      </c>
      <c r="AF84" s="16"/>
      <c r="AG84" s="26" t="s">
        <v>315</v>
      </c>
      <c r="AH84" s="16"/>
      <c r="AI84" s="26" t="s">
        <v>315</v>
      </c>
      <c r="AJ84" s="16"/>
      <c r="AK84" s="26" t="s">
        <v>315</v>
      </c>
      <c r="AL84" s="16"/>
      <c r="AM84" s="26" t="s">
        <v>315</v>
      </c>
      <c r="AN84" s="16"/>
      <c r="AO84" s="26" t="s">
        <v>315</v>
      </c>
      <c r="AP84" s="16"/>
      <c r="AQ84" s="26" t="s">
        <v>315</v>
      </c>
      <c r="AR84" s="16"/>
      <c r="AS84" s="26" t="s">
        <v>316</v>
      </c>
      <c r="AT84" s="16"/>
      <c r="AU84" s="26" t="s">
        <v>315</v>
      </c>
      <c r="AV84" s="16"/>
      <c r="AW84" s="26" t="s">
        <v>316</v>
      </c>
      <c r="AX84" s="16"/>
      <c r="AY84" s="26" t="s">
        <v>315</v>
      </c>
      <c r="AZ84" s="16"/>
      <c r="BA84" s="26" t="s">
        <v>315</v>
      </c>
      <c r="BB84" s="16"/>
      <c r="BC84" s="26" t="s">
        <v>317</v>
      </c>
      <c r="BD84" s="16"/>
      <c r="BE84" s="26" t="s">
        <v>316</v>
      </c>
      <c r="BF84" s="16"/>
      <c r="BG84" s="26"/>
      <c r="BH84" s="16"/>
      <c r="BI84" s="26"/>
      <c r="BJ84" s="16"/>
    </row>
    <row r="85" ht="18.0" customHeight="1">
      <c r="A85" s="1"/>
      <c r="B85" s="13" t="s">
        <v>105</v>
      </c>
      <c r="C85" s="26" t="s">
        <v>318</v>
      </c>
      <c r="D85" s="16"/>
      <c r="E85" s="26" t="s">
        <v>318</v>
      </c>
      <c r="F85" s="16"/>
      <c r="G85" s="26" t="s">
        <v>317</v>
      </c>
      <c r="H85" s="16"/>
      <c r="I85" s="26" t="s">
        <v>318</v>
      </c>
      <c r="J85" s="16"/>
      <c r="K85" s="26" t="s">
        <v>318</v>
      </c>
      <c r="L85" s="16"/>
      <c r="M85" s="26" t="s">
        <v>318</v>
      </c>
      <c r="N85" s="16"/>
      <c r="O85" s="26" t="s">
        <v>315</v>
      </c>
      <c r="P85" s="16"/>
      <c r="Q85" s="26" t="s">
        <v>318</v>
      </c>
      <c r="R85" s="16"/>
      <c r="S85" s="26" t="s">
        <v>318</v>
      </c>
      <c r="T85" s="16"/>
      <c r="U85" s="26" t="s">
        <v>318</v>
      </c>
      <c r="V85" s="16"/>
      <c r="W85" s="26" t="s">
        <v>317</v>
      </c>
      <c r="X85" s="16"/>
      <c r="Y85" s="26" t="s">
        <v>315</v>
      </c>
      <c r="Z85" s="16"/>
      <c r="AA85" s="26" t="s">
        <v>318</v>
      </c>
      <c r="AB85" s="16"/>
      <c r="AC85" s="26" t="s">
        <v>315</v>
      </c>
      <c r="AD85" s="16"/>
      <c r="AE85" s="26" t="s">
        <v>318</v>
      </c>
      <c r="AF85" s="16"/>
      <c r="AG85" s="26" t="s">
        <v>318</v>
      </c>
      <c r="AH85" s="16"/>
      <c r="AI85" s="26" t="s">
        <v>318</v>
      </c>
      <c r="AJ85" s="16"/>
      <c r="AK85" s="26" t="s">
        <v>318</v>
      </c>
      <c r="AL85" s="16"/>
      <c r="AM85" s="26" t="s">
        <v>318</v>
      </c>
      <c r="AN85" s="16"/>
      <c r="AO85" s="26" t="s">
        <v>318</v>
      </c>
      <c r="AP85" s="16"/>
      <c r="AQ85" s="26" t="s">
        <v>318</v>
      </c>
      <c r="AR85" s="16"/>
      <c r="AS85" s="26" t="s">
        <v>318</v>
      </c>
      <c r="AT85" s="16"/>
      <c r="AU85" s="26" t="s">
        <v>318</v>
      </c>
      <c r="AV85" s="16"/>
      <c r="AW85" s="26" t="s">
        <v>315</v>
      </c>
      <c r="AX85" s="16"/>
      <c r="AY85" s="26" t="s">
        <v>318</v>
      </c>
      <c r="AZ85" s="16"/>
      <c r="BA85" s="26" t="s">
        <v>317</v>
      </c>
      <c r="BB85" s="16"/>
      <c r="BC85" s="26" t="s">
        <v>315</v>
      </c>
      <c r="BD85" s="16"/>
      <c r="BE85" s="26" t="s">
        <v>318</v>
      </c>
      <c r="BF85" s="16"/>
      <c r="BG85" s="26"/>
      <c r="BH85" s="16"/>
      <c r="BI85" s="26"/>
      <c r="BJ85" s="16"/>
    </row>
    <row r="86" ht="18.0" customHeight="1">
      <c r="A86" s="1"/>
      <c r="B86" s="13" t="s">
        <v>106</v>
      </c>
      <c r="C86" s="26" t="s">
        <v>319</v>
      </c>
      <c r="D86" s="16"/>
      <c r="E86" s="26" t="s">
        <v>319</v>
      </c>
      <c r="F86" s="16"/>
      <c r="G86" s="26" t="s">
        <v>319</v>
      </c>
      <c r="H86" s="16"/>
      <c r="I86" s="26" t="s">
        <v>320</v>
      </c>
      <c r="J86" s="16"/>
      <c r="K86" s="26" t="s">
        <v>319</v>
      </c>
      <c r="L86" s="16"/>
      <c r="M86" s="26" t="s">
        <v>319</v>
      </c>
      <c r="N86" s="16"/>
      <c r="O86" s="26" t="s">
        <v>319</v>
      </c>
      <c r="P86" s="16"/>
      <c r="Q86" s="26" t="s">
        <v>319</v>
      </c>
      <c r="R86" s="16"/>
      <c r="S86" s="26" t="s">
        <v>319</v>
      </c>
      <c r="T86" s="16"/>
      <c r="U86" s="26" t="s">
        <v>319</v>
      </c>
      <c r="V86" s="16"/>
      <c r="W86" s="26" t="s">
        <v>319</v>
      </c>
      <c r="X86" s="16"/>
      <c r="Y86" s="26" t="s">
        <v>320</v>
      </c>
      <c r="Z86" s="16"/>
      <c r="AA86" s="26" t="s">
        <v>319</v>
      </c>
      <c r="AB86" s="16"/>
      <c r="AC86" s="26" t="s">
        <v>319</v>
      </c>
      <c r="AD86" s="16"/>
      <c r="AE86" s="26" t="s">
        <v>319</v>
      </c>
      <c r="AF86" s="16"/>
      <c r="AG86" s="26" t="s">
        <v>319</v>
      </c>
      <c r="AH86" s="16"/>
      <c r="AI86" s="26" t="s">
        <v>319</v>
      </c>
      <c r="AJ86" s="16"/>
      <c r="AK86" s="26" t="s">
        <v>319</v>
      </c>
      <c r="AL86" s="16"/>
      <c r="AM86" s="26" t="s">
        <v>319</v>
      </c>
      <c r="AN86" s="16"/>
      <c r="AO86" s="26" t="s">
        <v>319</v>
      </c>
      <c r="AP86" s="16"/>
      <c r="AQ86" s="26" t="s">
        <v>319</v>
      </c>
      <c r="AR86" s="16"/>
      <c r="AS86" s="26" t="s">
        <v>320</v>
      </c>
      <c r="AT86" s="16"/>
      <c r="AU86" s="26" t="s">
        <v>319</v>
      </c>
      <c r="AV86" s="16"/>
      <c r="AW86" s="26" t="s">
        <v>321</v>
      </c>
      <c r="AX86" s="16"/>
      <c r="AY86" s="26" t="s">
        <v>319</v>
      </c>
      <c r="AZ86" s="16"/>
      <c r="BA86" s="26" t="s">
        <v>319</v>
      </c>
      <c r="BB86" s="16"/>
      <c r="BC86" s="26" t="s">
        <v>319</v>
      </c>
      <c r="BD86" s="16"/>
      <c r="BE86" s="26" t="s">
        <v>319</v>
      </c>
      <c r="BF86" s="16"/>
      <c r="BG86" s="26"/>
      <c r="BH86" s="16"/>
      <c r="BI86" s="26"/>
      <c r="BJ86" s="16"/>
    </row>
    <row r="87" ht="18.0" customHeight="1">
      <c r="A87" s="1"/>
      <c r="B87" s="13" t="s">
        <v>107</v>
      </c>
      <c r="C87" s="26" t="s">
        <v>320</v>
      </c>
      <c r="D87" s="16"/>
      <c r="E87" s="26" t="s">
        <v>320</v>
      </c>
      <c r="F87" s="16"/>
      <c r="G87" s="26" t="s">
        <v>320</v>
      </c>
      <c r="H87" s="16"/>
      <c r="I87" s="26" t="s">
        <v>319</v>
      </c>
      <c r="J87" s="16"/>
      <c r="K87" s="26" t="s">
        <v>321</v>
      </c>
      <c r="L87" s="16"/>
      <c r="M87" s="26" t="s">
        <v>320</v>
      </c>
      <c r="N87" s="16"/>
      <c r="O87" s="26" t="s">
        <v>320</v>
      </c>
      <c r="P87" s="16"/>
      <c r="Q87" s="26" t="s">
        <v>320</v>
      </c>
      <c r="R87" s="16"/>
      <c r="S87" s="26" t="s">
        <v>320</v>
      </c>
      <c r="T87" s="16"/>
      <c r="U87" s="26" t="s">
        <v>320</v>
      </c>
      <c r="V87" s="16"/>
      <c r="W87" s="26" t="s">
        <v>320</v>
      </c>
      <c r="X87" s="16"/>
      <c r="Y87" s="26" t="s">
        <v>319</v>
      </c>
      <c r="Z87" s="16"/>
      <c r="AA87" s="26" t="s">
        <v>320</v>
      </c>
      <c r="AB87" s="16"/>
      <c r="AC87" s="26" t="s">
        <v>320</v>
      </c>
      <c r="AD87" s="16"/>
      <c r="AE87" s="26" t="s">
        <v>320</v>
      </c>
      <c r="AF87" s="16"/>
      <c r="AG87" s="26" t="s">
        <v>320</v>
      </c>
      <c r="AH87" s="16"/>
      <c r="AI87" s="26" t="s">
        <v>320</v>
      </c>
      <c r="AJ87" s="16"/>
      <c r="AK87" s="26" t="s">
        <v>320</v>
      </c>
      <c r="AL87" s="16"/>
      <c r="AM87" s="26" t="s">
        <v>321</v>
      </c>
      <c r="AN87" s="16"/>
      <c r="AO87" s="26" t="s">
        <v>320</v>
      </c>
      <c r="AP87" s="16"/>
      <c r="AQ87" s="26" t="s">
        <v>320</v>
      </c>
      <c r="AR87" s="16"/>
      <c r="AS87" s="26" t="s">
        <v>319</v>
      </c>
      <c r="AT87" s="16"/>
      <c r="AU87" s="26" t="s">
        <v>320</v>
      </c>
      <c r="AV87" s="16"/>
      <c r="AW87" s="26" t="s">
        <v>319</v>
      </c>
      <c r="AX87" s="16"/>
      <c r="AY87" s="26" t="s">
        <v>320</v>
      </c>
      <c r="AZ87" s="16"/>
      <c r="BA87" s="26" t="s">
        <v>320</v>
      </c>
      <c r="BB87" s="16"/>
      <c r="BC87" s="26" t="s">
        <v>320</v>
      </c>
      <c r="BD87" s="16"/>
      <c r="BE87" s="26" t="s">
        <v>320</v>
      </c>
      <c r="BF87" s="16"/>
      <c r="BG87" s="26"/>
      <c r="BH87" s="16"/>
      <c r="BI87" s="26"/>
      <c r="BJ87" s="16"/>
    </row>
    <row r="88" ht="18.0" customHeight="1">
      <c r="A88" s="1"/>
      <c r="B88" s="13" t="s">
        <v>108</v>
      </c>
      <c r="C88" s="26" t="s">
        <v>321</v>
      </c>
      <c r="D88" s="16"/>
      <c r="E88" s="26" t="s">
        <v>321</v>
      </c>
      <c r="F88" s="16"/>
      <c r="G88" s="26" t="s">
        <v>321</v>
      </c>
      <c r="H88" s="16"/>
      <c r="I88" s="26" t="s">
        <v>321</v>
      </c>
      <c r="J88" s="16"/>
      <c r="K88" s="26" t="s">
        <v>320</v>
      </c>
      <c r="L88" s="16"/>
      <c r="M88" s="26" t="s">
        <v>321</v>
      </c>
      <c r="N88" s="16"/>
      <c r="O88" s="26" t="s">
        <v>321</v>
      </c>
      <c r="P88" s="16"/>
      <c r="Q88" s="26" t="s">
        <v>321</v>
      </c>
      <c r="R88" s="16"/>
      <c r="S88" s="26" t="s">
        <v>321</v>
      </c>
      <c r="T88" s="16"/>
      <c r="U88" s="26" t="s">
        <v>321</v>
      </c>
      <c r="V88" s="16"/>
      <c r="W88" s="26" t="s">
        <v>321</v>
      </c>
      <c r="X88" s="16"/>
      <c r="Y88" s="26" t="s">
        <v>321</v>
      </c>
      <c r="Z88" s="16"/>
      <c r="AA88" s="26" t="s">
        <v>321</v>
      </c>
      <c r="AB88" s="16"/>
      <c r="AC88" s="26" t="s">
        <v>321</v>
      </c>
      <c r="AD88" s="16"/>
      <c r="AE88" s="26" t="s">
        <v>321</v>
      </c>
      <c r="AF88" s="16"/>
      <c r="AG88" s="26" t="s">
        <v>321</v>
      </c>
      <c r="AH88" s="16"/>
      <c r="AI88" s="26" t="s">
        <v>322</v>
      </c>
      <c r="AJ88" s="16"/>
      <c r="AK88" s="26" t="s">
        <v>321</v>
      </c>
      <c r="AL88" s="16"/>
      <c r="AM88" s="26" t="s">
        <v>320</v>
      </c>
      <c r="AN88" s="16"/>
      <c r="AO88" s="26" t="s">
        <v>321</v>
      </c>
      <c r="AP88" s="16"/>
      <c r="AQ88" s="26" t="s">
        <v>321</v>
      </c>
      <c r="AR88" s="16"/>
      <c r="AS88" s="26" t="s">
        <v>321</v>
      </c>
      <c r="AT88" s="16"/>
      <c r="AU88" s="26" t="s">
        <v>321</v>
      </c>
      <c r="AV88" s="16"/>
      <c r="AW88" s="26" t="s">
        <v>320</v>
      </c>
      <c r="AX88" s="16"/>
      <c r="AY88" s="26" t="s">
        <v>321</v>
      </c>
      <c r="AZ88" s="16"/>
      <c r="BA88" s="26" t="s">
        <v>321</v>
      </c>
      <c r="BB88" s="16"/>
      <c r="BC88" s="26" t="s">
        <v>321</v>
      </c>
      <c r="BD88" s="16"/>
      <c r="BE88" s="26" t="s">
        <v>321</v>
      </c>
      <c r="BF88" s="16"/>
      <c r="BG88" s="26"/>
      <c r="BH88" s="16"/>
      <c r="BI88" s="26"/>
      <c r="BJ88" s="16"/>
    </row>
    <row r="89" ht="18.0" customHeight="1">
      <c r="A89" s="1"/>
      <c r="B89" s="13" t="s">
        <v>109</v>
      </c>
      <c r="C89" s="26" t="s">
        <v>323</v>
      </c>
      <c r="D89" s="16"/>
      <c r="E89" s="26" t="s">
        <v>324</v>
      </c>
      <c r="F89" s="16"/>
      <c r="G89" s="26" t="s">
        <v>324</v>
      </c>
      <c r="H89" s="16"/>
      <c r="I89" s="26" t="s">
        <v>324</v>
      </c>
      <c r="J89" s="16"/>
      <c r="K89" s="26" t="s">
        <v>324</v>
      </c>
      <c r="L89" s="16"/>
      <c r="M89" s="26" t="s">
        <v>323</v>
      </c>
      <c r="N89" s="16"/>
      <c r="O89" s="26" t="s">
        <v>324</v>
      </c>
      <c r="P89" s="16"/>
      <c r="Q89" s="26" t="s">
        <v>324</v>
      </c>
      <c r="R89" s="16"/>
      <c r="S89" s="26" t="s">
        <v>323</v>
      </c>
      <c r="T89" s="16"/>
      <c r="U89" s="26" t="s">
        <v>324</v>
      </c>
      <c r="V89" s="16"/>
      <c r="W89" s="26" t="s">
        <v>324</v>
      </c>
      <c r="X89" s="16"/>
      <c r="Y89" s="26" t="s">
        <v>324</v>
      </c>
      <c r="Z89" s="16"/>
      <c r="AA89" s="26" t="s">
        <v>323</v>
      </c>
      <c r="AB89" s="16"/>
      <c r="AC89" s="26" t="s">
        <v>325</v>
      </c>
      <c r="AD89" s="16"/>
      <c r="AE89" s="26" t="s">
        <v>323</v>
      </c>
      <c r="AF89" s="16"/>
      <c r="AG89" s="26" t="s">
        <v>324</v>
      </c>
      <c r="AH89" s="16"/>
      <c r="AI89" s="26" t="s">
        <v>323</v>
      </c>
      <c r="AJ89" s="16"/>
      <c r="AK89" s="26" t="s">
        <v>324</v>
      </c>
      <c r="AL89" s="16"/>
      <c r="AM89" s="26" t="s">
        <v>323</v>
      </c>
      <c r="AN89" s="16"/>
      <c r="AO89" s="26" t="s">
        <v>323</v>
      </c>
      <c r="AP89" s="16"/>
      <c r="AQ89" s="26" t="s">
        <v>323</v>
      </c>
      <c r="AR89" s="16"/>
      <c r="AS89" s="26" t="s">
        <v>324</v>
      </c>
      <c r="AT89" s="16"/>
      <c r="AU89" s="26" t="s">
        <v>323</v>
      </c>
      <c r="AV89" s="16"/>
      <c r="AW89" s="26" t="s">
        <v>326</v>
      </c>
      <c r="AX89" s="16"/>
      <c r="AY89" s="26" t="s">
        <v>324</v>
      </c>
      <c r="AZ89" s="16"/>
      <c r="BA89" s="26" t="s">
        <v>324</v>
      </c>
      <c r="BB89" s="16"/>
      <c r="BC89" s="26" t="s">
        <v>324</v>
      </c>
      <c r="BD89" s="16"/>
      <c r="BE89" s="26" t="s">
        <v>323</v>
      </c>
      <c r="BF89" s="16"/>
      <c r="BG89" s="26"/>
      <c r="BH89" s="16"/>
      <c r="BI89" s="26"/>
      <c r="BJ89" s="16"/>
    </row>
    <row r="90" ht="18.0" customHeight="1">
      <c r="A90" s="1"/>
      <c r="B90" s="13" t="s">
        <v>110</v>
      </c>
      <c r="C90" s="26" t="s">
        <v>324</v>
      </c>
      <c r="D90" s="16"/>
      <c r="E90" s="26" t="s">
        <v>323</v>
      </c>
      <c r="F90" s="16"/>
      <c r="G90" s="26" t="s">
        <v>323</v>
      </c>
      <c r="H90" s="16"/>
      <c r="I90" s="26" t="s">
        <v>323</v>
      </c>
      <c r="J90" s="16"/>
      <c r="K90" s="26" t="s">
        <v>323</v>
      </c>
      <c r="L90" s="16"/>
      <c r="M90" s="26" t="s">
        <v>324</v>
      </c>
      <c r="N90" s="16"/>
      <c r="O90" s="26" t="s">
        <v>326</v>
      </c>
      <c r="P90" s="16"/>
      <c r="Q90" s="26" t="s">
        <v>323</v>
      </c>
      <c r="R90" s="16"/>
      <c r="S90" s="26" t="s">
        <v>326</v>
      </c>
      <c r="T90" s="16"/>
      <c r="U90" s="26" t="s">
        <v>323</v>
      </c>
      <c r="V90" s="16"/>
      <c r="W90" s="26" t="s">
        <v>323</v>
      </c>
      <c r="X90" s="16"/>
      <c r="Y90" s="26" t="s">
        <v>323</v>
      </c>
      <c r="Z90" s="16"/>
      <c r="AA90" s="26" t="s">
        <v>324</v>
      </c>
      <c r="AB90" s="16"/>
      <c r="AC90" s="26" t="s">
        <v>326</v>
      </c>
      <c r="AD90" s="16"/>
      <c r="AE90" s="26" t="s">
        <v>324</v>
      </c>
      <c r="AF90" s="16"/>
      <c r="AG90" s="26" t="s">
        <v>323</v>
      </c>
      <c r="AH90" s="16"/>
      <c r="AI90" s="26" t="s">
        <v>324</v>
      </c>
      <c r="AJ90" s="16"/>
      <c r="AK90" s="26" t="s">
        <v>323</v>
      </c>
      <c r="AL90" s="16"/>
      <c r="AM90" s="26" t="s">
        <v>324</v>
      </c>
      <c r="AN90" s="16"/>
      <c r="AO90" s="26" t="s">
        <v>324</v>
      </c>
      <c r="AP90" s="16"/>
      <c r="AQ90" s="26" t="s">
        <v>326</v>
      </c>
      <c r="AR90" s="16"/>
      <c r="AS90" s="26" t="s">
        <v>323</v>
      </c>
      <c r="AT90" s="16"/>
      <c r="AU90" s="26" t="s">
        <v>324</v>
      </c>
      <c r="AV90" s="16"/>
      <c r="AW90" s="26" t="s">
        <v>325</v>
      </c>
      <c r="AX90" s="16"/>
      <c r="AY90" s="26" t="s">
        <v>326</v>
      </c>
      <c r="AZ90" s="16"/>
      <c r="BA90" s="26" t="s">
        <v>325</v>
      </c>
      <c r="BB90" s="16"/>
      <c r="BC90" s="26" t="s">
        <v>323</v>
      </c>
      <c r="BD90" s="16"/>
      <c r="BE90" s="26" t="s">
        <v>324</v>
      </c>
      <c r="BF90" s="16"/>
      <c r="BG90" s="26"/>
      <c r="BH90" s="16"/>
      <c r="BI90" s="26"/>
      <c r="BJ90" s="16"/>
    </row>
    <row r="91" ht="18.0" customHeight="1">
      <c r="A91" s="1"/>
      <c r="B91" s="13" t="s">
        <v>111</v>
      </c>
      <c r="C91" s="26" t="s">
        <v>326</v>
      </c>
      <c r="D91" s="16"/>
      <c r="E91" s="26" t="s">
        <v>326</v>
      </c>
      <c r="F91" s="16"/>
      <c r="G91" s="26" t="s">
        <v>325</v>
      </c>
      <c r="H91" s="16"/>
      <c r="I91" s="26" t="s">
        <v>326</v>
      </c>
      <c r="J91" s="16"/>
      <c r="K91" s="26" t="s">
        <v>325</v>
      </c>
      <c r="L91" s="16"/>
      <c r="M91" s="26" t="s">
        <v>326</v>
      </c>
      <c r="N91" s="16"/>
      <c r="O91" s="26" t="s">
        <v>323</v>
      </c>
      <c r="P91" s="16"/>
      <c r="Q91" s="26" t="s">
        <v>325</v>
      </c>
      <c r="R91" s="16"/>
      <c r="S91" s="26" t="s">
        <v>325</v>
      </c>
      <c r="T91" s="16"/>
      <c r="U91" s="26" t="s">
        <v>326</v>
      </c>
      <c r="V91" s="16"/>
      <c r="W91" s="26" t="s">
        <v>325</v>
      </c>
      <c r="X91" s="16"/>
      <c r="Y91" s="26" t="s">
        <v>326</v>
      </c>
      <c r="Z91" s="16"/>
      <c r="AA91" s="26" t="s">
        <v>326</v>
      </c>
      <c r="AB91" s="16"/>
      <c r="AC91" s="26" t="s">
        <v>323</v>
      </c>
      <c r="AD91" s="16"/>
      <c r="AE91" s="26" t="s">
        <v>326</v>
      </c>
      <c r="AF91" s="16"/>
      <c r="AG91" s="26" t="s">
        <v>326</v>
      </c>
      <c r="AH91" s="16"/>
      <c r="AI91" s="26" t="s">
        <v>326</v>
      </c>
      <c r="AJ91" s="16"/>
      <c r="AK91" s="26" t="s">
        <v>326</v>
      </c>
      <c r="AL91" s="16"/>
      <c r="AM91" s="26" t="s">
        <v>325</v>
      </c>
      <c r="AN91" s="16"/>
      <c r="AO91" s="26" t="s">
        <v>326</v>
      </c>
      <c r="AP91" s="16"/>
      <c r="AQ91" s="26" t="s">
        <v>324</v>
      </c>
      <c r="AR91" s="16"/>
      <c r="AS91" s="26" t="s">
        <v>326</v>
      </c>
      <c r="AT91" s="16"/>
      <c r="AU91" s="26" t="s">
        <v>326</v>
      </c>
      <c r="AV91" s="16"/>
      <c r="AW91" s="26" t="s">
        <v>324</v>
      </c>
      <c r="AX91" s="16"/>
      <c r="AY91" s="26" t="s">
        <v>323</v>
      </c>
      <c r="AZ91" s="16"/>
      <c r="BA91" s="26" t="s">
        <v>323</v>
      </c>
      <c r="BB91" s="16"/>
      <c r="BC91" s="26" t="s">
        <v>326</v>
      </c>
      <c r="BD91" s="16"/>
      <c r="BE91" s="26" t="s">
        <v>326</v>
      </c>
      <c r="BF91" s="16"/>
      <c r="BG91" s="26"/>
      <c r="BH91" s="16"/>
      <c r="BI91" s="26"/>
      <c r="BJ91" s="16"/>
    </row>
    <row r="92" ht="18.0" customHeight="1">
      <c r="A92" s="1"/>
      <c r="B92" s="13" t="s">
        <v>112</v>
      </c>
      <c r="C92" s="26" t="s">
        <v>327</v>
      </c>
      <c r="D92" s="16"/>
      <c r="E92" s="26" t="s">
        <v>327</v>
      </c>
      <c r="F92" s="16"/>
      <c r="G92" s="26" t="s">
        <v>327</v>
      </c>
      <c r="H92" s="16"/>
      <c r="I92" s="26" t="s">
        <v>327</v>
      </c>
      <c r="J92" s="16"/>
      <c r="K92" s="26" t="s">
        <v>327</v>
      </c>
      <c r="L92" s="16"/>
      <c r="M92" s="26" t="s">
        <v>327</v>
      </c>
      <c r="N92" s="16"/>
      <c r="O92" s="26" t="s">
        <v>327</v>
      </c>
      <c r="P92" s="16"/>
      <c r="Q92" s="26" t="s">
        <v>327</v>
      </c>
      <c r="R92" s="16"/>
      <c r="S92" s="26" t="s">
        <v>327</v>
      </c>
      <c r="T92" s="16"/>
      <c r="U92" s="26" t="s">
        <v>327</v>
      </c>
      <c r="V92" s="16"/>
      <c r="W92" s="26" t="s">
        <v>327</v>
      </c>
      <c r="X92" s="16"/>
      <c r="Y92" s="26" t="s">
        <v>327</v>
      </c>
      <c r="Z92" s="16"/>
      <c r="AA92" s="26" t="s">
        <v>327</v>
      </c>
      <c r="AB92" s="16"/>
      <c r="AC92" s="26" t="s">
        <v>327</v>
      </c>
      <c r="AD92" s="16"/>
      <c r="AE92" s="26" t="s">
        <v>327</v>
      </c>
      <c r="AF92" s="16"/>
      <c r="AG92" s="26" t="s">
        <v>327</v>
      </c>
      <c r="AH92" s="16"/>
      <c r="AI92" s="26" t="s">
        <v>327</v>
      </c>
      <c r="AJ92" s="16"/>
      <c r="AK92" s="26" t="s">
        <v>327</v>
      </c>
      <c r="AL92" s="16"/>
      <c r="AM92" s="26" t="s">
        <v>327</v>
      </c>
      <c r="AN92" s="16"/>
      <c r="AO92" s="26" t="s">
        <v>327</v>
      </c>
      <c r="AP92" s="16"/>
      <c r="AQ92" s="26" t="s">
        <v>327</v>
      </c>
      <c r="AR92" s="16"/>
      <c r="AS92" s="26" t="s">
        <v>327</v>
      </c>
      <c r="AT92" s="16"/>
      <c r="AU92" s="26" t="s">
        <v>327</v>
      </c>
      <c r="AV92" s="16"/>
      <c r="AW92" s="26" t="s">
        <v>327</v>
      </c>
      <c r="AX92" s="16"/>
      <c r="AY92" s="26" t="s">
        <v>327</v>
      </c>
      <c r="AZ92" s="16"/>
      <c r="BA92" s="26" t="s">
        <v>328</v>
      </c>
      <c r="BB92" s="16"/>
      <c r="BC92" s="26" t="s">
        <v>327</v>
      </c>
      <c r="BD92" s="16"/>
      <c r="BE92" s="26" t="s">
        <v>327</v>
      </c>
      <c r="BF92" s="16"/>
      <c r="BG92" s="26"/>
      <c r="BH92" s="16"/>
      <c r="BI92" s="26"/>
      <c r="BJ92" s="16"/>
    </row>
    <row r="93" ht="18.0" customHeight="1">
      <c r="A93" s="1"/>
      <c r="B93" s="13" t="s">
        <v>113</v>
      </c>
      <c r="C93" s="26" t="s">
        <v>328</v>
      </c>
      <c r="D93" s="16"/>
      <c r="E93" s="26" t="s">
        <v>328</v>
      </c>
      <c r="F93" s="16"/>
      <c r="G93" s="26" t="s">
        <v>328</v>
      </c>
      <c r="H93" s="16"/>
      <c r="I93" s="26" t="s">
        <v>328</v>
      </c>
      <c r="J93" s="16"/>
      <c r="K93" s="26" t="s">
        <v>329</v>
      </c>
      <c r="L93" s="16"/>
      <c r="M93" s="26" t="s">
        <v>328</v>
      </c>
      <c r="N93" s="16"/>
      <c r="O93" s="26" t="s">
        <v>328</v>
      </c>
      <c r="P93" s="16"/>
      <c r="Q93" s="26" t="s">
        <v>328</v>
      </c>
      <c r="R93" s="16"/>
      <c r="S93" s="26" t="s">
        <v>329</v>
      </c>
      <c r="T93" s="16"/>
      <c r="U93" s="26" t="s">
        <v>329</v>
      </c>
      <c r="V93" s="16"/>
      <c r="W93" s="26" t="s">
        <v>328</v>
      </c>
      <c r="X93" s="16"/>
      <c r="Y93" s="26" t="s">
        <v>328</v>
      </c>
      <c r="Z93" s="16"/>
      <c r="AA93" s="26" t="s">
        <v>329</v>
      </c>
      <c r="AB93" s="16"/>
      <c r="AC93" s="26" t="s">
        <v>328</v>
      </c>
      <c r="AD93" s="16"/>
      <c r="AE93" s="26" t="s">
        <v>329</v>
      </c>
      <c r="AF93" s="16"/>
      <c r="AG93" s="26" t="s">
        <v>328</v>
      </c>
      <c r="AH93" s="16"/>
      <c r="AI93" s="26" t="s">
        <v>329</v>
      </c>
      <c r="AJ93" s="16"/>
      <c r="AK93" s="26" t="s">
        <v>328</v>
      </c>
      <c r="AL93" s="16"/>
      <c r="AM93" s="26" t="s">
        <v>328</v>
      </c>
      <c r="AN93" s="16"/>
      <c r="AO93" s="26" t="s">
        <v>328</v>
      </c>
      <c r="AP93" s="16"/>
      <c r="AQ93" s="26" t="s">
        <v>328</v>
      </c>
      <c r="AR93" s="16"/>
      <c r="AS93" s="26" t="s">
        <v>329</v>
      </c>
      <c r="AT93" s="16"/>
      <c r="AU93" s="26" t="s">
        <v>328</v>
      </c>
      <c r="AV93" s="16"/>
      <c r="AW93" s="26" t="s">
        <v>328</v>
      </c>
      <c r="AX93" s="16"/>
      <c r="AY93" s="26" t="s">
        <v>328</v>
      </c>
      <c r="AZ93" s="16"/>
      <c r="BA93" s="26" t="s">
        <v>327</v>
      </c>
      <c r="BB93" s="16"/>
      <c r="BC93" s="26" t="s">
        <v>329</v>
      </c>
      <c r="BD93" s="16"/>
      <c r="BE93" s="26" t="s">
        <v>329</v>
      </c>
      <c r="BF93" s="16"/>
      <c r="BG93" s="26"/>
      <c r="BH93" s="16"/>
      <c r="BI93" s="26"/>
      <c r="BJ93" s="16"/>
    </row>
    <row r="94" ht="18.0" customHeight="1">
      <c r="A94" s="1"/>
      <c r="B94" s="13" t="s">
        <v>114</v>
      </c>
      <c r="C94" s="26" t="s">
        <v>329</v>
      </c>
      <c r="D94" s="16"/>
      <c r="E94" s="26" t="s">
        <v>329</v>
      </c>
      <c r="F94" s="16"/>
      <c r="G94" s="26" t="s">
        <v>329</v>
      </c>
      <c r="H94" s="16"/>
      <c r="I94" s="26" t="s">
        <v>329</v>
      </c>
      <c r="J94" s="16"/>
      <c r="K94" s="26" t="s">
        <v>328</v>
      </c>
      <c r="L94" s="16"/>
      <c r="M94" s="26" t="s">
        <v>329</v>
      </c>
      <c r="N94" s="16"/>
      <c r="O94" s="26" t="s">
        <v>329</v>
      </c>
      <c r="P94" s="16"/>
      <c r="Q94" s="26" t="s">
        <v>329</v>
      </c>
      <c r="R94" s="16"/>
      <c r="S94" s="26" t="s">
        <v>328</v>
      </c>
      <c r="T94" s="16"/>
      <c r="U94" s="26" t="s">
        <v>328</v>
      </c>
      <c r="V94" s="16"/>
      <c r="W94" s="26" t="s">
        <v>329</v>
      </c>
      <c r="X94" s="16"/>
      <c r="Y94" s="26" t="s">
        <v>329</v>
      </c>
      <c r="Z94" s="16"/>
      <c r="AA94" s="26" t="s">
        <v>328</v>
      </c>
      <c r="AB94" s="16"/>
      <c r="AC94" s="26" t="s">
        <v>329</v>
      </c>
      <c r="AD94" s="16"/>
      <c r="AE94" s="26" t="s">
        <v>328</v>
      </c>
      <c r="AF94" s="16"/>
      <c r="AG94" s="26" t="s">
        <v>329</v>
      </c>
      <c r="AH94" s="16"/>
      <c r="AI94" s="26" t="s">
        <v>328</v>
      </c>
      <c r="AJ94" s="16"/>
      <c r="AK94" s="26" t="s">
        <v>329</v>
      </c>
      <c r="AL94" s="16"/>
      <c r="AM94" s="26" t="s">
        <v>329</v>
      </c>
      <c r="AN94" s="16"/>
      <c r="AO94" s="26" t="s">
        <v>329</v>
      </c>
      <c r="AP94" s="16"/>
      <c r="AQ94" s="26" t="s">
        <v>329</v>
      </c>
      <c r="AR94" s="16"/>
      <c r="AS94" s="26" t="s">
        <v>330</v>
      </c>
      <c r="AT94" s="16"/>
      <c r="AU94" s="26" t="s">
        <v>329</v>
      </c>
      <c r="AV94" s="16"/>
      <c r="AW94" s="26" t="s">
        <v>330</v>
      </c>
      <c r="AX94" s="16"/>
      <c r="AY94" s="26" t="s">
        <v>329</v>
      </c>
      <c r="AZ94" s="16"/>
      <c r="BA94" s="26" t="s">
        <v>329</v>
      </c>
      <c r="BB94" s="16"/>
      <c r="BC94" s="26" t="s">
        <v>328</v>
      </c>
      <c r="BD94" s="16"/>
      <c r="BE94" s="26" t="s">
        <v>328</v>
      </c>
      <c r="BF94" s="16"/>
      <c r="BG94" s="26"/>
      <c r="BH94" s="16"/>
      <c r="BI94" s="26"/>
      <c r="BJ94" s="16"/>
    </row>
    <row r="95" ht="18.0" customHeight="1">
      <c r="A95" s="1"/>
      <c r="B95" s="13" t="s">
        <v>115</v>
      </c>
      <c r="C95" s="26" t="s">
        <v>331</v>
      </c>
      <c r="D95" s="16"/>
      <c r="E95" s="26" t="s">
        <v>332</v>
      </c>
      <c r="F95" s="16"/>
      <c r="G95" s="26" t="s">
        <v>332</v>
      </c>
      <c r="H95" s="16"/>
      <c r="I95" s="26" t="s">
        <v>331</v>
      </c>
      <c r="J95" s="16"/>
      <c r="K95" s="26" t="s">
        <v>333</v>
      </c>
      <c r="L95" s="16"/>
      <c r="M95" s="26" t="s">
        <v>331</v>
      </c>
      <c r="N95" s="16"/>
      <c r="O95" s="26" t="s">
        <v>332</v>
      </c>
      <c r="P95" s="16"/>
      <c r="Q95" s="26" t="s">
        <v>331</v>
      </c>
      <c r="R95" s="16"/>
      <c r="S95" s="26" t="s">
        <v>332</v>
      </c>
      <c r="T95" s="16"/>
      <c r="U95" s="26" t="s">
        <v>332</v>
      </c>
      <c r="V95" s="16"/>
      <c r="W95" s="26" t="s">
        <v>332</v>
      </c>
      <c r="X95" s="16"/>
      <c r="Y95" s="26" t="s">
        <v>332</v>
      </c>
      <c r="Z95" s="16"/>
      <c r="AA95" s="26" t="s">
        <v>332</v>
      </c>
      <c r="AB95" s="16"/>
      <c r="AC95" s="26" t="s">
        <v>332</v>
      </c>
      <c r="AD95" s="16"/>
      <c r="AE95" s="26" t="s">
        <v>332</v>
      </c>
      <c r="AF95" s="16"/>
      <c r="AG95" s="26" t="s">
        <v>332</v>
      </c>
      <c r="AH95" s="16"/>
      <c r="AI95" s="26" t="s">
        <v>331</v>
      </c>
      <c r="AJ95" s="16"/>
      <c r="AK95" s="26" t="s">
        <v>332</v>
      </c>
      <c r="AL95" s="16"/>
      <c r="AM95" s="26" t="s">
        <v>332</v>
      </c>
      <c r="AN95" s="16"/>
      <c r="AO95" s="26" t="s">
        <v>332</v>
      </c>
      <c r="AP95" s="16"/>
      <c r="AQ95" s="26" t="s">
        <v>332</v>
      </c>
      <c r="AR95" s="16"/>
      <c r="AS95" s="26" t="s">
        <v>331</v>
      </c>
      <c r="AT95" s="16"/>
      <c r="AU95" s="26" t="s">
        <v>332</v>
      </c>
      <c r="AV95" s="16"/>
      <c r="AW95" s="26" t="s">
        <v>332</v>
      </c>
      <c r="AX95" s="16"/>
      <c r="AY95" s="26" t="s">
        <v>334</v>
      </c>
      <c r="AZ95" s="16"/>
      <c r="BA95" s="26" t="s">
        <v>332</v>
      </c>
      <c r="BB95" s="16"/>
      <c r="BC95" s="26" t="s">
        <v>332</v>
      </c>
      <c r="BD95" s="16"/>
      <c r="BE95" s="26" t="s">
        <v>332</v>
      </c>
      <c r="BF95" s="16"/>
      <c r="BG95" s="26"/>
      <c r="BH95" s="16"/>
      <c r="BI95" s="26"/>
      <c r="BJ95" s="16"/>
    </row>
    <row r="96" ht="18.0" customHeight="1">
      <c r="A96" s="1"/>
      <c r="B96" s="13" t="s">
        <v>116</v>
      </c>
      <c r="C96" s="26" t="s">
        <v>332</v>
      </c>
      <c r="D96" s="16"/>
      <c r="E96" s="26" t="s">
        <v>334</v>
      </c>
      <c r="F96" s="16"/>
      <c r="G96" s="26" t="s">
        <v>331</v>
      </c>
      <c r="H96" s="16"/>
      <c r="I96" s="26" t="s">
        <v>332</v>
      </c>
      <c r="J96" s="16"/>
      <c r="K96" s="26" t="s">
        <v>332</v>
      </c>
      <c r="L96" s="16"/>
      <c r="M96" s="26" t="s">
        <v>332</v>
      </c>
      <c r="N96" s="16"/>
      <c r="O96" s="26" t="s">
        <v>331</v>
      </c>
      <c r="P96" s="16"/>
      <c r="Q96" s="26" t="s">
        <v>332</v>
      </c>
      <c r="R96" s="16"/>
      <c r="S96" s="26" t="s">
        <v>334</v>
      </c>
      <c r="T96" s="16"/>
      <c r="U96" s="26" t="s">
        <v>333</v>
      </c>
      <c r="V96" s="16"/>
      <c r="W96" s="26" t="s">
        <v>334</v>
      </c>
      <c r="X96" s="16"/>
      <c r="Y96" s="26" t="s">
        <v>333</v>
      </c>
      <c r="Z96" s="16"/>
      <c r="AA96" s="26" t="s">
        <v>334</v>
      </c>
      <c r="AB96" s="16"/>
      <c r="AC96" s="26" t="s">
        <v>333</v>
      </c>
      <c r="AD96" s="16"/>
      <c r="AE96" s="26" t="s">
        <v>334</v>
      </c>
      <c r="AF96" s="16"/>
      <c r="AG96" s="26" t="s">
        <v>333</v>
      </c>
      <c r="AH96" s="16"/>
      <c r="AI96" s="26" t="s">
        <v>332</v>
      </c>
      <c r="AJ96" s="16"/>
      <c r="AK96" s="26" t="s">
        <v>334</v>
      </c>
      <c r="AL96" s="16"/>
      <c r="AM96" s="26" t="s">
        <v>333</v>
      </c>
      <c r="AN96" s="16"/>
      <c r="AO96" s="26" t="s">
        <v>334</v>
      </c>
      <c r="AP96" s="16"/>
      <c r="AQ96" s="26" t="s">
        <v>333</v>
      </c>
      <c r="AR96" s="16"/>
      <c r="AS96" s="26" t="s">
        <v>332</v>
      </c>
      <c r="AT96" s="16"/>
      <c r="AU96" s="26" t="s">
        <v>333</v>
      </c>
      <c r="AV96" s="16"/>
      <c r="AW96" s="26" t="s">
        <v>331</v>
      </c>
      <c r="AX96" s="16"/>
      <c r="AY96" s="26" t="s">
        <v>332</v>
      </c>
      <c r="AZ96" s="16"/>
      <c r="BA96" s="26" t="s">
        <v>334</v>
      </c>
      <c r="BB96" s="16"/>
      <c r="BC96" s="26" t="s">
        <v>334</v>
      </c>
      <c r="BD96" s="16"/>
      <c r="BE96" s="26" t="s">
        <v>334</v>
      </c>
      <c r="BF96" s="16"/>
      <c r="BG96" s="26"/>
      <c r="BH96" s="16"/>
      <c r="BI96" s="26"/>
      <c r="BJ96" s="16"/>
    </row>
    <row r="97" ht="18.0" customHeight="1">
      <c r="A97" s="1"/>
      <c r="B97" s="13" t="s">
        <v>117</v>
      </c>
      <c r="C97" s="26" t="s">
        <v>334</v>
      </c>
      <c r="D97" s="16"/>
      <c r="E97" s="26" t="s">
        <v>333</v>
      </c>
      <c r="F97" s="16"/>
      <c r="G97" s="26" t="s">
        <v>333</v>
      </c>
      <c r="H97" s="16"/>
      <c r="I97" s="26" t="s">
        <v>334</v>
      </c>
      <c r="J97" s="16"/>
      <c r="K97" s="26" t="s">
        <v>334</v>
      </c>
      <c r="L97" s="16"/>
      <c r="M97" s="26" t="s">
        <v>334</v>
      </c>
      <c r="N97" s="16"/>
      <c r="O97" s="26" t="s">
        <v>334</v>
      </c>
      <c r="P97" s="16"/>
      <c r="Q97" s="26" t="s">
        <v>334</v>
      </c>
      <c r="R97" s="16"/>
      <c r="S97" s="26" t="s">
        <v>333</v>
      </c>
      <c r="T97" s="16"/>
      <c r="U97" s="26" t="s">
        <v>334</v>
      </c>
      <c r="V97" s="16"/>
      <c r="W97" s="26" t="s">
        <v>333</v>
      </c>
      <c r="X97" s="16"/>
      <c r="Y97" s="26" t="s">
        <v>334</v>
      </c>
      <c r="Z97" s="16"/>
      <c r="AA97" s="26" t="s">
        <v>333</v>
      </c>
      <c r="AB97" s="16"/>
      <c r="AC97" s="26" t="s">
        <v>334</v>
      </c>
      <c r="AD97" s="16"/>
      <c r="AE97" s="26" t="s">
        <v>333</v>
      </c>
      <c r="AF97" s="16"/>
      <c r="AG97" s="26" t="s">
        <v>334</v>
      </c>
      <c r="AH97" s="16"/>
      <c r="AI97" s="26" t="s">
        <v>333</v>
      </c>
      <c r="AJ97" s="16"/>
      <c r="AK97" s="26" t="s">
        <v>331</v>
      </c>
      <c r="AL97" s="16"/>
      <c r="AM97" s="26" t="s">
        <v>334</v>
      </c>
      <c r="AN97" s="16"/>
      <c r="AO97" s="26" t="s">
        <v>333</v>
      </c>
      <c r="AP97" s="16"/>
      <c r="AQ97" s="26" t="s">
        <v>334</v>
      </c>
      <c r="AR97" s="16"/>
      <c r="AS97" s="26" t="s">
        <v>333</v>
      </c>
      <c r="AT97" s="16"/>
      <c r="AU97" s="26" t="s">
        <v>334</v>
      </c>
      <c r="AV97" s="16"/>
      <c r="AW97" s="26" t="s">
        <v>333</v>
      </c>
      <c r="AX97" s="16"/>
      <c r="AY97" s="26" t="s">
        <v>333</v>
      </c>
      <c r="AZ97" s="16"/>
      <c r="BA97" s="26" t="s">
        <v>331</v>
      </c>
      <c r="BB97" s="16"/>
      <c r="BC97" s="26" t="s">
        <v>333</v>
      </c>
      <c r="BD97" s="16"/>
      <c r="BE97" s="26" t="s">
        <v>333</v>
      </c>
      <c r="BF97" s="16"/>
      <c r="BG97" s="26"/>
      <c r="BH97" s="16"/>
      <c r="BI97" s="26"/>
      <c r="BJ97" s="16"/>
    </row>
    <row r="98" ht="18.0" customHeight="1">
      <c r="A98" s="1"/>
      <c r="B98" s="13" t="s">
        <v>118</v>
      </c>
      <c r="C98" s="26" t="s">
        <v>335</v>
      </c>
      <c r="D98" s="16"/>
      <c r="E98" s="26" t="s">
        <v>335</v>
      </c>
      <c r="F98" s="16"/>
      <c r="G98" s="26" t="s">
        <v>335</v>
      </c>
      <c r="H98" s="16"/>
      <c r="I98" s="26" t="s">
        <v>335</v>
      </c>
      <c r="J98" s="16"/>
      <c r="K98" s="26" t="s">
        <v>335</v>
      </c>
      <c r="L98" s="16"/>
      <c r="M98" s="26" t="s">
        <v>335</v>
      </c>
      <c r="N98" s="16"/>
      <c r="O98" s="26" t="s">
        <v>335</v>
      </c>
      <c r="P98" s="16"/>
      <c r="Q98" s="26" t="s">
        <v>335</v>
      </c>
      <c r="R98" s="16"/>
      <c r="S98" s="26" t="s">
        <v>335</v>
      </c>
      <c r="T98" s="16"/>
      <c r="U98" s="26" t="s">
        <v>335</v>
      </c>
      <c r="V98" s="16"/>
      <c r="W98" s="26" t="s">
        <v>335</v>
      </c>
      <c r="X98" s="16"/>
      <c r="Y98" s="26" t="s">
        <v>335</v>
      </c>
      <c r="Z98" s="16"/>
      <c r="AA98" s="26" t="s">
        <v>335</v>
      </c>
      <c r="AB98" s="16"/>
      <c r="AC98" s="26" t="s">
        <v>335</v>
      </c>
      <c r="AD98" s="16"/>
      <c r="AE98" s="26" t="s">
        <v>335</v>
      </c>
      <c r="AF98" s="16"/>
      <c r="AG98" s="26" t="s">
        <v>335</v>
      </c>
      <c r="AH98" s="16"/>
      <c r="AI98" s="26" t="s">
        <v>335</v>
      </c>
      <c r="AJ98" s="16"/>
      <c r="AK98" s="26" t="s">
        <v>335</v>
      </c>
      <c r="AL98" s="16"/>
      <c r="AM98" s="26" t="s">
        <v>335</v>
      </c>
      <c r="AN98" s="16"/>
      <c r="AO98" s="26" t="s">
        <v>335</v>
      </c>
      <c r="AP98" s="16"/>
      <c r="AQ98" s="26" t="s">
        <v>335</v>
      </c>
      <c r="AR98" s="16"/>
      <c r="AS98" s="26" t="s">
        <v>335</v>
      </c>
      <c r="AT98" s="16"/>
      <c r="AU98" s="26" t="s">
        <v>335</v>
      </c>
      <c r="AV98" s="16"/>
      <c r="AW98" s="26" t="s">
        <v>335</v>
      </c>
      <c r="AX98" s="16"/>
      <c r="AY98" s="26" t="s">
        <v>335</v>
      </c>
      <c r="AZ98" s="16"/>
      <c r="BA98" s="26" t="s">
        <v>335</v>
      </c>
      <c r="BB98" s="16"/>
      <c r="BC98" s="26" t="s">
        <v>335</v>
      </c>
      <c r="BD98" s="16"/>
      <c r="BE98" s="26" t="s">
        <v>335</v>
      </c>
      <c r="BF98" s="16"/>
      <c r="BG98" s="26"/>
      <c r="BH98" s="16"/>
      <c r="BI98" s="26"/>
      <c r="BJ98" s="16"/>
    </row>
    <row r="99" ht="18.0" customHeight="1">
      <c r="A99" s="1"/>
      <c r="B99" s="13" t="s">
        <v>119</v>
      </c>
      <c r="C99" s="26" t="s">
        <v>336</v>
      </c>
      <c r="D99" s="16"/>
      <c r="E99" s="26" t="s">
        <v>336</v>
      </c>
      <c r="F99" s="16"/>
      <c r="G99" s="26" t="s">
        <v>336</v>
      </c>
      <c r="H99" s="16"/>
      <c r="I99" s="26" t="s">
        <v>336</v>
      </c>
      <c r="J99" s="16"/>
      <c r="K99" s="26" t="s">
        <v>336</v>
      </c>
      <c r="L99" s="16"/>
      <c r="M99" s="26" t="s">
        <v>336</v>
      </c>
      <c r="N99" s="16"/>
      <c r="O99" s="26" t="s">
        <v>336</v>
      </c>
      <c r="P99" s="16"/>
      <c r="Q99" s="26" t="s">
        <v>336</v>
      </c>
      <c r="R99" s="16"/>
      <c r="S99" s="26" t="s">
        <v>337</v>
      </c>
      <c r="T99" s="16"/>
      <c r="U99" s="26" t="s">
        <v>336</v>
      </c>
      <c r="V99" s="16"/>
      <c r="W99" s="26" t="s">
        <v>336</v>
      </c>
      <c r="X99" s="16"/>
      <c r="Y99" s="26" t="s">
        <v>336</v>
      </c>
      <c r="Z99" s="16"/>
      <c r="AA99" s="26" t="s">
        <v>336</v>
      </c>
      <c r="AB99" s="16"/>
      <c r="AC99" s="26" t="s">
        <v>338</v>
      </c>
      <c r="AD99" s="16"/>
      <c r="AE99" s="26" t="s">
        <v>337</v>
      </c>
      <c r="AF99" s="16"/>
      <c r="AG99" s="26" t="s">
        <v>336</v>
      </c>
      <c r="AH99" s="16"/>
      <c r="AI99" s="26" t="s">
        <v>336</v>
      </c>
      <c r="AJ99" s="16"/>
      <c r="AK99" s="26" t="s">
        <v>336</v>
      </c>
      <c r="AL99" s="16"/>
      <c r="AM99" s="26" t="s">
        <v>337</v>
      </c>
      <c r="AN99" s="16"/>
      <c r="AO99" s="26" t="s">
        <v>337</v>
      </c>
      <c r="AP99" s="16"/>
      <c r="AQ99" s="26" t="s">
        <v>336</v>
      </c>
      <c r="AR99" s="16"/>
      <c r="AS99" s="26" t="s">
        <v>336</v>
      </c>
      <c r="AT99" s="16"/>
      <c r="AU99" s="26" t="s">
        <v>337</v>
      </c>
      <c r="AV99" s="16"/>
      <c r="AW99" s="26" t="s">
        <v>338</v>
      </c>
      <c r="AX99" s="16"/>
      <c r="AY99" s="26" t="s">
        <v>336</v>
      </c>
      <c r="AZ99" s="16"/>
      <c r="BA99" s="26" t="s">
        <v>337</v>
      </c>
      <c r="BB99" s="16"/>
      <c r="BC99" s="26" t="s">
        <v>337</v>
      </c>
      <c r="BD99" s="16"/>
      <c r="BE99" s="26" t="s">
        <v>338</v>
      </c>
      <c r="BF99" s="16"/>
      <c r="BG99" s="26"/>
      <c r="BH99" s="16"/>
      <c r="BI99" s="26"/>
      <c r="BJ99" s="16"/>
    </row>
    <row r="100" ht="18.0" customHeight="1">
      <c r="A100" s="1"/>
      <c r="B100" s="13" t="s">
        <v>120</v>
      </c>
      <c r="C100" s="26" t="s">
        <v>337</v>
      </c>
      <c r="D100" s="16"/>
      <c r="E100" s="26" t="s">
        <v>337</v>
      </c>
      <c r="F100" s="16"/>
      <c r="G100" s="26" t="s">
        <v>337</v>
      </c>
      <c r="H100" s="16"/>
      <c r="I100" s="26" t="s">
        <v>337</v>
      </c>
      <c r="J100" s="16"/>
      <c r="K100" s="26" t="s">
        <v>337</v>
      </c>
      <c r="L100" s="16"/>
      <c r="M100" s="26" t="s">
        <v>337</v>
      </c>
      <c r="N100" s="16"/>
      <c r="O100" s="26" t="s">
        <v>337</v>
      </c>
      <c r="P100" s="16"/>
      <c r="Q100" s="26" t="s">
        <v>337</v>
      </c>
      <c r="R100" s="16"/>
      <c r="S100" s="26" t="s">
        <v>336</v>
      </c>
      <c r="T100" s="16"/>
      <c r="U100" s="26" t="s">
        <v>337</v>
      </c>
      <c r="V100" s="16"/>
      <c r="W100" s="26" t="s">
        <v>337</v>
      </c>
      <c r="X100" s="16"/>
      <c r="Y100" s="26" t="s">
        <v>337</v>
      </c>
      <c r="Z100" s="16"/>
      <c r="AA100" s="26" t="s">
        <v>337</v>
      </c>
      <c r="AB100" s="16"/>
      <c r="AC100" s="26" t="s">
        <v>336</v>
      </c>
      <c r="AD100" s="16"/>
      <c r="AE100" s="26" t="s">
        <v>336</v>
      </c>
      <c r="AF100" s="16"/>
      <c r="AG100" s="26" t="s">
        <v>337</v>
      </c>
      <c r="AH100" s="16"/>
      <c r="AI100" s="26" t="s">
        <v>338</v>
      </c>
      <c r="AJ100" s="16"/>
      <c r="AK100" s="26" t="s">
        <v>337</v>
      </c>
      <c r="AL100" s="16"/>
      <c r="AM100" s="26" t="s">
        <v>338</v>
      </c>
      <c r="AN100" s="16"/>
      <c r="AO100" s="26" t="s">
        <v>336</v>
      </c>
      <c r="AP100" s="16"/>
      <c r="AQ100" s="26" t="s">
        <v>338</v>
      </c>
      <c r="AR100" s="16"/>
      <c r="AS100" s="26" t="s">
        <v>337</v>
      </c>
      <c r="AT100" s="16"/>
      <c r="AU100" s="26" t="s">
        <v>336</v>
      </c>
      <c r="AV100" s="16"/>
      <c r="AW100" s="26" t="s">
        <v>337</v>
      </c>
      <c r="AX100" s="16"/>
      <c r="AY100" s="26" t="s">
        <v>337</v>
      </c>
      <c r="AZ100" s="16"/>
      <c r="BA100" s="26" t="s">
        <v>336</v>
      </c>
      <c r="BB100" s="16"/>
      <c r="BC100" s="26" t="s">
        <v>336</v>
      </c>
      <c r="BD100" s="16"/>
      <c r="BE100" s="26" t="s">
        <v>337</v>
      </c>
      <c r="BF100" s="16"/>
      <c r="BG100" s="26"/>
      <c r="BH100" s="16"/>
      <c r="BI100" s="26"/>
      <c r="BJ100" s="16"/>
    </row>
    <row r="101" ht="18.0" customHeight="1">
      <c r="A101" s="1"/>
      <c r="B101" s="13" t="s">
        <v>121</v>
      </c>
      <c r="C101" s="26" t="s">
        <v>339</v>
      </c>
      <c r="D101" s="16"/>
      <c r="E101" s="26" t="s">
        <v>339</v>
      </c>
      <c r="F101" s="16"/>
      <c r="G101" s="26" t="s">
        <v>339</v>
      </c>
      <c r="H101" s="16"/>
      <c r="I101" s="26" t="s">
        <v>339</v>
      </c>
      <c r="J101" s="16"/>
      <c r="K101" s="26" t="s">
        <v>339</v>
      </c>
      <c r="L101" s="16"/>
      <c r="M101" s="26" t="s">
        <v>339</v>
      </c>
      <c r="N101" s="16"/>
      <c r="O101" s="26" t="s">
        <v>339</v>
      </c>
      <c r="P101" s="16"/>
      <c r="Q101" s="26" t="s">
        <v>339</v>
      </c>
      <c r="R101" s="16"/>
      <c r="S101" s="26" t="s">
        <v>339</v>
      </c>
      <c r="T101" s="16"/>
      <c r="U101" s="26" t="s">
        <v>339</v>
      </c>
      <c r="V101" s="16"/>
      <c r="W101" s="26" t="s">
        <v>339</v>
      </c>
      <c r="X101" s="16"/>
      <c r="Y101" s="26" t="s">
        <v>339</v>
      </c>
      <c r="Z101" s="16"/>
      <c r="AA101" s="26" t="s">
        <v>339</v>
      </c>
      <c r="AB101" s="16"/>
      <c r="AC101" s="26" t="s">
        <v>339</v>
      </c>
      <c r="AD101" s="16"/>
      <c r="AE101" s="26" t="s">
        <v>339</v>
      </c>
      <c r="AF101" s="16"/>
      <c r="AG101" s="26" t="s">
        <v>339</v>
      </c>
      <c r="AH101" s="16"/>
      <c r="AI101" s="26" t="s">
        <v>339</v>
      </c>
      <c r="AJ101" s="16"/>
      <c r="AK101" s="26" t="s">
        <v>339</v>
      </c>
      <c r="AL101" s="16"/>
      <c r="AM101" s="26" t="s">
        <v>339</v>
      </c>
      <c r="AN101" s="16"/>
      <c r="AO101" s="26" t="s">
        <v>339</v>
      </c>
      <c r="AP101" s="16"/>
      <c r="AQ101" s="26" t="s">
        <v>339</v>
      </c>
      <c r="AR101" s="16"/>
      <c r="AS101" s="26" t="s">
        <v>339</v>
      </c>
      <c r="AT101" s="16"/>
      <c r="AU101" s="26" t="s">
        <v>339</v>
      </c>
      <c r="AV101" s="16"/>
      <c r="AW101" s="26" t="s">
        <v>340</v>
      </c>
      <c r="AX101" s="16"/>
      <c r="AY101" s="26" t="s">
        <v>339</v>
      </c>
      <c r="AZ101" s="16"/>
      <c r="BA101" s="26" t="s">
        <v>339</v>
      </c>
      <c r="BB101" s="16"/>
      <c r="BC101" s="26" t="s">
        <v>339</v>
      </c>
      <c r="BD101" s="16"/>
      <c r="BE101" s="26" t="s">
        <v>339</v>
      </c>
      <c r="BF101" s="16"/>
      <c r="BG101" s="26"/>
      <c r="BH101" s="16"/>
      <c r="BI101" s="26"/>
      <c r="BJ101" s="16"/>
    </row>
    <row r="102" ht="18.0" customHeight="1">
      <c r="A102" s="1"/>
      <c r="B102" s="13" t="s">
        <v>122</v>
      </c>
      <c r="C102" s="26" t="s">
        <v>340</v>
      </c>
      <c r="D102" s="16"/>
      <c r="E102" s="26" t="s">
        <v>340</v>
      </c>
      <c r="F102" s="16"/>
      <c r="G102" s="26" t="s">
        <v>340</v>
      </c>
      <c r="H102" s="16"/>
      <c r="I102" s="26" t="s">
        <v>340</v>
      </c>
      <c r="J102" s="16"/>
      <c r="K102" s="26" t="s">
        <v>340</v>
      </c>
      <c r="L102" s="16"/>
      <c r="M102" s="26" t="s">
        <v>340</v>
      </c>
      <c r="N102" s="16"/>
      <c r="O102" s="26" t="s">
        <v>340</v>
      </c>
      <c r="P102" s="16"/>
      <c r="Q102" s="26" t="s">
        <v>340</v>
      </c>
      <c r="R102" s="16"/>
      <c r="S102" s="26" t="s">
        <v>340</v>
      </c>
      <c r="T102" s="16"/>
      <c r="U102" s="26" t="s">
        <v>340</v>
      </c>
      <c r="V102" s="16"/>
      <c r="W102" s="26" t="s">
        <v>340</v>
      </c>
      <c r="X102" s="16"/>
      <c r="Y102" s="26" t="s">
        <v>340</v>
      </c>
      <c r="Z102" s="16"/>
      <c r="AA102" s="26" t="s">
        <v>340</v>
      </c>
      <c r="AB102" s="16"/>
      <c r="AC102" s="26" t="s">
        <v>340</v>
      </c>
      <c r="AD102" s="16"/>
      <c r="AE102" s="26" t="s">
        <v>340</v>
      </c>
      <c r="AF102" s="16"/>
      <c r="AG102" s="26" t="s">
        <v>340</v>
      </c>
      <c r="AH102" s="16"/>
      <c r="AI102" s="26" t="s">
        <v>340</v>
      </c>
      <c r="AJ102" s="16"/>
      <c r="AK102" s="26" t="s">
        <v>340</v>
      </c>
      <c r="AL102" s="16"/>
      <c r="AM102" s="26" t="s">
        <v>340</v>
      </c>
      <c r="AN102" s="16"/>
      <c r="AO102" s="26" t="s">
        <v>340</v>
      </c>
      <c r="AP102" s="16"/>
      <c r="AQ102" s="26" t="s">
        <v>340</v>
      </c>
      <c r="AR102" s="16"/>
      <c r="AS102" s="26" t="s">
        <v>340</v>
      </c>
      <c r="AT102" s="16"/>
      <c r="AU102" s="26" t="s">
        <v>340</v>
      </c>
      <c r="AV102" s="16"/>
      <c r="AW102" s="26" t="s">
        <v>341</v>
      </c>
      <c r="AX102" s="16"/>
      <c r="AY102" s="26" t="s">
        <v>340</v>
      </c>
      <c r="AZ102" s="16"/>
      <c r="BA102" s="26" t="s">
        <v>340</v>
      </c>
      <c r="BB102" s="16"/>
      <c r="BC102" s="26" t="s">
        <v>340</v>
      </c>
      <c r="BD102" s="16"/>
      <c r="BE102" s="26" t="s">
        <v>340</v>
      </c>
      <c r="BF102" s="16"/>
      <c r="BG102" s="26"/>
      <c r="BH102" s="16"/>
      <c r="BI102" s="26"/>
      <c r="BJ102" s="16"/>
    </row>
    <row r="103" ht="18.0" customHeight="1">
      <c r="A103" s="1"/>
      <c r="B103" s="13" t="s">
        <v>123</v>
      </c>
      <c r="C103" s="26" t="s">
        <v>341</v>
      </c>
      <c r="D103" s="16"/>
      <c r="E103" s="26" t="s">
        <v>341</v>
      </c>
      <c r="F103" s="16"/>
      <c r="G103" s="26" t="s">
        <v>341</v>
      </c>
      <c r="H103" s="16"/>
      <c r="I103" s="26" t="s">
        <v>341</v>
      </c>
      <c r="J103" s="16"/>
      <c r="K103" s="26" t="s">
        <v>341</v>
      </c>
      <c r="L103" s="16"/>
      <c r="M103" s="26" t="s">
        <v>341</v>
      </c>
      <c r="N103" s="16"/>
      <c r="O103" s="26" t="s">
        <v>341</v>
      </c>
      <c r="P103" s="16"/>
      <c r="Q103" s="26" t="s">
        <v>341</v>
      </c>
      <c r="R103" s="16"/>
      <c r="S103" s="26" t="s">
        <v>341</v>
      </c>
      <c r="T103" s="16"/>
      <c r="U103" s="26" t="s">
        <v>341</v>
      </c>
      <c r="V103" s="16"/>
      <c r="W103" s="26" t="s">
        <v>341</v>
      </c>
      <c r="X103" s="16"/>
      <c r="Y103" s="26" t="s">
        <v>341</v>
      </c>
      <c r="Z103" s="16"/>
      <c r="AA103" s="26" t="s">
        <v>341</v>
      </c>
      <c r="AB103" s="16"/>
      <c r="AC103" s="26" t="s">
        <v>341</v>
      </c>
      <c r="AD103" s="16"/>
      <c r="AE103" s="26" t="s">
        <v>341</v>
      </c>
      <c r="AF103" s="16"/>
      <c r="AG103" s="26" t="s">
        <v>341</v>
      </c>
      <c r="AH103" s="16"/>
      <c r="AI103" s="26" t="s">
        <v>342</v>
      </c>
      <c r="AJ103" s="16"/>
      <c r="AK103" s="26" t="s">
        <v>341</v>
      </c>
      <c r="AL103" s="16"/>
      <c r="AM103" s="26" t="s">
        <v>341</v>
      </c>
      <c r="AN103" s="16"/>
      <c r="AO103" s="26" t="s">
        <v>342</v>
      </c>
      <c r="AP103" s="16"/>
      <c r="AQ103" s="26" t="s">
        <v>341</v>
      </c>
      <c r="AR103" s="16"/>
      <c r="AS103" s="26" t="s">
        <v>341</v>
      </c>
      <c r="AT103" s="16"/>
      <c r="AU103" s="26" t="s">
        <v>341</v>
      </c>
      <c r="AV103" s="16"/>
      <c r="AW103" s="26" t="s">
        <v>339</v>
      </c>
      <c r="AX103" s="16"/>
      <c r="AY103" s="26" t="s">
        <v>341</v>
      </c>
      <c r="AZ103" s="16"/>
      <c r="BA103" s="26" t="s">
        <v>342</v>
      </c>
      <c r="BB103" s="16"/>
      <c r="BC103" s="26" t="s">
        <v>342</v>
      </c>
      <c r="BD103" s="16"/>
      <c r="BE103" s="26" t="s">
        <v>341</v>
      </c>
      <c r="BF103" s="16"/>
      <c r="BG103" s="26"/>
      <c r="BH103" s="16"/>
      <c r="BI103" s="26"/>
      <c r="BJ103" s="16"/>
    </row>
    <row r="104" ht="18.0" customHeight="1">
      <c r="A104" s="1"/>
      <c r="B104" s="13" t="s">
        <v>124</v>
      </c>
      <c r="C104" s="26" t="s">
        <v>343</v>
      </c>
      <c r="D104" s="16"/>
      <c r="E104" s="26" t="s">
        <v>343</v>
      </c>
      <c r="F104" s="16"/>
      <c r="G104" s="26" t="s">
        <v>343</v>
      </c>
      <c r="H104" s="16"/>
      <c r="I104" s="26" t="s">
        <v>343</v>
      </c>
      <c r="J104" s="16"/>
      <c r="K104" s="26" t="s">
        <v>343</v>
      </c>
      <c r="L104" s="16"/>
      <c r="M104" s="26" t="s">
        <v>343</v>
      </c>
      <c r="N104" s="16"/>
      <c r="O104" s="26" t="s">
        <v>343</v>
      </c>
      <c r="P104" s="16"/>
      <c r="Q104" s="26" t="s">
        <v>343</v>
      </c>
      <c r="R104" s="16"/>
      <c r="S104" s="26" t="s">
        <v>343</v>
      </c>
      <c r="T104" s="16"/>
      <c r="U104" s="26" t="s">
        <v>343</v>
      </c>
      <c r="V104" s="16"/>
      <c r="W104" s="26" t="s">
        <v>343</v>
      </c>
      <c r="X104" s="16"/>
      <c r="Y104" s="26" t="s">
        <v>343</v>
      </c>
      <c r="Z104" s="16"/>
      <c r="AA104" s="26" t="s">
        <v>343</v>
      </c>
      <c r="AB104" s="16"/>
      <c r="AC104" s="26" t="s">
        <v>343</v>
      </c>
      <c r="AD104" s="16"/>
      <c r="AE104" s="26" t="s">
        <v>343</v>
      </c>
      <c r="AF104" s="16"/>
      <c r="AG104" s="26" t="s">
        <v>343</v>
      </c>
      <c r="AH104" s="16"/>
      <c r="AI104" s="26" t="s">
        <v>343</v>
      </c>
      <c r="AJ104" s="16"/>
      <c r="AK104" s="26" t="s">
        <v>343</v>
      </c>
      <c r="AL104" s="16"/>
      <c r="AM104" s="26" t="s">
        <v>343</v>
      </c>
      <c r="AN104" s="16"/>
      <c r="AO104" s="26" t="s">
        <v>343</v>
      </c>
      <c r="AP104" s="16"/>
      <c r="AQ104" s="26" t="s">
        <v>343</v>
      </c>
      <c r="AR104" s="16"/>
      <c r="AS104" s="26" t="s">
        <v>344</v>
      </c>
      <c r="AT104" s="16"/>
      <c r="AU104" s="26" t="s">
        <v>343</v>
      </c>
      <c r="AV104" s="16"/>
      <c r="AW104" s="26" t="s">
        <v>343</v>
      </c>
      <c r="AX104" s="16"/>
      <c r="AY104" s="26" t="s">
        <v>343</v>
      </c>
      <c r="AZ104" s="16"/>
      <c r="BA104" s="26" t="s">
        <v>343</v>
      </c>
      <c r="BB104" s="16"/>
      <c r="BC104" s="26" t="s">
        <v>343</v>
      </c>
      <c r="BD104" s="16"/>
      <c r="BE104" s="26" t="s">
        <v>343</v>
      </c>
      <c r="BF104" s="16"/>
      <c r="BG104" s="26"/>
      <c r="BH104" s="16"/>
      <c r="BI104" s="26"/>
      <c r="BJ104" s="16"/>
    </row>
    <row r="105" ht="18.0" customHeight="1">
      <c r="A105" s="1"/>
      <c r="B105" s="13" t="s">
        <v>125</v>
      </c>
      <c r="C105" s="26" t="s">
        <v>345</v>
      </c>
      <c r="D105" s="16"/>
      <c r="E105" s="26" t="s">
        <v>344</v>
      </c>
      <c r="F105" s="16"/>
      <c r="G105" s="26" t="s">
        <v>344</v>
      </c>
      <c r="H105" s="16"/>
      <c r="I105" s="26" t="s">
        <v>345</v>
      </c>
      <c r="J105" s="16"/>
      <c r="K105" s="26" t="s">
        <v>345</v>
      </c>
      <c r="L105" s="16"/>
      <c r="M105" s="26" t="s">
        <v>345</v>
      </c>
      <c r="N105" s="16"/>
      <c r="O105" s="26" t="s">
        <v>344</v>
      </c>
      <c r="P105" s="16"/>
      <c r="Q105" s="26" t="s">
        <v>344</v>
      </c>
      <c r="R105" s="16"/>
      <c r="S105" s="26" t="s">
        <v>345</v>
      </c>
      <c r="T105" s="16"/>
      <c r="U105" s="26" t="s">
        <v>344</v>
      </c>
      <c r="V105" s="16"/>
      <c r="W105" s="26" t="s">
        <v>344</v>
      </c>
      <c r="X105" s="16"/>
      <c r="Y105" s="26" t="s">
        <v>345</v>
      </c>
      <c r="Z105" s="16"/>
      <c r="AA105" s="26" t="s">
        <v>344</v>
      </c>
      <c r="AB105" s="16"/>
      <c r="AC105" s="26" t="s">
        <v>344</v>
      </c>
      <c r="AD105" s="16"/>
      <c r="AE105" s="26" t="s">
        <v>344</v>
      </c>
      <c r="AF105" s="16"/>
      <c r="AG105" s="26" t="s">
        <v>345</v>
      </c>
      <c r="AH105" s="16"/>
      <c r="AI105" s="26" t="s">
        <v>344</v>
      </c>
      <c r="AJ105" s="16"/>
      <c r="AK105" s="26" t="s">
        <v>344</v>
      </c>
      <c r="AL105" s="16"/>
      <c r="AM105" s="26" t="s">
        <v>344</v>
      </c>
      <c r="AN105" s="16"/>
      <c r="AO105" s="26" t="s">
        <v>344</v>
      </c>
      <c r="AP105" s="16"/>
      <c r="AQ105" s="26" t="s">
        <v>344</v>
      </c>
      <c r="AR105" s="16"/>
      <c r="AS105" s="26" t="s">
        <v>343</v>
      </c>
      <c r="AT105" s="16"/>
      <c r="AU105" s="26" t="s">
        <v>344</v>
      </c>
      <c r="AV105" s="16"/>
      <c r="AW105" s="26" t="s">
        <v>344</v>
      </c>
      <c r="AX105" s="16"/>
      <c r="AY105" s="26" t="s">
        <v>344</v>
      </c>
      <c r="AZ105" s="16"/>
      <c r="BA105" s="26" t="s">
        <v>344</v>
      </c>
      <c r="BB105" s="16"/>
      <c r="BC105" s="26" t="s">
        <v>344</v>
      </c>
      <c r="BD105" s="16"/>
      <c r="BE105" s="26" t="s">
        <v>344</v>
      </c>
      <c r="BF105" s="16"/>
      <c r="BG105" s="26"/>
      <c r="BH105" s="16"/>
      <c r="BI105" s="26"/>
      <c r="BJ105" s="16"/>
    </row>
    <row r="106" ht="18.0" customHeight="1">
      <c r="A106" s="1"/>
      <c r="B106" s="13" t="s">
        <v>126</v>
      </c>
      <c r="C106" s="26" t="s">
        <v>344</v>
      </c>
      <c r="D106" s="16"/>
      <c r="E106" s="26" t="s">
        <v>345</v>
      </c>
      <c r="F106" s="16"/>
      <c r="G106" s="26" t="s">
        <v>345</v>
      </c>
      <c r="H106" s="16"/>
      <c r="I106" s="26" t="s">
        <v>344</v>
      </c>
      <c r="J106" s="16"/>
      <c r="K106" s="26" t="s">
        <v>344</v>
      </c>
      <c r="L106" s="16"/>
      <c r="M106" s="26" t="s">
        <v>344</v>
      </c>
      <c r="N106" s="16"/>
      <c r="O106" s="26" t="s">
        <v>345</v>
      </c>
      <c r="P106" s="16"/>
      <c r="Q106" s="26" t="s">
        <v>345</v>
      </c>
      <c r="R106" s="16"/>
      <c r="S106" s="26" t="s">
        <v>344</v>
      </c>
      <c r="T106" s="16"/>
      <c r="U106" s="26" t="s">
        <v>345</v>
      </c>
      <c r="V106" s="16"/>
      <c r="W106" s="26" t="s">
        <v>345</v>
      </c>
      <c r="X106" s="16"/>
      <c r="Y106" s="26" t="s">
        <v>344</v>
      </c>
      <c r="Z106" s="16"/>
      <c r="AA106" s="26" t="s">
        <v>345</v>
      </c>
      <c r="AB106" s="16"/>
      <c r="AC106" s="26" t="s">
        <v>346</v>
      </c>
      <c r="AD106" s="16"/>
      <c r="AE106" s="26" t="s">
        <v>345</v>
      </c>
      <c r="AF106" s="16"/>
      <c r="AG106" s="26" t="s">
        <v>344</v>
      </c>
      <c r="AH106" s="16"/>
      <c r="AI106" s="26" t="s">
        <v>345</v>
      </c>
      <c r="AJ106" s="16"/>
      <c r="AK106" s="26" t="s">
        <v>345</v>
      </c>
      <c r="AL106" s="16"/>
      <c r="AM106" s="26" t="s">
        <v>345</v>
      </c>
      <c r="AN106" s="16"/>
      <c r="AO106" s="26" t="s">
        <v>345</v>
      </c>
      <c r="AP106" s="16"/>
      <c r="AQ106" s="26" t="s">
        <v>345</v>
      </c>
      <c r="AR106" s="16"/>
      <c r="AS106" s="26" t="s">
        <v>345</v>
      </c>
      <c r="AT106" s="16"/>
      <c r="AU106" s="26" t="s">
        <v>345</v>
      </c>
      <c r="AV106" s="16"/>
      <c r="AW106" s="26" t="s">
        <v>346</v>
      </c>
      <c r="AX106" s="16"/>
      <c r="AY106" s="26" t="s">
        <v>345</v>
      </c>
      <c r="AZ106" s="16"/>
      <c r="BA106" s="26" t="s">
        <v>345</v>
      </c>
      <c r="BB106" s="16"/>
      <c r="BC106" s="26" t="s">
        <v>345</v>
      </c>
      <c r="BD106" s="16"/>
      <c r="BE106" s="26" t="s">
        <v>345</v>
      </c>
      <c r="BF106" s="16"/>
      <c r="BG106" s="26"/>
      <c r="BH106" s="16"/>
      <c r="BI106" s="26"/>
      <c r="BJ106" s="16"/>
    </row>
    <row r="107" ht="18.0" customHeight="1">
      <c r="A107" s="1"/>
      <c r="B107" s="13" t="s">
        <v>127</v>
      </c>
      <c r="C107" s="26" t="s">
        <v>347</v>
      </c>
      <c r="D107" s="16"/>
      <c r="E107" s="26" t="s">
        <v>347</v>
      </c>
      <c r="F107" s="16"/>
      <c r="G107" s="26" t="s">
        <v>348</v>
      </c>
      <c r="H107" s="16"/>
      <c r="I107" s="26" t="s">
        <v>347</v>
      </c>
      <c r="J107" s="16"/>
      <c r="K107" s="26" t="s">
        <v>347</v>
      </c>
      <c r="L107" s="16"/>
      <c r="M107" s="26" t="s">
        <v>347</v>
      </c>
      <c r="N107" s="16"/>
      <c r="O107" s="26" t="s">
        <v>347</v>
      </c>
      <c r="P107" s="16"/>
      <c r="Q107" s="26" t="s">
        <v>347</v>
      </c>
      <c r="R107" s="16"/>
      <c r="S107" s="26" t="s">
        <v>347</v>
      </c>
      <c r="T107" s="16"/>
      <c r="U107" s="26" t="s">
        <v>347</v>
      </c>
      <c r="V107" s="16"/>
      <c r="W107" s="26" t="s">
        <v>347</v>
      </c>
      <c r="X107" s="16"/>
      <c r="Y107" s="26" t="s">
        <v>348</v>
      </c>
      <c r="Z107" s="16"/>
      <c r="AA107" s="26" t="s">
        <v>347</v>
      </c>
      <c r="AB107" s="16"/>
      <c r="AC107" s="26" t="s">
        <v>347</v>
      </c>
      <c r="AD107" s="16"/>
      <c r="AE107" s="26" t="s">
        <v>347</v>
      </c>
      <c r="AF107" s="16"/>
      <c r="AG107" s="26" t="s">
        <v>347</v>
      </c>
      <c r="AH107" s="16"/>
      <c r="AI107" s="26" t="s">
        <v>347</v>
      </c>
      <c r="AJ107" s="16"/>
      <c r="AK107" s="26" t="s">
        <v>347</v>
      </c>
      <c r="AL107" s="16"/>
      <c r="AM107" s="26" t="s">
        <v>347</v>
      </c>
      <c r="AN107" s="16"/>
      <c r="AO107" s="26" t="s">
        <v>347</v>
      </c>
      <c r="AP107" s="16"/>
      <c r="AQ107" s="26" t="s">
        <v>347</v>
      </c>
      <c r="AR107" s="16"/>
      <c r="AS107" s="26" t="s">
        <v>347</v>
      </c>
      <c r="AT107" s="16"/>
      <c r="AU107" s="26" t="s">
        <v>347</v>
      </c>
      <c r="AV107" s="16"/>
      <c r="AW107" s="26" t="s">
        <v>347</v>
      </c>
      <c r="AX107" s="16"/>
      <c r="AY107" s="26" t="s">
        <v>347</v>
      </c>
      <c r="AZ107" s="16"/>
      <c r="BA107" s="26" t="s">
        <v>347</v>
      </c>
      <c r="BB107" s="16"/>
      <c r="BC107" s="26" t="s">
        <v>347</v>
      </c>
      <c r="BD107" s="16"/>
      <c r="BE107" s="26" t="s">
        <v>347</v>
      </c>
      <c r="BF107" s="16"/>
      <c r="BG107" s="26"/>
      <c r="BH107" s="16"/>
      <c r="BI107" s="26"/>
      <c r="BJ107" s="16"/>
    </row>
    <row r="108" ht="18.0" customHeight="1">
      <c r="A108" s="1"/>
      <c r="B108" s="13" t="s">
        <v>128</v>
      </c>
      <c r="C108" s="26" t="s">
        <v>348</v>
      </c>
      <c r="D108" s="16"/>
      <c r="E108" s="26" t="s">
        <v>348</v>
      </c>
      <c r="F108" s="16"/>
      <c r="G108" s="26" t="s">
        <v>349</v>
      </c>
      <c r="H108" s="16"/>
      <c r="I108" s="26" t="s">
        <v>348</v>
      </c>
      <c r="J108" s="16"/>
      <c r="K108" s="26" t="s">
        <v>348</v>
      </c>
      <c r="L108" s="16"/>
      <c r="M108" s="26" t="s">
        <v>348</v>
      </c>
      <c r="N108" s="16"/>
      <c r="O108" s="26" t="s">
        <v>348</v>
      </c>
      <c r="P108" s="16"/>
      <c r="Q108" s="26" t="s">
        <v>348</v>
      </c>
      <c r="R108" s="16"/>
      <c r="S108" s="26" t="s">
        <v>348</v>
      </c>
      <c r="T108" s="16"/>
      <c r="U108" s="26" t="s">
        <v>348</v>
      </c>
      <c r="V108" s="16"/>
      <c r="W108" s="26" t="s">
        <v>348</v>
      </c>
      <c r="X108" s="16"/>
      <c r="Y108" s="26" t="s">
        <v>347</v>
      </c>
      <c r="Z108" s="16"/>
      <c r="AA108" s="26" t="s">
        <v>348</v>
      </c>
      <c r="AB108" s="16"/>
      <c r="AC108" s="26" t="s">
        <v>348</v>
      </c>
      <c r="AD108" s="16"/>
      <c r="AE108" s="26" t="s">
        <v>348</v>
      </c>
      <c r="AF108" s="16"/>
      <c r="AG108" s="26" t="s">
        <v>349</v>
      </c>
      <c r="AH108" s="16"/>
      <c r="AI108" s="26" t="s">
        <v>349</v>
      </c>
      <c r="AJ108" s="16"/>
      <c r="AK108" s="26" t="s">
        <v>348</v>
      </c>
      <c r="AL108" s="16"/>
      <c r="AM108" s="26" t="s">
        <v>348</v>
      </c>
      <c r="AN108" s="16"/>
      <c r="AO108" s="26" t="s">
        <v>348</v>
      </c>
      <c r="AP108" s="16"/>
      <c r="AQ108" s="26" t="s">
        <v>348</v>
      </c>
      <c r="AR108" s="16"/>
      <c r="AS108" s="26" t="s">
        <v>348</v>
      </c>
      <c r="AT108" s="16"/>
      <c r="AU108" s="26" t="s">
        <v>348</v>
      </c>
      <c r="AV108" s="16"/>
      <c r="AW108" s="26" t="s">
        <v>350</v>
      </c>
      <c r="AX108" s="16"/>
      <c r="AY108" s="26" t="s">
        <v>348</v>
      </c>
      <c r="AZ108" s="16"/>
      <c r="BA108" s="26" t="s">
        <v>348</v>
      </c>
      <c r="BB108" s="16"/>
      <c r="BC108" s="26" t="s">
        <v>348</v>
      </c>
      <c r="BD108" s="16"/>
      <c r="BE108" s="26" t="s">
        <v>348</v>
      </c>
      <c r="BF108" s="16"/>
      <c r="BG108" s="26"/>
      <c r="BH108" s="16"/>
      <c r="BI108" s="26"/>
      <c r="BJ108" s="16"/>
    </row>
    <row r="109" ht="18.0" customHeight="1">
      <c r="A109" s="1"/>
      <c r="B109" s="13" t="s">
        <v>129</v>
      </c>
      <c r="C109" s="26" t="s">
        <v>349</v>
      </c>
      <c r="D109" s="16"/>
      <c r="E109" s="26" t="s">
        <v>349</v>
      </c>
      <c r="F109" s="16"/>
      <c r="G109" s="26" t="s">
        <v>347</v>
      </c>
      <c r="H109" s="16"/>
      <c r="I109" s="26" t="s">
        <v>349</v>
      </c>
      <c r="J109" s="16"/>
      <c r="K109" s="26" t="s">
        <v>349</v>
      </c>
      <c r="L109" s="16"/>
      <c r="M109" s="26" t="s">
        <v>349</v>
      </c>
      <c r="N109" s="16"/>
      <c r="O109" s="26" t="s">
        <v>349</v>
      </c>
      <c r="P109" s="16"/>
      <c r="Q109" s="26" t="s">
        <v>349</v>
      </c>
      <c r="R109" s="16"/>
      <c r="S109" s="26" t="s">
        <v>349</v>
      </c>
      <c r="T109" s="16"/>
      <c r="U109" s="26" t="s">
        <v>349</v>
      </c>
      <c r="V109" s="16"/>
      <c r="W109" s="26" t="s">
        <v>349</v>
      </c>
      <c r="X109" s="16"/>
      <c r="Y109" s="26" t="s">
        <v>349</v>
      </c>
      <c r="Z109" s="16"/>
      <c r="AA109" s="26" t="s">
        <v>349</v>
      </c>
      <c r="AB109" s="16"/>
      <c r="AC109" s="26" t="s">
        <v>350</v>
      </c>
      <c r="AD109" s="16"/>
      <c r="AE109" s="26" t="s">
        <v>349</v>
      </c>
      <c r="AF109" s="16"/>
      <c r="AG109" s="26" t="s">
        <v>348</v>
      </c>
      <c r="AH109" s="16"/>
      <c r="AI109" s="26" t="s">
        <v>348</v>
      </c>
      <c r="AJ109" s="16"/>
      <c r="AK109" s="26" t="s">
        <v>349</v>
      </c>
      <c r="AL109" s="16"/>
      <c r="AM109" s="26" t="s">
        <v>349</v>
      </c>
      <c r="AN109" s="16"/>
      <c r="AO109" s="26" t="s">
        <v>349</v>
      </c>
      <c r="AP109" s="16"/>
      <c r="AQ109" s="26" t="s">
        <v>349</v>
      </c>
      <c r="AR109" s="16"/>
      <c r="AS109" s="26" t="s">
        <v>350</v>
      </c>
      <c r="AT109" s="16"/>
      <c r="AU109" s="26" t="s">
        <v>349</v>
      </c>
      <c r="AV109" s="16"/>
      <c r="AW109" s="26" t="s">
        <v>348</v>
      </c>
      <c r="AX109" s="16"/>
      <c r="AY109" s="26" t="s">
        <v>349</v>
      </c>
      <c r="AZ109" s="16"/>
      <c r="BA109" s="26" t="s">
        <v>350</v>
      </c>
      <c r="BB109" s="16"/>
      <c r="BC109" s="26" t="s">
        <v>349</v>
      </c>
      <c r="BD109" s="16"/>
      <c r="BE109" s="26" t="s">
        <v>349</v>
      </c>
      <c r="BF109" s="16"/>
      <c r="BG109" s="26"/>
      <c r="BH109" s="16"/>
      <c r="BI109" s="26"/>
      <c r="BJ109" s="16"/>
    </row>
    <row r="110" ht="18.0" customHeight="1">
      <c r="A110" s="1"/>
      <c r="B110" s="13" t="s">
        <v>130</v>
      </c>
      <c r="C110" s="26" t="s">
        <v>351</v>
      </c>
      <c r="D110" s="16"/>
      <c r="E110" s="26" t="s">
        <v>351</v>
      </c>
      <c r="F110" s="16"/>
      <c r="G110" s="26" t="s">
        <v>351</v>
      </c>
      <c r="H110" s="16"/>
      <c r="I110" s="26" t="s">
        <v>351</v>
      </c>
      <c r="J110" s="16"/>
      <c r="K110" s="26" t="s">
        <v>351</v>
      </c>
      <c r="L110" s="16"/>
      <c r="M110" s="26" t="s">
        <v>351</v>
      </c>
      <c r="N110" s="16"/>
      <c r="O110" s="26" t="s">
        <v>351</v>
      </c>
      <c r="P110" s="16"/>
      <c r="Q110" s="26" t="s">
        <v>351</v>
      </c>
      <c r="R110" s="16"/>
      <c r="S110" s="26" t="s">
        <v>351</v>
      </c>
      <c r="T110" s="16"/>
      <c r="U110" s="26" t="s">
        <v>351</v>
      </c>
      <c r="V110" s="16"/>
      <c r="W110" s="26" t="s">
        <v>351</v>
      </c>
      <c r="X110" s="16"/>
      <c r="Y110" s="26" t="s">
        <v>351</v>
      </c>
      <c r="Z110" s="16"/>
      <c r="AA110" s="26" t="s">
        <v>351</v>
      </c>
      <c r="AB110" s="16"/>
      <c r="AC110" s="26" t="s">
        <v>351</v>
      </c>
      <c r="AD110" s="16"/>
      <c r="AE110" s="26" t="s">
        <v>351</v>
      </c>
      <c r="AF110" s="16"/>
      <c r="AG110" s="26" t="s">
        <v>351</v>
      </c>
      <c r="AH110" s="16"/>
      <c r="AI110" s="26" t="s">
        <v>351</v>
      </c>
      <c r="AJ110" s="16"/>
      <c r="AK110" s="26" t="s">
        <v>351</v>
      </c>
      <c r="AL110" s="16"/>
      <c r="AM110" s="26" t="s">
        <v>351</v>
      </c>
      <c r="AN110" s="16"/>
      <c r="AO110" s="26" t="s">
        <v>351</v>
      </c>
      <c r="AP110" s="16"/>
      <c r="AQ110" s="26" t="s">
        <v>351</v>
      </c>
      <c r="AR110" s="16"/>
      <c r="AS110" s="26" t="s">
        <v>351</v>
      </c>
      <c r="AT110" s="16"/>
      <c r="AU110" s="26" t="s">
        <v>351</v>
      </c>
      <c r="AV110" s="16"/>
      <c r="AW110" s="26" t="s">
        <v>351</v>
      </c>
      <c r="AX110" s="16"/>
      <c r="AY110" s="26" t="s">
        <v>351</v>
      </c>
      <c r="AZ110" s="16"/>
      <c r="BA110" s="26" t="s">
        <v>352</v>
      </c>
      <c r="BB110" s="16"/>
      <c r="BC110" s="26" t="s">
        <v>351</v>
      </c>
      <c r="BD110" s="16"/>
      <c r="BE110" s="26" t="s">
        <v>351</v>
      </c>
      <c r="BF110" s="16"/>
      <c r="BG110" s="26"/>
      <c r="BH110" s="16"/>
      <c r="BI110" s="26"/>
      <c r="BJ110" s="16"/>
    </row>
    <row r="111" ht="18.0" customHeight="1">
      <c r="A111" s="1"/>
      <c r="B111" s="13" t="s">
        <v>131</v>
      </c>
      <c r="C111" s="26" t="s">
        <v>352</v>
      </c>
      <c r="D111" s="16"/>
      <c r="E111" s="26" t="s">
        <v>352</v>
      </c>
      <c r="F111" s="16"/>
      <c r="G111" s="26" t="s">
        <v>352</v>
      </c>
      <c r="H111" s="16"/>
      <c r="I111" s="26" t="s">
        <v>352</v>
      </c>
      <c r="J111" s="16"/>
      <c r="K111" s="26" t="s">
        <v>352</v>
      </c>
      <c r="L111" s="16"/>
      <c r="M111" s="26" t="s">
        <v>352</v>
      </c>
      <c r="N111" s="16"/>
      <c r="O111" s="26" t="s">
        <v>352</v>
      </c>
      <c r="P111" s="16"/>
      <c r="Q111" s="26" t="s">
        <v>352</v>
      </c>
      <c r="R111" s="16"/>
      <c r="S111" s="26" t="s">
        <v>352</v>
      </c>
      <c r="T111" s="16"/>
      <c r="U111" s="26" t="s">
        <v>352</v>
      </c>
      <c r="V111" s="16"/>
      <c r="W111" s="26" t="s">
        <v>352</v>
      </c>
      <c r="X111" s="16"/>
      <c r="Y111" s="26" t="s">
        <v>353</v>
      </c>
      <c r="Z111" s="16"/>
      <c r="AA111" s="26" t="s">
        <v>352</v>
      </c>
      <c r="AB111" s="16"/>
      <c r="AC111" s="26" t="s">
        <v>352</v>
      </c>
      <c r="AD111" s="16"/>
      <c r="AE111" s="26" t="s">
        <v>352</v>
      </c>
      <c r="AF111" s="16"/>
      <c r="AG111" s="26" t="s">
        <v>352</v>
      </c>
      <c r="AH111" s="16"/>
      <c r="AI111" s="26" t="s">
        <v>352</v>
      </c>
      <c r="AJ111" s="16"/>
      <c r="AK111" s="26" t="s">
        <v>352</v>
      </c>
      <c r="AL111" s="16"/>
      <c r="AM111" s="26" t="s">
        <v>352</v>
      </c>
      <c r="AN111" s="16"/>
      <c r="AO111" s="26" t="s">
        <v>352</v>
      </c>
      <c r="AP111" s="16"/>
      <c r="AQ111" s="26" t="s">
        <v>352</v>
      </c>
      <c r="AR111" s="16"/>
      <c r="AS111" s="26" t="s">
        <v>352</v>
      </c>
      <c r="AT111" s="16"/>
      <c r="AU111" s="26" t="s">
        <v>352</v>
      </c>
      <c r="AV111" s="16"/>
      <c r="AW111" s="26" t="s">
        <v>352</v>
      </c>
      <c r="AX111" s="16"/>
      <c r="AY111" s="26" t="s">
        <v>352</v>
      </c>
      <c r="AZ111" s="16"/>
      <c r="BA111" s="26" t="s">
        <v>351</v>
      </c>
      <c r="BB111" s="16"/>
      <c r="BC111" s="26" t="s">
        <v>352</v>
      </c>
      <c r="BD111" s="16"/>
      <c r="BE111" s="26" t="s">
        <v>352</v>
      </c>
      <c r="BF111" s="16"/>
      <c r="BG111" s="26"/>
      <c r="BH111" s="16"/>
      <c r="BI111" s="26"/>
      <c r="BJ111" s="16"/>
    </row>
    <row r="112" ht="18.0" customHeight="1">
      <c r="A112" s="1"/>
      <c r="B112" s="13" t="s">
        <v>132</v>
      </c>
      <c r="C112" s="26" t="s">
        <v>353</v>
      </c>
      <c r="D112" s="16"/>
      <c r="E112" s="26" t="s">
        <v>354</v>
      </c>
      <c r="F112" s="16"/>
      <c r="G112" s="26" t="s">
        <v>353</v>
      </c>
      <c r="H112" s="16"/>
      <c r="I112" s="26" t="s">
        <v>354</v>
      </c>
      <c r="J112" s="16"/>
      <c r="K112" s="26" t="s">
        <v>354</v>
      </c>
      <c r="L112" s="16"/>
      <c r="M112" s="26" t="s">
        <v>354</v>
      </c>
      <c r="N112" s="16"/>
      <c r="O112" s="26" t="s">
        <v>354</v>
      </c>
      <c r="P112" s="16"/>
      <c r="Q112" s="26" t="s">
        <v>354</v>
      </c>
      <c r="R112" s="16"/>
      <c r="S112" s="26" t="s">
        <v>354</v>
      </c>
      <c r="T112" s="16"/>
      <c r="U112" s="26" t="s">
        <v>353</v>
      </c>
      <c r="V112" s="16"/>
      <c r="W112" s="26" t="s">
        <v>354</v>
      </c>
      <c r="X112" s="16"/>
      <c r="Y112" s="26" t="s">
        <v>352</v>
      </c>
      <c r="Z112" s="16"/>
      <c r="AA112" s="26" t="s">
        <v>354</v>
      </c>
      <c r="AB112" s="16"/>
      <c r="AC112" s="26" t="s">
        <v>354</v>
      </c>
      <c r="AD112" s="16"/>
      <c r="AE112" s="26" t="s">
        <v>354</v>
      </c>
      <c r="AF112" s="16"/>
      <c r="AG112" s="26" t="s">
        <v>354</v>
      </c>
      <c r="AH112" s="16"/>
      <c r="AI112" s="26" t="s">
        <v>354</v>
      </c>
      <c r="AJ112" s="16"/>
      <c r="AK112" s="26" t="s">
        <v>354</v>
      </c>
      <c r="AL112" s="16"/>
      <c r="AM112" s="26" t="s">
        <v>353</v>
      </c>
      <c r="AN112" s="16"/>
      <c r="AO112" s="26" t="s">
        <v>354</v>
      </c>
      <c r="AP112" s="16"/>
      <c r="AQ112" s="26" t="s">
        <v>353</v>
      </c>
      <c r="AR112" s="16"/>
      <c r="AS112" s="26" t="s">
        <v>354</v>
      </c>
      <c r="AT112" s="16"/>
      <c r="AU112" s="26" t="s">
        <v>354</v>
      </c>
      <c r="AV112" s="16"/>
      <c r="AW112" s="26" t="s">
        <v>354</v>
      </c>
      <c r="AX112" s="16"/>
      <c r="AY112" s="26" t="s">
        <v>354</v>
      </c>
      <c r="AZ112" s="16"/>
      <c r="BA112" s="26" t="s">
        <v>353</v>
      </c>
      <c r="BB112" s="16"/>
      <c r="BC112" s="26" t="s">
        <v>354</v>
      </c>
      <c r="BD112" s="16"/>
      <c r="BE112" s="26" t="s">
        <v>354</v>
      </c>
      <c r="BF112" s="16"/>
      <c r="BG112" s="26"/>
      <c r="BH112" s="16"/>
      <c r="BI112" s="26"/>
      <c r="BJ112" s="16"/>
    </row>
    <row r="113" ht="18.0" customHeight="1">
      <c r="A113" s="1"/>
      <c r="B113" s="13" t="s">
        <v>133</v>
      </c>
      <c r="C113" s="26" t="s">
        <v>355</v>
      </c>
      <c r="D113" s="16"/>
      <c r="E113" s="26" t="s">
        <v>355</v>
      </c>
      <c r="F113" s="16"/>
      <c r="G113" s="26" t="s">
        <v>355</v>
      </c>
      <c r="H113" s="16"/>
      <c r="I113" s="26" t="s">
        <v>355</v>
      </c>
      <c r="J113" s="16"/>
      <c r="K113" s="26" t="s">
        <v>355</v>
      </c>
      <c r="L113" s="16"/>
      <c r="M113" s="26" t="s">
        <v>355</v>
      </c>
      <c r="N113" s="16"/>
      <c r="O113" s="26" t="s">
        <v>355</v>
      </c>
      <c r="P113" s="16"/>
      <c r="Q113" s="26" t="s">
        <v>355</v>
      </c>
      <c r="R113" s="16"/>
      <c r="S113" s="26" t="s">
        <v>355</v>
      </c>
      <c r="T113" s="16"/>
      <c r="U113" s="26" t="s">
        <v>355</v>
      </c>
      <c r="V113" s="16"/>
      <c r="W113" s="26" t="s">
        <v>355</v>
      </c>
      <c r="X113" s="16"/>
      <c r="Y113" s="26" t="s">
        <v>355</v>
      </c>
      <c r="Z113" s="16"/>
      <c r="AA113" s="26" t="s">
        <v>355</v>
      </c>
      <c r="AB113" s="16"/>
      <c r="AC113" s="26" t="s">
        <v>355</v>
      </c>
      <c r="AD113" s="16"/>
      <c r="AE113" s="26" t="s">
        <v>355</v>
      </c>
      <c r="AF113" s="16"/>
      <c r="AG113" s="26" t="s">
        <v>355</v>
      </c>
      <c r="AH113" s="16"/>
      <c r="AI113" s="26" t="s">
        <v>355</v>
      </c>
      <c r="AJ113" s="16"/>
      <c r="AK113" s="26" t="s">
        <v>355</v>
      </c>
      <c r="AL113" s="16"/>
      <c r="AM113" s="26" t="s">
        <v>355</v>
      </c>
      <c r="AN113" s="16"/>
      <c r="AO113" s="26" t="s">
        <v>355</v>
      </c>
      <c r="AP113" s="16"/>
      <c r="AQ113" s="26" t="s">
        <v>355</v>
      </c>
      <c r="AR113" s="16"/>
      <c r="AS113" s="26" t="s">
        <v>356</v>
      </c>
      <c r="AT113" s="16"/>
      <c r="AU113" s="26" t="s">
        <v>355</v>
      </c>
      <c r="AV113" s="16"/>
      <c r="AW113" s="26" t="s">
        <v>356</v>
      </c>
      <c r="AX113" s="16"/>
      <c r="AY113" s="26" t="s">
        <v>355</v>
      </c>
      <c r="AZ113" s="16"/>
      <c r="BA113" s="26" t="s">
        <v>355</v>
      </c>
      <c r="BB113" s="16"/>
      <c r="BC113" s="26" t="s">
        <v>355</v>
      </c>
      <c r="BD113" s="16"/>
      <c r="BE113" s="26" t="s">
        <v>355</v>
      </c>
      <c r="BF113" s="16"/>
      <c r="BG113" s="26"/>
      <c r="BH113" s="16"/>
      <c r="BI113" s="26"/>
      <c r="BJ113" s="16"/>
    </row>
    <row r="114" ht="18.0" customHeight="1">
      <c r="A114" s="1"/>
      <c r="B114" s="13" t="s">
        <v>134</v>
      </c>
      <c r="C114" s="26" t="s">
        <v>356</v>
      </c>
      <c r="D114" s="16"/>
      <c r="E114" s="26" t="s">
        <v>356</v>
      </c>
      <c r="F114" s="16"/>
      <c r="G114" s="26" t="s">
        <v>356</v>
      </c>
      <c r="H114" s="16"/>
      <c r="I114" s="26" t="s">
        <v>356</v>
      </c>
      <c r="J114" s="16"/>
      <c r="K114" s="26" t="s">
        <v>356</v>
      </c>
      <c r="L114" s="16"/>
      <c r="M114" s="26" t="s">
        <v>356</v>
      </c>
      <c r="N114" s="16"/>
      <c r="O114" s="26" t="s">
        <v>356</v>
      </c>
      <c r="P114" s="16"/>
      <c r="Q114" s="26" t="s">
        <v>356</v>
      </c>
      <c r="R114" s="16"/>
      <c r="S114" s="26" t="s">
        <v>356</v>
      </c>
      <c r="T114" s="16"/>
      <c r="U114" s="26" t="s">
        <v>356</v>
      </c>
      <c r="V114" s="16"/>
      <c r="W114" s="26" t="s">
        <v>356</v>
      </c>
      <c r="X114" s="16"/>
      <c r="Y114" s="26" t="s">
        <v>356</v>
      </c>
      <c r="Z114" s="16"/>
      <c r="AA114" s="26" t="s">
        <v>356</v>
      </c>
      <c r="AB114" s="16"/>
      <c r="AC114" s="26" t="s">
        <v>356</v>
      </c>
      <c r="AD114" s="16"/>
      <c r="AE114" s="26" t="s">
        <v>356</v>
      </c>
      <c r="AF114" s="16"/>
      <c r="AG114" s="26" t="s">
        <v>356</v>
      </c>
      <c r="AH114" s="16"/>
      <c r="AI114" s="26" t="s">
        <v>356</v>
      </c>
      <c r="AJ114" s="16"/>
      <c r="AK114" s="26" t="s">
        <v>357</v>
      </c>
      <c r="AL114" s="16"/>
      <c r="AM114" s="26" t="s">
        <v>356</v>
      </c>
      <c r="AN114" s="16"/>
      <c r="AO114" s="26" t="s">
        <v>356</v>
      </c>
      <c r="AP114" s="16"/>
      <c r="AQ114" s="26" t="s">
        <v>356</v>
      </c>
      <c r="AR114" s="16"/>
      <c r="AS114" s="26" t="s">
        <v>355</v>
      </c>
      <c r="AT114" s="16"/>
      <c r="AU114" s="26" t="s">
        <v>356</v>
      </c>
      <c r="AV114" s="16"/>
      <c r="AW114" s="26" t="s">
        <v>358</v>
      </c>
      <c r="AX114" s="16"/>
      <c r="AY114" s="26" t="s">
        <v>356</v>
      </c>
      <c r="AZ114" s="16"/>
      <c r="BA114" s="26" t="s">
        <v>356</v>
      </c>
      <c r="BB114" s="16"/>
      <c r="BC114" s="26" t="s">
        <v>356</v>
      </c>
      <c r="BD114" s="16"/>
      <c r="BE114" s="26" t="s">
        <v>356</v>
      </c>
      <c r="BF114" s="16"/>
      <c r="BG114" s="26"/>
      <c r="BH114" s="16"/>
      <c r="BI114" s="26"/>
      <c r="BJ114" s="16"/>
    </row>
    <row r="115" ht="18.0" customHeight="1">
      <c r="A115" s="1"/>
      <c r="B115" s="13" t="s">
        <v>135</v>
      </c>
      <c r="C115" s="26" t="s">
        <v>357</v>
      </c>
      <c r="D115" s="16"/>
      <c r="E115" s="26" t="s">
        <v>357</v>
      </c>
      <c r="F115" s="16"/>
      <c r="G115" s="26" t="s">
        <v>357</v>
      </c>
      <c r="H115" s="16"/>
      <c r="I115" s="26" t="s">
        <v>357</v>
      </c>
      <c r="J115" s="16"/>
      <c r="K115" s="26" t="s">
        <v>357</v>
      </c>
      <c r="L115" s="16"/>
      <c r="M115" s="26" t="s">
        <v>357</v>
      </c>
      <c r="N115" s="16"/>
      <c r="O115" s="26" t="s">
        <v>357</v>
      </c>
      <c r="P115" s="16"/>
      <c r="Q115" s="26" t="s">
        <v>358</v>
      </c>
      <c r="R115" s="16"/>
      <c r="S115" s="26" t="s">
        <v>358</v>
      </c>
      <c r="T115" s="16"/>
      <c r="U115" s="26" t="s">
        <v>357</v>
      </c>
      <c r="V115" s="16"/>
      <c r="W115" s="26" t="s">
        <v>357</v>
      </c>
      <c r="X115" s="16"/>
      <c r="Y115" s="26" t="s">
        <v>357</v>
      </c>
      <c r="Z115" s="16"/>
      <c r="AA115" s="26" t="s">
        <v>357</v>
      </c>
      <c r="AB115" s="16"/>
      <c r="AC115" s="26" t="s">
        <v>357</v>
      </c>
      <c r="AD115" s="16"/>
      <c r="AE115" s="26" t="s">
        <v>357</v>
      </c>
      <c r="AF115" s="16"/>
      <c r="AG115" s="26" t="s">
        <v>357</v>
      </c>
      <c r="AH115" s="16"/>
      <c r="AI115" s="26" t="s">
        <v>357</v>
      </c>
      <c r="AJ115" s="16"/>
      <c r="AK115" s="26" t="s">
        <v>356</v>
      </c>
      <c r="AL115" s="16"/>
      <c r="AM115" s="26" t="s">
        <v>357</v>
      </c>
      <c r="AN115" s="16"/>
      <c r="AO115" s="26" t="s">
        <v>357</v>
      </c>
      <c r="AP115" s="16"/>
      <c r="AQ115" s="26" t="s">
        <v>357</v>
      </c>
      <c r="AR115" s="16"/>
      <c r="AS115" s="26" t="s">
        <v>358</v>
      </c>
      <c r="AT115" s="16"/>
      <c r="AU115" s="26" t="s">
        <v>357</v>
      </c>
      <c r="AV115" s="16"/>
      <c r="AW115" s="26" t="s">
        <v>355</v>
      </c>
      <c r="AX115" s="16"/>
      <c r="AY115" s="26" t="s">
        <v>357</v>
      </c>
      <c r="AZ115" s="16"/>
      <c r="BA115" s="26" t="s">
        <v>357</v>
      </c>
      <c r="BB115" s="16"/>
      <c r="BC115" s="26" t="s">
        <v>357</v>
      </c>
      <c r="BD115" s="16"/>
      <c r="BE115" s="26" t="s">
        <v>357</v>
      </c>
      <c r="BF115" s="16"/>
      <c r="BG115" s="26"/>
      <c r="BH115" s="16"/>
      <c r="BI115" s="26"/>
      <c r="BJ115" s="16"/>
    </row>
    <row r="116" ht="21.75" customHeight="1">
      <c r="A116" s="1"/>
      <c r="B116" s="11" t="s">
        <v>136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</row>
    <row r="117" ht="18.0" customHeight="1">
      <c r="A117" s="1"/>
      <c r="B117" s="13" t="s">
        <v>137</v>
      </c>
      <c r="C117" s="26" t="s">
        <v>312</v>
      </c>
      <c r="D117" s="16"/>
      <c r="E117" s="26" t="s">
        <v>321</v>
      </c>
      <c r="F117" s="16"/>
      <c r="G117" s="26" t="s">
        <v>347</v>
      </c>
      <c r="H117" s="16"/>
      <c r="I117" s="26" t="s">
        <v>329</v>
      </c>
      <c r="J117" s="16"/>
      <c r="K117" s="26" t="s">
        <v>357</v>
      </c>
      <c r="L117" s="16"/>
      <c r="M117" s="26" t="s">
        <v>313</v>
      </c>
      <c r="N117" s="16"/>
      <c r="O117" s="26" t="s">
        <v>323</v>
      </c>
      <c r="P117" s="16"/>
      <c r="Q117" s="26" t="s">
        <v>329</v>
      </c>
      <c r="R117" s="16"/>
      <c r="S117" s="26" t="s">
        <v>328</v>
      </c>
      <c r="T117" s="16"/>
      <c r="U117" s="26" t="s">
        <v>328</v>
      </c>
      <c r="V117" s="16"/>
      <c r="W117" s="26" t="s">
        <v>329</v>
      </c>
      <c r="X117" s="16"/>
      <c r="Y117" s="26" t="s">
        <v>326</v>
      </c>
      <c r="Z117" s="16"/>
      <c r="AA117" s="26" t="s">
        <v>328</v>
      </c>
      <c r="AB117" s="16"/>
      <c r="AC117" s="26" t="s">
        <v>315</v>
      </c>
      <c r="AD117" s="16"/>
      <c r="AE117" s="26" t="s">
        <v>328</v>
      </c>
      <c r="AF117" s="16"/>
      <c r="AG117" s="26" t="s">
        <v>344</v>
      </c>
      <c r="AH117" s="16"/>
      <c r="AI117" s="26" t="s">
        <v>357</v>
      </c>
      <c r="AJ117" s="16"/>
      <c r="AK117" s="26" t="s">
        <v>329</v>
      </c>
      <c r="AL117" s="16"/>
      <c r="AM117" s="26" t="s">
        <v>313</v>
      </c>
      <c r="AN117" s="16"/>
      <c r="AO117" s="26" t="s">
        <v>313</v>
      </c>
      <c r="AP117" s="16"/>
      <c r="AQ117" s="26" t="s">
        <v>324</v>
      </c>
      <c r="AR117" s="16"/>
      <c r="AS117" s="26" t="s">
        <v>321</v>
      </c>
      <c r="AT117" s="16"/>
      <c r="AU117" s="26" t="s">
        <v>313</v>
      </c>
      <c r="AV117" s="16"/>
      <c r="AW117" s="26" t="s">
        <v>330</v>
      </c>
      <c r="AX117" s="16"/>
      <c r="AY117" s="26" t="s">
        <v>318</v>
      </c>
      <c r="AZ117" s="16"/>
      <c r="BA117" s="26" t="s">
        <v>321</v>
      </c>
      <c r="BB117" s="16"/>
      <c r="BC117" s="26" t="s">
        <v>326</v>
      </c>
      <c r="BD117" s="16"/>
      <c r="BE117" s="26" t="s">
        <v>333</v>
      </c>
      <c r="BF117" s="16"/>
      <c r="BG117" s="26"/>
      <c r="BH117" s="16"/>
      <c r="BI117" s="26"/>
      <c r="BJ117" s="16"/>
    </row>
    <row r="118" ht="18.0" customHeight="1">
      <c r="A118" s="1"/>
      <c r="B118" s="13" t="s">
        <v>138</v>
      </c>
      <c r="C118" s="26" t="s">
        <v>329</v>
      </c>
      <c r="D118" s="16"/>
      <c r="E118" s="26" t="s">
        <v>337</v>
      </c>
      <c r="F118" s="16"/>
      <c r="G118" s="26" t="s">
        <v>312</v>
      </c>
      <c r="H118" s="16"/>
      <c r="I118" s="26" t="s">
        <v>313</v>
      </c>
      <c r="J118" s="16"/>
      <c r="K118" s="26" t="s">
        <v>334</v>
      </c>
      <c r="L118" s="16"/>
      <c r="M118" s="26" t="s">
        <v>318</v>
      </c>
      <c r="N118" s="16"/>
      <c r="O118" s="26" t="s">
        <v>357</v>
      </c>
      <c r="P118" s="16"/>
      <c r="Q118" s="26" t="s">
        <v>345</v>
      </c>
      <c r="R118" s="16"/>
      <c r="S118" s="26" t="s">
        <v>344</v>
      </c>
      <c r="T118" s="16"/>
      <c r="U118" s="26" t="s">
        <v>334</v>
      </c>
      <c r="V118" s="16"/>
      <c r="W118" s="26" t="s">
        <v>337</v>
      </c>
      <c r="X118" s="16"/>
      <c r="Y118" s="26" t="s">
        <v>352</v>
      </c>
      <c r="Z118" s="16"/>
      <c r="AA118" s="26" t="s">
        <v>349</v>
      </c>
      <c r="AB118" s="16"/>
      <c r="AC118" s="26" t="s">
        <v>323</v>
      </c>
      <c r="AD118" s="16"/>
      <c r="AE118" s="26" t="s">
        <v>345</v>
      </c>
      <c r="AF118" s="16"/>
      <c r="AG118" s="26" t="s">
        <v>313</v>
      </c>
      <c r="AH118" s="16"/>
      <c r="AI118" s="26" t="s">
        <v>348</v>
      </c>
      <c r="AJ118" s="16"/>
      <c r="AK118" s="26" t="s">
        <v>321</v>
      </c>
      <c r="AL118" s="16"/>
      <c r="AM118" s="26" t="s">
        <v>329</v>
      </c>
      <c r="AN118" s="16"/>
      <c r="AO118" s="26" t="s">
        <v>345</v>
      </c>
      <c r="AP118" s="16"/>
      <c r="AQ118" s="26" t="s">
        <v>345</v>
      </c>
      <c r="AR118" s="16"/>
      <c r="AS118" s="26" t="s">
        <v>333</v>
      </c>
      <c r="AT118" s="16"/>
      <c r="AU118" s="26" t="s">
        <v>318</v>
      </c>
      <c r="AV118" s="16"/>
      <c r="AW118" s="26" t="s">
        <v>348</v>
      </c>
      <c r="AX118" s="16"/>
      <c r="AY118" s="26" t="s">
        <v>345</v>
      </c>
      <c r="AZ118" s="16"/>
      <c r="BA118" s="26" t="s">
        <v>329</v>
      </c>
      <c r="BB118" s="16"/>
      <c r="BC118" s="26" t="s">
        <v>349</v>
      </c>
      <c r="BD118" s="16"/>
      <c r="BE118" s="26" t="s">
        <v>357</v>
      </c>
      <c r="BF118" s="16"/>
      <c r="BG118" s="26"/>
      <c r="BH118" s="16"/>
      <c r="BI118" s="26"/>
      <c r="BJ118" s="16"/>
    </row>
    <row r="119" ht="18.0" customHeight="1">
      <c r="A119" s="1"/>
      <c r="B119" s="13" t="s">
        <v>139</v>
      </c>
      <c r="C119" s="26" t="s">
        <v>344</v>
      </c>
      <c r="D119" s="16"/>
      <c r="E119" s="26" t="s">
        <v>345</v>
      </c>
      <c r="F119" s="16"/>
      <c r="G119" s="26" t="s">
        <v>329</v>
      </c>
      <c r="H119" s="16"/>
      <c r="I119" s="26" t="s">
        <v>344</v>
      </c>
      <c r="J119" s="16"/>
      <c r="K119" s="26" t="s">
        <v>320</v>
      </c>
      <c r="L119" s="16"/>
      <c r="M119" s="26" t="s">
        <v>321</v>
      </c>
      <c r="N119" s="16"/>
      <c r="O119" s="26" t="s">
        <v>315</v>
      </c>
      <c r="P119" s="16"/>
      <c r="Q119" s="26" t="s">
        <v>349</v>
      </c>
      <c r="R119" s="16"/>
      <c r="S119" s="26" t="s">
        <v>318</v>
      </c>
      <c r="T119" s="16"/>
      <c r="U119" s="26" t="s">
        <v>321</v>
      </c>
      <c r="V119" s="16"/>
      <c r="W119" s="26" t="s">
        <v>349</v>
      </c>
      <c r="X119" s="16"/>
      <c r="Y119" s="26" t="s">
        <v>315</v>
      </c>
      <c r="Z119" s="16"/>
      <c r="AA119" s="26" t="s">
        <v>345</v>
      </c>
      <c r="AB119" s="16"/>
      <c r="AC119" s="26" t="s">
        <v>336</v>
      </c>
      <c r="AD119" s="16"/>
      <c r="AE119" s="26" t="s">
        <v>312</v>
      </c>
      <c r="AF119" s="16"/>
      <c r="AG119" s="26" t="s">
        <v>334</v>
      </c>
      <c r="AH119" s="16"/>
      <c r="AI119" s="26" t="s">
        <v>326</v>
      </c>
      <c r="AJ119" s="16"/>
      <c r="AK119" s="26" t="s">
        <v>313</v>
      </c>
      <c r="AL119" s="16"/>
      <c r="AM119" s="26" t="s">
        <v>345</v>
      </c>
      <c r="AN119" s="16"/>
      <c r="AO119" s="26" t="s">
        <v>329</v>
      </c>
      <c r="AP119" s="16"/>
      <c r="AQ119" s="26" t="s">
        <v>321</v>
      </c>
      <c r="AR119" s="16"/>
      <c r="AS119" s="26" t="s">
        <v>350</v>
      </c>
      <c r="AT119" s="16"/>
      <c r="AU119" s="26" t="s">
        <v>321</v>
      </c>
      <c r="AV119" s="16"/>
      <c r="AW119" s="26" t="s">
        <v>339</v>
      </c>
      <c r="AX119" s="16"/>
      <c r="AY119" s="26" t="s">
        <v>312</v>
      </c>
      <c r="AZ119" s="16"/>
      <c r="BA119" s="26" t="s">
        <v>313</v>
      </c>
      <c r="BB119" s="16"/>
      <c r="BC119" s="26" t="s">
        <v>342</v>
      </c>
      <c r="BD119" s="16"/>
      <c r="BE119" s="26" t="s">
        <v>313</v>
      </c>
      <c r="BF119" s="16"/>
      <c r="BG119" s="26"/>
      <c r="BH119" s="16"/>
      <c r="BI119" s="26"/>
      <c r="BJ119" s="16"/>
    </row>
    <row r="120" ht="18.0" customHeight="1">
      <c r="A120" s="1"/>
      <c r="B120" s="13" t="s">
        <v>140</v>
      </c>
      <c r="C120" s="26" t="s">
        <v>318</v>
      </c>
      <c r="D120" s="16"/>
      <c r="E120" s="26" t="s">
        <v>313</v>
      </c>
      <c r="F120" s="16"/>
      <c r="G120" s="26" t="s">
        <v>341</v>
      </c>
      <c r="H120" s="16"/>
      <c r="I120" s="26" t="s">
        <v>321</v>
      </c>
      <c r="J120" s="16"/>
      <c r="K120" s="26" t="s">
        <v>328</v>
      </c>
      <c r="L120" s="16"/>
      <c r="M120" s="26" t="s">
        <v>326</v>
      </c>
      <c r="N120" s="16"/>
      <c r="O120" s="26" t="s">
        <v>321</v>
      </c>
      <c r="P120" s="16"/>
      <c r="Q120" s="26" t="s">
        <v>337</v>
      </c>
      <c r="R120" s="16"/>
      <c r="S120" s="26" t="s">
        <v>321</v>
      </c>
      <c r="T120" s="16"/>
      <c r="U120" s="26" t="s">
        <v>345</v>
      </c>
      <c r="V120" s="16"/>
      <c r="W120" s="26" t="s">
        <v>333</v>
      </c>
      <c r="X120" s="16"/>
      <c r="Y120" s="26" t="s">
        <v>321</v>
      </c>
      <c r="Z120" s="16"/>
      <c r="AA120" s="26" t="s">
        <v>313</v>
      </c>
      <c r="AB120" s="16"/>
      <c r="AC120" s="26" t="s">
        <v>321</v>
      </c>
      <c r="AD120" s="16"/>
      <c r="AE120" s="26" t="s">
        <v>321</v>
      </c>
      <c r="AF120" s="16"/>
      <c r="AG120" s="26" t="s">
        <v>341</v>
      </c>
      <c r="AH120" s="16"/>
      <c r="AI120" s="26" t="s">
        <v>322</v>
      </c>
      <c r="AJ120" s="16"/>
      <c r="AK120" s="26" t="s">
        <v>318</v>
      </c>
      <c r="AL120" s="16"/>
      <c r="AM120" s="26" t="s">
        <v>349</v>
      </c>
      <c r="AN120" s="16"/>
      <c r="AO120" s="26" t="s">
        <v>318</v>
      </c>
      <c r="AP120" s="16"/>
      <c r="AQ120" s="26" t="s">
        <v>338</v>
      </c>
      <c r="AR120" s="16"/>
      <c r="AS120" s="26" t="s">
        <v>318</v>
      </c>
      <c r="AT120" s="16"/>
      <c r="AU120" s="26" t="s">
        <v>326</v>
      </c>
      <c r="AV120" s="16"/>
      <c r="AW120" s="26" t="s">
        <v>355</v>
      </c>
      <c r="AX120" s="16"/>
      <c r="AY120" s="26" t="s">
        <v>323</v>
      </c>
      <c r="AZ120" s="16"/>
      <c r="BA120" s="26" t="s">
        <v>331</v>
      </c>
      <c r="BB120" s="16"/>
      <c r="BC120" s="26" t="s">
        <v>313</v>
      </c>
      <c r="BD120" s="16"/>
      <c r="BE120" s="26" t="s">
        <v>321</v>
      </c>
      <c r="BF120" s="16"/>
      <c r="BG120" s="26"/>
      <c r="BH120" s="16"/>
      <c r="BI120" s="26"/>
      <c r="BJ120" s="16"/>
    </row>
    <row r="121" ht="18.0" customHeight="1">
      <c r="A121" s="1"/>
      <c r="B121" s="13" t="s">
        <v>141</v>
      </c>
      <c r="C121" s="26" t="s">
        <v>337</v>
      </c>
      <c r="D121" s="16"/>
      <c r="E121" s="26" t="s">
        <v>349</v>
      </c>
      <c r="F121" s="16"/>
      <c r="G121" s="26" t="s">
        <v>337</v>
      </c>
      <c r="H121" s="16"/>
      <c r="I121" s="26" t="s">
        <v>326</v>
      </c>
      <c r="J121" s="16"/>
      <c r="K121" s="26" t="s">
        <v>344</v>
      </c>
      <c r="L121" s="16"/>
      <c r="M121" s="26" t="s">
        <v>329</v>
      </c>
      <c r="N121" s="16"/>
      <c r="O121" s="26" t="s">
        <v>341</v>
      </c>
      <c r="P121" s="16"/>
      <c r="Q121" s="26" t="s">
        <v>313</v>
      </c>
      <c r="R121" s="16"/>
      <c r="S121" s="26" t="s">
        <v>341</v>
      </c>
      <c r="T121" s="16"/>
      <c r="U121" s="26" t="s">
        <v>349</v>
      </c>
      <c r="V121" s="16"/>
      <c r="W121" s="26" t="s">
        <v>321</v>
      </c>
      <c r="X121" s="16"/>
      <c r="Y121" s="26" t="s">
        <v>349</v>
      </c>
      <c r="Z121" s="16"/>
      <c r="AA121" s="26" t="s">
        <v>337</v>
      </c>
      <c r="AB121" s="16"/>
      <c r="AC121" s="26" t="s">
        <v>341</v>
      </c>
      <c r="AD121" s="16"/>
      <c r="AE121" s="26" t="s">
        <v>326</v>
      </c>
      <c r="AF121" s="16"/>
      <c r="AG121" s="26" t="s">
        <v>348</v>
      </c>
      <c r="AH121" s="16"/>
      <c r="AI121" s="26" t="s">
        <v>328</v>
      </c>
      <c r="AJ121" s="16"/>
      <c r="AK121" s="26" t="s">
        <v>345</v>
      </c>
      <c r="AL121" s="16"/>
      <c r="AM121" s="26" t="s">
        <v>357</v>
      </c>
      <c r="AN121" s="16"/>
      <c r="AO121" s="26" t="s">
        <v>336</v>
      </c>
      <c r="AP121" s="16"/>
      <c r="AQ121" s="26" t="s">
        <v>329</v>
      </c>
      <c r="AR121" s="16"/>
      <c r="AS121" s="26" t="s">
        <v>341</v>
      </c>
      <c r="AT121" s="16"/>
      <c r="AU121" s="26" t="s">
        <v>329</v>
      </c>
      <c r="AV121" s="16"/>
      <c r="AW121" s="26" t="s">
        <v>324</v>
      </c>
      <c r="AX121" s="16"/>
      <c r="AY121" s="26" t="s">
        <v>354</v>
      </c>
      <c r="AZ121" s="16"/>
      <c r="BA121" s="26" t="s">
        <v>345</v>
      </c>
      <c r="BB121" s="16"/>
      <c r="BC121" s="26" t="s">
        <v>328</v>
      </c>
      <c r="BD121" s="16"/>
      <c r="BE121" s="26" t="s">
        <v>328</v>
      </c>
      <c r="BF121" s="16"/>
      <c r="BG121" s="26"/>
      <c r="BH121" s="16"/>
      <c r="BI121" s="26"/>
      <c r="BJ121" s="16"/>
    </row>
    <row r="122" ht="18.0" customHeight="1">
      <c r="A122" s="1"/>
      <c r="B122" s="13" t="s">
        <v>142</v>
      </c>
      <c r="C122" s="26" t="s">
        <v>321</v>
      </c>
      <c r="D122" s="16"/>
      <c r="E122" s="26" t="s">
        <v>329</v>
      </c>
      <c r="F122" s="16"/>
      <c r="G122" s="26" t="s">
        <v>357</v>
      </c>
      <c r="H122" s="16"/>
      <c r="I122" s="26" t="s">
        <v>349</v>
      </c>
      <c r="J122" s="16"/>
      <c r="K122" s="26" t="s">
        <v>312</v>
      </c>
      <c r="L122" s="16"/>
      <c r="M122" s="26" t="s">
        <v>334</v>
      </c>
      <c r="N122" s="16"/>
      <c r="O122" s="26" t="s">
        <v>329</v>
      </c>
      <c r="P122" s="16"/>
      <c r="Q122" s="26" t="s">
        <v>321</v>
      </c>
      <c r="R122" s="16"/>
      <c r="S122" s="26" t="s">
        <v>358</v>
      </c>
      <c r="T122" s="16"/>
      <c r="U122" s="26" t="s">
        <v>357</v>
      </c>
      <c r="V122" s="16"/>
      <c r="W122" s="26" t="s">
        <v>325</v>
      </c>
      <c r="X122" s="16"/>
      <c r="Y122" s="26" t="s">
        <v>357</v>
      </c>
      <c r="Z122" s="16"/>
      <c r="AA122" s="26" t="s">
        <v>318</v>
      </c>
      <c r="AB122" s="16"/>
      <c r="AC122" s="26" t="s">
        <v>334</v>
      </c>
      <c r="AD122" s="16"/>
      <c r="AE122" s="26" t="s">
        <v>333</v>
      </c>
      <c r="AF122" s="16"/>
      <c r="AG122" s="26" t="s">
        <v>326</v>
      </c>
      <c r="AH122" s="16"/>
      <c r="AI122" s="26" t="s">
        <v>354</v>
      </c>
      <c r="AJ122" s="16"/>
      <c r="AK122" s="26" t="s">
        <v>356</v>
      </c>
      <c r="AL122" s="16"/>
      <c r="AM122" s="26" t="s">
        <v>318</v>
      </c>
      <c r="AN122" s="16"/>
      <c r="AO122" s="26" t="s">
        <v>349</v>
      </c>
      <c r="AP122" s="16"/>
      <c r="AQ122" s="26" t="s">
        <v>334</v>
      </c>
      <c r="AR122" s="16"/>
      <c r="AS122" s="26" t="s">
        <v>354</v>
      </c>
      <c r="AT122" s="16"/>
      <c r="AU122" s="26" t="s">
        <v>334</v>
      </c>
      <c r="AV122" s="16"/>
      <c r="AW122" s="26" t="s">
        <v>314</v>
      </c>
      <c r="AX122" s="16"/>
      <c r="AY122" s="26" t="s">
        <v>357</v>
      </c>
      <c r="AZ122" s="16"/>
      <c r="BA122" s="26" t="s">
        <v>342</v>
      </c>
      <c r="BB122" s="16"/>
      <c r="BC122" s="26" t="s">
        <v>336</v>
      </c>
      <c r="BD122" s="16"/>
      <c r="BE122" s="26" t="s">
        <v>345</v>
      </c>
      <c r="BF122" s="16"/>
      <c r="BG122" s="26"/>
      <c r="BH122" s="16"/>
      <c r="BI122" s="26"/>
      <c r="BJ122" s="16"/>
    </row>
    <row r="123" ht="18.0" customHeight="1">
      <c r="A123" s="1"/>
      <c r="B123" s="13" t="s">
        <v>143</v>
      </c>
      <c r="C123" s="26" t="s">
        <v>357</v>
      </c>
      <c r="D123" s="16"/>
      <c r="E123" s="26" t="s">
        <v>333</v>
      </c>
      <c r="F123" s="16"/>
      <c r="G123" s="26" t="s">
        <v>353</v>
      </c>
      <c r="H123" s="16"/>
      <c r="I123" s="26" t="s">
        <v>334</v>
      </c>
      <c r="J123" s="16"/>
      <c r="K123" s="26" t="s">
        <v>349</v>
      </c>
      <c r="L123" s="16"/>
      <c r="M123" s="26" t="s">
        <v>337</v>
      </c>
      <c r="N123" s="16"/>
      <c r="O123" s="26" t="s">
        <v>345</v>
      </c>
      <c r="P123" s="16"/>
      <c r="Q123" s="26" t="s">
        <v>334</v>
      </c>
      <c r="R123" s="16"/>
      <c r="S123" s="26" t="s">
        <v>313</v>
      </c>
      <c r="T123" s="16"/>
      <c r="U123" s="26" t="s">
        <v>318</v>
      </c>
      <c r="V123" s="16"/>
      <c r="W123" s="26" t="s">
        <v>345</v>
      </c>
      <c r="X123" s="16"/>
      <c r="Y123" s="26" t="s">
        <v>329</v>
      </c>
      <c r="Z123" s="16"/>
      <c r="AA123" s="26" t="s">
        <v>326</v>
      </c>
      <c r="AB123" s="16"/>
      <c r="AC123" s="26" t="s">
        <v>357</v>
      </c>
      <c r="AD123" s="16"/>
      <c r="AE123" s="26" t="s">
        <v>336</v>
      </c>
      <c r="AF123" s="16"/>
      <c r="AG123" s="26" t="s">
        <v>357</v>
      </c>
      <c r="AH123" s="16"/>
      <c r="AI123" s="26" t="s">
        <v>342</v>
      </c>
      <c r="AJ123" s="16"/>
      <c r="AK123" s="26" t="s">
        <v>349</v>
      </c>
      <c r="AL123" s="16"/>
      <c r="AM123" s="26" t="s">
        <v>320</v>
      </c>
      <c r="AN123" s="16"/>
      <c r="AO123" s="26" t="s">
        <v>333</v>
      </c>
      <c r="AP123" s="16"/>
      <c r="AQ123" s="26" t="s">
        <v>318</v>
      </c>
      <c r="AR123" s="16"/>
      <c r="AS123" s="26" t="s">
        <v>358</v>
      </c>
      <c r="AT123" s="16"/>
      <c r="AU123" s="26" t="s">
        <v>345</v>
      </c>
      <c r="AV123" s="16"/>
      <c r="AW123" s="26" t="s">
        <v>315</v>
      </c>
      <c r="AX123" s="16"/>
      <c r="AY123" s="26" t="s">
        <v>333</v>
      </c>
      <c r="AZ123" s="16"/>
      <c r="BA123" s="26" t="s">
        <v>323</v>
      </c>
      <c r="BB123" s="16"/>
      <c r="BC123" s="26" t="s">
        <v>321</v>
      </c>
      <c r="BD123" s="16"/>
      <c r="BE123" s="26" t="s">
        <v>318</v>
      </c>
      <c r="BF123" s="16"/>
      <c r="BG123" s="26"/>
      <c r="BH123" s="16"/>
      <c r="BI123" s="26"/>
      <c r="BJ123" s="16"/>
    </row>
    <row r="124" ht="18.0" customHeight="1">
      <c r="A124" s="1"/>
      <c r="B124" s="13" t="s">
        <v>144</v>
      </c>
      <c r="C124" s="26" t="s">
        <v>334</v>
      </c>
      <c r="D124" s="16"/>
      <c r="E124" s="26" t="s">
        <v>318</v>
      </c>
      <c r="F124" s="16"/>
      <c r="G124" s="26" t="s">
        <v>321</v>
      </c>
      <c r="H124" s="16"/>
      <c r="I124" s="26" t="s">
        <v>318</v>
      </c>
      <c r="J124" s="16"/>
      <c r="K124" s="26" t="s">
        <v>318</v>
      </c>
      <c r="L124" s="16"/>
      <c r="M124" s="26" t="s">
        <v>341</v>
      </c>
      <c r="N124" s="16"/>
      <c r="O124" s="26" t="s">
        <v>313</v>
      </c>
      <c r="P124" s="16"/>
      <c r="Q124" s="26" t="s">
        <v>318</v>
      </c>
      <c r="R124" s="16"/>
      <c r="S124" s="26" t="s">
        <v>325</v>
      </c>
      <c r="T124" s="16"/>
      <c r="U124" s="26" t="s">
        <v>337</v>
      </c>
      <c r="V124" s="16"/>
      <c r="W124" s="26" t="s">
        <v>357</v>
      </c>
      <c r="X124" s="16"/>
      <c r="Y124" s="26" t="s">
        <v>311</v>
      </c>
      <c r="Z124" s="16"/>
      <c r="AA124" s="26" t="s">
        <v>333</v>
      </c>
      <c r="AB124" s="16"/>
      <c r="AC124" s="26" t="s">
        <v>350</v>
      </c>
      <c r="AD124" s="16"/>
      <c r="AE124" s="26" t="s">
        <v>349</v>
      </c>
      <c r="AF124" s="16"/>
      <c r="AG124" s="26" t="s">
        <v>321</v>
      </c>
      <c r="AH124" s="16"/>
      <c r="AI124" s="26" t="s">
        <v>345</v>
      </c>
      <c r="AJ124" s="16"/>
      <c r="AK124" s="26" t="s">
        <v>354</v>
      </c>
      <c r="AL124" s="16"/>
      <c r="AM124" s="26" t="s">
        <v>338</v>
      </c>
      <c r="AN124" s="16"/>
      <c r="AO124" s="26" t="s">
        <v>357</v>
      </c>
      <c r="AP124" s="16"/>
      <c r="AQ124" s="26" t="s">
        <v>313</v>
      </c>
      <c r="AR124" s="16"/>
      <c r="AS124" s="26" t="s">
        <v>314</v>
      </c>
      <c r="AT124" s="16"/>
      <c r="AU124" s="26" t="s">
        <v>357</v>
      </c>
      <c r="AV124" s="16"/>
      <c r="AW124" s="26" t="s">
        <v>333</v>
      </c>
      <c r="AX124" s="16"/>
      <c r="AY124" s="26" t="s">
        <v>321</v>
      </c>
      <c r="AZ124" s="16"/>
      <c r="BA124" s="26" t="s">
        <v>317</v>
      </c>
      <c r="BB124" s="16"/>
      <c r="BC124" s="26" t="s">
        <v>333</v>
      </c>
      <c r="BD124" s="16"/>
      <c r="BE124" s="26" t="s">
        <v>349</v>
      </c>
      <c r="BF124" s="16"/>
      <c r="BG124" s="26"/>
      <c r="BH124" s="16"/>
      <c r="BI124" s="26"/>
      <c r="BJ124" s="16"/>
    </row>
    <row r="125" ht="21.75" customHeight="1">
      <c r="A125" s="1"/>
      <c r="B125" s="11" t="s">
        <v>145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ht="18.0" customHeight="1">
      <c r="A126" s="1"/>
      <c r="B126" s="13" t="s">
        <v>146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</row>
    <row r="127" ht="18.0" customHeight="1">
      <c r="A127" s="1"/>
      <c r="B127" s="13" t="s">
        <v>147</v>
      </c>
      <c r="C127" s="26"/>
      <c r="D127" s="16"/>
      <c r="E127" s="26"/>
      <c r="F127" s="16"/>
      <c r="G127" s="26"/>
      <c r="H127" s="16"/>
      <c r="I127" s="26"/>
      <c r="J127" s="16"/>
      <c r="K127" s="26"/>
      <c r="L127" s="16"/>
      <c r="M127" s="26"/>
      <c r="N127" s="16"/>
      <c r="O127" s="26"/>
      <c r="P127" s="16"/>
      <c r="Q127" s="26"/>
      <c r="R127" s="16"/>
      <c r="S127" s="26"/>
      <c r="T127" s="16"/>
      <c r="U127" s="26"/>
      <c r="V127" s="16"/>
      <c r="W127" s="26"/>
      <c r="X127" s="16"/>
      <c r="Y127" s="26"/>
      <c r="Z127" s="16"/>
      <c r="AA127" s="26"/>
      <c r="AB127" s="16"/>
      <c r="AC127" s="26"/>
      <c r="AD127" s="16"/>
      <c r="AE127" s="26"/>
      <c r="AF127" s="16"/>
      <c r="AG127" s="26"/>
      <c r="AH127" s="16"/>
      <c r="AI127" s="26"/>
      <c r="AJ127" s="16"/>
      <c r="AK127" s="26"/>
      <c r="AL127" s="16"/>
      <c r="AM127" s="26"/>
      <c r="AN127" s="16"/>
      <c r="AO127" s="26"/>
      <c r="AP127" s="16"/>
      <c r="AQ127" s="26"/>
      <c r="AR127" s="16"/>
      <c r="AS127" s="26"/>
      <c r="AT127" s="16"/>
      <c r="AU127" s="26"/>
      <c r="AV127" s="16"/>
      <c r="AW127" s="26"/>
      <c r="AX127" s="16"/>
      <c r="AY127" s="26"/>
      <c r="AZ127" s="16"/>
      <c r="BA127" s="26"/>
      <c r="BB127" s="16"/>
      <c r="BC127" s="26"/>
      <c r="BD127" s="16"/>
      <c r="BE127" s="26"/>
      <c r="BF127" s="16"/>
      <c r="BG127" s="26"/>
      <c r="BH127" s="16"/>
      <c r="BI127" s="26"/>
      <c r="BJ127" s="16"/>
    </row>
    <row r="128" ht="18.0" customHeight="1">
      <c r="A128" s="1"/>
      <c r="B128" s="13" t="s">
        <v>148</v>
      </c>
      <c r="C128" s="26"/>
      <c r="D128" s="16"/>
      <c r="E128" s="26"/>
      <c r="F128" s="16"/>
      <c r="G128" s="26"/>
      <c r="H128" s="16"/>
      <c r="I128" s="26"/>
      <c r="J128" s="16"/>
      <c r="K128" s="26"/>
      <c r="L128" s="16"/>
      <c r="M128" s="26"/>
      <c r="N128" s="16"/>
      <c r="O128" s="26"/>
      <c r="P128" s="16"/>
      <c r="Q128" s="26"/>
      <c r="R128" s="16"/>
      <c r="S128" s="26"/>
      <c r="T128" s="16"/>
      <c r="U128" s="26"/>
      <c r="V128" s="16"/>
      <c r="W128" s="26"/>
      <c r="X128" s="16"/>
      <c r="Y128" s="26"/>
      <c r="Z128" s="16"/>
      <c r="AA128" s="26"/>
      <c r="AB128" s="16"/>
      <c r="AC128" s="26"/>
      <c r="AD128" s="16"/>
      <c r="AE128" s="26"/>
      <c r="AF128" s="16"/>
      <c r="AG128" s="26"/>
      <c r="AH128" s="16"/>
      <c r="AI128" s="26"/>
      <c r="AJ128" s="16"/>
      <c r="AK128" s="26"/>
      <c r="AL128" s="16"/>
      <c r="AM128" s="26"/>
      <c r="AN128" s="16"/>
      <c r="AO128" s="26"/>
      <c r="AP128" s="16"/>
      <c r="AQ128" s="26"/>
      <c r="AR128" s="16"/>
      <c r="AS128" s="26"/>
      <c r="AT128" s="16"/>
      <c r="AU128" s="26"/>
      <c r="AV128" s="16"/>
      <c r="AW128" s="26"/>
      <c r="AX128" s="16"/>
      <c r="AY128" s="26"/>
      <c r="AZ128" s="16"/>
      <c r="BA128" s="26"/>
      <c r="BB128" s="16"/>
      <c r="BC128" s="26"/>
      <c r="BD128" s="16"/>
      <c r="BE128" s="26"/>
      <c r="BF128" s="16"/>
      <c r="BG128" s="26"/>
      <c r="BH128" s="16"/>
      <c r="BI128" s="26"/>
      <c r="BJ128" s="16"/>
    </row>
    <row r="129" ht="18.0" customHeight="1">
      <c r="A129" s="1"/>
      <c r="B129" s="13" t="s">
        <v>149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</row>
    <row r="130" ht="18.0" customHeight="1">
      <c r="A130" s="1"/>
      <c r="B130" s="13" t="s">
        <v>150</v>
      </c>
      <c r="C130" s="26"/>
      <c r="D130" s="16"/>
      <c r="E130" s="26"/>
      <c r="F130" s="16"/>
      <c r="G130" s="26"/>
      <c r="H130" s="16"/>
      <c r="I130" s="26"/>
      <c r="J130" s="16"/>
      <c r="K130" s="26"/>
      <c r="L130" s="16"/>
      <c r="M130" s="26"/>
      <c r="N130" s="16"/>
      <c r="O130" s="26"/>
      <c r="P130" s="16"/>
      <c r="Q130" s="26"/>
      <c r="R130" s="16"/>
      <c r="S130" s="26"/>
      <c r="T130" s="16"/>
      <c r="U130" s="26"/>
      <c r="V130" s="16"/>
      <c r="W130" s="26"/>
      <c r="X130" s="16"/>
      <c r="Y130" s="26"/>
      <c r="Z130" s="16"/>
      <c r="AA130" s="26"/>
      <c r="AB130" s="16"/>
      <c r="AC130" s="26"/>
      <c r="AD130" s="16"/>
      <c r="AE130" s="26"/>
      <c r="AF130" s="16"/>
      <c r="AG130" s="26"/>
      <c r="AH130" s="16"/>
      <c r="AI130" s="26"/>
      <c r="AJ130" s="16"/>
      <c r="AK130" s="26"/>
      <c r="AL130" s="16"/>
      <c r="AM130" s="26"/>
      <c r="AN130" s="16"/>
      <c r="AO130" s="26"/>
      <c r="AP130" s="16"/>
      <c r="AQ130" s="26"/>
      <c r="AR130" s="16"/>
      <c r="AS130" s="26"/>
      <c r="AT130" s="16"/>
      <c r="AU130" s="26"/>
      <c r="AV130" s="16"/>
      <c r="AW130" s="26"/>
      <c r="AX130" s="16"/>
      <c r="AY130" s="26"/>
      <c r="AZ130" s="16"/>
      <c r="BA130" s="26"/>
      <c r="BB130" s="16"/>
      <c r="BC130" s="26"/>
      <c r="BD130" s="16"/>
      <c r="BE130" s="26"/>
      <c r="BF130" s="16"/>
      <c r="BG130" s="26"/>
      <c r="BH130" s="16"/>
      <c r="BI130" s="26"/>
      <c r="BJ130" s="16"/>
    </row>
    <row r="131" ht="18.0" customHeight="1">
      <c r="A131" s="1"/>
      <c r="B131" s="13" t="s">
        <v>151</v>
      </c>
      <c r="C131" s="26"/>
      <c r="D131" s="16"/>
      <c r="E131" s="26"/>
      <c r="F131" s="16"/>
      <c r="G131" s="26"/>
      <c r="H131" s="16"/>
      <c r="I131" s="26"/>
      <c r="J131" s="16"/>
      <c r="K131" s="26"/>
      <c r="L131" s="16"/>
      <c r="M131" s="26"/>
      <c r="N131" s="16"/>
      <c r="O131" s="26"/>
      <c r="P131" s="16"/>
      <c r="Q131" s="26"/>
      <c r="R131" s="16"/>
      <c r="S131" s="26"/>
      <c r="T131" s="16"/>
      <c r="U131" s="26"/>
      <c r="V131" s="16"/>
      <c r="W131" s="26"/>
      <c r="X131" s="16"/>
      <c r="Y131" s="26"/>
      <c r="Z131" s="16"/>
      <c r="AA131" s="26"/>
      <c r="AB131" s="16"/>
      <c r="AC131" s="26"/>
      <c r="AD131" s="16"/>
      <c r="AE131" s="26"/>
      <c r="AF131" s="16"/>
      <c r="AG131" s="26"/>
      <c r="AH131" s="16"/>
      <c r="AI131" s="26"/>
      <c r="AJ131" s="16"/>
      <c r="AK131" s="26"/>
      <c r="AL131" s="16"/>
      <c r="AM131" s="26"/>
      <c r="AN131" s="16"/>
      <c r="AO131" s="26"/>
      <c r="AP131" s="16"/>
      <c r="AQ131" s="26"/>
      <c r="AR131" s="16"/>
      <c r="AS131" s="26"/>
      <c r="AT131" s="16"/>
      <c r="AU131" s="26"/>
      <c r="AV131" s="16"/>
      <c r="AW131" s="26"/>
      <c r="AX131" s="16"/>
      <c r="AY131" s="26"/>
      <c r="AZ131" s="16"/>
      <c r="BA131" s="26"/>
      <c r="BB131" s="16"/>
      <c r="BC131" s="26"/>
      <c r="BD131" s="16"/>
      <c r="BE131" s="26"/>
      <c r="BF131" s="16"/>
      <c r="BG131" s="26"/>
      <c r="BH131" s="16"/>
      <c r="BI131" s="26"/>
      <c r="BJ131" s="16"/>
    </row>
    <row r="132" ht="18.0" customHeight="1">
      <c r="A132" s="1"/>
      <c r="B132" s="13" t="s">
        <v>152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</row>
    <row r="133" ht="18.0" customHeight="1">
      <c r="A133" s="1"/>
      <c r="B133" s="13" t="s">
        <v>153</v>
      </c>
      <c r="C133" s="26"/>
      <c r="D133" s="16"/>
      <c r="E133" s="26"/>
      <c r="F133" s="16"/>
      <c r="G133" s="26"/>
      <c r="H133" s="16"/>
      <c r="I133" s="26"/>
      <c r="J133" s="16"/>
      <c r="K133" s="26"/>
      <c r="L133" s="16"/>
      <c r="M133" s="26"/>
      <c r="N133" s="16"/>
      <c r="O133" s="26"/>
      <c r="P133" s="16"/>
      <c r="Q133" s="26"/>
      <c r="R133" s="16"/>
      <c r="S133" s="26"/>
      <c r="T133" s="16"/>
      <c r="U133" s="26"/>
      <c r="V133" s="16"/>
      <c r="W133" s="26"/>
      <c r="X133" s="16"/>
      <c r="Y133" s="26"/>
      <c r="Z133" s="16"/>
      <c r="AA133" s="26"/>
      <c r="AB133" s="16"/>
      <c r="AC133" s="26"/>
      <c r="AD133" s="16"/>
      <c r="AE133" s="26"/>
      <c r="AF133" s="16"/>
      <c r="AG133" s="26"/>
      <c r="AH133" s="16"/>
      <c r="AI133" s="26"/>
      <c r="AJ133" s="16"/>
      <c r="AK133" s="26"/>
      <c r="AL133" s="16"/>
      <c r="AM133" s="26"/>
      <c r="AN133" s="16"/>
      <c r="AO133" s="26"/>
      <c r="AP133" s="16"/>
      <c r="AQ133" s="26"/>
      <c r="AR133" s="16"/>
      <c r="AS133" s="26"/>
      <c r="AT133" s="16"/>
      <c r="AU133" s="26"/>
      <c r="AV133" s="16"/>
      <c r="AW133" s="26"/>
      <c r="AX133" s="16"/>
      <c r="AY133" s="26"/>
      <c r="AZ133" s="16"/>
      <c r="BA133" s="26"/>
      <c r="BB133" s="16"/>
      <c r="BC133" s="26"/>
      <c r="BD133" s="16"/>
      <c r="BE133" s="26"/>
      <c r="BF133" s="16"/>
      <c r="BG133" s="26"/>
      <c r="BH133" s="16"/>
      <c r="BI133" s="26"/>
      <c r="BJ133" s="16"/>
    </row>
    <row r="134" ht="18.0" customHeight="1">
      <c r="A134" s="1"/>
      <c r="B134" s="13" t="s">
        <v>154</v>
      </c>
      <c r="C134" s="26"/>
      <c r="D134" s="16"/>
      <c r="E134" s="26"/>
      <c r="F134" s="16"/>
      <c r="G134" s="26"/>
      <c r="H134" s="16"/>
      <c r="I134" s="26"/>
      <c r="J134" s="16"/>
      <c r="K134" s="26"/>
      <c r="L134" s="16"/>
      <c r="M134" s="26"/>
      <c r="N134" s="16"/>
      <c r="O134" s="26"/>
      <c r="P134" s="16"/>
      <c r="Q134" s="26"/>
      <c r="R134" s="16"/>
      <c r="S134" s="26"/>
      <c r="T134" s="16"/>
      <c r="U134" s="26"/>
      <c r="V134" s="16"/>
      <c r="W134" s="26"/>
      <c r="X134" s="16"/>
      <c r="Y134" s="26"/>
      <c r="Z134" s="16"/>
      <c r="AA134" s="26"/>
      <c r="AB134" s="16"/>
      <c r="AC134" s="26"/>
      <c r="AD134" s="16"/>
      <c r="AE134" s="26"/>
      <c r="AF134" s="16"/>
      <c r="AG134" s="26"/>
      <c r="AH134" s="16"/>
      <c r="AI134" s="26"/>
      <c r="AJ134" s="16"/>
      <c r="AK134" s="26"/>
      <c r="AL134" s="16"/>
      <c r="AM134" s="26"/>
      <c r="AN134" s="16"/>
      <c r="AO134" s="26"/>
      <c r="AP134" s="16"/>
      <c r="AQ134" s="26"/>
      <c r="AR134" s="16"/>
      <c r="AS134" s="26"/>
      <c r="AT134" s="16"/>
      <c r="AU134" s="26"/>
      <c r="AV134" s="16"/>
      <c r="AW134" s="26"/>
      <c r="AX134" s="16"/>
      <c r="AY134" s="26"/>
      <c r="AZ134" s="16"/>
      <c r="BA134" s="26"/>
      <c r="BB134" s="16"/>
      <c r="BC134" s="26"/>
      <c r="BD134" s="16"/>
      <c r="BE134" s="26"/>
      <c r="BF134" s="16"/>
      <c r="BG134" s="26"/>
      <c r="BH134" s="16"/>
      <c r="BI134" s="26"/>
      <c r="BJ134" s="16"/>
    </row>
    <row r="135" ht="18.0" customHeight="1">
      <c r="A135" s="1"/>
      <c r="B135" s="13" t="s">
        <v>155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</row>
    <row r="136" ht="18.0" customHeight="1">
      <c r="A136" s="1"/>
      <c r="B136" s="13" t="s">
        <v>156</v>
      </c>
      <c r="C136" s="26"/>
      <c r="D136" s="16"/>
      <c r="E136" s="26"/>
      <c r="F136" s="16"/>
      <c r="G136" s="26"/>
      <c r="H136" s="16"/>
      <c r="I136" s="26"/>
      <c r="J136" s="16"/>
      <c r="K136" s="26"/>
      <c r="L136" s="16"/>
      <c r="M136" s="26"/>
      <c r="N136" s="16"/>
      <c r="O136" s="26"/>
      <c r="P136" s="16"/>
      <c r="Q136" s="26"/>
      <c r="R136" s="16"/>
      <c r="S136" s="26"/>
      <c r="T136" s="16"/>
      <c r="U136" s="26"/>
      <c r="V136" s="16"/>
      <c r="W136" s="26"/>
      <c r="X136" s="16"/>
      <c r="Y136" s="26"/>
      <c r="Z136" s="16"/>
      <c r="AA136" s="26"/>
      <c r="AB136" s="16"/>
      <c r="AC136" s="26"/>
      <c r="AD136" s="16"/>
      <c r="AE136" s="26"/>
      <c r="AF136" s="16"/>
      <c r="AG136" s="26"/>
      <c r="AH136" s="16"/>
      <c r="AI136" s="26"/>
      <c r="AJ136" s="16"/>
      <c r="AK136" s="26"/>
      <c r="AL136" s="16"/>
      <c r="AM136" s="26"/>
      <c r="AN136" s="16"/>
      <c r="AO136" s="26"/>
      <c r="AP136" s="16"/>
      <c r="AQ136" s="26"/>
      <c r="AR136" s="16"/>
      <c r="AS136" s="26"/>
      <c r="AT136" s="16"/>
      <c r="AU136" s="26"/>
      <c r="AV136" s="16"/>
      <c r="AW136" s="26"/>
      <c r="AX136" s="16"/>
      <c r="AY136" s="26"/>
      <c r="AZ136" s="16"/>
      <c r="BA136" s="26"/>
      <c r="BB136" s="16"/>
      <c r="BC136" s="26"/>
      <c r="BD136" s="16"/>
      <c r="BE136" s="26"/>
      <c r="BF136" s="16"/>
      <c r="BG136" s="26"/>
      <c r="BH136" s="16"/>
      <c r="BI136" s="26"/>
      <c r="BJ136" s="16"/>
    </row>
    <row r="137" ht="18.0" customHeight="1">
      <c r="A137" s="1"/>
      <c r="B137" s="13" t="s">
        <v>157</v>
      </c>
      <c r="C137" s="26"/>
      <c r="D137" s="16"/>
      <c r="E137" s="26"/>
      <c r="F137" s="16"/>
      <c r="G137" s="26"/>
      <c r="H137" s="16"/>
      <c r="I137" s="26"/>
      <c r="J137" s="16"/>
      <c r="K137" s="26"/>
      <c r="L137" s="16"/>
      <c r="M137" s="26"/>
      <c r="N137" s="16"/>
      <c r="O137" s="26"/>
      <c r="P137" s="16"/>
      <c r="Q137" s="26"/>
      <c r="R137" s="16"/>
      <c r="S137" s="26"/>
      <c r="T137" s="16"/>
      <c r="U137" s="26"/>
      <c r="V137" s="16"/>
      <c r="W137" s="26"/>
      <c r="X137" s="16"/>
      <c r="Y137" s="26"/>
      <c r="Z137" s="16"/>
      <c r="AA137" s="26"/>
      <c r="AB137" s="16"/>
      <c r="AC137" s="26"/>
      <c r="AD137" s="16"/>
      <c r="AE137" s="26"/>
      <c r="AF137" s="16"/>
      <c r="AG137" s="26"/>
      <c r="AH137" s="16"/>
      <c r="AI137" s="26"/>
      <c r="AJ137" s="16"/>
      <c r="AK137" s="26"/>
      <c r="AL137" s="16"/>
      <c r="AM137" s="26"/>
      <c r="AN137" s="16"/>
      <c r="AO137" s="26"/>
      <c r="AP137" s="16"/>
      <c r="AQ137" s="26"/>
      <c r="AR137" s="16"/>
      <c r="AS137" s="26"/>
      <c r="AT137" s="16"/>
      <c r="AU137" s="26"/>
      <c r="AV137" s="16"/>
      <c r="AW137" s="26"/>
      <c r="AX137" s="16"/>
      <c r="AY137" s="26"/>
      <c r="AZ137" s="16"/>
      <c r="BA137" s="26"/>
      <c r="BB137" s="16"/>
      <c r="BC137" s="26"/>
      <c r="BD137" s="16"/>
      <c r="BE137" s="26"/>
      <c r="BF137" s="16"/>
      <c r="BG137" s="26"/>
      <c r="BH137" s="16"/>
      <c r="BI137" s="26"/>
      <c r="BJ137" s="16"/>
    </row>
    <row r="138" ht="18.0" customHeight="1">
      <c r="A138" s="1"/>
      <c r="B138" s="13" t="s">
        <v>158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</row>
    <row r="139" ht="18.0" customHeight="1">
      <c r="A139" s="1"/>
      <c r="B139" s="13" t="s">
        <v>159</v>
      </c>
      <c r="C139" s="26"/>
      <c r="D139" s="16"/>
      <c r="E139" s="26"/>
      <c r="F139" s="16"/>
      <c r="G139" s="26"/>
      <c r="H139" s="16"/>
      <c r="I139" s="26"/>
      <c r="J139" s="16"/>
      <c r="K139" s="26"/>
      <c r="L139" s="16"/>
      <c r="M139" s="26"/>
      <c r="N139" s="16"/>
      <c r="O139" s="26"/>
      <c r="P139" s="16"/>
      <c r="Q139" s="26"/>
      <c r="R139" s="16"/>
      <c r="S139" s="26"/>
      <c r="T139" s="16"/>
      <c r="U139" s="26"/>
      <c r="V139" s="16"/>
      <c r="W139" s="26"/>
      <c r="X139" s="16"/>
      <c r="Y139" s="26"/>
      <c r="Z139" s="16"/>
      <c r="AA139" s="26"/>
      <c r="AB139" s="16"/>
      <c r="AC139" s="26"/>
      <c r="AD139" s="16"/>
      <c r="AE139" s="26"/>
      <c r="AF139" s="16"/>
      <c r="AG139" s="26"/>
      <c r="AH139" s="16"/>
      <c r="AI139" s="26"/>
      <c r="AJ139" s="16"/>
      <c r="AK139" s="26"/>
      <c r="AL139" s="16"/>
      <c r="AM139" s="26"/>
      <c r="AN139" s="16"/>
      <c r="AO139" s="26"/>
      <c r="AP139" s="16"/>
      <c r="AQ139" s="26"/>
      <c r="AR139" s="16"/>
      <c r="AS139" s="26"/>
      <c r="AT139" s="16"/>
      <c r="AU139" s="26"/>
      <c r="AV139" s="16"/>
      <c r="AW139" s="26"/>
      <c r="AX139" s="16"/>
      <c r="AY139" s="26"/>
      <c r="AZ139" s="16"/>
      <c r="BA139" s="26"/>
      <c r="BB139" s="16"/>
      <c r="BC139" s="26"/>
      <c r="BD139" s="16"/>
      <c r="BE139" s="26"/>
      <c r="BF139" s="16"/>
      <c r="BG139" s="26"/>
      <c r="BH139" s="16"/>
      <c r="BI139" s="26"/>
      <c r="BJ139" s="16"/>
    </row>
    <row r="140" ht="18.0" customHeight="1">
      <c r="A140" s="1"/>
      <c r="B140" s="13" t="s">
        <v>160</v>
      </c>
      <c r="C140" s="26"/>
      <c r="D140" s="16"/>
      <c r="E140" s="26"/>
      <c r="F140" s="16"/>
      <c r="G140" s="26"/>
      <c r="H140" s="16"/>
      <c r="I140" s="26"/>
      <c r="J140" s="16"/>
      <c r="K140" s="26"/>
      <c r="L140" s="16"/>
      <c r="M140" s="26"/>
      <c r="N140" s="16"/>
      <c r="O140" s="26"/>
      <c r="P140" s="16"/>
      <c r="Q140" s="26"/>
      <c r="R140" s="16"/>
      <c r="S140" s="26"/>
      <c r="T140" s="16"/>
      <c r="U140" s="26"/>
      <c r="V140" s="16"/>
      <c r="W140" s="26"/>
      <c r="X140" s="16"/>
      <c r="Y140" s="26"/>
      <c r="Z140" s="16"/>
      <c r="AA140" s="26"/>
      <c r="AB140" s="16"/>
      <c r="AC140" s="26"/>
      <c r="AD140" s="16"/>
      <c r="AE140" s="26"/>
      <c r="AF140" s="16"/>
      <c r="AG140" s="26"/>
      <c r="AH140" s="16"/>
      <c r="AI140" s="26"/>
      <c r="AJ140" s="16"/>
      <c r="AK140" s="26"/>
      <c r="AL140" s="16"/>
      <c r="AM140" s="26"/>
      <c r="AN140" s="16"/>
      <c r="AO140" s="26"/>
      <c r="AP140" s="16"/>
      <c r="AQ140" s="26"/>
      <c r="AR140" s="16"/>
      <c r="AS140" s="26"/>
      <c r="AT140" s="16"/>
      <c r="AU140" s="26"/>
      <c r="AV140" s="16"/>
      <c r="AW140" s="26"/>
      <c r="AX140" s="16"/>
      <c r="AY140" s="26"/>
      <c r="AZ140" s="16"/>
      <c r="BA140" s="26"/>
      <c r="BB140" s="16"/>
      <c r="BC140" s="26"/>
      <c r="BD140" s="16"/>
      <c r="BE140" s="26"/>
      <c r="BF140" s="16"/>
      <c r="BG140" s="26"/>
      <c r="BH140" s="16"/>
      <c r="BI140" s="26"/>
      <c r="BJ140" s="16"/>
    </row>
    <row r="141" ht="18.0" customHeight="1">
      <c r="A141" s="1"/>
      <c r="B141" s="13" t="s">
        <v>161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</row>
    <row r="142" ht="18.0" customHeight="1">
      <c r="A142" s="1"/>
      <c r="B142" s="13" t="s">
        <v>162</v>
      </c>
      <c r="C142" s="26"/>
      <c r="D142" s="16"/>
      <c r="E142" s="26"/>
      <c r="F142" s="16"/>
      <c r="G142" s="26"/>
      <c r="H142" s="16"/>
      <c r="I142" s="26"/>
      <c r="J142" s="16"/>
      <c r="K142" s="26"/>
      <c r="L142" s="16"/>
      <c r="M142" s="26"/>
      <c r="N142" s="16"/>
      <c r="O142" s="26"/>
      <c r="P142" s="16"/>
      <c r="Q142" s="26"/>
      <c r="R142" s="16"/>
      <c r="S142" s="26"/>
      <c r="T142" s="16"/>
      <c r="U142" s="26"/>
      <c r="V142" s="16"/>
      <c r="W142" s="26"/>
      <c r="X142" s="16"/>
      <c r="Y142" s="26"/>
      <c r="Z142" s="16"/>
      <c r="AA142" s="26"/>
      <c r="AB142" s="16"/>
      <c r="AC142" s="26"/>
      <c r="AD142" s="16"/>
      <c r="AE142" s="26"/>
      <c r="AF142" s="16"/>
      <c r="AG142" s="26"/>
      <c r="AH142" s="16"/>
      <c r="AI142" s="26"/>
      <c r="AJ142" s="16"/>
      <c r="AK142" s="26"/>
      <c r="AL142" s="16"/>
      <c r="AM142" s="26"/>
      <c r="AN142" s="16"/>
      <c r="AO142" s="26"/>
      <c r="AP142" s="16"/>
      <c r="AQ142" s="26"/>
      <c r="AR142" s="16"/>
      <c r="AS142" s="26"/>
      <c r="AT142" s="16"/>
      <c r="AU142" s="26"/>
      <c r="AV142" s="16"/>
      <c r="AW142" s="26"/>
      <c r="AX142" s="16"/>
      <c r="AY142" s="26"/>
      <c r="AZ142" s="16"/>
      <c r="BA142" s="26"/>
      <c r="BB142" s="16"/>
      <c r="BC142" s="26"/>
      <c r="BD142" s="16"/>
      <c r="BE142" s="26"/>
      <c r="BF142" s="16"/>
      <c r="BG142" s="26"/>
      <c r="BH142" s="16"/>
      <c r="BI142" s="26"/>
      <c r="BJ142" s="16"/>
    </row>
    <row r="143" ht="18.0" customHeight="1">
      <c r="A143" s="1"/>
      <c r="B143" s="13" t="s">
        <v>163</v>
      </c>
      <c r="C143" s="26"/>
      <c r="D143" s="16"/>
      <c r="E143" s="26"/>
      <c r="F143" s="16"/>
      <c r="G143" s="26"/>
      <c r="H143" s="16"/>
      <c r="I143" s="26"/>
      <c r="J143" s="16"/>
      <c r="K143" s="26"/>
      <c r="L143" s="16"/>
      <c r="M143" s="26"/>
      <c r="N143" s="16"/>
      <c r="O143" s="26"/>
      <c r="P143" s="16"/>
      <c r="Q143" s="26"/>
      <c r="R143" s="16"/>
      <c r="S143" s="26"/>
      <c r="T143" s="16"/>
      <c r="U143" s="26"/>
      <c r="V143" s="16"/>
      <c r="W143" s="26"/>
      <c r="X143" s="16"/>
      <c r="Y143" s="26"/>
      <c r="Z143" s="16"/>
      <c r="AA143" s="26"/>
      <c r="AB143" s="16"/>
      <c r="AC143" s="26"/>
      <c r="AD143" s="16"/>
      <c r="AE143" s="26"/>
      <c r="AF143" s="16"/>
      <c r="AG143" s="26"/>
      <c r="AH143" s="16"/>
      <c r="AI143" s="26"/>
      <c r="AJ143" s="16"/>
      <c r="AK143" s="26"/>
      <c r="AL143" s="16"/>
      <c r="AM143" s="26"/>
      <c r="AN143" s="16"/>
      <c r="AO143" s="26"/>
      <c r="AP143" s="16"/>
      <c r="AQ143" s="26"/>
      <c r="AR143" s="16"/>
      <c r="AS143" s="26"/>
      <c r="AT143" s="16"/>
      <c r="AU143" s="26"/>
      <c r="AV143" s="16"/>
      <c r="AW143" s="26"/>
      <c r="AX143" s="16"/>
      <c r="AY143" s="26"/>
      <c r="AZ143" s="16"/>
      <c r="BA143" s="26"/>
      <c r="BB143" s="16"/>
      <c r="BC143" s="26"/>
      <c r="BD143" s="16"/>
      <c r="BE143" s="26"/>
      <c r="BF143" s="16"/>
      <c r="BG143" s="26"/>
      <c r="BH143" s="16"/>
      <c r="BI143" s="26"/>
      <c r="BJ143" s="16"/>
    </row>
    <row r="144" ht="18.0" customHeight="1">
      <c r="A144" s="1"/>
      <c r="B144" s="13" t="s">
        <v>164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</row>
    <row r="145" ht="18.0" customHeight="1">
      <c r="A145" s="1"/>
      <c r="B145" s="13" t="s">
        <v>165</v>
      </c>
      <c r="C145" s="26"/>
      <c r="D145" s="16"/>
      <c r="E145" s="26"/>
      <c r="F145" s="16"/>
      <c r="G145" s="26"/>
      <c r="H145" s="16"/>
      <c r="I145" s="26"/>
      <c r="J145" s="16"/>
      <c r="K145" s="26"/>
      <c r="L145" s="16"/>
      <c r="M145" s="26"/>
      <c r="N145" s="16"/>
      <c r="O145" s="26"/>
      <c r="P145" s="16"/>
      <c r="Q145" s="26"/>
      <c r="R145" s="16"/>
      <c r="S145" s="26"/>
      <c r="T145" s="16"/>
      <c r="U145" s="26"/>
      <c r="V145" s="16"/>
      <c r="W145" s="26"/>
      <c r="X145" s="16"/>
      <c r="Y145" s="26"/>
      <c r="Z145" s="16"/>
      <c r="AA145" s="26"/>
      <c r="AB145" s="16"/>
      <c r="AC145" s="26"/>
      <c r="AD145" s="16"/>
      <c r="AE145" s="26"/>
      <c r="AF145" s="16"/>
      <c r="AG145" s="26"/>
      <c r="AH145" s="16"/>
      <c r="AI145" s="26"/>
      <c r="AJ145" s="16"/>
      <c r="AK145" s="26"/>
      <c r="AL145" s="16"/>
      <c r="AM145" s="26"/>
      <c r="AN145" s="16"/>
      <c r="AO145" s="26"/>
      <c r="AP145" s="16"/>
      <c r="AQ145" s="26"/>
      <c r="AR145" s="16"/>
      <c r="AS145" s="26"/>
      <c r="AT145" s="16"/>
      <c r="AU145" s="26"/>
      <c r="AV145" s="16"/>
      <c r="AW145" s="26"/>
      <c r="AX145" s="16"/>
      <c r="AY145" s="26"/>
      <c r="AZ145" s="16"/>
      <c r="BA145" s="26"/>
      <c r="BB145" s="16"/>
      <c r="BC145" s="26"/>
      <c r="BD145" s="16"/>
      <c r="BE145" s="26"/>
      <c r="BF145" s="16"/>
      <c r="BG145" s="26"/>
      <c r="BH145" s="16"/>
      <c r="BI145" s="26"/>
      <c r="BJ145" s="16"/>
    </row>
    <row r="146" ht="18.0" customHeight="1">
      <c r="A146" s="1"/>
      <c r="B146" s="13" t="s">
        <v>166</v>
      </c>
      <c r="C146" s="26"/>
      <c r="D146" s="16"/>
      <c r="E146" s="26"/>
      <c r="F146" s="16"/>
      <c r="G146" s="26"/>
      <c r="H146" s="16"/>
      <c r="I146" s="26"/>
      <c r="J146" s="16"/>
      <c r="K146" s="26"/>
      <c r="L146" s="16"/>
      <c r="M146" s="26"/>
      <c r="N146" s="16"/>
      <c r="O146" s="26"/>
      <c r="P146" s="16"/>
      <c r="Q146" s="26"/>
      <c r="R146" s="16"/>
      <c r="S146" s="26"/>
      <c r="T146" s="16"/>
      <c r="U146" s="26"/>
      <c r="V146" s="16"/>
      <c r="W146" s="26"/>
      <c r="X146" s="16"/>
      <c r="Y146" s="26"/>
      <c r="Z146" s="16"/>
      <c r="AA146" s="26"/>
      <c r="AB146" s="16"/>
      <c r="AC146" s="26"/>
      <c r="AD146" s="16"/>
      <c r="AE146" s="26"/>
      <c r="AF146" s="16"/>
      <c r="AG146" s="26"/>
      <c r="AH146" s="16"/>
      <c r="AI146" s="26"/>
      <c r="AJ146" s="16"/>
      <c r="AK146" s="26"/>
      <c r="AL146" s="16"/>
      <c r="AM146" s="26"/>
      <c r="AN146" s="16"/>
      <c r="AO146" s="26"/>
      <c r="AP146" s="16"/>
      <c r="AQ146" s="26"/>
      <c r="AR146" s="16"/>
      <c r="AS146" s="26"/>
      <c r="AT146" s="16"/>
      <c r="AU146" s="26"/>
      <c r="AV146" s="16"/>
      <c r="AW146" s="26"/>
      <c r="AX146" s="16"/>
      <c r="AY146" s="26"/>
      <c r="AZ146" s="16"/>
      <c r="BA146" s="26"/>
      <c r="BB146" s="16"/>
      <c r="BC146" s="26"/>
      <c r="BD146" s="16"/>
      <c r="BE146" s="26"/>
      <c r="BF146" s="16"/>
      <c r="BG146" s="26"/>
      <c r="BH146" s="16"/>
      <c r="BI146" s="26"/>
      <c r="BJ146" s="16"/>
    </row>
    <row r="147" ht="18.0" customHeight="1">
      <c r="A147" s="1"/>
      <c r="B147" s="13" t="s">
        <v>167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</row>
    <row r="148" ht="18.0" customHeight="1">
      <c r="A148" s="1"/>
      <c r="B148" s="13" t="s">
        <v>168</v>
      </c>
      <c r="C148" s="26"/>
      <c r="D148" s="16"/>
      <c r="E148" s="26"/>
      <c r="F148" s="16"/>
      <c r="G148" s="26"/>
      <c r="H148" s="16"/>
      <c r="I148" s="26"/>
      <c r="J148" s="16"/>
      <c r="K148" s="26"/>
      <c r="L148" s="16"/>
      <c r="M148" s="26"/>
      <c r="N148" s="16"/>
      <c r="O148" s="26"/>
      <c r="P148" s="16"/>
      <c r="Q148" s="26"/>
      <c r="R148" s="16"/>
      <c r="S148" s="26"/>
      <c r="T148" s="16"/>
      <c r="U148" s="26"/>
      <c r="V148" s="16"/>
      <c r="W148" s="26"/>
      <c r="X148" s="16"/>
      <c r="Y148" s="26"/>
      <c r="Z148" s="16"/>
      <c r="AA148" s="26"/>
      <c r="AB148" s="16"/>
      <c r="AC148" s="26"/>
      <c r="AD148" s="16"/>
      <c r="AE148" s="26"/>
      <c r="AF148" s="16"/>
      <c r="AG148" s="26"/>
      <c r="AH148" s="16"/>
      <c r="AI148" s="26"/>
      <c r="AJ148" s="16"/>
      <c r="AK148" s="26"/>
      <c r="AL148" s="16"/>
      <c r="AM148" s="26"/>
      <c r="AN148" s="16"/>
      <c r="AO148" s="26"/>
      <c r="AP148" s="16"/>
      <c r="AQ148" s="26"/>
      <c r="AR148" s="16"/>
      <c r="AS148" s="26"/>
      <c r="AT148" s="16"/>
      <c r="AU148" s="26"/>
      <c r="AV148" s="16"/>
      <c r="AW148" s="26"/>
      <c r="AX148" s="16"/>
      <c r="AY148" s="26"/>
      <c r="AZ148" s="16"/>
      <c r="BA148" s="26"/>
      <c r="BB148" s="16"/>
      <c r="BC148" s="26"/>
      <c r="BD148" s="16"/>
      <c r="BE148" s="26"/>
      <c r="BF148" s="16"/>
      <c r="BG148" s="26"/>
      <c r="BH148" s="16"/>
      <c r="BI148" s="26"/>
      <c r="BJ148" s="16"/>
    </row>
    <row r="149" ht="18.0" customHeight="1">
      <c r="A149" s="1"/>
      <c r="B149" s="13" t="s">
        <v>169</v>
      </c>
      <c r="C149" s="26"/>
      <c r="D149" s="16"/>
      <c r="E149" s="26"/>
      <c r="F149" s="16"/>
      <c r="G149" s="26"/>
      <c r="H149" s="16"/>
      <c r="I149" s="26"/>
      <c r="J149" s="16"/>
      <c r="K149" s="26"/>
      <c r="L149" s="16"/>
      <c r="M149" s="26"/>
      <c r="N149" s="16"/>
      <c r="O149" s="26"/>
      <c r="P149" s="16"/>
      <c r="Q149" s="26"/>
      <c r="R149" s="16"/>
      <c r="S149" s="26"/>
      <c r="T149" s="16"/>
      <c r="U149" s="26"/>
      <c r="V149" s="16"/>
      <c r="W149" s="26"/>
      <c r="X149" s="16"/>
      <c r="Y149" s="26"/>
      <c r="Z149" s="16"/>
      <c r="AA149" s="26"/>
      <c r="AB149" s="16"/>
      <c r="AC149" s="26"/>
      <c r="AD149" s="16"/>
      <c r="AE149" s="26"/>
      <c r="AF149" s="16"/>
      <c r="AG149" s="26"/>
      <c r="AH149" s="16"/>
      <c r="AI149" s="26"/>
      <c r="AJ149" s="16"/>
      <c r="AK149" s="26"/>
      <c r="AL149" s="16"/>
      <c r="AM149" s="26"/>
      <c r="AN149" s="16"/>
      <c r="AO149" s="26"/>
      <c r="AP149" s="16"/>
      <c r="AQ149" s="26"/>
      <c r="AR149" s="16"/>
      <c r="AS149" s="26"/>
      <c r="AT149" s="16"/>
      <c r="AU149" s="26"/>
      <c r="AV149" s="16"/>
      <c r="AW149" s="26"/>
      <c r="AX149" s="16"/>
      <c r="AY149" s="26"/>
      <c r="AZ149" s="16"/>
      <c r="BA149" s="26"/>
      <c r="BB149" s="16"/>
      <c r="BC149" s="26"/>
      <c r="BD149" s="16"/>
      <c r="BE149" s="26"/>
      <c r="BF149" s="16"/>
      <c r="BG149" s="26"/>
      <c r="BH149" s="16"/>
      <c r="BI149" s="26"/>
      <c r="BJ149" s="16"/>
    </row>
    <row r="150" ht="18.0" customHeight="1">
      <c r="A150" s="1"/>
      <c r="B150" s="13" t="s">
        <v>170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</row>
    <row r="151" ht="18.0" customHeight="1">
      <c r="A151" s="1"/>
      <c r="B151" s="13" t="s">
        <v>171</v>
      </c>
      <c r="C151" s="26"/>
      <c r="D151" s="16"/>
      <c r="E151" s="26"/>
      <c r="F151" s="16"/>
      <c r="G151" s="26"/>
      <c r="H151" s="16"/>
      <c r="I151" s="26"/>
      <c r="J151" s="16"/>
      <c r="K151" s="26"/>
      <c r="L151" s="16"/>
      <c r="M151" s="26"/>
      <c r="N151" s="16"/>
      <c r="O151" s="26"/>
      <c r="P151" s="16"/>
      <c r="Q151" s="26"/>
      <c r="R151" s="16"/>
      <c r="S151" s="26"/>
      <c r="T151" s="16"/>
      <c r="U151" s="26"/>
      <c r="V151" s="16"/>
      <c r="W151" s="26"/>
      <c r="X151" s="16"/>
      <c r="Y151" s="26"/>
      <c r="Z151" s="16"/>
      <c r="AA151" s="26"/>
      <c r="AB151" s="16"/>
      <c r="AC151" s="26"/>
      <c r="AD151" s="16"/>
      <c r="AE151" s="26"/>
      <c r="AF151" s="16"/>
      <c r="AG151" s="26"/>
      <c r="AH151" s="16"/>
      <c r="AI151" s="26"/>
      <c r="AJ151" s="16"/>
      <c r="AK151" s="26"/>
      <c r="AL151" s="16"/>
      <c r="AM151" s="26"/>
      <c r="AN151" s="16"/>
      <c r="AO151" s="26"/>
      <c r="AP151" s="16"/>
      <c r="AQ151" s="26"/>
      <c r="AR151" s="16"/>
      <c r="AS151" s="26"/>
      <c r="AT151" s="16"/>
      <c r="AU151" s="26"/>
      <c r="AV151" s="16"/>
      <c r="AW151" s="26"/>
      <c r="AX151" s="16"/>
      <c r="AY151" s="26"/>
      <c r="AZ151" s="16"/>
      <c r="BA151" s="26"/>
      <c r="BB151" s="16"/>
      <c r="BC151" s="26"/>
      <c r="BD151" s="16"/>
      <c r="BE151" s="26"/>
      <c r="BF151" s="16"/>
      <c r="BG151" s="26"/>
      <c r="BH151" s="16"/>
      <c r="BI151" s="26"/>
      <c r="BJ151" s="16"/>
    </row>
    <row r="152" ht="18.0" customHeight="1">
      <c r="A152" s="1"/>
      <c r="B152" s="13" t="s">
        <v>172</v>
      </c>
      <c r="C152" s="26"/>
      <c r="D152" s="16"/>
      <c r="E152" s="26"/>
      <c r="F152" s="16"/>
      <c r="G152" s="26"/>
      <c r="H152" s="16"/>
      <c r="I152" s="26"/>
      <c r="J152" s="16"/>
      <c r="K152" s="26"/>
      <c r="L152" s="16"/>
      <c r="M152" s="26"/>
      <c r="N152" s="16"/>
      <c r="O152" s="26"/>
      <c r="P152" s="16"/>
      <c r="Q152" s="26"/>
      <c r="R152" s="16"/>
      <c r="S152" s="26"/>
      <c r="T152" s="16"/>
      <c r="U152" s="26"/>
      <c r="V152" s="16"/>
      <c r="W152" s="26"/>
      <c r="X152" s="16"/>
      <c r="Y152" s="26"/>
      <c r="Z152" s="16"/>
      <c r="AA152" s="26"/>
      <c r="AB152" s="16"/>
      <c r="AC152" s="26"/>
      <c r="AD152" s="16"/>
      <c r="AE152" s="26"/>
      <c r="AF152" s="16"/>
      <c r="AG152" s="26"/>
      <c r="AH152" s="16"/>
      <c r="AI152" s="26"/>
      <c r="AJ152" s="16"/>
      <c r="AK152" s="26"/>
      <c r="AL152" s="16"/>
      <c r="AM152" s="26"/>
      <c r="AN152" s="16"/>
      <c r="AO152" s="26"/>
      <c r="AP152" s="16"/>
      <c r="AQ152" s="26"/>
      <c r="AR152" s="16"/>
      <c r="AS152" s="26"/>
      <c r="AT152" s="16"/>
      <c r="AU152" s="26"/>
      <c r="AV152" s="16"/>
      <c r="AW152" s="26"/>
      <c r="AX152" s="16"/>
      <c r="AY152" s="26"/>
      <c r="AZ152" s="16"/>
      <c r="BA152" s="26"/>
      <c r="BB152" s="16"/>
      <c r="BC152" s="26"/>
      <c r="BD152" s="16"/>
      <c r="BE152" s="26"/>
      <c r="BF152" s="16"/>
      <c r="BG152" s="26"/>
      <c r="BH152" s="16"/>
      <c r="BI152" s="26"/>
      <c r="BJ152" s="16"/>
    </row>
    <row r="153" ht="18.0" customHeight="1">
      <c r="A153" s="1"/>
      <c r="B153" s="13" t="s">
        <v>173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</row>
    <row r="154" ht="18.0" customHeight="1">
      <c r="A154" s="1"/>
      <c r="B154" s="13" t="s">
        <v>174</v>
      </c>
      <c r="C154" s="26"/>
      <c r="D154" s="16"/>
      <c r="E154" s="26"/>
      <c r="F154" s="16"/>
      <c r="G154" s="26"/>
      <c r="H154" s="16"/>
      <c r="I154" s="26"/>
      <c r="J154" s="16"/>
      <c r="K154" s="26"/>
      <c r="L154" s="16"/>
      <c r="M154" s="26"/>
      <c r="N154" s="16"/>
      <c r="O154" s="26"/>
      <c r="P154" s="16"/>
      <c r="Q154" s="26"/>
      <c r="R154" s="16"/>
      <c r="S154" s="26"/>
      <c r="T154" s="16"/>
      <c r="U154" s="26"/>
      <c r="V154" s="16"/>
      <c r="W154" s="26"/>
      <c r="X154" s="16"/>
      <c r="Y154" s="26"/>
      <c r="Z154" s="16"/>
      <c r="AA154" s="26"/>
      <c r="AB154" s="16"/>
      <c r="AC154" s="26"/>
      <c r="AD154" s="16"/>
      <c r="AE154" s="26"/>
      <c r="AF154" s="16"/>
      <c r="AG154" s="26"/>
      <c r="AH154" s="16"/>
      <c r="AI154" s="26"/>
      <c r="AJ154" s="16"/>
      <c r="AK154" s="26"/>
      <c r="AL154" s="16"/>
      <c r="AM154" s="26"/>
      <c r="AN154" s="16"/>
      <c r="AO154" s="26"/>
      <c r="AP154" s="16"/>
      <c r="AQ154" s="26"/>
      <c r="AR154" s="16"/>
      <c r="AS154" s="26"/>
      <c r="AT154" s="16"/>
      <c r="AU154" s="26"/>
      <c r="AV154" s="16"/>
      <c r="AW154" s="26"/>
      <c r="AX154" s="16"/>
      <c r="AY154" s="26"/>
      <c r="AZ154" s="16"/>
      <c r="BA154" s="26"/>
      <c r="BB154" s="16"/>
      <c r="BC154" s="26"/>
      <c r="BD154" s="16"/>
      <c r="BE154" s="26"/>
      <c r="BF154" s="16"/>
      <c r="BG154" s="26"/>
      <c r="BH154" s="16"/>
      <c r="BI154" s="26"/>
      <c r="BJ154" s="16"/>
    </row>
    <row r="155" ht="18.0" customHeight="1">
      <c r="A155" s="1"/>
      <c r="B155" s="13" t="s">
        <v>175</v>
      </c>
      <c r="C155" s="26"/>
      <c r="D155" s="16"/>
      <c r="E155" s="26"/>
      <c r="F155" s="16"/>
      <c r="G155" s="26"/>
      <c r="H155" s="16"/>
      <c r="I155" s="26"/>
      <c r="J155" s="16"/>
      <c r="K155" s="26"/>
      <c r="L155" s="16"/>
      <c r="M155" s="26"/>
      <c r="N155" s="16"/>
      <c r="O155" s="26"/>
      <c r="P155" s="16"/>
      <c r="Q155" s="26"/>
      <c r="R155" s="16"/>
      <c r="S155" s="26"/>
      <c r="T155" s="16"/>
      <c r="U155" s="26"/>
      <c r="V155" s="16"/>
      <c r="W155" s="26"/>
      <c r="X155" s="16"/>
      <c r="Y155" s="26"/>
      <c r="Z155" s="16"/>
      <c r="AA155" s="26"/>
      <c r="AB155" s="16"/>
      <c r="AC155" s="26"/>
      <c r="AD155" s="16"/>
      <c r="AE155" s="26"/>
      <c r="AF155" s="16"/>
      <c r="AG155" s="26"/>
      <c r="AH155" s="16"/>
      <c r="AI155" s="26"/>
      <c r="AJ155" s="16"/>
      <c r="AK155" s="26"/>
      <c r="AL155" s="16"/>
      <c r="AM155" s="26"/>
      <c r="AN155" s="16"/>
      <c r="AO155" s="26"/>
      <c r="AP155" s="16"/>
      <c r="AQ155" s="26"/>
      <c r="AR155" s="16"/>
      <c r="AS155" s="26"/>
      <c r="AT155" s="16"/>
      <c r="AU155" s="26"/>
      <c r="AV155" s="16"/>
      <c r="AW155" s="26"/>
      <c r="AX155" s="16"/>
      <c r="AY155" s="26"/>
      <c r="AZ155" s="16"/>
      <c r="BA155" s="26"/>
      <c r="BB155" s="16"/>
      <c r="BC155" s="26"/>
      <c r="BD155" s="16"/>
      <c r="BE155" s="26"/>
      <c r="BF155" s="16"/>
      <c r="BG155" s="26"/>
      <c r="BH155" s="16"/>
      <c r="BI155" s="26"/>
      <c r="BJ155" s="16"/>
    </row>
    <row r="156" ht="18.0" customHeight="1">
      <c r="A156" s="1"/>
      <c r="B156" s="13" t="s">
        <v>176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</row>
    <row r="157" ht="18.0" customHeight="1">
      <c r="A157" s="1"/>
      <c r="B157" s="13" t="s">
        <v>177</v>
      </c>
      <c r="C157" s="26"/>
      <c r="D157" s="16"/>
      <c r="E157" s="26"/>
      <c r="F157" s="16"/>
      <c r="G157" s="26"/>
      <c r="H157" s="16"/>
      <c r="I157" s="26"/>
      <c r="J157" s="16"/>
      <c r="K157" s="26"/>
      <c r="L157" s="16"/>
      <c r="M157" s="26"/>
      <c r="N157" s="16"/>
      <c r="O157" s="26"/>
      <c r="P157" s="16"/>
      <c r="Q157" s="26"/>
      <c r="R157" s="16"/>
      <c r="S157" s="26"/>
      <c r="T157" s="16"/>
      <c r="U157" s="26"/>
      <c r="V157" s="16"/>
      <c r="W157" s="26"/>
      <c r="X157" s="16"/>
      <c r="Y157" s="26"/>
      <c r="Z157" s="16"/>
      <c r="AA157" s="26"/>
      <c r="AB157" s="16"/>
      <c r="AC157" s="26"/>
      <c r="AD157" s="16"/>
      <c r="AE157" s="26"/>
      <c r="AF157" s="16"/>
      <c r="AG157" s="26"/>
      <c r="AH157" s="16"/>
      <c r="AI157" s="26"/>
      <c r="AJ157" s="16"/>
      <c r="AK157" s="26"/>
      <c r="AL157" s="16"/>
      <c r="AM157" s="26"/>
      <c r="AN157" s="16"/>
      <c r="AO157" s="26"/>
      <c r="AP157" s="16"/>
      <c r="AQ157" s="26"/>
      <c r="AR157" s="16"/>
      <c r="AS157" s="26"/>
      <c r="AT157" s="16"/>
      <c r="AU157" s="26"/>
      <c r="AV157" s="16"/>
      <c r="AW157" s="26"/>
      <c r="AX157" s="16"/>
      <c r="AY157" s="26"/>
      <c r="AZ157" s="16"/>
      <c r="BA157" s="26"/>
      <c r="BB157" s="16"/>
      <c r="BC157" s="26"/>
      <c r="BD157" s="16"/>
      <c r="BE157" s="26"/>
      <c r="BF157" s="16"/>
      <c r="BG157" s="26"/>
      <c r="BH157" s="16"/>
      <c r="BI157" s="26"/>
      <c r="BJ157" s="16"/>
    </row>
    <row r="158" ht="18.0" customHeight="1">
      <c r="A158" s="1"/>
      <c r="B158" s="13" t="s">
        <v>178</v>
      </c>
      <c r="C158" s="26"/>
      <c r="D158" s="16"/>
      <c r="E158" s="26"/>
      <c r="F158" s="16"/>
      <c r="G158" s="26"/>
      <c r="H158" s="16"/>
      <c r="I158" s="26"/>
      <c r="J158" s="16"/>
      <c r="K158" s="26"/>
      <c r="L158" s="16"/>
      <c r="M158" s="26"/>
      <c r="N158" s="16"/>
      <c r="O158" s="26"/>
      <c r="P158" s="16"/>
      <c r="Q158" s="26"/>
      <c r="R158" s="16"/>
      <c r="S158" s="26"/>
      <c r="T158" s="16"/>
      <c r="U158" s="26"/>
      <c r="V158" s="16"/>
      <c r="W158" s="26"/>
      <c r="X158" s="16"/>
      <c r="Y158" s="26"/>
      <c r="Z158" s="16"/>
      <c r="AA158" s="26"/>
      <c r="AB158" s="16"/>
      <c r="AC158" s="26"/>
      <c r="AD158" s="16"/>
      <c r="AE158" s="26"/>
      <c r="AF158" s="16"/>
      <c r="AG158" s="26"/>
      <c r="AH158" s="16"/>
      <c r="AI158" s="26"/>
      <c r="AJ158" s="16"/>
      <c r="AK158" s="26"/>
      <c r="AL158" s="16"/>
      <c r="AM158" s="26"/>
      <c r="AN158" s="16"/>
      <c r="AO158" s="26"/>
      <c r="AP158" s="16"/>
      <c r="AQ158" s="26"/>
      <c r="AR158" s="16"/>
      <c r="AS158" s="26"/>
      <c r="AT158" s="16"/>
      <c r="AU158" s="26"/>
      <c r="AV158" s="16"/>
      <c r="AW158" s="26"/>
      <c r="AX158" s="16"/>
      <c r="AY158" s="26"/>
      <c r="AZ158" s="16"/>
      <c r="BA158" s="26"/>
      <c r="BB158" s="16"/>
      <c r="BC158" s="26"/>
      <c r="BD158" s="16"/>
      <c r="BE158" s="26"/>
      <c r="BF158" s="16"/>
      <c r="BG158" s="26"/>
      <c r="BH158" s="16"/>
      <c r="BI158" s="26"/>
      <c r="BJ158" s="16"/>
    </row>
    <row r="159" ht="18.0" customHeight="1">
      <c r="A159" s="1"/>
      <c r="B159" s="13" t="s">
        <v>179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</row>
    <row r="160" ht="18.0" customHeight="1">
      <c r="A160" s="1"/>
      <c r="B160" s="13" t="s">
        <v>180</v>
      </c>
      <c r="C160" s="26"/>
      <c r="D160" s="16"/>
      <c r="E160" s="26"/>
      <c r="F160" s="16"/>
      <c r="G160" s="26"/>
      <c r="H160" s="16"/>
      <c r="I160" s="26"/>
      <c r="J160" s="16"/>
      <c r="K160" s="26"/>
      <c r="L160" s="16"/>
      <c r="M160" s="26"/>
      <c r="N160" s="16"/>
      <c r="O160" s="26"/>
      <c r="P160" s="16"/>
      <c r="Q160" s="26"/>
      <c r="R160" s="16"/>
      <c r="S160" s="26"/>
      <c r="T160" s="16"/>
      <c r="U160" s="26"/>
      <c r="V160" s="16"/>
      <c r="W160" s="26"/>
      <c r="X160" s="16"/>
      <c r="Y160" s="26"/>
      <c r="Z160" s="16"/>
      <c r="AA160" s="26"/>
      <c r="AB160" s="16"/>
      <c r="AC160" s="26"/>
      <c r="AD160" s="16"/>
      <c r="AE160" s="26"/>
      <c r="AF160" s="16"/>
      <c r="AG160" s="26"/>
      <c r="AH160" s="16"/>
      <c r="AI160" s="26"/>
      <c r="AJ160" s="16"/>
      <c r="AK160" s="26"/>
      <c r="AL160" s="16"/>
      <c r="AM160" s="26"/>
      <c r="AN160" s="16"/>
      <c r="AO160" s="26"/>
      <c r="AP160" s="16"/>
      <c r="AQ160" s="26"/>
      <c r="AR160" s="16"/>
      <c r="AS160" s="26"/>
      <c r="AT160" s="16"/>
      <c r="AU160" s="26"/>
      <c r="AV160" s="16"/>
      <c r="AW160" s="26"/>
      <c r="AX160" s="16"/>
      <c r="AY160" s="26"/>
      <c r="AZ160" s="16"/>
      <c r="BA160" s="26"/>
      <c r="BB160" s="16"/>
      <c r="BC160" s="26"/>
      <c r="BD160" s="16"/>
      <c r="BE160" s="26"/>
      <c r="BF160" s="16"/>
      <c r="BG160" s="26"/>
      <c r="BH160" s="16"/>
      <c r="BI160" s="26"/>
      <c r="BJ160" s="16"/>
    </row>
    <row r="161" ht="18.0" customHeight="1">
      <c r="A161" s="1"/>
      <c r="B161" s="13" t="s">
        <v>181</v>
      </c>
      <c r="C161" s="26"/>
      <c r="D161" s="16"/>
      <c r="E161" s="26"/>
      <c r="F161" s="16"/>
      <c r="G161" s="26"/>
      <c r="H161" s="16"/>
      <c r="I161" s="26"/>
      <c r="J161" s="16"/>
      <c r="K161" s="26"/>
      <c r="L161" s="16"/>
      <c r="M161" s="26"/>
      <c r="N161" s="16"/>
      <c r="O161" s="26"/>
      <c r="P161" s="16"/>
      <c r="Q161" s="26"/>
      <c r="R161" s="16"/>
      <c r="S161" s="26"/>
      <c r="T161" s="16"/>
      <c r="U161" s="26"/>
      <c r="V161" s="16"/>
      <c r="W161" s="26"/>
      <c r="X161" s="16"/>
      <c r="Y161" s="26"/>
      <c r="Z161" s="16"/>
      <c r="AA161" s="26"/>
      <c r="AB161" s="16"/>
      <c r="AC161" s="26"/>
      <c r="AD161" s="16"/>
      <c r="AE161" s="26"/>
      <c r="AF161" s="16"/>
      <c r="AG161" s="26"/>
      <c r="AH161" s="16"/>
      <c r="AI161" s="26"/>
      <c r="AJ161" s="16"/>
      <c r="AK161" s="26"/>
      <c r="AL161" s="16"/>
      <c r="AM161" s="26"/>
      <c r="AN161" s="16"/>
      <c r="AO161" s="26"/>
      <c r="AP161" s="16"/>
      <c r="AQ161" s="26"/>
      <c r="AR161" s="16"/>
      <c r="AS161" s="26"/>
      <c r="AT161" s="16"/>
      <c r="AU161" s="26"/>
      <c r="AV161" s="16"/>
      <c r="AW161" s="26"/>
      <c r="AX161" s="16"/>
      <c r="AY161" s="26"/>
      <c r="AZ161" s="16"/>
      <c r="BA161" s="26"/>
      <c r="BB161" s="16"/>
      <c r="BC161" s="26"/>
      <c r="BD161" s="16"/>
      <c r="BE161" s="26"/>
      <c r="BF161" s="16"/>
      <c r="BG161" s="26"/>
      <c r="BH161" s="16"/>
      <c r="BI161" s="26"/>
      <c r="BJ161" s="16"/>
    </row>
    <row r="162" ht="18.0" customHeight="1">
      <c r="A162" s="1"/>
      <c r="B162" s="13" t="s">
        <v>182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</row>
    <row r="163" ht="18.0" customHeight="1">
      <c r="A163" s="1"/>
      <c r="B163" s="13" t="s">
        <v>183</v>
      </c>
      <c r="C163" s="26"/>
      <c r="D163" s="16"/>
      <c r="E163" s="26"/>
      <c r="F163" s="16"/>
      <c r="G163" s="26"/>
      <c r="H163" s="16"/>
      <c r="I163" s="26"/>
      <c r="J163" s="16"/>
      <c r="K163" s="26"/>
      <c r="L163" s="16"/>
      <c r="M163" s="26"/>
      <c r="N163" s="16"/>
      <c r="O163" s="26"/>
      <c r="P163" s="16"/>
      <c r="Q163" s="26"/>
      <c r="R163" s="16"/>
      <c r="S163" s="26"/>
      <c r="T163" s="16"/>
      <c r="U163" s="26"/>
      <c r="V163" s="16"/>
      <c r="W163" s="26"/>
      <c r="X163" s="16"/>
      <c r="Y163" s="26"/>
      <c r="Z163" s="16"/>
      <c r="AA163" s="26"/>
      <c r="AB163" s="16"/>
      <c r="AC163" s="26"/>
      <c r="AD163" s="16"/>
      <c r="AE163" s="26"/>
      <c r="AF163" s="16"/>
      <c r="AG163" s="26"/>
      <c r="AH163" s="16"/>
      <c r="AI163" s="26"/>
      <c r="AJ163" s="16"/>
      <c r="AK163" s="26"/>
      <c r="AL163" s="16"/>
      <c r="AM163" s="26"/>
      <c r="AN163" s="16"/>
      <c r="AO163" s="26"/>
      <c r="AP163" s="16"/>
      <c r="AQ163" s="26"/>
      <c r="AR163" s="16"/>
      <c r="AS163" s="26"/>
      <c r="AT163" s="16"/>
      <c r="AU163" s="26"/>
      <c r="AV163" s="16"/>
      <c r="AW163" s="26"/>
      <c r="AX163" s="16"/>
      <c r="AY163" s="26"/>
      <c r="AZ163" s="16"/>
      <c r="BA163" s="26"/>
      <c r="BB163" s="16"/>
      <c r="BC163" s="26"/>
      <c r="BD163" s="16"/>
      <c r="BE163" s="26"/>
      <c r="BF163" s="16"/>
      <c r="BG163" s="26"/>
      <c r="BH163" s="16"/>
      <c r="BI163" s="26"/>
      <c r="BJ163" s="16"/>
    </row>
    <row r="164" ht="18.0" customHeight="1">
      <c r="A164" s="1"/>
      <c r="B164" s="13" t="s">
        <v>184</v>
      </c>
      <c r="C164" s="26"/>
      <c r="D164" s="16"/>
      <c r="E164" s="26"/>
      <c r="F164" s="16"/>
      <c r="G164" s="26"/>
      <c r="H164" s="16"/>
      <c r="I164" s="26"/>
      <c r="J164" s="16"/>
      <c r="K164" s="26"/>
      <c r="L164" s="16"/>
      <c r="M164" s="26"/>
      <c r="N164" s="16"/>
      <c r="O164" s="26"/>
      <c r="P164" s="16"/>
      <c r="Q164" s="26"/>
      <c r="R164" s="16"/>
      <c r="S164" s="26"/>
      <c r="T164" s="16"/>
      <c r="U164" s="26"/>
      <c r="V164" s="16"/>
      <c r="W164" s="26"/>
      <c r="X164" s="16"/>
      <c r="Y164" s="26"/>
      <c r="Z164" s="16"/>
      <c r="AA164" s="26"/>
      <c r="AB164" s="16"/>
      <c r="AC164" s="26"/>
      <c r="AD164" s="16"/>
      <c r="AE164" s="26"/>
      <c r="AF164" s="16"/>
      <c r="AG164" s="26"/>
      <c r="AH164" s="16"/>
      <c r="AI164" s="26"/>
      <c r="AJ164" s="16"/>
      <c r="AK164" s="26"/>
      <c r="AL164" s="16"/>
      <c r="AM164" s="26"/>
      <c r="AN164" s="16"/>
      <c r="AO164" s="26"/>
      <c r="AP164" s="16"/>
      <c r="AQ164" s="26"/>
      <c r="AR164" s="16"/>
      <c r="AS164" s="26"/>
      <c r="AT164" s="16"/>
      <c r="AU164" s="26"/>
      <c r="AV164" s="16"/>
      <c r="AW164" s="26"/>
      <c r="AX164" s="16"/>
      <c r="AY164" s="26"/>
      <c r="AZ164" s="16"/>
      <c r="BA164" s="26"/>
      <c r="BB164" s="16"/>
      <c r="BC164" s="26"/>
      <c r="BD164" s="16"/>
      <c r="BE164" s="26"/>
      <c r="BF164" s="16"/>
      <c r="BG164" s="26"/>
      <c r="BH164" s="16"/>
      <c r="BI164" s="26"/>
      <c r="BJ164" s="16"/>
    </row>
    <row r="165" ht="18.0" customHeight="1">
      <c r="A165" s="1"/>
      <c r="B165" s="13" t="s">
        <v>185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</row>
    <row r="166" ht="18.0" customHeight="1">
      <c r="A166" s="1"/>
      <c r="B166" s="13" t="s">
        <v>186</v>
      </c>
      <c r="C166" s="26"/>
      <c r="D166" s="16"/>
      <c r="E166" s="26"/>
      <c r="F166" s="16"/>
      <c r="G166" s="26"/>
      <c r="H166" s="16"/>
      <c r="I166" s="26"/>
      <c r="J166" s="16"/>
      <c r="K166" s="26"/>
      <c r="L166" s="16"/>
      <c r="M166" s="26"/>
      <c r="N166" s="16"/>
      <c r="O166" s="26"/>
      <c r="P166" s="16"/>
      <c r="Q166" s="26"/>
      <c r="R166" s="16"/>
      <c r="S166" s="26"/>
      <c r="T166" s="16"/>
      <c r="U166" s="26"/>
      <c r="V166" s="16"/>
      <c r="W166" s="26"/>
      <c r="X166" s="16"/>
      <c r="Y166" s="26"/>
      <c r="Z166" s="16"/>
      <c r="AA166" s="26"/>
      <c r="AB166" s="16"/>
      <c r="AC166" s="26"/>
      <c r="AD166" s="16"/>
      <c r="AE166" s="26"/>
      <c r="AF166" s="16"/>
      <c r="AG166" s="26"/>
      <c r="AH166" s="16"/>
      <c r="AI166" s="26"/>
      <c r="AJ166" s="16"/>
      <c r="AK166" s="26"/>
      <c r="AL166" s="16"/>
      <c r="AM166" s="26"/>
      <c r="AN166" s="16"/>
      <c r="AO166" s="26"/>
      <c r="AP166" s="16"/>
      <c r="AQ166" s="26"/>
      <c r="AR166" s="16"/>
      <c r="AS166" s="26"/>
      <c r="AT166" s="16"/>
      <c r="AU166" s="26"/>
      <c r="AV166" s="16"/>
      <c r="AW166" s="26"/>
      <c r="AX166" s="16"/>
      <c r="AY166" s="26"/>
      <c r="AZ166" s="16"/>
      <c r="BA166" s="26"/>
      <c r="BB166" s="16"/>
      <c r="BC166" s="26"/>
      <c r="BD166" s="16"/>
      <c r="BE166" s="26"/>
      <c r="BF166" s="16"/>
      <c r="BG166" s="26"/>
      <c r="BH166" s="16"/>
      <c r="BI166" s="26"/>
      <c r="BJ166" s="16"/>
    </row>
    <row r="167" ht="18.0" customHeight="1">
      <c r="A167" s="1"/>
      <c r="B167" s="13" t="s">
        <v>187</v>
      </c>
      <c r="C167" s="26"/>
      <c r="D167" s="16"/>
      <c r="E167" s="26"/>
      <c r="F167" s="16"/>
      <c r="G167" s="26"/>
      <c r="H167" s="16"/>
      <c r="I167" s="26"/>
      <c r="J167" s="16"/>
      <c r="K167" s="26"/>
      <c r="L167" s="16"/>
      <c r="M167" s="26"/>
      <c r="N167" s="16"/>
      <c r="O167" s="26"/>
      <c r="P167" s="16"/>
      <c r="Q167" s="26"/>
      <c r="R167" s="16"/>
      <c r="S167" s="26"/>
      <c r="T167" s="16"/>
      <c r="U167" s="26"/>
      <c r="V167" s="16"/>
      <c r="W167" s="26"/>
      <c r="X167" s="16"/>
      <c r="Y167" s="26"/>
      <c r="Z167" s="16"/>
      <c r="AA167" s="26"/>
      <c r="AB167" s="16"/>
      <c r="AC167" s="26"/>
      <c r="AD167" s="16"/>
      <c r="AE167" s="26"/>
      <c r="AF167" s="16"/>
      <c r="AG167" s="26"/>
      <c r="AH167" s="16"/>
      <c r="AI167" s="26"/>
      <c r="AJ167" s="16"/>
      <c r="AK167" s="26"/>
      <c r="AL167" s="16"/>
      <c r="AM167" s="26"/>
      <c r="AN167" s="16"/>
      <c r="AO167" s="26"/>
      <c r="AP167" s="16"/>
      <c r="AQ167" s="26"/>
      <c r="AR167" s="16"/>
      <c r="AS167" s="26"/>
      <c r="AT167" s="16"/>
      <c r="AU167" s="26"/>
      <c r="AV167" s="16"/>
      <c r="AW167" s="26"/>
      <c r="AX167" s="16"/>
      <c r="AY167" s="26"/>
      <c r="AZ167" s="16"/>
      <c r="BA167" s="26"/>
      <c r="BB167" s="16"/>
      <c r="BC167" s="26"/>
      <c r="BD167" s="16"/>
      <c r="BE167" s="26"/>
      <c r="BF167" s="16"/>
      <c r="BG167" s="26"/>
      <c r="BH167" s="16"/>
      <c r="BI167" s="26"/>
      <c r="BJ167" s="16"/>
    </row>
    <row r="168" ht="18.0" customHeight="1">
      <c r="A168" s="1"/>
      <c r="B168" s="13" t="s">
        <v>188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</row>
    <row r="169" ht="18.0" customHeight="1">
      <c r="A169" s="1"/>
      <c r="B169" s="13" t="s">
        <v>189</v>
      </c>
      <c r="C169" s="26"/>
      <c r="D169" s="16"/>
      <c r="E169" s="26"/>
      <c r="F169" s="16"/>
      <c r="G169" s="26"/>
      <c r="H169" s="16"/>
      <c r="I169" s="26"/>
      <c r="J169" s="16"/>
      <c r="K169" s="26"/>
      <c r="L169" s="16"/>
      <c r="M169" s="26"/>
      <c r="N169" s="16"/>
      <c r="O169" s="26"/>
      <c r="P169" s="16"/>
      <c r="Q169" s="26"/>
      <c r="R169" s="16"/>
      <c r="S169" s="26"/>
      <c r="T169" s="16"/>
      <c r="U169" s="26"/>
      <c r="V169" s="16"/>
      <c r="W169" s="26"/>
      <c r="X169" s="16"/>
      <c r="Y169" s="26"/>
      <c r="Z169" s="16"/>
      <c r="AA169" s="26"/>
      <c r="AB169" s="16"/>
      <c r="AC169" s="26"/>
      <c r="AD169" s="16"/>
      <c r="AE169" s="26"/>
      <c r="AF169" s="16"/>
      <c r="AG169" s="26"/>
      <c r="AH169" s="16"/>
      <c r="AI169" s="26"/>
      <c r="AJ169" s="16"/>
      <c r="AK169" s="26"/>
      <c r="AL169" s="16"/>
      <c r="AM169" s="26"/>
      <c r="AN169" s="16"/>
      <c r="AO169" s="26"/>
      <c r="AP169" s="16"/>
      <c r="AQ169" s="26"/>
      <c r="AR169" s="16"/>
      <c r="AS169" s="26"/>
      <c r="AT169" s="16"/>
      <c r="AU169" s="26"/>
      <c r="AV169" s="16"/>
      <c r="AW169" s="26"/>
      <c r="AX169" s="16"/>
      <c r="AY169" s="26"/>
      <c r="AZ169" s="16"/>
      <c r="BA169" s="26"/>
      <c r="BB169" s="16"/>
      <c r="BC169" s="26"/>
      <c r="BD169" s="16"/>
      <c r="BE169" s="26"/>
      <c r="BF169" s="16"/>
      <c r="BG169" s="26"/>
      <c r="BH169" s="16"/>
      <c r="BI169" s="26"/>
      <c r="BJ169" s="16"/>
    </row>
    <row r="170" ht="18.0" customHeight="1">
      <c r="A170" s="1"/>
      <c r="B170" s="13" t="s">
        <v>190</v>
      </c>
      <c r="C170" s="26"/>
      <c r="D170" s="16"/>
      <c r="E170" s="26"/>
      <c r="F170" s="16"/>
      <c r="G170" s="26"/>
      <c r="H170" s="16"/>
      <c r="I170" s="26"/>
      <c r="J170" s="16"/>
      <c r="K170" s="26"/>
      <c r="L170" s="16"/>
      <c r="M170" s="26"/>
      <c r="N170" s="16"/>
      <c r="O170" s="26"/>
      <c r="P170" s="16"/>
      <c r="Q170" s="26"/>
      <c r="R170" s="16"/>
      <c r="S170" s="26"/>
      <c r="T170" s="16"/>
      <c r="U170" s="26"/>
      <c r="V170" s="16"/>
      <c r="W170" s="26"/>
      <c r="X170" s="16"/>
      <c r="Y170" s="26"/>
      <c r="Z170" s="16"/>
      <c r="AA170" s="26"/>
      <c r="AB170" s="16"/>
      <c r="AC170" s="26"/>
      <c r="AD170" s="16"/>
      <c r="AE170" s="26"/>
      <c r="AF170" s="16"/>
      <c r="AG170" s="26"/>
      <c r="AH170" s="16"/>
      <c r="AI170" s="26"/>
      <c r="AJ170" s="16"/>
      <c r="AK170" s="26"/>
      <c r="AL170" s="16"/>
      <c r="AM170" s="26"/>
      <c r="AN170" s="16"/>
      <c r="AO170" s="26"/>
      <c r="AP170" s="16"/>
      <c r="AQ170" s="26"/>
      <c r="AR170" s="16"/>
      <c r="AS170" s="26"/>
      <c r="AT170" s="16"/>
      <c r="AU170" s="26"/>
      <c r="AV170" s="16"/>
      <c r="AW170" s="26"/>
      <c r="AX170" s="16"/>
      <c r="AY170" s="26"/>
      <c r="AZ170" s="16"/>
      <c r="BA170" s="26"/>
      <c r="BB170" s="16"/>
      <c r="BC170" s="26"/>
      <c r="BD170" s="16"/>
      <c r="BE170" s="26"/>
      <c r="BF170" s="16"/>
      <c r="BG170" s="26"/>
      <c r="BH170" s="16"/>
      <c r="BI170" s="26"/>
      <c r="BJ170" s="16"/>
    </row>
    <row r="171" ht="18.0" customHeight="1">
      <c r="A171" s="1"/>
      <c r="B171" s="13" t="s">
        <v>191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</row>
    <row r="172" ht="18.0" customHeight="1">
      <c r="A172" s="1"/>
      <c r="B172" s="13" t="s">
        <v>192</v>
      </c>
      <c r="C172" s="26"/>
      <c r="D172" s="16"/>
      <c r="E172" s="26"/>
      <c r="F172" s="16"/>
      <c r="G172" s="26"/>
      <c r="H172" s="16"/>
      <c r="I172" s="26"/>
      <c r="J172" s="16"/>
      <c r="K172" s="26"/>
      <c r="L172" s="16"/>
      <c r="M172" s="26"/>
      <c r="N172" s="16"/>
      <c r="O172" s="26"/>
      <c r="P172" s="16"/>
      <c r="Q172" s="26"/>
      <c r="R172" s="16"/>
      <c r="S172" s="26"/>
      <c r="T172" s="16"/>
      <c r="U172" s="26"/>
      <c r="V172" s="16"/>
      <c r="W172" s="26"/>
      <c r="X172" s="16"/>
      <c r="Y172" s="26"/>
      <c r="Z172" s="16"/>
      <c r="AA172" s="26"/>
      <c r="AB172" s="16"/>
      <c r="AC172" s="26"/>
      <c r="AD172" s="16"/>
      <c r="AE172" s="26"/>
      <c r="AF172" s="16"/>
      <c r="AG172" s="26"/>
      <c r="AH172" s="16"/>
      <c r="AI172" s="26"/>
      <c r="AJ172" s="16"/>
      <c r="AK172" s="26"/>
      <c r="AL172" s="16"/>
      <c r="AM172" s="26"/>
      <c r="AN172" s="16"/>
      <c r="AO172" s="26"/>
      <c r="AP172" s="16"/>
      <c r="AQ172" s="26"/>
      <c r="AR172" s="16"/>
      <c r="AS172" s="26"/>
      <c r="AT172" s="16"/>
      <c r="AU172" s="26"/>
      <c r="AV172" s="16"/>
      <c r="AW172" s="26"/>
      <c r="AX172" s="16"/>
      <c r="AY172" s="26"/>
      <c r="AZ172" s="16"/>
      <c r="BA172" s="26"/>
      <c r="BB172" s="16"/>
      <c r="BC172" s="26"/>
      <c r="BD172" s="16"/>
      <c r="BE172" s="26"/>
      <c r="BF172" s="16"/>
      <c r="BG172" s="26"/>
      <c r="BH172" s="16"/>
      <c r="BI172" s="26"/>
      <c r="BJ172" s="16"/>
    </row>
    <row r="173" ht="18.0" customHeight="1">
      <c r="A173" s="1"/>
      <c r="B173" s="13" t="s">
        <v>193</v>
      </c>
      <c r="C173" s="26"/>
      <c r="D173" s="16"/>
      <c r="E173" s="26"/>
      <c r="F173" s="16"/>
      <c r="G173" s="26"/>
      <c r="H173" s="16"/>
      <c r="I173" s="26"/>
      <c r="J173" s="16"/>
      <c r="K173" s="26"/>
      <c r="L173" s="16"/>
      <c r="M173" s="26"/>
      <c r="N173" s="16"/>
      <c r="O173" s="26"/>
      <c r="P173" s="16"/>
      <c r="Q173" s="26"/>
      <c r="R173" s="16"/>
      <c r="S173" s="26"/>
      <c r="T173" s="16"/>
      <c r="U173" s="26"/>
      <c r="V173" s="16"/>
      <c r="W173" s="26"/>
      <c r="X173" s="16"/>
      <c r="Y173" s="26"/>
      <c r="Z173" s="16"/>
      <c r="AA173" s="26"/>
      <c r="AB173" s="16"/>
      <c r="AC173" s="26"/>
      <c r="AD173" s="16"/>
      <c r="AE173" s="26"/>
      <c r="AF173" s="16"/>
      <c r="AG173" s="26"/>
      <c r="AH173" s="16"/>
      <c r="AI173" s="26"/>
      <c r="AJ173" s="16"/>
      <c r="AK173" s="26"/>
      <c r="AL173" s="16"/>
      <c r="AM173" s="26"/>
      <c r="AN173" s="16"/>
      <c r="AO173" s="26"/>
      <c r="AP173" s="16"/>
      <c r="AQ173" s="26"/>
      <c r="AR173" s="16"/>
      <c r="AS173" s="26"/>
      <c r="AT173" s="16"/>
      <c r="AU173" s="26"/>
      <c r="AV173" s="16"/>
      <c r="AW173" s="26"/>
      <c r="AX173" s="16"/>
      <c r="AY173" s="26"/>
      <c r="AZ173" s="16"/>
      <c r="BA173" s="26"/>
      <c r="BB173" s="16"/>
      <c r="BC173" s="26"/>
      <c r="BD173" s="16"/>
      <c r="BE173" s="26"/>
      <c r="BF173" s="16"/>
      <c r="BG173" s="26"/>
      <c r="BH173" s="16"/>
      <c r="BI173" s="26"/>
      <c r="BJ173" s="16"/>
    </row>
    <row r="174" ht="21.75" customHeight="1">
      <c r="A174" s="1"/>
      <c r="B174" s="11" t="s">
        <v>194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</row>
    <row r="175" ht="18.0" customHeight="1">
      <c r="A175" s="1"/>
      <c r="B175" s="13" t="s">
        <v>195</v>
      </c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</row>
    <row r="176" ht="18.0" customHeight="1">
      <c r="A176" s="1"/>
      <c r="B176" s="13" t="s">
        <v>196</v>
      </c>
      <c r="C176" s="26"/>
      <c r="D176" s="16"/>
      <c r="E176" s="26"/>
      <c r="F176" s="16"/>
      <c r="G176" s="26"/>
      <c r="H176" s="16"/>
      <c r="I176" s="26"/>
      <c r="J176" s="16"/>
      <c r="K176" s="26"/>
      <c r="L176" s="16"/>
      <c r="M176" s="26"/>
      <c r="N176" s="16"/>
      <c r="O176" s="26"/>
      <c r="P176" s="16"/>
      <c r="Q176" s="26"/>
      <c r="R176" s="16"/>
      <c r="S176" s="26"/>
      <c r="T176" s="16"/>
      <c r="U176" s="26"/>
      <c r="V176" s="16"/>
      <c r="W176" s="26"/>
      <c r="X176" s="16"/>
      <c r="Y176" s="26"/>
      <c r="Z176" s="16"/>
      <c r="AA176" s="26"/>
      <c r="AB176" s="16"/>
      <c r="AC176" s="26"/>
      <c r="AD176" s="16"/>
      <c r="AE176" s="26"/>
      <c r="AF176" s="16"/>
      <c r="AG176" s="26"/>
      <c r="AH176" s="16"/>
      <c r="AI176" s="26"/>
      <c r="AJ176" s="16"/>
      <c r="AK176" s="26"/>
      <c r="AL176" s="16"/>
      <c r="AM176" s="26"/>
      <c r="AN176" s="16"/>
      <c r="AO176" s="26"/>
      <c r="AP176" s="16"/>
      <c r="AQ176" s="26"/>
      <c r="AR176" s="16"/>
      <c r="AS176" s="26"/>
      <c r="AT176" s="16"/>
      <c r="AU176" s="26"/>
      <c r="AV176" s="16"/>
      <c r="AW176" s="26"/>
      <c r="AX176" s="16"/>
      <c r="AY176" s="26"/>
      <c r="AZ176" s="16"/>
      <c r="BA176" s="26"/>
      <c r="BB176" s="16"/>
      <c r="BC176" s="26"/>
      <c r="BD176" s="16"/>
      <c r="BE176" s="26"/>
      <c r="BF176" s="16"/>
      <c r="BG176" s="26"/>
      <c r="BH176" s="16"/>
      <c r="BI176" s="26"/>
      <c r="BJ176" s="16"/>
    </row>
    <row r="177" ht="18.0" customHeight="1">
      <c r="A177" s="1"/>
      <c r="B177" s="13" t="s">
        <v>197</v>
      </c>
      <c r="C177" s="26"/>
      <c r="D177" s="16"/>
      <c r="E177" s="26"/>
      <c r="F177" s="16"/>
      <c r="G177" s="26"/>
      <c r="H177" s="16"/>
      <c r="I177" s="26"/>
      <c r="J177" s="16"/>
      <c r="K177" s="26"/>
      <c r="L177" s="16"/>
      <c r="M177" s="26"/>
      <c r="N177" s="16"/>
      <c r="O177" s="26"/>
      <c r="P177" s="16"/>
      <c r="Q177" s="26"/>
      <c r="R177" s="16"/>
      <c r="S177" s="26"/>
      <c r="T177" s="16"/>
      <c r="U177" s="26"/>
      <c r="V177" s="16"/>
      <c r="W177" s="26"/>
      <c r="X177" s="16"/>
      <c r="Y177" s="26"/>
      <c r="Z177" s="16"/>
      <c r="AA177" s="26"/>
      <c r="AB177" s="16"/>
      <c r="AC177" s="26"/>
      <c r="AD177" s="16"/>
      <c r="AE177" s="26"/>
      <c r="AF177" s="16"/>
      <c r="AG177" s="26"/>
      <c r="AH177" s="16"/>
      <c r="AI177" s="26"/>
      <c r="AJ177" s="16"/>
      <c r="AK177" s="26"/>
      <c r="AL177" s="16"/>
      <c r="AM177" s="26"/>
      <c r="AN177" s="16"/>
      <c r="AO177" s="26"/>
      <c r="AP177" s="16"/>
      <c r="AQ177" s="26"/>
      <c r="AR177" s="16"/>
      <c r="AS177" s="26"/>
      <c r="AT177" s="16"/>
      <c r="AU177" s="26"/>
      <c r="AV177" s="16"/>
      <c r="AW177" s="26"/>
      <c r="AX177" s="16"/>
      <c r="AY177" s="26"/>
      <c r="AZ177" s="16"/>
      <c r="BA177" s="26"/>
      <c r="BB177" s="16"/>
      <c r="BC177" s="26"/>
      <c r="BD177" s="16"/>
      <c r="BE177" s="26"/>
      <c r="BF177" s="16"/>
      <c r="BG177" s="26"/>
      <c r="BH177" s="16"/>
      <c r="BI177" s="26"/>
      <c r="BJ177" s="16"/>
    </row>
    <row r="178" ht="18.0" customHeight="1">
      <c r="A178" s="1"/>
      <c r="B178" s="13" t="s">
        <v>198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</row>
    <row r="179" ht="18.0" customHeight="1">
      <c r="A179" s="1"/>
      <c r="B179" s="13" t="s">
        <v>199</v>
      </c>
      <c r="C179" s="26"/>
      <c r="D179" s="16"/>
      <c r="E179" s="26"/>
      <c r="F179" s="16"/>
      <c r="G179" s="26"/>
      <c r="H179" s="16"/>
      <c r="I179" s="26"/>
      <c r="J179" s="16"/>
      <c r="K179" s="26"/>
      <c r="L179" s="16"/>
      <c r="M179" s="26"/>
      <c r="N179" s="16"/>
      <c r="O179" s="26"/>
      <c r="P179" s="16"/>
      <c r="Q179" s="26"/>
      <c r="R179" s="16"/>
      <c r="S179" s="26"/>
      <c r="T179" s="16"/>
      <c r="U179" s="26"/>
      <c r="V179" s="16"/>
      <c r="W179" s="26"/>
      <c r="X179" s="16"/>
      <c r="Y179" s="26"/>
      <c r="Z179" s="16"/>
      <c r="AA179" s="26"/>
      <c r="AB179" s="16"/>
      <c r="AC179" s="26"/>
      <c r="AD179" s="16"/>
      <c r="AE179" s="26"/>
      <c r="AF179" s="16"/>
      <c r="AG179" s="26"/>
      <c r="AH179" s="16"/>
      <c r="AI179" s="26"/>
      <c r="AJ179" s="16"/>
      <c r="AK179" s="26"/>
      <c r="AL179" s="16"/>
      <c r="AM179" s="26"/>
      <c r="AN179" s="16"/>
      <c r="AO179" s="26"/>
      <c r="AP179" s="16"/>
      <c r="AQ179" s="26"/>
      <c r="AR179" s="16"/>
      <c r="AS179" s="26"/>
      <c r="AT179" s="16"/>
      <c r="AU179" s="26"/>
      <c r="AV179" s="16"/>
      <c r="AW179" s="26"/>
      <c r="AX179" s="16"/>
      <c r="AY179" s="26"/>
      <c r="AZ179" s="16"/>
      <c r="BA179" s="26"/>
      <c r="BB179" s="16"/>
      <c r="BC179" s="26"/>
      <c r="BD179" s="16"/>
      <c r="BE179" s="26"/>
      <c r="BF179" s="16"/>
      <c r="BG179" s="26"/>
      <c r="BH179" s="16"/>
      <c r="BI179" s="26"/>
      <c r="BJ179" s="16"/>
    </row>
    <row r="180" ht="18.0" customHeight="1">
      <c r="A180" s="1"/>
      <c r="B180" s="13" t="s">
        <v>200</v>
      </c>
      <c r="C180" s="26"/>
      <c r="D180" s="16"/>
      <c r="E180" s="26"/>
      <c r="F180" s="16"/>
      <c r="G180" s="26"/>
      <c r="H180" s="16"/>
      <c r="I180" s="26"/>
      <c r="J180" s="16"/>
      <c r="K180" s="26"/>
      <c r="L180" s="16"/>
      <c r="M180" s="26"/>
      <c r="N180" s="16"/>
      <c r="O180" s="26"/>
      <c r="P180" s="16"/>
      <c r="Q180" s="26"/>
      <c r="R180" s="16"/>
      <c r="S180" s="26"/>
      <c r="T180" s="16"/>
      <c r="U180" s="26"/>
      <c r="V180" s="16"/>
      <c r="W180" s="26"/>
      <c r="X180" s="16"/>
      <c r="Y180" s="26"/>
      <c r="Z180" s="16"/>
      <c r="AA180" s="26"/>
      <c r="AB180" s="16"/>
      <c r="AC180" s="26"/>
      <c r="AD180" s="16"/>
      <c r="AE180" s="26"/>
      <c r="AF180" s="16"/>
      <c r="AG180" s="26"/>
      <c r="AH180" s="16"/>
      <c r="AI180" s="26"/>
      <c r="AJ180" s="16"/>
      <c r="AK180" s="26"/>
      <c r="AL180" s="16"/>
      <c r="AM180" s="26"/>
      <c r="AN180" s="16"/>
      <c r="AO180" s="26"/>
      <c r="AP180" s="16"/>
      <c r="AQ180" s="26"/>
      <c r="AR180" s="16"/>
      <c r="AS180" s="26"/>
      <c r="AT180" s="16"/>
      <c r="AU180" s="26"/>
      <c r="AV180" s="16"/>
      <c r="AW180" s="26"/>
      <c r="AX180" s="16"/>
      <c r="AY180" s="26"/>
      <c r="AZ180" s="16"/>
      <c r="BA180" s="26"/>
      <c r="BB180" s="16"/>
      <c r="BC180" s="26"/>
      <c r="BD180" s="16"/>
      <c r="BE180" s="26"/>
      <c r="BF180" s="16"/>
      <c r="BG180" s="26"/>
      <c r="BH180" s="16"/>
      <c r="BI180" s="26"/>
      <c r="BJ180" s="16"/>
    </row>
    <row r="181" ht="18.0" customHeight="1">
      <c r="A181" s="1"/>
      <c r="B181" s="13" t="s">
        <v>201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</row>
    <row r="182" ht="18.0" customHeight="1">
      <c r="A182" s="1"/>
      <c r="B182" s="13" t="s">
        <v>202</v>
      </c>
      <c r="C182" s="26"/>
      <c r="D182" s="16"/>
      <c r="E182" s="26"/>
      <c r="F182" s="16"/>
      <c r="G182" s="26"/>
      <c r="H182" s="16"/>
      <c r="I182" s="26"/>
      <c r="J182" s="16"/>
      <c r="K182" s="26"/>
      <c r="L182" s="16"/>
      <c r="M182" s="26"/>
      <c r="N182" s="16"/>
      <c r="O182" s="26"/>
      <c r="P182" s="16"/>
      <c r="Q182" s="26"/>
      <c r="R182" s="16"/>
      <c r="S182" s="26"/>
      <c r="T182" s="16"/>
      <c r="U182" s="26"/>
      <c r="V182" s="16"/>
      <c r="W182" s="26"/>
      <c r="X182" s="16"/>
      <c r="Y182" s="26"/>
      <c r="Z182" s="16"/>
      <c r="AA182" s="26"/>
      <c r="AB182" s="16"/>
      <c r="AC182" s="26"/>
      <c r="AD182" s="16"/>
      <c r="AE182" s="26"/>
      <c r="AF182" s="16"/>
      <c r="AG182" s="26"/>
      <c r="AH182" s="16"/>
      <c r="AI182" s="26"/>
      <c r="AJ182" s="16"/>
      <c r="AK182" s="26"/>
      <c r="AL182" s="16"/>
      <c r="AM182" s="26"/>
      <c r="AN182" s="16"/>
      <c r="AO182" s="26"/>
      <c r="AP182" s="16"/>
      <c r="AQ182" s="26"/>
      <c r="AR182" s="16"/>
      <c r="AS182" s="26"/>
      <c r="AT182" s="16"/>
      <c r="AU182" s="26"/>
      <c r="AV182" s="16"/>
      <c r="AW182" s="26"/>
      <c r="AX182" s="16"/>
      <c r="AY182" s="26"/>
      <c r="AZ182" s="16"/>
      <c r="BA182" s="26"/>
      <c r="BB182" s="16"/>
      <c r="BC182" s="26"/>
      <c r="BD182" s="16"/>
      <c r="BE182" s="26"/>
      <c r="BF182" s="16"/>
      <c r="BG182" s="26"/>
      <c r="BH182" s="16"/>
      <c r="BI182" s="26"/>
      <c r="BJ182" s="16"/>
    </row>
    <row r="183" ht="18.0" customHeight="1">
      <c r="A183" s="1"/>
      <c r="B183" s="13" t="s">
        <v>203</v>
      </c>
      <c r="C183" s="26"/>
      <c r="D183" s="16"/>
      <c r="E183" s="26"/>
      <c r="F183" s="16"/>
      <c r="G183" s="26"/>
      <c r="H183" s="16"/>
      <c r="I183" s="26"/>
      <c r="J183" s="16"/>
      <c r="K183" s="26"/>
      <c r="L183" s="16"/>
      <c r="M183" s="26"/>
      <c r="N183" s="16"/>
      <c r="O183" s="26"/>
      <c r="P183" s="16"/>
      <c r="Q183" s="26"/>
      <c r="R183" s="16"/>
      <c r="S183" s="26"/>
      <c r="T183" s="16"/>
      <c r="U183" s="26"/>
      <c r="V183" s="16"/>
      <c r="W183" s="26"/>
      <c r="X183" s="16"/>
      <c r="Y183" s="26"/>
      <c r="Z183" s="16"/>
      <c r="AA183" s="26"/>
      <c r="AB183" s="16"/>
      <c r="AC183" s="26"/>
      <c r="AD183" s="16"/>
      <c r="AE183" s="26"/>
      <c r="AF183" s="16"/>
      <c r="AG183" s="26"/>
      <c r="AH183" s="16"/>
      <c r="AI183" s="26"/>
      <c r="AJ183" s="16"/>
      <c r="AK183" s="26"/>
      <c r="AL183" s="16"/>
      <c r="AM183" s="26"/>
      <c r="AN183" s="16"/>
      <c r="AO183" s="26"/>
      <c r="AP183" s="16"/>
      <c r="AQ183" s="26"/>
      <c r="AR183" s="16"/>
      <c r="AS183" s="26"/>
      <c r="AT183" s="16"/>
      <c r="AU183" s="26"/>
      <c r="AV183" s="16"/>
      <c r="AW183" s="26"/>
      <c r="AX183" s="16"/>
      <c r="AY183" s="26"/>
      <c r="AZ183" s="16"/>
      <c r="BA183" s="26"/>
      <c r="BB183" s="16"/>
      <c r="BC183" s="26"/>
      <c r="BD183" s="16"/>
      <c r="BE183" s="26"/>
      <c r="BF183" s="16"/>
      <c r="BG183" s="26"/>
      <c r="BH183" s="16"/>
      <c r="BI183" s="26"/>
      <c r="BJ183" s="16"/>
    </row>
    <row r="184" ht="18.0" customHeight="1">
      <c r="A184" s="1"/>
      <c r="B184" s="13" t="s">
        <v>204</v>
      </c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</row>
    <row r="185" ht="18.0" customHeight="1">
      <c r="A185" s="1"/>
      <c r="B185" s="13" t="s">
        <v>205</v>
      </c>
      <c r="C185" s="26"/>
      <c r="D185" s="16"/>
      <c r="E185" s="26"/>
      <c r="F185" s="16"/>
      <c r="G185" s="26"/>
      <c r="H185" s="16"/>
      <c r="I185" s="26"/>
      <c r="J185" s="16"/>
      <c r="K185" s="26"/>
      <c r="L185" s="16"/>
      <c r="M185" s="26"/>
      <c r="N185" s="16"/>
      <c r="O185" s="26"/>
      <c r="P185" s="16"/>
      <c r="Q185" s="26"/>
      <c r="R185" s="16"/>
      <c r="S185" s="26"/>
      <c r="T185" s="16"/>
      <c r="U185" s="26"/>
      <c r="V185" s="16"/>
      <c r="W185" s="26"/>
      <c r="X185" s="16"/>
      <c r="Y185" s="26"/>
      <c r="Z185" s="16"/>
      <c r="AA185" s="26"/>
      <c r="AB185" s="16"/>
      <c r="AC185" s="26"/>
      <c r="AD185" s="16"/>
      <c r="AE185" s="26"/>
      <c r="AF185" s="16"/>
      <c r="AG185" s="26"/>
      <c r="AH185" s="16"/>
      <c r="AI185" s="26"/>
      <c r="AJ185" s="16"/>
      <c r="AK185" s="26"/>
      <c r="AL185" s="16"/>
      <c r="AM185" s="26"/>
      <c r="AN185" s="16"/>
      <c r="AO185" s="26"/>
      <c r="AP185" s="16"/>
      <c r="AQ185" s="26"/>
      <c r="AR185" s="16"/>
      <c r="AS185" s="26"/>
      <c r="AT185" s="16"/>
      <c r="AU185" s="26"/>
      <c r="AV185" s="16"/>
      <c r="AW185" s="26"/>
      <c r="AX185" s="16"/>
      <c r="AY185" s="26"/>
      <c r="AZ185" s="16"/>
      <c r="BA185" s="26"/>
      <c r="BB185" s="16"/>
      <c r="BC185" s="26"/>
      <c r="BD185" s="16"/>
      <c r="BE185" s="26"/>
      <c r="BF185" s="16"/>
      <c r="BG185" s="26"/>
      <c r="BH185" s="16"/>
      <c r="BI185" s="26"/>
      <c r="BJ185" s="16"/>
    </row>
    <row r="186" ht="18.0" customHeight="1">
      <c r="A186" s="1"/>
      <c r="B186" s="13" t="s">
        <v>206</v>
      </c>
      <c r="C186" s="26"/>
      <c r="D186" s="16"/>
      <c r="E186" s="26"/>
      <c r="F186" s="16"/>
      <c r="G186" s="26"/>
      <c r="H186" s="16"/>
      <c r="I186" s="26"/>
      <c r="J186" s="16"/>
      <c r="K186" s="26"/>
      <c r="L186" s="16"/>
      <c r="M186" s="26"/>
      <c r="N186" s="16"/>
      <c r="O186" s="26"/>
      <c r="P186" s="16"/>
      <c r="Q186" s="26"/>
      <c r="R186" s="16"/>
      <c r="S186" s="26"/>
      <c r="T186" s="16"/>
      <c r="U186" s="26"/>
      <c r="V186" s="16"/>
      <c r="W186" s="26"/>
      <c r="X186" s="16"/>
      <c r="Y186" s="26"/>
      <c r="Z186" s="16"/>
      <c r="AA186" s="26"/>
      <c r="AB186" s="16"/>
      <c r="AC186" s="26"/>
      <c r="AD186" s="16"/>
      <c r="AE186" s="26"/>
      <c r="AF186" s="16"/>
      <c r="AG186" s="26"/>
      <c r="AH186" s="16"/>
      <c r="AI186" s="26"/>
      <c r="AJ186" s="16"/>
      <c r="AK186" s="26"/>
      <c r="AL186" s="16"/>
      <c r="AM186" s="26"/>
      <c r="AN186" s="16"/>
      <c r="AO186" s="26"/>
      <c r="AP186" s="16"/>
      <c r="AQ186" s="26"/>
      <c r="AR186" s="16"/>
      <c r="AS186" s="26"/>
      <c r="AT186" s="16"/>
      <c r="AU186" s="26"/>
      <c r="AV186" s="16"/>
      <c r="AW186" s="26"/>
      <c r="AX186" s="16"/>
      <c r="AY186" s="26"/>
      <c r="AZ186" s="16"/>
      <c r="BA186" s="26"/>
      <c r="BB186" s="16"/>
      <c r="BC186" s="26"/>
      <c r="BD186" s="16"/>
      <c r="BE186" s="26"/>
      <c r="BF186" s="16"/>
      <c r="BG186" s="26"/>
      <c r="BH186" s="16"/>
      <c r="BI186" s="26"/>
      <c r="BJ186" s="16"/>
    </row>
    <row r="187" ht="18.0" customHeight="1">
      <c r="A187" s="1"/>
      <c r="B187" s="13" t="s">
        <v>207</v>
      </c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</row>
    <row r="188" ht="18.0" customHeight="1">
      <c r="A188" s="1"/>
      <c r="B188" s="13" t="s">
        <v>208</v>
      </c>
      <c r="C188" s="26"/>
      <c r="D188" s="16"/>
      <c r="E188" s="26"/>
      <c r="F188" s="16"/>
      <c r="G188" s="26"/>
      <c r="H188" s="16"/>
      <c r="I188" s="26"/>
      <c r="J188" s="16"/>
      <c r="K188" s="26"/>
      <c r="L188" s="16"/>
      <c r="M188" s="26"/>
      <c r="N188" s="16"/>
      <c r="O188" s="26"/>
      <c r="P188" s="16"/>
      <c r="Q188" s="26"/>
      <c r="R188" s="16"/>
      <c r="S188" s="26"/>
      <c r="T188" s="16"/>
      <c r="U188" s="26"/>
      <c r="V188" s="16"/>
      <c r="W188" s="26"/>
      <c r="X188" s="16"/>
      <c r="Y188" s="26"/>
      <c r="Z188" s="16"/>
      <c r="AA188" s="26"/>
      <c r="AB188" s="16"/>
      <c r="AC188" s="26"/>
      <c r="AD188" s="16"/>
      <c r="AE188" s="26"/>
      <c r="AF188" s="16"/>
      <c r="AG188" s="26"/>
      <c r="AH188" s="16"/>
      <c r="AI188" s="26"/>
      <c r="AJ188" s="16"/>
      <c r="AK188" s="26"/>
      <c r="AL188" s="16"/>
      <c r="AM188" s="26"/>
      <c r="AN188" s="16"/>
      <c r="AO188" s="26"/>
      <c r="AP188" s="16"/>
      <c r="AQ188" s="26"/>
      <c r="AR188" s="16"/>
      <c r="AS188" s="26"/>
      <c r="AT188" s="16"/>
      <c r="AU188" s="26"/>
      <c r="AV188" s="16"/>
      <c r="AW188" s="26"/>
      <c r="AX188" s="16"/>
      <c r="AY188" s="26"/>
      <c r="AZ188" s="16"/>
      <c r="BA188" s="26"/>
      <c r="BB188" s="16"/>
      <c r="BC188" s="26"/>
      <c r="BD188" s="16"/>
      <c r="BE188" s="26"/>
      <c r="BF188" s="16"/>
      <c r="BG188" s="26"/>
      <c r="BH188" s="16"/>
      <c r="BI188" s="26"/>
      <c r="BJ188" s="16"/>
    </row>
    <row r="189" ht="18.0" customHeight="1">
      <c r="A189" s="1"/>
      <c r="B189" s="13" t="s">
        <v>209</v>
      </c>
      <c r="C189" s="26"/>
      <c r="D189" s="16"/>
      <c r="E189" s="26"/>
      <c r="F189" s="16"/>
      <c r="G189" s="26"/>
      <c r="H189" s="16"/>
      <c r="I189" s="26"/>
      <c r="J189" s="16"/>
      <c r="K189" s="26"/>
      <c r="L189" s="16"/>
      <c r="M189" s="26"/>
      <c r="N189" s="16"/>
      <c r="O189" s="26"/>
      <c r="P189" s="16"/>
      <c r="Q189" s="26"/>
      <c r="R189" s="16"/>
      <c r="S189" s="26"/>
      <c r="T189" s="16"/>
      <c r="U189" s="26"/>
      <c r="V189" s="16"/>
      <c r="W189" s="26"/>
      <c r="X189" s="16"/>
      <c r="Y189" s="26"/>
      <c r="Z189" s="16"/>
      <c r="AA189" s="26"/>
      <c r="AB189" s="16"/>
      <c r="AC189" s="26"/>
      <c r="AD189" s="16"/>
      <c r="AE189" s="26"/>
      <c r="AF189" s="16"/>
      <c r="AG189" s="26"/>
      <c r="AH189" s="16"/>
      <c r="AI189" s="26"/>
      <c r="AJ189" s="16"/>
      <c r="AK189" s="26"/>
      <c r="AL189" s="16"/>
      <c r="AM189" s="26"/>
      <c r="AN189" s="16"/>
      <c r="AO189" s="26"/>
      <c r="AP189" s="16"/>
      <c r="AQ189" s="26"/>
      <c r="AR189" s="16"/>
      <c r="AS189" s="26"/>
      <c r="AT189" s="16"/>
      <c r="AU189" s="26"/>
      <c r="AV189" s="16"/>
      <c r="AW189" s="26"/>
      <c r="AX189" s="16"/>
      <c r="AY189" s="26"/>
      <c r="AZ189" s="16"/>
      <c r="BA189" s="26"/>
      <c r="BB189" s="16"/>
      <c r="BC189" s="26"/>
      <c r="BD189" s="16"/>
      <c r="BE189" s="26"/>
      <c r="BF189" s="16"/>
      <c r="BG189" s="26"/>
      <c r="BH189" s="16"/>
      <c r="BI189" s="26"/>
      <c r="BJ189" s="16"/>
    </row>
    <row r="190" ht="18.0" customHeight="1">
      <c r="A190" s="1"/>
      <c r="B190" s="13" t="s">
        <v>210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</row>
    <row r="191" ht="18.0" customHeight="1">
      <c r="A191" s="1"/>
      <c r="B191" s="13" t="s">
        <v>211</v>
      </c>
      <c r="C191" s="26"/>
      <c r="D191" s="16"/>
      <c r="E191" s="26"/>
      <c r="F191" s="16"/>
      <c r="G191" s="26"/>
      <c r="H191" s="16"/>
      <c r="I191" s="26"/>
      <c r="J191" s="16"/>
      <c r="K191" s="26"/>
      <c r="L191" s="16"/>
      <c r="M191" s="26"/>
      <c r="N191" s="16"/>
      <c r="O191" s="26"/>
      <c r="P191" s="16"/>
      <c r="Q191" s="26"/>
      <c r="R191" s="16"/>
      <c r="S191" s="26"/>
      <c r="T191" s="16"/>
      <c r="U191" s="26"/>
      <c r="V191" s="16"/>
      <c r="W191" s="26"/>
      <c r="X191" s="16"/>
      <c r="Y191" s="26"/>
      <c r="Z191" s="16"/>
      <c r="AA191" s="26"/>
      <c r="AB191" s="16"/>
      <c r="AC191" s="26"/>
      <c r="AD191" s="16"/>
      <c r="AE191" s="26"/>
      <c r="AF191" s="16"/>
      <c r="AG191" s="26"/>
      <c r="AH191" s="16"/>
      <c r="AI191" s="26"/>
      <c r="AJ191" s="16"/>
      <c r="AK191" s="26"/>
      <c r="AL191" s="16"/>
      <c r="AM191" s="26"/>
      <c r="AN191" s="16"/>
      <c r="AO191" s="26"/>
      <c r="AP191" s="16"/>
      <c r="AQ191" s="26"/>
      <c r="AR191" s="16"/>
      <c r="AS191" s="26"/>
      <c r="AT191" s="16"/>
      <c r="AU191" s="26"/>
      <c r="AV191" s="16"/>
      <c r="AW191" s="26"/>
      <c r="AX191" s="16"/>
      <c r="AY191" s="26"/>
      <c r="AZ191" s="16"/>
      <c r="BA191" s="26"/>
      <c r="BB191" s="16"/>
      <c r="BC191" s="26"/>
      <c r="BD191" s="16"/>
      <c r="BE191" s="26"/>
      <c r="BF191" s="16"/>
      <c r="BG191" s="26"/>
      <c r="BH191" s="16"/>
      <c r="BI191" s="26"/>
      <c r="BJ191" s="16"/>
    </row>
    <row r="192" ht="18.0" customHeight="1">
      <c r="A192" s="1"/>
      <c r="B192" s="13" t="s">
        <v>212</v>
      </c>
      <c r="C192" s="26"/>
      <c r="D192" s="16"/>
      <c r="E192" s="26"/>
      <c r="F192" s="16"/>
      <c r="G192" s="26"/>
      <c r="H192" s="16"/>
      <c r="I192" s="26"/>
      <c r="J192" s="16"/>
      <c r="K192" s="26"/>
      <c r="L192" s="16"/>
      <c r="M192" s="26"/>
      <c r="N192" s="16"/>
      <c r="O192" s="26"/>
      <c r="P192" s="16"/>
      <c r="Q192" s="26"/>
      <c r="R192" s="16"/>
      <c r="S192" s="26"/>
      <c r="T192" s="16"/>
      <c r="U192" s="26"/>
      <c r="V192" s="16"/>
      <c r="W192" s="26"/>
      <c r="X192" s="16"/>
      <c r="Y192" s="26"/>
      <c r="Z192" s="16"/>
      <c r="AA192" s="26"/>
      <c r="AB192" s="16"/>
      <c r="AC192" s="26"/>
      <c r="AD192" s="16"/>
      <c r="AE192" s="26"/>
      <c r="AF192" s="16"/>
      <c r="AG192" s="26"/>
      <c r="AH192" s="16"/>
      <c r="AI192" s="26"/>
      <c r="AJ192" s="16"/>
      <c r="AK192" s="26"/>
      <c r="AL192" s="16"/>
      <c r="AM192" s="26"/>
      <c r="AN192" s="16"/>
      <c r="AO192" s="26"/>
      <c r="AP192" s="16"/>
      <c r="AQ192" s="26"/>
      <c r="AR192" s="16"/>
      <c r="AS192" s="26"/>
      <c r="AT192" s="16"/>
      <c r="AU192" s="26"/>
      <c r="AV192" s="16"/>
      <c r="AW192" s="26"/>
      <c r="AX192" s="16"/>
      <c r="AY192" s="26"/>
      <c r="AZ192" s="16"/>
      <c r="BA192" s="26"/>
      <c r="BB192" s="16"/>
      <c r="BC192" s="26"/>
      <c r="BD192" s="16"/>
      <c r="BE192" s="26"/>
      <c r="BF192" s="16"/>
      <c r="BG192" s="26"/>
      <c r="BH192" s="16"/>
      <c r="BI192" s="26"/>
      <c r="BJ192" s="16"/>
    </row>
    <row r="193" ht="18.0" customHeight="1">
      <c r="A193" s="1"/>
      <c r="B193" s="13" t="s">
        <v>213</v>
      </c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</row>
    <row r="194" ht="18.0" customHeight="1">
      <c r="A194" s="1"/>
      <c r="B194" s="13" t="s">
        <v>214</v>
      </c>
      <c r="C194" s="26"/>
      <c r="D194" s="16"/>
      <c r="E194" s="26"/>
      <c r="F194" s="16"/>
      <c r="G194" s="26"/>
      <c r="H194" s="16"/>
      <c r="I194" s="26"/>
      <c r="J194" s="16"/>
      <c r="K194" s="26"/>
      <c r="L194" s="16"/>
      <c r="M194" s="26"/>
      <c r="N194" s="16"/>
      <c r="O194" s="26"/>
      <c r="P194" s="16"/>
      <c r="Q194" s="26"/>
      <c r="R194" s="16"/>
      <c r="S194" s="26"/>
      <c r="T194" s="16"/>
      <c r="U194" s="26"/>
      <c r="V194" s="16"/>
      <c r="W194" s="26"/>
      <c r="X194" s="16"/>
      <c r="Y194" s="26"/>
      <c r="Z194" s="16"/>
      <c r="AA194" s="26"/>
      <c r="AB194" s="16"/>
      <c r="AC194" s="26"/>
      <c r="AD194" s="16"/>
      <c r="AE194" s="26"/>
      <c r="AF194" s="16"/>
      <c r="AG194" s="26"/>
      <c r="AH194" s="16"/>
      <c r="AI194" s="26"/>
      <c r="AJ194" s="16"/>
      <c r="AK194" s="26"/>
      <c r="AL194" s="16"/>
      <c r="AM194" s="26"/>
      <c r="AN194" s="16"/>
      <c r="AO194" s="26"/>
      <c r="AP194" s="16"/>
      <c r="AQ194" s="26"/>
      <c r="AR194" s="16"/>
      <c r="AS194" s="26"/>
      <c r="AT194" s="16"/>
      <c r="AU194" s="26"/>
      <c r="AV194" s="16"/>
      <c r="AW194" s="26"/>
      <c r="AX194" s="16"/>
      <c r="AY194" s="26"/>
      <c r="AZ194" s="16"/>
      <c r="BA194" s="26"/>
      <c r="BB194" s="16"/>
      <c r="BC194" s="26"/>
      <c r="BD194" s="16"/>
      <c r="BE194" s="26"/>
      <c r="BF194" s="16"/>
      <c r="BG194" s="26"/>
      <c r="BH194" s="16"/>
      <c r="BI194" s="26"/>
      <c r="BJ194" s="16"/>
    </row>
    <row r="195" ht="18.0" customHeight="1">
      <c r="A195" s="1"/>
      <c r="B195" s="13" t="s">
        <v>215</v>
      </c>
      <c r="C195" s="26"/>
      <c r="D195" s="16"/>
      <c r="E195" s="26"/>
      <c r="F195" s="16"/>
      <c r="G195" s="26"/>
      <c r="H195" s="16"/>
      <c r="I195" s="26"/>
      <c r="J195" s="16"/>
      <c r="K195" s="26"/>
      <c r="L195" s="16"/>
      <c r="M195" s="26"/>
      <c r="N195" s="16"/>
      <c r="O195" s="26"/>
      <c r="P195" s="16"/>
      <c r="Q195" s="26"/>
      <c r="R195" s="16"/>
      <c r="S195" s="26"/>
      <c r="T195" s="16"/>
      <c r="U195" s="26"/>
      <c r="V195" s="16"/>
      <c r="W195" s="26"/>
      <c r="X195" s="16"/>
      <c r="Y195" s="26"/>
      <c r="Z195" s="16"/>
      <c r="AA195" s="26"/>
      <c r="AB195" s="16"/>
      <c r="AC195" s="26"/>
      <c r="AD195" s="16"/>
      <c r="AE195" s="26"/>
      <c r="AF195" s="16"/>
      <c r="AG195" s="26"/>
      <c r="AH195" s="16"/>
      <c r="AI195" s="26"/>
      <c r="AJ195" s="16"/>
      <c r="AK195" s="26"/>
      <c r="AL195" s="16"/>
      <c r="AM195" s="26"/>
      <c r="AN195" s="16"/>
      <c r="AO195" s="26"/>
      <c r="AP195" s="16"/>
      <c r="AQ195" s="26"/>
      <c r="AR195" s="16"/>
      <c r="AS195" s="26"/>
      <c r="AT195" s="16"/>
      <c r="AU195" s="26"/>
      <c r="AV195" s="16"/>
      <c r="AW195" s="26"/>
      <c r="AX195" s="16"/>
      <c r="AY195" s="26"/>
      <c r="AZ195" s="16"/>
      <c r="BA195" s="26"/>
      <c r="BB195" s="16"/>
      <c r="BC195" s="26"/>
      <c r="BD195" s="16"/>
      <c r="BE195" s="26"/>
      <c r="BF195" s="16"/>
      <c r="BG195" s="26"/>
      <c r="BH195" s="16"/>
      <c r="BI195" s="26"/>
      <c r="BJ195" s="16"/>
    </row>
    <row r="196" ht="18.0" customHeight="1">
      <c r="A196" s="1"/>
      <c r="B196" s="13" t="s">
        <v>216</v>
      </c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</row>
    <row r="197" ht="18.0" customHeight="1">
      <c r="A197" s="1"/>
      <c r="B197" s="13" t="s">
        <v>217</v>
      </c>
      <c r="C197" s="26"/>
      <c r="D197" s="16"/>
      <c r="E197" s="26"/>
      <c r="F197" s="16"/>
      <c r="G197" s="26"/>
      <c r="H197" s="16"/>
      <c r="I197" s="26"/>
      <c r="J197" s="16"/>
      <c r="K197" s="26"/>
      <c r="L197" s="16"/>
      <c r="M197" s="26"/>
      <c r="N197" s="16"/>
      <c r="O197" s="26"/>
      <c r="P197" s="16"/>
      <c r="Q197" s="26"/>
      <c r="R197" s="16"/>
      <c r="S197" s="26"/>
      <c r="T197" s="16"/>
      <c r="U197" s="26"/>
      <c r="V197" s="16"/>
      <c r="W197" s="26"/>
      <c r="X197" s="16"/>
      <c r="Y197" s="26"/>
      <c r="Z197" s="16"/>
      <c r="AA197" s="26"/>
      <c r="AB197" s="16"/>
      <c r="AC197" s="26"/>
      <c r="AD197" s="16"/>
      <c r="AE197" s="26"/>
      <c r="AF197" s="16"/>
      <c r="AG197" s="26"/>
      <c r="AH197" s="16"/>
      <c r="AI197" s="26"/>
      <c r="AJ197" s="16"/>
      <c r="AK197" s="26"/>
      <c r="AL197" s="16"/>
      <c r="AM197" s="26"/>
      <c r="AN197" s="16"/>
      <c r="AO197" s="26"/>
      <c r="AP197" s="16"/>
      <c r="AQ197" s="26"/>
      <c r="AR197" s="16"/>
      <c r="AS197" s="26"/>
      <c r="AT197" s="16"/>
      <c r="AU197" s="26"/>
      <c r="AV197" s="16"/>
      <c r="AW197" s="26"/>
      <c r="AX197" s="16"/>
      <c r="AY197" s="26"/>
      <c r="AZ197" s="16"/>
      <c r="BA197" s="26"/>
      <c r="BB197" s="16"/>
      <c r="BC197" s="26"/>
      <c r="BD197" s="16"/>
      <c r="BE197" s="26"/>
      <c r="BF197" s="16"/>
      <c r="BG197" s="26"/>
      <c r="BH197" s="16"/>
      <c r="BI197" s="26"/>
      <c r="BJ197" s="16"/>
    </row>
    <row r="198" ht="18.0" customHeight="1">
      <c r="A198" s="1"/>
      <c r="B198" s="13" t="s">
        <v>218</v>
      </c>
      <c r="C198" s="26"/>
      <c r="D198" s="16"/>
      <c r="E198" s="26"/>
      <c r="F198" s="16"/>
      <c r="G198" s="26"/>
      <c r="H198" s="16"/>
      <c r="I198" s="26"/>
      <c r="J198" s="16"/>
      <c r="K198" s="26"/>
      <c r="L198" s="16"/>
      <c r="M198" s="26"/>
      <c r="N198" s="16"/>
      <c r="O198" s="26"/>
      <c r="P198" s="16"/>
      <c r="Q198" s="26"/>
      <c r="R198" s="16"/>
      <c r="S198" s="26"/>
      <c r="T198" s="16"/>
      <c r="U198" s="26"/>
      <c r="V198" s="16"/>
      <c r="W198" s="26"/>
      <c r="X198" s="16"/>
      <c r="Y198" s="26"/>
      <c r="Z198" s="16"/>
      <c r="AA198" s="26"/>
      <c r="AB198" s="16"/>
      <c r="AC198" s="26"/>
      <c r="AD198" s="16"/>
      <c r="AE198" s="26"/>
      <c r="AF198" s="16"/>
      <c r="AG198" s="26"/>
      <c r="AH198" s="16"/>
      <c r="AI198" s="26"/>
      <c r="AJ198" s="16"/>
      <c r="AK198" s="26"/>
      <c r="AL198" s="16"/>
      <c r="AM198" s="26"/>
      <c r="AN198" s="16"/>
      <c r="AO198" s="26"/>
      <c r="AP198" s="16"/>
      <c r="AQ198" s="26"/>
      <c r="AR198" s="16"/>
      <c r="AS198" s="26"/>
      <c r="AT198" s="16"/>
      <c r="AU198" s="26"/>
      <c r="AV198" s="16"/>
      <c r="AW198" s="26"/>
      <c r="AX198" s="16"/>
      <c r="AY198" s="26"/>
      <c r="AZ198" s="16"/>
      <c r="BA198" s="26"/>
      <c r="BB198" s="16"/>
      <c r="BC198" s="26"/>
      <c r="BD198" s="16"/>
      <c r="BE198" s="26"/>
      <c r="BF198" s="16"/>
      <c r="BG198" s="26"/>
      <c r="BH198" s="16"/>
      <c r="BI198" s="26"/>
      <c r="BJ198" s="16"/>
    </row>
    <row r="199" ht="21.75" customHeight="1">
      <c r="A199" s="1"/>
      <c r="B199" s="11" t="s">
        <v>219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</row>
    <row r="200" ht="18.0" customHeight="1">
      <c r="A200" s="1"/>
      <c r="B200" s="13" t="s">
        <v>220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</row>
    <row r="201" ht="18.0" customHeight="1">
      <c r="A201" s="1"/>
      <c r="B201" s="13" t="s">
        <v>221</v>
      </c>
      <c r="C201" s="26"/>
      <c r="D201" s="16"/>
      <c r="E201" s="26"/>
      <c r="F201" s="16"/>
      <c r="G201" s="26"/>
      <c r="H201" s="16"/>
      <c r="I201" s="26"/>
      <c r="J201" s="16"/>
      <c r="K201" s="26"/>
      <c r="L201" s="16"/>
      <c r="M201" s="26"/>
      <c r="N201" s="16"/>
      <c r="O201" s="26"/>
      <c r="P201" s="16"/>
      <c r="Q201" s="26"/>
      <c r="R201" s="16"/>
      <c r="S201" s="26"/>
      <c r="T201" s="16"/>
      <c r="U201" s="26"/>
      <c r="V201" s="16"/>
      <c r="W201" s="26"/>
      <c r="X201" s="16"/>
      <c r="Y201" s="26"/>
      <c r="Z201" s="16"/>
      <c r="AA201" s="26"/>
      <c r="AB201" s="16"/>
      <c r="AC201" s="26"/>
      <c r="AD201" s="16"/>
      <c r="AE201" s="26"/>
      <c r="AF201" s="16"/>
      <c r="AG201" s="26"/>
      <c r="AH201" s="16"/>
      <c r="AI201" s="26"/>
      <c r="AJ201" s="16"/>
      <c r="AK201" s="26"/>
      <c r="AL201" s="16"/>
      <c r="AM201" s="26"/>
      <c r="AN201" s="16"/>
      <c r="AO201" s="26"/>
      <c r="AP201" s="16"/>
      <c r="AQ201" s="26"/>
      <c r="AR201" s="16"/>
      <c r="AS201" s="26"/>
      <c r="AT201" s="16"/>
      <c r="AU201" s="26"/>
      <c r="AV201" s="16"/>
      <c r="AW201" s="26"/>
      <c r="AX201" s="16"/>
      <c r="AY201" s="26"/>
      <c r="AZ201" s="16"/>
      <c r="BA201" s="26"/>
      <c r="BB201" s="16"/>
      <c r="BC201" s="26"/>
      <c r="BD201" s="16"/>
      <c r="BE201" s="26"/>
      <c r="BF201" s="16"/>
      <c r="BG201" s="26"/>
      <c r="BH201" s="16"/>
      <c r="BI201" s="26"/>
      <c r="BJ201" s="16"/>
    </row>
    <row r="202" ht="18.0" customHeight="1">
      <c r="A202" s="1"/>
      <c r="B202" s="13" t="s">
        <v>222</v>
      </c>
      <c r="C202" s="26"/>
      <c r="D202" s="16"/>
      <c r="E202" s="26"/>
      <c r="F202" s="16"/>
      <c r="G202" s="26"/>
      <c r="H202" s="16"/>
      <c r="I202" s="26"/>
      <c r="J202" s="16"/>
      <c r="K202" s="26"/>
      <c r="L202" s="16"/>
      <c r="M202" s="26"/>
      <c r="N202" s="16"/>
      <c r="O202" s="26"/>
      <c r="P202" s="16"/>
      <c r="Q202" s="26"/>
      <c r="R202" s="16"/>
      <c r="S202" s="26"/>
      <c r="T202" s="16"/>
      <c r="U202" s="26"/>
      <c r="V202" s="16"/>
      <c r="W202" s="26"/>
      <c r="X202" s="16"/>
      <c r="Y202" s="26"/>
      <c r="Z202" s="16"/>
      <c r="AA202" s="26"/>
      <c r="AB202" s="16"/>
      <c r="AC202" s="26"/>
      <c r="AD202" s="16"/>
      <c r="AE202" s="26"/>
      <c r="AF202" s="16"/>
      <c r="AG202" s="26"/>
      <c r="AH202" s="16"/>
      <c r="AI202" s="26"/>
      <c r="AJ202" s="16"/>
      <c r="AK202" s="26"/>
      <c r="AL202" s="16"/>
      <c r="AM202" s="26"/>
      <c r="AN202" s="16"/>
      <c r="AO202" s="26"/>
      <c r="AP202" s="16"/>
      <c r="AQ202" s="26"/>
      <c r="AR202" s="16"/>
      <c r="AS202" s="26"/>
      <c r="AT202" s="16"/>
      <c r="AU202" s="26"/>
      <c r="AV202" s="16"/>
      <c r="AW202" s="26"/>
      <c r="AX202" s="16"/>
      <c r="AY202" s="26"/>
      <c r="AZ202" s="16"/>
      <c r="BA202" s="26"/>
      <c r="BB202" s="16"/>
      <c r="BC202" s="26"/>
      <c r="BD202" s="16"/>
      <c r="BE202" s="26"/>
      <c r="BF202" s="16"/>
      <c r="BG202" s="26"/>
      <c r="BH202" s="16"/>
      <c r="BI202" s="26"/>
      <c r="BJ202" s="16"/>
    </row>
    <row r="203" ht="18.0" customHeight="1">
      <c r="A203" s="1"/>
      <c r="B203" s="13" t="s">
        <v>223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</row>
    <row r="204" ht="18.0" customHeight="1">
      <c r="A204" s="1"/>
      <c r="B204" s="13" t="s">
        <v>224</v>
      </c>
      <c r="C204" s="26"/>
      <c r="D204" s="16"/>
      <c r="E204" s="26"/>
      <c r="F204" s="16"/>
      <c r="G204" s="26"/>
      <c r="H204" s="16"/>
      <c r="I204" s="26"/>
      <c r="J204" s="16"/>
      <c r="K204" s="26"/>
      <c r="L204" s="16"/>
      <c r="M204" s="26"/>
      <c r="N204" s="16"/>
      <c r="O204" s="26"/>
      <c r="P204" s="16"/>
      <c r="Q204" s="26"/>
      <c r="R204" s="16"/>
      <c r="S204" s="26"/>
      <c r="T204" s="16"/>
      <c r="U204" s="26"/>
      <c r="V204" s="16"/>
      <c r="W204" s="26"/>
      <c r="X204" s="16"/>
      <c r="Y204" s="26"/>
      <c r="Z204" s="16"/>
      <c r="AA204" s="26"/>
      <c r="AB204" s="16"/>
      <c r="AC204" s="26"/>
      <c r="AD204" s="16"/>
      <c r="AE204" s="26"/>
      <c r="AF204" s="16"/>
      <c r="AG204" s="26"/>
      <c r="AH204" s="16"/>
      <c r="AI204" s="26"/>
      <c r="AJ204" s="16"/>
      <c r="AK204" s="26"/>
      <c r="AL204" s="16"/>
      <c r="AM204" s="26"/>
      <c r="AN204" s="16"/>
      <c r="AO204" s="26"/>
      <c r="AP204" s="16"/>
      <c r="AQ204" s="26"/>
      <c r="AR204" s="16"/>
      <c r="AS204" s="26"/>
      <c r="AT204" s="16"/>
      <c r="AU204" s="26"/>
      <c r="AV204" s="16"/>
      <c r="AW204" s="26"/>
      <c r="AX204" s="16"/>
      <c r="AY204" s="26"/>
      <c r="AZ204" s="16"/>
      <c r="BA204" s="26"/>
      <c r="BB204" s="16"/>
      <c r="BC204" s="26"/>
      <c r="BD204" s="16"/>
      <c r="BE204" s="26"/>
      <c r="BF204" s="16"/>
      <c r="BG204" s="26"/>
      <c r="BH204" s="16"/>
      <c r="BI204" s="26"/>
      <c r="BJ204" s="16"/>
    </row>
    <row r="205" ht="18.0" customHeight="1">
      <c r="A205" s="1"/>
      <c r="B205" s="13" t="s">
        <v>225</v>
      </c>
      <c r="C205" s="26"/>
      <c r="D205" s="16"/>
      <c r="E205" s="26"/>
      <c r="F205" s="16"/>
      <c r="G205" s="26"/>
      <c r="H205" s="16"/>
      <c r="I205" s="26"/>
      <c r="J205" s="16"/>
      <c r="K205" s="26"/>
      <c r="L205" s="16"/>
      <c r="M205" s="26"/>
      <c r="N205" s="16"/>
      <c r="O205" s="26"/>
      <c r="P205" s="16"/>
      <c r="Q205" s="26"/>
      <c r="R205" s="16"/>
      <c r="S205" s="26"/>
      <c r="T205" s="16"/>
      <c r="U205" s="26"/>
      <c r="V205" s="16"/>
      <c r="W205" s="26"/>
      <c r="X205" s="16"/>
      <c r="Y205" s="26"/>
      <c r="Z205" s="16"/>
      <c r="AA205" s="26"/>
      <c r="AB205" s="16"/>
      <c r="AC205" s="26"/>
      <c r="AD205" s="16"/>
      <c r="AE205" s="26"/>
      <c r="AF205" s="16"/>
      <c r="AG205" s="26"/>
      <c r="AH205" s="16"/>
      <c r="AI205" s="26"/>
      <c r="AJ205" s="16"/>
      <c r="AK205" s="26"/>
      <c r="AL205" s="16"/>
      <c r="AM205" s="26"/>
      <c r="AN205" s="16"/>
      <c r="AO205" s="26"/>
      <c r="AP205" s="16"/>
      <c r="AQ205" s="26"/>
      <c r="AR205" s="16"/>
      <c r="AS205" s="26"/>
      <c r="AT205" s="16"/>
      <c r="AU205" s="26"/>
      <c r="AV205" s="16"/>
      <c r="AW205" s="26"/>
      <c r="AX205" s="16"/>
      <c r="AY205" s="26"/>
      <c r="AZ205" s="16"/>
      <c r="BA205" s="26"/>
      <c r="BB205" s="16"/>
      <c r="BC205" s="26"/>
      <c r="BD205" s="16"/>
      <c r="BE205" s="26"/>
      <c r="BF205" s="16"/>
      <c r="BG205" s="26"/>
      <c r="BH205" s="16"/>
      <c r="BI205" s="26"/>
      <c r="BJ205" s="16"/>
    </row>
    <row r="206" ht="18.0" customHeight="1">
      <c r="A206" s="1"/>
      <c r="B206" s="13" t="s">
        <v>226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</row>
    <row r="207" ht="18.0" customHeight="1">
      <c r="A207" s="1"/>
      <c r="B207" s="13" t="s">
        <v>227</v>
      </c>
      <c r="C207" s="26"/>
      <c r="D207" s="16"/>
      <c r="E207" s="26"/>
      <c r="F207" s="16"/>
      <c r="G207" s="26"/>
      <c r="H207" s="16"/>
      <c r="I207" s="26"/>
      <c r="J207" s="16"/>
      <c r="K207" s="26"/>
      <c r="L207" s="16"/>
      <c r="M207" s="26"/>
      <c r="N207" s="16"/>
      <c r="O207" s="26"/>
      <c r="P207" s="16"/>
      <c r="Q207" s="26"/>
      <c r="R207" s="16"/>
      <c r="S207" s="26"/>
      <c r="T207" s="16"/>
      <c r="U207" s="26"/>
      <c r="V207" s="16"/>
      <c r="W207" s="26"/>
      <c r="X207" s="16"/>
      <c r="Y207" s="26"/>
      <c r="Z207" s="16"/>
      <c r="AA207" s="26"/>
      <c r="AB207" s="16"/>
      <c r="AC207" s="26"/>
      <c r="AD207" s="16"/>
      <c r="AE207" s="26"/>
      <c r="AF207" s="16"/>
      <c r="AG207" s="26"/>
      <c r="AH207" s="16"/>
      <c r="AI207" s="26"/>
      <c r="AJ207" s="16"/>
      <c r="AK207" s="26"/>
      <c r="AL207" s="16"/>
      <c r="AM207" s="26"/>
      <c r="AN207" s="16"/>
      <c r="AO207" s="26"/>
      <c r="AP207" s="16"/>
      <c r="AQ207" s="26"/>
      <c r="AR207" s="16"/>
      <c r="AS207" s="26"/>
      <c r="AT207" s="16"/>
      <c r="AU207" s="26"/>
      <c r="AV207" s="16"/>
      <c r="AW207" s="26"/>
      <c r="AX207" s="16"/>
      <c r="AY207" s="26"/>
      <c r="AZ207" s="16"/>
      <c r="BA207" s="26"/>
      <c r="BB207" s="16"/>
      <c r="BC207" s="26"/>
      <c r="BD207" s="16"/>
      <c r="BE207" s="26"/>
      <c r="BF207" s="16"/>
      <c r="BG207" s="26"/>
      <c r="BH207" s="16"/>
      <c r="BI207" s="26"/>
      <c r="BJ207" s="16"/>
    </row>
    <row r="208" ht="18.0" customHeight="1">
      <c r="A208" s="1"/>
      <c r="B208" s="13" t="s">
        <v>228</v>
      </c>
      <c r="C208" s="26"/>
      <c r="D208" s="16"/>
      <c r="E208" s="26"/>
      <c r="F208" s="16"/>
      <c r="G208" s="26"/>
      <c r="H208" s="16"/>
      <c r="I208" s="26"/>
      <c r="J208" s="16"/>
      <c r="K208" s="26"/>
      <c r="L208" s="16"/>
      <c r="M208" s="26"/>
      <c r="N208" s="16"/>
      <c r="O208" s="26"/>
      <c r="P208" s="16"/>
      <c r="Q208" s="26"/>
      <c r="R208" s="16"/>
      <c r="S208" s="26"/>
      <c r="T208" s="16"/>
      <c r="U208" s="26"/>
      <c r="V208" s="16"/>
      <c r="W208" s="26"/>
      <c r="X208" s="16"/>
      <c r="Y208" s="26"/>
      <c r="Z208" s="16"/>
      <c r="AA208" s="26"/>
      <c r="AB208" s="16"/>
      <c r="AC208" s="26"/>
      <c r="AD208" s="16"/>
      <c r="AE208" s="26"/>
      <c r="AF208" s="16"/>
      <c r="AG208" s="26"/>
      <c r="AH208" s="16"/>
      <c r="AI208" s="26"/>
      <c r="AJ208" s="16"/>
      <c r="AK208" s="26"/>
      <c r="AL208" s="16"/>
      <c r="AM208" s="26"/>
      <c r="AN208" s="16"/>
      <c r="AO208" s="26"/>
      <c r="AP208" s="16"/>
      <c r="AQ208" s="26"/>
      <c r="AR208" s="16"/>
      <c r="AS208" s="26"/>
      <c r="AT208" s="16"/>
      <c r="AU208" s="26"/>
      <c r="AV208" s="16"/>
      <c r="AW208" s="26"/>
      <c r="AX208" s="16"/>
      <c r="AY208" s="26"/>
      <c r="AZ208" s="16"/>
      <c r="BA208" s="26"/>
      <c r="BB208" s="16"/>
      <c r="BC208" s="26"/>
      <c r="BD208" s="16"/>
      <c r="BE208" s="26"/>
      <c r="BF208" s="16"/>
      <c r="BG208" s="26"/>
      <c r="BH208" s="16"/>
      <c r="BI208" s="26"/>
      <c r="BJ208" s="16"/>
    </row>
    <row r="209" ht="18.0" customHeight="1">
      <c r="A209" s="1"/>
      <c r="B209" s="13" t="s">
        <v>229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</row>
    <row r="210" ht="18.0" customHeight="1">
      <c r="A210" s="1"/>
      <c r="B210" s="13" t="s">
        <v>230</v>
      </c>
      <c r="C210" s="26"/>
      <c r="D210" s="16"/>
      <c r="E210" s="26"/>
      <c r="F210" s="16"/>
      <c r="G210" s="26"/>
      <c r="H210" s="16"/>
      <c r="I210" s="26"/>
      <c r="J210" s="16"/>
      <c r="K210" s="26"/>
      <c r="L210" s="16"/>
      <c r="M210" s="26"/>
      <c r="N210" s="16"/>
      <c r="O210" s="26"/>
      <c r="P210" s="16"/>
      <c r="Q210" s="26"/>
      <c r="R210" s="16"/>
      <c r="S210" s="26"/>
      <c r="T210" s="16"/>
      <c r="U210" s="26"/>
      <c r="V210" s="16"/>
      <c r="W210" s="26"/>
      <c r="X210" s="16"/>
      <c r="Y210" s="26"/>
      <c r="Z210" s="16"/>
      <c r="AA210" s="26"/>
      <c r="AB210" s="16"/>
      <c r="AC210" s="26"/>
      <c r="AD210" s="16"/>
      <c r="AE210" s="26"/>
      <c r="AF210" s="16"/>
      <c r="AG210" s="26"/>
      <c r="AH210" s="16"/>
      <c r="AI210" s="26"/>
      <c r="AJ210" s="16"/>
      <c r="AK210" s="26"/>
      <c r="AL210" s="16"/>
      <c r="AM210" s="26"/>
      <c r="AN210" s="16"/>
      <c r="AO210" s="26"/>
      <c r="AP210" s="16"/>
      <c r="AQ210" s="26"/>
      <c r="AR210" s="16"/>
      <c r="AS210" s="26"/>
      <c r="AT210" s="16"/>
      <c r="AU210" s="26"/>
      <c r="AV210" s="16"/>
      <c r="AW210" s="26"/>
      <c r="AX210" s="16"/>
      <c r="AY210" s="26"/>
      <c r="AZ210" s="16"/>
      <c r="BA210" s="26"/>
      <c r="BB210" s="16"/>
      <c r="BC210" s="26"/>
      <c r="BD210" s="16"/>
      <c r="BE210" s="26"/>
      <c r="BF210" s="16"/>
      <c r="BG210" s="26"/>
      <c r="BH210" s="16"/>
      <c r="BI210" s="26"/>
      <c r="BJ210" s="16"/>
    </row>
    <row r="211" ht="18.0" customHeight="1">
      <c r="A211" s="1"/>
      <c r="B211" s="13" t="s">
        <v>231</v>
      </c>
      <c r="C211" s="26"/>
      <c r="D211" s="16"/>
      <c r="E211" s="26"/>
      <c r="F211" s="16"/>
      <c r="G211" s="26"/>
      <c r="H211" s="16"/>
      <c r="I211" s="26"/>
      <c r="J211" s="16"/>
      <c r="K211" s="26"/>
      <c r="L211" s="16"/>
      <c r="M211" s="26"/>
      <c r="N211" s="16"/>
      <c r="O211" s="26"/>
      <c r="P211" s="16"/>
      <c r="Q211" s="26"/>
      <c r="R211" s="16"/>
      <c r="S211" s="26"/>
      <c r="T211" s="16"/>
      <c r="U211" s="26"/>
      <c r="V211" s="16"/>
      <c r="W211" s="26"/>
      <c r="X211" s="16"/>
      <c r="Y211" s="26"/>
      <c r="Z211" s="16"/>
      <c r="AA211" s="26"/>
      <c r="AB211" s="16"/>
      <c r="AC211" s="26"/>
      <c r="AD211" s="16"/>
      <c r="AE211" s="26"/>
      <c r="AF211" s="16"/>
      <c r="AG211" s="26"/>
      <c r="AH211" s="16"/>
      <c r="AI211" s="26"/>
      <c r="AJ211" s="16"/>
      <c r="AK211" s="26"/>
      <c r="AL211" s="16"/>
      <c r="AM211" s="26"/>
      <c r="AN211" s="16"/>
      <c r="AO211" s="26"/>
      <c r="AP211" s="16"/>
      <c r="AQ211" s="26"/>
      <c r="AR211" s="16"/>
      <c r="AS211" s="26"/>
      <c r="AT211" s="16"/>
      <c r="AU211" s="26"/>
      <c r="AV211" s="16"/>
      <c r="AW211" s="26"/>
      <c r="AX211" s="16"/>
      <c r="AY211" s="26"/>
      <c r="AZ211" s="16"/>
      <c r="BA211" s="26"/>
      <c r="BB211" s="16"/>
      <c r="BC211" s="26"/>
      <c r="BD211" s="16"/>
      <c r="BE211" s="26"/>
      <c r="BF211" s="16"/>
      <c r="BG211" s="26"/>
      <c r="BH211" s="16"/>
      <c r="BI211" s="26"/>
      <c r="BJ211" s="16"/>
    </row>
    <row r="212" ht="21.75" customHeight="1">
      <c r="A212" s="1"/>
      <c r="B212" s="11" t="s">
        <v>232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</row>
    <row r="213" ht="18.0" customHeight="1">
      <c r="A213" s="1"/>
      <c r="B213" s="13" t="s">
        <v>233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</row>
    <row r="214" ht="18.0" customHeight="1">
      <c r="A214" s="1"/>
      <c r="B214" s="13" t="s">
        <v>234</v>
      </c>
      <c r="C214" s="26"/>
      <c r="D214" s="16"/>
      <c r="E214" s="26"/>
      <c r="F214" s="16"/>
      <c r="G214" s="26"/>
      <c r="H214" s="16"/>
      <c r="I214" s="26"/>
      <c r="J214" s="16"/>
      <c r="K214" s="26"/>
      <c r="L214" s="16"/>
      <c r="M214" s="26"/>
      <c r="N214" s="16"/>
      <c r="O214" s="26"/>
      <c r="P214" s="16"/>
      <c r="Q214" s="26"/>
      <c r="R214" s="16"/>
      <c r="S214" s="26"/>
      <c r="T214" s="16"/>
      <c r="U214" s="26"/>
      <c r="V214" s="16"/>
      <c r="W214" s="26"/>
      <c r="X214" s="16"/>
      <c r="Y214" s="26"/>
      <c r="Z214" s="16"/>
      <c r="AA214" s="26"/>
      <c r="AB214" s="16"/>
      <c r="AC214" s="26"/>
      <c r="AD214" s="16"/>
      <c r="AE214" s="26"/>
      <c r="AF214" s="16"/>
      <c r="AG214" s="26"/>
      <c r="AH214" s="16"/>
      <c r="AI214" s="26"/>
      <c r="AJ214" s="16"/>
      <c r="AK214" s="26"/>
      <c r="AL214" s="16"/>
      <c r="AM214" s="26"/>
      <c r="AN214" s="16"/>
      <c r="AO214" s="26"/>
      <c r="AP214" s="16"/>
      <c r="AQ214" s="26"/>
      <c r="AR214" s="16"/>
      <c r="AS214" s="26"/>
      <c r="AT214" s="16"/>
      <c r="AU214" s="26"/>
      <c r="AV214" s="16"/>
      <c r="AW214" s="26"/>
      <c r="AX214" s="16"/>
      <c r="AY214" s="26"/>
      <c r="AZ214" s="16"/>
      <c r="BA214" s="26"/>
      <c r="BB214" s="16"/>
      <c r="BC214" s="26"/>
      <c r="BD214" s="16"/>
      <c r="BE214" s="26"/>
      <c r="BF214" s="16"/>
      <c r="BG214" s="26"/>
      <c r="BH214" s="16"/>
      <c r="BI214" s="26"/>
      <c r="BJ214" s="16"/>
    </row>
    <row r="215" ht="18.0" customHeight="1">
      <c r="A215" s="1"/>
      <c r="B215" s="13" t="s">
        <v>235</v>
      </c>
      <c r="C215" s="26"/>
      <c r="D215" s="16"/>
      <c r="E215" s="26"/>
      <c r="F215" s="16"/>
      <c r="G215" s="26"/>
      <c r="H215" s="16"/>
      <c r="I215" s="26"/>
      <c r="J215" s="16"/>
      <c r="K215" s="26"/>
      <c r="L215" s="16"/>
      <c r="M215" s="26"/>
      <c r="N215" s="16"/>
      <c r="O215" s="26"/>
      <c r="P215" s="16"/>
      <c r="Q215" s="26"/>
      <c r="R215" s="16"/>
      <c r="S215" s="26"/>
      <c r="T215" s="16"/>
      <c r="U215" s="26"/>
      <c r="V215" s="16"/>
      <c r="W215" s="26"/>
      <c r="X215" s="16"/>
      <c r="Y215" s="26"/>
      <c r="Z215" s="16"/>
      <c r="AA215" s="26"/>
      <c r="AB215" s="16"/>
      <c r="AC215" s="26"/>
      <c r="AD215" s="16"/>
      <c r="AE215" s="26"/>
      <c r="AF215" s="16"/>
      <c r="AG215" s="26"/>
      <c r="AH215" s="16"/>
      <c r="AI215" s="26"/>
      <c r="AJ215" s="16"/>
      <c r="AK215" s="26"/>
      <c r="AL215" s="16"/>
      <c r="AM215" s="26"/>
      <c r="AN215" s="16"/>
      <c r="AO215" s="26"/>
      <c r="AP215" s="16"/>
      <c r="AQ215" s="26"/>
      <c r="AR215" s="16"/>
      <c r="AS215" s="26"/>
      <c r="AT215" s="16"/>
      <c r="AU215" s="26"/>
      <c r="AV215" s="16"/>
      <c r="AW215" s="26"/>
      <c r="AX215" s="16"/>
      <c r="AY215" s="26"/>
      <c r="AZ215" s="16"/>
      <c r="BA215" s="26"/>
      <c r="BB215" s="16"/>
      <c r="BC215" s="26"/>
      <c r="BD215" s="16"/>
      <c r="BE215" s="26"/>
      <c r="BF215" s="16"/>
      <c r="BG215" s="26"/>
      <c r="BH215" s="16"/>
      <c r="BI215" s="26"/>
      <c r="BJ215" s="16"/>
    </row>
    <row r="216" ht="18.0" customHeight="1">
      <c r="A216" s="1"/>
      <c r="B216" s="13" t="s">
        <v>236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</row>
    <row r="217" ht="18.0" customHeight="1">
      <c r="A217" s="1"/>
      <c r="B217" s="13" t="s">
        <v>237</v>
      </c>
      <c r="C217" s="26"/>
      <c r="D217" s="16"/>
      <c r="E217" s="26"/>
      <c r="F217" s="16"/>
      <c r="G217" s="26"/>
      <c r="H217" s="16"/>
      <c r="I217" s="26"/>
      <c r="J217" s="16"/>
      <c r="K217" s="26"/>
      <c r="L217" s="16"/>
      <c r="M217" s="26"/>
      <c r="N217" s="16"/>
      <c r="O217" s="26"/>
      <c r="P217" s="16"/>
      <c r="Q217" s="26"/>
      <c r="R217" s="16"/>
      <c r="S217" s="26"/>
      <c r="T217" s="16"/>
      <c r="U217" s="26"/>
      <c r="V217" s="16"/>
      <c r="W217" s="26"/>
      <c r="X217" s="16"/>
      <c r="Y217" s="26"/>
      <c r="Z217" s="16"/>
      <c r="AA217" s="26"/>
      <c r="AB217" s="16"/>
      <c r="AC217" s="26"/>
      <c r="AD217" s="16"/>
      <c r="AE217" s="26"/>
      <c r="AF217" s="16"/>
      <c r="AG217" s="26"/>
      <c r="AH217" s="16"/>
      <c r="AI217" s="26"/>
      <c r="AJ217" s="16"/>
      <c r="AK217" s="26"/>
      <c r="AL217" s="16"/>
      <c r="AM217" s="26"/>
      <c r="AN217" s="16"/>
      <c r="AO217" s="26"/>
      <c r="AP217" s="16"/>
      <c r="AQ217" s="26"/>
      <c r="AR217" s="16"/>
      <c r="AS217" s="26"/>
      <c r="AT217" s="16"/>
      <c r="AU217" s="26"/>
      <c r="AV217" s="16"/>
      <c r="AW217" s="26"/>
      <c r="AX217" s="16"/>
      <c r="AY217" s="26"/>
      <c r="AZ217" s="16"/>
      <c r="BA217" s="26"/>
      <c r="BB217" s="16"/>
      <c r="BC217" s="26"/>
      <c r="BD217" s="16"/>
      <c r="BE217" s="26"/>
      <c r="BF217" s="16"/>
      <c r="BG217" s="26"/>
      <c r="BH217" s="16"/>
      <c r="BI217" s="26"/>
      <c r="BJ217" s="16"/>
    </row>
    <row r="218" ht="18.0" customHeight="1">
      <c r="A218" s="1"/>
      <c r="B218" s="13" t="s">
        <v>238</v>
      </c>
      <c r="C218" s="26"/>
      <c r="D218" s="16"/>
      <c r="E218" s="26"/>
      <c r="F218" s="16"/>
      <c r="G218" s="26"/>
      <c r="H218" s="16"/>
      <c r="I218" s="26"/>
      <c r="J218" s="16"/>
      <c r="K218" s="26"/>
      <c r="L218" s="16"/>
      <c r="M218" s="26"/>
      <c r="N218" s="16"/>
      <c r="O218" s="26"/>
      <c r="P218" s="16"/>
      <c r="Q218" s="26"/>
      <c r="R218" s="16"/>
      <c r="S218" s="26"/>
      <c r="T218" s="16"/>
      <c r="U218" s="26"/>
      <c r="V218" s="16"/>
      <c r="W218" s="26"/>
      <c r="X218" s="16"/>
      <c r="Y218" s="26"/>
      <c r="Z218" s="16"/>
      <c r="AA218" s="26"/>
      <c r="AB218" s="16"/>
      <c r="AC218" s="26"/>
      <c r="AD218" s="16"/>
      <c r="AE218" s="26"/>
      <c r="AF218" s="16"/>
      <c r="AG218" s="26"/>
      <c r="AH218" s="16"/>
      <c r="AI218" s="26"/>
      <c r="AJ218" s="16"/>
      <c r="AK218" s="26"/>
      <c r="AL218" s="16"/>
      <c r="AM218" s="26"/>
      <c r="AN218" s="16"/>
      <c r="AO218" s="26"/>
      <c r="AP218" s="16"/>
      <c r="AQ218" s="26"/>
      <c r="AR218" s="16"/>
      <c r="AS218" s="26"/>
      <c r="AT218" s="16"/>
      <c r="AU218" s="26"/>
      <c r="AV218" s="16"/>
      <c r="AW218" s="26"/>
      <c r="AX218" s="16"/>
      <c r="AY218" s="26"/>
      <c r="AZ218" s="16"/>
      <c r="BA218" s="26"/>
      <c r="BB218" s="16"/>
      <c r="BC218" s="26"/>
      <c r="BD218" s="16"/>
      <c r="BE218" s="26"/>
      <c r="BF218" s="16"/>
      <c r="BG218" s="26"/>
      <c r="BH218" s="16"/>
      <c r="BI218" s="26"/>
      <c r="BJ218" s="16"/>
    </row>
    <row r="219" ht="21.75" customHeight="1">
      <c r="A219" s="1"/>
      <c r="B219" s="11" t="s">
        <v>239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</row>
    <row r="220" ht="18.0" customHeight="1">
      <c r="A220" s="1"/>
      <c r="B220" s="13" t="s">
        <v>240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</row>
    <row r="221" ht="18.0" customHeight="1">
      <c r="A221" s="1"/>
      <c r="B221" s="13" t="s">
        <v>241</v>
      </c>
      <c r="C221" s="26"/>
      <c r="D221" s="16"/>
      <c r="E221" s="26"/>
      <c r="F221" s="16"/>
      <c r="G221" s="26"/>
      <c r="H221" s="16"/>
      <c r="I221" s="26"/>
      <c r="J221" s="16"/>
      <c r="K221" s="26"/>
      <c r="L221" s="16"/>
      <c r="M221" s="26"/>
      <c r="N221" s="16"/>
      <c r="O221" s="26"/>
      <c r="P221" s="16"/>
      <c r="Q221" s="26"/>
      <c r="R221" s="16"/>
      <c r="S221" s="26"/>
      <c r="T221" s="16"/>
      <c r="U221" s="26"/>
      <c r="V221" s="16"/>
      <c r="W221" s="26"/>
      <c r="X221" s="16"/>
      <c r="Y221" s="26"/>
      <c r="Z221" s="16"/>
      <c r="AA221" s="26"/>
      <c r="AB221" s="16"/>
      <c r="AC221" s="26"/>
      <c r="AD221" s="16"/>
      <c r="AE221" s="26"/>
      <c r="AF221" s="16"/>
      <c r="AG221" s="26"/>
      <c r="AH221" s="16"/>
      <c r="AI221" s="26"/>
      <c r="AJ221" s="16"/>
      <c r="AK221" s="26"/>
      <c r="AL221" s="16"/>
      <c r="AM221" s="26"/>
      <c r="AN221" s="16"/>
      <c r="AO221" s="26"/>
      <c r="AP221" s="16"/>
      <c r="AQ221" s="26"/>
      <c r="AR221" s="16"/>
      <c r="AS221" s="26"/>
      <c r="AT221" s="16"/>
      <c r="AU221" s="26"/>
      <c r="AV221" s="16"/>
      <c r="AW221" s="26"/>
      <c r="AX221" s="16"/>
      <c r="AY221" s="26"/>
      <c r="AZ221" s="16"/>
      <c r="BA221" s="26"/>
      <c r="BB221" s="16"/>
      <c r="BC221" s="26"/>
      <c r="BD221" s="16"/>
      <c r="BE221" s="26"/>
      <c r="BF221" s="16"/>
      <c r="BG221" s="26"/>
      <c r="BH221" s="16"/>
      <c r="BI221" s="26"/>
      <c r="BJ221" s="16"/>
    </row>
    <row r="222" ht="18.0" customHeight="1">
      <c r="A222" s="1"/>
      <c r="B222" s="13" t="s">
        <v>242</v>
      </c>
      <c r="C222" s="26"/>
      <c r="D222" s="16"/>
      <c r="E222" s="26"/>
      <c r="F222" s="16"/>
      <c r="G222" s="26"/>
      <c r="H222" s="16"/>
      <c r="I222" s="26"/>
      <c r="J222" s="16"/>
      <c r="K222" s="26"/>
      <c r="L222" s="16"/>
      <c r="M222" s="26"/>
      <c r="N222" s="16"/>
      <c r="O222" s="26"/>
      <c r="P222" s="16"/>
      <c r="Q222" s="26"/>
      <c r="R222" s="16"/>
      <c r="S222" s="26"/>
      <c r="T222" s="16"/>
      <c r="U222" s="26"/>
      <c r="V222" s="16"/>
      <c r="W222" s="26"/>
      <c r="X222" s="16"/>
      <c r="Y222" s="26"/>
      <c r="Z222" s="16"/>
      <c r="AA222" s="26"/>
      <c r="AB222" s="16"/>
      <c r="AC222" s="26"/>
      <c r="AD222" s="16"/>
      <c r="AE222" s="26"/>
      <c r="AF222" s="16"/>
      <c r="AG222" s="26"/>
      <c r="AH222" s="16"/>
      <c r="AI222" s="26"/>
      <c r="AJ222" s="16"/>
      <c r="AK222" s="26"/>
      <c r="AL222" s="16"/>
      <c r="AM222" s="26"/>
      <c r="AN222" s="16"/>
      <c r="AO222" s="26"/>
      <c r="AP222" s="16"/>
      <c r="AQ222" s="26"/>
      <c r="AR222" s="16"/>
      <c r="AS222" s="26"/>
      <c r="AT222" s="16"/>
      <c r="AU222" s="26"/>
      <c r="AV222" s="16"/>
      <c r="AW222" s="26"/>
      <c r="AX222" s="16"/>
      <c r="AY222" s="26"/>
      <c r="AZ222" s="16"/>
      <c r="BA222" s="26"/>
      <c r="BB222" s="16"/>
      <c r="BC222" s="26"/>
      <c r="BD222" s="16"/>
      <c r="BE222" s="26"/>
      <c r="BF222" s="16"/>
      <c r="BG222" s="26"/>
      <c r="BH222" s="16"/>
      <c r="BI222" s="26"/>
      <c r="BJ222" s="16"/>
    </row>
    <row r="223" ht="18.0" customHeight="1">
      <c r="A223" s="1"/>
      <c r="B223" s="13" t="s">
        <v>243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</row>
    <row r="224" ht="18.0" customHeight="1">
      <c r="A224" s="1"/>
      <c r="B224" s="13" t="s">
        <v>244</v>
      </c>
      <c r="C224" s="26"/>
      <c r="D224" s="16"/>
      <c r="E224" s="26"/>
      <c r="F224" s="16"/>
      <c r="G224" s="26"/>
      <c r="H224" s="16"/>
      <c r="I224" s="26"/>
      <c r="J224" s="16"/>
      <c r="K224" s="26"/>
      <c r="L224" s="16"/>
      <c r="M224" s="26"/>
      <c r="N224" s="16"/>
      <c r="O224" s="26"/>
      <c r="P224" s="16"/>
      <c r="Q224" s="26"/>
      <c r="R224" s="16"/>
      <c r="S224" s="26"/>
      <c r="T224" s="16"/>
      <c r="U224" s="26"/>
      <c r="V224" s="16"/>
      <c r="W224" s="26"/>
      <c r="X224" s="16"/>
      <c r="Y224" s="26"/>
      <c r="Z224" s="16"/>
      <c r="AA224" s="26"/>
      <c r="AB224" s="16"/>
      <c r="AC224" s="26"/>
      <c r="AD224" s="16"/>
      <c r="AE224" s="26"/>
      <c r="AF224" s="16"/>
      <c r="AG224" s="26"/>
      <c r="AH224" s="16"/>
      <c r="AI224" s="26"/>
      <c r="AJ224" s="16"/>
      <c r="AK224" s="26"/>
      <c r="AL224" s="16"/>
      <c r="AM224" s="26"/>
      <c r="AN224" s="16"/>
      <c r="AO224" s="26"/>
      <c r="AP224" s="16"/>
      <c r="AQ224" s="26"/>
      <c r="AR224" s="16"/>
      <c r="AS224" s="26"/>
      <c r="AT224" s="16"/>
      <c r="AU224" s="26"/>
      <c r="AV224" s="16"/>
      <c r="AW224" s="26"/>
      <c r="AX224" s="16"/>
      <c r="AY224" s="26"/>
      <c r="AZ224" s="16"/>
      <c r="BA224" s="26"/>
      <c r="BB224" s="16"/>
      <c r="BC224" s="26"/>
      <c r="BD224" s="16"/>
      <c r="BE224" s="26"/>
      <c r="BF224" s="16"/>
      <c r="BG224" s="26"/>
      <c r="BH224" s="16"/>
      <c r="BI224" s="26"/>
      <c r="BJ224" s="16"/>
    </row>
    <row r="225" ht="18.0" customHeight="1">
      <c r="A225" s="1"/>
      <c r="B225" s="13" t="s">
        <v>245</v>
      </c>
      <c r="C225" s="26"/>
      <c r="D225" s="16"/>
      <c r="E225" s="26"/>
      <c r="F225" s="16"/>
      <c r="G225" s="26"/>
      <c r="H225" s="16"/>
      <c r="I225" s="26"/>
      <c r="J225" s="16"/>
      <c r="K225" s="26"/>
      <c r="L225" s="16"/>
      <c r="M225" s="26"/>
      <c r="N225" s="16"/>
      <c r="O225" s="26"/>
      <c r="P225" s="16"/>
      <c r="Q225" s="26"/>
      <c r="R225" s="16"/>
      <c r="S225" s="26"/>
      <c r="T225" s="16"/>
      <c r="U225" s="26"/>
      <c r="V225" s="16"/>
      <c r="W225" s="26"/>
      <c r="X225" s="16"/>
      <c r="Y225" s="26"/>
      <c r="Z225" s="16"/>
      <c r="AA225" s="26"/>
      <c r="AB225" s="16"/>
      <c r="AC225" s="26"/>
      <c r="AD225" s="16"/>
      <c r="AE225" s="26"/>
      <c r="AF225" s="16"/>
      <c r="AG225" s="26"/>
      <c r="AH225" s="16"/>
      <c r="AI225" s="26"/>
      <c r="AJ225" s="16"/>
      <c r="AK225" s="26"/>
      <c r="AL225" s="16"/>
      <c r="AM225" s="26"/>
      <c r="AN225" s="16"/>
      <c r="AO225" s="26"/>
      <c r="AP225" s="16"/>
      <c r="AQ225" s="26"/>
      <c r="AR225" s="16"/>
      <c r="AS225" s="26"/>
      <c r="AT225" s="16"/>
      <c r="AU225" s="26"/>
      <c r="AV225" s="16"/>
      <c r="AW225" s="26"/>
      <c r="AX225" s="16"/>
      <c r="AY225" s="26"/>
      <c r="AZ225" s="16"/>
      <c r="BA225" s="26"/>
      <c r="BB225" s="16"/>
      <c r="BC225" s="26"/>
      <c r="BD225" s="16"/>
      <c r="BE225" s="26"/>
      <c r="BF225" s="16"/>
      <c r="BG225" s="26"/>
      <c r="BH225" s="16"/>
      <c r="BI225" s="26"/>
      <c r="BJ225" s="16"/>
    </row>
    <row r="226" ht="18.0" customHeight="1">
      <c r="A226" s="1"/>
      <c r="B226" s="13" t="s">
        <v>246</v>
      </c>
      <c r="C226" s="26"/>
      <c r="D226" s="16"/>
      <c r="E226" s="26"/>
      <c r="F226" s="16"/>
      <c r="G226" s="26"/>
      <c r="H226" s="16"/>
      <c r="I226" s="26"/>
      <c r="J226" s="16"/>
      <c r="K226" s="26"/>
      <c r="L226" s="16"/>
      <c r="M226" s="26"/>
      <c r="N226" s="16"/>
      <c r="O226" s="26"/>
      <c r="P226" s="16"/>
      <c r="Q226" s="26"/>
      <c r="R226" s="16"/>
      <c r="S226" s="26"/>
      <c r="T226" s="16"/>
      <c r="U226" s="26"/>
      <c r="V226" s="16"/>
      <c r="W226" s="26"/>
      <c r="X226" s="16"/>
      <c r="Y226" s="26"/>
      <c r="Z226" s="16"/>
      <c r="AA226" s="26"/>
      <c r="AB226" s="16"/>
      <c r="AC226" s="26"/>
      <c r="AD226" s="16"/>
      <c r="AE226" s="26"/>
      <c r="AF226" s="16"/>
      <c r="AG226" s="26"/>
      <c r="AH226" s="16"/>
      <c r="AI226" s="26"/>
      <c r="AJ226" s="16"/>
      <c r="AK226" s="26"/>
      <c r="AL226" s="16"/>
      <c r="AM226" s="26"/>
      <c r="AN226" s="16"/>
      <c r="AO226" s="26"/>
      <c r="AP226" s="16"/>
      <c r="AQ226" s="26"/>
      <c r="AR226" s="16"/>
      <c r="AS226" s="26"/>
      <c r="AT226" s="16"/>
      <c r="AU226" s="26"/>
      <c r="AV226" s="16"/>
      <c r="AW226" s="26"/>
      <c r="AX226" s="16"/>
      <c r="AY226" s="26"/>
      <c r="AZ226" s="16"/>
      <c r="BA226" s="26"/>
      <c r="BB226" s="16"/>
      <c r="BC226" s="26"/>
      <c r="BD226" s="16"/>
      <c r="BE226" s="26"/>
      <c r="BF226" s="16"/>
      <c r="BG226" s="26"/>
      <c r="BH226" s="16"/>
      <c r="BI226" s="26"/>
      <c r="BJ226" s="16"/>
    </row>
    <row r="227" ht="21.75" customHeight="1">
      <c r="A227" s="1"/>
      <c r="B227" s="11" t="s">
        <v>247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</row>
    <row r="228" ht="18.0" customHeight="1">
      <c r="A228" s="1"/>
      <c r="B228" s="13" t="s">
        <v>248</v>
      </c>
      <c r="C228" s="26"/>
      <c r="D228" s="16"/>
      <c r="E228" s="26"/>
      <c r="F228" s="16"/>
      <c r="G228" s="26"/>
      <c r="H228" s="16"/>
      <c r="I228" s="26"/>
      <c r="J228" s="16"/>
      <c r="K228" s="26"/>
      <c r="L228" s="16"/>
      <c r="M228" s="26"/>
      <c r="N228" s="16"/>
      <c r="O228" s="26"/>
      <c r="P228" s="16"/>
      <c r="Q228" s="26"/>
      <c r="R228" s="16"/>
      <c r="S228" s="26"/>
      <c r="T228" s="16"/>
      <c r="U228" s="26"/>
      <c r="V228" s="16"/>
      <c r="W228" s="26"/>
      <c r="X228" s="16"/>
      <c r="Y228" s="26"/>
      <c r="Z228" s="16"/>
      <c r="AA228" s="26"/>
      <c r="AB228" s="16"/>
      <c r="AC228" s="26"/>
      <c r="AD228" s="16"/>
      <c r="AE228" s="26"/>
      <c r="AF228" s="16"/>
      <c r="AG228" s="26"/>
      <c r="AH228" s="16"/>
      <c r="AI228" s="26"/>
      <c r="AJ228" s="16"/>
      <c r="AK228" s="26"/>
      <c r="AL228" s="16"/>
      <c r="AM228" s="26"/>
      <c r="AN228" s="16"/>
      <c r="AO228" s="26"/>
      <c r="AP228" s="16"/>
      <c r="AQ228" s="26"/>
      <c r="AR228" s="16"/>
      <c r="AS228" s="26"/>
      <c r="AT228" s="16"/>
      <c r="AU228" s="26"/>
      <c r="AV228" s="16"/>
      <c r="AW228" s="26"/>
      <c r="AX228" s="16"/>
      <c r="AY228" s="26"/>
      <c r="AZ228" s="16"/>
      <c r="BA228" s="26"/>
      <c r="BB228" s="16"/>
      <c r="BC228" s="26"/>
      <c r="BD228" s="16"/>
      <c r="BE228" s="26"/>
      <c r="BF228" s="16"/>
      <c r="BG228" s="26"/>
      <c r="BH228" s="16"/>
      <c r="BI228" s="26"/>
      <c r="BJ228" s="16"/>
    </row>
    <row r="229" ht="18.0" customHeight="1">
      <c r="A229" s="1"/>
      <c r="B229" s="13" t="s">
        <v>249</v>
      </c>
      <c r="C229" s="26"/>
      <c r="D229" s="16"/>
      <c r="E229" s="26"/>
      <c r="F229" s="16"/>
      <c r="G229" s="26"/>
      <c r="H229" s="16"/>
      <c r="I229" s="26"/>
      <c r="J229" s="16"/>
      <c r="K229" s="26"/>
      <c r="L229" s="16"/>
      <c r="M229" s="26"/>
      <c r="N229" s="16"/>
      <c r="O229" s="26"/>
      <c r="P229" s="16"/>
      <c r="Q229" s="26"/>
      <c r="R229" s="16"/>
      <c r="S229" s="26"/>
      <c r="T229" s="16"/>
      <c r="U229" s="26"/>
      <c r="V229" s="16"/>
      <c r="W229" s="26"/>
      <c r="X229" s="16"/>
      <c r="Y229" s="26"/>
      <c r="Z229" s="16"/>
      <c r="AA229" s="26"/>
      <c r="AB229" s="16"/>
      <c r="AC229" s="26"/>
      <c r="AD229" s="16"/>
      <c r="AE229" s="26"/>
      <c r="AF229" s="16"/>
      <c r="AG229" s="26"/>
      <c r="AH229" s="16"/>
      <c r="AI229" s="26"/>
      <c r="AJ229" s="16"/>
      <c r="AK229" s="26"/>
      <c r="AL229" s="16"/>
      <c r="AM229" s="26"/>
      <c r="AN229" s="16"/>
      <c r="AO229" s="26"/>
      <c r="AP229" s="16"/>
      <c r="AQ229" s="26"/>
      <c r="AR229" s="16"/>
      <c r="AS229" s="26"/>
      <c r="AT229" s="16"/>
      <c r="AU229" s="26"/>
      <c r="AV229" s="16"/>
      <c r="AW229" s="26"/>
      <c r="AX229" s="16"/>
      <c r="AY229" s="26"/>
      <c r="AZ229" s="16"/>
      <c r="BA229" s="26"/>
      <c r="BB229" s="16"/>
      <c r="BC229" s="26"/>
      <c r="BD229" s="16"/>
      <c r="BE229" s="26"/>
      <c r="BF229" s="16"/>
      <c r="BG229" s="26"/>
      <c r="BH229" s="16"/>
      <c r="BI229" s="26"/>
      <c r="BJ229" s="16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</sheetData>
  <mergeCells count="62">
    <mergeCell ref="AS6:AT6"/>
    <mergeCell ref="AU6:AV6"/>
    <mergeCell ref="AE6:AF6"/>
    <mergeCell ref="AG6:AH6"/>
    <mergeCell ref="AI6:AJ6"/>
    <mergeCell ref="AK6:AL6"/>
    <mergeCell ref="AM6:AN6"/>
    <mergeCell ref="AO6:AP6"/>
    <mergeCell ref="AQ6:AR6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BC5:BD5"/>
    <mergeCell ref="BE5:BF5"/>
    <mergeCell ref="BG5:BH5"/>
    <mergeCell ref="BI5:BJ5"/>
    <mergeCell ref="B2:F2"/>
    <mergeCell ref="B3:F3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W6:AX6"/>
    <mergeCell ref="AY6:AZ6"/>
    <mergeCell ref="BA6:BB6"/>
    <mergeCell ref="BC6:BD6"/>
    <mergeCell ref="BE6:BF6"/>
    <mergeCell ref="BG6:BH6"/>
    <mergeCell ref="BI6:BJ6"/>
    <mergeCell ref="AO5:AP5"/>
    <mergeCell ref="AQ5:AR5"/>
    <mergeCell ref="AS5:AT5"/>
    <mergeCell ref="AU5:AV5"/>
    <mergeCell ref="AW5:AX5"/>
    <mergeCell ref="AY5:AZ5"/>
    <mergeCell ref="BA5:BB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11.0"/>
    <col customWidth="1" min="4" max="4" width="8.71"/>
    <col customWidth="1" min="5" max="5" width="11.0"/>
    <col customWidth="1" min="6" max="6" width="8.71"/>
    <col customWidth="1" min="7" max="7" width="11.0"/>
    <col customWidth="1" min="8" max="8" width="8.71"/>
    <col customWidth="1" min="9" max="9" width="11.0"/>
    <col customWidth="1" min="10" max="10" width="8.71"/>
    <col customWidth="1" min="11" max="11" width="11.0"/>
    <col customWidth="1" min="12" max="12" width="8.71"/>
    <col customWidth="1" min="13" max="13" width="11.0"/>
    <col customWidth="1" min="14" max="14" width="8.71"/>
    <col customWidth="1" min="15" max="15" width="11.0"/>
    <col customWidth="1" min="16" max="16" width="8.71"/>
    <col customWidth="1" min="17" max="17" width="11.0"/>
    <col customWidth="1" min="18" max="18" width="8.71"/>
    <col customWidth="1" min="19" max="19" width="11.0"/>
    <col customWidth="1" min="20" max="20" width="8.71"/>
    <col customWidth="1" min="21" max="21" width="11.0"/>
    <col customWidth="1" min="22" max="22" width="8.71"/>
    <col customWidth="1" min="23" max="23" width="11.0"/>
    <col customWidth="1" min="24" max="24" width="8.71"/>
    <col customWidth="1" min="25" max="25" width="11.0"/>
    <col customWidth="1" min="26" max="26" width="8.71"/>
    <col customWidth="1" min="27" max="27" width="11.0"/>
    <col customWidth="1" min="28" max="28" width="8.71"/>
    <col customWidth="1" min="29" max="29" width="11.0"/>
    <col customWidth="1" min="30" max="30" width="8.71"/>
    <col customWidth="1" min="31" max="31" width="11.0"/>
    <col customWidth="1" min="32" max="32" width="8.71"/>
    <col customWidth="1" min="33" max="33" width="11.0"/>
    <col customWidth="1" min="34" max="34" width="8.71"/>
    <col customWidth="1" min="35" max="35" width="11.0"/>
    <col customWidth="1" min="36" max="36" width="8.71"/>
    <col customWidth="1" min="37" max="37" width="11.0"/>
    <col customWidth="1" min="38" max="38" width="8.71"/>
    <col customWidth="1" min="39" max="39" width="11.0"/>
    <col customWidth="1" min="40" max="40" width="8.71"/>
    <col customWidth="1" min="41" max="41" width="11.0"/>
    <col customWidth="1" min="42" max="42" width="8.71"/>
    <col customWidth="1" min="43" max="43" width="11.0"/>
    <col customWidth="1" min="44" max="44" width="8.71"/>
    <col customWidth="1" min="45" max="45" width="11.0"/>
    <col customWidth="1" min="46" max="46" width="8.71"/>
    <col customWidth="1" min="47" max="47" width="11.0"/>
    <col customWidth="1" min="48" max="48" width="8.71"/>
    <col customWidth="1" min="49" max="49" width="11.0"/>
    <col customWidth="1" min="50" max="50" width="8.71"/>
    <col customWidth="1" min="51" max="51" width="11.0"/>
    <col customWidth="1" min="52" max="52" width="8.71"/>
    <col customWidth="1" min="53" max="53" width="11.0"/>
    <col customWidth="1" min="54" max="54" width="8.71"/>
    <col customWidth="1" min="55" max="55" width="11.0"/>
    <col customWidth="1" min="56" max="56" width="8.71"/>
    <col customWidth="1" min="57" max="57" width="11.0"/>
    <col customWidth="1" min="58" max="58" width="8.71"/>
    <col customWidth="1" min="59" max="59" width="11.0"/>
    <col customWidth="1" min="60" max="60" width="8.71"/>
    <col customWidth="1" min="61" max="61" width="11.0"/>
  </cols>
  <sheetData>
    <row r="1">
      <c r="A1" s="1"/>
      <c r="B1" s="1"/>
      <c r="C1" s="1"/>
      <c r="E1" s="1"/>
      <c r="G1" s="1"/>
      <c r="I1" s="1"/>
      <c r="K1" s="1"/>
      <c r="M1" s="1"/>
      <c r="O1" s="1"/>
      <c r="Q1" s="1"/>
      <c r="S1" s="1"/>
      <c r="U1" s="1"/>
      <c r="W1" s="1"/>
      <c r="Y1" s="1"/>
      <c r="AA1" s="1"/>
      <c r="AC1" s="1"/>
      <c r="AE1" s="1"/>
      <c r="AG1" s="1"/>
      <c r="AI1" s="1"/>
      <c r="AK1" s="1"/>
      <c r="AM1" s="1"/>
      <c r="AO1" s="1"/>
      <c r="AQ1" s="1"/>
      <c r="AS1" s="1"/>
      <c r="AU1" s="1"/>
      <c r="AW1" s="1"/>
      <c r="AY1" s="1"/>
      <c r="BA1" s="1"/>
      <c r="BC1" s="1"/>
      <c r="BE1" s="1"/>
      <c r="BG1" s="1"/>
      <c r="BI1" s="1"/>
    </row>
    <row r="2" ht="27.75" customHeight="1">
      <c r="A2" s="1"/>
      <c r="B2" s="17" t="s">
        <v>359</v>
      </c>
      <c r="G2" s="1"/>
      <c r="I2" s="1"/>
      <c r="K2" s="1"/>
      <c r="M2" s="1"/>
      <c r="O2" s="1"/>
      <c r="Q2" s="1"/>
      <c r="S2" s="1"/>
      <c r="U2" s="1"/>
      <c r="W2" s="1"/>
      <c r="Y2" s="1"/>
      <c r="AA2" s="1"/>
      <c r="AC2" s="1"/>
      <c r="AE2" s="1"/>
      <c r="AG2" s="1"/>
      <c r="AI2" s="1"/>
      <c r="AK2" s="1"/>
      <c r="AM2" s="1"/>
      <c r="AO2" s="1"/>
      <c r="AQ2" s="1"/>
      <c r="AS2" s="1"/>
      <c r="AU2" s="1"/>
      <c r="AW2" s="1"/>
      <c r="AY2" s="1"/>
      <c r="BA2" s="1"/>
      <c r="BC2" s="1"/>
      <c r="BE2" s="1"/>
      <c r="BG2" s="1"/>
      <c r="BI2" s="1"/>
    </row>
    <row r="3">
      <c r="A3" s="1"/>
      <c r="B3" s="1"/>
      <c r="C3" s="1"/>
      <c r="E3" s="1"/>
      <c r="G3" s="1"/>
      <c r="I3" s="1"/>
      <c r="K3" s="1"/>
      <c r="M3" s="1"/>
      <c r="O3" s="1"/>
      <c r="Q3" s="1"/>
      <c r="S3" s="1"/>
      <c r="U3" s="1"/>
      <c r="W3" s="1"/>
      <c r="Y3" s="1"/>
      <c r="AA3" s="1"/>
      <c r="AC3" s="1"/>
      <c r="AE3" s="1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  <c r="BC3" s="1"/>
      <c r="BE3" s="1"/>
      <c r="BG3" s="1"/>
      <c r="BI3" s="1"/>
    </row>
    <row r="4">
      <c r="A4" s="1"/>
      <c r="B4" s="1"/>
      <c r="C4" s="1"/>
      <c r="E4" s="1"/>
      <c r="G4" s="1"/>
      <c r="I4" s="1"/>
      <c r="K4" s="1"/>
      <c r="M4" s="1"/>
      <c r="O4" s="1"/>
      <c r="Q4" s="1"/>
      <c r="S4" s="1"/>
      <c r="U4" s="1"/>
      <c r="W4" s="1"/>
      <c r="Y4" s="1"/>
      <c r="AA4" s="1"/>
      <c r="AC4" s="1"/>
      <c r="AE4" s="1"/>
      <c r="AG4" s="1"/>
      <c r="AI4" s="1"/>
      <c r="AK4" s="1"/>
      <c r="AM4" s="1"/>
      <c r="AO4" s="1"/>
      <c r="AQ4" s="1"/>
      <c r="AS4" s="1"/>
      <c r="AU4" s="1"/>
      <c r="AW4" s="1"/>
      <c r="AY4" s="1"/>
      <c r="BA4" s="1"/>
      <c r="BC4" s="1"/>
      <c r="BE4" s="1"/>
      <c r="BG4" s="1"/>
      <c r="BI4" s="1"/>
    </row>
    <row r="5" ht="27.75" customHeight="1">
      <c r="A5" s="1"/>
      <c r="B5" s="19" t="s">
        <v>252</v>
      </c>
      <c r="C5" s="27" t="str">
        <f>'Raw data'!C6</f>
        <v>Matt</v>
      </c>
      <c r="E5" s="27" t="str">
        <f>'Raw data'!E6</f>
        <v>Fer</v>
      </c>
      <c r="G5" s="27" t="str">
        <f>'Raw data'!G6</f>
        <v>Pano</v>
      </c>
      <c r="I5" s="27" t="str">
        <f>'Raw data'!I6</f>
        <v>Tere</v>
      </c>
      <c r="K5" s="27" t="str">
        <f>'Raw data'!K6</f>
        <v>Nadia</v>
      </c>
      <c r="M5" s="27" t="str">
        <f>'Raw data'!M6</f>
        <v>Jose</v>
      </c>
      <c r="O5" s="27" t="str">
        <f>'Raw data'!O6</f>
        <v>Lucía</v>
      </c>
      <c r="Q5" s="27" t="str">
        <f>'Raw data'!Q6</f>
        <v>Kike</v>
      </c>
      <c r="S5" s="27" t="str">
        <f>'Raw data'!S6</f>
        <v>Paibol</v>
      </c>
      <c r="U5" s="27" t="str">
        <f>'Raw data'!U6</f>
        <v>Pablo</v>
      </c>
      <c r="W5" s="27" t="str">
        <f>'Raw data'!W6</f>
        <v>Almu</v>
      </c>
      <c r="Y5" s="27" t="str">
        <f>'Raw data'!Y6</f>
        <v>Juanorro</v>
      </c>
      <c r="AA5" s="27" t="str">
        <f>'Raw data'!AA6</f>
        <v>Cillian</v>
      </c>
      <c r="AC5" s="27" t="str">
        <f>'Raw data'!AC6</f>
        <v>July</v>
      </c>
      <c r="AE5" s="27" t="str">
        <f>'Raw data'!AE6</f>
        <v>Toño</v>
      </c>
      <c r="AG5" s="27" t="str">
        <f>'Raw data'!AG6</f>
        <v>Juanin</v>
      </c>
      <c r="AI5" s="27" t="str">
        <f>'Raw data'!AI6</f>
        <v>Meg</v>
      </c>
      <c r="AK5" s="27" t="str">
        <f>'Raw data'!AK6</f>
        <v>Irene</v>
      </c>
      <c r="AM5" s="27" t="str">
        <f>'Raw data'!AM6</f>
        <v>Andy</v>
      </c>
      <c r="AO5" s="27" t="str">
        <f>'Raw data'!AO6</f>
        <v>Adri</v>
      </c>
      <c r="AQ5" s="27" t="str">
        <f>'Raw data'!AQ6</f>
        <v>Ben</v>
      </c>
      <c r="AS5" s="27" t="str">
        <f>'Raw data'!AS6</f>
        <v>Gon </v>
      </c>
      <c r="AU5" s="27" t="str">
        <f>'Raw data'!AU6</f>
        <v>Mile</v>
      </c>
      <c r="AW5" s="27" t="str">
        <f>'Raw data'!AW6</f>
        <v>Cami</v>
      </c>
      <c r="AY5" s="27" t="str">
        <f>'Raw data'!AY6</f>
        <v>Hugo</v>
      </c>
      <c r="BA5" s="27" t="str">
        <f>'Raw data'!BA6</f>
        <v>Jaime</v>
      </c>
      <c r="BC5" s="27" t="str">
        <f>'Raw data'!BC6</f>
        <v>Emilio</v>
      </c>
      <c r="BE5" s="27" t="str">
        <f>'Raw data'!BE6</f>
        <v>Manu</v>
      </c>
      <c r="BG5" s="27" t="str">
        <f>'Raw data'!BG6</f>
        <v/>
      </c>
      <c r="BI5" s="27" t="str">
        <f>'Raw data'!BI6</f>
        <v/>
      </c>
    </row>
    <row r="6">
      <c r="A6" s="1"/>
      <c r="B6" s="1"/>
      <c r="C6" s="1"/>
      <c r="E6" s="1"/>
      <c r="G6" s="1"/>
      <c r="I6" s="1"/>
      <c r="K6" s="1"/>
      <c r="M6" s="1"/>
      <c r="O6" s="1"/>
      <c r="Q6" s="1"/>
      <c r="S6" s="1"/>
      <c r="U6" s="1"/>
      <c r="W6" s="1"/>
      <c r="Y6" s="1"/>
      <c r="AA6" s="1"/>
      <c r="AC6" s="1"/>
      <c r="AE6" s="1"/>
      <c r="AG6" s="1"/>
      <c r="AI6" s="1"/>
      <c r="AK6" s="1"/>
      <c r="AM6" s="1"/>
      <c r="AO6" s="1"/>
      <c r="AQ6" s="1"/>
      <c r="AS6" s="1"/>
      <c r="AU6" s="1"/>
      <c r="AW6" s="1"/>
      <c r="AY6" s="1"/>
      <c r="BA6" s="1"/>
      <c r="BC6" s="1"/>
      <c r="BE6" s="1"/>
      <c r="BG6" s="1"/>
      <c r="BI6" s="1"/>
    </row>
    <row r="7" ht="19.5" customHeight="1">
      <c r="A7" s="1"/>
      <c r="B7" s="28" t="s">
        <v>360</v>
      </c>
      <c r="C7" s="12"/>
      <c r="E7" s="12"/>
      <c r="G7" s="12"/>
      <c r="I7" s="12"/>
      <c r="K7" s="12"/>
      <c r="M7" s="12"/>
      <c r="O7" s="12"/>
      <c r="Q7" s="12"/>
      <c r="S7" s="12"/>
      <c r="U7" s="12"/>
      <c r="W7" s="12"/>
      <c r="Y7" s="12"/>
      <c r="AA7" s="12"/>
      <c r="AC7" s="12"/>
      <c r="AE7" s="12"/>
      <c r="AG7" s="12"/>
      <c r="AI7" s="12"/>
      <c r="AK7" s="12"/>
      <c r="AM7" s="12"/>
      <c r="AO7" s="12"/>
      <c r="AQ7" s="12"/>
      <c r="AS7" s="12"/>
      <c r="AU7" s="12"/>
      <c r="AW7" s="12"/>
      <c r="AY7" s="12"/>
      <c r="BA7" s="12"/>
      <c r="BC7" s="12"/>
      <c r="BE7" s="12"/>
      <c r="BG7" s="12"/>
      <c r="BI7" s="12"/>
    </row>
    <row r="8" ht="18.0" customHeight="1">
      <c r="A8" s="1"/>
      <c r="B8" s="13" t="s">
        <v>27</v>
      </c>
      <c r="C8" s="29">
        <f>IFERROR(IF(AND(ISNUMBER('Real results'!C7),ISNUMBER('Real results'!D7),ISNUMBER('Raw data'!C7),ISNUMBER('Raw data'!D7)),IF(SIGN('Raw data'!C7-'Raw data'!D7)=SIGN('Real results'!C7-'Real results'!D7),2+IF(AND('Raw data'!C7='Real results'!C7,'Raw data'!D7='Real results'!D7),2,0),0),0),0)</f>
        <v>0</v>
      </c>
      <c r="E8" s="29">
        <f>IFERROR(IF(AND(ISNUMBER('Real results'!C7),ISNUMBER('Real results'!D7),ISNUMBER('Raw data'!E7),ISNUMBER('Raw data'!F7)),IF(SIGN('Raw data'!E7-'Raw data'!F7)=SIGN('Real results'!C7-'Real results'!D7),2+IF(AND('Raw data'!E7='Real results'!C7,'Raw data'!F7='Real results'!D7),2,0),0),0),0)</f>
        <v>0</v>
      </c>
      <c r="G8" s="29">
        <f>IFERROR(IF(AND(ISNUMBER('Real results'!C7),ISNUMBER('Real results'!D7),ISNUMBER('Raw data'!G7),ISNUMBER('Raw data'!H7)),IF(SIGN('Raw data'!G7-'Raw data'!H7)=SIGN('Real results'!C7-'Real results'!D7),2+IF(AND('Raw data'!G7='Real results'!C7,'Raw data'!H7='Real results'!D7),2,0),0),0),0)</f>
        <v>0</v>
      </c>
      <c r="I8" s="29">
        <f>IFERROR(IF(AND(ISNUMBER('Real results'!C7),ISNUMBER('Real results'!D7),ISNUMBER('Raw data'!I7),ISNUMBER('Raw data'!J7)),IF(SIGN('Raw data'!I7-'Raw data'!J7)=SIGN('Real results'!C7-'Real results'!D7),2+IF(AND('Raw data'!I7='Real results'!C7,'Raw data'!J7='Real results'!D7),2,0),0),0),0)</f>
        <v>0</v>
      </c>
      <c r="K8" s="29">
        <f>IFERROR(IF(AND(ISNUMBER('Real results'!C7),ISNUMBER('Real results'!D7),ISNUMBER('Raw data'!K7),ISNUMBER('Raw data'!L7)),IF(SIGN('Raw data'!K7-'Raw data'!L7)=SIGN('Real results'!C7-'Real results'!D7),2+IF(AND('Raw data'!K7='Real results'!C7,'Raw data'!L7='Real results'!D7),2,0),0),0),0)</f>
        <v>0</v>
      </c>
      <c r="M8" s="29">
        <f>IFERROR(IF(AND(ISNUMBER('Real results'!C7),ISNUMBER('Real results'!D7),ISNUMBER('Raw data'!M7),ISNUMBER('Raw data'!N7)),IF(SIGN('Raw data'!M7-'Raw data'!N7)=SIGN('Real results'!C7-'Real results'!D7),2+IF(AND('Raw data'!M7='Real results'!C7,'Raw data'!N7='Real results'!D7),2,0),0),0),0)</f>
        <v>0</v>
      </c>
      <c r="O8" s="29">
        <f>IFERROR(IF(AND(ISNUMBER('Real results'!C7),ISNUMBER('Real results'!D7),ISNUMBER('Raw data'!O7),ISNUMBER('Raw data'!P7)),IF(SIGN('Raw data'!O7-'Raw data'!P7)=SIGN('Real results'!C7-'Real results'!D7),2+IF(AND('Raw data'!O7='Real results'!C7,'Raw data'!P7='Real results'!D7),2,0),0),0),0)</f>
        <v>0</v>
      </c>
      <c r="Q8" s="29">
        <f>IFERROR(IF(AND(ISNUMBER('Real results'!C7),ISNUMBER('Real results'!D7),ISNUMBER('Raw data'!Q7),ISNUMBER('Raw data'!R7)),IF(SIGN('Raw data'!Q7-'Raw data'!R7)=SIGN('Real results'!C7-'Real results'!D7),2+IF(AND('Raw data'!Q7='Real results'!C7,'Raw data'!R7='Real results'!D7),2,0),0),0),0)</f>
        <v>0</v>
      </c>
      <c r="S8" s="29">
        <f>IFERROR(IF(AND(ISNUMBER('Real results'!C7),ISNUMBER('Real results'!D7),ISNUMBER('Raw data'!S7),ISNUMBER('Raw data'!T7)),IF(SIGN('Raw data'!S7-'Raw data'!T7)=SIGN('Real results'!C7-'Real results'!D7),2+IF(AND('Raw data'!S7='Real results'!C7,'Raw data'!T7='Real results'!D7),2,0),0),0),0)</f>
        <v>0</v>
      </c>
      <c r="U8" s="29">
        <f>IFERROR(IF(AND(ISNUMBER('Real results'!C7),ISNUMBER('Real results'!D7),ISNUMBER('Raw data'!U7),ISNUMBER('Raw data'!V7)),IF(SIGN('Raw data'!U7-'Raw data'!V7)=SIGN('Real results'!C7-'Real results'!D7),2+IF(AND('Raw data'!U7='Real results'!C7,'Raw data'!V7='Real results'!D7),2,0),0),0),0)</f>
        <v>0</v>
      </c>
      <c r="W8" s="29">
        <f>IFERROR(IF(AND(ISNUMBER('Real results'!C7),ISNUMBER('Real results'!D7),ISNUMBER('Raw data'!W7),ISNUMBER('Raw data'!X7)),IF(SIGN('Raw data'!W7-'Raw data'!X7)=SIGN('Real results'!C7-'Real results'!D7),2+IF(AND('Raw data'!W7='Real results'!C7,'Raw data'!X7='Real results'!D7),2,0),0),0),0)</f>
        <v>0</v>
      </c>
      <c r="Y8" s="29">
        <f>IFERROR(IF(AND(ISNUMBER('Real results'!C7),ISNUMBER('Real results'!D7),ISNUMBER('Raw data'!Y7),ISNUMBER('Raw data'!Z7)),IF(SIGN('Raw data'!Y7-'Raw data'!Z7)=SIGN('Real results'!C7-'Real results'!D7),2+IF(AND('Raw data'!Y7='Real results'!C7,'Raw data'!Z7='Real results'!D7),2,0),0),0),0)</f>
        <v>0</v>
      </c>
      <c r="AA8" s="29">
        <f>IFERROR(IF(AND(ISNUMBER('Real results'!C7),ISNUMBER('Real results'!D7),ISNUMBER('Raw data'!AA7),ISNUMBER('Raw data'!AB7)),IF(SIGN('Raw data'!AA7-'Raw data'!AB7)=SIGN('Real results'!C7-'Real results'!D7),2+IF(AND('Raw data'!AA7='Real results'!C7,'Raw data'!AB7='Real results'!D7),2,0),0),0),0)</f>
        <v>0</v>
      </c>
      <c r="AC8" s="29">
        <f>IFERROR(IF(AND(ISNUMBER('Real results'!C7),ISNUMBER('Real results'!D7),ISNUMBER('Raw data'!AC7),ISNUMBER('Raw data'!AD7)),IF(SIGN('Raw data'!AC7-'Raw data'!AD7)=SIGN('Real results'!C7-'Real results'!D7),2+IF(AND('Raw data'!AC7='Real results'!C7,'Raw data'!AD7='Real results'!D7),2,0),0),0),0)</f>
        <v>0</v>
      </c>
      <c r="AE8" s="29">
        <f>IFERROR(IF(AND(ISNUMBER('Real results'!C7),ISNUMBER('Real results'!D7),ISNUMBER('Raw data'!AE7),ISNUMBER('Raw data'!AF7)),IF(SIGN('Raw data'!AE7-'Raw data'!AF7)=SIGN('Real results'!C7-'Real results'!D7),2+IF(AND('Raw data'!AE7='Real results'!C7,'Raw data'!AF7='Real results'!D7),2,0),0),0),0)</f>
        <v>0</v>
      </c>
      <c r="AG8" s="29">
        <f>IFERROR(IF(AND(ISNUMBER('Real results'!C7),ISNUMBER('Real results'!D7),ISNUMBER('Raw data'!AG7),ISNUMBER('Raw data'!AH7)),IF(SIGN('Raw data'!AG7-'Raw data'!AH7)=SIGN('Real results'!C7-'Real results'!D7),2+IF(AND('Raw data'!AG7='Real results'!C7,'Raw data'!AH7='Real results'!D7),2,0),0),0),0)</f>
        <v>0</v>
      </c>
      <c r="AI8" s="29">
        <f>IFERROR(IF(AND(ISNUMBER('Real results'!C7),ISNUMBER('Real results'!D7),ISNUMBER('Raw data'!AI7),ISNUMBER('Raw data'!AJ7)),IF(SIGN('Raw data'!AI7-'Raw data'!AJ7)=SIGN('Real results'!C7-'Real results'!D7),2+IF(AND('Raw data'!AI7='Real results'!C7,'Raw data'!AJ7='Real results'!D7),2,0),0),0),0)</f>
        <v>0</v>
      </c>
      <c r="AK8" s="29">
        <f>IFERROR(IF(AND(ISNUMBER('Real results'!C7),ISNUMBER('Real results'!D7),ISNUMBER('Raw data'!AK7),ISNUMBER('Raw data'!AL7)),IF(SIGN('Raw data'!AK7-'Raw data'!AL7)=SIGN('Real results'!C7-'Real results'!D7),2+IF(AND('Raw data'!AK7='Real results'!C7,'Raw data'!AL7='Real results'!D7),2,0),0),0),0)</f>
        <v>0</v>
      </c>
      <c r="AM8" s="29">
        <f>IFERROR(IF(AND(ISNUMBER('Real results'!C7),ISNUMBER('Real results'!D7),ISNUMBER('Raw data'!AM7),ISNUMBER('Raw data'!AN7)),IF(SIGN('Raw data'!AM7-'Raw data'!AN7)=SIGN('Real results'!C7-'Real results'!D7),2+IF(AND('Raw data'!AM7='Real results'!C7,'Raw data'!AN7='Real results'!D7),2,0),0),0),0)</f>
        <v>0</v>
      </c>
      <c r="AO8" s="29">
        <f>IFERROR(IF(AND(ISNUMBER('Real results'!C7),ISNUMBER('Real results'!D7),ISNUMBER('Raw data'!AO7),ISNUMBER('Raw data'!AP7)),IF(SIGN('Raw data'!AO7-'Raw data'!AP7)=SIGN('Real results'!C7-'Real results'!D7),2+IF(AND('Raw data'!AO7='Real results'!C7,'Raw data'!AP7='Real results'!D7),2,0),0),0),0)</f>
        <v>0</v>
      </c>
      <c r="AQ8" s="29">
        <f>IFERROR(IF(AND(ISNUMBER('Real results'!C7),ISNUMBER('Real results'!D7),ISNUMBER('Raw data'!AQ7),ISNUMBER('Raw data'!AR7)),IF(SIGN('Raw data'!AQ7-'Raw data'!AR7)=SIGN('Real results'!C7-'Real results'!D7),2+IF(AND('Raw data'!AQ7='Real results'!C7,'Raw data'!AR7='Real results'!D7),2,0),0),0),0)</f>
        <v>0</v>
      </c>
      <c r="AS8" s="29">
        <f>IFERROR(IF(AND(ISNUMBER('Real results'!C7),ISNUMBER('Real results'!D7),ISNUMBER('Raw data'!AS7),ISNUMBER('Raw data'!AT7)),IF(SIGN('Raw data'!AS7-'Raw data'!AT7)=SIGN('Real results'!C7-'Real results'!D7),2+IF(AND('Raw data'!AS7='Real results'!C7,'Raw data'!AT7='Real results'!D7),2,0),0),0),0)</f>
        <v>0</v>
      </c>
      <c r="AU8" s="29">
        <f>IFERROR(IF(AND(ISNUMBER('Real results'!C7),ISNUMBER('Real results'!D7),ISNUMBER('Raw data'!AU7),ISNUMBER('Raw data'!AV7)),IF(SIGN('Raw data'!AU7-'Raw data'!AV7)=SIGN('Real results'!C7-'Real results'!D7),2+IF(AND('Raw data'!AU7='Real results'!C7,'Raw data'!AV7='Real results'!D7),2,0),0),0),0)</f>
        <v>0</v>
      </c>
      <c r="AW8" s="29">
        <f>IFERROR(IF(AND(ISNUMBER('Real results'!C7),ISNUMBER('Real results'!D7),ISNUMBER('Raw data'!AW7),ISNUMBER('Raw data'!AX7)),IF(SIGN('Raw data'!AW7-'Raw data'!AX7)=SIGN('Real results'!C7-'Real results'!D7),2+IF(AND('Raw data'!AW7='Real results'!C7,'Raw data'!AX7='Real results'!D7),2,0),0),0),0)</f>
        <v>0</v>
      </c>
      <c r="AY8" s="29">
        <f>IFERROR(IF(AND(ISNUMBER('Real results'!C7),ISNUMBER('Real results'!D7),ISNUMBER('Raw data'!AY7),ISNUMBER('Raw data'!AZ7)),IF(SIGN('Raw data'!AY7-'Raw data'!AZ7)=SIGN('Real results'!C7-'Real results'!D7),2+IF(AND('Raw data'!AY7='Real results'!C7,'Raw data'!AZ7='Real results'!D7),2,0),0),0),0)</f>
        <v>0</v>
      </c>
      <c r="BA8" s="29">
        <f>IFERROR(IF(AND(ISNUMBER('Real results'!C7),ISNUMBER('Real results'!D7),ISNUMBER('Raw data'!BA7),ISNUMBER('Raw data'!BB7)),IF(SIGN('Raw data'!BA7-'Raw data'!BB7)=SIGN('Real results'!C7-'Real results'!D7),2+IF(AND('Raw data'!BA7='Real results'!C7,'Raw data'!BB7='Real results'!D7),2,0),0),0),0)</f>
        <v>0</v>
      </c>
      <c r="BC8" s="29">
        <f>IFERROR(IF(AND(ISNUMBER('Real results'!C7),ISNUMBER('Real results'!D7),ISNUMBER('Raw data'!BC7),ISNUMBER('Raw data'!BD7)),IF(SIGN('Raw data'!BC7-'Raw data'!BD7)=SIGN('Real results'!C7-'Real results'!D7),2+IF(AND('Raw data'!BC7='Real results'!C7,'Raw data'!BD7='Real results'!D7),2,0),0),0),0)</f>
        <v>0</v>
      </c>
      <c r="BE8" s="29">
        <f>IFERROR(IF(AND(ISNUMBER('Real results'!C7),ISNUMBER('Real results'!D7),ISNUMBER('Raw data'!BE7),ISNUMBER('Raw data'!BF7)),IF(SIGN('Raw data'!BE7-'Raw data'!BF7)=SIGN('Real results'!C7-'Real results'!D7),2+IF(AND('Raw data'!BE7='Real results'!C7,'Raw data'!BF7='Real results'!D7),2,0),0),0),0)</f>
        <v>0</v>
      </c>
      <c r="BG8" s="29">
        <f>IFERROR(IF(AND(ISNUMBER('Real results'!C7),ISNUMBER('Real results'!D7),ISNUMBER('Raw data'!BG7),ISNUMBER('Raw data'!BH7)),IF(SIGN('Raw data'!BG7-'Raw data'!BH7)=SIGN('Real results'!C7-'Real results'!D7),2+IF(AND('Raw data'!BG7='Real results'!C7,'Raw data'!BH7='Real results'!D7),2,0),0),0),0)</f>
        <v>0</v>
      </c>
      <c r="BI8" s="29">
        <f>IFERROR(IF(AND(ISNUMBER('Real results'!C7),ISNUMBER('Real results'!D7),ISNUMBER('Raw data'!BI7),ISNUMBER('Raw data'!BJ7)),IF(SIGN('Raw data'!BI7-'Raw data'!BJ7)=SIGN('Real results'!C7-'Real results'!D7),2+IF(AND('Raw data'!BI7='Real results'!C7,'Raw data'!BJ7='Real results'!D7),2,0),0),0),0)</f>
        <v>0</v>
      </c>
    </row>
    <row r="9" ht="18.0" customHeight="1">
      <c r="A9" s="1"/>
      <c r="B9" s="13" t="s">
        <v>28</v>
      </c>
      <c r="C9" s="29">
        <f>IFERROR(IF(AND(ISNUMBER('Real results'!C8),ISNUMBER('Real results'!D8),ISNUMBER('Raw data'!C8),ISNUMBER('Raw data'!D8)),IF(SIGN('Raw data'!C8-'Raw data'!D8)=SIGN('Real results'!C8-'Real results'!D8),2+IF(AND('Raw data'!C8='Real results'!C8,'Raw data'!D8='Real results'!D8),2,0),0),0),0)</f>
        <v>0</v>
      </c>
      <c r="E9" s="29">
        <f>IFERROR(IF(AND(ISNUMBER('Real results'!C8),ISNUMBER('Real results'!D8),ISNUMBER('Raw data'!E8),ISNUMBER('Raw data'!F8)),IF(SIGN('Raw data'!E8-'Raw data'!F8)=SIGN('Real results'!C8-'Real results'!D8),2+IF(AND('Raw data'!E8='Real results'!C8,'Raw data'!F8='Real results'!D8),2,0),0),0),0)</f>
        <v>0</v>
      </c>
      <c r="G9" s="29">
        <f>IFERROR(IF(AND(ISNUMBER('Real results'!C8),ISNUMBER('Real results'!D8),ISNUMBER('Raw data'!G8),ISNUMBER('Raw data'!H8)),IF(SIGN('Raw data'!G8-'Raw data'!H8)=SIGN('Real results'!C8-'Real results'!D8),2+IF(AND('Raw data'!G8='Real results'!C8,'Raw data'!H8='Real results'!D8),2,0),0),0),0)</f>
        <v>0</v>
      </c>
      <c r="I9" s="29">
        <f>IFERROR(IF(AND(ISNUMBER('Real results'!C8),ISNUMBER('Real results'!D8),ISNUMBER('Raw data'!I8),ISNUMBER('Raw data'!J8)),IF(SIGN('Raw data'!I8-'Raw data'!J8)=SIGN('Real results'!C8-'Real results'!D8),2+IF(AND('Raw data'!I8='Real results'!C8,'Raw data'!J8='Real results'!D8),2,0),0),0),0)</f>
        <v>0</v>
      </c>
      <c r="K9" s="29">
        <f>IFERROR(IF(AND(ISNUMBER('Real results'!C8),ISNUMBER('Real results'!D8),ISNUMBER('Raw data'!K8),ISNUMBER('Raw data'!L8)),IF(SIGN('Raw data'!K8-'Raw data'!L8)=SIGN('Real results'!C8-'Real results'!D8),2+IF(AND('Raw data'!K8='Real results'!C8,'Raw data'!L8='Real results'!D8),2,0),0),0),0)</f>
        <v>0</v>
      </c>
      <c r="M9" s="29">
        <f>IFERROR(IF(AND(ISNUMBER('Real results'!C8),ISNUMBER('Real results'!D8),ISNUMBER('Raw data'!M8),ISNUMBER('Raw data'!N8)),IF(SIGN('Raw data'!M8-'Raw data'!N8)=SIGN('Real results'!C8-'Real results'!D8),2+IF(AND('Raw data'!M8='Real results'!C8,'Raw data'!N8='Real results'!D8),2,0),0),0),0)</f>
        <v>0</v>
      </c>
      <c r="O9" s="29">
        <f>IFERROR(IF(AND(ISNUMBER('Real results'!C8),ISNUMBER('Real results'!D8),ISNUMBER('Raw data'!O8),ISNUMBER('Raw data'!P8)),IF(SIGN('Raw data'!O8-'Raw data'!P8)=SIGN('Real results'!C8-'Real results'!D8),2+IF(AND('Raw data'!O8='Real results'!C8,'Raw data'!P8='Real results'!D8),2,0),0),0),0)</f>
        <v>0</v>
      </c>
      <c r="Q9" s="29">
        <f>IFERROR(IF(AND(ISNUMBER('Real results'!C8),ISNUMBER('Real results'!D8),ISNUMBER('Raw data'!Q8),ISNUMBER('Raw data'!R8)),IF(SIGN('Raw data'!Q8-'Raw data'!R8)=SIGN('Real results'!C8-'Real results'!D8),2+IF(AND('Raw data'!Q8='Real results'!C8,'Raw data'!R8='Real results'!D8),2,0),0),0),0)</f>
        <v>0</v>
      </c>
      <c r="S9" s="29">
        <f>IFERROR(IF(AND(ISNUMBER('Real results'!C8),ISNUMBER('Real results'!D8),ISNUMBER('Raw data'!S8),ISNUMBER('Raw data'!T8)),IF(SIGN('Raw data'!S8-'Raw data'!T8)=SIGN('Real results'!C8-'Real results'!D8),2+IF(AND('Raw data'!S8='Real results'!C8,'Raw data'!T8='Real results'!D8),2,0),0),0),0)</f>
        <v>0</v>
      </c>
      <c r="U9" s="29">
        <f>IFERROR(IF(AND(ISNUMBER('Real results'!C8),ISNUMBER('Real results'!D8),ISNUMBER('Raw data'!U8),ISNUMBER('Raw data'!V8)),IF(SIGN('Raw data'!U8-'Raw data'!V8)=SIGN('Real results'!C8-'Real results'!D8),2+IF(AND('Raw data'!U8='Real results'!C8,'Raw data'!V8='Real results'!D8),2,0),0),0),0)</f>
        <v>0</v>
      </c>
      <c r="W9" s="29">
        <f>IFERROR(IF(AND(ISNUMBER('Real results'!C8),ISNUMBER('Real results'!D8),ISNUMBER('Raw data'!W8),ISNUMBER('Raw data'!X8)),IF(SIGN('Raw data'!W8-'Raw data'!X8)=SIGN('Real results'!C8-'Real results'!D8),2+IF(AND('Raw data'!W8='Real results'!C8,'Raw data'!X8='Real results'!D8),2,0),0),0),0)</f>
        <v>0</v>
      </c>
      <c r="Y9" s="29">
        <f>IFERROR(IF(AND(ISNUMBER('Real results'!C8),ISNUMBER('Real results'!D8),ISNUMBER('Raw data'!Y8),ISNUMBER('Raw data'!Z8)),IF(SIGN('Raw data'!Y8-'Raw data'!Z8)=SIGN('Real results'!C8-'Real results'!D8),2+IF(AND('Raw data'!Y8='Real results'!C8,'Raw data'!Z8='Real results'!D8),2,0),0),0),0)</f>
        <v>0</v>
      </c>
      <c r="AA9" s="29">
        <f>IFERROR(IF(AND(ISNUMBER('Real results'!C8),ISNUMBER('Real results'!D8),ISNUMBER('Raw data'!AA8),ISNUMBER('Raw data'!AB8)),IF(SIGN('Raw data'!AA8-'Raw data'!AB8)=SIGN('Real results'!C8-'Real results'!D8),2+IF(AND('Raw data'!AA8='Real results'!C8,'Raw data'!AB8='Real results'!D8),2,0),0),0),0)</f>
        <v>0</v>
      </c>
      <c r="AC9" s="29">
        <f>IFERROR(IF(AND(ISNUMBER('Real results'!C8),ISNUMBER('Real results'!D8),ISNUMBER('Raw data'!AC8),ISNUMBER('Raw data'!AD8)),IF(SIGN('Raw data'!AC8-'Raw data'!AD8)=SIGN('Real results'!C8-'Real results'!D8),2+IF(AND('Raw data'!AC8='Real results'!C8,'Raw data'!AD8='Real results'!D8),2,0),0),0),0)</f>
        <v>0</v>
      </c>
      <c r="AE9" s="29">
        <f>IFERROR(IF(AND(ISNUMBER('Real results'!C8),ISNUMBER('Real results'!D8),ISNUMBER('Raw data'!AE8),ISNUMBER('Raw data'!AF8)),IF(SIGN('Raw data'!AE8-'Raw data'!AF8)=SIGN('Real results'!C8-'Real results'!D8),2+IF(AND('Raw data'!AE8='Real results'!C8,'Raw data'!AF8='Real results'!D8),2,0),0),0),0)</f>
        <v>0</v>
      </c>
      <c r="AG9" s="29">
        <f>IFERROR(IF(AND(ISNUMBER('Real results'!C8),ISNUMBER('Real results'!D8),ISNUMBER('Raw data'!AG8),ISNUMBER('Raw data'!AH8)),IF(SIGN('Raw data'!AG8-'Raw data'!AH8)=SIGN('Real results'!C8-'Real results'!D8),2+IF(AND('Raw data'!AG8='Real results'!C8,'Raw data'!AH8='Real results'!D8),2,0),0),0),0)</f>
        <v>0</v>
      </c>
      <c r="AI9" s="29">
        <f>IFERROR(IF(AND(ISNUMBER('Real results'!C8),ISNUMBER('Real results'!D8),ISNUMBER('Raw data'!AI8),ISNUMBER('Raw data'!AJ8)),IF(SIGN('Raw data'!AI8-'Raw data'!AJ8)=SIGN('Real results'!C8-'Real results'!D8),2+IF(AND('Raw data'!AI8='Real results'!C8,'Raw data'!AJ8='Real results'!D8),2,0),0),0),0)</f>
        <v>0</v>
      </c>
      <c r="AK9" s="29">
        <f>IFERROR(IF(AND(ISNUMBER('Real results'!C8),ISNUMBER('Real results'!D8),ISNUMBER('Raw data'!AK8),ISNUMBER('Raw data'!AL8)),IF(SIGN('Raw data'!AK8-'Raw data'!AL8)=SIGN('Real results'!C8-'Real results'!D8),2+IF(AND('Raw data'!AK8='Real results'!C8,'Raw data'!AL8='Real results'!D8),2,0),0),0),0)</f>
        <v>0</v>
      </c>
      <c r="AM9" s="29">
        <f>IFERROR(IF(AND(ISNUMBER('Real results'!C8),ISNUMBER('Real results'!D8),ISNUMBER('Raw data'!AM8),ISNUMBER('Raw data'!AN8)),IF(SIGN('Raw data'!AM8-'Raw data'!AN8)=SIGN('Real results'!C8-'Real results'!D8),2+IF(AND('Raw data'!AM8='Real results'!C8,'Raw data'!AN8='Real results'!D8),2,0),0),0),0)</f>
        <v>0</v>
      </c>
      <c r="AO9" s="29">
        <f>IFERROR(IF(AND(ISNUMBER('Real results'!C8),ISNUMBER('Real results'!D8),ISNUMBER('Raw data'!AO8),ISNUMBER('Raw data'!AP8)),IF(SIGN('Raw data'!AO8-'Raw data'!AP8)=SIGN('Real results'!C8-'Real results'!D8),2+IF(AND('Raw data'!AO8='Real results'!C8,'Raw data'!AP8='Real results'!D8),2,0),0),0),0)</f>
        <v>0</v>
      </c>
      <c r="AQ9" s="29">
        <f>IFERROR(IF(AND(ISNUMBER('Real results'!C8),ISNUMBER('Real results'!D8),ISNUMBER('Raw data'!AQ8),ISNUMBER('Raw data'!AR8)),IF(SIGN('Raw data'!AQ8-'Raw data'!AR8)=SIGN('Real results'!C8-'Real results'!D8),2+IF(AND('Raw data'!AQ8='Real results'!C8,'Raw data'!AR8='Real results'!D8),2,0),0),0),0)</f>
        <v>0</v>
      </c>
      <c r="AS9" s="29">
        <f>IFERROR(IF(AND(ISNUMBER('Real results'!C8),ISNUMBER('Real results'!D8),ISNUMBER('Raw data'!AS8),ISNUMBER('Raw data'!AT8)),IF(SIGN('Raw data'!AS8-'Raw data'!AT8)=SIGN('Real results'!C8-'Real results'!D8),2+IF(AND('Raw data'!AS8='Real results'!C8,'Raw data'!AT8='Real results'!D8),2,0),0),0),0)</f>
        <v>0</v>
      </c>
      <c r="AU9" s="29">
        <f>IFERROR(IF(AND(ISNUMBER('Real results'!C8),ISNUMBER('Real results'!D8),ISNUMBER('Raw data'!AU8),ISNUMBER('Raw data'!AV8)),IF(SIGN('Raw data'!AU8-'Raw data'!AV8)=SIGN('Real results'!C8-'Real results'!D8),2+IF(AND('Raw data'!AU8='Real results'!C8,'Raw data'!AV8='Real results'!D8),2,0),0),0),0)</f>
        <v>0</v>
      </c>
      <c r="AW9" s="29">
        <f>IFERROR(IF(AND(ISNUMBER('Real results'!C8),ISNUMBER('Real results'!D8),ISNUMBER('Raw data'!AW8),ISNUMBER('Raw data'!AX8)),IF(SIGN('Raw data'!AW8-'Raw data'!AX8)=SIGN('Real results'!C8-'Real results'!D8),2+IF(AND('Raw data'!AW8='Real results'!C8,'Raw data'!AX8='Real results'!D8),2,0),0),0),0)</f>
        <v>0</v>
      </c>
      <c r="AY9" s="29">
        <f>IFERROR(IF(AND(ISNUMBER('Real results'!C8),ISNUMBER('Real results'!D8),ISNUMBER('Raw data'!AY8),ISNUMBER('Raw data'!AZ8)),IF(SIGN('Raw data'!AY8-'Raw data'!AZ8)=SIGN('Real results'!C8-'Real results'!D8),2+IF(AND('Raw data'!AY8='Real results'!C8,'Raw data'!AZ8='Real results'!D8),2,0),0),0),0)</f>
        <v>0</v>
      </c>
      <c r="BA9" s="29">
        <f>IFERROR(IF(AND(ISNUMBER('Real results'!C8),ISNUMBER('Real results'!D8),ISNUMBER('Raw data'!BA8),ISNUMBER('Raw data'!BB8)),IF(SIGN('Raw data'!BA8-'Raw data'!BB8)=SIGN('Real results'!C8-'Real results'!D8),2+IF(AND('Raw data'!BA8='Real results'!C8,'Raw data'!BB8='Real results'!D8),2,0),0),0),0)</f>
        <v>0</v>
      </c>
      <c r="BC9" s="29">
        <f>IFERROR(IF(AND(ISNUMBER('Real results'!C8),ISNUMBER('Real results'!D8),ISNUMBER('Raw data'!BC8),ISNUMBER('Raw data'!BD8)),IF(SIGN('Raw data'!BC8-'Raw data'!BD8)=SIGN('Real results'!C8-'Real results'!D8),2+IF(AND('Raw data'!BC8='Real results'!C8,'Raw data'!BD8='Real results'!D8),2,0),0),0),0)</f>
        <v>0</v>
      </c>
      <c r="BE9" s="29">
        <f>IFERROR(IF(AND(ISNUMBER('Real results'!C8),ISNUMBER('Real results'!D8),ISNUMBER('Raw data'!BE8),ISNUMBER('Raw data'!BF8)),IF(SIGN('Raw data'!BE8-'Raw data'!BF8)=SIGN('Real results'!C8-'Real results'!D8),2+IF(AND('Raw data'!BE8='Real results'!C8,'Raw data'!BF8='Real results'!D8),2,0),0),0),0)</f>
        <v>0</v>
      </c>
      <c r="BG9" s="29">
        <f>IFERROR(IF(AND(ISNUMBER('Real results'!C8),ISNUMBER('Real results'!D8),ISNUMBER('Raw data'!BG8),ISNUMBER('Raw data'!BH8)),IF(SIGN('Raw data'!BG8-'Raw data'!BH8)=SIGN('Real results'!C8-'Real results'!D8),2+IF(AND('Raw data'!BG8='Real results'!C8,'Raw data'!BH8='Real results'!D8),2,0),0),0),0)</f>
        <v>0</v>
      </c>
      <c r="BI9" s="29">
        <f>IFERROR(IF(AND(ISNUMBER('Real results'!C8),ISNUMBER('Real results'!D8),ISNUMBER('Raw data'!BI8),ISNUMBER('Raw data'!BJ8)),IF(SIGN('Raw data'!BI8-'Raw data'!BJ8)=SIGN('Real results'!C8-'Real results'!D8),2+IF(AND('Raw data'!BI8='Real results'!C8,'Raw data'!BJ8='Real results'!D8),2,0),0),0),0)</f>
        <v>0</v>
      </c>
    </row>
    <row r="10" ht="18.0" customHeight="1">
      <c r="A10" s="1"/>
      <c r="B10" s="13" t="s">
        <v>29</v>
      </c>
      <c r="C10" s="29">
        <f>IFERROR(IF(AND(ISNUMBER('Real results'!C9),ISNUMBER('Real results'!D9),ISNUMBER('Raw data'!C9),ISNUMBER('Raw data'!D9)),IF(SIGN('Raw data'!C9-'Raw data'!D9)=SIGN('Real results'!C9-'Real results'!D9),2+IF(AND('Raw data'!C9='Real results'!C9,'Raw data'!D9='Real results'!D9),2,0),0),0),0)</f>
        <v>0</v>
      </c>
      <c r="E10" s="29">
        <f>IFERROR(IF(AND(ISNUMBER('Real results'!C9),ISNUMBER('Real results'!D9),ISNUMBER('Raw data'!E9),ISNUMBER('Raw data'!F9)),IF(SIGN('Raw data'!E9-'Raw data'!F9)=SIGN('Real results'!C9-'Real results'!D9),2+IF(AND('Raw data'!E9='Real results'!C9,'Raw data'!F9='Real results'!D9),2,0),0),0),0)</f>
        <v>0</v>
      </c>
      <c r="G10" s="29">
        <f>IFERROR(IF(AND(ISNUMBER('Real results'!C9),ISNUMBER('Real results'!D9),ISNUMBER('Raw data'!G9),ISNUMBER('Raw data'!H9)),IF(SIGN('Raw data'!G9-'Raw data'!H9)=SIGN('Real results'!C9-'Real results'!D9),2+IF(AND('Raw data'!G9='Real results'!C9,'Raw data'!H9='Real results'!D9),2,0),0),0),0)</f>
        <v>0</v>
      </c>
      <c r="I10" s="29">
        <f>IFERROR(IF(AND(ISNUMBER('Real results'!C9),ISNUMBER('Real results'!D9),ISNUMBER('Raw data'!I9),ISNUMBER('Raw data'!J9)),IF(SIGN('Raw data'!I9-'Raw data'!J9)=SIGN('Real results'!C9-'Real results'!D9),2+IF(AND('Raw data'!I9='Real results'!C9,'Raw data'!J9='Real results'!D9),2,0),0),0),0)</f>
        <v>0</v>
      </c>
      <c r="K10" s="29">
        <f>IFERROR(IF(AND(ISNUMBER('Real results'!C9),ISNUMBER('Real results'!D9),ISNUMBER('Raw data'!K9),ISNUMBER('Raw data'!L9)),IF(SIGN('Raw data'!K9-'Raw data'!L9)=SIGN('Real results'!C9-'Real results'!D9),2+IF(AND('Raw data'!K9='Real results'!C9,'Raw data'!L9='Real results'!D9),2,0),0),0),0)</f>
        <v>0</v>
      </c>
      <c r="M10" s="29">
        <f>IFERROR(IF(AND(ISNUMBER('Real results'!C9),ISNUMBER('Real results'!D9),ISNUMBER('Raw data'!M9),ISNUMBER('Raw data'!N9)),IF(SIGN('Raw data'!M9-'Raw data'!N9)=SIGN('Real results'!C9-'Real results'!D9),2+IF(AND('Raw data'!M9='Real results'!C9,'Raw data'!N9='Real results'!D9),2,0),0),0),0)</f>
        <v>0</v>
      </c>
      <c r="O10" s="29">
        <f>IFERROR(IF(AND(ISNUMBER('Real results'!C9),ISNUMBER('Real results'!D9),ISNUMBER('Raw data'!O9),ISNUMBER('Raw data'!P9)),IF(SIGN('Raw data'!O9-'Raw data'!P9)=SIGN('Real results'!C9-'Real results'!D9),2+IF(AND('Raw data'!O9='Real results'!C9,'Raw data'!P9='Real results'!D9),2,0),0),0),0)</f>
        <v>0</v>
      </c>
      <c r="Q10" s="29">
        <f>IFERROR(IF(AND(ISNUMBER('Real results'!C9),ISNUMBER('Real results'!D9),ISNUMBER('Raw data'!Q9),ISNUMBER('Raw data'!R9)),IF(SIGN('Raw data'!Q9-'Raw data'!R9)=SIGN('Real results'!C9-'Real results'!D9),2+IF(AND('Raw data'!Q9='Real results'!C9,'Raw data'!R9='Real results'!D9),2,0),0),0),0)</f>
        <v>0</v>
      </c>
      <c r="S10" s="29">
        <f>IFERROR(IF(AND(ISNUMBER('Real results'!C9),ISNUMBER('Real results'!D9),ISNUMBER('Raw data'!S9),ISNUMBER('Raw data'!T9)),IF(SIGN('Raw data'!S9-'Raw data'!T9)=SIGN('Real results'!C9-'Real results'!D9),2+IF(AND('Raw data'!S9='Real results'!C9,'Raw data'!T9='Real results'!D9),2,0),0),0),0)</f>
        <v>0</v>
      </c>
      <c r="U10" s="29">
        <f>IFERROR(IF(AND(ISNUMBER('Real results'!C9),ISNUMBER('Real results'!D9),ISNUMBER('Raw data'!U9),ISNUMBER('Raw data'!V9)),IF(SIGN('Raw data'!U9-'Raw data'!V9)=SIGN('Real results'!C9-'Real results'!D9),2+IF(AND('Raw data'!U9='Real results'!C9,'Raw data'!V9='Real results'!D9),2,0),0),0),0)</f>
        <v>0</v>
      </c>
      <c r="W10" s="29">
        <f>IFERROR(IF(AND(ISNUMBER('Real results'!C9),ISNUMBER('Real results'!D9),ISNUMBER('Raw data'!W9),ISNUMBER('Raw data'!X9)),IF(SIGN('Raw data'!W9-'Raw data'!X9)=SIGN('Real results'!C9-'Real results'!D9),2+IF(AND('Raw data'!W9='Real results'!C9,'Raw data'!X9='Real results'!D9),2,0),0),0),0)</f>
        <v>0</v>
      </c>
      <c r="Y10" s="29">
        <f>IFERROR(IF(AND(ISNUMBER('Real results'!C9),ISNUMBER('Real results'!D9),ISNUMBER('Raw data'!Y9),ISNUMBER('Raw data'!Z9)),IF(SIGN('Raw data'!Y9-'Raw data'!Z9)=SIGN('Real results'!C9-'Real results'!D9),2+IF(AND('Raw data'!Y9='Real results'!C9,'Raw data'!Z9='Real results'!D9),2,0),0),0),0)</f>
        <v>0</v>
      </c>
      <c r="AA10" s="29">
        <f>IFERROR(IF(AND(ISNUMBER('Real results'!C9),ISNUMBER('Real results'!D9),ISNUMBER('Raw data'!AA9),ISNUMBER('Raw data'!AB9)),IF(SIGN('Raw data'!AA9-'Raw data'!AB9)=SIGN('Real results'!C9-'Real results'!D9),2+IF(AND('Raw data'!AA9='Real results'!C9,'Raw data'!AB9='Real results'!D9),2,0),0),0),0)</f>
        <v>0</v>
      </c>
      <c r="AC10" s="29">
        <f>IFERROR(IF(AND(ISNUMBER('Real results'!C9),ISNUMBER('Real results'!D9),ISNUMBER('Raw data'!AC9),ISNUMBER('Raw data'!AD9)),IF(SIGN('Raw data'!AC9-'Raw data'!AD9)=SIGN('Real results'!C9-'Real results'!D9),2+IF(AND('Raw data'!AC9='Real results'!C9,'Raw data'!AD9='Real results'!D9),2,0),0),0),0)</f>
        <v>0</v>
      </c>
      <c r="AE10" s="29">
        <f>IFERROR(IF(AND(ISNUMBER('Real results'!C9),ISNUMBER('Real results'!D9),ISNUMBER('Raw data'!AE9),ISNUMBER('Raw data'!AF9)),IF(SIGN('Raw data'!AE9-'Raw data'!AF9)=SIGN('Real results'!C9-'Real results'!D9),2+IF(AND('Raw data'!AE9='Real results'!C9,'Raw data'!AF9='Real results'!D9),2,0),0),0),0)</f>
        <v>0</v>
      </c>
      <c r="AG10" s="29">
        <f>IFERROR(IF(AND(ISNUMBER('Real results'!C9),ISNUMBER('Real results'!D9),ISNUMBER('Raw data'!AG9),ISNUMBER('Raw data'!AH9)),IF(SIGN('Raw data'!AG9-'Raw data'!AH9)=SIGN('Real results'!C9-'Real results'!D9),2+IF(AND('Raw data'!AG9='Real results'!C9,'Raw data'!AH9='Real results'!D9),2,0),0),0),0)</f>
        <v>0</v>
      </c>
      <c r="AI10" s="29">
        <f>IFERROR(IF(AND(ISNUMBER('Real results'!C9),ISNUMBER('Real results'!D9),ISNUMBER('Raw data'!AI9),ISNUMBER('Raw data'!AJ9)),IF(SIGN('Raw data'!AI9-'Raw data'!AJ9)=SIGN('Real results'!C9-'Real results'!D9),2+IF(AND('Raw data'!AI9='Real results'!C9,'Raw data'!AJ9='Real results'!D9),2,0),0),0),0)</f>
        <v>0</v>
      </c>
      <c r="AK10" s="29">
        <f>IFERROR(IF(AND(ISNUMBER('Real results'!C9),ISNUMBER('Real results'!D9),ISNUMBER('Raw data'!AK9),ISNUMBER('Raw data'!AL9)),IF(SIGN('Raw data'!AK9-'Raw data'!AL9)=SIGN('Real results'!C9-'Real results'!D9),2+IF(AND('Raw data'!AK9='Real results'!C9,'Raw data'!AL9='Real results'!D9),2,0),0),0),0)</f>
        <v>0</v>
      </c>
      <c r="AM10" s="29">
        <f>IFERROR(IF(AND(ISNUMBER('Real results'!C9),ISNUMBER('Real results'!D9),ISNUMBER('Raw data'!AM9),ISNUMBER('Raw data'!AN9)),IF(SIGN('Raw data'!AM9-'Raw data'!AN9)=SIGN('Real results'!C9-'Real results'!D9),2+IF(AND('Raw data'!AM9='Real results'!C9,'Raw data'!AN9='Real results'!D9),2,0),0),0),0)</f>
        <v>0</v>
      </c>
      <c r="AO10" s="29">
        <f>IFERROR(IF(AND(ISNUMBER('Real results'!C9),ISNUMBER('Real results'!D9),ISNUMBER('Raw data'!AO9),ISNUMBER('Raw data'!AP9)),IF(SIGN('Raw data'!AO9-'Raw data'!AP9)=SIGN('Real results'!C9-'Real results'!D9),2+IF(AND('Raw data'!AO9='Real results'!C9,'Raw data'!AP9='Real results'!D9),2,0),0),0),0)</f>
        <v>0</v>
      </c>
      <c r="AQ10" s="29">
        <f>IFERROR(IF(AND(ISNUMBER('Real results'!C9),ISNUMBER('Real results'!D9),ISNUMBER('Raw data'!AQ9),ISNUMBER('Raw data'!AR9)),IF(SIGN('Raw data'!AQ9-'Raw data'!AR9)=SIGN('Real results'!C9-'Real results'!D9),2+IF(AND('Raw data'!AQ9='Real results'!C9,'Raw data'!AR9='Real results'!D9),2,0),0),0),0)</f>
        <v>0</v>
      </c>
      <c r="AS10" s="29">
        <f>IFERROR(IF(AND(ISNUMBER('Real results'!C9),ISNUMBER('Real results'!D9),ISNUMBER('Raw data'!AS9),ISNUMBER('Raw data'!AT9)),IF(SIGN('Raw data'!AS9-'Raw data'!AT9)=SIGN('Real results'!C9-'Real results'!D9),2+IF(AND('Raw data'!AS9='Real results'!C9,'Raw data'!AT9='Real results'!D9),2,0),0),0),0)</f>
        <v>0</v>
      </c>
      <c r="AU10" s="29">
        <f>IFERROR(IF(AND(ISNUMBER('Real results'!C9),ISNUMBER('Real results'!D9),ISNUMBER('Raw data'!AU9),ISNUMBER('Raw data'!AV9)),IF(SIGN('Raw data'!AU9-'Raw data'!AV9)=SIGN('Real results'!C9-'Real results'!D9),2+IF(AND('Raw data'!AU9='Real results'!C9,'Raw data'!AV9='Real results'!D9),2,0),0),0),0)</f>
        <v>0</v>
      </c>
      <c r="AW10" s="29">
        <f>IFERROR(IF(AND(ISNUMBER('Real results'!C9),ISNUMBER('Real results'!D9),ISNUMBER('Raw data'!AW9),ISNUMBER('Raw data'!AX9)),IF(SIGN('Raw data'!AW9-'Raw data'!AX9)=SIGN('Real results'!C9-'Real results'!D9),2+IF(AND('Raw data'!AW9='Real results'!C9,'Raw data'!AX9='Real results'!D9),2,0),0),0),0)</f>
        <v>0</v>
      </c>
      <c r="AY10" s="29">
        <f>IFERROR(IF(AND(ISNUMBER('Real results'!C9),ISNUMBER('Real results'!D9),ISNUMBER('Raw data'!AY9),ISNUMBER('Raw data'!AZ9)),IF(SIGN('Raw data'!AY9-'Raw data'!AZ9)=SIGN('Real results'!C9-'Real results'!D9),2+IF(AND('Raw data'!AY9='Real results'!C9,'Raw data'!AZ9='Real results'!D9),2,0),0),0),0)</f>
        <v>0</v>
      </c>
      <c r="BA10" s="29">
        <f>IFERROR(IF(AND(ISNUMBER('Real results'!C9),ISNUMBER('Real results'!D9),ISNUMBER('Raw data'!BA9),ISNUMBER('Raw data'!BB9)),IF(SIGN('Raw data'!BA9-'Raw data'!BB9)=SIGN('Real results'!C9-'Real results'!D9),2+IF(AND('Raw data'!BA9='Real results'!C9,'Raw data'!BB9='Real results'!D9),2,0),0),0),0)</f>
        <v>0</v>
      </c>
      <c r="BC10" s="29">
        <f>IFERROR(IF(AND(ISNUMBER('Real results'!C9),ISNUMBER('Real results'!D9),ISNUMBER('Raw data'!BC9),ISNUMBER('Raw data'!BD9)),IF(SIGN('Raw data'!BC9-'Raw data'!BD9)=SIGN('Real results'!C9-'Real results'!D9),2+IF(AND('Raw data'!BC9='Real results'!C9,'Raw data'!BD9='Real results'!D9),2,0),0),0),0)</f>
        <v>0</v>
      </c>
      <c r="BE10" s="29">
        <f>IFERROR(IF(AND(ISNUMBER('Real results'!C9),ISNUMBER('Real results'!D9),ISNUMBER('Raw data'!BE9),ISNUMBER('Raw data'!BF9)),IF(SIGN('Raw data'!BE9-'Raw data'!BF9)=SIGN('Real results'!C9-'Real results'!D9),2+IF(AND('Raw data'!BE9='Real results'!C9,'Raw data'!BF9='Real results'!D9),2,0),0),0),0)</f>
        <v>0</v>
      </c>
      <c r="BG10" s="29">
        <f>IFERROR(IF(AND(ISNUMBER('Real results'!C9),ISNUMBER('Real results'!D9),ISNUMBER('Raw data'!BG9),ISNUMBER('Raw data'!BH9)),IF(SIGN('Raw data'!BG9-'Raw data'!BH9)=SIGN('Real results'!C9-'Real results'!D9),2+IF(AND('Raw data'!BG9='Real results'!C9,'Raw data'!BH9='Real results'!D9),2,0),0),0),0)</f>
        <v>0</v>
      </c>
      <c r="BI10" s="29">
        <f>IFERROR(IF(AND(ISNUMBER('Real results'!C9),ISNUMBER('Real results'!D9),ISNUMBER('Raw data'!BI9),ISNUMBER('Raw data'!BJ9)),IF(SIGN('Raw data'!BI9-'Raw data'!BJ9)=SIGN('Real results'!C9-'Real results'!D9),2+IF(AND('Raw data'!BI9='Real results'!C9,'Raw data'!BJ9='Real results'!D9),2,0),0),0),0)</f>
        <v>0</v>
      </c>
    </row>
    <row r="11" ht="18.0" customHeight="1">
      <c r="A11" s="1"/>
      <c r="B11" s="13" t="s">
        <v>30</v>
      </c>
      <c r="C11" s="29">
        <f>IFERROR(IF(AND(ISNUMBER('Real results'!C10),ISNUMBER('Real results'!D10),ISNUMBER('Raw data'!C10),ISNUMBER('Raw data'!D10)),IF(SIGN('Raw data'!C10-'Raw data'!D10)=SIGN('Real results'!C10-'Real results'!D10),2+IF(AND('Raw data'!C10='Real results'!C10,'Raw data'!D10='Real results'!D10),2,0),0),0),0)</f>
        <v>0</v>
      </c>
      <c r="E11" s="29">
        <f>IFERROR(IF(AND(ISNUMBER('Real results'!C10),ISNUMBER('Real results'!D10),ISNUMBER('Raw data'!E10),ISNUMBER('Raw data'!F10)),IF(SIGN('Raw data'!E10-'Raw data'!F10)=SIGN('Real results'!C10-'Real results'!D10),2+IF(AND('Raw data'!E10='Real results'!C10,'Raw data'!F10='Real results'!D10),2,0),0),0),0)</f>
        <v>0</v>
      </c>
      <c r="G11" s="29">
        <f>IFERROR(IF(AND(ISNUMBER('Real results'!C10),ISNUMBER('Real results'!D10),ISNUMBER('Raw data'!G10),ISNUMBER('Raw data'!H10)),IF(SIGN('Raw data'!G10-'Raw data'!H10)=SIGN('Real results'!C10-'Real results'!D10),2+IF(AND('Raw data'!G10='Real results'!C10,'Raw data'!H10='Real results'!D10),2,0),0),0),0)</f>
        <v>0</v>
      </c>
      <c r="I11" s="29">
        <f>IFERROR(IF(AND(ISNUMBER('Real results'!C10),ISNUMBER('Real results'!D10),ISNUMBER('Raw data'!I10),ISNUMBER('Raw data'!J10)),IF(SIGN('Raw data'!I10-'Raw data'!J10)=SIGN('Real results'!C10-'Real results'!D10),2+IF(AND('Raw data'!I10='Real results'!C10,'Raw data'!J10='Real results'!D10),2,0),0),0),0)</f>
        <v>0</v>
      </c>
      <c r="K11" s="29">
        <f>IFERROR(IF(AND(ISNUMBER('Real results'!C10),ISNUMBER('Real results'!D10),ISNUMBER('Raw data'!K10),ISNUMBER('Raw data'!L10)),IF(SIGN('Raw data'!K10-'Raw data'!L10)=SIGN('Real results'!C10-'Real results'!D10),2+IF(AND('Raw data'!K10='Real results'!C10,'Raw data'!L10='Real results'!D10),2,0),0),0),0)</f>
        <v>0</v>
      </c>
      <c r="M11" s="29">
        <f>IFERROR(IF(AND(ISNUMBER('Real results'!C10),ISNUMBER('Real results'!D10),ISNUMBER('Raw data'!M10),ISNUMBER('Raw data'!N10)),IF(SIGN('Raw data'!M10-'Raw data'!N10)=SIGN('Real results'!C10-'Real results'!D10),2+IF(AND('Raw data'!M10='Real results'!C10,'Raw data'!N10='Real results'!D10),2,0),0),0),0)</f>
        <v>0</v>
      </c>
      <c r="O11" s="29">
        <f>IFERROR(IF(AND(ISNUMBER('Real results'!C10),ISNUMBER('Real results'!D10),ISNUMBER('Raw data'!O10),ISNUMBER('Raw data'!P10)),IF(SIGN('Raw data'!O10-'Raw data'!P10)=SIGN('Real results'!C10-'Real results'!D10),2+IF(AND('Raw data'!O10='Real results'!C10,'Raw data'!P10='Real results'!D10),2,0),0),0),0)</f>
        <v>0</v>
      </c>
      <c r="Q11" s="29">
        <f>IFERROR(IF(AND(ISNUMBER('Real results'!C10),ISNUMBER('Real results'!D10),ISNUMBER('Raw data'!Q10),ISNUMBER('Raw data'!R10)),IF(SIGN('Raw data'!Q10-'Raw data'!R10)=SIGN('Real results'!C10-'Real results'!D10),2+IF(AND('Raw data'!Q10='Real results'!C10,'Raw data'!R10='Real results'!D10),2,0),0),0),0)</f>
        <v>0</v>
      </c>
      <c r="S11" s="29">
        <f>IFERROR(IF(AND(ISNUMBER('Real results'!C10),ISNUMBER('Real results'!D10),ISNUMBER('Raw data'!S10),ISNUMBER('Raw data'!T10)),IF(SIGN('Raw data'!S10-'Raw data'!T10)=SIGN('Real results'!C10-'Real results'!D10),2+IF(AND('Raw data'!S10='Real results'!C10,'Raw data'!T10='Real results'!D10),2,0),0),0),0)</f>
        <v>0</v>
      </c>
      <c r="U11" s="29">
        <f>IFERROR(IF(AND(ISNUMBER('Real results'!C10),ISNUMBER('Real results'!D10),ISNUMBER('Raw data'!U10),ISNUMBER('Raw data'!V10)),IF(SIGN('Raw data'!U10-'Raw data'!V10)=SIGN('Real results'!C10-'Real results'!D10),2+IF(AND('Raw data'!U10='Real results'!C10,'Raw data'!V10='Real results'!D10),2,0),0),0),0)</f>
        <v>0</v>
      </c>
      <c r="W11" s="29">
        <f>IFERROR(IF(AND(ISNUMBER('Real results'!C10),ISNUMBER('Real results'!D10),ISNUMBER('Raw data'!W10),ISNUMBER('Raw data'!X10)),IF(SIGN('Raw data'!W10-'Raw data'!X10)=SIGN('Real results'!C10-'Real results'!D10),2+IF(AND('Raw data'!W10='Real results'!C10,'Raw data'!X10='Real results'!D10),2,0),0),0),0)</f>
        <v>0</v>
      </c>
      <c r="Y11" s="29">
        <f>IFERROR(IF(AND(ISNUMBER('Real results'!C10),ISNUMBER('Real results'!D10),ISNUMBER('Raw data'!Y10),ISNUMBER('Raw data'!Z10)),IF(SIGN('Raw data'!Y10-'Raw data'!Z10)=SIGN('Real results'!C10-'Real results'!D10),2+IF(AND('Raw data'!Y10='Real results'!C10,'Raw data'!Z10='Real results'!D10),2,0),0),0),0)</f>
        <v>0</v>
      </c>
      <c r="AA11" s="29">
        <f>IFERROR(IF(AND(ISNUMBER('Real results'!C10),ISNUMBER('Real results'!D10),ISNUMBER('Raw data'!AA10),ISNUMBER('Raw data'!AB10)),IF(SIGN('Raw data'!AA10-'Raw data'!AB10)=SIGN('Real results'!C10-'Real results'!D10),2+IF(AND('Raw data'!AA10='Real results'!C10,'Raw data'!AB10='Real results'!D10),2,0),0),0),0)</f>
        <v>0</v>
      </c>
      <c r="AC11" s="29">
        <f>IFERROR(IF(AND(ISNUMBER('Real results'!C10),ISNUMBER('Real results'!D10),ISNUMBER('Raw data'!AC10),ISNUMBER('Raw data'!AD10)),IF(SIGN('Raw data'!AC10-'Raw data'!AD10)=SIGN('Real results'!C10-'Real results'!D10),2+IF(AND('Raw data'!AC10='Real results'!C10,'Raw data'!AD10='Real results'!D10),2,0),0),0),0)</f>
        <v>0</v>
      </c>
      <c r="AE11" s="29">
        <f>IFERROR(IF(AND(ISNUMBER('Real results'!C10),ISNUMBER('Real results'!D10),ISNUMBER('Raw data'!AE10),ISNUMBER('Raw data'!AF10)),IF(SIGN('Raw data'!AE10-'Raw data'!AF10)=SIGN('Real results'!C10-'Real results'!D10),2+IF(AND('Raw data'!AE10='Real results'!C10,'Raw data'!AF10='Real results'!D10),2,0),0),0),0)</f>
        <v>0</v>
      </c>
      <c r="AG11" s="29">
        <f>IFERROR(IF(AND(ISNUMBER('Real results'!C10),ISNUMBER('Real results'!D10),ISNUMBER('Raw data'!AG10),ISNUMBER('Raw data'!AH10)),IF(SIGN('Raw data'!AG10-'Raw data'!AH10)=SIGN('Real results'!C10-'Real results'!D10),2+IF(AND('Raw data'!AG10='Real results'!C10,'Raw data'!AH10='Real results'!D10),2,0),0),0),0)</f>
        <v>0</v>
      </c>
      <c r="AI11" s="29">
        <f>IFERROR(IF(AND(ISNUMBER('Real results'!C10),ISNUMBER('Real results'!D10),ISNUMBER('Raw data'!AI10),ISNUMBER('Raw data'!AJ10)),IF(SIGN('Raw data'!AI10-'Raw data'!AJ10)=SIGN('Real results'!C10-'Real results'!D10),2+IF(AND('Raw data'!AI10='Real results'!C10,'Raw data'!AJ10='Real results'!D10),2,0),0),0),0)</f>
        <v>0</v>
      </c>
      <c r="AK11" s="29">
        <f>IFERROR(IF(AND(ISNUMBER('Real results'!C10),ISNUMBER('Real results'!D10),ISNUMBER('Raw data'!AK10),ISNUMBER('Raw data'!AL10)),IF(SIGN('Raw data'!AK10-'Raw data'!AL10)=SIGN('Real results'!C10-'Real results'!D10),2+IF(AND('Raw data'!AK10='Real results'!C10,'Raw data'!AL10='Real results'!D10),2,0),0),0),0)</f>
        <v>0</v>
      </c>
      <c r="AM11" s="29">
        <f>IFERROR(IF(AND(ISNUMBER('Real results'!C10),ISNUMBER('Real results'!D10),ISNUMBER('Raw data'!AM10),ISNUMBER('Raw data'!AN10)),IF(SIGN('Raw data'!AM10-'Raw data'!AN10)=SIGN('Real results'!C10-'Real results'!D10),2+IF(AND('Raw data'!AM10='Real results'!C10,'Raw data'!AN10='Real results'!D10),2,0),0),0),0)</f>
        <v>0</v>
      </c>
      <c r="AO11" s="29">
        <f>IFERROR(IF(AND(ISNUMBER('Real results'!C10),ISNUMBER('Real results'!D10),ISNUMBER('Raw data'!AO10),ISNUMBER('Raw data'!AP10)),IF(SIGN('Raw data'!AO10-'Raw data'!AP10)=SIGN('Real results'!C10-'Real results'!D10),2+IF(AND('Raw data'!AO10='Real results'!C10,'Raw data'!AP10='Real results'!D10),2,0),0),0),0)</f>
        <v>0</v>
      </c>
      <c r="AQ11" s="29">
        <f>IFERROR(IF(AND(ISNUMBER('Real results'!C10),ISNUMBER('Real results'!D10),ISNUMBER('Raw data'!AQ10),ISNUMBER('Raw data'!AR10)),IF(SIGN('Raw data'!AQ10-'Raw data'!AR10)=SIGN('Real results'!C10-'Real results'!D10),2+IF(AND('Raw data'!AQ10='Real results'!C10,'Raw data'!AR10='Real results'!D10),2,0),0),0),0)</f>
        <v>0</v>
      </c>
      <c r="AS11" s="29">
        <f>IFERROR(IF(AND(ISNUMBER('Real results'!C10),ISNUMBER('Real results'!D10),ISNUMBER('Raw data'!AS10),ISNUMBER('Raw data'!AT10)),IF(SIGN('Raw data'!AS10-'Raw data'!AT10)=SIGN('Real results'!C10-'Real results'!D10),2+IF(AND('Raw data'!AS10='Real results'!C10,'Raw data'!AT10='Real results'!D10),2,0),0),0),0)</f>
        <v>0</v>
      </c>
      <c r="AU11" s="29">
        <f>IFERROR(IF(AND(ISNUMBER('Real results'!C10),ISNUMBER('Real results'!D10),ISNUMBER('Raw data'!AU10),ISNUMBER('Raw data'!AV10)),IF(SIGN('Raw data'!AU10-'Raw data'!AV10)=SIGN('Real results'!C10-'Real results'!D10),2+IF(AND('Raw data'!AU10='Real results'!C10,'Raw data'!AV10='Real results'!D10),2,0),0),0),0)</f>
        <v>0</v>
      </c>
      <c r="AW11" s="29">
        <f>IFERROR(IF(AND(ISNUMBER('Real results'!C10),ISNUMBER('Real results'!D10),ISNUMBER('Raw data'!AW10),ISNUMBER('Raw data'!AX10)),IF(SIGN('Raw data'!AW10-'Raw data'!AX10)=SIGN('Real results'!C10-'Real results'!D10),2+IF(AND('Raw data'!AW10='Real results'!C10,'Raw data'!AX10='Real results'!D10),2,0),0),0),0)</f>
        <v>0</v>
      </c>
      <c r="AY11" s="29">
        <f>IFERROR(IF(AND(ISNUMBER('Real results'!C10),ISNUMBER('Real results'!D10),ISNUMBER('Raw data'!AY10),ISNUMBER('Raw data'!AZ10)),IF(SIGN('Raw data'!AY10-'Raw data'!AZ10)=SIGN('Real results'!C10-'Real results'!D10),2+IF(AND('Raw data'!AY10='Real results'!C10,'Raw data'!AZ10='Real results'!D10),2,0),0),0),0)</f>
        <v>0</v>
      </c>
      <c r="BA11" s="29">
        <f>IFERROR(IF(AND(ISNUMBER('Real results'!C10),ISNUMBER('Real results'!D10),ISNUMBER('Raw data'!BA10),ISNUMBER('Raw data'!BB10)),IF(SIGN('Raw data'!BA10-'Raw data'!BB10)=SIGN('Real results'!C10-'Real results'!D10),2+IF(AND('Raw data'!BA10='Real results'!C10,'Raw data'!BB10='Real results'!D10),2,0),0),0),0)</f>
        <v>0</v>
      </c>
      <c r="BC11" s="29">
        <f>IFERROR(IF(AND(ISNUMBER('Real results'!C10),ISNUMBER('Real results'!D10),ISNUMBER('Raw data'!BC10),ISNUMBER('Raw data'!BD10)),IF(SIGN('Raw data'!BC10-'Raw data'!BD10)=SIGN('Real results'!C10-'Real results'!D10),2+IF(AND('Raw data'!BC10='Real results'!C10,'Raw data'!BD10='Real results'!D10),2,0),0),0),0)</f>
        <v>0</v>
      </c>
      <c r="BE11" s="29">
        <f>IFERROR(IF(AND(ISNUMBER('Real results'!C10),ISNUMBER('Real results'!D10),ISNUMBER('Raw data'!BE10),ISNUMBER('Raw data'!BF10)),IF(SIGN('Raw data'!BE10-'Raw data'!BF10)=SIGN('Real results'!C10-'Real results'!D10),2+IF(AND('Raw data'!BE10='Real results'!C10,'Raw data'!BF10='Real results'!D10),2,0),0),0),0)</f>
        <v>0</v>
      </c>
      <c r="BG11" s="29">
        <f>IFERROR(IF(AND(ISNUMBER('Real results'!C10),ISNUMBER('Real results'!D10),ISNUMBER('Raw data'!BG10),ISNUMBER('Raw data'!BH10)),IF(SIGN('Raw data'!BG10-'Raw data'!BH10)=SIGN('Real results'!C10-'Real results'!D10),2+IF(AND('Raw data'!BG10='Real results'!C10,'Raw data'!BH10='Real results'!D10),2,0),0),0),0)</f>
        <v>0</v>
      </c>
      <c r="BI11" s="29">
        <f>IFERROR(IF(AND(ISNUMBER('Real results'!C10),ISNUMBER('Real results'!D10),ISNUMBER('Raw data'!BI10),ISNUMBER('Raw data'!BJ10)),IF(SIGN('Raw data'!BI10-'Raw data'!BJ10)=SIGN('Real results'!C10-'Real results'!D10),2+IF(AND('Raw data'!BI10='Real results'!C10,'Raw data'!BJ10='Real results'!D10),2,0),0),0),0)</f>
        <v>0</v>
      </c>
    </row>
    <row r="12" ht="18.0" customHeight="1">
      <c r="A12" s="1"/>
      <c r="B12" s="13" t="s">
        <v>31</v>
      </c>
      <c r="C12" s="29">
        <f>IFERROR(IF(AND(ISNUMBER('Real results'!C11),ISNUMBER('Real results'!D11),ISNUMBER('Raw data'!C11),ISNUMBER('Raw data'!D11)),IF(SIGN('Raw data'!C11-'Raw data'!D11)=SIGN('Real results'!C11-'Real results'!D11),2+IF(AND('Raw data'!C11='Real results'!C11,'Raw data'!D11='Real results'!D11),2,0),0),0),0)</f>
        <v>0</v>
      </c>
      <c r="E12" s="29">
        <f>IFERROR(IF(AND(ISNUMBER('Real results'!C11),ISNUMBER('Real results'!D11),ISNUMBER('Raw data'!E11),ISNUMBER('Raw data'!F11)),IF(SIGN('Raw data'!E11-'Raw data'!F11)=SIGN('Real results'!C11-'Real results'!D11),2+IF(AND('Raw data'!E11='Real results'!C11,'Raw data'!F11='Real results'!D11),2,0),0),0),0)</f>
        <v>0</v>
      </c>
      <c r="G12" s="29">
        <f>IFERROR(IF(AND(ISNUMBER('Real results'!C11),ISNUMBER('Real results'!D11),ISNUMBER('Raw data'!G11),ISNUMBER('Raw data'!H11)),IF(SIGN('Raw data'!G11-'Raw data'!H11)=SIGN('Real results'!C11-'Real results'!D11),2+IF(AND('Raw data'!G11='Real results'!C11,'Raw data'!H11='Real results'!D11),2,0),0),0),0)</f>
        <v>0</v>
      </c>
      <c r="I12" s="29">
        <f>IFERROR(IF(AND(ISNUMBER('Real results'!C11),ISNUMBER('Real results'!D11),ISNUMBER('Raw data'!I11),ISNUMBER('Raw data'!J11)),IF(SIGN('Raw data'!I11-'Raw data'!J11)=SIGN('Real results'!C11-'Real results'!D11),2+IF(AND('Raw data'!I11='Real results'!C11,'Raw data'!J11='Real results'!D11),2,0),0),0),0)</f>
        <v>0</v>
      </c>
      <c r="K12" s="29">
        <f>IFERROR(IF(AND(ISNUMBER('Real results'!C11),ISNUMBER('Real results'!D11),ISNUMBER('Raw data'!K11),ISNUMBER('Raw data'!L11)),IF(SIGN('Raw data'!K11-'Raw data'!L11)=SIGN('Real results'!C11-'Real results'!D11),2+IF(AND('Raw data'!K11='Real results'!C11,'Raw data'!L11='Real results'!D11),2,0),0),0),0)</f>
        <v>0</v>
      </c>
      <c r="M12" s="29">
        <f>IFERROR(IF(AND(ISNUMBER('Real results'!C11),ISNUMBER('Real results'!D11),ISNUMBER('Raw data'!M11),ISNUMBER('Raw data'!N11)),IF(SIGN('Raw data'!M11-'Raw data'!N11)=SIGN('Real results'!C11-'Real results'!D11),2+IF(AND('Raw data'!M11='Real results'!C11,'Raw data'!N11='Real results'!D11),2,0),0),0),0)</f>
        <v>0</v>
      </c>
      <c r="O12" s="29">
        <f>IFERROR(IF(AND(ISNUMBER('Real results'!C11),ISNUMBER('Real results'!D11),ISNUMBER('Raw data'!O11),ISNUMBER('Raw data'!P11)),IF(SIGN('Raw data'!O11-'Raw data'!P11)=SIGN('Real results'!C11-'Real results'!D11),2+IF(AND('Raw data'!O11='Real results'!C11,'Raw data'!P11='Real results'!D11),2,0),0),0),0)</f>
        <v>0</v>
      </c>
      <c r="Q12" s="29">
        <f>IFERROR(IF(AND(ISNUMBER('Real results'!C11),ISNUMBER('Real results'!D11),ISNUMBER('Raw data'!Q11),ISNUMBER('Raw data'!R11)),IF(SIGN('Raw data'!Q11-'Raw data'!R11)=SIGN('Real results'!C11-'Real results'!D11),2+IF(AND('Raw data'!Q11='Real results'!C11,'Raw data'!R11='Real results'!D11),2,0),0),0),0)</f>
        <v>0</v>
      </c>
      <c r="S12" s="29">
        <f>IFERROR(IF(AND(ISNUMBER('Real results'!C11),ISNUMBER('Real results'!D11),ISNUMBER('Raw data'!S11),ISNUMBER('Raw data'!T11)),IF(SIGN('Raw data'!S11-'Raw data'!T11)=SIGN('Real results'!C11-'Real results'!D11),2+IF(AND('Raw data'!S11='Real results'!C11,'Raw data'!T11='Real results'!D11),2,0),0),0),0)</f>
        <v>0</v>
      </c>
      <c r="U12" s="29">
        <f>IFERROR(IF(AND(ISNUMBER('Real results'!C11),ISNUMBER('Real results'!D11),ISNUMBER('Raw data'!U11),ISNUMBER('Raw data'!V11)),IF(SIGN('Raw data'!U11-'Raw data'!V11)=SIGN('Real results'!C11-'Real results'!D11),2+IF(AND('Raw data'!U11='Real results'!C11,'Raw data'!V11='Real results'!D11),2,0),0),0),0)</f>
        <v>0</v>
      </c>
      <c r="W12" s="29">
        <f>IFERROR(IF(AND(ISNUMBER('Real results'!C11),ISNUMBER('Real results'!D11),ISNUMBER('Raw data'!W11),ISNUMBER('Raw data'!X11)),IF(SIGN('Raw data'!W11-'Raw data'!X11)=SIGN('Real results'!C11-'Real results'!D11),2+IF(AND('Raw data'!W11='Real results'!C11,'Raw data'!X11='Real results'!D11),2,0),0),0),0)</f>
        <v>0</v>
      </c>
      <c r="Y12" s="29">
        <f>IFERROR(IF(AND(ISNUMBER('Real results'!C11),ISNUMBER('Real results'!D11),ISNUMBER('Raw data'!Y11),ISNUMBER('Raw data'!Z11)),IF(SIGN('Raw data'!Y11-'Raw data'!Z11)=SIGN('Real results'!C11-'Real results'!D11),2+IF(AND('Raw data'!Y11='Real results'!C11,'Raw data'!Z11='Real results'!D11),2,0),0),0),0)</f>
        <v>0</v>
      </c>
      <c r="AA12" s="29">
        <f>IFERROR(IF(AND(ISNUMBER('Real results'!C11),ISNUMBER('Real results'!D11),ISNUMBER('Raw data'!AA11),ISNUMBER('Raw data'!AB11)),IF(SIGN('Raw data'!AA11-'Raw data'!AB11)=SIGN('Real results'!C11-'Real results'!D11),2+IF(AND('Raw data'!AA11='Real results'!C11,'Raw data'!AB11='Real results'!D11),2,0),0),0),0)</f>
        <v>0</v>
      </c>
      <c r="AC12" s="29">
        <f>IFERROR(IF(AND(ISNUMBER('Real results'!C11),ISNUMBER('Real results'!D11),ISNUMBER('Raw data'!AC11),ISNUMBER('Raw data'!AD11)),IF(SIGN('Raw data'!AC11-'Raw data'!AD11)=SIGN('Real results'!C11-'Real results'!D11),2+IF(AND('Raw data'!AC11='Real results'!C11,'Raw data'!AD11='Real results'!D11),2,0),0),0),0)</f>
        <v>0</v>
      </c>
      <c r="AE12" s="29">
        <f>IFERROR(IF(AND(ISNUMBER('Real results'!C11),ISNUMBER('Real results'!D11),ISNUMBER('Raw data'!AE11),ISNUMBER('Raw data'!AF11)),IF(SIGN('Raw data'!AE11-'Raw data'!AF11)=SIGN('Real results'!C11-'Real results'!D11),2+IF(AND('Raw data'!AE11='Real results'!C11,'Raw data'!AF11='Real results'!D11),2,0),0),0),0)</f>
        <v>0</v>
      </c>
      <c r="AG12" s="29">
        <f>IFERROR(IF(AND(ISNUMBER('Real results'!C11),ISNUMBER('Real results'!D11),ISNUMBER('Raw data'!AG11),ISNUMBER('Raw data'!AH11)),IF(SIGN('Raw data'!AG11-'Raw data'!AH11)=SIGN('Real results'!C11-'Real results'!D11),2+IF(AND('Raw data'!AG11='Real results'!C11,'Raw data'!AH11='Real results'!D11),2,0),0),0),0)</f>
        <v>0</v>
      </c>
      <c r="AI12" s="29">
        <f>IFERROR(IF(AND(ISNUMBER('Real results'!C11),ISNUMBER('Real results'!D11),ISNUMBER('Raw data'!AI11),ISNUMBER('Raw data'!AJ11)),IF(SIGN('Raw data'!AI11-'Raw data'!AJ11)=SIGN('Real results'!C11-'Real results'!D11),2+IF(AND('Raw data'!AI11='Real results'!C11,'Raw data'!AJ11='Real results'!D11),2,0),0),0),0)</f>
        <v>0</v>
      </c>
      <c r="AK12" s="29">
        <f>IFERROR(IF(AND(ISNUMBER('Real results'!C11),ISNUMBER('Real results'!D11),ISNUMBER('Raw data'!AK11),ISNUMBER('Raw data'!AL11)),IF(SIGN('Raw data'!AK11-'Raw data'!AL11)=SIGN('Real results'!C11-'Real results'!D11),2+IF(AND('Raw data'!AK11='Real results'!C11,'Raw data'!AL11='Real results'!D11),2,0),0),0),0)</f>
        <v>0</v>
      </c>
      <c r="AM12" s="29">
        <f>IFERROR(IF(AND(ISNUMBER('Real results'!C11),ISNUMBER('Real results'!D11),ISNUMBER('Raw data'!AM11),ISNUMBER('Raw data'!AN11)),IF(SIGN('Raw data'!AM11-'Raw data'!AN11)=SIGN('Real results'!C11-'Real results'!D11),2+IF(AND('Raw data'!AM11='Real results'!C11,'Raw data'!AN11='Real results'!D11),2,0),0),0),0)</f>
        <v>0</v>
      </c>
      <c r="AO12" s="29">
        <f>IFERROR(IF(AND(ISNUMBER('Real results'!C11),ISNUMBER('Real results'!D11),ISNUMBER('Raw data'!AO11),ISNUMBER('Raw data'!AP11)),IF(SIGN('Raw data'!AO11-'Raw data'!AP11)=SIGN('Real results'!C11-'Real results'!D11),2+IF(AND('Raw data'!AO11='Real results'!C11,'Raw data'!AP11='Real results'!D11),2,0),0),0),0)</f>
        <v>0</v>
      </c>
      <c r="AQ12" s="29">
        <f>IFERROR(IF(AND(ISNUMBER('Real results'!C11),ISNUMBER('Real results'!D11),ISNUMBER('Raw data'!AQ11),ISNUMBER('Raw data'!AR11)),IF(SIGN('Raw data'!AQ11-'Raw data'!AR11)=SIGN('Real results'!C11-'Real results'!D11),2+IF(AND('Raw data'!AQ11='Real results'!C11,'Raw data'!AR11='Real results'!D11),2,0),0),0),0)</f>
        <v>0</v>
      </c>
      <c r="AS12" s="29">
        <f>IFERROR(IF(AND(ISNUMBER('Real results'!C11),ISNUMBER('Real results'!D11),ISNUMBER('Raw data'!AS11),ISNUMBER('Raw data'!AT11)),IF(SIGN('Raw data'!AS11-'Raw data'!AT11)=SIGN('Real results'!C11-'Real results'!D11),2+IF(AND('Raw data'!AS11='Real results'!C11,'Raw data'!AT11='Real results'!D11),2,0),0),0),0)</f>
        <v>0</v>
      </c>
      <c r="AU12" s="29">
        <f>IFERROR(IF(AND(ISNUMBER('Real results'!C11),ISNUMBER('Real results'!D11),ISNUMBER('Raw data'!AU11),ISNUMBER('Raw data'!AV11)),IF(SIGN('Raw data'!AU11-'Raw data'!AV11)=SIGN('Real results'!C11-'Real results'!D11),2+IF(AND('Raw data'!AU11='Real results'!C11,'Raw data'!AV11='Real results'!D11),2,0),0),0),0)</f>
        <v>0</v>
      </c>
      <c r="AW12" s="29">
        <f>IFERROR(IF(AND(ISNUMBER('Real results'!C11),ISNUMBER('Real results'!D11),ISNUMBER('Raw data'!AW11),ISNUMBER('Raw data'!AX11)),IF(SIGN('Raw data'!AW11-'Raw data'!AX11)=SIGN('Real results'!C11-'Real results'!D11),2+IF(AND('Raw data'!AW11='Real results'!C11,'Raw data'!AX11='Real results'!D11),2,0),0),0),0)</f>
        <v>0</v>
      </c>
      <c r="AY12" s="29">
        <f>IFERROR(IF(AND(ISNUMBER('Real results'!C11),ISNUMBER('Real results'!D11),ISNUMBER('Raw data'!AY11),ISNUMBER('Raw data'!AZ11)),IF(SIGN('Raw data'!AY11-'Raw data'!AZ11)=SIGN('Real results'!C11-'Real results'!D11),2+IF(AND('Raw data'!AY11='Real results'!C11,'Raw data'!AZ11='Real results'!D11),2,0),0),0),0)</f>
        <v>0</v>
      </c>
      <c r="BA12" s="29">
        <f>IFERROR(IF(AND(ISNUMBER('Real results'!C11),ISNUMBER('Real results'!D11),ISNUMBER('Raw data'!BA11),ISNUMBER('Raw data'!BB11)),IF(SIGN('Raw data'!BA11-'Raw data'!BB11)=SIGN('Real results'!C11-'Real results'!D11),2+IF(AND('Raw data'!BA11='Real results'!C11,'Raw data'!BB11='Real results'!D11),2,0),0),0),0)</f>
        <v>0</v>
      </c>
      <c r="BC12" s="29">
        <f>IFERROR(IF(AND(ISNUMBER('Real results'!C11),ISNUMBER('Real results'!D11),ISNUMBER('Raw data'!BC11),ISNUMBER('Raw data'!BD11)),IF(SIGN('Raw data'!BC11-'Raw data'!BD11)=SIGN('Real results'!C11-'Real results'!D11),2+IF(AND('Raw data'!BC11='Real results'!C11,'Raw data'!BD11='Real results'!D11),2,0),0),0),0)</f>
        <v>0</v>
      </c>
      <c r="BE12" s="29">
        <f>IFERROR(IF(AND(ISNUMBER('Real results'!C11),ISNUMBER('Real results'!D11),ISNUMBER('Raw data'!BE11),ISNUMBER('Raw data'!BF11)),IF(SIGN('Raw data'!BE11-'Raw data'!BF11)=SIGN('Real results'!C11-'Real results'!D11),2+IF(AND('Raw data'!BE11='Real results'!C11,'Raw data'!BF11='Real results'!D11),2,0),0),0),0)</f>
        <v>0</v>
      </c>
      <c r="BG12" s="29">
        <f>IFERROR(IF(AND(ISNUMBER('Real results'!C11),ISNUMBER('Real results'!D11),ISNUMBER('Raw data'!BG11),ISNUMBER('Raw data'!BH11)),IF(SIGN('Raw data'!BG11-'Raw data'!BH11)=SIGN('Real results'!C11-'Real results'!D11),2+IF(AND('Raw data'!BG11='Real results'!C11,'Raw data'!BH11='Real results'!D11),2,0),0),0),0)</f>
        <v>0</v>
      </c>
      <c r="BI12" s="29">
        <f>IFERROR(IF(AND(ISNUMBER('Real results'!C11),ISNUMBER('Real results'!D11),ISNUMBER('Raw data'!BI11),ISNUMBER('Raw data'!BJ11)),IF(SIGN('Raw data'!BI11-'Raw data'!BJ11)=SIGN('Real results'!C11-'Real results'!D11),2+IF(AND('Raw data'!BI11='Real results'!C11,'Raw data'!BJ11='Real results'!D11),2,0),0),0),0)</f>
        <v>0</v>
      </c>
    </row>
    <row r="13" ht="18.0" customHeight="1">
      <c r="A13" s="1"/>
      <c r="B13" s="13" t="s">
        <v>32</v>
      </c>
      <c r="C13" s="29">
        <f>IFERROR(IF(AND(ISNUMBER('Real results'!C12),ISNUMBER('Real results'!D12),ISNUMBER('Raw data'!C12),ISNUMBER('Raw data'!D12)),IF(SIGN('Raw data'!C12-'Raw data'!D12)=SIGN('Real results'!C12-'Real results'!D12),2+IF(AND('Raw data'!C12='Real results'!C12,'Raw data'!D12='Real results'!D12),2,0),0),0),0)</f>
        <v>0</v>
      </c>
      <c r="E13" s="29">
        <f>IFERROR(IF(AND(ISNUMBER('Real results'!C12),ISNUMBER('Real results'!D12),ISNUMBER('Raw data'!E12),ISNUMBER('Raw data'!F12)),IF(SIGN('Raw data'!E12-'Raw data'!F12)=SIGN('Real results'!C12-'Real results'!D12),2+IF(AND('Raw data'!E12='Real results'!C12,'Raw data'!F12='Real results'!D12),2,0),0),0),0)</f>
        <v>0</v>
      </c>
      <c r="G13" s="29">
        <f>IFERROR(IF(AND(ISNUMBER('Real results'!C12),ISNUMBER('Real results'!D12),ISNUMBER('Raw data'!G12),ISNUMBER('Raw data'!H12)),IF(SIGN('Raw data'!G12-'Raw data'!H12)=SIGN('Real results'!C12-'Real results'!D12),2+IF(AND('Raw data'!G12='Real results'!C12,'Raw data'!H12='Real results'!D12),2,0),0),0),0)</f>
        <v>0</v>
      </c>
      <c r="I13" s="29">
        <f>IFERROR(IF(AND(ISNUMBER('Real results'!C12),ISNUMBER('Real results'!D12),ISNUMBER('Raw data'!I12),ISNUMBER('Raw data'!J12)),IF(SIGN('Raw data'!I12-'Raw data'!J12)=SIGN('Real results'!C12-'Real results'!D12),2+IF(AND('Raw data'!I12='Real results'!C12,'Raw data'!J12='Real results'!D12),2,0),0),0),0)</f>
        <v>0</v>
      </c>
      <c r="K13" s="29">
        <f>IFERROR(IF(AND(ISNUMBER('Real results'!C12),ISNUMBER('Real results'!D12),ISNUMBER('Raw data'!K12),ISNUMBER('Raw data'!L12)),IF(SIGN('Raw data'!K12-'Raw data'!L12)=SIGN('Real results'!C12-'Real results'!D12),2+IF(AND('Raw data'!K12='Real results'!C12,'Raw data'!L12='Real results'!D12),2,0),0),0),0)</f>
        <v>0</v>
      </c>
      <c r="M13" s="29">
        <f>IFERROR(IF(AND(ISNUMBER('Real results'!C12),ISNUMBER('Real results'!D12),ISNUMBER('Raw data'!M12),ISNUMBER('Raw data'!N12)),IF(SIGN('Raw data'!M12-'Raw data'!N12)=SIGN('Real results'!C12-'Real results'!D12),2+IF(AND('Raw data'!M12='Real results'!C12,'Raw data'!N12='Real results'!D12),2,0),0),0),0)</f>
        <v>0</v>
      </c>
      <c r="O13" s="29">
        <f>IFERROR(IF(AND(ISNUMBER('Real results'!C12),ISNUMBER('Real results'!D12),ISNUMBER('Raw data'!O12),ISNUMBER('Raw data'!P12)),IF(SIGN('Raw data'!O12-'Raw data'!P12)=SIGN('Real results'!C12-'Real results'!D12),2+IF(AND('Raw data'!O12='Real results'!C12,'Raw data'!P12='Real results'!D12),2,0),0),0),0)</f>
        <v>0</v>
      </c>
      <c r="Q13" s="29">
        <f>IFERROR(IF(AND(ISNUMBER('Real results'!C12),ISNUMBER('Real results'!D12),ISNUMBER('Raw data'!Q12),ISNUMBER('Raw data'!R12)),IF(SIGN('Raw data'!Q12-'Raw data'!R12)=SIGN('Real results'!C12-'Real results'!D12),2+IF(AND('Raw data'!Q12='Real results'!C12,'Raw data'!R12='Real results'!D12),2,0),0),0),0)</f>
        <v>0</v>
      </c>
      <c r="S13" s="29">
        <f>IFERROR(IF(AND(ISNUMBER('Real results'!C12),ISNUMBER('Real results'!D12),ISNUMBER('Raw data'!S12),ISNUMBER('Raw data'!T12)),IF(SIGN('Raw data'!S12-'Raw data'!T12)=SIGN('Real results'!C12-'Real results'!D12),2+IF(AND('Raw data'!S12='Real results'!C12,'Raw data'!T12='Real results'!D12),2,0),0),0),0)</f>
        <v>0</v>
      </c>
      <c r="U13" s="29">
        <f>IFERROR(IF(AND(ISNUMBER('Real results'!C12),ISNUMBER('Real results'!D12),ISNUMBER('Raw data'!U12),ISNUMBER('Raw data'!V12)),IF(SIGN('Raw data'!U12-'Raw data'!V12)=SIGN('Real results'!C12-'Real results'!D12),2+IF(AND('Raw data'!U12='Real results'!C12,'Raw data'!V12='Real results'!D12),2,0),0),0),0)</f>
        <v>0</v>
      </c>
      <c r="W13" s="29">
        <f>IFERROR(IF(AND(ISNUMBER('Real results'!C12),ISNUMBER('Real results'!D12),ISNUMBER('Raw data'!W12),ISNUMBER('Raw data'!X12)),IF(SIGN('Raw data'!W12-'Raw data'!X12)=SIGN('Real results'!C12-'Real results'!D12),2+IF(AND('Raw data'!W12='Real results'!C12,'Raw data'!X12='Real results'!D12),2,0),0),0),0)</f>
        <v>0</v>
      </c>
      <c r="Y13" s="29">
        <f>IFERROR(IF(AND(ISNUMBER('Real results'!C12),ISNUMBER('Real results'!D12),ISNUMBER('Raw data'!Y12),ISNUMBER('Raw data'!Z12)),IF(SIGN('Raw data'!Y12-'Raw data'!Z12)=SIGN('Real results'!C12-'Real results'!D12),2+IF(AND('Raw data'!Y12='Real results'!C12,'Raw data'!Z12='Real results'!D12),2,0),0),0),0)</f>
        <v>0</v>
      </c>
      <c r="AA13" s="29">
        <f>IFERROR(IF(AND(ISNUMBER('Real results'!C12),ISNUMBER('Real results'!D12),ISNUMBER('Raw data'!AA12),ISNUMBER('Raw data'!AB12)),IF(SIGN('Raw data'!AA12-'Raw data'!AB12)=SIGN('Real results'!C12-'Real results'!D12),2+IF(AND('Raw data'!AA12='Real results'!C12,'Raw data'!AB12='Real results'!D12),2,0),0),0),0)</f>
        <v>0</v>
      </c>
      <c r="AC13" s="29">
        <f>IFERROR(IF(AND(ISNUMBER('Real results'!C12),ISNUMBER('Real results'!D12),ISNUMBER('Raw data'!AC12),ISNUMBER('Raw data'!AD12)),IF(SIGN('Raw data'!AC12-'Raw data'!AD12)=SIGN('Real results'!C12-'Real results'!D12),2+IF(AND('Raw data'!AC12='Real results'!C12,'Raw data'!AD12='Real results'!D12),2,0),0),0),0)</f>
        <v>0</v>
      </c>
      <c r="AE13" s="29">
        <f>IFERROR(IF(AND(ISNUMBER('Real results'!C12),ISNUMBER('Real results'!D12),ISNUMBER('Raw data'!AE12),ISNUMBER('Raw data'!AF12)),IF(SIGN('Raw data'!AE12-'Raw data'!AF12)=SIGN('Real results'!C12-'Real results'!D12),2+IF(AND('Raw data'!AE12='Real results'!C12,'Raw data'!AF12='Real results'!D12),2,0),0),0),0)</f>
        <v>0</v>
      </c>
      <c r="AG13" s="29">
        <f>IFERROR(IF(AND(ISNUMBER('Real results'!C12),ISNUMBER('Real results'!D12),ISNUMBER('Raw data'!AG12),ISNUMBER('Raw data'!AH12)),IF(SIGN('Raw data'!AG12-'Raw data'!AH12)=SIGN('Real results'!C12-'Real results'!D12),2+IF(AND('Raw data'!AG12='Real results'!C12,'Raw data'!AH12='Real results'!D12),2,0),0),0),0)</f>
        <v>0</v>
      </c>
      <c r="AI13" s="29">
        <f>IFERROR(IF(AND(ISNUMBER('Real results'!C12),ISNUMBER('Real results'!D12),ISNUMBER('Raw data'!AI12),ISNUMBER('Raw data'!AJ12)),IF(SIGN('Raw data'!AI12-'Raw data'!AJ12)=SIGN('Real results'!C12-'Real results'!D12),2+IF(AND('Raw data'!AI12='Real results'!C12,'Raw data'!AJ12='Real results'!D12),2,0),0),0),0)</f>
        <v>0</v>
      </c>
      <c r="AK13" s="29">
        <f>IFERROR(IF(AND(ISNUMBER('Real results'!C12),ISNUMBER('Real results'!D12),ISNUMBER('Raw data'!AK12),ISNUMBER('Raw data'!AL12)),IF(SIGN('Raw data'!AK12-'Raw data'!AL12)=SIGN('Real results'!C12-'Real results'!D12),2+IF(AND('Raw data'!AK12='Real results'!C12,'Raw data'!AL12='Real results'!D12),2,0),0),0),0)</f>
        <v>0</v>
      </c>
      <c r="AM13" s="29">
        <f>IFERROR(IF(AND(ISNUMBER('Real results'!C12),ISNUMBER('Real results'!D12),ISNUMBER('Raw data'!AM12),ISNUMBER('Raw data'!AN12)),IF(SIGN('Raw data'!AM12-'Raw data'!AN12)=SIGN('Real results'!C12-'Real results'!D12),2+IF(AND('Raw data'!AM12='Real results'!C12,'Raw data'!AN12='Real results'!D12),2,0),0),0),0)</f>
        <v>0</v>
      </c>
      <c r="AO13" s="29">
        <f>IFERROR(IF(AND(ISNUMBER('Real results'!C12),ISNUMBER('Real results'!D12),ISNUMBER('Raw data'!AO12),ISNUMBER('Raw data'!AP12)),IF(SIGN('Raw data'!AO12-'Raw data'!AP12)=SIGN('Real results'!C12-'Real results'!D12),2+IF(AND('Raw data'!AO12='Real results'!C12,'Raw data'!AP12='Real results'!D12),2,0),0),0),0)</f>
        <v>0</v>
      </c>
      <c r="AQ13" s="29">
        <f>IFERROR(IF(AND(ISNUMBER('Real results'!C12),ISNUMBER('Real results'!D12),ISNUMBER('Raw data'!AQ12),ISNUMBER('Raw data'!AR12)),IF(SIGN('Raw data'!AQ12-'Raw data'!AR12)=SIGN('Real results'!C12-'Real results'!D12),2+IF(AND('Raw data'!AQ12='Real results'!C12,'Raw data'!AR12='Real results'!D12),2,0),0),0),0)</f>
        <v>0</v>
      </c>
      <c r="AS13" s="29">
        <f>IFERROR(IF(AND(ISNUMBER('Real results'!C12),ISNUMBER('Real results'!D12),ISNUMBER('Raw data'!AS12),ISNUMBER('Raw data'!AT12)),IF(SIGN('Raw data'!AS12-'Raw data'!AT12)=SIGN('Real results'!C12-'Real results'!D12),2+IF(AND('Raw data'!AS12='Real results'!C12,'Raw data'!AT12='Real results'!D12),2,0),0),0),0)</f>
        <v>0</v>
      </c>
      <c r="AU13" s="29">
        <f>IFERROR(IF(AND(ISNUMBER('Real results'!C12),ISNUMBER('Real results'!D12),ISNUMBER('Raw data'!AU12),ISNUMBER('Raw data'!AV12)),IF(SIGN('Raw data'!AU12-'Raw data'!AV12)=SIGN('Real results'!C12-'Real results'!D12),2+IF(AND('Raw data'!AU12='Real results'!C12,'Raw data'!AV12='Real results'!D12),2,0),0),0),0)</f>
        <v>0</v>
      </c>
      <c r="AW13" s="29">
        <f>IFERROR(IF(AND(ISNUMBER('Real results'!C12),ISNUMBER('Real results'!D12),ISNUMBER('Raw data'!AW12),ISNUMBER('Raw data'!AX12)),IF(SIGN('Raw data'!AW12-'Raw data'!AX12)=SIGN('Real results'!C12-'Real results'!D12),2+IF(AND('Raw data'!AW12='Real results'!C12,'Raw data'!AX12='Real results'!D12),2,0),0),0),0)</f>
        <v>0</v>
      </c>
      <c r="AY13" s="29">
        <f>IFERROR(IF(AND(ISNUMBER('Real results'!C12),ISNUMBER('Real results'!D12),ISNUMBER('Raw data'!AY12),ISNUMBER('Raw data'!AZ12)),IF(SIGN('Raw data'!AY12-'Raw data'!AZ12)=SIGN('Real results'!C12-'Real results'!D12),2+IF(AND('Raw data'!AY12='Real results'!C12,'Raw data'!AZ12='Real results'!D12),2,0),0),0),0)</f>
        <v>0</v>
      </c>
      <c r="BA13" s="29">
        <f>IFERROR(IF(AND(ISNUMBER('Real results'!C12),ISNUMBER('Real results'!D12),ISNUMBER('Raw data'!BA12),ISNUMBER('Raw data'!BB12)),IF(SIGN('Raw data'!BA12-'Raw data'!BB12)=SIGN('Real results'!C12-'Real results'!D12),2+IF(AND('Raw data'!BA12='Real results'!C12,'Raw data'!BB12='Real results'!D12),2,0),0),0),0)</f>
        <v>0</v>
      </c>
      <c r="BC13" s="29">
        <f>IFERROR(IF(AND(ISNUMBER('Real results'!C12),ISNUMBER('Real results'!D12),ISNUMBER('Raw data'!BC12),ISNUMBER('Raw data'!BD12)),IF(SIGN('Raw data'!BC12-'Raw data'!BD12)=SIGN('Real results'!C12-'Real results'!D12),2+IF(AND('Raw data'!BC12='Real results'!C12,'Raw data'!BD12='Real results'!D12),2,0),0),0),0)</f>
        <v>0</v>
      </c>
      <c r="BE13" s="29">
        <f>IFERROR(IF(AND(ISNUMBER('Real results'!C12),ISNUMBER('Real results'!D12),ISNUMBER('Raw data'!BE12),ISNUMBER('Raw data'!BF12)),IF(SIGN('Raw data'!BE12-'Raw data'!BF12)=SIGN('Real results'!C12-'Real results'!D12),2+IF(AND('Raw data'!BE12='Real results'!C12,'Raw data'!BF12='Real results'!D12),2,0),0),0),0)</f>
        <v>0</v>
      </c>
      <c r="BG13" s="29">
        <f>IFERROR(IF(AND(ISNUMBER('Real results'!C12),ISNUMBER('Real results'!D12),ISNUMBER('Raw data'!BG12),ISNUMBER('Raw data'!BH12)),IF(SIGN('Raw data'!BG12-'Raw data'!BH12)=SIGN('Real results'!C12-'Real results'!D12),2+IF(AND('Raw data'!BG12='Real results'!C12,'Raw data'!BH12='Real results'!D12),2,0),0),0),0)</f>
        <v>0</v>
      </c>
      <c r="BI13" s="29">
        <f>IFERROR(IF(AND(ISNUMBER('Real results'!C12),ISNUMBER('Real results'!D12),ISNUMBER('Raw data'!BI12),ISNUMBER('Raw data'!BJ12)),IF(SIGN('Raw data'!BI12-'Raw data'!BJ12)=SIGN('Real results'!C12-'Real results'!D12),2+IF(AND('Raw data'!BI12='Real results'!C12,'Raw data'!BJ12='Real results'!D12),2,0),0),0),0)</f>
        <v>0</v>
      </c>
    </row>
    <row r="14" ht="18.0" customHeight="1">
      <c r="A14" s="1"/>
      <c r="B14" s="13" t="s">
        <v>33</v>
      </c>
      <c r="C14" s="29">
        <f>IFERROR(IF(AND(ISNUMBER('Real results'!C13),ISNUMBER('Real results'!D13),ISNUMBER('Raw data'!C13),ISNUMBER('Raw data'!D13)),IF(SIGN('Raw data'!C13-'Raw data'!D13)=SIGN('Real results'!C13-'Real results'!D13),2+IF(AND('Raw data'!C13='Real results'!C13,'Raw data'!D13='Real results'!D13),2,0),0),0),0)</f>
        <v>0</v>
      </c>
      <c r="E14" s="29">
        <f>IFERROR(IF(AND(ISNUMBER('Real results'!C13),ISNUMBER('Real results'!D13),ISNUMBER('Raw data'!E13),ISNUMBER('Raw data'!F13)),IF(SIGN('Raw data'!E13-'Raw data'!F13)=SIGN('Real results'!C13-'Real results'!D13),2+IF(AND('Raw data'!E13='Real results'!C13,'Raw data'!F13='Real results'!D13),2,0),0),0),0)</f>
        <v>0</v>
      </c>
      <c r="G14" s="29">
        <f>IFERROR(IF(AND(ISNUMBER('Real results'!C13),ISNUMBER('Real results'!D13),ISNUMBER('Raw data'!G13),ISNUMBER('Raw data'!H13)),IF(SIGN('Raw data'!G13-'Raw data'!H13)=SIGN('Real results'!C13-'Real results'!D13),2+IF(AND('Raw data'!G13='Real results'!C13,'Raw data'!H13='Real results'!D13),2,0),0),0),0)</f>
        <v>0</v>
      </c>
      <c r="I14" s="29">
        <f>IFERROR(IF(AND(ISNUMBER('Real results'!C13),ISNUMBER('Real results'!D13),ISNUMBER('Raw data'!I13),ISNUMBER('Raw data'!J13)),IF(SIGN('Raw data'!I13-'Raw data'!J13)=SIGN('Real results'!C13-'Real results'!D13),2+IF(AND('Raw data'!I13='Real results'!C13,'Raw data'!J13='Real results'!D13),2,0),0),0),0)</f>
        <v>0</v>
      </c>
      <c r="K14" s="29">
        <f>IFERROR(IF(AND(ISNUMBER('Real results'!C13),ISNUMBER('Real results'!D13),ISNUMBER('Raw data'!K13),ISNUMBER('Raw data'!L13)),IF(SIGN('Raw data'!K13-'Raw data'!L13)=SIGN('Real results'!C13-'Real results'!D13),2+IF(AND('Raw data'!K13='Real results'!C13,'Raw data'!L13='Real results'!D13),2,0),0),0),0)</f>
        <v>0</v>
      </c>
      <c r="M14" s="29">
        <f>IFERROR(IF(AND(ISNUMBER('Real results'!C13),ISNUMBER('Real results'!D13),ISNUMBER('Raw data'!M13),ISNUMBER('Raw data'!N13)),IF(SIGN('Raw data'!M13-'Raw data'!N13)=SIGN('Real results'!C13-'Real results'!D13),2+IF(AND('Raw data'!M13='Real results'!C13,'Raw data'!N13='Real results'!D13),2,0),0),0),0)</f>
        <v>0</v>
      </c>
      <c r="O14" s="29">
        <f>IFERROR(IF(AND(ISNUMBER('Real results'!C13),ISNUMBER('Real results'!D13),ISNUMBER('Raw data'!O13),ISNUMBER('Raw data'!P13)),IF(SIGN('Raw data'!O13-'Raw data'!P13)=SIGN('Real results'!C13-'Real results'!D13),2+IF(AND('Raw data'!O13='Real results'!C13,'Raw data'!P13='Real results'!D13),2,0),0),0),0)</f>
        <v>0</v>
      </c>
      <c r="Q14" s="29">
        <f>IFERROR(IF(AND(ISNUMBER('Real results'!C13),ISNUMBER('Real results'!D13),ISNUMBER('Raw data'!Q13),ISNUMBER('Raw data'!R13)),IF(SIGN('Raw data'!Q13-'Raw data'!R13)=SIGN('Real results'!C13-'Real results'!D13),2+IF(AND('Raw data'!Q13='Real results'!C13,'Raw data'!R13='Real results'!D13),2,0),0),0),0)</f>
        <v>0</v>
      </c>
      <c r="S14" s="29">
        <f>IFERROR(IF(AND(ISNUMBER('Real results'!C13),ISNUMBER('Real results'!D13),ISNUMBER('Raw data'!S13),ISNUMBER('Raw data'!T13)),IF(SIGN('Raw data'!S13-'Raw data'!T13)=SIGN('Real results'!C13-'Real results'!D13),2+IF(AND('Raw data'!S13='Real results'!C13,'Raw data'!T13='Real results'!D13),2,0),0),0),0)</f>
        <v>0</v>
      </c>
      <c r="U14" s="29">
        <f>IFERROR(IF(AND(ISNUMBER('Real results'!C13),ISNUMBER('Real results'!D13),ISNUMBER('Raw data'!U13),ISNUMBER('Raw data'!V13)),IF(SIGN('Raw data'!U13-'Raw data'!V13)=SIGN('Real results'!C13-'Real results'!D13),2+IF(AND('Raw data'!U13='Real results'!C13,'Raw data'!V13='Real results'!D13),2,0),0),0),0)</f>
        <v>0</v>
      </c>
      <c r="W14" s="29">
        <f>IFERROR(IF(AND(ISNUMBER('Real results'!C13),ISNUMBER('Real results'!D13),ISNUMBER('Raw data'!W13),ISNUMBER('Raw data'!X13)),IF(SIGN('Raw data'!W13-'Raw data'!X13)=SIGN('Real results'!C13-'Real results'!D13),2+IF(AND('Raw data'!W13='Real results'!C13,'Raw data'!X13='Real results'!D13),2,0),0),0),0)</f>
        <v>0</v>
      </c>
      <c r="Y14" s="29">
        <f>IFERROR(IF(AND(ISNUMBER('Real results'!C13),ISNUMBER('Real results'!D13),ISNUMBER('Raw data'!Y13),ISNUMBER('Raw data'!Z13)),IF(SIGN('Raw data'!Y13-'Raw data'!Z13)=SIGN('Real results'!C13-'Real results'!D13),2+IF(AND('Raw data'!Y13='Real results'!C13,'Raw data'!Z13='Real results'!D13),2,0),0),0),0)</f>
        <v>0</v>
      </c>
      <c r="AA14" s="29">
        <f>IFERROR(IF(AND(ISNUMBER('Real results'!C13),ISNUMBER('Real results'!D13),ISNUMBER('Raw data'!AA13),ISNUMBER('Raw data'!AB13)),IF(SIGN('Raw data'!AA13-'Raw data'!AB13)=SIGN('Real results'!C13-'Real results'!D13),2+IF(AND('Raw data'!AA13='Real results'!C13,'Raw data'!AB13='Real results'!D13),2,0),0),0),0)</f>
        <v>0</v>
      </c>
      <c r="AC14" s="29">
        <f>IFERROR(IF(AND(ISNUMBER('Real results'!C13),ISNUMBER('Real results'!D13),ISNUMBER('Raw data'!AC13),ISNUMBER('Raw data'!AD13)),IF(SIGN('Raw data'!AC13-'Raw data'!AD13)=SIGN('Real results'!C13-'Real results'!D13),2+IF(AND('Raw data'!AC13='Real results'!C13,'Raw data'!AD13='Real results'!D13),2,0),0),0),0)</f>
        <v>0</v>
      </c>
      <c r="AE14" s="29">
        <f>IFERROR(IF(AND(ISNUMBER('Real results'!C13),ISNUMBER('Real results'!D13),ISNUMBER('Raw data'!AE13),ISNUMBER('Raw data'!AF13)),IF(SIGN('Raw data'!AE13-'Raw data'!AF13)=SIGN('Real results'!C13-'Real results'!D13),2+IF(AND('Raw data'!AE13='Real results'!C13,'Raw data'!AF13='Real results'!D13),2,0),0),0),0)</f>
        <v>0</v>
      </c>
      <c r="AG14" s="29">
        <f>IFERROR(IF(AND(ISNUMBER('Real results'!C13),ISNUMBER('Real results'!D13),ISNUMBER('Raw data'!AG13),ISNUMBER('Raw data'!AH13)),IF(SIGN('Raw data'!AG13-'Raw data'!AH13)=SIGN('Real results'!C13-'Real results'!D13),2+IF(AND('Raw data'!AG13='Real results'!C13,'Raw data'!AH13='Real results'!D13),2,0),0),0),0)</f>
        <v>0</v>
      </c>
      <c r="AI14" s="29">
        <f>IFERROR(IF(AND(ISNUMBER('Real results'!C13),ISNUMBER('Real results'!D13),ISNUMBER('Raw data'!AI13),ISNUMBER('Raw data'!AJ13)),IF(SIGN('Raw data'!AI13-'Raw data'!AJ13)=SIGN('Real results'!C13-'Real results'!D13),2+IF(AND('Raw data'!AI13='Real results'!C13,'Raw data'!AJ13='Real results'!D13),2,0),0),0),0)</f>
        <v>0</v>
      </c>
      <c r="AK14" s="29">
        <f>IFERROR(IF(AND(ISNUMBER('Real results'!C13),ISNUMBER('Real results'!D13),ISNUMBER('Raw data'!AK13),ISNUMBER('Raw data'!AL13)),IF(SIGN('Raw data'!AK13-'Raw data'!AL13)=SIGN('Real results'!C13-'Real results'!D13),2+IF(AND('Raw data'!AK13='Real results'!C13,'Raw data'!AL13='Real results'!D13),2,0),0),0),0)</f>
        <v>0</v>
      </c>
      <c r="AM14" s="29">
        <f>IFERROR(IF(AND(ISNUMBER('Real results'!C13),ISNUMBER('Real results'!D13),ISNUMBER('Raw data'!AM13),ISNUMBER('Raw data'!AN13)),IF(SIGN('Raw data'!AM13-'Raw data'!AN13)=SIGN('Real results'!C13-'Real results'!D13),2+IF(AND('Raw data'!AM13='Real results'!C13,'Raw data'!AN13='Real results'!D13),2,0),0),0),0)</f>
        <v>0</v>
      </c>
      <c r="AO14" s="29">
        <f>IFERROR(IF(AND(ISNUMBER('Real results'!C13),ISNUMBER('Real results'!D13),ISNUMBER('Raw data'!AO13),ISNUMBER('Raw data'!AP13)),IF(SIGN('Raw data'!AO13-'Raw data'!AP13)=SIGN('Real results'!C13-'Real results'!D13),2+IF(AND('Raw data'!AO13='Real results'!C13,'Raw data'!AP13='Real results'!D13),2,0),0),0),0)</f>
        <v>0</v>
      </c>
      <c r="AQ14" s="29">
        <f>IFERROR(IF(AND(ISNUMBER('Real results'!C13),ISNUMBER('Real results'!D13),ISNUMBER('Raw data'!AQ13),ISNUMBER('Raw data'!AR13)),IF(SIGN('Raw data'!AQ13-'Raw data'!AR13)=SIGN('Real results'!C13-'Real results'!D13),2+IF(AND('Raw data'!AQ13='Real results'!C13,'Raw data'!AR13='Real results'!D13),2,0),0),0),0)</f>
        <v>0</v>
      </c>
      <c r="AS14" s="29">
        <f>IFERROR(IF(AND(ISNUMBER('Real results'!C13),ISNUMBER('Real results'!D13),ISNUMBER('Raw data'!AS13),ISNUMBER('Raw data'!AT13)),IF(SIGN('Raw data'!AS13-'Raw data'!AT13)=SIGN('Real results'!C13-'Real results'!D13),2+IF(AND('Raw data'!AS13='Real results'!C13,'Raw data'!AT13='Real results'!D13),2,0),0),0),0)</f>
        <v>0</v>
      </c>
      <c r="AU14" s="29">
        <f>IFERROR(IF(AND(ISNUMBER('Real results'!C13),ISNUMBER('Real results'!D13),ISNUMBER('Raw data'!AU13),ISNUMBER('Raw data'!AV13)),IF(SIGN('Raw data'!AU13-'Raw data'!AV13)=SIGN('Real results'!C13-'Real results'!D13),2+IF(AND('Raw data'!AU13='Real results'!C13,'Raw data'!AV13='Real results'!D13),2,0),0),0),0)</f>
        <v>0</v>
      </c>
      <c r="AW14" s="29">
        <f>IFERROR(IF(AND(ISNUMBER('Real results'!C13),ISNUMBER('Real results'!D13),ISNUMBER('Raw data'!AW13),ISNUMBER('Raw data'!AX13)),IF(SIGN('Raw data'!AW13-'Raw data'!AX13)=SIGN('Real results'!C13-'Real results'!D13),2+IF(AND('Raw data'!AW13='Real results'!C13,'Raw data'!AX13='Real results'!D13),2,0),0),0),0)</f>
        <v>0</v>
      </c>
      <c r="AY14" s="29">
        <f>IFERROR(IF(AND(ISNUMBER('Real results'!C13),ISNUMBER('Real results'!D13),ISNUMBER('Raw data'!AY13),ISNUMBER('Raw data'!AZ13)),IF(SIGN('Raw data'!AY13-'Raw data'!AZ13)=SIGN('Real results'!C13-'Real results'!D13),2+IF(AND('Raw data'!AY13='Real results'!C13,'Raw data'!AZ13='Real results'!D13),2,0),0),0),0)</f>
        <v>0</v>
      </c>
      <c r="BA14" s="29">
        <f>IFERROR(IF(AND(ISNUMBER('Real results'!C13),ISNUMBER('Real results'!D13),ISNUMBER('Raw data'!BA13),ISNUMBER('Raw data'!BB13)),IF(SIGN('Raw data'!BA13-'Raw data'!BB13)=SIGN('Real results'!C13-'Real results'!D13),2+IF(AND('Raw data'!BA13='Real results'!C13,'Raw data'!BB13='Real results'!D13),2,0),0),0),0)</f>
        <v>0</v>
      </c>
      <c r="BC14" s="29">
        <f>IFERROR(IF(AND(ISNUMBER('Real results'!C13),ISNUMBER('Real results'!D13),ISNUMBER('Raw data'!BC13),ISNUMBER('Raw data'!BD13)),IF(SIGN('Raw data'!BC13-'Raw data'!BD13)=SIGN('Real results'!C13-'Real results'!D13),2+IF(AND('Raw data'!BC13='Real results'!C13,'Raw data'!BD13='Real results'!D13),2,0),0),0),0)</f>
        <v>0</v>
      </c>
      <c r="BE14" s="29">
        <f>IFERROR(IF(AND(ISNUMBER('Real results'!C13),ISNUMBER('Real results'!D13),ISNUMBER('Raw data'!BE13),ISNUMBER('Raw data'!BF13)),IF(SIGN('Raw data'!BE13-'Raw data'!BF13)=SIGN('Real results'!C13-'Real results'!D13),2+IF(AND('Raw data'!BE13='Real results'!C13,'Raw data'!BF13='Real results'!D13),2,0),0),0),0)</f>
        <v>0</v>
      </c>
      <c r="BG14" s="29">
        <f>IFERROR(IF(AND(ISNUMBER('Real results'!C13),ISNUMBER('Real results'!D13),ISNUMBER('Raw data'!BG13),ISNUMBER('Raw data'!BH13)),IF(SIGN('Raw data'!BG13-'Raw data'!BH13)=SIGN('Real results'!C13-'Real results'!D13),2+IF(AND('Raw data'!BG13='Real results'!C13,'Raw data'!BH13='Real results'!D13),2,0),0),0),0)</f>
        <v>0</v>
      </c>
      <c r="BI14" s="29">
        <f>IFERROR(IF(AND(ISNUMBER('Real results'!C13),ISNUMBER('Real results'!D13),ISNUMBER('Raw data'!BI13),ISNUMBER('Raw data'!BJ13)),IF(SIGN('Raw data'!BI13-'Raw data'!BJ13)=SIGN('Real results'!C13-'Real results'!D13),2+IF(AND('Raw data'!BI13='Real results'!C13,'Raw data'!BJ13='Real results'!D13),2,0),0),0),0)</f>
        <v>0</v>
      </c>
    </row>
    <row r="15" ht="18.0" customHeight="1">
      <c r="A15" s="1"/>
      <c r="B15" s="13" t="s">
        <v>34</v>
      </c>
      <c r="C15" s="29">
        <f>IFERROR(IF(AND(ISNUMBER('Real results'!C14),ISNUMBER('Real results'!D14),ISNUMBER('Raw data'!C14),ISNUMBER('Raw data'!D14)),IF(SIGN('Raw data'!C14-'Raw data'!D14)=SIGN('Real results'!C14-'Real results'!D14),2+IF(AND('Raw data'!C14='Real results'!C14,'Raw data'!D14='Real results'!D14),2,0),0),0),0)</f>
        <v>0</v>
      </c>
      <c r="E15" s="29">
        <f>IFERROR(IF(AND(ISNUMBER('Real results'!C14),ISNUMBER('Real results'!D14),ISNUMBER('Raw data'!E14),ISNUMBER('Raw data'!F14)),IF(SIGN('Raw data'!E14-'Raw data'!F14)=SIGN('Real results'!C14-'Real results'!D14),2+IF(AND('Raw data'!E14='Real results'!C14,'Raw data'!F14='Real results'!D14),2,0),0),0),0)</f>
        <v>0</v>
      </c>
      <c r="G15" s="29">
        <f>IFERROR(IF(AND(ISNUMBER('Real results'!C14),ISNUMBER('Real results'!D14),ISNUMBER('Raw data'!G14),ISNUMBER('Raw data'!H14)),IF(SIGN('Raw data'!G14-'Raw data'!H14)=SIGN('Real results'!C14-'Real results'!D14),2+IF(AND('Raw data'!G14='Real results'!C14,'Raw data'!H14='Real results'!D14),2,0),0),0),0)</f>
        <v>0</v>
      </c>
      <c r="I15" s="29">
        <f>IFERROR(IF(AND(ISNUMBER('Real results'!C14),ISNUMBER('Real results'!D14),ISNUMBER('Raw data'!I14),ISNUMBER('Raw data'!J14)),IF(SIGN('Raw data'!I14-'Raw data'!J14)=SIGN('Real results'!C14-'Real results'!D14),2+IF(AND('Raw data'!I14='Real results'!C14,'Raw data'!J14='Real results'!D14),2,0),0),0),0)</f>
        <v>0</v>
      </c>
      <c r="K15" s="29">
        <f>IFERROR(IF(AND(ISNUMBER('Real results'!C14),ISNUMBER('Real results'!D14),ISNUMBER('Raw data'!K14),ISNUMBER('Raw data'!L14)),IF(SIGN('Raw data'!K14-'Raw data'!L14)=SIGN('Real results'!C14-'Real results'!D14),2+IF(AND('Raw data'!K14='Real results'!C14,'Raw data'!L14='Real results'!D14),2,0),0),0),0)</f>
        <v>0</v>
      </c>
      <c r="M15" s="29">
        <f>IFERROR(IF(AND(ISNUMBER('Real results'!C14),ISNUMBER('Real results'!D14),ISNUMBER('Raw data'!M14),ISNUMBER('Raw data'!N14)),IF(SIGN('Raw data'!M14-'Raw data'!N14)=SIGN('Real results'!C14-'Real results'!D14),2+IF(AND('Raw data'!M14='Real results'!C14,'Raw data'!N14='Real results'!D14),2,0),0),0),0)</f>
        <v>0</v>
      </c>
      <c r="O15" s="29">
        <f>IFERROR(IF(AND(ISNUMBER('Real results'!C14),ISNUMBER('Real results'!D14),ISNUMBER('Raw data'!O14),ISNUMBER('Raw data'!P14)),IF(SIGN('Raw data'!O14-'Raw data'!P14)=SIGN('Real results'!C14-'Real results'!D14),2+IF(AND('Raw data'!O14='Real results'!C14,'Raw data'!P14='Real results'!D14),2,0),0),0),0)</f>
        <v>0</v>
      </c>
      <c r="Q15" s="29">
        <f>IFERROR(IF(AND(ISNUMBER('Real results'!C14),ISNUMBER('Real results'!D14),ISNUMBER('Raw data'!Q14),ISNUMBER('Raw data'!R14)),IF(SIGN('Raw data'!Q14-'Raw data'!R14)=SIGN('Real results'!C14-'Real results'!D14),2+IF(AND('Raw data'!Q14='Real results'!C14,'Raw data'!R14='Real results'!D14),2,0),0),0),0)</f>
        <v>0</v>
      </c>
      <c r="S15" s="29">
        <f>IFERROR(IF(AND(ISNUMBER('Real results'!C14),ISNUMBER('Real results'!D14),ISNUMBER('Raw data'!S14),ISNUMBER('Raw data'!T14)),IF(SIGN('Raw data'!S14-'Raw data'!T14)=SIGN('Real results'!C14-'Real results'!D14),2+IF(AND('Raw data'!S14='Real results'!C14,'Raw data'!T14='Real results'!D14),2,0),0),0),0)</f>
        <v>0</v>
      </c>
      <c r="U15" s="29">
        <f>IFERROR(IF(AND(ISNUMBER('Real results'!C14),ISNUMBER('Real results'!D14),ISNUMBER('Raw data'!U14),ISNUMBER('Raw data'!V14)),IF(SIGN('Raw data'!U14-'Raw data'!V14)=SIGN('Real results'!C14-'Real results'!D14),2+IF(AND('Raw data'!U14='Real results'!C14,'Raw data'!V14='Real results'!D14),2,0),0),0),0)</f>
        <v>0</v>
      </c>
      <c r="W15" s="29">
        <f>IFERROR(IF(AND(ISNUMBER('Real results'!C14),ISNUMBER('Real results'!D14),ISNUMBER('Raw data'!W14),ISNUMBER('Raw data'!X14)),IF(SIGN('Raw data'!W14-'Raw data'!X14)=SIGN('Real results'!C14-'Real results'!D14),2+IF(AND('Raw data'!W14='Real results'!C14,'Raw data'!X14='Real results'!D14),2,0),0),0),0)</f>
        <v>0</v>
      </c>
      <c r="Y15" s="29">
        <f>IFERROR(IF(AND(ISNUMBER('Real results'!C14),ISNUMBER('Real results'!D14),ISNUMBER('Raw data'!Y14),ISNUMBER('Raw data'!Z14)),IF(SIGN('Raw data'!Y14-'Raw data'!Z14)=SIGN('Real results'!C14-'Real results'!D14),2+IF(AND('Raw data'!Y14='Real results'!C14,'Raw data'!Z14='Real results'!D14),2,0),0),0),0)</f>
        <v>0</v>
      </c>
      <c r="AA15" s="29">
        <f>IFERROR(IF(AND(ISNUMBER('Real results'!C14),ISNUMBER('Real results'!D14),ISNUMBER('Raw data'!AA14),ISNUMBER('Raw data'!AB14)),IF(SIGN('Raw data'!AA14-'Raw data'!AB14)=SIGN('Real results'!C14-'Real results'!D14),2+IF(AND('Raw data'!AA14='Real results'!C14,'Raw data'!AB14='Real results'!D14),2,0),0),0),0)</f>
        <v>0</v>
      </c>
      <c r="AC15" s="29">
        <f>IFERROR(IF(AND(ISNUMBER('Real results'!C14),ISNUMBER('Real results'!D14),ISNUMBER('Raw data'!AC14),ISNUMBER('Raw data'!AD14)),IF(SIGN('Raw data'!AC14-'Raw data'!AD14)=SIGN('Real results'!C14-'Real results'!D14),2+IF(AND('Raw data'!AC14='Real results'!C14,'Raw data'!AD14='Real results'!D14),2,0),0),0),0)</f>
        <v>0</v>
      </c>
      <c r="AE15" s="29">
        <f>IFERROR(IF(AND(ISNUMBER('Real results'!C14),ISNUMBER('Real results'!D14),ISNUMBER('Raw data'!AE14),ISNUMBER('Raw data'!AF14)),IF(SIGN('Raw data'!AE14-'Raw data'!AF14)=SIGN('Real results'!C14-'Real results'!D14),2+IF(AND('Raw data'!AE14='Real results'!C14,'Raw data'!AF14='Real results'!D14),2,0),0),0),0)</f>
        <v>0</v>
      </c>
      <c r="AG15" s="29">
        <f>IFERROR(IF(AND(ISNUMBER('Real results'!C14),ISNUMBER('Real results'!D14),ISNUMBER('Raw data'!AG14),ISNUMBER('Raw data'!AH14)),IF(SIGN('Raw data'!AG14-'Raw data'!AH14)=SIGN('Real results'!C14-'Real results'!D14),2+IF(AND('Raw data'!AG14='Real results'!C14,'Raw data'!AH14='Real results'!D14),2,0),0),0),0)</f>
        <v>0</v>
      </c>
      <c r="AI15" s="29">
        <f>IFERROR(IF(AND(ISNUMBER('Real results'!C14),ISNUMBER('Real results'!D14),ISNUMBER('Raw data'!AI14),ISNUMBER('Raw data'!AJ14)),IF(SIGN('Raw data'!AI14-'Raw data'!AJ14)=SIGN('Real results'!C14-'Real results'!D14),2+IF(AND('Raw data'!AI14='Real results'!C14,'Raw data'!AJ14='Real results'!D14),2,0),0),0),0)</f>
        <v>0</v>
      </c>
      <c r="AK15" s="29">
        <f>IFERROR(IF(AND(ISNUMBER('Real results'!C14),ISNUMBER('Real results'!D14),ISNUMBER('Raw data'!AK14),ISNUMBER('Raw data'!AL14)),IF(SIGN('Raw data'!AK14-'Raw data'!AL14)=SIGN('Real results'!C14-'Real results'!D14),2+IF(AND('Raw data'!AK14='Real results'!C14,'Raw data'!AL14='Real results'!D14),2,0),0),0),0)</f>
        <v>0</v>
      </c>
      <c r="AM15" s="29">
        <f>IFERROR(IF(AND(ISNUMBER('Real results'!C14),ISNUMBER('Real results'!D14),ISNUMBER('Raw data'!AM14),ISNUMBER('Raw data'!AN14)),IF(SIGN('Raw data'!AM14-'Raw data'!AN14)=SIGN('Real results'!C14-'Real results'!D14),2+IF(AND('Raw data'!AM14='Real results'!C14,'Raw data'!AN14='Real results'!D14),2,0),0),0),0)</f>
        <v>0</v>
      </c>
      <c r="AO15" s="29">
        <f>IFERROR(IF(AND(ISNUMBER('Real results'!C14),ISNUMBER('Real results'!D14),ISNUMBER('Raw data'!AO14),ISNUMBER('Raw data'!AP14)),IF(SIGN('Raw data'!AO14-'Raw data'!AP14)=SIGN('Real results'!C14-'Real results'!D14),2+IF(AND('Raw data'!AO14='Real results'!C14,'Raw data'!AP14='Real results'!D14),2,0),0),0),0)</f>
        <v>0</v>
      </c>
      <c r="AQ15" s="29">
        <f>IFERROR(IF(AND(ISNUMBER('Real results'!C14),ISNUMBER('Real results'!D14),ISNUMBER('Raw data'!AQ14),ISNUMBER('Raw data'!AR14)),IF(SIGN('Raw data'!AQ14-'Raw data'!AR14)=SIGN('Real results'!C14-'Real results'!D14),2+IF(AND('Raw data'!AQ14='Real results'!C14,'Raw data'!AR14='Real results'!D14),2,0),0),0),0)</f>
        <v>0</v>
      </c>
      <c r="AS15" s="29">
        <f>IFERROR(IF(AND(ISNUMBER('Real results'!C14),ISNUMBER('Real results'!D14),ISNUMBER('Raw data'!AS14),ISNUMBER('Raw data'!AT14)),IF(SIGN('Raw data'!AS14-'Raw data'!AT14)=SIGN('Real results'!C14-'Real results'!D14),2+IF(AND('Raw data'!AS14='Real results'!C14,'Raw data'!AT14='Real results'!D14),2,0),0),0),0)</f>
        <v>0</v>
      </c>
      <c r="AU15" s="29">
        <f>IFERROR(IF(AND(ISNUMBER('Real results'!C14),ISNUMBER('Real results'!D14),ISNUMBER('Raw data'!AU14),ISNUMBER('Raw data'!AV14)),IF(SIGN('Raw data'!AU14-'Raw data'!AV14)=SIGN('Real results'!C14-'Real results'!D14),2+IF(AND('Raw data'!AU14='Real results'!C14,'Raw data'!AV14='Real results'!D14),2,0),0),0),0)</f>
        <v>0</v>
      </c>
      <c r="AW15" s="29">
        <f>IFERROR(IF(AND(ISNUMBER('Real results'!C14),ISNUMBER('Real results'!D14),ISNUMBER('Raw data'!AW14),ISNUMBER('Raw data'!AX14)),IF(SIGN('Raw data'!AW14-'Raw data'!AX14)=SIGN('Real results'!C14-'Real results'!D14),2+IF(AND('Raw data'!AW14='Real results'!C14,'Raw data'!AX14='Real results'!D14),2,0),0),0),0)</f>
        <v>0</v>
      </c>
      <c r="AY15" s="29">
        <f>IFERROR(IF(AND(ISNUMBER('Real results'!C14),ISNUMBER('Real results'!D14),ISNUMBER('Raw data'!AY14),ISNUMBER('Raw data'!AZ14)),IF(SIGN('Raw data'!AY14-'Raw data'!AZ14)=SIGN('Real results'!C14-'Real results'!D14),2+IF(AND('Raw data'!AY14='Real results'!C14,'Raw data'!AZ14='Real results'!D14),2,0),0),0),0)</f>
        <v>0</v>
      </c>
      <c r="BA15" s="29">
        <f>IFERROR(IF(AND(ISNUMBER('Real results'!C14),ISNUMBER('Real results'!D14),ISNUMBER('Raw data'!BA14),ISNUMBER('Raw data'!BB14)),IF(SIGN('Raw data'!BA14-'Raw data'!BB14)=SIGN('Real results'!C14-'Real results'!D14),2+IF(AND('Raw data'!BA14='Real results'!C14,'Raw data'!BB14='Real results'!D14),2,0),0),0),0)</f>
        <v>0</v>
      </c>
      <c r="BC15" s="29">
        <f>IFERROR(IF(AND(ISNUMBER('Real results'!C14),ISNUMBER('Real results'!D14),ISNUMBER('Raw data'!BC14),ISNUMBER('Raw data'!BD14)),IF(SIGN('Raw data'!BC14-'Raw data'!BD14)=SIGN('Real results'!C14-'Real results'!D14),2+IF(AND('Raw data'!BC14='Real results'!C14,'Raw data'!BD14='Real results'!D14),2,0),0),0),0)</f>
        <v>0</v>
      </c>
      <c r="BE15" s="29">
        <f>IFERROR(IF(AND(ISNUMBER('Real results'!C14),ISNUMBER('Real results'!D14),ISNUMBER('Raw data'!BE14),ISNUMBER('Raw data'!BF14)),IF(SIGN('Raw data'!BE14-'Raw data'!BF14)=SIGN('Real results'!C14-'Real results'!D14),2+IF(AND('Raw data'!BE14='Real results'!C14,'Raw data'!BF14='Real results'!D14),2,0),0),0),0)</f>
        <v>0</v>
      </c>
      <c r="BG15" s="29">
        <f>IFERROR(IF(AND(ISNUMBER('Real results'!C14),ISNUMBER('Real results'!D14),ISNUMBER('Raw data'!BG14),ISNUMBER('Raw data'!BH14)),IF(SIGN('Raw data'!BG14-'Raw data'!BH14)=SIGN('Real results'!C14-'Real results'!D14),2+IF(AND('Raw data'!BG14='Real results'!C14,'Raw data'!BH14='Real results'!D14),2,0),0),0),0)</f>
        <v>0</v>
      </c>
      <c r="BI15" s="29">
        <f>IFERROR(IF(AND(ISNUMBER('Real results'!C14),ISNUMBER('Real results'!D14),ISNUMBER('Raw data'!BI14),ISNUMBER('Raw data'!BJ14)),IF(SIGN('Raw data'!BI14-'Raw data'!BJ14)=SIGN('Real results'!C14-'Real results'!D14),2+IF(AND('Raw data'!BI14='Real results'!C14,'Raw data'!BJ14='Real results'!D14),2,0),0),0),0)</f>
        <v>0</v>
      </c>
    </row>
    <row r="16" ht="18.0" customHeight="1">
      <c r="A16" s="1"/>
      <c r="B16" s="13" t="s">
        <v>35</v>
      </c>
      <c r="C16" s="29">
        <f>IFERROR(IF(AND(ISNUMBER('Real results'!C15),ISNUMBER('Real results'!D15),ISNUMBER('Raw data'!C15),ISNUMBER('Raw data'!D15)),IF(SIGN('Raw data'!C15-'Raw data'!D15)=SIGN('Real results'!C15-'Real results'!D15),2+IF(AND('Raw data'!C15='Real results'!C15,'Raw data'!D15='Real results'!D15),2,0),0),0),0)</f>
        <v>0</v>
      </c>
      <c r="E16" s="29">
        <f>IFERROR(IF(AND(ISNUMBER('Real results'!C15),ISNUMBER('Real results'!D15),ISNUMBER('Raw data'!E15),ISNUMBER('Raw data'!F15)),IF(SIGN('Raw data'!E15-'Raw data'!F15)=SIGN('Real results'!C15-'Real results'!D15),2+IF(AND('Raw data'!E15='Real results'!C15,'Raw data'!F15='Real results'!D15),2,0),0),0),0)</f>
        <v>0</v>
      </c>
      <c r="G16" s="29">
        <f>IFERROR(IF(AND(ISNUMBER('Real results'!C15),ISNUMBER('Real results'!D15),ISNUMBER('Raw data'!G15),ISNUMBER('Raw data'!H15)),IF(SIGN('Raw data'!G15-'Raw data'!H15)=SIGN('Real results'!C15-'Real results'!D15),2+IF(AND('Raw data'!G15='Real results'!C15,'Raw data'!H15='Real results'!D15),2,0),0),0),0)</f>
        <v>0</v>
      </c>
      <c r="I16" s="29">
        <f>IFERROR(IF(AND(ISNUMBER('Real results'!C15),ISNUMBER('Real results'!D15),ISNUMBER('Raw data'!I15),ISNUMBER('Raw data'!J15)),IF(SIGN('Raw data'!I15-'Raw data'!J15)=SIGN('Real results'!C15-'Real results'!D15),2+IF(AND('Raw data'!I15='Real results'!C15,'Raw data'!J15='Real results'!D15),2,0),0),0),0)</f>
        <v>0</v>
      </c>
      <c r="K16" s="29">
        <f>IFERROR(IF(AND(ISNUMBER('Real results'!C15),ISNUMBER('Real results'!D15),ISNUMBER('Raw data'!K15),ISNUMBER('Raw data'!L15)),IF(SIGN('Raw data'!K15-'Raw data'!L15)=SIGN('Real results'!C15-'Real results'!D15),2+IF(AND('Raw data'!K15='Real results'!C15,'Raw data'!L15='Real results'!D15),2,0),0),0),0)</f>
        <v>0</v>
      </c>
      <c r="M16" s="29">
        <f>IFERROR(IF(AND(ISNUMBER('Real results'!C15),ISNUMBER('Real results'!D15),ISNUMBER('Raw data'!M15),ISNUMBER('Raw data'!N15)),IF(SIGN('Raw data'!M15-'Raw data'!N15)=SIGN('Real results'!C15-'Real results'!D15),2+IF(AND('Raw data'!M15='Real results'!C15,'Raw data'!N15='Real results'!D15),2,0),0),0),0)</f>
        <v>0</v>
      </c>
      <c r="O16" s="29">
        <f>IFERROR(IF(AND(ISNUMBER('Real results'!C15),ISNUMBER('Real results'!D15),ISNUMBER('Raw data'!O15),ISNUMBER('Raw data'!P15)),IF(SIGN('Raw data'!O15-'Raw data'!P15)=SIGN('Real results'!C15-'Real results'!D15),2+IF(AND('Raw data'!O15='Real results'!C15,'Raw data'!P15='Real results'!D15),2,0),0),0),0)</f>
        <v>0</v>
      </c>
      <c r="Q16" s="29">
        <f>IFERROR(IF(AND(ISNUMBER('Real results'!C15),ISNUMBER('Real results'!D15),ISNUMBER('Raw data'!Q15),ISNUMBER('Raw data'!R15)),IF(SIGN('Raw data'!Q15-'Raw data'!R15)=SIGN('Real results'!C15-'Real results'!D15),2+IF(AND('Raw data'!Q15='Real results'!C15,'Raw data'!R15='Real results'!D15),2,0),0),0),0)</f>
        <v>0</v>
      </c>
      <c r="S16" s="29">
        <f>IFERROR(IF(AND(ISNUMBER('Real results'!C15),ISNUMBER('Real results'!D15),ISNUMBER('Raw data'!S15),ISNUMBER('Raw data'!T15)),IF(SIGN('Raw data'!S15-'Raw data'!T15)=SIGN('Real results'!C15-'Real results'!D15),2+IF(AND('Raw data'!S15='Real results'!C15,'Raw data'!T15='Real results'!D15),2,0),0),0),0)</f>
        <v>0</v>
      </c>
      <c r="U16" s="29">
        <f>IFERROR(IF(AND(ISNUMBER('Real results'!C15),ISNUMBER('Real results'!D15),ISNUMBER('Raw data'!U15),ISNUMBER('Raw data'!V15)),IF(SIGN('Raw data'!U15-'Raw data'!V15)=SIGN('Real results'!C15-'Real results'!D15),2+IF(AND('Raw data'!U15='Real results'!C15,'Raw data'!V15='Real results'!D15),2,0),0),0),0)</f>
        <v>0</v>
      </c>
      <c r="W16" s="29">
        <f>IFERROR(IF(AND(ISNUMBER('Real results'!C15),ISNUMBER('Real results'!D15),ISNUMBER('Raw data'!W15),ISNUMBER('Raw data'!X15)),IF(SIGN('Raw data'!W15-'Raw data'!X15)=SIGN('Real results'!C15-'Real results'!D15),2+IF(AND('Raw data'!W15='Real results'!C15,'Raw data'!X15='Real results'!D15),2,0),0),0),0)</f>
        <v>0</v>
      </c>
      <c r="Y16" s="29">
        <f>IFERROR(IF(AND(ISNUMBER('Real results'!C15),ISNUMBER('Real results'!D15),ISNUMBER('Raw data'!Y15),ISNUMBER('Raw data'!Z15)),IF(SIGN('Raw data'!Y15-'Raw data'!Z15)=SIGN('Real results'!C15-'Real results'!D15),2+IF(AND('Raw data'!Y15='Real results'!C15,'Raw data'!Z15='Real results'!D15),2,0),0),0),0)</f>
        <v>0</v>
      </c>
      <c r="AA16" s="29">
        <f>IFERROR(IF(AND(ISNUMBER('Real results'!C15),ISNUMBER('Real results'!D15),ISNUMBER('Raw data'!AA15),ISNUMBER('Raw data'!AB15)),IF(SIGN('Raw data'!AA15-'Raw data'!AB15)=SIGN('Real results'!C15-'Real results'!D15),2+IF(AND('Raw data'!AA15='Real results'!C15,'Raw data'!AB15='Real results'!D15),2,0),0),0),0)</f>
        <v>0</v>
      </c>
      <c r="AC16" s="29">
        <f>IFERROR(IF(AND(ISNUMBER('Real results'!C15),ISNUMBER('Real results'!D15),ISNUMBER('Raw data'!AC15),ISNUMBER('Raw data'!AD15)),IF(SIGN('Raw data'!AC15-'Raw data'!AD15)=SIGN('Real results'!C15-'Real results'!D15),2+IF(AND('Raw data'!AC15='Real results'!C15,'Raw data'!AD15='Real results'!D15),2,0),0),0),0)</f>
        <v>0</v>
      </c>
      <c r="AE16" s="29">
        <f>IFERROR(IF(AND(ISNUMBER('Real results'!C15),ISNUMBER('Real results'!D15),ISNUMBER('Raw data'!AE15),ISNUMBER('Raw data'!AF15)),IF(SIGN('Raw data'!AE15-'Raw data'!AF15)=SIGN('Real results'!C15-'Real results'!D15),2+IF(AND('Raw data'!AE15='Real results'!C15,'Raw data'!AF15='Real results'!D15),2,0),0),0),0)</f>
        <v>0</v>
      </c>
      <c r="AG16" s="29">
        <f>IFERROR(IF(AND(ISNUMBER('Real results'!C15),ISNUMBER('Real results'!D15),ISNUMBER('Raw data'!AG15),ISNUMBER('Raw data'!AH15)),IF(SIGN('Raw data'!AG15-'Raw data'!AH15)=SIGN('Real results'!C15-'Real results'!D15),2+IF(AND('Raw data'!AG15='Real results'!C15,'Raw data'!AH15='Real results'!D15),2,0),0),0),0)</f>
        <v>0</v>
      </c>
      <c r="AI16" s="29">
        <f>IFERROR(IF(AND(ISNUMBER('Real results'!C15),ISNUMBER('Real results'!D15),ISNUMBER('Raw data'!AI15),ISNUMBER('Raw data'!AJ15)),IF(SIGN('Raw data'!AI15-'Raw data'!AJ15)=SIGN('Real results'!C15-'Real results'!D15),2+IF(AND('Raw data'!AI15='Real results'!C15,'Raw data'!AJ15='Real results'!D15),2,0),0),0),0)</f>
        <v>0</v>
      </c>
      <c r="AK16" s="29">
        <f>IFERROR(IF(AND(ISNUMBER('Real results'!C15),ISNUMBER('Real results'!D15),ISNUMBER('Raw data'!AK15),ISNUMBER('Raw data'!AL15)),IF(SIGN('Raw data'!AK15-'Raw data'!AL15)=SIGN('Real results'!C15-'Real results'!D15),2+IF(AND('Raw data'!AK15='Real results'!C15,'Raw data'!AL15='Real results'!D15),2,0),0),0),0)</f>
        <v>0</v>
      </c>
      <c r="AM16" s="29">
        <f>IFERROR(IF(AND(ISNUMBER('Real results'!C15),ISNUMBER('Real results'!D15),ISNUMBER('Raw data'!AM15),ISNUMBER('Raw data'!AN15)),IF(SIGN('Raw data'!AM15-'Raw data'!AN15)=SIGN('Real results'!C15-'Real results'!D15),2+IF(AND('Raw data'!AM15='Real results'!C15,'Raw data'!AN15='Real results'!D15),2,0),0),0),0)</f>
        <v>0</v>
      </c>
      <c r="AO16" s="29">
        <f>IFERROR(IF(AND(ISNUMBER('Real results'!C15),ISNUMBER('Real results'!D15),ISNUMBER('Raw data'!AO15),ISNUMBER('Raw data'!AP15)),IF(SIGN('Raw data'!AO15-'Raw data'!AP15)=SIGN('Real results'!C15-'Real results'!D15),2+IF(AND('Raw data'!AO15='Real results'!C15,'Raw data'!AP15='Real results'!D15),2,0),0),0),0)</f>
        <v>0</v>
      </c>
      <c r="AQ16" s="29">
        <f>IFERROR(IF(AND(ISNUMBER('Real results'!C15),ISNUMBER('Real results'!D15),ISNUMBER('Raw data'!AQ15),ISNUMBER('Raw data'!AR15)),IF(SIGN('Raw data'!AQ15-'Raw data'!AR15)=SIGN('Real results'!C15-'Real results'!D15),2+IF(AND('Raw data'!AQ15='Real results'!C15,'Raw data'!AR15='Real results'!D15),2,0),0),0),0)</f>
        <v>0</v>
      </c>
      <c r="AS16" s="29">
        <f>IFERROR(IF(AND(ISNUMBER('Real results'!C15),ISNUMBER('Real results'!D15),ISNUMBER('Raw data'!AS15),ISNUMBER('Raw data'!AT15)),IF(SIGN('Raw data'!AS15-'Raw data'!AT15)=SIGN('Real results'!C15-'Real results'!D15),2+IF(AND('Raw data'!AS15='Real results'!C15,'Raw data'!AT15='Real results'!D15),2,0),0),0),0)</f>
        <v>0</v>
      </c>
      <c r="AU16" s="29">
        <f>IFERROR(IF(AND(ISNUMBER('Real results'!C15),ISNUMBER('Real results'!D15),ISNUMBER('Raw data'!AU15),ISNUMBER('Raw data'!AV15)),IF(SIGN('Raw data'!AU15-'Raw data'!AV15)=SIGN('Real results'!C15-'Real results'!D15),2+IF(AND('Raw data'!AU15='Real results'!C15,'Raw data'!AV15='Real results'!D15),2,0),0),0),0)</f>
        <v>0</v>
      </c>
      <c r="AW16" s="29">
        <f>IFERROR(IF(AND(ISNUMBER('Real results'!C15),ISNUMBER('Real results'!D15),ISNUMBER('Raw data'!AW15),ISNUMBER('Raw data'!AX15)),IF(SIGN('Raw data'!AW15-'Raw data'!AX15)=SIGN('Real results'!C15-'Real results'!D15),2+IF(AND('Raw data'!AW15='Real results'!C15,'Raw data'!AX15='Real results'!D15),2,0),0),0),0)</f>
        <v>0</v>
      </c>
      <c r="AY16" s="29">
        <f>IFERROR(IF(AND(ISNUMBER('Real results'!C15),ISNUMBER('Real results'!D15),ISNUMBER('Raw data'!AY15),ISNUMBER('Raw data'!AZ15)),IF(SIGN('Raw data'!AY15-'Raw data'!AZ15)=SIGN('Real results'!C15-'Real results'!D15),2+IF(AND('Raw data'!AY15='Real results'!C15,'Raw data'!AZ15='Real results'!D15),2,0),0),0),0)</f>
        <v>0</v>
      </c>
      <c r="BA16" s="29">
        <f>IFERROR(IF(AND(ISNUMBER('Real results'!C15),ISNUMBER('Real results'!D15),ISNUMBER('Raw data'!BA15),ISNUMBER('Raw data'!BB15)),IF(SIGN('Raw data'!BA15-'Raw data'!BB15)=SIGN('Real results'!C15-'Real results'!D15),2+IF(AND('Raw data'!BA15='Real results'!C15,'Raw data'!BB15='Real results'!D15),2,0),0),0),0)</f>
        <v>0</v>
      </c>
      <c r="BC16" s="29">
        <f>IFERROR(IF(AND(ISNUMBER('Real results'!C15),ISNUMBER('Real results'!D15),ISNUMBER('Raw data'!BC15),ISNUMBER('Raw data'!BD15)),IF(SIGN('Raw data'!BC15-'Raw data'!BD15)=SIGN('Real results'!C15-'Real results'!D15),2+IF(AND('Raw data'!BC15='Real results'!C15,'Raw data'!BD15='Real results'!D15),2,0),0),0),0)</f>
        <v>0</v>
      </c>
      <c r="BE16" s="29">
        <f>IFERROR(IF(AND(ISNUMBER('Real results'!C15),ISNUMBER('Real results'!D15),ISNUMBER('Raw data'!BE15),ISNUMBER('Raw data'!BF15)),IF(SIGN('Raw data'!BE15-'Raw data'!BF15)=SIGN('Real results'!C15-'Real results'!D15),2+IF(AND('Raw data'!BE15='Real results'!C15,'Raw data'!BF15='Real results'!D15),2,0),0),0),0)</f>
        <v>0</v>
      </c>
      <c r="BG16" s="29">
        <f>IFERROR(IF(AND(ISNUMBER('Real results'!C15),ISNUMBER('Real results'!D15),ISNUMBER('Raw data'!BG15),ISNUMBER('Raw data'!BH15)),IF(SIGN('Raw data'!BG15-'Raw data'!BH15)=SIGN('Real results'!C15-'Real results'!D15),2+IF(AND('Raw data'!BG15='Real results'!C15,'Raw data'!BH15='Real results'!D15),2,0),0),0),0)</f>
        <v>0</v>
      </c>
      <c r="BI16" s="29">
        <f>IFERROR(IF(AND(ISNUMBER('Real results'!C15),ISNUMBER('Real results'!D15),ISNUMBER('Raw data'!BI15),ISNUMBER('Raw data'!BJ15)),IF(SIGN('Raw data'!BI15-'Raw data'!BJ15)=SIGN('Real results'!C15-'Real results'!D15),2+IF(AND('Raw data'!BI15='Real results'!C15,'Raw data'!BJ15='Real results'!D15),2,0),0),0),0)</f>
        <v>0</v>
      </c>
    </row>
    <row r="17" ht="18.0" customHeight="1">
      <c r="A17" s="1"/>
      <c r="B17" s="13" t="s">
        <v>36</v>
      </c>
      <c r="C17" s="29">
        <f>IFERROR(IF(AND(ISNUMBER('Real results'!C16),ISNUMBER('Real results'!D16),ISNUMBER('Raw data'!C16),ISNUMBER('Raw data'!D16)),IF(SIGN('Raw data'!C16-'Raw data'!D16)=SIGN('Real results'!C16-'Real results'!D16),2+IF(AND('Raw data'!C16='Real results'!C16,'Raw data'!D16='Real results'!D16),2,0),0),0),0)</f>
        <v>0</v>
      </c>
      <c r="E17" s="29">
        <f>IFERROR(IF(AND(ISNUMBER('Real results'!C16),ISNUMBER('Real results'!D16),ISNUMBER('Raw data'!E16),ISNUMBER('Raw data'!F16)),IF(SIGN('Raw data'!E16-'Raw data'!F16)=SIGN('Real results'!C16-'Real results'!D16),2+IF(AND('Raw data'!E16='Real results'!C16,'Raw data'!F16='Real results'!D16),2,0),0),0),0)</f>
        <v>0</v>
      </c>
      <c r="G17" s="29">
        <f>IFERROR(IF(AND(ISNUMBER('Real results'!C16),ISNUMBER('Real results'!D16),ISNUMBER('Raw data'!G16),ISNUMBER('Raw data'!H16)),IF(SIGN('Raw data'!G16-'Raw data'!H16)=SIGN('Real results'!C16-'Real results'!D16),2+IF(AND('Raw data'!G16='Real results'!C16,'Raw data'!H16='Real results'!D16),2,0),0),0),0)</f>
        <v>0</v>
      </c>
      <c r="I17" s="29">
        <f>IFERROR(IF(AND(ISNUMBER('Real results'!C16),ISNUMBER('Real results'!D16),ISNUMBER('Raw data'!I16),ISNUMBER('Raw data'!J16)),IF(SIGN('Raw data'!I16-'Raw data'!J16)=SIGN('Real results'!C16-'Real results'!D16),2+IF(AND('Raw data'!I16='Real results'!C16,'Raw data'!J16='Real results'!D16),2,0),0),0),0)</f>
        <v>0</v>
      </c>
      <c r="K17" s="29">
        <f>IFERROR(IF(AND(ISNUMBER('Real results'!C16),ISNUMBER('Real results'!D16),ISNUMBER('Raw data'!K16),ISNUMBER('Raw data'!L16)),IF(SIGN('Raw data'!K16-'Raw data'!L16)=SIGN('Real results'!C16-'Real results'!D16),2+IF(AND('Raw data'!K16='Real results'!C16,'Raw data'!L16='Real results'!D16),2,0),0),0),0)</f>
        <v>0</v>
      </c>
      <c r="M17" s="29">
        <f>IFERROR(IF(AND(ISNUMBER('Real results'!C16),ISNUMBER('Real results'!D16),ISNUMBER('Raw data'!M16),ISNUMBER('Raw data'!N16)),IF(SIGN('Raw data'!M16-'Raw data'!N16)=SIGN('Real results'!C16-'Real results'!D16),2+IF(AND('Raw data'!M16='Real results'!C16,'Raw data'!N16='Real results'!D16),2,0),0),0),0)</f>
        <v>0</v>
      </c>
      <c r="O17" s="29">
        <f>IFERROR(IF(AND(ISNUMBER('Real results'!C16),ISNUMBER('Real results'!D16),ISNUMBER('Raw data'!O16),ISNUMBER('Raw data'!P16)),IF(SIGN('Raw data'!O16-'Raw data'!P16)=SIGN('Real results'!C16-'Real results'!D16),2+IF(AND('Raw data'!O16='Real results'!C16,'Raw data'!P16='Real results'!D16),2,0),0),0),0)</f>
        <v>0</v>
      </c>
      <c r="Q17" s="29">
        <f>IFERROR(IF(AND(ISNUMBER('Real results'!C16),ISNUMBER('Real results'!D16),ISNUMBER('Raw data'!Q16),ISNUMBER('Raw data'!R16)),IF(SIGN('Raw data'!Q16-'Raw data'!R16)=SIGN('Real results'!C16-'Real results'!D16),2+IF(AND('Raw data'!Q16='Real results'!C16,'Raw data'!R16='Real results'!D16),2,0),0),0),0)</f>
        <v>0</v>
      </c>
      <c r="S17" s="29">
        <f>IFERROR(IF(AND(ISNUMBER('Real results'!C16),ISNUMBER('Real results'!D16),ISNUMBER('Raw data'!S16),ISNUMBER('Raw data'!T16)),IF(SIGN('Raw data'!S16-'Raw data'!T16)=SIGN('Real results'!C16-'Real results'!D16),2+IF(AND('Raw data'!S16='Real results'!C16,'Raw data'!T16='Real results'!D16),2,0),0),0),0)</f>
        <v>0</v>
      </c>
      <c r="U17" s="29">
        <f>IFERROR(IF(AND(ISNUMBER('Real results'!C16),ISNUMBER('Real results'!D16),ISNUMBER('Raw data'!U16),ISNUMBER('Raw data'!V16)),IF(SIGN('Raw data'!U16-'Raw data'!V16)=SIGN('Real results'!C16-'Real results'!D16),2+IF(AND('Raw data'!U16='Real results'!C16,'Raw data'!V16='Real results'!D16),2,0),0),0),0)</f>
        <v>0</v>
      </c>
      <c r="W17" s="29">
        <f>IFERROR(IF(AND(ISNUMBER('Real results'!C16),ISNUMBER('Real results'!D16),ISNUMBER('Raw data'!W16),ISNUMBER('Raw data'!X16)),IF(SIGN('Raw data'!W16-'Raw data'!X16)=SIGN('Real results'!C16-'Real results'!D16),2+IF(AND('Raw data'!W16='Real results'!C16,'Raw data'!X16='Real results'!D16),2,0),0),0),0)</f>
        <v>0</v>
      </c>
      <c r="Y17" s="29">
        <f>IFERROR(IF(AND(ISNUMBER('Real results'!C16),ISNUMBER('Real results'!D16),ISNUMBER('Raw data'!Y16),ISNUMBER('Raw data'!Z16)),IF(SIGN('Raw data'!Y16-'Raw data'!Z16)=SIGN('Real results'!C16-'Real results'!D16),2+IF(AND('Raw data'!Y16='Real results'!C16,'Raw data'!Z16='Real results'!D16),2,0),0),0),0)</f>
        <v>0</v>
      </c>
      <c r="AA17" s="29">
        <f>IFERROR(IF(AND(ISNUMBER('Real results'!C16),ISNUMBER('Real results'!D16),ISNUMBER('Raw data'!AA16),ISNUMBER('Raw data'!AB16)),IF(SIGN('Raw data'!AA16-'Raw data'!AB16)=SIGN('Real results'!C16-'Real results'!D16),2+IF(AND('Raw data'!AA16='Real results'!C16,'Raw data'!AB16='Real results'!D16),2,0),0),0),0)</f>
        <v>0</v>
      </c>
      <c r="AC17" s="29">
        <f>IFERROR(IF(AND(ISNUMBER('Real results'!C16),ISNUMBER('Real results'!D16),ISNUMBER('Raw data'!AC16),ISNUMBER('Raw data'!AD16)),IF(SIGN('Raw data'!AC16-'Raw data'!AD16)=SIGN('Real results'!C16-'Real results'!D16),2+IF(AND('Raw data'!AC16='Real results'!C16,'Raw data'!AD16='Real results'!D16),2,0),0),0),0)</f>
        <v>0</v>
      </c>
      <c r="AE17" s="29">
        <f>IFERROR(IF(AND(ISNUMBER('Real results'!C16),ISNUMBER('Real results'!D16),ISNUMBER('Raw data'!AE16),ISNUMBER('Raw data'!AF16)),IF(SIGN('Raw data'!AE16-'Raw data'!AF16)=SIGN('Real results'!C16-'Real results'!D16),2+IF(AND('Raw data'!AE16='Real results'!C16,'Raw data'!AF16='Real results'!D16),2,0),0),0),0)</f>
        <v>0</v>
      </c>
      <c r="AG17" s="29">
        <f>IFERROR(IF(AND(ISNUMBER('Real results'!C16),ISNUMBER('Real results'!D16),ISNUMBER('Raw data'!AG16),ISNUMBER('Raw data'!AH16)),IF(SIGN('Raw data'!AG16-'Raw data'!AH16)=SIGN('Real results'!C16-'Real results'!D16),2+IF(AND('Raw data'!AG16='Real results'!C16,'Raw data'!AH16='Real results'!D16),2,0),0),0),0)</f>
        <v>0</v>
      </c>
      <c r="AI17" s="29">
        <f>IFERROR(IF(AND(ISNUMBER('Real results'!C16),ISNUMBER('Real results'!D16),ISNUMBER('Raw data'!AI16),ISNUMBER('Raw data'!AJ16)),IF(SIGN('Raw data'!AI16-'Raw data'!AJ16)=SIGN('Real results'!C16-'Real results'!D16),2+IF(AND('Raw data'!AI16='Real results'!C16,'Raw data'!AJ16='Real results'!D16),2,0),0),0),0)</f>
        <v>0</v>
      </c>
      <c r="AK17" s="29">
        <f>IFERROR(IF(AND(ISNUMBER('Real results'!C16),ISNUMBER('Real results'!D16),ISNUMBER('Raw data'!AK16),ISNUMBER('Raw data'!AL16)),IF(SIGN('Raw data'!AK16-'Raw data'!AL16)=SIGN('Real results'!C16-'Real results'!D16),2+IF(AND('Raw data'!AK16='Real results'!C16,'Raw data'!AL16='Real results'!D16),2,0),0),0),0)</f>
        <v>0</v>
      </c>
      <c r="AM17" s="29">
        <f>IFERROR(IF(AND(ISNUMBER('Real results'!C16),ISNUMBER('Real results'!D16),ISNUMBER('Raw data'!AM16),ISNUMBER('Raw data'!AN16)),IF(SIGN('Raw data'!AM16-'Raw data'!AN16)=SIGN('Real results'!C16-'Real results'!D16),2+IF(AND('Raw data'!AM16='Real results'!C16,'Raw data'!AN16='Real results'!D16),2,0),0),0),0)</f>
        <v>0</v>
      </c>
      <c r="AO17" s="29">
        <f>IFERROR(IF(AND(ISNUMBER('Real results'!C16),ISNUMBER('Real results'!D16),ISNUMBER('Raw data'!AO16),ISNUMBER('Raw data'!AP16)),IF(SIGN('Raw data'!AO16-'Raw data'!AP16)=SIGN('Real results'!C16-'Real results'!D16),2+IF(AND('Raw data'!AO16='Real results'!C16,'Raw data'!AP16='Real results'!D16),2,0),0),0),0)</f>
        <v>0</v>
      </c>
      <c r="AQ17" s="29">
        <f>IFERROR(IF(AND(ISNUMBER('Real results'!C16),ISNUMBER('Real results'!D16),ISNUMBER('Raw data'!AQ16),ISNUMBER('Raw data'!AR16)),IF(SIGN('Raw data'!AQ16-'Raw data'!AR16)=SIGN('Real results'!C16-'Real results'!D16),2+IF(AND('Raw data'!AQ16='Real results'!C16,'Raw data'!AR16='Real results'!D16),2,0),0),0),0)</f>
        <v>0</v>
      </c>
      <c r="AS17" s="29">
        <f>IFERROR(IF(AND(ISNUMBER('Real results'!C16),ISNUMBER('Real results'!D16),ISNUMBER('Raw data'!AS16),ISNUMBER('Raw data'!AT16)),IF(SIGN('Raw data'!AS16-'Raw data'!AT16)=SIGN('Real results'!C16-'Real results'!D16),2+IF(AND('Raw data'!AS16='Real results'!C16,'Raw data'!AT16='Real results'!D16),2,0),0),0),0)</f>
        <v>0</v>
      </c>
      <c r="AU17" s="29">
        <f>IFERROR(IF(AND(ISNUMBER('Real results'!C16),ISNUMBER('Real results'!D16),ISNUMBER('Raw data'!AU16),ISNUMBER('Raw data'!AV16)),IF(SIGN('Raw data'!AU16-'Raw data'!AV16)=SIGN('Real results'!C16-'Real results'!D16),2+IF(AND('Raw data'!AU16='Real results'!C16,'Raw data'!AV16='Real results'!D16),2,0),0),0),0)</f>
        <v>0</v>
      </c>
      <c r="AW17" s="29">
        <f>IFERROR(IF(AND(ISNUMBER('Real results'!C16),ISNUMBER('Real results'!D16),ISNUMBER('Raw data'!AW16),ISNUMBER('Raw data'!AX16)),IF(SIGN('Raw data'!AW16-'Raw data'!AX16)=SIGN('Real results'!C16-'Real results'!D16),2+IF(AND('Raw data'!AW16='Real results'!C16,'Raw data'!AX16='Real results'!D16),2,0),0),0),0)</f>
        <v>0</v>
      </c>
      <c r="AY17" s="29">
        <f>IFERROR(IF(AND(ISNUMBER('Real results'!C16),ISNUMBER('Real results'!D16),ISNUMBER('Raw data'!AY16),ISNUMBER('Raw data'!AZ16)),IF(SIGN('Raw data'!AY16-'Raw data'!AZ16)=SIGN('Real results'!C16-'Real results'!D16),2+IF(AND('Raw data'!AY16='Real results'!C16,'Raw data'!AZ16='Real results'!D16),2,0),0),0),0)</f>
        <v>0</v>
      </c>
      <c r="BA17" s="29">
        <f>IFERROR(IF(AND(ISNUMBER('Real results'!C16),ISNUMBER('Real results'!D16),ISNUMBER('Raw data'!BA16),ISNUMBER('Raw data'!BB16)),IF(SIGN('Raw data'!BA16-'Raw data'!BB16)=SIGN('Real results'!C16-'Real results'!D16),2+IF(AND('Raw data'!BA16='Real results'!C16,'Raw data'!BB16='Real results'!D16),2,0),0),0),0)</f>
        <v>0</v>
      </c>
      <c r="BC17" s="29">
        <f>IFERROR(IF(AND(ISNUMBER('Real results'!C16),ISNUMBER('Real results'!D16),ISNUMBER('Raw data'!BC16),ISNUMBER('Raw data'!BD16)),IF(SIGN('Raw data'!BC16-'Raw data'!BD16)=SIGN('Real results'!C16-'Real results'!D16),2+IF(AND('Raw data'!BC16='Real results'!C16,'Raw data'!BD16='Real results'!D16),2,0),0),0),0)</f>
        <v>0</v>
      </c>
      <c r="BE17" s="29">
        <f>IFERROR(IF(AND(ISNUMBER('Real results'!C16),ISNUMBER('Real results'!D16),ISNUMBER('Raw data'!BE16),ISNUMBER('Raw data'!BF16)),IF(SIGN('Raw data'!BE16-'Raw data'!BF16)=SIGN('Real results'!C16-'Real results'!D16),2+IF(AND('Raw data'!BE16='Real results'!C16,'Raw data'!BF16='Real results'!D16),2,0),0),0),0)</f>
        <v>0</v>
      </c>
      <c r="BG17" s="29">
        <f>IFERROR(IF(AND(ISNUMBER('Real results'!C16),ISNUMBER('Real results'!D16),ISNUMBER('Raw data'!BG16),ISNUMBER('Raw data'!BH16)),IF(SIGN('Raw data'!BG16-'Raw data'!BH16)=SIGN('Real results'!C16-'Real results'!D16),2+IF(AND('Raw data'!BG16='Real results'!C16,'Raw data'!BH16='Real results'!D16),2,0),0),0),0)</f>
        <v>0</v>
      </c>
      <c r="BI17" s="29">
        <f>IFERROR(IF(AND(ISNUMBER('Real results'!C16),ISNUMBER('Real results'!D16),ISNUMBER('Raw data'!BI16),ISNUMBER('Raw data'!BJ16)),IF(SIGN('Raw data'!BI16-'Raw data'!BJ16)=SIGN('Real results'!C16-'Real results'!D16),2+IF(AND('Raw data'!BI16='Real results'!C16,'Raw data'!BJ16='Real results'!D16),2,0),0),0),0)</f>
        <v>0</v>
      </c>
    </row>
    <row r="18" ht="18.0" customHeight="1">
      <c r="A18" s="1"/>
      <c r="B18" s="13" t="s">
        <v>37</v>
      </c>
      <c r="C18" s="29">
        <f>IFERROR(IF(AND(ISNUMBER('Real results'!C17),ISNUMBER('Real results'!D17),ISNUMBER('Raw data'!C17),ISNUMBER('Raw data'!D17)),IF(SIGN('Raw data'!C17-'Raw data'!D17)=SIGN('Real results'!C17-'Real results'!D17),2+IF(AND('Raw data'!C17='Real results'!C17,'Raw data'!D17='Real results'!D17),2,0),0),0),0)</f>
        <v>0</v>
      </c>
      <c r="E18" s="29">
        <f>IFERROR(IF(AND(ISNUMBER('Real results'!C17),ISNUMBER('Real results'!D17),ISNUMBER('Raw data'!E17),ISNUMBER('Raw data'!F17)),IF(SIGN('Raw data'!E17-'Raw data'!F17)=SIGN('Real results'!C17-'Real results'!D17),2+IF(AND('Raw data'!E17='Real results'!C17,'Raw data'!F17='Real results'!D17),2,0),0),0),0)</f>
        <v>0</v>
      </c>
      <c r="G18" s="29">
        <f>IFERROR(IF(AND(ISNUMBER('Real results'!C17),ISNUMBER('Real results'!D17),ISNUMBER('Raw data'!G17),ISNUMBER('Raw data'!H17)),IF(SIGN('Raw data'!G17-'Raw data'!H17)=SIGN('Real results'!C17-'Real results'!D17),2+IF(AND('Raw data'!G17='Real results'!C17,'Raw data'!H17='Real results'!D17),2,0),0),0),0)</f>
        <v>0</v>
      </c>
      <c r="I18" s="29">
        <f>IFERROR(IF(AND(ISNUMBER('Real results'!C17),ISNUMBER('Real results'!D17),ISNUMBER('Raw data'!I17),ISNUMBER('Raw data'!J17)),IF(SIGN('Raw data'!I17-'Raw data'!J17)=SIGN('Real results'!C17-'Real results'!D17),2+IF(AND('Raw data'!I17='Real results'!C17,'Raw data'!J17='Real results'!D17),2,0),0),0),0)</f>
        <v>0</v>
      </c>
      <c r="K18" s="29">
        <f>IFERROR(IF(AND(ISNUMBER('Real results'!C17),ISNUMBER('Real results'!D17),ISNUMBER('Raw data'!K17),ISNUMBER('Raw data'!L17)),IF(SIGN('Raw data'!K17-'Raw data'!L17)=SIGN('Real results'!C17-'Real results'!D17),2+IF(AND('Raw data'!K17='Real results'!C17,'Raw data'!L17='Real results'!D17),2,0),0),0),0)</f>
        <v>0</v>
      </c>
      <c r="M18" s="29">
        <f>IFERROR(IF(AND(ISNUMBER('Real results'!C17),ISNUMBER('Real results'!D17),ISNUMBER('Raw data'!M17),ISNUMBER('Raw data'!N17)),IF(SIGN('Raw data'!M17-'Raw data'!N17)=SIGN('Real results'!C17-'Real results'!D17),2+IF(AND('Raw data'!M17='Real results'!C17,'Raw data'!N17='Real results'!D17),2,0),0),0),0)</f>
        <v>0</v>
      </c>
      <c r="O18" s="29">
        <f>IFERROR(IF(AND(ISNUMBER('Real results'!C17),ISNUMBER('Real results'!D17),ISNUMBER('Raw data'!O17),ISNUMBER('Raw data'!P17)),IF(SIGN('Raw data'!O17-'Raw data'!P17)=SIGN('Real results'!C17-'Real results'!D17),2+IF(AND('Raw data'!O17='Real results'!C17,'Raw data'!P17='Real results'!D17),2,0),0),0),0)</f>
        <v>0</v>
      </c>
      <c r="Q18" s="29">
        <f>IFERROR(IF(AND(ISNUMBER('Real results'!C17),ISNUMBER('Real results'!D17),ISNUMBER('Raw data'!Q17),ISNUMBER('Raw data'!R17)),IF(SIGN('Raw data'!Q17-'Raw data'!R17)=SIGN('Real results'!C17-'Real results'!D17),2+IF(AND('Raw data'!Q17='Real results'!C17,'Raw data'!R17='Real results'!D17),2,0),0),0),0)</f>
        <v>0</v>
      </c>
      <c r="S18" s="29">
        <f>IFERROR(IF(AND(ISNUMBER('Real results'!C17),ISNUMBER('Real results'!D17),ISNUMBER('Raw data'!S17),ISNUMBER('Raw data'!T17)),IF(SIGN('Raw data'!S17-'Raw data'!T17)=SIGN('Real results'!C17-'Real results'!D17),2+IF(AND('Raw data'!S17='Real results'!C17,'Raw data'!T17='Real results'!D17),2,0),0),0),0)</f>
        <v>0</v>
      </c>
      <c r="U18" s="29">
        <f>IFERROR(IF(AND(ISNUMBER('Real results'!C17),ISNUMBER('Real results'!D17),ISNUMBER('Raw data'!U17),ISNUMBER('Raw data'!V17)),IF(SIGN('Raw data'!U17-'Raw data'!V17)=SIGN('Real results'!C17-'Real results'!D17),2+IF(AND('Raw data'!U17='Real results'!C17,'Raw data'!V17='Real results'!D17),2,0),0),0),0)</f>
        <v>0</v>
      </c>
      <c r="W18" s="29">
        <f>IFERROR(IF(AND(ISNUMBER('Real results'!C17),ISNUMBER('Real results'!D17),ISNUMBER('Raw data'!W17),ISNUMBER('Raw data'!X17)),IF(SIGN('Raw data'!W17-'Raw data'!X17)=SIGN('Real results'!C17-'Real results'!D17),2+IF(AND('Raw data'!W17='Real results'!C17,'Raw data'!X17='Real results'!D17),2,0),0),0),0)</f>
        <v>0</v>
      </c>
      <c r="Y18" s="29">
        <f>IFERROR(IF(AND(ISNUMBER('Real results'!C17),ISNUMBER('Real results'!D17),ISNUMBER('Raw data'!Y17),ISNUMBER('Raw data'!Z17)),IF(SIGN('Raw data'!Y17-'Raw data'!Z17)=SIGN('Real results'!C17-'Real results'!D17),2+IF(AND('Raw data'!Y17='Real results'!C17,'Raw data'!Z17='Real results'!D17),2,0),0),0),0)</f>
        <v>0</v>
      </c>
      <c r="AA18" s="29">
        <f>IFERROR(IF(AND(ISNUMBER('Real results'!C17),ISNUMBER('Real results'!D17),ISNUMBER('Raw data'!AA17),ISNUMBER('Raw data'!AB17)),IF(SIGN('Raw data'!AA17-'Raw data'!AB17)=SIGN('Real results'!C17-'Real results'!D17),2+IF(AND('Raw data'!AA17='Real results'!C17,'Raw data'!AB17='Real results'!D17),2,0),0),0),0)</f>
        <v>0</v>
      </c>
      <c r="AC18" s="29">
        <f>IFERROR(IF(AND(ISNUMBER('Real results'!C17),ISNUMBER('Real results'!D17),ISNUMBER('Raw data'!AC17),ISNUMBER('Raw data'!AD17)),IF(SIGN('Raw data'!AC17-'Raw data'!AD17)=SIGN('Real results'!C17-'Real results'!D17),2+IF(AND('Raw data'!AC17='Real results'!C17,'Raw data'!AD17='Real results'!D17),2,0),0),0),0)</f>
        <v>0</v>
      </c>
      <c r="AE18" s="29">
        <f>IFERROR(IF(AND(ISNUMBER('Real results'!C17),ISNUMBER('Real results'!D17),ISNUMBER('Raw data'!AE17),ISNUMBER('Raw data'!AF17)),IF(SIGN('Raw data'!AE17-'Raw data'!AF17)=SIGN('Real results'!C17-'Real results'!D17),2+IF(AND('Raw data'!AE17='Real results'!C17,'Raw data'!AF17='Real results'!D17),2,0),0),0),0)</f>
        <v>0</v>
      </c>
      <c r="AG18" s="29">
        <f>IFERROR(IF(AND(ISNUMBER('Real results'!C17),ISNUMBER('Real results'!D17),ISNUMBER('Raw data'!AG17),ISNUMBER('Raw data'!AH17)),IF(SIGN('Raw data'!AG17-'Raw data'!AH17)=SIGN('Real results'!C17-'Real results'!D17),2+IF(AND('Raw data'!AG17='Real results'!C17,'Raw data'!AH17='Real results'!D17),2,0),0),0),0)</f>
        <v>0</v>
      </c>
      <c r="AI18" s="29">
        <f>IFERROR(IF(AND(ISNUMBER('Real results'!C17),ISNUMBER('Real results'!D17),ISNUMBER('Raw data'!AI17),ISNUMBER('Raw data'!AJ17)),IF(SIGN('Raw data'!AI17-'Raw data'!AJ17)=SIGN('Real results'!C17-'Real results'!D17),2+IF(AND('Raw data'!AI17='Real results'!C17,'Raw data'!AJ17='Real results'!D17),2,0),0),0),0)</f>
        <v>0</v>
      </c>
      <c r="AK18" s="29">
        <f>IFERROR(IF(AND(ISNUMBER('Real results'!C17),ISNUMBER('Real results'!D17),ISNUMBER('Raw data'!AK17),ISNUMBER('Raw data'!AL17)),IF(SIGN('Raw data'!AK17-'Raw data'!AL17)=SIGN('Real results'!C17-'Real results'!D17),2+IF(AND('Raw data'!AK17='Real results'!C17,'Raw data'!AL17='Real results'!D17),2,0),0),0),0)</f>
        <v>0</v>
      </c>
      <c r="AM18" s="29">
        <f>IFERROR(IF(AND(ISNUMBER('Real results'!C17),ISNUMBER('Real results'!D17),ISNUMBER('Raw data'!AM17),ISNUMBER('Raw data'!AN17)),IF(SIGN('Raw data'!AM17-'Raw data'!AN17)=SIGN('Real results'!C17-'Real results'!D17),2+IF(AND('Raw data'!AM17='Real results'!C17,'Raw data'!AN17='Real results'!D17),2,0),0),0),0)</f>
        <v>0</v>
      </c>
      <c r="AO18" s="29">
        <f>IFERROR(IF(AND(ISNUMBER('Real results'!C17),ISNUMBER('Real results'!D17),ISNUMBER('Raw data'!AO17),ISNUMBER('Raw data'!AP17)),IF(SIGN('Raw data'!AO17-'Raw data'!AP17)=SIGN('Real results'!C17-'Real results'!D17),2+IF(AND('Raw data'!AO17='Real results'!C17,'Raw data'!AP17='Real results'!D17),2,0),0),0),0)</f>
        <v>0</v>
      </c>
      <c r="AQ18" s="29">
        <f>IFERROR(IF(AND(ISNUMBER('Real results'!C17),ISNUMBER('Real results'!D17),ISNUMBER('Raw data'!AQ17),ISNUMBER('Raw data'!AR17)),IF(SIGN('Raw data'!AQ17-'Raw data'!AR17)=SIGN('Real results'!C17-'Real results'!D17),2+IF(AND('Raw data'!AQ17='Real results'!C17,'Raw data'!AR17='Real results'!D17),2,0),0),0),0)</f>
        <v>0</v>
      </c>
      <c r="AS18" s="29">
        <f>IFERROR(IF(AND(ISNUMBER('Real results'!C17),ISNUMBER('Real results'!D17),ISNUMBER('Raw data'!AS17),ISNUMBER('Raw data'!AT17)),IF(SIGN('Raw data'!AS17-'Raw data'!AT17)=SIGN('Real results'!C17-'Real results'!D17),2+IF(AND('Raw data'!AS17='Real results'!C17,'Raw data'!AT17='Real results'!D17),2,0),0),0),0)</f>
        <v>0</v>
      </c>
      <c r="AU18" s="29">
        <f>IFERROR(IF(AND(ISNUMBER('Real results'!C17),ISNUMBER('Real results'!D17),ISNUMBER('Raw data'!AU17),ISNUMBER('Raw data'!AV17)),IF(SIGN('Raw data'!AU17-'Raw data'!AV17)=SIGN('Real results'!C17-'Real results'!D17),2+IF(AND('Raw data'!AU17='Real results'!C17,'Raw data'!AV17='Real results'!D17),2,0),0),0),0)</f>
        <v>0</v>
      </c>
      <c r="AW18" s="29">
        <f>IFERROR(IF(AND(ISNUMBER('Real results'!C17),ISNUMBER('Real results'!D17),ISNUMBER('Raw data'!AW17),ISNUMBER('Raw data'!AX17)),IF(SIGN('Raw data'!AW17-'Raw data'!AX17)=SIGN('Real results'!C17-'Real results'!D17),2+IF(AND('Raw data'!AW17='Real results'!C17,'Raw data'!AX17='Real results'!D17),2,0),0),0),0)</f>
        <v>0</v>
      </c>
      <c r="AY18" s="29">
        <f>IFERROR(IF(AND(ISNUMBER('Real results'!C17),ISNUMBER('Real results'!D17),ISNUMBER('Raw data'!AY17),ISNUMBER('Raw data'!AZ17)),IF(SIGN('Raw data'!AY17-'Raw data'!AZ17)=SIGN('Real results'!C17-'Real results'!D17),2+IF(AND('Raw data'!AY17='Real results'!C17,'Raw data'!AZ17='Real results'!D17),2,0),0),0),0)</f>
        <v>0</v>
      </c>
      <c r="BA18" s="29">
        <f>IFERROR(IF(AND(ISNUMBER('Real results'!C17),ISNUMBER('Real results'!D17),ISNUMBER('Raw data'!BA17),ISNUMBER('Raw data'!BB17)),IF(SIGN('Raw data'!BA17-'Raw data'!BB17)=SIGN('Real results'!C17-'Real results'!D17),2+IF(AND('Raw data'!BA17='Real results'!C17,'Raw data'!BB17='Real results'!D17),2,0),0),0),0)</f>
        <v>0</v>
      </c>
      <c r="BC18" s="29">
        <f>IFERROR(IF(AND(ISNUMBER('Real results'!C17),ISNUMBER('Real results'!D17),ISNUMBER('Raw data'!BC17),ISNUMBER('Raw data'!BD17)),IF(SIGN('Raw data'!BC17-'Raw data'!BD17)=SIGN('Real results'!C17-'Real results'!D17),2+IF(AND('Raw data'!BC17='Real results'!C17,'Raw data'!BD17='Real results'!D17),2,0),0),0),0)</f>
        <v>0</v>
      </c>
      <c r="BE18" s="29">
        <f>IFERROR(IF(AND(ISNUMBER('Real results'!C17),ISNUMBER('Real results'!D17),ISNUMBER('Raw data'!BE17),ISNUMBER('Raw data'!BF17)),IF(SIGN('Raw data'!BE17-'Raw data'!BF17)=SIGN('Real results'!C17-'Real results'!D17),2+IF(AND('Raw data'!BE17='Real results'!C17,'Raw data'!BF17='Real results'!D17),2,0),0),0),0)</f>
        <v>0</v>
      </c>
      <c r="BG18" s="29">
        <f>IFERROR(IF(AND(ISNUMBER('Real results'!C17),ISNUMBER('Real results'!D17),ISNUMBER('Raw data'!BG17),ISNUMBER('Raw data'!BH17)),IF(SIGN('Raw data'!BG17-'Raw data'!BH17)=SIGN('Real results'!C17-'Real results'!D17),2+IF(AND('Raw data'!BG17='Real results'!C17,'Raw data'!BH17='Real results'!D17),2,0),0),0),0)</f>
        <v>0</v>
      </c>
      <c r="BI18" s="29">
        <f>IFERROR(IF(AND(ISNUMBER('Real results'!C17),ISNUMBER('Real results'!D17),ISNUMBER('Raw data'!BI17),ISNUMBER('Raw data'!BJ17)),IF(SIGN('Raw data'!BI17-'Raw data'!BJ17)=SIGN('Real results'!C17-'Real results'!D17),2+IF(AND('Raw data'!BI17='Real results'!C17,'Raw data'!BJ17='Real results'!D17),2,0),0),0),0)</f>
        <v>0</v>
      </c>
    </row>
    <row r="19" ht="18.0" customHeight="1">
      <c r="A19" s="1"/>
      <c r="B19" s="13" t="s">
        <v>38</v>
      </c>
      <c r="C19" s="29">
        <f>IFERROR(IF(AND(ISNUMBER('Real results'!C18),ISNUMBER('Real results'!D18),ISNUMBER('Raw data'!C18),ISNUMBER('Raw data'!D18)),IF(SIGN('Raw data'!C18-'Raw data'!D18)=SIGN('Real results'!C18-'Real results'!D18),2+IF(AND('Raw data'!C18='Real results'!C18,'Raw data'!D18='Real results'!D18),2,0),0),0),0)</f>
        <v>0</v>
      </c>
      <c r="E19" s="29">
        <f>IFERROR(IF(AND(ISNUMBER('Real results'!C18),ISNUMBER('Real results'!D18),ISNUMBER('Raw data'!E18),ISNUMBER('Raw data'!F18)),IF(SIGN('Raw data'!E18-'Raw data'!F18)=SIGN('Real results'!C18-'Real results'!D18),2+IF(AND('Raw data'!E18='Real results'!C18,'Raw data'!F18='Real results'!D18),2,0),0),0),0)</f>
        <v>0</v>
      </c>
      <c r="G19" s="29">
        <f>IFERROR(IF(AND(ISNUMBER('Real results'!C18),ISNUMBER('Real results'!D18),ISNUMBER('Raw data'!G18),ISNUMBER('Raw data'!H18)),IF(SIGN('Raw data'!G18-'Raw data'!H18)=SIGN('Real results'!C18-'Real results'!D18),2+IF(AND('Raw data'!G18='Real results'!C18,'Raw data'!H18='Real results'!D18),2,0),0),0),0)</f>
        <v>0</v>
      </c>
      <c r="I19" s="29">
        <f>IFERROR(IF(AND(ISNUMBER('Real results'!C18),ISNUMBER('Real results'!D18),ISNUMBER('Raw data'!I18),ISNUMBER('Raw data'!J18)),IF(SIGN('Raw data'!I18-'Raw data'!J18)=SIGN('Real results'!C18-'Real results'!D18),2+IF(AND('Raw data'!I18='Real results'!C18,'Raw data'!J18='Real results'!D18),2,0),0),0),0)</f>
        <v>0</v>
      </c>
      <c r="K19" s="29">
        <f>IFERROR(IF(AND(ISNUMBER('Real results'!C18),ISNUMBER('Real results'!D18),ISNUMBER('Raw data'!K18),ISNUMBER('Raw data'!L18)),IF(SIGN('Raw data'!K18-'Raw data'!L18)=SIGN('Real results'!C18-'Real results'!D18),2+IF(AND('Raw data'!K18='Real results'!C18,'Raw data'!L18='Real results'!D18),2,0),0),0),0)</f>
        <v>0</v>
      </c>
      <c r="M19" s="29">
        <f>IFERROR(IF(AND(ISNUMBER('Real results'!C18),ISNUMBER('Real results'!D18),ISNUMBER('Raw data'!M18),ISNUMBER('Raw data'!N18)),IF(SIGN('Raw data'!M18-'Raw data'!N18)=SIGN('Real results'!C18-'Real results'!D18),2+IF(AND('Raw data'!M18='Real results'!C18,'Raw data'!N18='Real results'!D18),2,0),0),0),0)</f>
        <v>0</v>
      </c>
      <c r="O19" s="29">
        <f>IFERROR(IF(AND(ISNUMBER('Real results'!C18),ISNUMBER('Real results'!D18),ISNUMBER('Raw data'!O18),ISNUMBER('Raw data'!P18)),IF(SIGN('Raw data'!O18-'Raw data'!P18)=SIGN('Real results'!C18-'Real results'!D18),2+IF(AND('Raw data'!O18='Real results'!C18,'Raw data'!P18='Real results'!D18),2,0),0),0),0)</f>
        <v>0</v>
      </c>
      <c r="Q19" s="29">
        <f>IFERROR(IF(AND(ISNUMBER('Real results'!C18),ISNUMBER('Real results'!D18),ISNUMBER('Raw data'!Q18),ISNUMBER('Raw data'!R18)),IF(SIGN('Raw data'!Q18-'Raw data'!R18)=SIGN('Real results'!C18-'Real results'!D18),2+IF(AND('Raw data'!Q18='Real results'!C18,'Raw data'!R18='Real results'!D18),2,0),0),0),0)</f>
        <v>0</v>
      </c>
      <c r="S19" s="29">
        <f>IFERROR(IF(AND(ISNUMBER('Real results'!C18),ISNUMBER('Real results'!D18),ISNUMBER('Raw data'!S18),ISNUMBER('Raw data'!T18)),IF(SIGN('Raw data'!S18-'Raw data'!T18)=SIGN('Real results'!C18-'Real results'!D18),2+IF(AND('Raw data'!S18='Real results'!C18,'Raw data'!T18='Real results'!D18),2,0),0),0),0)</f>
        <v>0</v>
      </c>
      <c r="U19" s="29">
        <f>IFERROR(IF(AND(ISNUMBER('Real results'!C18),ISNUMBER('Real results'!D18),ISNUMBER('Raw data'!U18),ISNUMBER('Raw data'!V18)),IF(SIGN('Raw data'!U18-'Raw data'!V18)=SIGN('Real results'!C18-'Real results'!D18),2+IF(AND('Raw data'!U18='Real results'!C18,'Raw data'!V18='Real results'!D18),2,0),0),0),0)</f>
        <v>0</v>
      </c>
      <c r="W19" s="29">
        <f>IFERROR(IF(AND(ISNUMBER('Real results'!C18),ISNUMBER('Real results'!D18),ISNUMBER('Raw data'!W18),ISNUMBER('Raw data'!X18)),IF(SIGN('Raw data'!W18-'Raw data'!X18)=SIGN('Real results'!C18-'Real results'!D18),2+IF(AND('Raw data'!W18='Real results'!C18,'Raw data'!X18='Real results'!D18),2,0),0),0),0)</f>
        <v>0</v>
      </c>
      <c r="Y19" s="29">
        <f>IFERROR(IF(AND(ISNUMBER('Real results'!C18),ISNUMBER('Real results'!D18),ISNUMBER('Raw data'!Y18),ISNUMBER('Raw data'!Z18)),IF(SIGN('Raw data'!Y18-'Raw data'!Z18)=SIGN('Real results'!C18-'Real results'!D18),2+IF(AND('Raw data'!Y18='Real results'!C18,'Raw data'!Z18='Real results'!D18),2,0),0),0),0)</f>
        <v>0</v>
      </c>
      <c r="AA19" s="29">
        <f>IFERROR(IF(AND(ISNUMBER('Real results'!C18),ISNUMBER('Real results'!D18),ISNUMBER('Raw data'!AA18),ISNUMBER('Raw data'!AB18)),IF(SIGN('Raw data'!AA18-'Raw data'!AB18)=SIGN('Real results'!C18-'Real results'!D18),2+IF(AND('Raw data'!AA18='Real results'!C18,'Raw data'!AB18='Real results'!D18),2,0),0),0),0)</f>
        <v>0</v>
      </c>
      <c r="AC19" s="29">
        <f>IFERROR(IF(AND(ISNUMBER('Real results'!C18),ISNUMBER('Real results'!D18),ISNUMBER('Raw data'!AC18),ISNUMBER('Raw data'!AD18)),IF(SIGN('Raw data'!AC18-'Raw data'!AD18)=SIGN('Real results'!C18-'Real results'!D18),2+IF(AND('Raw data'!AC18='Real results'!C18,'Raw data'!AD18='Real results'!D18),2,0),0),0),0)</f>
        <v>0</v>
      </c>
      <c r="AE19" s="29">
        <f>IFERROR(IF(AND(ISNUMBER('Real results'!C18),ISNUMBER('Real results'!D18),ISNUMBER('Raw data'!AE18),ISNUMBER('Raw data'!AF18)),IF(SIGN('Raw data'!AE18-'Raw data'!AF18)=SIGN('Real results'!C18-'Real results'!D18),2+IF(AND('Raw data'!AE18='Real results'!C18,'Raw data'!AF18='Real results'!D18),2,0),0),0),0)</f>
        <v>0</v>
      </c>
      <c r="AG19" s="29">
        <f>IFERROR(IF(AND(ISNUMBER('Real results'!C18),ISNUMBER('Real results'!D18),ISNUMBER('Raw data'!AG18),ISNUMBER('Raw data'!AH18)),IF(SIGN('Raw data'!AG18-'Raw data'!AH18)=SIGN('Real results'!C18-'Real results'!D18),2+IF(AND('Raw data'!AG18='Real results'!C18,'Raw data'!AH18='Real results'!D18),2,0),0),0),0)</f>
        <v>0</v>
      </c>
      <c r="AI19" s="29">
        <f>IFERROR(IF(AND(ISNUMBER('Real results'!C18),ISNUMBER('Real results'!D18),ISNUMBER('Raw data'!AI18),ISNUMBER('Raw data'!AJ18)),IF(SIGN('Raw data'!AI18-'Raw data'!AJ18)=SIGN('Real results'!C18-'Real results'!D18),2+IF(AND('Raw data'!AI18='Real results'!C18,'Raw data'!AJ18='Real results'!D18),2,0),0),0),0)</f>
        <v>0</v>
      </c>
      <c r="AK19" s="29">
        <f>IFERROR(IF(AND(ISNUMBER('Real results'!C18),ISNUMBER('Real results'!D18),ISNUMBER('Raw data'!AK18),ISNUMBER('Raw data'!AL18)),IF(SIGN('Raw data'!AK18-'Raw data'!AL18)=SIGN('Real results'!C18-'Real results'!D18),2+IF(AND('Raw data'!AK18='Real results'!C18,'Raw data'!AL18='Real results'!D18),2,0),0),0),0)</f>
        <v>0</v>
      </c>
      <c r="AM19" s="29">
        <f>IFERROR(IF(AND(ISNUMBER('Real results'!C18),ISNUMBER('Real results'!D18),ISNUMBER('Raw data'!AM18),ISNUMBER('Raw data'!AN18)),IF(SIGN('Raw data'!AM18-'Raw data'!AN18)=SIGN('Real results'!C18-'Real results'!D18),2+IF(AND('Raw data'!AM18='Real results'!C18,'Raw data'!AN18='Real results'!D18),2,0),0),0),0)</f>
        <v>0</v>
      </c>
      <c r="AO19" s="29">
        <f>IFERROR(IF(AND(ISNUMBER('Real results'!C18),ISNUMBER('Real results'!D18),ISNUMBER('Raw data'!AO18),ISNUMBER('Raw data'!AP18)),IF(SIGN('Raw data'!AO18-'Raw data'!AP18)=SIGN('Real results'!C18-'Real results'!D18),2+IF(AND('Raw data'!AO18='Real results'!C18,'Raw data'!AP18='Real results'!D18),2,0),0),0),0)</f>
        <v>0</v>
      </c>
      <c r="AQ19" s="29">
        <f>IFERROR(IF(AND(ISNUMBER('Real results'!C18),ISNUMBER('Real results'!D18),ISNUMBER('Raw data'!AQ18),ISNUMBER('Raw data'!AR18)),IF(SIGN('Raw data'!AQ18-'Raw data'!AR18)=SIGN('Real results'!C18-'Real results'!D18),2+IF(AND('Raw data'!AQ18='Real results'!C18,'Raw data'!AR18='Real results'!D18),2,0),0),0),0)</f>
        <v>0</v>
      </c>
      <c r="AS19" s="29">
        <f>IFERROR(IF(AND(ISNUMBER('Real results'!C18),ISNUMBER('Real results'!D18),ISNUMBER('Raw data'!AS18),ISNUMBER('Raw data'!AT18)),IF(SIGN('Raw data'!AS18-'Raw data'!AT18)=SIGN('Real results'!C18-'Real results'!D18),2+IF(AND('Raw data'!AS18='Real results'!C18,'Raw data'!AT18='Real results'!D18),2,0),0),0),0)</f>
        <v>0</v>
      </c>
      <c r="AU19" s="29">
        <f>IFERROR(IF(AND(ISNUMBER('Real results'!C18),ISNUMBER('Real results'!D18),ISNUMBER('Raw data'!AU18),ISNUMBER('Raw data'!AV18)),IF(SIGN('Raw data'!AU18-'Raw data'!AV18)=SIGN('Real results'!C18-'Real results'!D18),2+IF(AND('Raw data'!AU18='Real results'!C18,'Raw data'!AV18='Real results'!D18),2,0),0),0),0)</f>
        <v>0</v>
      </c>
      <c r="AW19" s="29">
        <f>IFERROR(IF(AND(ISNUMBER('Real results'!C18),ISNUMBER('Real results'!D18),ISNUMBER('Raw data'!AW18),ISNUMBER('Raw data'!AX18)),IF(SIGN('Raw data'!AW18-'Raw data'!AX18)=SIGN('Real results'!C18-'Real results'!D18),2+IF(AND('Raw data'!AW18='Real results'!C18,'Raw data'!AX18='Real results'!D18),2,0),0),0),0)</f>
        <v>0</v>
      </c>
      <c r="AY19" s="29">
        <f>IFERROR(IF(AND(ISNUMBER('Real results'!C18),ISNUMBER('Real results'!D18),ISNUMBER('Raw data'!AY18),ISNUMBER('Raw data'!AZ18)),IF(SIGN('Raw data'!AY18-'Raw data'!AZ18)=SIGN('Real results'!C18-'Real results'!D18),2+IF(AND('Raw data'!AY18='Real results'!C18,'Raw data'!AZ18='Real results'!D18),2,0),0),0),0)</f>
        <v>0</v>
      </c>
      <c r="BA19" s="29">
        <f>IFERROR(IF(AND(ISNUMBER('Real results'!C18),ISNUMBER('Real results'!D18),ISNUMBER('Raw data'!BA18),ISNUMBER('Raw data'!BB18)),IF(SIGN('Raw data'!BA18-'Raw data'!BB18)=SIGN('Real results'!C18-'Real results'!D18),2+IF(AND('Raw data'!BA18='Real results'!C18,'Raw data'!BB18='Real results'!D18),2,0),0),0),0)</f>
        <v>0</v>
      </c>
      <c r="BC19" s="29">
        <f>IFERROR(IF(AND(ISNUMBER('Real results'!C18),ISNUMBER('Real results'!D18),ISNUMBER('Raw data'!BC18),ISNUMBER('Raw data'!BD18)),IF(SIGN('Raw data'!BC18-'Raw data'!BD18)=SIGN('Real results'!C18-'Real results'!D18),2+IF(AND('Raw data'!BC18='Real results'!C18,'Raw data'!BD18='Real results'!D18),2,0),0),0),0)</f>
        <v>0</v>
      </c>
      <c r="BE19" s="29">
        <f>IFERROR(IF(AND(ISNUMBER('Real results'!C18),ISNUMBER('Real results'!D18),ISNUMBER('Raw data'!BE18),ISNUMBER('Raw data'!BF18)),IF(SIGN('Raw data'!BE18-'Raw data'!BF18)=SIGN('Real results'!C18-'Real results'!D18),2+IF(AND('Raw data'!BE18='Real results'!C18,'Raw data'!BF18='Real results'!D18),2,0),0),0),0)</f>
        <v>0</v>
      </c>
      <c r="BG19" s="29">
        <f>IFERROR(IF(AND(ISNUMBER('Real results'!C18),ISNUMBER('Real results'!D18),ISNUMBER('Raw data'!BG18),ISNUMBER('Raw data'!BH18)),IF(SIGN('Raw data'!BG18-'Raw data'!BH18)=SIGN('Real results'!C18-'Real results'!D18),2+IF(AND('Raw data'!BG18='Real results'!C18,'Raw data'!BH18='Real results'!D18),2,0),0),0),0)</f>
        <v>0</v>
      </c>
      <c r="BI19" s="29">
        <f>IFERROR(IF(AND(ISNUMBER('Real results'!C18),ISNUMBER('Real results'!D18),ISNUMBER('Raw data'!BI18),ISNUMBER('Raw data'!BJ18)),IF(SIGN('Raw data'!BI18-'Raw data'!BJ18)=SIGN('Real results'!C18-'Real results'!D18),2+IF(AND('Raw data'!BI18='Real results'!C18,'Raw data'!BJ18='Real results'!D18),2,0),0),0),0)</f>
        <v>0</v>
      </c>
    </row>
    <row r="20" ht="18.0" customHeight="1">
      <c r="A20" s="1"/>
      <c r="B20" s="13" t="s">
        <v>39</v>
      </c>
      <c r="C20" s="29">
        <f>IFERROR(IF(AND(ISNUMBER('Real results'!C19),ISNUMBER('Real results'!D19),ISNUMBER('Raw data'!C19),ISNUMBER('Raw data'!D19)),IF(SIGN('Raw data'!C19-'Raw data'!D19)=SIGN('Real results'!C19-'Real results'!D19),2+IF(AND('Raw data'!C19='Real results'!C19,'Raw data'!D19='Real results'!D19),2,0),0),0),0)</f>
        <v>0</v>
      </c>
      <c r="E20" s="29">
        <f>IFERROR(IF(AND(ISNUMBER('Real results'!C19),ISNUMBER('Real results'!D19),ISNUMBER('Raw data'!E19),ISNUMBER('Raw data'!F19)),IF(SIGN('Raw data'!E19-'Raw data'!F19)=SIGN('Real results'!C19-'Real results'!D19),2+IF(AND('Raw data'!E19='Real results'!C19,'Raw data'!F19='Real results'!D19),2,0),0),0),0)</f>
        <v>0</v>
      </c>
      <c r="G20" s="29">
        <f>IFERROR(IF(AND(ISNUMBER('Real results'!C19),ISNUMBER('Real results'!D19),ISNUMBER('Raw data'!G19),ISNUMBER('Raw data'!H19)),IF(SIGN('Raw data'!G19-'Raw data'!H19)=SIGN('Real results'!C19-'Real results'!D19),2+IF(AND('Raw data'!G19='Real results'!C19,'Raw data'!H19='Real results'!D19),2,0),0),0),0)</f>
        <v>0</v>
      </c>
      <c r="I20" s="29">
        <f>IFERROR(IF(AND(ISNUMBER('Real results'!C19),ISNUMBER('Real results'!D19),ISNUMBER('Raw data'!I19),ISNUMBER('Raw data'!J19)),IF(SIGN('Raw data'!I19-'Raw data'!J19)=SIGN('Real results'!C19-'Real results'!D19),2+IF(AND('Raw data'!I19='Real results'!C19,'Raw data'!J19='Real results'!D19),2,0),0),0),0)</f>
        <v>0</v>
      </c>
      <c r="K20" s="29">
        <f>IFERROR(IF(AND(ISNUMBER('Real results'!C19),ISNUMBER('Real results'!D19),ISNUMBER('Raw data'!K19),ISNUMBER('Raw data'!L19)),IF(SIGN('Raw data'!K19-'Raw data'!L19)=SIGN('Real results'!C19-'Real results'!D19),2+IF(AND('Raw data'!K19='Real results'!C19,'Raw data'!L19='Real results'!D19),2,0),0),0),0)</f>
        <v>0</v>
      </c>
      <c r="M20" s="29">
        <f>IFERROR(IF(AND(ISNUMBER('Real results'!C19),ISNUMBER('Real results'!D19),ISNUMBER('Raw data'!M19),ISNUMBER('Raw data'!N19)),IF(SIGN('Raw data'!M19-'Raw data'!N19)=SIGN('Real results'!C19-'Real results'!D19),2+IF(AND('Raw data'!M19='Real results'!C19,'Raw data'!N19='Real results'!D19),2,0),0),0),0)</f>
        <v>0</v>
      </c>
      <c r="O20" s="29">
        <f>IFERROR(IF(AND(ISNUMBER('Real results'!C19),ISNUMBER('Real results'!D19),ISNUMBER('Raw data'!O19),ISNUMBER('Raw data'!P19)),IF(SIGN('Raw data'!O19-'Raw data'!P19)=SIGN('Real results'!C19-'Real results'!D19),2+IF(AND('Raw data'!O19='Real results'!C19,'Raw data'!P19='Real results'!D19),2,0),0),0),0)</f>
        <v>0</v>
      </c>
      <c r="Q20" s="29">
        <f>IFERROR(IF(AND(ISNUMBER('Real results'!C19),ISNUMBER('Real results'!D19),ISNUMBER('Raw data'!Q19),ISNUMBER('Raw data'!R19)),IF(SIGN('Raw data'!Q19-'Raw data'!R19)=SIGN('Real results'!C19-'Real results'!D19),2+IF(AND('Raw data'!Q19='Real results'!C19,'Raw data'!R19='Real results'!D19),2,0),0),0),0)</f>
        <v>0</v>
      </c>
      <c r="S20" s="29">
        <f>IFERROR(IF(AND(ISNUMBER('Real results'!C19),ISNUMBER('Real results'!D19),ISNUMBER('Raw data'!S19),ISNUMBER('Raw data'!T19)),IF(SIGN('Raw data'!S19-'Raw data'!T19)=SIGN('Real results'!C19-'Real results'!D19),2+IF(AND('Raw data'!S19='Real results'!C19,'Raw data'!T19='Real results'!D19),2,0),0),0),0)</f>
        <v>0</v>
      </c>
      <c r="U20" s="29">
        <f>IFERROR(IF(AND(ISNUMBER('Real results'!C19),ISNUMBER('Real results'!D19),ISNUMBER('Raw data'!U19),ISNUMBER('Raw data'!V19)),IF(SIGN('Raw data'!U19-'Raw data'!V19)=SIGN('Real results'!C19-'Real results'!D19),2+IF(AND('Raw data'!U19='Real results'!C19,'Raw data'!V19='Real results'!D19),2,0),0),0),0)</f>
        <v>0</v>
      </c>
      <c r="W20" s="29">
        <f>IFERROR(IF(AND(ISNUMBER('Real results'!C19),ISNUMBER('Real results'!D19),ISNUMBER('Raw data'!W19),ISNUMBER('Raw data'!X19)),IF(SIGN('Raw data'!W19-'Raw data'!X19)=SIGN('Real results'!C19-'Real results'!D19),2+IF(AND('Raw data'!W19='Real results'!C19,'Raw data'!X19='Real results'!D19),2,0),0),0),0)</f>
        <v>0</v>
      </c>
      <c r="Y20" s="29">
        <f>IFERROR(IF(AND(ISNUMBER('Real results'!C19),ISNUMBER('Real results'!D19),ISNUMBER('Raw data'!Y19),ISNUMBER('Raw data'!Z19)),IF(SIGN('Raw data'!Y19-'Raw data'!Z19)=SIGN('Real results'!C19-'Real results'!D19),2+IF(AND('Raw data'!Y19='Real results'!C19,'Raw data'!Z19='Real results'!D19),2,0),0),0),0)</f>
        <v>0</v>
      </c>
      <c r="AA20" s="29">
        <f>IFERROR(IF(AND(ISNUMBER('Real results'!C19),ISNUMBER('Real results'!D19),ISNUMBER('Raw data'!AA19),ISNUMBER('Raw data'!AB19)),IF(SIGN('Raw data'!AA19-'Raw data'!AB19)=SIGN('Real results'!C19-'Real results'!D19),2+IF(AND('Raw data'!AA19='Real results'!C19,'Raw data'!AB19='Real results'!D19),2,0),0),0),0)</f>
        <v>0</v>
      </c>
      <c r="AC20" s="29">
        <f>IFERROR(IF(AND(ISNUMBER('Real results'!C19),ISNUMBER('Real results'!D19),ISNUMBER('Raw data'!AC19),ISNUMBER('Raw data'!AD19)),IF(SIGN('Raw data'!AC19-'Raw data'!AD19)=SIGN('Real results'!C19-'Real results'!D19),2+IF(AND('Raw data'!AC19='Real results'!C19,'Raw data'!AD19='Real results'!D19),2,0),0),0),0)</f>
        <v>0</v>
      </c>
      <c r="AE20" s="29">
        <f>IFERROR(IF(AND(ISNUMBER('Real results'!C19),ISNUMBER('Real results'!D19),ISNUMBER('Raw data'!AE19),ISNUMBER('Raw data'!AF19)),IF(SIGN('Raw data'!AE19-'Raw data'!AF19)=SIGN('Real results'!C19-'Real results'!D19),2+IF(AND('Raw data'!AE19='Real results'!C19,'Raw data'!AF19='Real results'!D19),2,0),0),0),0)</f>
        <v>0</v>
      </c>
      <c r="AG20" s="29">
        <f>IFERROR(IF(AND(ISNUMBER('Real results'!C19),ISNUMBER('Real results'!D19),ISNUMBER('Raw data'!AG19),ISNUMBER('Raw data'!AH19)),IF(SIGN('Raw data'!AG19-'Raw data'!AH19)=SIGN('Real results'!C19-'Real results'!D19),2+IF(AND('Raw data'!AG19='Real results'!C19,'Raw data'!AH19='Real results'!D19),2,0),0),0),0)</f>
        <v>0</v>
      </c>
      <c r="AI20" s="29">
        <f>IFERROR(IF(AND(ISNUMBER('Real results'!C19),ISNUMBER('Real results'!D19),ISNUMBER('Raw data'!AI19),ISNUMBER('Raw data'!AJ19)),IF(SIGN('Raw data'!AI19-'Raw data'!AJ19)=SIGN('Real results'!C19-'Real results'!D19),2+IF(AND('Raw data'!AI19='Real results'!C19,'Raw data'!AJ19='Real results'!D19),2,0),0),0),0)</f>
        <v>0</v>
      </c>
      <c r="AK20" s="29">
        <f>IFERROR(IF(AND(ISNUMBER('Real results'!C19),ISNUMBER('Real results'!D19),ISNUMBER('Raw data'!AK19),ISNUMBER('Raw data'!AL19)),IF(SIGN('Raw data'!AK19-'Raw data'!AL19)=SIGN('Real results'!C19-'Real results'!D19),2+IF(AND('Raw data'!AK19='Real results'!C19,'Raw data'!AL19='Real results'!D19),2,0),0),0),0)</f>
        <v>0</v>
      </c>
      <c r="AM20" s="29">
        <f>IFERROR(IF(AND(ISNUMBER('Real results'!C19),ISNUMBER('Real results'!D19),ISNUMBER('Raw data'!AM19),ISNUMBER('Raw data'!AN19)),IF(SIGN('Raw data'!AM19-'Raw data'!AN19)=SIGN('Real results'!C19-'Real results'!D19),2+IF(AND('Raw data'!AM19='Real results'!C19,'Raw data'!AN19='Real results'!D19),2,0),0),0),0)</f>
        <v>0</v>
      </c>
      <c r="AO20" s="29">
        <f>IFERROR(IF(AND(ISNUMBER('Real results'!C19),ISNUMBER('Real results'!D19),ISNUMBER('Raw data'!AO19),ISNUMBER('Raw data'!AP19)),IF(SIGN('Raw data'!AO19-'Raw data'!AP19)=SIGN('Real results'!C19-'Real results'!D19),2+IF(AND('Raw data'!AO19='Real results'!C19,'Raw data'!AP19='Real results'!D19),2,0),0),0),0)</f>
        <v>0</v>
      </c>
      <c r="AQ20" s="29">
        <f>IFERROR(IF(AND(ISNUMBER('Real results'!C19),ISNUMBER('Real results'!D19),ISNUMBER('Raw data'!AQ19),ISNUMBER('Raw data'!AR19)),IF(SIGN('Raw data'!AQ19-'Raw data'!AR19)=SIGN('Real results'!C19-'Real results'!D19),2+IF(AND('Raw data'!AQ19='Real results'!C19,'Raw data'!AR19='Real results'!D19),2,0),0),0),0)</f>
        <v>0</v>
      </c>
      <c r="AS20" s="29">
        <f>IFERROR(IF(AND(ISNUMBER('Real results'!C19),ISNUMBER('Real results'!D19),ISNUMBER('Raw data'!AS19),ISNUMBER('Raw data'!AT19)),IF(SIGN('Raw data'!AS19-'Raw data'!AT19)=SIGN('Real results'!C19-'Real results'!D19),2+IF(AND('Raw data'!AS19='Real results'!C19,'Raw data'!AT19='Real results'!D19),2,0),0),0),0)</f>
        <v>0</v>
      </c>
      <c r="AU20" s="29">
        <f>IFERROR(IF(AND(ISNUMBER('Real results'!C19),ISNUMBER('Real results'!D19),ISNUMBER('Raw data'!AU19),ISNUMBER('Raw data'!AV19)),IF(SIGN('Raw data'!AU19-'Raw data'!AV19)=SIGN('Real results'!C19-'Real results'!D19),2+IF(AND('Raw data'!AU19='Real results'!C19,'Raw data'!AV19='Real results'!D19),2,0),0),0),0)</f>
        <v>0</v>
      </c>
      <c r="AW20" s="29">
        <f>IFERROR(IF(AND(ISNUMBER('Real results'!C19),ISNUMBER('Real results'!D19),ISNUMBER('Raw data'!AW19),ISNUMBER('Raw data'!AX19)),IF(SIGN('Raw data'!AW19-'Raw data'!AX19)=SIGN('Real results'!C19-'Real results'!D19),2+IF(AND('Raw data'!AW19='Real results'!C19,'Raw data'!AX19='Real results'!D19),2,0),0),0),0)</f>
        <v>0</v>
      </c>
      <c r="AY20" s="29">
        <f>IFERROR(IF(AND(ISNUMBER('Real results'!C19),ISNUMBER('Real results'!D19),ISNUMBER('Raw data'!AY19),ISNUMBER('Raw data'!AZ19)),IF(SIGN('Raw data'!AY19-'Raw data'!AZ19)=SIGN('Real results'!C19-'Real results'!D19),2+IF(AND('Raw data'!AY19='Real results'!C19,'Raw data'!AZ19='Real results'!D19),2,0),0),0),0)</f>
        <v>0</v>
      </c>
      <c r="BA20" s="29">
        <f>IFERROR(IF(AND(ISNUMBER('Real results'!C19),ISNUMBER('Real results'!D19),ISNUMBER('Raw data'!BA19),ISNUMBER('Raw data'!BB19)),IF(SIGN('Raw data'!BA19-'Raw data'!BB19)=SIGN('Real results'!C19-'Real results'!D19),2+IF(AND('Raw data'!BA19='Real results'!C19,'Raw data'!BB19='Real results'!D19),2,0),0),0),0)</f>
        <v>0</v>
      </c>
      <c r="BC20" s="29">
        <f>IFERROR(IF(AND(ISNUMBER('Real results'!C19),ISNUMBER('Real results'!D19),ISNUMBER('Raw data'!BC19),ISNUMBER('Raw data'!BD19)),IF(SIGN('Raw data'!BC19-'Raw data'!BD19)=SIGN('Real results'!C19-'Real results'!D19),2+IF(AND('Raw data'!BC19='Real results'!C19,'Raw data'!BD19='Real results'!D19),2,0),0),0),0)</f>
        <v>0</v>
      </c>
      <c r="BE20" s="29">
        <f>IFERROR(IF(AND(ISNUMBER('Real results'!C19),ISNUMBER('Real results'!D19),ISNUMBER('Raw data'!BE19),ISNUMBER('Raw data'!BF19)),IF(SIGN('Raw data'!BE19-'Raw data'!BF19)=SIGN('Real results'!C19-'Real results'!D19),2+IF(AND('Raw data'!BE19='Real results'!C19,'Raw data'!BF19='Real results'!D19),2,0),0),0),0)</f>
        <v>0</v>
      </c>
      <c r="BG20" s="29">
        <f>IFERROR(IF(AND(ISNUMBER('Real results'!C19),ISNUMBER('Real results'!D19),ISNUMBER('Raw data'!BG19),ISNUMBER('Raw data'!BH19)),IF(SIGN('Raw data'!BG19-'Raw data'!BH19)=SIGN('Real results'!C19-'Real results'!D19),2+IF(AND('Raw data'!BG19='Real results'!C19,'Raw data'!BH19='Real results'!D19),2,0),0),0),0)</f>
        <v>0</v>
      </c>
      <c r="BI20" s="29">
        <f>IFERROR(IF(AND(ISNUMBER('Real results'!C19),ISNUMBER('Real results'!D19),ISNUMBER('Raw data'!BI19),ISNUMBER('Raw data'!BJ19)),IF(SIGN('Raw data'!BI19-'Raw data'!BJ19)=SIGN('Real results'!C19-'Real results'!D19),2+IF(AND('Raw data'!BI19='Real results'!C19,'Raw data'!BJ19='Real results'!D19),2,0),0),0),0)</f>
        <v>0</v>
      </c>
    </row>
    <row r="21" ht="18.0" customHeight="1">
      <c r="A21" s="1"/>
      <c r="B21" s="13" t="s">
        <v>40</v>
      </c>
      <c r="C21" s="29">
        <f>IFERROR(IF(AND(ISNUMBER('Real results'!C20),ISNUMBER('Real results'!D20),ISNUMBER('Raw data'!C20),ISNUMBER('Raw data'!D20)),IF(SIGN('Raw data'!C20-'Raw data'!D20)=SIGN('Real results'!C20-'Real results'!D20),2+IF(AND('Raw data'!C20='Real results'!C20,'Raw data'!D20='Real results'!D20),2,0),0),0),0)</f>
        <v>0</v>
      </c>
      <c r="E21" s="29">
        <f>IFERROR(IF(AND(ISNUMBER('Real results'!C20),ISNUMBER('Real results'!D20),ISNUMBER('Raw data'!E20),ISNUMBER('Raw data'!F20)),IF(SIGN('Raw data'!E20-'Raw data'!F20)=SIGN('Real results'!C20-'Real results'!D20),2+IF(AND('Raw data'!E20='Real results'!C20,'Raw data'!F20='Real results'!D20),2,0),0),0),0)</f>
        <v>0</v>
      </c>
      <c r="G21" s="29">
        <f>IFERROR(IF(AND(ISNUMBER('Real results'!C20),ISNUMBER('Real results'!D20),ISNUMBER('Raw data'!G20),ISNUMBER('Raw data'!H20)),IF(SIGN('Raw data'!G20-'Raw data'!H20)=SIGN('Real results'!C20-'Real results'!D20),2+IF(AND('Raw data'!G20='Real results'!C20,'Raw data'!H20='Real results'!D20),2,0),0),0),0)</f>
        <v>0</v>
      </c>
      <c r="I21" s="29">
        <f>IFERROR(IF(AND(ISNUMBER('Real results'!C20),ISNUMBER('Real results'!D20),ISNUMBER('Raw data'!I20),ISNUMBER('Raw data'!J20)),IF(SIGN('Raw data'!I20-'Raw data'!J20)=SIGN('Real results'!C20-'Real results'!D20),2+IF(AND('Raw data'!I20='Real results'!C20,'Raw data'!J20='Real results'!D20),2,0),0),0),0)</f>
        <v>0</v>
      </c>
      <c r="K21" s="29">
        <f>IFERROR(IF(AND(ISNUMBER('Real results'!C20),ISNUMBER('Real results'!D20),ISNUMBER('Raw data'!K20),ISNUMBER('Raw data'!L20)),IF(SIGN('Raw data'!K20-'Raw data'!L20)=SIGN('Real results'!C20-'Real results'!D20),2+IF(AND('Raw data'!K20='Real results'!C20,'Raw data'!L20='Real results'!D20),2,0),0),0),0)</f>
        <v>0</v>
      </c>
      <c r="M21" s="29">
        <f>IFERROR(IF(AND(ISNUMBER('Real results'!C20),ISNUMBER('Real results'!D20),ISNUMBER('Raw data'!M20),ISNUMBER('Raw data'!N20)),IF(SIGN('Raw data'!M20-'Raw data'!N20)=SIGN('Real results'!C20-'Real results'!D20),2+IF(AND('Raw data'!M20='Real results'!C20,'Raw data'!N20='Real results'!D20),2,0),0),0),0)</f>
        <v>0</v>
      </c>
      <c r="O21" s="29">
        <f>IFERROR(IF(AND(ISNUMBER('Real results'!C20),ISNUMBER('Real results'!D20),ISNUMBER('Raw data'!O20),ISNUMBER('Raw data'!P20)),IF(SIGN('Raw data'!O20-'Raw data'!P20)=SIGN('Real results'!C20-'Real results'!D20),2+IF(AND('Raw data'!O20='Real results'!C20,'Raw data'!P20='Real results'!D20),2,0),0),0),0)</f>
        <v>0</v>
      </c>
      <c r="Q21" s="29">
        <f>IFERROR(IF(AND(ISNUMBER('Real results'!C20),ISNUMBER('Real results'!D20),ISNUMBER('Raw data'!Q20),ISNUMBER('Raw data'!R20)),IF(SIGN('Raw data'!Q20-'Raw data'!R20)=SIGN('Real results'!C20-'Real results'!D20),2+IF(AND('Raw data'!Q20='Real results'!C20,'Raw data'!R20='Real results'!D20),2,0),0),0),0)</f>
        <v>0</v>
      </c>
      <c r="S21" s="29">
        <f>IFERROR(IF(AND(ISNUMBER('Real results'!C20),ISNUMBER('Real results'!D20),ISNUMBER('Raw data'!S20),ISNUMBER('Raw data'!T20)),IF(SIGN('Raw data'!S20-'Raw data'!T20)=SIGN('Real results'!C20-'Real results'!D20),2+IF(AND('Raw data'!S20='Real results'!C20,'Raw data'!T20='Real results'!D20),2,0),0),0),0)</f>
        <v>0</v>
      </c>
      <c r="U21" s="29">
        <f>IFERROR(IF(AND(ISNUMBER('Real results'!C20),ISNUMBER('Real results'!D20),ISNUMBER('Raw data'!U20),ISNUMBER('Raw data'!V20)),IF(SIGN('Raw data'!U20-'Raw data'!V20)=SIGN('Real results'!C20-'Real results'!D20),2+IF(AND('Raw data'!U20='Real results'!C20,'Raw data'!V20='Real results'!D20),2,0),0),0),0)</f>
        <v>0</v>
      </c>
      <c r="W21" s="29">
        <f>IFERROR(IF(AND(ISNUMBER('Real results'!C20),ISNUMBER('Real results'!D20),ISNUMBER('Raw data'!W20),ISNUMBER('Raw data'!X20)),IF(SIGN('Raw data'!W20-'Raw data'!X20)=SIGN('Real results'!C20-'Real results'!D20),2+IF(AND('Raw data'!W20='Real results'!C20,'Raw data'!X20='Real results'!D20),2,0),0),0),0)</f>
        <v>0</v>
      </c>
      <c r="Y21" s="29">
        <f>IFERROR(IF(AND(ISNUMBER('Real results'!C20),ISNUMBER('Real results'!D20),ISNUMBER('Raw data'!Y20),ISNUMBER('Raw data'!Z20)),IF(SIGN('Raw data'!Y20-'Raw data'!Z20)=SIGN('Real results'!C20-'Real results'!D20),2+IF(AND('Raw data'!Y20='Real results'!C20,'Raw data'!Z20='Real results'!D20),2,0),0),0),0)</f>
        <v>0</v>
      </c>
      <c r="AA21" s="29">
        <f>IFERROR(IF(AND(ISNUMBER('Real results'!C20),ISNUMBER('Real results'!D20),ISNUMBER('Raw data'!AA20),ISNUMBER('Raw data'!AB20)),IF(SIGN('Raw data'!AA20-'Raw data'!AB20)=SIGN('Real results'!C20-'Real results'!D20),2+IF(AND('Raw data'!AA20='Real results'!C20,'Raw data'!AB20='Real results'!D20),2,0),0),0),0)</f>
        <v>0</v>
      </c>
      <c r="AC21" s="29">
        <f>IFERROR(IF(AND(ISNUMBER('Real results'!C20),ISNUMBER('Real results'!D20),ISNUMBER('Raw data'!AC20),ISNUMBER('Raw data'!AD20)),IF(SIGN('Raw data'!AC20-'Raw data'!AD20)=SIGN('Real results'!C20-'Real results'!D20),2+IF(AND('Raw data'!AC20='Real results'!C20,'Raw data'!AD20='Real results'!D20),2,0),0),0),0)</f>
        <v>0</v>
      </c>
      <c r="AE21" s="29">
        <f>IFERROR(IF(AND(ISNUMBER('Real results'!C20),ISNUMBER('Real results'!D20),ISNUMBER('Raw data'!AE20),ISNUMBER('Raw data'!AF20)),IF(SIGN('Raw data'!AE20-'Raw data'!AF20)=SIGN('Real results'!C20-'Real results'!D20),2+IF(AND('Raw data'!AE20='Real results'!C20,'Raw data'!AF20='Real results'!D20),2,0),0),0),0)</f>
        <v>0</v>
      </c>
      <c r="AG21" s="29">
        <f>IFERROR(IF(AND(ISNUMBER('Real results'!C20),ISNUMBER('Real results'!D20),ISNUMBER('Raw data'!AG20),ISNUMBER('Raw data'!AH20)),IF(SIGN('Raw data'!AG20-'Raw data'!AH20)=SIGN('Real results'!C20-'Real results'!D20),2+IF(AND('Raw data'!AG20='Real results'!C20,'Raw data'!AH20='Real results'!D20),2,0),0),0),0)</f>
        <v>0</v>
      </c>
      <c r="AI21" s="29">
        <f>IFERROR(IF(AND(ISNUMBER('Real results'!C20),ISNUMBER('Real results'!D20),ISNUMBER('Raw data'!AI20),ISNUMBER('Raw data'!AJ20)),IF(SIGN('Raw data'!AI20-'Raw data'!AJ20)=SIGN('Real results'!C20-'Real results'!D20),2+IF(AND('Raw data'!AI20='Real results'!C20,'Raw data'!AJ20='Real results'!D20),2,0),0),0),0)</f>
        <v>0</v>
      </c>
      <c r="AK21" s="29">
        <f>IFERROR(IF(AND(ISNUMBER('Real results'!C20),ISNUMBER('Real results'!D20),ISNUMBER('Raw data'!AK20),ISNUMBER('Raw data'!AL20)),IF(SIGN('Raw data'!AK20-'Raw data'!AL20)=SIGN('Real results'!C20-'Real results'!D20),2+IF(AND('Raw data'!AK20='Real results'!C20,'Raw data'!AL20='Real results'!D20),2,0),0),0),0)</f>
        <v>0</v>
      </c>
      <c r="AM21" s="29">
        <f>IFERROR(IF(AND(ISNUMBER('Real results'!C20),ISNUMBER('Real results'!D20),ISNUMBER('Raw data'!AM20),ISNUMBER('Raw data'!AN20)),IF(SIGN('Raw data'!AM20-'Raw data'!AN20)=SIGN('Real results'!C20-'Real results'!D20),2+IF(AND('Raw data'!AM20='Real results'!C20,'Raw data'!AN20='Real results'!D20),2,0),0),0),0)</f>
        <v>0</v>
      </c>
      <c r="AO21" s="29">
        <f>IFERROR(IF(AND(ISNUMBER('Real results'!C20),ISNUMBER('Real results'!D20),ISNUMBER('Raw data'!AO20),ISNUMBER('Raw data'!AP20)),IF(SIGN('Raw data'!AO20-'Raw data'!AP20)=SIGN('Real results'!C20-'Real results'!D20),2+IF(AND('Raw data'!AO20='Real results'!C20,'Raw data'!AP20='Real results'!D20),2,0),0),0),0)</f>
        <v>0</v>
      </c>
      <c r="AQ21" s="29">
        <f>IFERROR(IF(AND(ISNUMBER('Real results'!C20),ISNUMBER('Real results'!D20),ISNUMBER('Raw data'!AQ20),ISNUMBER('Raw data'!AR20)),IF(SIGN('Raw data'!AQ20-'Raw data'!AR20)=SIGN('Real results'!C20-'Real results'!D20),2+IF(AND('Raw data'!AQ20='Real results'!C20,'Raw data'!AR20='Real results'!D20),2,0),0),0),0)</f>
        <v>0</v>
      </c>
      <c r="AS21" s="29">
        <f>IFERROR(IF(AND(ISNUMBER('Real results'!C20),ISNUMBER('Real results'!D20),ISNUMBER('Raw data'!AS20),ISNUMBER('Raw data'!AT20)),IF(SIGN('Raw data'!AS20-'Raw data'!AT20)=SIGN('Real results'!C20-'Real results'!D20),2+IF(AND('Raw data'!AS20='Real results'!C20,'Raw data'!AT20='Real results'!D20),2,0),0),0),0)</f>
        <v>0</v>
      </c>
      <c r="AU21" s="29">
        <f>IFERROR(IF(AND(ISNUMBER('Real results'!C20),ISNUMBER('Real results'!D20),ISNUMBER('Raw data'!AU20),ISNUMBER('Raw data'!AV20)),IF(SIGN('Raw data'!AU20-'Raw data'!AV20)=SIGN('Real results'!C20-'Real results'!D20),2+IF(AND('Raw data'!AU20='Real results'!C20,'Raw data'!AV20='Real results'!D20),2,0),0),0),0)</f>
        <v>0</v>
      </c>
      <c r="AW21" s="29">
        <f>IFERROR(IF(AND(ISNUMBER('Real results'!C20),ISNUMBER('Real results'!D20),ISNUMBER('Raw data'!AW20),ISNUMBER('Raw data'!AX20)),IF(SIGN('Raw data'!AW20-'Raw data'!AX20)=SIGN('Real results'!C20-'Real results'!D20),2+IF(AND('Raw data'!AW20='Real results'!C20,'Raw data'!AX20='Real results'!D20),2,0),0),0),0)</f>
        <v>0</v>
      </c>
      <c r="AY21" s="29">
        <f>IFERROR(IF(AND(ISNUMBER('Real results'!C20),ISNUMBER('Real results'!D20),ISNUMBER('Raw data'!AY20),ISNUMBER('Raw data'!AZ20)),IF(SIGN('Raw data'!AY20-'Raw data'!AZ20)=SIGN('Real results'!C20-'Real results'!D20),2+IF(AND('Raw data'!AY20='Real results'!C20,'Raw data'!AZ20='Real results'!D20),2,0),0),0),0)</f>
        <v>0</v>
      </c>
      <c r="BA21" s="29">
        <f>IFERROR(IF(AND(ISNUMBER('Real results'!C20),ISNUMBER('Real results'!D20),ISNUMBER('Raw data'!BA20),ISNUMBER('Raw data'!BB20)),IF(SIGN('Raw data'!BA20-'Raw data'!BB20)=SIGN('Real results'!C20-'Real results'!D20),2+IF(AND('Raw data'!BA20='Real results'!C20,'Raw data'!BB20='Real results'!D20),2,0),0),0),0)</f>
        <v>0</v>
      </c>
      <c r="BC21" s="29">
        <f>IFERROR(IF(AND(ISNUMBER('Real results'!C20),ISNUMBER('Real results'!D20),ISNUMBER('Raw data'!BC20),ISNUMBER('Raw data'!BD20)),IF(SIGN('Raw data'!BC20-'Raw data'!BD20)=SIGN('Real results'!C20-'Real results'!D20),2+IF(AND('Raw data'!BC20='Real results'!C20,'Raw data'!BD20='Real results'!D20),2,0),0),0),0)</f>
        <v>0</v>
      </c>
      <c r="BE21" s="29">
        <f>IFERROR(IF(AND(ISNUMBER('Real results'!C20),ISNUMBER('Real results'!D20),ISNUMBER('Raw data'!BE20),ISNUMBER('Raw data'!BF20)),IF(SIGN('Raw data'!BE20-'Raw data'!BF20)=SIGN('Real results'!C20-'Real results'!D20),2+IF(AND('Raw data'!BE20='Real results'!C20,'Raw data'!BF20='Real results'!D20),2,0),0),0),0)</f>
        <v>0</v>
      </c>
      <c r="BG21" s="29">
        <f>IFERROR(IF(AND(ISNUMBER('Real results'!C20),ISNUMBER('Real results'!D20),ISNUMBER('Raw data'!BG20),ISNUMBER('Raw data'!BH20)),IF(SIGN('Raw data'!BG20-'Raw data'!BH20)=SIGN('Real results'!C20-'Real results'!D20),2+IF(AND('Raw data'!BG20='Real results'!C20,'Raw data'!BH20='Real results'!D20),2,0),0),0),0)</f>
        <v>0</v>
      </c>
      <c r="BI21" s="29">
        <f>IFERROR(IF(AND(ISNUMBER('Real results'!C20),ISNUMBER('Real results'!D20),ISNUMBER('Raw data'!BI20),ISNUMBER('Raw data'!BJ20)),IF(SIGN('Raw data'!BI20-'Raw data'!BJ20)=SIGN('Real results'!C20-'Real results'!D20),2+IF(AND('Raw data'!BI20='Real results'!C20,'Raw data'!BJ20='Real results'!D20),2,0),0),0),0)</f>
        <v>0</v>
      </c>
    </row>
    <row r="22" ht="18.0" customHeight="1">
      <c r="A22" s="1"/>
      <c r="B22" s="13" t="s">
        <v>41</v>
      </c>
      <c r="C22" s="29">
        <f>IFERROR(IF(AND(ISNUMBER('Real results'!C21),ISNUMBER('Real results'!D21),ISNUMBER('Raw data'!C21),ISNUMBER('Raw data'!D21)),IF(SIGN('Raw data'!C21-'Raw data'!D21)=SIGN('Real results'!C21-'Real results'!D21),2+IF(AND('Raw data'!C21='Real results'!C21,'Raw data'!D21='Real results'!D21),2,0),0),0),0)</f>
        <v>0</v>
      </c>
      <c r="E22" s="29">
        <f>IFERROR(IF(AND(ISNUMBER('Real results'!C21),ISNUMBER('Real results'!D21),ISNUMBER('Raw data'!E21),ISNUMBER('Raw data'!F21)),IF(SIGN('Raw data'!E21-'Raw data'!F21)=SIGN('Real results'!C21-'Real results'!D21),2+IF(AND('Raw data'!E21='Real results'!C21,'Raw data'!F21='Real results'!D21),2,0),0),0),0)</f>
        <v>0</v>
      </c>
      <c r="G22" s="29">
        <f>IFERROR(IF(AND(ISNUMBER('Real results'!C21),ISNUMBER('Real results'!D21),ISNUMBER('Raw data'!G21),ISNUMBER('Raw data'!H21)),IF(SIGN('Raw data'!G21-'Raw data'!H21)=SIGN('Real results'!C21-'Real results'!D21),2+IF(AND('Raw data'!G21='Real results'!C21,'Raw data'!H21='Real results'!D21),2,0),0),0),0)</f>
        <v>0</v>
      </c>
      <c r="I22" s="29">
        <f>IFERROR(IF(AND(ISNUMBER('Real results'!C21),ISNUMBER('Real results'!D21),ISNUMBER('Raw data'!I21),ISNUMBER('Raw data'!J21)),IF(SIGN('Raw data'!I21-'Raw data'!J21)=SIGN('Real results'!C21-'Real results'!D21),2+IF(AND('Raw data'!I21='Real results'!C21,'Raw data'!J21='Real results'!D21),2,0),0),0),0)</f>
        <v>0</v>
      </c>
      <c r="K22" s="29">
        <f>IFERROR(IF(AND(ISNUMBER('Real results'!C21),ISNUMBER('Real results'!D21),ISNUMBER('Raw data'!K21),ISNUMBER('Raw data'!L21)),IF(SIGN('Raw data'!K21-'Raw data'!L21)=SIGN('Real results'!C21-'Real results'!D21),2+IF(AND('Raw data'!K21='Real results'!C21,'Raw data'!L21='Real results'!D21),2,0),0),0),0)</f>
        <v>0</v>
      </c>
      <c r="M22" s="29">
        <f>IFERROR(IF(AND(ISNUMBER('Real results'!C21),ISNUMBER('Real results'!D21),ISNUMBER('Raw data'!M21),ISNUMBER('Raw data'!N21)),IF(SIGN('Raw data'!M21-'Raw data'!N21)=SIGN('Real results'!C21-'Real results'!D21),2+IF(AND('Raw data'!M21='Real results'!C21,'Raw data'!N21='Real results'!D21),2,0),0),0),0)</f>
        <v>0</v>
      </c>
      <c r="O22" s="29">
        <f>IFERROR(IF(AND(ISNUMBER('Real results'!C21),ISNUMBER('Real results'!D21),ISNUMBER('Raw data'!O21),ISNUMBER('Raw data'!P21)),IF(SIGN('Raw data'!O21-'Raw data'!P21)=SIGN('Real results'!C21-'Real results'!D21),2+IF(AND('Raw data'!O21='Real results'!C21,'Raw data'!P21='Real results'!D21),2,0),0),0),0)</f>
        <v>0</v>
      </c>
      <c r="Q22" s="29">
        <f>IFERROR(IF(AND(ISNUMBER('Real results'!C21),ISNUMBER('Real results'!D21),ISNUMBER('Raw data'!Q21),ISNUMBER('Raw data'!R21)),IF(SIGN('Raw data'!Q21-'Raw data'!R21)=SIGN('Real results'!C21-'Real results'!D21),2+IF(AND('Raw data'!Q21='Real results'!C21,'Raw data'!R21='Real results'!D21),2,0),0),0),0)</f>
        <v>0</v>
      </c>
      <c r="S22" s="29">
        <f>IFERROR(IF(AND(ISNUMBER('Real results'!C21),ISNUMBER('Real results'!D21),ISNUMBER('Raw data'!S21),ISNUMBER('Raw data'!T21)),IF(SIGN('Raw data'!S21-'Raw data'!T21)=SIGN('Real results'!C21-'Real results'!D21),2+IF(AND('Raw data'!S21='Real results'!C21,'Raw data'!T21='Real results'!D21),2,0),0),0),0)</f>
        <v>0</v>
      </c>
      <c r="U22" s="29">
        <f>IFERROR(IF(AND(ISNUMBER('Real results'!C21),ISNUMBER('Real results'!D21),ISNUMBER('Raw data'!U21),ISNUMBER('Raw data'!V21)),IF(SIGN('Raw data'!U21-'Raw data'!V21)=SIGN('Real results'!C21-'Real results'!D21),2+IF(AND('Raw data'!U21='Real results'!C21,'Raw data'!V21='Real results'!D21),2,0),0),0),0)</f>
        <v>0</v>
      </c>
      <c r="W22" s="29">
        <f>IFERROR(IF(AND(ISNUMBER('Real results'!C21),ISNUMBER('Real results'!D21),ISNUMBER('Raw data'!W21),ISNUMBER('Raw data'!X21)),IF(SIGN('Raw data'!W21-'Raw data'!X21)=SIGN('Real results'!C21-'Real results'!D21),2+IF(AND('Raw data'!W21='Real results'!C21,'Raw data'!X21='Real results'!D21),2,0),0),0),0)</f>
        <v>0</v>
      </c>
      <c r="Y22" s="29">
        <f>IFERROR(IF(AND(ISNUMBER('Real results'!C21),ISNUMBER('Real results'!D21),ISNUMBER('Raw data'!Y21),ISNUMBER('Raw data'!Z21)),IF(SIGN('Raw data'!Y21-'Raw data'!Z21)=SIGN('Real results'!C21-'Real results'!D21),2+IF(AND('Raw data'!Y21='Real results'!C21,'Raw data'!Z21='Real results'!D21),2,0),0),0),0)</f>
        <v>0</v>
      </c>
      <c r="AA22" s="29">
        <f>IFERROR(IF(AND(ISNUMBER('Real results'!C21),ISNUMBER('Real results'!D21),ISNUMBER('Raw data'!AA21),ISNUMBER('Raw data'!AB21)),IF(SIGN('Raw data'!AA21-'Raw data'!AB21)=SIGN('Real results'!C21-'Real results'!D21),2+IF(AND('Raw data'!AA21='Real results'!C21,'Raw data'!AB21='Real results'!D21),2,0),0),0),0)</f>
        <v>0</v>
      </c>
      <c r="AC22" s="29">
        <f>IFERROR(IF(AND(ISNUMBER('Real results'!C21),ISNUMBER('Real results'!D21),ISNUMBER('Raw data'!AC21),ISNUMBER('Raw data'!AD21)),IF(SIGN('Raw data'!AC21-'Raw data'!AD21)=SIGN('Real results'!C21-'Real results'!D21),2+IF(AND('Raw data'!AC21='Real results'!C21,'Raw data'!AD21='Real results'!D21),2,0),0),0),0)</f>
        <v>0</v>
      </c>
      <c r="AE22" s="29">
        <f>IFERROR(IF(AND(ISNUMBER('Real results'!C21),ISNUMBER('Real results'!D21),ISNUMBER('Raw data'!AE21),ISNUMBER('Raw data'!AF21)),IF(SIGN('Raw data'!AE21-'Raw data'!AF21)=SIGN('Real results'!C21-'Real results'!D21),2+IF(AND('Raw data'!AE21='Real results'!C21,'Raw data'!AF21='Real results'!D21),2,0),0),0),0)</f>
        <v>0</v>
      </c>
      <c r="AG22" s="29">
        <f>IFERROR(IF(AND(ISNUMBER('Real results'!C21),ISNUMBER('Real results'!D21),ISNUMBER('Raw data'!AG21),ISNUMBER('Raw data'!AH21)),IF(SIGN('Raw data'!AG21-'Raw data'!AH21)=SIGN('Real results'!C21-'Real results'!D21),2+IF(AND('Raw data'!AG21='Real results'!C21,'Raw data'!AH21='Real results'!D21),2,0),0),0),0)</f>
        <v>0</v>
      </c>
      <c r="AI22" s="29">
        <f>IFERROR(IF(AND(ISNUMBER('Real results'!C21),ISNUMBER('Real results'!D21),ISNUMBER('Raw data'!AI21),ISNUMBER('Raw data'!AJ21)),IF(SIGN('Raw data'!AI21-'Raw data'!AJ21)=SIGN('Real results'!C21-'Real results'!D21),2+IF(AND('Raw data'!AI21='Real results'!C21,'Raw data'!AJ21='Real results'!D21),2,0),0),0),0)</f>
        <v>0</v>
      </c>
      <c r="AK22" s="29">
        <f>IFERROR(IF(AND(ISNUMBER('Real results'!C21),ISNUMBER('Real results'!D21),ISNUMBER('Raw data'!AK21),ISNUMBER('Raw data'!AL21)),IF(SIGN('Raw data'!AK21-'Raw data'!AL21)=SIGN('Real results'!C21-'Real results'!D21),2+IF(AND('Raw data'!AK21='Real results'!C21,'Raw data'!AL21='Real results'!D21),2,0),0),0),0)</f>
        <v>0</v>
      </c>
      <c r="AM22" s="29">
        <f>IFERROR(IF(AND(ISNUMBER('Real results'!C21),ISNUMBER('Real results'!D21),ISNUMBER('Raw data'!AM21),ISNUMBER('Raw data'!AN21)),IF(SIGN('Raw data'!AM21-'Raw data'!AN21)=SIGN('Real results'!C21-'Real results'!D21),2+IF(AND('Raw data'!AM21='Real results'!C21,'Raw data'!AN21='Real results'!D21),2,0),0),0),0)</f>
        <v>0</v>
      </c>
      <c r="AO22" s="29">
        <f>IFERROR(IF(AND(ISNUMBER('Real results'!C21),ISNUMBER('Real results'!D21),ISNUMBER('Raw data'!AO21),ISNUMBER('Raw data'!AP21)),IF(SIGN('Raw data'!AO21-'Raw data'!AP21)=SIGN('Real results'!C21-'Real results'!D21),2+IF(AND('Raw data'!AO21='Real results'!C21,'Raw data'!AP21='Real results'!D21),2,0),0),0),0)</f>
        <v>0</v>
      </c>
      <c r="AQ22" s="29">
        <f>IFERROR(IF(AND(ISNUMBER('Real results'!C21),ISNUMBER('Real results'!D21),ISNUMBER('Raw data'!AQ21),ISNUMBER('Raw data'!AR21)),IF(SIGN('Raw data'!AQ21-'Raw data'!AR21)=SIGN('Real results'!C21-'Real results'!D21),2+IF(AND('Raw data'!AQ21='Real results'!C21,'Raw data'!AR21='Real results'!D21),2,0),0),0),0)</f>
        <v>0</v>
      </c>
      <c r="AS22" s="29">
        <f>IFERROR(IF(AND(ISNUMBER('Real results'!C21),ISNUMBER('Real results'!D21),ISNUMBER('Raw data'!AS21),ISNUMBER('Raw data'!AT21)),IF(SIGN('Raw data'!AS21-'Raw data'!AT21)=SIGN('Real results'!C21-'Real results'!D21),2+IF(AND('Raw data'!AS21='Real results'!C21,'Raw data'!AT21='Real results'!D21),2,0),0),0),0)</f>
        <v>0</v>
      </c>
      <c r="AU22" s="29">
        <f>IFERROR(IF(AND(ISNUMBER('Real results'!C21),ISNUMBER('Real results'!D21),ISNUMBER('Raw data'!AU21),ISNUMBER('Raw data'!AV21)),IF(SIGN('Raw data'!AU21-'Raw data'!AV21)=SIGN('Real results'!C21-'Real results'!D21),2+IF(AND('Raw data'!AU21='Real results'!C21,'Raw data'!AV21='Real results'!D21),2,0),0),0),0)</f>
        <v>0</v>
      </c>
      <c r="AW22" s="29">
        <f>IFERROR(IF(AND(ISNUMBER('Real results'!C21),ISNUMBER('Real results'!D21),ISNUMBER('Raw data'!AW21),ISNUMBER('Raw data'!AX21)),IF(SIGN('Raw data'!AW21-'Raw data'!AX21)=SIGN('Real results'!C21-'Real results'!D21),2+IF(AND('Raw data'!AW21='Real results'!C21,'Raw data'!AX21='Real results'!D21),2,0),0),0),0)</f>
        <v>0</v>
      </c>
      <c r="AY22" s="29">
        <f>IFERROR(IF(AND(ISNUMBER('Real results'!C21),ISNUMBER('Real results'!D21),ISNUMBER('Raw data'!AY21),ISNUMBER('Raw data'!AZ21)),IF(SIGN('Raw data'!AY21-'Raw data'!AZ21)=SIGN('Real results'!C21-'Real results'!D21),2+IF(AND('Raw data'!AY21='Real results'!C21,'Raw data'!AZ21='Real results'!D21),2,0),0),0),0)</f>
        <v>0</v>
      </c>
      <c r="BA22" s="29">
        <f>IFERROR(IF(AND(ISNUMBER('Real results'!C21),ISNUMBER('Real results'!D21),ISNUMBER('Raw data'!BA21),ISNUMBER('Raw data'!BB21)),IF(SIGN('Raw data'!BA21-'Raw data'!BB21)=SIGN('Real results'!C21-'Real results'!D21),2+IF(AND('Raw data'!BA21='Real results'!C21,'Raw data'!BB21='Real results'!D21),2,0),0),0),0)</f>
        <v>0</v>
      </c>
      <c r="BC22" s="29">
        <f>IFERROR(IF(AND(ISNUMBER('Real results'!C21),ISNUMBER('Real results'!D21),ISNUMBER('Raw data'!BC21),ISNUMBER('Raw data'!BD21)),IF(SIGN('Raw data'!BC21-'Raw data'!BD21)=SIGN('Real results'!C21-'Real results'!D21),2+IF(AND('Raw data'!BC21='Real results'!C21,'Raw data'!BD21='Real results'!D21),2,0),0),0),0)</f>
        <v>0</v>
      </c>
      <c r="BE22" s="29">
        <f>IFERROR(IF(AND(ISNUMBER('Real results'!C21),ISNUMBER('Real results'!D21),ISNUMBER('Raw data'!BE21),ISNUMBER('Raw data'!BF21)),IF(SIGN('Raw data'!BE21-'Raw data'!BF21)=SIGN('Real results'!C21-'Real results'!D21),2+IF(AND('Raw data'!BE21='Real results'!C21,'Raw data'!BF21='Real results'!D21),2,0),0),0),0)</f>
        <v>0</v>
      </c>
      <c r="BG22" s="29">
        <f>IFERROR(IF(AND(ISNUMBER('Real results'!C21),ISNUMBER('Real results'!D21),ISNUMBER('Raw data'!BG21),ISNUMBER('Raw data'!BH21)),IF(SIGN('Raw data'!BG21-'Raw data'!BH21)=SIGN('Real results'!C21-'Real results'!D21),2+IF(AND('Raw data'!BG21='Real results'!C21,'Raw data'!BH21='Real results'!D21),2,0),0),0),0)</f>
        <v>0</v>
      </c>
      <c r="BI22" s="29">
        <f>IFERROR(IF(AND(ISNUMBER('Real results'!C21),ISNUMBER('Real results'!D21),ISNUMBER('Raw data'!BI21),ISNUMBER('Raw data'!BJ21)),IF(SIGN('Raw data'!BI21-'Raw data'!BJ21)=SIGN('Real results'!C21-'Real results'!D21),2+IF(AND('Raw data'!BI21='Real results'!C21,'Raw data'!BJ21='Real results'!D21),2,0),0),0),0)</f>
        <v>0</v>
      </c>
    </row>
    <row r="23" ht="18.0" customHeight="1">
      <c r="A23" s="1"/>
      <c r="B23" s="13" t="s">
        <v>42</v>
      </c>
      <c r="C23" s="29">
        <f>IFERROR(IF(AND(ISNUMBER('Real results'!C22),ISNUMBER('Real results'!D22),ISNUMBER('Raw data'!C22),ISNUMBER('Raw data'!D22)),IF(SIGN('Raw data'!C22-'Raw data'!D22)=SIGN('Real results'!C22-'Real results'!D22),2+IF(AND('Raw data'!C22='Real results'!C22,'Raw data'!D22='Real results'!D22),2,0),0),0),0)</f>
        <v>0</v>
      </c>
      <c r="E23" s="29">
        <f>IFERROR(IF(AND(ISNUMBER('Real results'!C22),ISNUMBER('Real results'!D22),ISNUMBER('Raw data'!E22),ISNUMBER('Raw data'!F22)),IF(SIGN('Raw data'!E22-'Raw data'!F22)=SIGN('Real results'!C22-'Real results'!D22),2+IF(AND('Raw data'!E22='Real results'!C22,'Raw data'!F22='Real results'!D22),2,0),0),0),0)</f>
        <v>0</v>
      </c>
      <c r="G23" s="29">
        <f>IFERROR(IF(AND(ISNUMBER('Real results'!C22),ISNUMBER('Real results'!D22),ISNUMBER('Raw data'!G22),ISNUMBER('Raw data'!H22)),IF(SIGN('Raw data'!G22-'Raw data'!H22)=SIGN('Real results'!C22-'Real results'!D22),2+IF(AND('Raw data'!G22='Real results'!C22,'Raw data'!H22='Real results'!D22),2,0),0),0),0)</f>
        <v>0</v>
      </c>
      <c r="I23" s="29">
        <f>IFERROR(IF(AND(ISNUMBER('Real results'!C22),ISNUMBER('Real results'!D22),ISNUMBER('Raw data'!I22),ISNUMBER('Raw data'!J22)),IF(SIGN('Raw data'!I22-'Raw data'!J22)=SIGN('Real results'!C22-'Real results'!D22),2+IF(AND('Raw data'!I22='Real results'!C22,'Raw data'!J22='Real results'!D22),2,0),0),0),0)</f>
        <v>0</v>
      </c>
      <c r="K23" s="29">
        <f>IFERROR(IF(AND(ISNUMBER('Real results'!C22),ISNUMBER('Real results'!D22),ISNUMBER('Raw data'!K22),ISNUMBER('Raw data'!L22)),IF(SIGN('Raw data'!K22-'Raw data'!L22)=SIGN('Real results'!C22-'Real results'!D22),2+IF(AND('Raw data'!K22='Real results'!C22,'Raw data'!L22='Real results'!D22),2,0),0),0),0)</f>
        <v>0</v>
      </c>
      <c r="M23" s="29">
        <f>IFERROR(IF(AND(ISNUMBER('Real results'!C22),ISNUMBER('Real results'!D22),ISNUMBER('Raw data'!M22),ISNUMBER('Raw data'!N22)),IF(SIGN('Raw data'!M22-'Raw data'!N22)=SIGN('Real results'!C22-'Real results'!D22),2+IF(AND('Raw data'!M22='Real results'!C22,'Raw data'!N22='Real results'!D22),2,0),0),0),0)</f>
        <v>0</v>
      </c>
      <c r="O23" s="29">
        <f>IFERROR(IF(AND(ISNUMBER('Real results'!C22),ISNUMBER('Real results'!D22),ISNUMBER('Raw data'!O22),ISNUMBER('Raw data'!P22)),IF(SIGN('Raw data'!O22-'Raw data'!P22)=SIGN('Real results'!C22-'Real results'!D22),2+IF(AND('Raw data'!O22='Real results'!C22,'Raw data'!P22='Real results'!D22),2,0),0),0),0)</f>
        <v>0</v>
      </c>
      <c r="Q23" s="29">
        <f>IFERROR(IF(AND(ISNUMBER('Real results'!C22),ISNUMBER('Real results'!D22),ISNUMBER('Raw data'!Q22),ISNUMBER('Raw data'!R22)),IF(SIGN('Raw data'!Q22-'Raw data'!R22)=SIGN('Real results'!C22-'Real results'!D22),2+IF(AND('Raw data'!Q22='Real results'!C22,'Raw data'!R22='Real results'!D22),2,0),0),0),0)</f>
        <v>0</v>
      </c>
      <c r="S23" s="29">
        <f>IFERROR(IF(AND(ISNUMBER('Real results'!C22),ISNUMBER('Real results'!D22),ISNUMBER('Raw data'!S22),ISNUMBER('Raw data'!T22)),IF(SIGN('Raw data'!S22-'Raw data'!T22)=SIGN('Real results'!C22-'Real results'!D22),2+IF(AND('Raw data'!S22='Real results'!C22,'Raw data'!T22='Real results'!D22),2,0),0),0),0)</f>
        <v>0</v>
      </c>
      <c r="U23" s="29">
        <f>IFERROR(IF(AND(ISNUMBER('Real results'!C22),ISNUMBER('Real results'!D22),ISNUMBER('Raw data'!U22),ISNUMBER('Raw data'!V22)),IF(SIGN('Raw data'!U22-'Raw data'!V22)=SIGN('Real results'!C22-'Real results'!D22),2+IF(AND('Raw data'!U22='Real results'!C22,'Raw data'!V22='Real results'!D22),2,0),0),0),0)</f>
        <v>0</v>
      </c>
      <c r="W23" s="29">
        <f>IFERROR(IF(AND(ISNUMBER('Real results'!C22),ISNUMBER('Real results'!D22),ISNUMBER('Raw data'!W22),ISNUMBER('Raw data'!X22)),IF(SIGN('Raw data'!W22-'Raw data'!X22)=SIGN('Real results'!C22-'Real results'!D22),2+IF(AND('Raw data'!W22='Real results'!C22,'Raw data'!X22='Real results'!D22),2,0),0),0),0)</f>
        <v>0</v>
      </c>
      <c r="Y23" s="29">
        <f>IFERROR(IF(AND(ISNUMBER('Real results'!C22),ISNUMBER('Real results'!D22),ISNUMBER('Raw data'!Y22),ISNUMBER('Raw data'!Z22)),IF(SIGN('Raw data'!Y22-'Raw data'!Z22)=SIGN('Real results'!C22-'Real results'!D22),2+IF(AND('Raw data'!Y22='Real results'!C22,'Raw data'!Z22='Real results'!D22),2,0),0),0),0)</f>
        <v>0</v>
      </c>
      <c r="AA23" s="29">
        <f>IFERROR(IF(AND(ISNUMBER('Real results'!C22),ISNUMBER('Real results'!D22),ISNUMBER('Raw data'!AA22),ISNUMBER('Raw data'!AB22)),IF(SIGN('Raw data'!AA22-'Raw data'!AB22)=SIGN('Real results'!C22-'Real results'!D22),2+IF(AND('Raw data'!AA22='Real results'!C22,'Raw data'!AB22='Real results'!D22),2,0),0),0),0)</f>
        <v>0</v>
      </c>
      <c r="AC23" s="29">
        <f>IFERROR(IF(AND(ISNUMBER('Real results'!C22),ISNUMBER('Real results'!D22),ISNUMBER('Raw data'!AC22),ISNUMBER('Raw data'!AD22)),IF(SIGN('Raw data'!AC22-'Raw data'!AD22)=SIGN('Real results'!C22-'Real results'!D22),2+IF(AND('Raw data'!AC22='Real results'!C22,'Raw data'!AD22='Real results'!D22),2,0),0),0),0)</f>
        <v>0</v>
      </c>
      <c r="AE23" s="29">
        <f>IFERROR(IF(AND(ISNUMBER('Real results'!C22),ISNUMBER('Real results'!D22),ISNUMBER('Raw data'!AE22),ISNUMBER('Raw data'!AF22)),IF(SIGN('Raw data'!AE22-'Raw data'!AF22)=SIGN('Real results'!C22-'Real results'!D22),2+IF(AND('Raw data'!AE22='Real results'!C22,'Raw data'!AF22='Real results'!D22),2,0),0),0),0)</f>
        <v>0</v>
      </c>
      <c r="AG23" s="29">
        <f>IFERROR(IF(AND(ISNUMBER('Real results'!C22),ISNUMBER('Real results'!D22),ISNUMBER('Raw data'!AG22),ISNUMBER('Raw data'!AH22)),IF(SIGN('Raw data'!AG22-'Raw data'!AH22)=SIGN('Real results'!C22-'Real results'!D22),2+IF(AND('Raw data'!AG22='Real results'!C22,'Raw data'!AH22='Real results'!D22),2,0),0),0),0)</f>
        <v>0</v>
      </c>
      <c r="AI23" s="29">
        <f>IFERROR(IF(AND(ISNUMBER('Real results'!C22),ISNUMBER('Real results'!D22),ISNUMBER('Raw data'!AI22),ISNUMBER('Raw data'!AJ22)),IF(SIGN('Raw data'!AI22-'Raw data'!AJ22)=SIGN('Real results'!C22-'Real results'!D22),2+IF(AND('Raw data'!AI22='Real results'!C22,'Raw data'!AJ22='Real results'!D22),2,0),0),0),0)</f>
        <v>0</v>
      </c>
      <c r="AK23" s="29">
        <f>IFERROR(IF(AND(ISNUMBER('Real results'!C22),ISNUMBER('Real results'!D22),ISNUMBER('Raw data'!AK22),ISNUMBER('Raw data'!AL22)),IF(SIGN('Raw data'!AK22-'Raw data'!AL22)=SIGN('Real results'!C22-'Real results'!D22),2+IF(AND('Raw data'!AK22='Real results'!C22,'Raw data'!AL22='Real results'!D22),2,0),0),0),0)</f>
        <v>0</v>
      </c>
      <c r="AM23" s="29">
        <f>IFERROR(IF(AND(ISNUMBER('Real results'!C22),ISNUMBER('Real results'!D22),ISNUMBER('Raw data'!AM22),ISNUMBER('Raw data'!AN22)),IF(SIGN('Raw data'!AM22-'Raw data'!AN22)=SIGN('Real results'!C22-'Real results'!D22),2+IF(AND('Raw data'!AM22='Real results'!C22,'Raw data'!AN22='Real results'!D22),2,0),0),0),0)</f>
        <v>0</v>
      </c>
      <c r="AO23" s="29">
        <f>IFERROR(IF(AND(ISNUMBER('Real results'!C22),ISNUMBER('Real results'!D22),ISNUMBER('Raw data'!AO22),ISNUMBER('Raw data'!AP22)),IF(SIGN('Raw data'!AO22-'Raw data'!AP22)=SIGN('Real results'!C22-'Real results'!D22),2+IF(AND('Raw data'!AO22='Real results'!C22,'Raw data'!AP22='Real results'!D22),2,0),0),0),0)</f>
        <v>0</v>
      </c>
      <c r="AQ23" s="29">
        <f>IFERROR(IF(AND(ISNUMBER('Real results'!C22),ISNUMBER('Real results'!D22),ISNUMBER('Raw data'!AQ22),ISNUMBER('Raw data'!AR22)),IF(SIGN('Raw data'!AQ22-'Raw data'!AR22)=SIGN('Real results'!C22-'Real results'!D22),2+IF(AND('Raw data'!AQ22='Real results'!C22,'Raw data'!AR22='Real results'!D22),2,0),0),0),0)</f>
        <v>0</v>
      </c>
      <c r="AS23" s="29">
        <f>IFERROR(IF(AND(ISNUMBER('Real results'!C22),ISNUMBER('Real results'!D22),ISNUMBER('Raw data'!AS22),ISNUMBER('Raw data'!AT22)),IF(SIGN('Raw data'!AS22-'Raw data'!AT22)=SIGN('Real results'!C22-'Real results'!D22),2+IF(AND('Raw data'!AS22='Real results'!C22,'Raw data'!AT22='Real results'!D22),2,0),0),0),0)</f>
        <v>0</v>
      </c>
      <c r="AU23" s="29">
        <f>IFERROR(IF(AND(ISNUMBER('Real results'!C22),ISNUMBER('Real results'!D22),ISNUMBER('Raw data'!AU22),ISNUMBER('Raw data'!AV22)),IF(SIGN('Raw data'!AU22-'Raw data'!AV22)=SIGN('Real results'!C22-'Real results'!D22),2+IF(AND('Raw data'!AU22='Real results'!C22,'Raw data'!AV22='Real results'!D22),2,0),0),0),0)</f>
        <v>0</v>
      </c>
      <c r="AW23" s="29">
        <f>IFERROR(IF(AND(ISNUMBER('Real results'!C22),ISNUMBER('Real results'!D22),ISNUMBER('Raw data'!AW22),ISNUMBER('Raw data'!AX22)),IF(SIGN('Raw data'!AW22-'Raw data'!AX22)=SIGN('Real results'!C22-'Real results'!D22),2+IF(AND('Raw data'!AW22='Real results'!C22,'Raw data'!AX22='Real results'!D22),2,0),0),0),0)</f>
        <v>0</v>
      </c>
      <c r="AY23" s="29">
        <f>IFERROR(IF(AND(ISNUMBER('Real results'!C22),ISNUMBER('Real results'!D22),ISNUMBER('Raw data'!AY22),ISNUMBER('Raw data'!AZ22)),IF(SIGN('Raw data'!AY22-'Raw data'!AZ22)=SIGN('Real results'!C22-'Real results'!D22),2+IF(AND('Raw data'!AY22='Real results'!C22,'Raw data'!AZ22='Real results'!D22),2,0),0),0),0)</f>
        <v>0</v>
      </c>
      <c r="BA23" s="29">
        <f>IFERROR(IF(AND(ISNUMBER('Real results'!C22),ISNUMBER('Real results'!D22),ISNUMBER('Raw data'!BA22),ISNUMBER('Raw data'!BB22)),IF(SIGN('Raw data'!BA22-'Raw data'!BB22)=SIGN('Real results'!C22-'Real results'!D22),2+IF(AND('Raw data'!BA22='Real results'!C22,'Raw data'!BB22='Real results'!D22),2,0),0),0),0)</f>
        <v>0</v>
      </c>
      <c r="BC23" s="29">
        <f>IFERROR(IF(AND(ISNUMBER('Real results'!C22),ISNUMBER('Real results'!D22),ISNUMBER('Raw data'!BC22),ISNUMBER('Raw data'!BD22)),IF(SIGN('Raw data'!BC22-'Raw data'!BD22)=SIGN('Real results'!C22-'Real results'!D22),2+IF(AND('Raw data'!BC22='Real results'!C22,'Raw data'!BD22='Real results'!D22),2,0),0),0),0)</f>
        <v>0</v>
      </c>
      <c r="BE23" s="29">
        <f>IFERROR(IF(AND(ISNUMBER('Real results'!C22),ISNUMBER('Real results'!D22),ISNUMBER('Raw data'!BE22),ISNUMBER('Raw data'!BF22)),IF(SIGN('Raw data'!BE22-'Raw data'!BF22)=SIGN('Real results'!C22-'Real results'!D22),2+IF(AND('Raw data'!BE22='Real results'!C22,'Raw data'!BF22='Real results'!D22),2,0),0),0),0)</f>
        <v>0</v>
      </c>
      <c r="BG23" s="29">
        <f>IFERROR(IF(AND(ISNUMBER('Real results'!C22),ISNUMBER('Real results'!D22),ISNUMBER('Raw data'!BG22),ISNUMBER('Raw data'!BH22)),IF(SIGN('Raw data'!BG22-'Raw data'!BH22)=SIGN('Real results'!C22-'Real results'!D22),2+IF(AND('Raw data'!BG22='Real results'!C22,'Raw data'!BH22='Real results'!D22),2,0),0),0),0)</f>
        <v>0</v>
      </c>
      <c r="BI23" s="29">
        <f>IFERROR(IF(AND(ISNUMBER('Real results'!C22),ISNUMBER('Real results'!D22),ISNUMBER('Raw data'!BI22),ISNUMBER('Raw data'!BJ22)),IF(SIGN('Raw data'!BI22-'Raw data'!BJ22)=SIGN('Real results'!C22-'Real results'!D22),2+IF(AND('Raw data'!BI22='Real results'!C22,'Raw data'!BJ22='Real results'!D22),2,0),0),0),0)</f>
        <v>0</v>
      </c>
    </row>
    <row r="24" ht="18.0" customHeight="1">
      <c r="A24" s="1"/>
      <c r="B24" s="13" t="s">
        <v>43</v>
      </c>
      <c r="C24" s="29">
        <f>IFERROR(IF(AND(ISNUMBER('Real results'!C23),ISNUMBER('Real results'!D23),ISNUMBER('Raw data'!C23),ISNUMBER('Raw data'!D23)),IF(SIGN('Raw data'!C23-'Raw data'!D23)=SIGN('Real results'!C23-'Real results'!D23),2+IF(AND('Raw data'!C23='Real results'!C23,'Raw data'!D23='Real results'!D23),2,0),0),0),0)</f>
        <v>0</v>
      </c>
      <c r="E24" s="29">
        <f>IFERROR(IF(AND(ISNUMBER('Real results'!C23),ISNUMBER('Real results'!D23),ISNUMBER('Raw data'!E23),ISNUMBER('Raw data'!F23)),IF(SIGN('Raw data'!E23-'Raw data'!F23)=SIGN('Real results'!C23-'Real results'!D23),2+IF(AND('Raw data'!E23='Real results'!C23,'Raw data'!F23='Real results'!D23),2,0),0),0),0)</f>
        <v>0</v>
      </c>
      <c r="G24" s="29">
        <f>IFERROR(IF(AND(ISNUMBER('Real results'!C23),ISNUMBER('Real results'!D23),ISNUMBER('Raw data'!G23),ISNUMBER('Raw data'!H23)),IF(SIGN('Raw data'!G23-'Raw data'!H23)=SIGN('Real results'!C23-'Real results'!D23),2+IF(AND('Raw data'!G23='Real results'!C23,'Raw data'!H23='Real results'!D23),2,0),0),0),0)</f>
        <v>0</v>
      </c>
      <c r="I24" s="29">
        <f>IFERROR(IF(AND(ISNUMBER('Real results'!C23),ISNUMBER('Real results'!D23),ISNUMBER('Raw data'!I23),ISNUMBER('Raw data'!J23)),IF(SIGN('Raw data'!I23-'Raw data'!J23)=SIGN('Real results'!C23-'Real results'!D23),2+IF(AND('Raw data'!I23='Real results'!C23,'Raw data'!J23='Real results'!D23),2,0),0),0),0)</f>
        <v>0</v>
      </c>
      <c r="K24" s="29">
        <f>IFERROR(IF(AND(ISNUMBER('Real results'!C23),ISNUMBER('Real results'!D23),ISNUMBER('Raw data'!K23),ISNUMBER('Raw data'!L23)),IF(SIGN('Raw data'!K23-'Raw data'!L23)=SIGN('Real results'!C23-'Real results'!D23),2+IF(AND('Raw data'!K23='Real results'!C23,'Raw data'!L23='Real results'!D23),2,0),0),0),0)</f>
        <v>0</v>
      </c>
      <c r="M24" s="29">
        <f>IFERROR(IF(AND(ISNUMBER('Real results'!C23),ISNUMBER('Real results'!D23),ISNUMBER('Raw data'!M23),ISNUMBER('Raw data'!N23)),IF(SIGN('Raw data'!M23-'Raw data'!N23)=SIGN('Real results'!C23-'Real results'!D23),2+IF(AND('Raw data'!M23='Real results'!C23,'Raw data'!N23='Real results'!D23),2,0),0),0),0)</f>
        <v>0</v>
      </c>
      <c r="O24" s="29">
        <f>IFERROR(IF(AND(ISNUMBER('Real results'!C23),ISNUMBER('Real results'!D23),ISNUMBER('Raw data'!O23),ISNUMBER('Raw data'!P23)),IF(SIGN('Raw data'!O23-'Raw data'!P23)=SIGN('Real results'!C23-'Real results'!D23),2+IF(AND('Raw data'!O23='Real results'!C23,'Raw data'!P23='Real results'!D23),2,0),0),0),0)</f>
        <v>0</v>
      </c>
      <c r="Q24" s="29">
        <f>IFERROR(IF(AND(ISNUMBER('Real results'!C23),ISNUMBER('Real results'!D23),ISNUMBER('Raw data'!Q23),ISNUMBER('Raw data'!R23)),IF(SIGN('Raw data'!Q23-'Raw data'!R23)=SIGN('Real results'!C23-'Real results'!D23),2+IF(AND('Raw data'!Q23='Real results'!C23,'Raw data'!R23='Real results'!D23),2,0),0),0),0)</f>
        <v>0</v>
      </c>
      <c r="S24" s="29">
        <f>IFERROR(IF(AND(ISNUMBER('Real results'!C23),ISNUMBER('Real results'!D23),ISNUMBER('Raw data'!S23),ISNUMBER('Raw data'!T23)),IF(SIGN('Raw data'!S23-'Raw data'!T23)=SIGN('Real results'!C23-'Real results'!D23),2+IF(AND('Raw data'!S23='Real results'!C23,'Raw data'!T23='Real results'!D23),2,0),0),0),0)</f>
        <v>0</v>
      </c>
      <c r="U24" s="29">
        <f>IFERROR(IF(AND(ISNUMBER('Real results'!C23),ISNUMBER('Real results'!D23),ISNUMBER('Raw data'!U23),ISNUMBER('Raw data'!V23)),IF(SIGN('Raw data'!U23-'Raw data'!V23)=SIGN('Real results'!C23-'Real results'!D23),2+IF(AND('Raw data'!U23='Real results'!C23,'Raw data'!V23='Real results'!D23),2,0),0),0),0)</f>
        <v>0</v>
      </c>
      <c r="W24" s="29">
        <f>IFERROR(IF(AND(ISNUMBER('Real results'!C23),ISNUMBER('Real results'!D23),ISNUMBER('Raw data'!W23),ISNUMBER('Raw data'!X23)),IF(SIGN('Raw data'!W23-'Raw data'!X23)=SIGN('Real results'!C23-'Real results'!D23),2+IF(AND('Raw data'!W23='Real results'!C23,'Raw data'!X23='Real results'!D23),2,0),0),0),0)</f>
        <v>0</v>
      </c>
      <c r="Y24" s="29">
        <f>IFERROR(IF(AND(ISNUMBER('Real results'!C23),ISNUMBER('Real results'!D23),ISNUMBER('Raw data'!Y23),ISNUMBER('Raw data'!Z23)),IF(SIGN('Raw data'!Y23-'Raw data'!Z23)=SIGN('Real results'!C23-'Real results'!D23),2+IF(AND('Raw data'!Y23='Real results'!C23,'Raw data'!Z23='Real results'!D23),2,0),0),0),0)</f>
        <v>0</v>
      </c>
      <c r="AA24" s="29">
        <f>IFERROR(IF(AND(ISNUMBER('Real results'!C23),ISNUMBER('Real results'!D23),ISNUMBER('Raw data'!AA23),ISNUMBER('Raw data'!AB23)),IF(SIGN('Raw data'!AA23-'Raw data'!AB23)=SIGN('Real results'!C23-'Real results'!D23),2+IF(AND('Raw data'!AA23='Real results'!C23,'Raw data'!AB23='Real results'!D23),2,0),0),0),0)</f>
        <v>0</v>
      </c>
      <c r="AC24" s="29">
        <f>IFERROR(IF(AND(ISNUMBER('Real results'!C23),ISNUMBER('Real results'!D23),ISNUMBER('Raw data'!AC23),ISNUMBER('Raw data'!AD23)),IF(SIGN('Raw data'!AC23-'Raw data'!AD23)=SIGN('Real results'!C23-'Real results'!D23),2+IF(AND('Raw data'!AC23='Real results'!C23,'Raw data'!AD23='Real results'!D23),2,0),0),0),0)</f>
        <v>0</v>
      </c>
      <c r="AE24" s="29">
        <f>IFERROR(IF(AND(ISNUMBER('Real results'!C23),ISNUMBER('Real results'!D23),ISNUMBER('Raw data'!AE23),ISNUMBER('Raw data'!AF23)),IF(SIGN('Raw data'!AE23-'Raw data'!AF23)=SIGN('Real results'!C23-'Real results'!D23),2+IF(AND('Raw data'!AE23='Real results'!C23,'Raw data'!AF23='Real results'!D23),2,0),0),0),0)</f>
        <v>0</v>
      </c>
      <c r="AG24" s="29">
        <f>IFERROR(IF(AND(ISNUMBER('Real results'!C23),ISNUMBER('Real results'!D23),ISNUMBER('Raw data'!AG23),ISNUMBER('Raw data'!AH23)),IF(SIGN('Raw data'!AG23-'Raw data'!AH23)=SIGN('Real results'!C23-'Real results'!D23),2+IF(AND('Raw data'!AG23='Real results'!C23,'Raw data'!AH23='Real results'!D23),2,0),0),0),0)</f>
        <v>0</v>
      </c>
      <c r="AI24" s="29">
        <f>IFERROR(IF(AND(ISNUMBER('Real results'!C23),ISNUMBER('Real results'!D23),ISNUMBER('Raw data'!AI23),ISNUMBER('Raw data'!AJ23)),IF(SIGN('Raw data'!AI23-'Raw data'!AJ23)=SIGN('Real results'!C23-'Real results'!D23),2+IF(AND('Raw data'!AI23='Real results'!C23,'Raw data'!AJ23='Real results'!D23),2,0),0),0),0)</f>
        <v>0</v>
      </c>
      <c r="AK24" s="29">
        <f>IFERROR(IF(AND(ISNUMBER('Real results'!C23),ISNUMBER('Real results'!D23),ISNUMBER('Raw data'!AK23),ISNUMBER('Raw data'!AL23)),IF(SIGN('Raw data'!AK23-'Raw data'!AL23)=SIGN('Real results'!C23-'Real results'!D23),2+IF(AND('Raw data'!AK23='Real results'!C23,'Raw data'!AL23='Real results'!D23),2,0),0),0),0)</f>
        <v>0</v>
      </c>
      <c r="AM24" s="29">
        <f>IFERROR(IF(AND(ISNUMBER('Real results'!C23),ISNUMBER('Real results'!D23),ISNUMBER('Raw data'!AM23),ISNUMBER('Raw data'!AN23)),IF(SIGN('Raw data'!AM23-'Raw data'!AN23)=SIGN('Real results'!C23-'Real results'!D23),2+IF(AND('Raw data'!AM23='Real results'!C23,'Raw data'!AN23='Real results'!D23),2,0),0),0),0)</f>
        <v>0</v>
      </c>
      <c r="AO24" s="29">
        <f>IFERROR(IF(AND(ISNUMBER('Real results'!C23),ISNUMBER('Real results'!D23),ISNUMBER('Raw data'!AO23),ISNUMBER('Raw data'!AP23)),IF(SIGN('Raw data'!AO23-'Raw data'!AP23)=SIGN('Real results'!C23-'Real results'!D23),2+IF(AND('Raw data'!AO23='Real results'!C23,'Raw data'!AP23='Real results'!D23),2,0),0),0),0)</f>
        <v>0</v>
      </c>
      <c r="AQ24" s="29">
        <f>IFERROR(IF(AND(ISNUMBER('Real results'!C23),ISNUMBER('Real results'!D23),ISNUMBER('Raw data'!AQ23),ISNUMBER('Raw data'!AR23)),IF(SIGN('Raw data'!AQ23-'Raw data'!AR23)=SIGN('Real results'!C23-'Real results'!D23),2+IF(AND('Raw data'!AQ23='Real results'!C23,'Raw data'!AR23='Real results'!D23),2,0),0),0),0)</f>
        <v>0</v>
      </c>
      <c r="AS24" s="29">
        <f>IFERROR(IF(AND(ISNUMBER('Real results'!C23),ISNUMBER('Real results'!D23),ISNUMBER('Raw data'!AS23),ISNUMBER('Raw data'!AT23)),IF(SIGN('Raw data'!AS23-'Raw data'!AT23)=SIGN('Real results'!C23-'Real results'!D23),2+IF(AND('Raw data'!AS23='Real results'!C23,'Raw data'!AT23='Real results'!D23),2,0),0),0),0)</f>
        <v>0</v>
      </c>
      <c r="AU24" s="29">
        <f>IFERROR(IF(AND(ISNUMBER('Real results'!C23),ISNUMBER('Real results'!D23),ISNUMBER('Raw data'!AU23),ISNUMBER('Raw data'!AV23)),IF(SIGN('Raw data'!AU23-'Raw data'!AV23)=SIGN('Real results'!C23-'Real results'!D23),2+IF(AND('Raw data'!AU23='Real results'!C23,'Raw data'!AV23='Real results'!D23),2,0),0),0),0)</f>
        <v>0</v>
      </c>
      <c r="AW24" s="29">
        <f>IFERROR(IF(AND(ISNUMBER('Real results'!C23),ISNUMBER('Real results'!D23),ISNUMBER('Raw data'!AW23),ISNUMBER('Raw data'!AX23)),IF(SIGN('Raw data'!AW23-'Raw data'!AX23)=SIGN('Real results'!C23-'Real results'!D23),2+IF(AND('Raw data'!AW23='Real results'!C23,'Raw data'!AX23='Real results'!D23),2,0),0),0),0)</f>
        <v>0</v>
      </c>
      <c r="AY24" s="29">
        <f>IFERROR(IF(AND(ISNUMBER('Real results'!C23),ISNUMBER('Real results'!D23),ISNUMBER('Raw data'!AY23),ISNUMBER('Raw data'!AZ23)),IF(SIGN('Raw data'!AY23-'Raw data'!AZ23)=SIGN('Real results'!C23-'Real results'!D23),2+IF(AND('Raw data'!AY23='Real results'!C23,'Raw data'!AZ23='Real results'!D23),2,0),0),0),0)</f>
        <v>0</v>
      </c>
      <c r="BA24" s="29">
        <f>IFERROR(IF(AND(ISNUMBER('Real results'!C23),ISNUMBER('Real results'!D23),ISNUMBER('Raw data'!BA23),ISNUMBER('Raw data'!BB23)),IF(SIGN('Raw data'!BA23-'Raw data'!BB23)=SIGN('Real results'!C23-'Real results'!D23),2+IF(AND('Raw data'!BA23='Real results'!C23,'Raw data'!BB23='Real results'!D23),2,0),0),0),0)</f>
        <v>0</v>
      </c>
      <c r="BC24" s="29">
        <f>IFERROR(IF(AND(ISNUMBER('Real results'!C23),ISNUMBER('Real results'!D23),ISNUMBER('Raw data'!BC23),ISNUMBER('Raw data'!BD23)),IF(SIGN('Raw data'!BC23-'Raw data'!BD23)=SIGN('Real results'!C23-'Real results'!D23),2+IF(AND('Raw data'!BC23='Real results'!C23,'Raw data'!BD23='Real results'!D23),2,0),0),0),0)</f>
        <v>0</v>
      </c>
      <c r="BE24" s="29">
        <f>IFERROR(IF(AND(ISNUMBER('Real results'!C23),ISNUMBER('Real results'!D23),ISNUMBER('Raw data'!BE23),ISNUMBER('Raw data'!BF23)),IF(SIGN('Raw data'!BE23-'Raw data'!BF23)=SIGN('Real results'!C23-'Real results'!D23),2+IF(AND('Raw data'!BE23='Real results'!C23,'Raw data'!BF23='Real results'!D23),2,0),0),0),0)</f>
        <v>0</v>
      </c>
      <c r="BG24" s="29">
        <f>IFERROR(IF(AND(ISNUMBER('Real results'!C23),ISNUMBER('Real results'!D23),ISNUMBER('Raw data'!BG23),ISNUMBER('Raw data'!BH23)),IF(SIGN('Raw data'!BG23-'Raw data'!BH23)=SIGN('Real results'!C23-'Real results'!D23),2+IF(AND('Raw data'!BG23='Real results'!C23,'Raw data'!BH23='Real results'!D23),2,0),0),0),0)</f>
        <v>0</v>
      </c>
      <c r="BI24" s="29">
        <f>IFERROR(IF(AND(ISNUMBER('Real results'!C23),ISNUMBER('Real results'!D23),ISNUMBER('Raw data'!BI23),ISNUMBER('Raw data'!BJ23)),IF(SIGN('Raw data'!BI23-'Raw data'!BJ23)=SIGN('Real results'!C23-'Real results'!D23),2+IF(AND('Raw data'!BI23='Real results'!C23,'Raw data'!BJ23='Real results'!D23),2,0),0),0),0)</f>
        <v>0</v>
      </c>
    </row>
    <row r="25" ht="18.0" customHeight="1">
      <c r="A25" s="1"/>
      <c r="B25" s="13" t="s">
        <v>44</v>
      </c>
      <c r="C25" s="29">
        <f>IFERROR(IF(AND(ISNUMBER('Real results'!C24),ISNUMBER('Real results'!D24),ISNUMBER('Raw data'!C24),ISNUMBER('Raw data'!D24)),IF(SIGN('Raw data'!C24-'Raw data'!D24)=SIGN('Real results'!C24-'Real results'!D24),2+IF(AND('Raw data'!C24='Real results'!C24,'Raw data'!D24='Real results'!D24),2,0),0),0),0)</f>
        <v>0</v>
      </c>
      <c r="E25" s="29">
        <f>IFERROR(IF(AND(ISNUMBER('Real results'!C24),ISNUMBER('Real results'!D24),ISNUMBER('Raw data'!E24),ISNUMBER('Raw data'!F24)),IF(SIGN('Raw data'!E24-'Raw data'!F24)=SIGN('Real results'!C24-'Real results'!D24),2+IF(AND('Raw data'!E24='Real results'!C24,'Raw data'!F24='Real results'!D24),2,0),0),0),0)</f>
        <v>0</v>
      </c>
      <c r="G25" s="29">
        <f>IFERROR(IF(AND(ISNUMBER('Real results'!C24),ISNUMBER('Real results'!D24),ISNUMBER('Raw data'!G24),ISNUMBER('Raw data'!H24)),IF(SIGN('Raw data'!G24-'Raw data'!H24)=SIGN('Real results'!C24-'Real results'!D24),2+IF(AND('Raw data'!G24='Real results'!C24,'Raw data'!H24='Real results'!D24),2,0),0),0),0)</f>
        <v>0</v>
      </c>
      <c r="I25" s="29">
        <f>IFERROR(IF(AND(ISNUMBER('Real results'!C24),ISNUMBER('Real results'!D24),ISNUMBER('Raw data'!I24),ISNUMBER('Raw data'!J24)),IF(SIGN('Raw data'!I24-'Raw data'!J24)=SIGN('Real results'!C24-'Real results'!D24),2+IF(AND('Raw data'!I24='Real results'!C24,'Raw data'!J24='Real results'!D24),2,0),0),0),0)</f>
        <v>0</v>
      </c>
      <c r="K25" s="29">
        <f>IFERROR(IF(AND(ISNUMBER('Real results'!C24),ISNUMBER('Real results'!D24),ISNUMBER('Raw data'!K24),ISNUMBER('Raw data'!L24)),IF(SIGN('Raw data'!K24-'Raw data'!L24)=SIGN('Real results'!C24-'Real results'!D24),2+IF(AND('Raw data'!K24='Real results'!C24,'Raw data'!L24='Real results'!D24),2,0),0),0),0)</f>
        <v>0</v>
      </c>
      <c r="M25" s="29">
        <f>IFERROR(IF(AND(ISNUMBER('Real results'!C24),ISNUMBER('Real results'!D24),ISNUMBER('Raw data'!M24),ISNUMBER('Raw data'!N24)),IF(SIGN('Raw data'!M24-'Raw data'!N24)=SIGN('Real results'!C24-'Real results'!D24),2+IF(AND('Raw data'!M24='Real results'!C24,'Raw data'!N24='Real results'!D24),2,0),0),0),0)</f>
        <v>0</v>
      </c>
      <c r="O25" s="29">
        <f>IFERROR(IF(AND(ISNUMBER('Real results'!C24),ISNUMBER('Real results'!D24),ISNUMBER('Raw data'!O24),ISNUMBER('Raw data'!P24)),IF(SIGN('Raw data'!O24-'Raw data'!P24)=SIGN('Real results'!C24-'Real results'!D24),2+IF(AND('Raw data'!O24='Real results'!C24,'Raw data'!P24='Real results'!D24),2,0),0),0),0)</f>
        <v>0</v>
      </c>
      <c r="Q25" s="29">
        <f>IFERROR(IF(AND(ISNUMBER('Real results'!C24),ISNUMBER('Real results'!D24),ISNUMBER('Raw data'!Q24),ISNUMBER('Raw data'!R24)),IF(SIGN('Raw data'!Q24-'Raw data'!R24)=SIGN('Real results'!C24-'Real results'!D24),2+IF(AND('Raw data'!Q24='Real results'!C24,'Raw data'!R24='Real results'!D24),2,0),0),0),0)</f>
        <v>0</v>
      </c>
      <c r="S25" s="29">
        <f>IFERROR(IF(AND(ISNUMBER('Real results'!C24),ISNUMBER('Real results'!D24),ISNUMBER('Raw data'!S24),ISNUMBER('Raw data'!T24)),IF(SIGN('Raw data'!S24-'Raw data'!T24)=SIGN('Real results'!C24-'Real results'!D24),2+IF(AND('Raw data'!S24='Real results'!C24,'Raw data'!T24='Real results'!D24),2,0),0),0),0)</f>
        <v>0</v>
      </c>
      <c r="U25" s="29">
        <f>IFERROR(IF(AND(ISNUMBER('Real results'!C24),ISNUMBER('Real results'!D24),ISNUMBER('Raw data'!U24),ISNUMBER('Raw data'!V24)),IF(SIGN('Raw data'!U24-'Raw data'!V24)=SIGN('Real results'!C24-'Real results'!D24),2+IF(AND('Raw data'!U24='Real results'!C24,'Raw data'!V24='Real results'!D24),2,0),0),0),0)</f>
        <v>0</v>
      </c>
      <c r="W25" s="29">
        <f>IFERROR(IF(AND(ISNUMBER('Real results'!C24),ISNUMBER('Real results'!D24),ISNUMBER('Raw data'!W24),ISNUMBER('Raw data'!X24)),IF(SIGN('Raw data'!W24-'Raw data'!X24)=SIGN('Real results'!C24-'Real results'!D24),2+IF(AND('Raw data'!W24='Real results'!C24,'Raw data'!X24='Real results'!D24),2,0),0),0),0)</f>
        <v>0</v>
      </c>
      <c r="Y25" s="29">
        <f>IFERROR(IF(AND(ISNUMBER('Real results'!C24),ISNUMBER('Real results'!D24),ISNUMBER('Raw data'!Y24),ISNUMBER('Raw data'!Z24)),IF(SIGN('Raw data'!Y24-'Raw data'!Z24)=SIGN('Real results'!C24-'Real results'!D24),2+IF(AND('Raw data'!Y24='Real results'!C24,'Raw data'!Z24='Real results'!D24),2,0),0),0),0)</f>
        <v>0</v>
      </c>
      <c r="AA25" s="29">
        <f>IFERROR(IF(AND(ISNUMBER('Real results'!C24),ISNUMBER('Real results'!D24),ISNUMBER('Raw data'!AA24),ISNUMBER('Raw data'!AB24)),IF(SIGN('Raw data'!AA24-'Raw data'!AB24)=SIGN('Real results'!C24-'Real results'!D24),2+IF(AND('Raw data'!AA24='Real results'!C24,'Raw data'!AB24='Real results'!D24),2,0),0),0),0)</f>
        <v>0</v>
      </c>
      <c r="AC25" s="29">
        <f>IFERROR(IF(AND(ISNUMBER('Real results'!C24),ISNUMBER('Real results'!D24),ISNUMBER('Raw data'!AC24),ISNUMBER('Raw data'!AD24)),IF(SIGN('Raw data'!AC24-'Raw data'!AD24)=SIGN('Real results'!C24-'Real results'!D24),2+IF(AND('Raw data'!AC24='Real results'!C24,'Raw data'!AD24='Real results'!D24),2,0),0),0),0)</f>
        <v>0</v>
      </c>
      <c r="AE25" s="29">
        <f>IFERROR(IF(AND(ISNUMBER('Real results'!C24),ISNUMBER('Real results'!D24),ISNUMBER('Raw data'!AE24),ISNUMBER('Raw data'!AF24)),IF(SIGN('Raw data'!AE24-'Raw data'!AF24)=SIGN('Real results'!C24-'Real results'!D24),2+IF(AND('Raw data'!AE24='Real results'!C24,'Raw data'!AF24='Real results'!D24),2,0),0),0),0)</f>
        <v>0</v>
      </c>
      <c r="AG25" s="29">
        <f>IFERROR(IF(AND(ISNUMBER('Real results'!C24),ISNUMBER('Real results'!D24),ISNUMBER('Raw data'!AG24),ISNUMBER('Raw data'!AH24)),IF(SIGN('Raw data'!AG24-'Raw data'!AH24)=SIGN('Real results'!C24-'Real results'!D24),2+IF(AND('Raw data'!AG24='Real results'!C24,'Raw data'!AH24='Real results'!D24),2,0),0),0),0)</f>
        <v>0</v>
      </c>
      <c r="AI25" s="29">
        <f>IFERROR(IF(AND(ISNUMBER('Real results'!C24),ISNUMBER('Real results'!D24),ISNUMBER('Raw data'!AI24),ISNUMBER('Raw data'!AJ24)),IF(SIGN('Raw data'!AI24-'Raw data'!AJ24)=SIGN('Real results'!C24-'Real results'!D24),2+IF(AND('Raw data'!AI24='Real results'!C24,'Raw data'!AJ24='Real results'!D24),2,0),0),0),0)</f>
        <v>0</v>
      </c>
      <c r="AK25" s="29">
        <f>IFERROR(IF(AND(ISNUMBER('Real results'!C24),ISNUMBER('Real results'!D24),ISNUMBER('Raw data'!AK24),ISNUMBER('Raw data'!AL24)),IF(SIGN('Raw data'!AK24-'Raw data'!AL24)=SIGN('Real results'!C24-'Real results'!D24),2+IF(AND('Raw data'!AK24='Real results'!C24,'Raw data'!AL24='Real results'!D24),2,0),0),0),0)</f>
        <v>0</v>
      </c>
      <c r="AM25" s="29">
        <f>IFERROR(IF(AND(ISNUMBER('Real results'!C24),ISNUMBER('Real results'!D24),ISNUMBER('Raw data'!AM24),ISNUMBER('Raw data'!AN24)),IF(SIGN('Raw data'!AM24-'Raw data'!AN24)=SIGN('Real results'!C24-'Real results'!D24),2+IF(AND('Raw data'!AM24='Real results'!C24,'Raw data'!AN24='Real results'!D24),2,0),0),0),0)</f>
        <v>0</v>
      </c>
      <c r="AO25" s="29">
        <f>IFERROR(IF(AND(ISNUMBER('Real results'!C24),ISNUMBER('Real results'!D24),ISNUMBER('Raw data'!AO24),ISNUMBER('Raw data'!AP24)),IF(SIGN('Raw data'!AO24-'Raw data'!AP24)=SIGN('Real results'!C24-'Real results'!D24),2+IF(AND('Raw data'!AO24='Real results'!C24,'Raw data'!AP24='Real results'!D24),2,0),0),0),0)</f>
        <v>0</v>
      </c>
      <c r="AQ25" s="29">
        <f>IFERROR(IF(AND(ISNUMBER('Real results'!C24),ISNUMBER('Real results'!D24),ISNUMBER('Raw data'!AQ24),ISNUMBER('Raw data'!AR24)),IF(SIGN('Raw data'!AQ24-'Raw data'!AR24)=SIGN('Real results'!C24-'Real results'!D24),2+IF(AND('Raw data'!AQ24='Real results'!C24,'Raw data'!AR24='Real results'!D24),2,0),0),0),0)</f>
        <v>0</v>
      </c>
      <c r="AS25" s="29">
        <f>IFERROR(IF(AND(ISNUMBER('Real results'!C24),ISNUMBER('Real results'!D24),ISNUMBER('Raw data'!AS24),ISNUMBER('Raw data'!AT24)),IF(SIGN('Raw data'!AS24-'Raw data'!AT24)=SIGN('Real results'!C24-'Real results'!D24),2+IF(AND('Raw data'!AS24='Real results'!C24,'Raw data'!AT24='Real results'!D24),2,0),0),0),0)</f>
        <v>0</v>
      </c>
      <c r="AU25" s="29">
        <f>IFERROR(IF(AND(ISNUMBER('Real results'!C24),ISNUMBER('Real results'!D24),ISNUMBER('Raw data'!AU24),ISNUMBER('Raw data'!AV24)),IF(SIGN('Raw data'!AU24-'Raw data'!AV24)=SIGN('Real results'!C24-'Real results'!D24),2+IF(AND('Raw data'!AU24='Real results'!C24,'Raw data'!AV24='Real results'!D24),2,0),0),0),0)</f>
        <v>0</v>
      </c>
      <c r="AW25" s="29">
        <f>IFERROR(IF(AND(ISNUMBER('Real results'!C24),ISNUMBER('Real results'!D24),ISNUMBER('Raw data'!AW24),ISNUMBER('Raw data'!AX24)),IF(SIGN('Raw data'!AW24-'Raw data'!AX24)=SIGN('Real results'!C24-'Real results'!D24),2+IF(AND('Raw data'!AW24='Real results'!C24,'Raw data'!AX24='Real results'!D24),2,0),0),0),0)</f>
        <v>0</v>
      </c>
      <c r="AY25" s="29">
        <f>IFERROR(IF(AND(ISNUMBER('Real results'!C24),ISNUMBER('Real results'!D24),ISNUMBER('Raw data'!AY24),ISNUMBER('Raw data'!AZ24)),IF(SIGN('Raw data'!AY24-'Raw data'!AZ24)=SIGN('Real results'!C24-'Real results'!D24),2+IF(AND('Raw data'!AY24='Real results'!C24,'Raw data'!AZ24='Real results'!D24),2,0),0),0),0)</f>
        <v>0</v>
      </c>
      <c r="BA25" s="29">
        <f>IFERROR(IF(AND(ISNUMBER('Real results'!C24),ISNUMBER('Real results'!D24),ISNUMBER('Raw data'!BA24),ISNUMBER('Raw data'!BB24)),IF(SIGN('Raw data'!BA24-'Raw data'!BB24)=SIGN('Real results'!C24-'Real results'!D24),2+IF(AND('Raw data'!BA24='Real results'!C24,'Raw data'!BB24='Real results'!D24),2,0),0),0),0)</f>
        <v>0</v>
      </c>
      <c r="BC25" s="29">
        <f>IFERROR(IF(AND(ISNUMBER('Real results'!C24),ISNUMBER('Real results'!D24),ISNUMBER('Raw data'!BC24),ISNUMBER('Raw data'!BD24)),IF(SIGN('Raw data'!BC24-'Raw data'!BD24)=SIGN('Real results'!C24-'Real results'!D24),2+IF(AND('Raw data'!BC24='Real results'!C24,'Raw data'!BD24='Real results'!D24),2,0),0),0),0)</f>
        <v>0</v>
      </c>
      <c r="BE25" s="29">
        <f>IFERROR(IF(AND(ISNUMBER('Real results'!C24),ISNUMBER('Real results'!D24),ISNUMBER('Raw data'!BE24),ISNUMBER('Raw data'!BF24)),IF(SIGN('Raw data'!BE24-'Raw data'!BF24)=SIGN('Real results'!C24-'Real results'!D24),2+IF(AND('Raw data'!BE24='Real results'!C24,'Raw data'!BF24='Real results'!D24),2,0),0),0),0)</f>
        <v>0</v>
      </c>
      <c r="BG25" s="29">
        <f>IFERROR(IF(AND(ISNUMBER('Real results'!C24),ISNUMBER('Real results'!D24),ISNUMBER('Raw data'!BG24),ISNUMBER('Raw data'!BH24)),IF(SIGN('Raw data'!BG24-'Raw data'!BH24)=SIGN('Real results'!C24-'Real results'!D24),2+IF(AND('Raw data'!BG24='Real results'!C24,'Raw data'!BH24='Real results'!D24),2,0),0),0),0)</f>
        <v>0</v>
      </c>
      <c r="BI25" s="29">
        <f>IFERROR(IF(AND(ISNUMBER('Real results'!C24),ISNUMBER('Real results'!D24),ISNUMBER('Raw data'!BI24),ISNUMBER('Raw data'!BJ24)),IF(SIGN('Raw data'!BI24-'Raw data'!BJ24)=SIGN('Real results'!C24-'Real results'!D24),2+IF(AND('Raw data'!BI24='Real results'!C24,'Raw data'!BJ24='Real results'!D24),2,0),0),0),0)</f>
        <v>0</v>
      </c>
    </row>
    <row r="26" ht="18.0" customHeight="1">
      <c r="A26" s="1"/>
      <c r="B26" s="13" t="s">
        <v>45</v>
      </c>
      <c r="C26" s="29">
        <f>IFERROR(IF(AND(ISNUMBER('Real results'!C25),ISNUMBER('Real results'!D25),ISNUMBER('Raw data'!C25),ISNUMBER('Raw data'!D25)),IF(SIGN('Raw data'!C25-'Raw data'!D25)=SIGN('Real results'!C25-'Real results'!D25),2+IF(AND('Raw data'!C25='Real results'!C25,'Raw data'!D25='Real results'!D25),2,0),0),0),0)</f>
        <v>0</v>
      </c>
      <c r="E26" s="29">
        <f>IFERROR(IF(AND(ISNUMBER('Real results'!C25),ISNUMBER('Real results'!D25),ISNUMBER('Raw data'!E25),ISNUMBER('Raw data'!F25)),IF(SIGN('Raw data'!E25-'Raw data'!F25)=SIGN('Real results'!C25-'Real results'!D25),2+IF(AND('Raw data'!E25='Real results'!C25,'Raw data'!F25='Real results'!D25),2,0),0),0),0)</f>
        <v>0</v>
      </c>
      <c r="G26" s="29">
        <f>IFERROR(IF(AND(ISNUMBER('Real results'!C25),ISNUMBER('Real results'!D25),ISNUMBER('Raw data'!G25),ISNUMBER('Raw data'!H25)),IF(SIGN('Raw data'!G25-'Raw data'!H25)=SIGN('Real results'!C25-'Real results'!D25),2+IF(AND('Raw data'!G25='Real results'!C25,'Raw data'!H25='Real results'!D25),2,0),0),0),0)</f>
        <v>0</v>
      </c>
      <c r="I26" s="29">
        <f>IFERROR(IF(AND(ISNUMBER('Real results'!C25),ISNUMBER('Real results'!D25),ISNUMBER('Raw data'!I25),ISNUMBER('Raw data'!J25)),IF(SIGN('Raw data'!I25-'Raw data'!J25)=SIGN('Real results'!C25-'Real results'!D25),2+IF(AND('Raw data'!I25='Real results'!C25,'Raw data'!J25='Real results'!D25),2,0),0),0),0)</f>
        <v>0</v>
      </c>
      <c r="K26" s="29">
        <f>IFERROR(IF(AND(ISNUMBER('Real results'!C25),ISNUMBER('Real results'!D25),ISNUMBER('Raw data'!K25),ISNUMBER('Raw data'!L25)),IF(SIGN('Raw data'!K25-'Raw data'!L25)=SIGN('Real results'!C25-'Real results'!D25),2+IF(AND('Raw data'!K25='Real results'!C25,'Raw data'!L25='Real results'!D25),2,0),0),0),0)</f>
        <v>0</v>
      </c>
      <c r="M26" s="29">
        <f>IFERROR(IF(AND(ISNUMBER('Real results'!C25),ISNUMBER('Real results'!D25),ISNUMBER('Raw data'!M25),ISNUMBER('Raw data'!N25)),IF(SIGN('Raw data'!M25-'Raw data'!N25)=SIGN('Real results'!C25-'Real results'!D25),2+IF(AND('Raw data'!M25='Real results'!C25,'Raw data'!N25='Real results'!D25),2,0),0),0),0)</f>
        <v>0</v>
      </c>
      <c r="O26" s="29">
        <f>IFERROR(IF(AND(ISNUMBER('Real results'!C25),ISNUMBER('Real results'!D25),ISNUMBER('Raw data'!O25),ISNUMBER('Raw data'!P25)),IF(SIGN('Raw data'!O25-'Raw data'!P25)=SIGN('Real results'!C25-'Real results'!D25),2+IF(AND('Raw data'!O25='Real results'!C25,'Raw data'!P25='Real results'!D25),2,0),0),0),0)</f>
        <v>0</v>
      </c>
      <c r="Q26" s="29">
        <f>IFERROR(IF(AND(ISNUMBER('Real results'!C25),ISNUMBER('Real results'!D25),ISNUMBER('Raw data'!Q25),ISNUMBER('Raw data'!R25)),IF(SIGN('Raw data'!Q25-'Raw data'!R25)=SIGN('Real results'!C25-'Real results'!D25),2+IF(AND('Raw data'!Q25='Real results'!C25,'Raw data'!R25='Real results'!D25),2,0),0),0),0)</f>
        <v>0</v>
      </c>
      <c r="S26" s="29">
        <f>IFERROR(IF(AND(ISNUMBER('Real results'!C25),ISNUMBER('Real results'!D25),ISNUMBER('Raw data'!S25),ISNUMBER('Raw data'!T25)),IF(SIGN('Raw data'!S25-'Raw data'!T25)=SIGN('Real results'!C25-'Real results'!D25),2+IF(AND('Raw data'!S25='Real results'!C25,'Raw data'!T25='Real results'!D25),2,0),0),0),0)</f>
        <v>0</v>
      </c>
      <c r="U26" s="29">
        <f>IFERROR(IF(AND(ISNUMBER('Real results'!C25),ISNUMBER('Real results'!D25),ISNUMBER('Raw data'!U25),ISNUMBER('Raw data'!V25)),IF(SIGN('Raw data'!U25-'Raw data'!V25)=SIGN('Real results'!C25-'Real results'!D25),2+IF(AND('Raw data'!U25='Real results'!C25,'Raw data'!V25='Real results'!D25),2,0),0),0),0)</f>
        <v>0</v>
      </c>
      <c r="W26" s="29">
        <f>IFERROR(IF(AND(ISNUMBER('Real results'!C25),ISNUMBER('Real results'!D25),ISNUMBER('Raw data'!W25),ISNUMBER('Raw data'!X25)),IF(SIGN('Raw data'!W25-'Raw data'!X25)=SIGN('Real results'!C25-'Real results'!D25),2+IF(AND('Raw data'!W25='Real results'!C25,'Raw data'!X25='Real results'!D25),2,0),0),0),0)</f>
        <v>0</v>
      </c>
      <c r="Y26" s="29">
        <f>IFERROR(IF(AND(ISNUMBER('Real results'!C25),ISNUMBER('Real results'!D25),ISNUMBER('Raw data'!Y25),ISNUMBER('Raw data'!Z25)),IF(SIGN('Raw data'!Y25-'Raw data'!Z25)=SIGN('Real results'!C25-'Real results'!D25),2+IF(AND('Raw data'!Y25='Real results'!C25,'Raw data'!Z25='Real results'!D25),2,0),0),0),0)</f>
        <v>0</v>
      </c>
      <c r="AA26" s="29">
        <f>IFERROR(IF(AND(ISNUMBER('Real results'!C25),ISNUMBER('Real results'!D25),ISNUMBER('Raw data'!AA25),ISNUMBER('Raw data'!AB25)),IF(SIGN('Raw data'!AA25-'Raw data'!AB25)=SIGN('Real results'!C25-'Real results'!D25),2+IF(AND('Raw data'!AA25='Real results'!C25,'Raw data'!AB25='Real results'!D25),2,0),0),0),0)</f>
        <v>0</v>
      </c>
      <c r="AC26" s="29">
        <f>IFERROR(IF(AND(ISNUMBER('Real results'!C25),ISNUMBER('Real results'!D25),ISNUMBER('Raw data'!AC25),ISNUMBER('Raw data'!AD25)),IF(SIGN('Raw data'!AC25-'Raw data'!AD25)=SIGN('Real results'!C25-'Real results'!D25),2+IF(AND('Raw data'!AC25='Real results'!C25,'Raw data'!AD25='Real results'!D25),2,0),0),0),0)</f>
        <v>0</v>
      </c>
      <c r="AE26" s="29">
        <f>IFERROR(IF(AND(ISNUMBER('Real results'!C25),ISNUMBER('Real results'!D25),ISNUMBER('Raw data'!AE25),ISNUMBER('Raw data'!AF25)),IF(SIGN('Raw data'!AE25-'Raw data'!AF25)=SIGN('Real results'!C25-'Real results'!D25),2+IF(AND('Raw data'!AE25='Real results'!C25,'Raw data'!AF25='Real results'!D25),2,0),0),0),0)</f>
        <v>0</v>
      </c>
      <c r="AG26" s="29">
        <f>IFERROR(IF(AND(ISNUMBER('Real results'!C25),ISNUMBER('Real results'!D25),ISNUMBER('Raw data'!AG25),ISNUMBER('Raw data'!AH25)),IF(SIGN('Raw data'!AG25-'Raw data'!AH25)=SIGN('Real results'!C25-'Real results'!D25),2+IF(AND('Raw data'!AG25='Real results'!C25,'Raw data'!AH25='Real results'!D25),2,0),0),0),0)</f>
        <v>0</v>
      </c>
      <c r="AI26" s="29">
        <f>IFERROR(IF(AND(ISNUMBER('Real results'!C25),ISNUMBER('Real results'!D25),ISNUMBER('Raw data'!AI25),ISNUMBER('Raw data'!AJ25)),IF(SIGN('Raw data'!AI25-'Raw data'!AJ25)=SIGN('Real results'!C25-'Real results'!D25),2+IF(AND('Raw data'!AI25='Real results'!C25,'Raw data'!AJ25='Real results'!D25),2,0),0),0),0)</f>
        <v>0</v>
      </c>
      <c r="AK26" s="29">
        <f>IFERROR(IF(AND(ISNUMBER('Real results'!C25),ISNUMBER('Real results'!D25),ISNUMBER('Raw data'!AK25),ISNUMBER('Raw data'!AL25)),IF(SIGN('Raw data'!AK25-'Raw data'!AL25)=SIGN('Real results'!C25-'Real results'!D25),2+IF(AND('Raw data'!AK25='Real results'!C25,'Raw data'!AL25='Real results'!D25),2,0),0),0),0)</f>
        <v>0</v>
      </c>
      <c r="AM26" s="29">
        <f>IFERROR(IF(AND(ISNUMBER('Real results'!C25),ISNUMBER('Real results'!D25),ISNUMBER('Raw data'!AM25),ISNUMBER('Raw data'!AN25)),IF(SIGN('Raw data'!AM25-'Raw data'!AN25)=SIGN('Real results'!C25-'Real results'!D25),2+IF(AND('Raw data'!AM25='Real results'!C25,'Raw data'!AN25='Real results'!D25),2,0),0),0),0)</f>
        <v>0</v>
      </c>
      <c r="AO26" s="29">
        <f>IFERROR(IF(AND(ISNUMBER('Real results'!C25),ISNUMBER('Real results'!D25),ISNUMBER('Raw data'!AO25),ISNUMBER('Raw data'!AP25)),IF(SIGN('Raw data'!AO25-'Raw data'!AP25)=SIGN('Real results'!C25-'Real results'!D25),2+IF(AND('Raw data'!AO25='Real results'!C25,'Raw data'!AP25='Real results'!D25),2,0),0),0),0)</f>
        <v>0</v>
      </c>
      <c r="AQ26" s="29">
        <f>IFERROR(IF(AND(ISNUMBER('Real results'!C25),ISNUMBER('Real results'!D25),ISNUMBER('Raw data'!AQ25),ISNUMBER('Raw data'!AR25)),IF(SIGN('Raw data'!AQ25-'Raw data'!AR25)=SIGN('Real results'!C25-'Real results'!D25),2+IF(AND('Raw data'!AQ25='Real results'!C25,'Raw data'!AR25='Real results'!D25),2,0),0),0),0)</f>
        <v>0</v>
      </c>
      <c r="AS26" s="29">
        <f>IFERROR(IF(AND(ISNUMBER('Real results'!C25),ISNUMBER('Real results'!D25),ISNUMBER('Raw data'!AS25),ISNUMBER('Raw data'!AT25)),IF(SIGN('Raw data'!AS25-'Raw data'!AT25)=SIGN('Real results'!C25-'Real results'!D25),2+IF(AND('Raw data'!AS25='Real results'!C25,'Raw data'!AT25='Real results'!D25),2,0),0),0),0)</f>
        <v>0</v>
      </c>
      <c r="AU26" s="29">
        <f>IFERROR(IF(AND(ISNUMBER('Real results'!C25),ISNUMBER('Real results'!D25),ISNUMBER('Raw data'!AU25),ISNUMBER('Raw data'!AV25)),IF(SIGN('Raw data'!AU25-'Raw data'!AV25)=SIGN('Real results'!C25-'Real results'!D25),2+IF(AND('Raw data'!AU25='Real results'!C25,'Raw data'!AV25='Real results'!D25),2,0),0),0),0)</f>
        <v>0</v>
      </c>
      <c r="AW26" s="29">
        <f>IFERROR(IF(AND(ISNUMBER('Real results'!C25),ISNUMBER('Real results'!D25),ISNUMBER('Raw data'!AW25),ISNUMBER('Raw data'!AX25)),IF(SIGN('Raw data'!AW25-'Raw data'!AX25)=SIGN('Real results'!C25-'Real results'!D25),2+IF(AND('Raw data'!AW25='Real results'!C25,'Raw data'!AX25='Real results'!D25),2,0),0),0),0)</f>
        <v>0</v>
      </c>
      <c r="AY26" s="29">
        <f>IFERROR(IF(AND(ISNUMBER('Real results'!C25),ISNUMBER('Real results'!D25),ISNUMBER('Raw data'!AY25),ISNUMBER('Raw data'!AZ25)),IF(SIGN('Raw data'!AY25-'Raw data'!AZ25)=SIGN('Real results'!C25-'Real results'!D25),2+IF(AND('Raw data'!AY25='Real results'!C25,'Raw data'!AZ25='Real results'!D25),2,0),0),0),0)</f>
        <v>0</v>
      </c>
      <c r="BA26" s="29">
        <f>IFERROR(IF(AND(ISNUMBER('Real results'!C25),ISNUMBER('Real results'!D25),ISNUMBER('Raw data'!BA25),ISNUMBER('Raw data'!BB25)),IF(SIGN('Raw data'!BA25-'Raw data'!BB25)=SIGN('Real results'!C25-'Real results'!D25),2+IF(AND('Raw data'!BA25='Real results'!C25,'Raw data'!BB25='Real results'!D25),2,0),0),0),0)</f>
        <v>0</v>
      </c>
      <c r="BC26" s="29">
        <f>IFERROR(IF(AND(ISNUMBER('Real results'!C25),ISNUMBER('Real results'!D25),ISNUMBER('Raw data'!BC25),ISNUMBER('Raw data'!BD25)),IF(SIGN('Raw data'!BC25-'Raw data'!BD25)=SIGN('Real results'!C25-'Real results'!D25),2+IF(AND('Raw data'!BC25='Real results'!C25,'Raw data'!BD25='Real results'!D25),2,0),0),0),0)</f>
        <v>0</v>
      </c>
      <c r="BE26" s="29">
        <f>IFERROR(IF(AND(ISNUMBER('Real results'!C25),ISNUMBER('Real results'!D25),ISNUMBER('Raw data'!BE25),ISNUMBER('Raw data'!BF25)),IF(SIGN('Raw data'!BE25-'Raw data'!BF25)=SIGN('Real results'!C25-'Real results'!D25),2+IF(AND('Raw data'!BE25='Real results'!C25,'Raw data'!BF25='Real results'!D25),2,0),0),0),0)</f>
        <v>0</v>
      </c>
      <c r="BG26" s="29">
        <f>IFERROR(IF(AND(ISNUMBER('Real results'!C25),ISNUMBER('Real results'!D25),ISNUMBER('Raw data'!BG25),ISNUMBER('Raw data'!BH25)),IF(SIGN('Raw data'!BG25-'Raw data'!BH25)=SIGN('Real results'!C25-'Real results'!D25),2+IF(AND('Raw data'!BG25='Real results'!C25,'Raw data'!BH25='Real results'!D25),2,0),0),0),0)</f>
        <v>0</v>
      </c>
      <c r="BI26" s="29">
        <f>IFERROR(IF(AND(ISNUMBER('Real results'!C25),ISNUMBER('Real results'!D25),ISNUMBER('Raw data'!BI25),ISNUMBER('Raw data'!BJ25)),IF(SIGN('Raw data'!BI25-'Raw data'!BJ25)=SIGN('Real results'!C25-'Real results'!D25),2+IF(AND('Raw data'!BI25='Real results'!C25,'Raw data'!BJ25='Real results'!D25),2,0),0),0),0)</f>
        <v>0</v>
      </c>
    </row>
    <row r="27" ht="18.0" customHeight="1">
      <c r="A27" s="1"/>
      <c r="B27" s="13" t="s">
        <v>46</v>
      </c>
      <c r="C27" s="29">
        <f>IFERROR(IF(AND(ISNUMBER('Real results'!C26),ISNUMBER('Real results'!D26),ISNUMBER('Raw data'!C26),ISNUMBER('Raw data'!D26)),IF(SIGN('Raw data'!C26-'Raw data'!D26)=SIGN('Real results'!C26-'Real results'!D26),2+IF(AND('Raw data'!C26='Real results'!C26,'Raw data'!D26='Real results'!D26),2,0),0),0),0)</f>
        <v>0</v>
      </c>
      <c r="E27" s="29">
        <f>IFERROR(IF(AND(ISNUMBER('Real results'!C26),ISNUMBER('Real results'!D26),ISNUMBER('Raw data'!E26),ISNUMBER('Raw data'!F26)),IF(SIGN('Raw data'!E26-'Raw data'!F26)=SIGN('Real results'!C26-'Real results'!D26),2+IF(AND('Raw data'!E26='Real results'!C26,'Raw data'!F26='Real results'!D26),2,0),0),0),0)</f>
        <v>0</v>
      </c>
      <c r="G27" s="29">
        <f>IFERROR(IF(AND(ISNUMBER('Real results'!C26),ISNUMBER('Real results'!D26),ISNUMBER('Raw data'!G26),ISNUMBER('Raw data'!H26)),IF(SIGN('Raw data'!G26-'Raw data'!H26)=SIGN('Real results'!C26-'Real results'!D26),2+IF(AND('Raw data'!G26='Real results'!C26,'Raw data'!H26='Real results'!D26),2,0),0),0),0)</f>
        <v>0</v>
      </c>
      <c r="I27" s="29">
        <f>IFERROR(IF(AND(ISNUMBER('Real results'!C26),ISNUMBER('Real results'!D26),ISNUMBER('Raw data'!I26),ISNUMBER('Raw data'!J26)),IF(SIGN('Raw data'!I26-'Raw data'!J26)=SIGN('Real results'!C26-'Real results'!D26),2+IF(AND('Raw data'!I26='Real results'!C26,'Raw data'!J26='Real results'!D26),2,0),0),0),0)</f>
        <v>0</v>
      </c>
      <c r="K27" s="29">
        <f>IFERROR(IF(AND(ISNUMBER('Real results'!C26),ISNUMBER('Real results'!D26),ISNUMBER('Raw data'!K26),ISNUMBER('Raw data'!L26)),IF(SIGN('Raw data'!K26-'Raw data'!L26)=SIGN('Real results'!C26-'Real results'!D26),2+IF(AND('Raw data'!K26='Real results'!C26,'Raw data'!L26='Real results'!D26),2,0),0),0),0)</f>
        <v>0</v>
      </c>
      <c r="M27" s="29">
        <f>IFERROR(IF(AND(ISNUMBER('Real results'!C26),ISNUMBER('Real results'!D26),ISNUMBER('Raw data'!M26),ISNUMBER('Raw data'!N26)),IF(SIGN('Raw data'!M26-'Raw data'!N26)=SIGN('Real results'!C26-'Real results'!D26),2+IF(AND('Raw data'!M26='Real results'!C26,'Raw data'!N26='Real results'!D26),2,0),0),0),0)</f>
        <v>0</v>
      </c>
      <c r="O27" s="29">
        <f>IFERROR(IF(AND(ISNUMBER('Real results'!C26),ISNUMBER('Real results'!D26),ISNUMBER('Raw data'!O26),ISNUMBER('Raw data'!P26)),IF(SIGN('Raw data'!O26-'Raw data'!P26)=SIGN('Real results'!C26-'Real results'!D26),2+IF(AND('Raw data'!O26='Real results'!C26,'Raw data'!P26='Real results'!D26),2,0),0),0),0)</f>
        <v>0</v>
      </c>
      <c r="Q27" s="29">
        <f>IFERROR(IF(AND(ISNUMBER('Real results'!C26),ISNUMBER('Real results'!D26),ISNUMBER('Raw data'!Q26),ISNUMBER('Raw data'!R26)),IF(SIGN('Raw data'!Q26-'Raw data'!R26)=SIGN('Real results'!C26-'Real results'!D26),2+IF(AND('Raw data'!Q26='Real results'!C26,'Raw data'!R26='Real results'!D26),2,0),0),0),0)</f>
        <v>0</v>
      </c>
      <c r="S27" s="29">
        <f>IFERROR(IF(AND(ISNUMBER('Real results'!C26),ISNUMBER('Real results'!D26),ISNUMBER('Raw data'!S26),ISNUMBER('Raw data'!T26)),IF(SIGN('Raw data'!S26-'Raw data'!T26)=SIGN('Real results'!C26-'Real results'!D26),2+IF(AND('Raw data'!S26='Real results'!C26,'Raw data'!T26='Real results'!D26),2,0),0),0),0)</f>
        <v>0</v>
      </c>
      <c r="U27" s="29">
        <f>IFERROR(IF(AND(ISNUMBER('Real results'!C26),ISNUMBER('Real results'!D26),ISNUMBER('Raw data'!U26),ISNUMBER('Raw data'!V26)),IF(SIGN('Raw data'!U26-'Raw data'!V26)=SIGN('Real results'!C26-'Real results'!D26),2+IF(AND('Raw data'!U26='Real results'!C26,'Raw data'!V26='Real results'!D26),2,0),0),0),0)</f>
        <v>0</v>
      </c>
      <c r="W27" s="29">
        <f>IFERROR(IF(AND(ISNUMBER('Real results'!C26),ISNUMBER('Real results'!D26),ISNUMBER('Raw data'!W26),ISNUMBER('Raw data'!X26)),IF(SIGN('Raw data'!W26-'Raw data'!X26)=SIGN('Real results'!C26-'Real results'!D26),2+IF(AND('Raw data'!W26='Real results'!C26,'Raw data'!X26='Real results'!D26),2,0),0),0),0)</f>
        <v>0</v>
      </c>
      <c r="Y27" s="29">
        <f>IFERROR(IF(AND(ISNUMBER('Real results'!C26),ISNUMBER('Real results'!D26),ISNUMBER('Raw data'!Y26),ISNUMBER('Raw data'!Z26)),IF(SIGN('Raw data'!Y26-'Raw data'!Z26)=SIGN('Real results'!C26-'Real results'!D26),2+IF(AND('Raw data'!Y26='Real results'!C26,'Raw data'!Z26='Real results'!D26),2,0),0),0),0)</f>
        <v>0</v>
      </c>
      <c r="AA27" s="29">
        <f>IFERROR(IF(AND(ISNUMBER('Real results'!C26),ISNUMBER('Real results'!D26),ISNUMBER('Raw data'!AA26),ISNUMBER('Raw data'!AB26)),IF(SIGN('Raw data'!AA26-'Raw data'!AB26)=SIGN('Real results'!C26-'Real results'!D26),2+IF(AND('Raw data'!AA26='Real results'!C26,'Raw data'!AB26='Real results'!D26),2,0),0),0),0)</f>
        <v>0</v>
      </c>
      <c r="AC27" s="29">
        <f>IFERROR(IF(AND(ISNUMBER('Real results'!C26),ISNUMBER('Real results'!D26),ISNUMBER('Raw data'!AC26),ISNUMBER('Raw data'!AD26)),IF(SIGN('Raw data'!AC26-'Raw data'!AD26)=SIGN('Real results'!C26-'Real results'!D26),2+IF(AND('Raw data'!AC26='Real results'!C26,'Raw data'!AD26='Real results'!D26),2,0),0),0),0)</f>
        <v>0</v>
      </c>
      <c r="AE27" s="29">
        <f>IFERROR(IF(AND(ISNUMBER('Real results'!C26),ISNUMBER('Real results'!D26),ISNUMBER('Raw data'!AE26),ISNUMBER('Raw data'!AF26)),IF(SIGN('Raw data'!AE26-'Raw data'!AF26)=SIGN('Real results'!C26-'Real results'!D26),2+IF(AND('Raw data'!AE26='Real results'!C26,'Raw data'!AF26='Real results'!D26),2,0),0),0),0)</f>
        <v>0</v>
      </c>
      <c r="AG27" s="29">
        <f>IFERROR(IF(AND(ISNUMBER('Real results'!C26),ISNUMBER('Real results'!D26),ISNUMBER('Raw data'!AG26),ISNUMBER('Raw data'!AH26)),IF(SIGN('Raw data'!AG26-'Raw data'!AH26)=SIGN('Real results'!C26-'Real results'!D26),2+IF(AND('Raw data'!AG26='Real results'!C26,'Raw data'!AH26='Real results'!D26),2,0),0),0),0)</f>
        <v>0</v>
      </c>
      <c r="AI27" s="29">
        <f>IFERROR(IF(AND(ISNUMBER('Real results'!C26),ISNUMBER('Real results'!D26),ISNUMBER('Raw data'!AI26),ISNUMBER('Raw data'!AJ26)),IF(SIGN('Raw data'!AI26-'Raw data'!AJ26)=SIGN('Real results'!C26-'Real results'!D26),2+IF(AND('Raw data'!AI26='Real results'!C26,'Raw data'!AJ26='Real results'!D26),2,0),0),0),0)</f>
        <v>0</v>
      </c>
      <c r="AK27" s="29">
        <f>IFERROR(IF(AND(ISNUMBER('Real results'!C26),ISNUMBER('Real results'!D26),ISNUMBER('Raw data'!AK26),ISNUMBER('Raw data'!AL26)),IF(SIGN('Raw data'!AK26-'Raw data'!AL26)=SIGN('Real results'!C26-'Real results'!D26),2+IF(AND('Raw data'!AK26='Real results'!C26,'Raw data'!AL26='Real results'!D26),2,0),0),0),0)</f>
        <v>0</v>
      </c>
      <c r="AM27" s="29">
        <f>IFERROR(IF(AND(ISNUMBER('Real results'!C26),ISNUMBER('Real results'!D26),ISNUMBER('Raw data'!AM26),ISNUMBER('Raw data'!AN26)),IF(SIGN('Raw data'!AM26-'Raw data'!AN26)=SIGN('Real results'!C26-'Real results'!D26),2+IF(AND('Raw data'!AM26='Real results'!C26,'Raw data'!AN26='Real results'!D26),2,0),0),0),0)</f>
        <v>0</v>
      </c>
      <c r="AO27" s="29">
        <f>IFERROR(IF(AND(ISNUMBER('Real results'!C26),ISNUMBER('Real results'!D26),ISNUMBER('Raw data'!AO26),ISNUMBER('Raw data'!AP26)),IF(SIGN('Raw data'!AO26-'Raw data'!AP26)=SIGN('Real results'!C26-'Real results'!D26),2+IF(AND('Raw data'!AO26='Real results'!C26,'Raw data'!AP26='Real results'!D26),2,0),0),0),0)</f>
        <v>0</v>
      </c>
      <c r="AQ27" s="29">
        <f>IFERROR(IF(AND(ISNUMBER('Real results'!C26),ISNUMBER('Real results'!D26),ISNUMBER('Raw data'!AQ26),ISNUMBER('Raw data'!AR26)),IF(SIGN('Raw data'!AQ26-'Raw data'!AR26)=SIGN('Real results'!C26-'Real results'!D26),2+IF(AND('Raw data'!AQ26='Real results'!C26,'Raw data'!AR26='Real results'!D26),2,0),0),0),0)</f>
        <v>0</v>
      </c>
      <c r="AS27" s="29">
        <f>IFERROR(IF(AND(ISNUMBER('Real results'!C26),ISNUMBER('Real results'!D26),ISNUMBER('Raw data'!AS26),ISNUMBER('Raw data'!AT26)),IF(SIGN('Raw data'!AS26-'Raw data'!AT26)=SIGN('Real results'!C26-'Real results'!D26),2+IF(AND('Raw data'!AS26='Real results'!C26,'Raw data'!AT26='Real results'!D26),2,0),0),0),0)</f>
        <v>0</v>
      </c>
      <c r="AU27" s="29">
        <f>IFERROR(IF(AND(ISNUMBER('Real results'!C26),ISNUMBER('Real results'!D26),ISNUMBER('Raw data'!AU26),ISNUMBER('Raw data'!AV26)),IF(SIGN('Raw data'!AU26-'Raw data'!AV26)=SIGN('Real results'!C26-'Real results'!D26),2+IF(AND('Raw data'!AU26='Real results'!C26,'Raw data'!AV26='Real results'!D26),2,0),0),0),0)</f>
        <v>0</v>
      </c>
      <c r="AW27" s="29">
        <f>IFERROR(IF(AND(ISNUMBER('Real results'!C26),ISNUMBER('Real results'!D26),ISNUMBER('Raw data'!AW26),ISNUMBER('Raw data'!AX26)),IF(SIGN('Raw data'!AW26-'Raw data'!AX26)=SIGN('Real results'!C26-'Real results'!D26),2+IF(AND('Raw data'!AW26='Real results'!C26,'Raw data'!AX26='Real results'!D26),2,0),0),0),0)</f>
        <v>0</v>
      </c>
      <c r="AY27" s="29">
        <f>IFERROR(IF(AND(ISNUMBER('Real results'!C26),ISNUMBER('Real results'!D26),ISNUMBER('Raw data'!AY26),ISNUMBER('Raw data'!AZ26)),IF(SIGN('Raw data'!AY26-'Raw data'!AZ26)=SIGN('Real results'!C26-'Real results'!D26),2+IF(AND('Raw data'!AY26='Real results'!C26,'Raw data'!AZ26='Real results'!D26),2,0),0),0),0)</f>
        <v>0</v>
      </c>
      <c r="BA27" s="29">
        <f>IFERROR(IF(AND(ISNUMBER('Real results'!C26),ISNUMBER('Real results'!D26),ISNUMBER('Raw data'!BA26),ISNUMBER('Raw data'!BB26)),IF(SIGN('Raw data'!BA26-'Raw data'!BB26)=SIGN('Real results'!C26-'Real results'!D26),2+IF(AND('Raw data'!BA26='Real results'!C26,'Raw data'!BB26='Real results'!D26),2,0),0),0),0)</f>
        <v>0</v>
      </c>
      <c r="BC27" s="29">
        <f>IFERROR(IF(AND(ISNUMBER('Real results'!C26),ISNUMBER('Real results'!D26),ISNUMBER('Raw data'!BC26),ISNUMBER('Raw data'!BD26)),IF(SIGN('Raw data'!BC26-'Raw data'!BD26)=SIGN('Real results'!C26-'Real results'!D26),2+IF(AND('Raw data'!BC26='Real results'!C26,'Raw data'!BD26='Real results'!D26),2,0),0),0),0)</f>
        <v>0</v>
      </c>
      <c r="BE27" s="29">
        <f>IFERROR(IF(AND(ISNUMBER('Real results'!C26),ISNUMBER('Real results'!D26),ISNUMBER('Raw data'!BE26),ISNUMBER('Raw data'!BF26)),IF(SIGN('Raw data'!BE26-'Raw data'!BF26)=SIGN('Real results'!C26-'Real results'!D26),2+IF(AND('Raw data'!BE26='Real results'!C26,'Raw data'!BF26='Real results'!D26),2,0),0),0),0)</f>
        <v>0</v>
      </c>
      <c r="BG27" s="29">
        <f>IFERROR(IF(AND(ISNUMBER('Real results'!C26),ISNUMBER('Real results'!D26),ISNUMBER('Raw data'!BG26),ISNUMBER('Raw data'!BH26)),IF(SIGN('Raw data'!BG26-'Raw data'!BH26)=SIGN('Real results'!C26-'Real results'!D26),2+IF(AND('Raw data'!BG26='Real results'!C26,'Raw data'!BH26='Real results'!D26),2,0),0),0),0)</f>
        <v>0</v>
      </c>
      <c r="BI27" s="29">
        <f>IFERROR(IF(AND(ISNUMBER('Real results'!C26),ISNUMBER('Real results'!D26),ISNUMBER('Raw data'!BI26),ISNUMBER('Raw data'!BJ26)),IF(SIGN('Raw data'!BI26-'Raw data'!BJ26)=SIGN('Real results'!C26-'Real results'!D26),2+IF(AND('Raw data'!BI26='Real results'!C26,'Raw data'!BJ26='Real results'!D26),2,0),0),0),0)</f>
        <v>0</v>
      </c>
    </row>
    <row r="28" ht="18.0" customHeight="1">
      <c r="A28" s="1"/>
      <c r="B28" s="13" t="s">
        <v>47</v>
      </c>
      <c r="C28" s="29">
        <f>IFERROR(IF(AND(ISNUMBER('Real results'!C27),ISNUMBER('Real results'!D27),ISNUMBER('Raw data'!C27),ISNUMBER('Raw data'!D27)),IF(SIGN('Raw data'!C27-'Raw data'!D27)=SIGN('Real results'!C27-'Real results'!D27),2+IF(AND('Raw data'!C27='Real results'!C27,'Raw data'!D27='Real results'!D27),2,0),0),0),0)</f>
        <v>0</v>
      </c>
      <c r="E28" s="29">
        <f>IFERROR(IF(AND(ISNUMBER('Real results'!C27),ISNUMBER('Real results'!D27),ISNUMBER('Raw data'!E27),ISNUMBER('Raw data'!F27)),IF(SIGN('Raw data'!E27-'Raw data'!F27)=SIGN('Real results'!C27-'Real results'!D27),2+IF(AND('Raw data'!E27='Real results'!C27,'Raw data'!F27='Real results'!D27),2,0),0),0),0)</f>
        <v>0</v>
      </c>
      <c r="G28" s="29">
        <f>IFERROR(IF(AND(ISNUMBER('Real results'!C27),ISNUMBER('Real results'!D27),ISNUMBER('Raw data'!G27),ISNUMBER('Raw data'!H27)),IF(SIGN('Raw data'!G27-'Raw data'!H27)=SIGN('Real results'!C27-'Real results'!D27),2+IF(AND('Raw data'!G27='Real results'!C27,'Raw data'!H27='Real results'!D27),2,0),0),0),0)</f>
        <v>0</v>
      </c>
      <c r="I28" s="29">
        <f>IFERROR(IF(AND(ISNUMBER('Real results'!C27),ISNUMBER('Real results'!D27),ISNUMBER('Raw data'!I27),ISNUMBER('Raw data'!J27)),IF(SIGN('Raw data'!I27-'Raw data'!J27)=SIGN('Real results'!C27-'Real results'!D27),2+IF(AND('Raw data'!I27='Real results'!C27,'Raw data'!J27='Real results'!D27),2,0),0),0),0)</f>
        <v>0</v>
      </c>
      <c r="K28" s="29">
        <f>IFERROR(IF(AND(ISNUMBER('Real results'!C27),ISNUMBER('Real results'!D27),ISNUMBER('Raw data'!K27),ISNUMBER('Raw data'!L27)),IF(SIGN('Raw data'!K27-'Raw data'!L27)=SIGN('Real results'!C27-'Real results'!D27),2+IF(AND('Raw data'!K27='Real results'!C27,'Raw data'!L27='Real results'!D27),2,0),0),0),0)</f>
        <v>0</v>
      </c>
      <c r="M28" s="29">
        <f>IFERROR(IF(AND(ISNUMBER('Real results'!C27),ISNUMBER('Real results'!D27),ISNUMBER('Raw data'!M27),ISNUMBER('Raw data'!N27)),IF(SIGN('Raw data'!M27-'Raw data'!N27)=SIGN('Real results'!C27-'Real results'!D27),2+IF(AND('Raw data'!M27='Real results'!C27,'Raw data'!N27='Real results'!D27),2,0),0),0),0)</f>
        <v>0</v>
      </c>
      <c r="O28" s="29">
        <f>IFERROR(IF(AND(ISNUMBER('Real results'!C27),ISNUMBER('Real results'!D27),ISNUMBER('Raw data'!O27),ISNUMBER('Raw data'!P27)),IF(SIGN('Raw data'!O27-'Raw data'!P27)=SIGN('Real results'!C27-'Real results'!D27),2+IF(AND('Raw data'!O27='Real results'!C27,'Raw data'!P27='Real results'!D27),2,0),0),0),0)</f>
        <v>0</v>
      </c>
      <c r="Q28" s="29">
        <f>IFERROR(IF(AND(ISNUMBER('Real results'!C27),ISNUMBER('Real results'!D27),ISNUMBER('Raw data'!Q27),ISNUMBER('Raw data'!R27)),IF(SIGN('Raw data'!Q27-'Raw data'!R27)=SIGN('Real results'!C27-'Real results'!D27),2+IF(AND('Raw data'!Q27='Real results'!C27,'Raw data'!R27='Real results'!D27),2,0),0),0),0)</f>
        <v>0</v>
      </c>
      <c r="S28" s="29">
        <f>IFERROR(IF(AND(ISNUMBER('Real results'!C27),ISNUMBER('Real results'!D27),ISNUMBER('Raw data'!S27),ISNUMBER('Raw data'!T27)),IF(SIGN('Raw data'!S27-'Raw data'!T27)=SIGN('Real results'!C27-'Real results'!D27),2+IF(AND('Raw data'!S27='Real results'!C27,'Raw data'!T27='Real results'!D27),2,0),0),0),0)</f>
        <v>0</v>
      </c>
      <c r="U28" s="29">
        <f>IFERROR(IF(AND(ISNUMBER('Real results'!C27),ISNUMBER('Real results'!D27),ISNUMBER('Raw data'!U27),ISNUMBER('Raw data'!V27)),IF(SIGN('Raw data'!U27-'Raw data'!V27)=SIGN('Real results'!C27-'Real results'!D27),2+IF(AND('Raw data'!U27='Real results'!C27,'Raw data'!V27='Real results'!D27),2,0),0),0),0)</f>
        <v>0</v>
      </c>
      <c r="W28" s="29">
        <f>IFERROR(IF(AND(ISNUMBER('Real results'!C27),ISNUMBER('Real results'!D27),ISNUMBER('Raw data'!W27),ISNUMBER('Raw data'!X27)),IF(SIGN('Raw data'!W27-'Raw data'!X27)=SIGN('Real results'!C27-'Real results'!D27),2+IF(AND('Raw data'!W27='Real results'!C27,'Raw data'!X27='Real results'!D27),2,0),0),0),0)</f>
        <v>0</v>
      </c>
      <c r="Y28" s="29">
        <f>IFERROR(IF(AND(ISNUMBER('Real results'!C27),ISNUMBER('Real results'!D27),ISNUMBER('Raw data'!Y27),ISNUMBER('Raw data'!Z27)),IF(SIGN('Raw data'!Y27-'Raw data'!Z27)=SIGN('Real results'!C27-'Real results'!D27),2+IF(AND('Raw data'!Y27='Real results'!C27,'Raw data'!Z27='Real results'!D27),2,0),0),0),0)</f>
        <v>0</v>
      </c>
      <c r="AA28" s="29">
        <f>IFERROR(IF(AND(ISNUMBER('Real results'!C27),ISNUMBER('Real results'!D27),ISNUMBER('Raw data'!AA27),ISNUMBER('Raw data'!AB27)),IF(SIGN('Raw data'!AA27-'Raw data'!AB27)=SIGN('Real results'!C27-'Real results'!D27),2+IF(AND('Raw data'!AA27='Real results'!C27,'Raw data'!AB27='Real results'!D27),2,0),0),0),0)</f>
        <v>0</v>
      </c>
      <c r="AC28" s="29">
        <f>IFERROR(IF(AND(ISNUMBER('Real results'!C27),ISNUMBER('Real results'!D27),ISNUMBER('Raw data'!AC27),ISNUMBER('Raw data'!AD27)),IF(SIGN('Raw data'!AC27-'Raw data'!AD27)=SIGN('Real results'!C27-'Real results'!D27),2+IF(AND('Raw data'!AC27='Real results'!C27,'Raw data'!AD27='Real results'!D27),2,0),0),0),0)</f>
        <v>0</v>
      </c>
      <c r="AE28" s="29">
        <f>IFERROR(IF(AND(ISNUMBER('Real results'!C27),ISNUMBER('Real results'!D27),ISNUMBER('Raw data'!AE27),ISNUMBER('Raw data'!AF27)),IF(SIGN('Raw data'!AE27-'Raw data'!AF27)=SIGN('Real results'!C27-'Real results'!D27),2+IF(AND('Raw data'!AE27='Real results'!C27,'Raw data'!AF27='Real results'!D27),2,0),0),0),0)</f>
        <v>0</v>
      </c>
      <c r="AG28" s="29">
        <f>IFERROR(IF(AND(ISNUMBER('Real results'!C27),ISNUMBER('Real results'!D27),ISNUMBER('Raw data'!AG27),ISNUMBER('Raw data'!AH27)),IF(SIGN('Raw data'!AG27-'Raw data'!AH27)=SIGN('Real results'!C27-'Real results'!D27),2+IF(AND('Raw data'!AG27='Real results'!C27,'Raw data'!AH27='Real results'!D27),2,0),0),0),0)</f>
        <v>0</v>
      </c>
      <c r="AI28" s="29">
        <f>IFERROR(IF(AND(ISNUMBER('Real results'!C27),ISNUMBER('Real results'!D27),ISNUMBER('Raw data'!AI27),ISNUMBER('Raw data'!AJ27)),IF(SIGN('Raw data'!AI27-'Raw data'!AJ27)=SIGN('Real results'!C27-'Real results'!D27),2+IF(AND('Raw data'!AI27='Real results'!C27,'Raw data'!AJ27='Real results'!D27),2,0),0),0),0)</f>
        <v>0</v>
      </c>
      <c r="AK28" s="29">
        <f>IFERROR(IF(AND(ISNUMBER('Real results'!C27),ISNUMBER('Real results'!D27),ISNUMBER('Raw data'!AK27),ISNUMBER('Raw data'!AL27)),IF(SIGN('Raw data'!AK27-'Raw data'!AL27)=SIGN('Real results'!C27-'Real results'!D27),2+IF(AND('Raw data'!AK27='Real results'!C27,'Raw data'!AL27='Real results'!D27),2,0),0),0),0)</f>
        <v>0</v>
      </c>
      <c r="AM28" s="29">
        <f>IFERROR(IF(AND(ISNUMBER('Real results'!C27),ISNUMBER('Real results'!D27),ISNUMBER('Raw data'!AM27),ISNUMBER('Raw data'!AN27)),IF(SIGN('Raw data'!AM27-'Raw data'!AN27)=SIGN('Real results'!C27-'Real results'!D27),2+IF(AND('Raw data'!AM27='Real results'!C27,'Raw data'!AN27='Real results'!D27),2,0),0),0),0)</f>
        <v>0</v>
      </c>
      <c r="AO28" s="29">
        <f>IFERROR(IF(AND(ISNUMBER('Real results'!C27),ISNUMBER('Real results'!D27),ISNUMBER('Raw data'!AO27),ISNUMBER('Raw data'!AP27)),IF(SIGN('Raw data'!AO27-'Raw data'!AP27)=SIGN('Real results'!C27-'Real results'!D27),2+IF(AND('Raw data'!AO27='Real results'!C27,'Raw data'!AP27='Real results'!D27),2,0),0),0),0)</f>
        <v>0</v>
      </c>
      <c r="AQ28" s="29">
        <f>IFERROR(IF(AND(ISNUMBER('Real results'!C27),ISNUMBER('Real results'!D27),ISNUMBER('Raw data'!AQ27),ISNUMBER('Raw data'!AR27)),IF(SIGN('Raw data'!AQ27-'Raw data'!AR27)=SIGN('Real results'!C27-'Real results'!D27),2+IF(AND('Raw data'!AQ27='Real results'!C27,'Raw data'!AR27='Real results'!D27),2,0),0),0),0)</f>
        <v>0</v>
      </c>
      <c r="AS28" s="29">
        <f>IFERROR(IF(AND(ISNUMBER('Real results'!C27),ISNUMBER('Real results'!D27),ISNUMBER('Raw data'!AS27),ISNUMBER('Raw data'!AT27)),IF(SIGN('Raw data'!AS27-'Raw data'!AT27)=SIGN('Real results'!C27-'Real results'!D27),2+IF(AND('Raw data'!AS27='Real results'!C27,'Raw data'!AT27='Real results'!D27),2,0),0),0),0)</f>
        <v>0</v>
      </c>
      <c r="AU28" s="29">
        <f>IFERROR(IF(AND(ISNUMBER('Real results'!C27),ISNUMBER('Real results'!D27),ISNUMBER('Raw data'!AU27),ISNUMBER('Raw data'!AV27)),IF(SIGN('Raw data'!AU27-'Raw data'!AV27)=SIGN('Real results'!C27-'Real results'!D27),2+IF(AND('Raw data'!AU27='Real results'!C27,'Raw data'!AV27='Real results'!D27),2,0),0),0),0)</f>
        <v>0</v>
      </c>
      <c r="AW28" s="29">
        <f>IFERROR(IF(AND(ISNUMBER('Real results'!C27),ISNUMBER('Real results'!D27),ISNUMBER('Raw data'!AW27),ISNUMBER('Raw data'!AX27)),IF(SIGN('Raw data'!AW27-'Raw data'!AX27)=SIGN('Real results'!C27-'Real results'!D27),2+IF(AND('Raw data'!AW27='Real results'!C27,'Raw data'!AX27='Real results'!D27),2,0),0),0),0)</f>
        <v>0</v>
      </c>
      <c r="AY28" s="29">
        <f>IFERROR(IF(AND(ISNUMBER('Real results'!C27),ISNUMBER('Real results'!D27),ISNUMBER('Raw data'!AY27),ISNUMBER('Raw data'!AZ27)),IF(SIGN('Raw data'!AY27-'Raw data'!AZ27)=SIGN('Real results'!C27-'Real results'!D27),2+IF(AND('Raw data'!AY27='Real results'!C27,'Raw data'!AZ27='Real results'!D27),2,0),0),0),0)</f>
        <v>0</v>
      </c>
      <c r="BA28" s="29">
        <f>IFERROR(IF(AND(ISNUMBER('Real results'!C27),ISNUMBER('Real results'!D27),ISNUMBER('Raw data'!BA27),ISNUMBER('Raw data'!BB27)),IF(SIGN('Raw data'!BA27-'Raw data'!BB27)=SIGN('Real results'!C27-'Real results'!D27),2+IF(AND('Raw data'!BA27='Real results'!C27,'Raw data'!BB27='Real results'!D27),2,0),0),0),0)</f>
        <v>0</v>
      </c>
      <c r="BC28" s="29">
        <f>IFERROR(IF(AND(ISNUMBER('Real results'!C27),ISNUMBER('Real results'!D27),ISNUMBER('Raw data'!BC27),ISNUMBER('Raw data'!BD27)),IF(SIGN('Raw data'!BC27-'Raw data'!BD27)=SIGN('Real results'!C27-'Real results'!D27),2+IF(AND('Raw data'!BC27='Real results'!C27,'Raw data'!BD27='Real results'!D27),2,0),0),0),0)</f>
        <v>0</v>
      </c>
      <c r="BE28" s="29">
        <f>IFERROR(IF(AND(ISNUMBER('Real results'!C27),ISNUMBER('Real results'!D27),ISNUMBER('Raw data'!BE27),ISNUMBER('Raw data'!BF27)),IF(SIGN('Raw data'!BE27-'Raw data'!BF27)=SIGN('Real results'!C27-'Real results'!D27),2+IF(AND('Raw data'!BE27='Real results'!C27,'Raw data'!BF27='Real results'!D27),2,0),0),0),0)</f>
        <v>0</v>
      </c>
      <c r="BG28" s="29">
        <f>IFERROR(IF(AND(ISNUMBER('Real results'!C27),ISNUMBER('Real results'!D27),ISNUMBER('Raw data'!BG27),ISNUMBER('Raw data'!BH27)),IF(SIGN('Raw data'!BG27-'Raw data'!BH27)=SIGN('Real results'!C27-'Real results'!D27),2+IF(AND('Raw data'!BG27='Real results'!C27,'Raw data'!BH27='Real results'!D27),2,0),0),0),0)</f>
        <v>0</v>
      </c>
      <c r="BI28" s="29">
        <f>IFERROR(IF(AND(ISNUMBER('Real results'!C27),ISNUMBER('Real results'!D27),ISNUMBER('Raw data'!BI27),ISNUMBER('Raw data'!BJ27)),IF(SIGN('Raw data'!BI27-'Raw data'!BJ27)=SIGN('Real results'!C27-'Real results'!D27),2+IF(AND('Raw data'!BI27='Real results'!C27,'Raw data'!BJ27='Real results'!D27),2,0),0),0),0)</f>
        <v>0</v>
      </c>
    </row>
    <row r="29" ht="18.0" customHeight="1">
      <c r="A29" s="1"/>
      <c r="B29" s="13" t="s">
        <v>48</v>
      </c>
      <c r="C29" s="29">
        <f>IFERROR(IF(AND(ISNUMBER('Real results'!C28),ISNUMBER('Real results'!D28),ISNUMBER('Raw data'!C28),ISNUMBER('Raw data'!D28)),IF(SIGN('Raw data'!C28-'Raw data'!D28)=SIGN('Real results'!C28-'Real results'!D28),2+IF(AND('Raw data'!C28='Real results'!C28,'Raw data'!D28='Real results'!D28),2,0),0),0),0)</f>
        <v>0</v>
      </c>
      <c r="E29" s="29">
        <f>IFERROR(IF(AND(ISNUMBER('Real results'!C28),ISNUMBER('Real results'!D28),ISNUMBER('Raw data'!E28),ISNUMBER('Raw data'!F28)),IF(SIGN('Raw data'!E28-'Raw data'!F28)=SIGN('Real results'!C28-'Real results'!D28),2+IF(AND('Raw data'!E28='Real results'!C28,'Raw data'!F28='Real results'!D28),2,0),0),0),0)</f>
        <v>0</v>
      </c>
      <c r="G29" s="29">
        <f>IFERROR(IF(AND(ISNUMBER('Real results'!C28),ISNUMBER('Real results'!D28),ISNUMBER('Raw data'!G28),ISNUMBER('Raw data'!H28)),IF(SIGN('Raw data'!G28-'Raw data'!H28)=SIGN('Real results'!C28-'Real results'!D28),2+IF(AND('Raw data'!G28='Real results'!C28,'Raw data'!H28='Real results'!D28),2,0),0),0),0)</f>
        <v>0</v>
      </c>
      <c r="I29" s="29">
        <f>IFERROR(IF(AND(ISNUMBER('Real results'!C28),ISNUMBER('Real results'!D28),ISNUMBER('Raw data'!I28),ISNUMBER('Raw data'!J28)),IF(SIGN('Raw data'!I28-'Raw data'!J28)=SIGN('Real results'!C28-'Real results'!D28),2+IF(AND('Raw data'!I28='Real results'!C28,'Raw data'!J28='Real results'!D28),2,0),0),0),0)</f>
        <v>0</v>
      </c>
      <c r="K29" s="29">
        <f>IFERROR(IF(AND(ISNUMBER('Real results'!C28),ISNUMBER('Real results'!D28),ISNUMBER('Raw data'!K28),ISNUMBER('Raw data'!L28)),IF(SIGN('Raw data'!K28-'Raw data'!L28)=SIGN('Real results'!C28-'Real results'!D28),2+IF(AND('Raw data'!K28='Real results'!C28,'Raw data'!L28='Real results'!D28),2,0),0),0),0)</f>
        <v>0</v>
      </c>
      <c r="M29" s="29">
        <f>IFERROR(IF(AND(ISNUMBER('Real results'!C28),ISNUMBER('Real results'!D28),ISNUMBER('Raw data'!M28),ISNUMBER('Raw data'!N28)),IF(SIGN('Raw data'!M28-'Raw data'!N28)=SIGN('Real results'!C28-'Real results'!D28),2+IF(AND('Raw data'!M28='Real results'!C28,'Raw data'!N28='Real results'!D28),2,0),0),0),0)</f>
        <v>0</v>
      </c>
      <c r="O29" s="29">
        <f>IFERROR(IF(AND(ISNUMBER('Real results'!C28),ISNUMBER('Real results'!D28),ISNUMBER('Raw data'!O28),ISNUMBER('Raw data'!P28)),IF(SIGN('Raw data'!O28-'Raw data'!P28)=SIGN('Real results'!C28-'Real results'!D28),2+IF(AND('Raw data'!O28='Real results'!C28,'Raw data'!P28='Real results'!D28),2,0),0),0),0)</f>
        <v>0</v>
      </c>
      <c r="Q29" s="29">
        <f>IFERROR(IF(AND(ISNUMBER('Real results'!C28),ISNUMBER('Real results'!D28),ISNUMBER('Raw data'!Q28),ISNUMBER('Raw data'!R28)),IF(SIGN('Raw data'!Q28-'Raw data'!R28)=SIGN('Real results'!C28-'Real results'!D28),2+IF(AND('Raw data'!Q28='Real results'!C28,'Raw data'!R28='Real results'!D28),2,0),0),0),0)</f>
        <v>0</v>
      </c>
      <c r="S29" s="29">
        <f>IFERROR(IF(AND(ISNUMBER('Real results'!C28),ISNUMBER('Real results'!D28),ISNUMBER('Raw data'!S28),ISNUMBER('Raw data'!T28)),IF(SIGN('Raw data'!S28-'Raw data'!T28)=SIGN('Real results'!C28-'Real results'!D28),2+IF(AND('Raw data'!S28='Real results'!C28,'Raw data'!T28='Real results'!D28),2,0),0),0),0)</f>
        <v>0</v>
      </c>
      <c r="U29" s="29">
        <f>IFERROR(IF(AND(ISNUMBER('Real results'!C28),ISNUMBER('Real results'!D28),ISNUMBER('Raw data'!U28),ISNUMBER('Raw data'!V28)),IF(SIGN('Raw data'!U28-'Raw data'!V28)=SIGN('Real results'!C28-'Real results'!D28),2+IF(AND('Raw data'!U28='Real results'!C28,'Raw data'!V28='Real results'!D28),2,0),0),0),0)</f>
        <v>0</v>
      </c>
      <c r="W29" s="29">
        <f>IFERROR(IF(AND(ISNUMBER('Real results'!C28),ISNUMBER('Real results'!D28),ISNUMBER('Raw data'!W28),ISNUMBER('Raw data'!X28)),IF(SIGN('Raw data'!W28-'Raw data'!X28)=SIGN('Real results'!C28-'Real results'!D28),2+IF(AND('Raw data'!W28='Real results'!C28,'Raw data'!X28='Real results'!D28),2,0),0),0),0)</f>
        <v>0</v>
      </c>
      <c r="Y29" s="29">
        <f>IFERROR(IF(AND(ISNUMBER('Real results'!C28),ISNUMBER('Real results'!D28),ISNUMBER('Raw data'!Y28),ISNUMBER('Raw data'!Z28)),IF(SIGN('Raw data'!Y28-'Raw data'!Z28)=SIGN('Real results'!C28-'Real results'!D28),2+IF(AND('Raw data'!Y28='Real results'!C28,'Raw data'!Z28='Real results'!D28),2,0),0),0),0)</f>
        <v>0</v>
      </c>
      <c r="AA29" s="29">
        <f>IFERROR(IF(AND(ISNUMBER('Real results'!C28),ISNUMBER('Real results'!D28),ISNUMBER('Raw data'!AA28),ISNUMBER('Raw data'!AB28)),IF(SIGN('Raw data'!AA28-'Raw data'!AB28)=SIGN('Real results'!C28-'Real results'!D28),2+IF(AND('Raw data'!AA28='Real results'!C28,'Raw data'!AB28='Real results'!D28),2,0),0),0),0)</f>
        <v>0</v>
      </c>
      <c r="AC29" s="29">
        <f>IFERROR(IF(AND(ISNUMBER('Real results'!C28),ISNUMBER('Real results'!D28),ISNUMBER('Raw data'!AC28),ISNUMBER('Raw data'!AD28)),IF(SIGN('Raw data'!AC28-'Raw data'!AD28)=SIGN('Real results'!C28-'Real results'!D28),2+IF(AND('Raw data'!AC28='Real results'!C28,'Raw data'!AD28='Real results'!D28),2,0),0),0),0)</f>
        <v>0</v>
      </c>
      <c r="AE29" s="29">
        <f>IFERROR(IF(AND(ISNUMBER('Real results'!C28),ISNUMBER('Real results'!D28),ISNUMBER('Raw data'!AE28),ISNUMBER('Raw data'!AF28)),IF(SIGN('Raw data'!AE28-'Raw data'!AF28)=SIGN('Real results'!C28-'Real results'!D28),2+IF(AND('Raw data'!AE28='Real results'!C28,'Raw data'!AF28='Real results'!D28),2,0),0),0),0)</f>
        <v>0</v>
      </c>
      <c r="AG29" s="29">
        <f>IFERROR(IF(AND(ISNUMBER('Real results'!C28),ISNUMBER('Real results'!D28),ISNUMBER('Raw data'!AG28),ISNUMBER('Raw data'!AH28)),IF(SIGN('Raw data'!AG28-'Raw data'!AH28)=SIGN('Real results'!C28-'Real results'!D28),2+IF(AND('Raw data'!AG28='Real results'!C28,'Raw data'!AH28='Real results'!D28),2,0),0),0),0)</f>
        <v>0</v>
      </c>
      <c r="AI29" s="29">
        <f>IFERROR(IF(AND(ISNUMBER('Real results'!C28),ISNUMBER('Real results'!D28),ISNUMBER('Raw data'!AI28),ISNUMBER('Raw data'!AJ28)),IF(SIGN('Raw data'!AI28-'Raw data'!AJ28)=SIGN('Real results'!C28-'Real results'!D28),2+IF(AND('Raw data'!AI28='Real results'!C28,'Raw data'!AJ28='Real results'!D28),2,0),0),0),0)</f>
        <v>0</v>
      </c>
      <c r="AK29" s="29">
        <f>IFERROR(IF(AND(ISNUMBER('Real results'!C28),ISNUMBER('Real results'!D28),ISNUMBER('Raw data'!AK28),ISNUMBER('Raw data'!AL28)),IF(SIGN('Raw data'!AK28-'Raw data'!AL28)=SIGN('Real results'!C28-'Real results'!D28),2+IF(AND('Raw data'!AK28='Real results'!C28,'Raw data'!AL28='Real results'!D28),2,0),0),0),0)</f>
        <v>0</v>
      </c>
      <c r="AM29" s="29">
        <f>IFERROR(IF(AND(ISNUMBER('Real results'!C28),ISNUMBER('Real results'!D28),ISNUMBER('Raw data'!AM28),ISNUMBER('Raw data'!AN28)),IF(SIGN('Raw data'!AM28-'Raw data'!AN28)=SIGN('Real results'!C28-'Real results'!D28),2+IF(AND('Raw data'!AM28='Real results'!C28,'Raw data'!AN28='Real results'!D28),2,0),0),0),0)</f>
        <v>0</v>
      </c>
      <c r="AO29" s="29">
        <f>IFERROR(IF(AND(ISNUMBER('Real results'!C28),ISNUMBER('Real results'!D28),ISNUMBER('Raw data'!AO28),ISNUMBER('Raw data'!AP28)),IF(SIGN('Raw data'!AO28-'Raw data'!AP28)=SIGN('Real results'!C28-'Real results'!D28),2+IF(AND('Raw data'!AO28='Real results'!C28,'Raw data'!AP28='Real results'!D28),2,0),0),0),0)</f>
        <v>0</v>
      </c>
      <c r="AQ29" s="29">
        <f>IFERROR(IF(AND(ISNUMBER('Real results'!C28),ISNUMBER('Real results'!D28),ISNUMBER('Raw data'!AQ28),ISNUMBER('Raw data'!AR28)),IF(SIGN('Raw data'!AQ28-'Raw data'!AR28)=SIGN('Real results'!C28-'Real results'!D28),2+IF(AND('Raw data'!AQ28='Real results'!C28,'Raw data'!AR28='Real results'!D28),2,0),0),0),0)</f>
        <v>0</v>
      </c>
      <c r="AS29" s="29">
        <f>IFERROR(IF(AND(ISNUMBER('Real results'!C28),ISNUMBER('Real results'!D28),ISNUMBER('Raw data'!AS28),ISNUMBER('Raw data'!AT28)),IF(SIGN('Raw data'!AS28-'Raw data'!AT28)=SIGN('Real results'!C28-'Real results'!D28),2+IF(AND('Raw data'!AS28='Real results'!C28,'Raw data'!AT28='Real results'!D28),2,0),0),0),0)</f>
        <v>0</v>
      </c>
      <c r="AU29" s="29">
        <f>IFERROR(IF(AND(ISNUMBER('Real results'!C28),ISNUMBER('Real results'!D28),ISNUMBER('Raw data'!AU28),ISNUMBER('Raw data'!AV28)),IF(SIGN('Raw data'!AU28-'Raw data'!AV28)=SIGN('Real results'!C28-'Real results'!D28),2+IF(AND('Raw data'!AU28='Real results'!C28,'Raw data'!AV28='Real results'!D28),2,0),0),0),0)</f>
        <v>0</v>
      </c>
      <c r="AW29" s="29">
        <f>IFERROR(IF(AND(ISNUMBER('Real results'!C28),ISNUMBER('Real results'!D28),ISNUMBER('Raw data'!AW28),ISNUMBER('Raw data'!AX28)),IF(SIGN('Raw data'!AW28-'Raw data'!AX28)=SIGN('Real results'!C28-'Real results'!D28),2+IF(AND('Raw data'!AW28='Real results'!C28,'Raw data'!AX28='Real results'!D28),2,0),0),0),0)</f>
        <v>0</v>
      </c>
      <c r="AY29" s="29">
        <f>IFERROR(IF(AND(ISNUMBER('Real results'!C28),ISNUMBER('Real results'!D28),ISNUMBER('Raw data'!AY28),ISNUMBER('Raw data'!AZ28)),IF(SIGN('Raw data'!AY28-'Raw data'!AZ28)=SIGN('Real results'!C28-'Real results'!D28),2+IF(AND('Raw data'!AY28='Real results'!C28,'Raw data'!AZ28='Real results'!D28),2,0),0),0),0)</f>
        <v>0</v>
      </c>
      <c r="BA29" s="29">
        <f>IFERROR(IF(AND(ISNUMBER('Real results'!C28),ISNUMBER('Real results'!D28),ISNUMBER('Raw data'!BA28),ISNUMBER('Raw data'!BB28)),IF(SIGN('Raw data'!BA28-'Raw data'!BB28)=SIGN('Real results'!C28-'Real results'!D28),2+IF(AND('Raw data'!BA28='Real results'!C28,'Raw data'!BB28='Real results'!D28),2,0),0),0),0)</f>
        <v>0</v>
      </c>
      <c r="BC29" s="29">
        <f>IFERROR(IF(AND(ISNUMBER('Real results'!C28),ISNUMBER('Real results'!D28),ISNUMBER('Raw data'!BC28),ISNUMBER('Raw data'!BD28)),IF(SIGN('Raw data'!BC28-'Raw data'!BD28)=SIGN('Real results'!C28-'Real results'!D28),2+IF(AND('Raw data'!BC28='Real results'!C28,'Raw data'!BD28='Real results'!D28),2,0),0),0),0)</f>
        <v>0</v>
      </c>
      <c r="BE29" s="29">
        <f>IFERROR(IF(AND(ISNUMBER('Real results'!C28),ISNUMBER('Real results'!D28),ISNUMBER('Raw data'!BE28),ISNUMBER('Raw data'!BF28)),IF(SIGN('Raw data'!BE28-'Raw data'!BF28)=SIGN('Real results'!C28-'Real results'!D28),2+IF(AND('Raw data'!BE28='Real results'!C28,'Raw data'!BF28='Real results'!D28),2,0),0),0),0)</f>
        <v>0</v>
      </c>
      <c r="BG29" s="29">
        <f>IFERROR(IF(AND(ISNUMBER('Real results'!C28),ISNUMBER('Real results'!D28),ISNUMBER('Raw data'!BG28),ISNUMBER('Raw data'!BH28)),IF(SIGN('Raw data'!BG28-'Raw data'!BH28)=SIGN('Real results'!C28-'Real results'!D28),2+IF(AND('Raw data'!BG28='Real results'!C28,'Raw data'!BH28='Real results'!D28),2,0),0),0),0)</f>
        <v>0</v>
      </c>
      <c r="BI29" s="29">
        <f>IFERROR(IF(AND(ISNUMBER('Real results'!C28),ISNUMBER('Real results'!D28),ISNUMBER('Raw data'!BI28),ISNUMBER('Raw data'!BJ28)),IF(SIGN('Raw data'!BI28-'Raw data'!BJ28)=SIGN('Real results'!C28-'Real results'!D28),2+IF(AND('Raw data'!BI28='Real results'!C28,'Raw data'!BJ28='Real results'!D28),2,0),0),0),0)</f>
        <v>0</v>
      </c>
    </row>
    <row r="30" ht="18.0" customHeight="1">
      <c r="A30" s="1"/>
      <c r="B30" s="13" t="s">
        <v>49</v>
      </c>
      <c r="C30" s="29">
        <f>IFERROR(IF(AND(ISNUMBER('Real results'!C29),ISNUMBER('Real results'!D29),ISNUMBER('Raw data'!C29),ISNUMBER('Raw data'!D29)),IF(SIGN('Raw data'!C29-'Raw data'!D29)=SIGN('Real results'!C29-'Real results'!D29),2+IF(AND('Raw data'!C29='Real results'!C29,'Raw data'!D29='Real results'!D29),2,0),0),0),0)</f>
        <v>0</v>
      </c>
      <c r="E30" s="29">
        <f>IFERROR(IF(AND(ISNUMBER('Real results'!C29),ISNUMBER('Real results'!D29),ISNUMBER('Raw data'!E29),ISNUMBER('Raw data'!F29)),IF(SIGN('Raw data'!E29-'Raw data'!F29)=SIGN('Real results'!C29-'Real results'!D29),2+IF(AND('Raw data'!E29='Real results'!C29,'Raw data'!F29='Real results'!D29),2,0),0),0),0)</f>
        <v>0</v>
      </c>
      <c r="G30" s="29">
        <f>IFERROR(IF(AND(ISNUMBER('Real results'!C29),ISNUMBER('Real results'!D29),ISNUMBER('Raw data'!G29),ISNUMBER('Raw data'!H29)),IF(SIGN('Raw data'!G29-'Raw data'!H29)=SIGN('Real results'!C29-'Real results'!D29),2+IF(AND('Raw data'!G29='Real results'!C29,'Raw data'!H29='Real results'!D29),2,0),0),0),0)</f>
        <v>0</v>
      </c>
      <c r="I30" s="29">
        <f>IFERROR(IF(AND(ISNUMBER('Real results'!C29),ISNUMBER('Real results'!D29),ISNUMBER('Raw data'!I29),ISNUMBER('Raw data'!J29)),IF(SIGN('Raw data'!I29-'Raw data'!J29)=SIGN('Real results'!C29-'Real results'!D29),2+IF(AND('Raw data'!I29='Real results'!C29,'Raw data'!J29='Real results'!D29),2,0),0),0),0)</f>
        <v>0</v>
      </c>
      <c r="K30" s="29">
        <f>IFERROR(IF(AND(ISNUMBER('Real results'!C29),ISNUMBER('Real results'!D29),ISNUMBER('Raw data'!K29),ISNUMBER('Raw data'!L29)),IF(SIGN('Raw data'!K29-'Raw data'!L29)=SIGN('Real results'!C29-'Real results'!D29),2+IF(AND('Raw data'!K29='Real results'!C29,'Raw data'!L29='Real results'!D29),2,0),0),0),0)</f>
        <v>0</v>
      </c>
      <c r="M30" s="29">
        <f>IFERROR(IF(AND(ISNUMBER('Real results'!C29),ISNUMBER('Real results'!D29),ISNUMBER('Raw data'!M29),ISNUMBER('Raw data'!N29)),IF(SIGN('Raw data'!M29-'Raw data'!N29)=SIGN('Real results'!C29-'Real results'!D29),2+IF(AND('Raw data'!M29='Real results'!C29,'Raw data'!N29='Real results'!D29),2,0),0),0),0)</f>
        <v>0</v>
      </c>
      <c r="O30" s="29">
        <f>IFERROR(IF(AND(ISNUMBER('Real results'!C29),ISNUMBER('Real results'!D29),ISNUMBER('Raw data'!O29),ISNUMBER('Raw data'!P29)),IF(SIGN('Raw data'!O29-'Raw data'!P29)=SIGN('Real results'!C29-'Real results'!D29),2+IF(AND('Raw data'!O29='Real results'!C29,'Raw data'!P29='Real results'!D29),2,0),0),0),0)</f>
        <v>0</v>
      </c>
      <c r="Q30" s="29">
        <f>IFERROR(IF(AND(ISNUMBER('Real results'!C29),ISNUMBER('Real results'!D29),ISNUMBER('Raw data'!Q29),ISNUMBER('Raw data'!R29)),IF(SIGN('Raw data'!Q29-'Raw data'!R29)=SIGN('Real results'!C29-'Real results'!D29),2+IF(AND('Raw data'!Q29='Real results'!C29,'Raw data'!R29='Real results'!D29),2,0),0),0),0)</f>
        <v>0</v>
      </c>
      <c r="S30" s="29">
        <f>IFERROR(IF(AND(ISNUMBER('Real results'!C29),ISNUMBER('Real results'!D29),ISNUMBER('Raw data'!S29),ISNUMBER('Raw data'!T29)),IF(SIGN('Raw data'!S29-'Raw data'!T29)=SIGN('Real results'!C29-'Real results'!D29),2+IF(AND('Raw data'!S29='Real results'!C29,'Raw data'!T29='Real results'!D29),2,0),0),0),0)</f>
        <v>0</v>
      </c>
      <c r="U30" s="29">
        <f>IFERROR(IF(AND(ISNUMBER('Real results'!C29),ISNUMBER('Real results'!D29),ISNUMBER('Raw data'!U29),ISNUMBER('Raw data'!V29)),IF(SIGN('Raw data'!U29-'Raw data'!V29)=SIGN('Real results'!C29-'Real results'!D29),2+IF(AND('Raw data'!U29='Real results'!C29,'Raw data'!V29='Real results'!D29),2,0),0),0),0)</f>
        <v>0</v>
      </c>
      <c r="W30" s="29">
        <f>IFERROR(IF(AND(ISNUMBER('Real results'!C29),ISNUMBER('Real results'!D29),ISNUMBER('Raw data'!W29),ISNUMBER('Raw data'!X29)),IF(SIGN('Raw data'!W29-'Raw data'!X29)=SIGN('Real results'!C29-'Real results'!D29),2+IF(AND('Raw data'!W29='Real results'!C29,'Raw data'!X29='Real results'!D29),2,0),0),0),0)</f>
        <v>0</v>
      </c>
      <c r="Y30" s="29">
        <f>IFERROR(IF(AND(ISNUMBER('Real results'!C29),ISNUMBER('Real results'!D29),ISNUMBER('Raw data'!Y29),ISNUMBER('Raw data'!Z29)),IF(SIGN('Raw data'!Y29-'Raw data'!Z29)=SIGN('Real results'!C29-'Real results'!D29),2+IF(AND('Raw data'!Y29='Real results'!C29,'Raw data'!Z29='Real results'!D29),2,0),0),0),0)</f>
        <v>0</v>
      </c>
      <c r="AA30" s="29">
        <f>IFERROR(IF(AND(ISNUMBER('Real results'!C29),ISNUMBER('Real results'!D29),ISNUMBER('Raw data'!AA29),ISNUMBER('Raw data'!AB29)),IF(SIGN('Raw data'!AA29-'Raw data'!AB29)=SIGN('Real results'!C29-'Real results'!D29),2+IF(AND('Raw data'!AA29='Real results'!C29,'Raw data'!AB29='Real results'!D29),2,0),0),0),0)</f>
        <v>0</v>
      </c>
      <c r="AC30" s="29">
        <f>IFERROR(IF(AND(ISNUMBER('Real results'!C29),ISNUMBER('Real results'!D29),ISNUMBER('Raw data'!AC29),ISNUMBER('Raw data'!AD29)),IF(SIGN('Raw data'!AC29-'Raw data'!AD29)=SIGN('Real results'!C29-'Real results'!D29),2+IF(AND('Raw data'!AC29='Real results'!C29,'Raw data'!AD29='Real results'!D29),2,0),0),0),0)</f>
        <v>0</v>
      </c>
      <c r="AE30" s="29">
        <f>IFERROR(IF(AND(ISNUMBER('Real results'!C29),ISNUMBER('Real results'!D29),ISNUMBER('Raw data'!AE29),ISNUMBER('Raw data'!AF29)),IF(SIGN('Raw data'!AE29-'Raw data'!AF29)=SIGN('Real results'!C29-'Real results'!D29),2+IF(AND('Raw data'!AE29='Real results'!C29,'Raw data'!AF29='Real results'!D29),2,0),0),0),0)</f>
        <v>0</v>
      </c>
      <c r="AG30" s="29">
        <f>IFERROR(IF(AND(ISNUMBER('Real results'!C29),ISNUMBER('Real results'!D29),ISNUMBER('Raw data'!AG29),ISNUMBER('Raw data'!AH29)),IF(SIGN('Raw data'!AG29-'Raw data'!AH29)=SIGN('Real results'!C29-'Real results'!D29),2+IF(AND('Raw data'!AG29='Real results'!C29,'Raw data'!AH29='Real results'!D29),2,0),0),0),0)</f>
        <v>0</v>
      </c>
      <c r="AI30" s="29">
        <f>IFERROR(IF(AND(ISNUMBER('Real results'!C29),ISNUMBER('Real results'!D29),ISNUMBER('Raw data'!AI29),ISNUMBER('Raw data'!AJ29)),IF(SIGN('Raw data'!AI29-'Raw data'!AJ29)=SIGN('Real results'!C29-'Real results'!D29),2+IF(AND('Raw data'!AI29='Real results'!C29,'Raw data'!AJ29='Real results'!D29),2,0),0),0),0)</f>
        <v>0</v>
      </c>
      <c r="AK30" s="29">
        <f>IFERROR(IF(AND(ISNUMBER('Real results'!C29),ISNUMBER('Real results'!D29),ISNUMBER('Raw data'!AK29),ISNUMBER('Raw data'!AL29)),IF(SIGN('Raw data'!AK29-'Raw data'!AL29)=SIGN('Real results'!C29-'Real results'!D29),2+IF(AND('Raw data'!AK29='Real results'!C29,'Raw data'!AL29='Real results'!D29),2,0),0),0),0)</f>
        <v>0</v>
      </c>
      <c r="AM30" s="29">
        <f>IFERROR(IF(AND(ISNUMBER('Real results'!C29),ISNUMBER('Real results'!D29),ISNUMBER('Raw data'!AM29),ISNUMBER('Raw data'!AN29)),IF(SIGN('Raw data'!AM29-'Raw data'!AN29)=SIGN('Real results'!C29-'Real results'!D29),2+IF(AND('Raw data'!AM29='Real results'!C29,'Raw data'!AN29='Real results'!D29),2,0),0),0),0)</f>
        <v>0</v>
      </c>
      <c r="AO30" s="29">
        <f>IFERROR(IF(AND(ISNUMBER('Real results'!C29),ISNUMBER('Real results'!D29),ISNUMBER('Raw data'!AO29),ISNUMBER('Raw data'!AP29)),IF(SIGN('Raw data'!AO29-'Raw data'!AP29)=SIGN('Real results'!C29-'Real results'!D29),2+IF(AND('Raw data'!AO29='Real results'!C29,'Raw data'!AP29='Real results'!D29),2,0),0),0),0)</f>
        <v>0</v>
      </c>
      <c r="AQ30" s="29">
        <f>IFERROR(IF(AND(ISNUMBER('Real results'!C29),ISNUMBER('Real results'!D29),ISNUMBER('Raw data'!AQ29),ISNUMBER('Raw data'!AR29)),IF(SIGN('Raw data'!AQ29-'Raw data'!AR29)=SIGN('Real results'!C29-'Real results'!D29),2+IF(AND('Raw data'!AQ29='Real results'!C29,'Raw data'!AR29='Real results'!D29),2,0),0),0),0)</f>
        <v>0</v>
      </c>
      <c r="AS30" s="29">
        <f>IFERROR(IF(AND(ISNUMBER('Real results'!C29),ISNUMBER('Real results'!D29),ISNUMBER('Raw data'!AS29),ISNUMBER('Raw data'!AT29)),IF(SIGN('Raw data'!AS29-'Raw data'!AT29)=SIGN('Real results'!C29-'Real results'!D29),2+IF(AND('Raw data'!AS29='Real results'!C29,'Raw data'!AT29='Real results'!D29),2,0),0),0),0)</f>
        <v>0</v>
      </c>
      <c r="AU30" s="29">
        <f>IFERROR(IF(AND(ISNUMBER('Real results'!C29),ISNUMBER('Real results'!D29),ISNUMBER('Raw data'!AU29),ISNUMBER('Raw data'!AV29)),IF(SIGN('Raw data'!AU29-'Raw data'!AV29)=SIGN('Real results'!C29-'Real results'!D29),2+IF(AND('Raw data'!AU29='Real results'!C29,'Raw data'!AV29='Real results'!D29),2,0),0),0),0)</f>
        <v>0</v>
      </c>
      <c r="AW30" s="29">
        <f>IFERROR(IF(AND(ISNUMBER('Real results'!C29),ISNUMBER('Real results'!D29),ISNUMBER('Raw data'!AW29),ISNUMBER('Raw data'!AX29)),IF(SIGN('Raw data'!AW29-'Raw data'!AX29)=SIGN('Real results'!C29-'Real results'!D29),2+IF(AND('Raw data'!AW29='Real results'!C29,'Raw data'!AX29='Real results'!D29),2,0),0),0),0)</f>
        <v>0</v>
      </c>
      <c r="AY30" s="29">
        <f>IFERROR(IF(AND(ISNUMBER('Real results'!C29),ISNUMBER('Real results'!D29),ISNUMBER('Raw data'!AY29),ISNUMBER('Raw data'!AZ29)),IF(SIGN('Raw data'!AY29-'Raw data'!AZ29)=SIGN('Real results'!C29-'Real results'!D29),2+IF(AND('Raw data'!AY29='Real results'!C29,'Raw data'!AZ29='Real results'!D29),2,0),0),0),0)</f>
        <v>0</v>
      </c>
      <c r="BA30" s="29">
        <f>IFERROR(IF(AND(ISNUMBER('Real results'!C29),ISNUMBER('Real results'!D29),ISNUMBER('Raw data'!BA29),ISNUMBER('Raw data'!BB29)),IF(SIGN('Raw data'!BA29-'Raw data'!BB29)=SIGN('Real results'!C29-'Real results'!D29),2+IF(AND('Raw data'!BA29='Real results'!C29,'Raw data'!BB29='Real results'!D29),2,0),0),0),0)</f>
        <v>0</v>
      </c>
      <c r="BC30" s="29">
        <f>IFERROR(IF(AND(ISNUMBER('Real results'!C29),ISNUMBER('Real results'!D29),ISNUMBER('Raw data'!BC29),ISNUMBER('Raw data'!BD29)),IF(SIGN('Raw data'!BC29-'Raw data'!BD29)=SIGN('Real results'!C29-'Real results'!D29),2+IF(AND('Raw data'!BC29='Real results'!C29,'Raw data'!BD29='Real results'!D29),2,0),0),0),0)</f>
        <v>0</v>
      </c>
      <c r="BE30" s="29">
        <f>IFERROR(IF(AND(ISNUMBER('Real results'!C29),ISNUMBER('Real results'!D29),ISNUMBER('Raw data'!BE29),ISNUMBER('Raw data'!BF29)),IF(SIGN('Raw data'!BE29-'Raw data'!BF29)=SIGN('Real results'!C29-'Real results'!D29),2+IF(AND('Raw data'!BE29='Real results'!C29,'Raw data'!BF29='Real results'!D29),2,0),0),0),0)</f>
        <v>0</v>
      </c>
      <c r="BG30" s="29">
        <f>IFERROR(IF(AND(ISNUMBER('Real results'!C29),ISNUMBER('Real results'!D29),ISNUMBER('Raw data'!BG29),ISNUMBER('Raw data'!BH29)),IF(SIGN('Raw data'!BG29-'Raw data'!BH29)=SIGN('Real results'!C29-'Real results'!D29),2+IF(AND('Raw data'!BG29='Real results'!C29,'Raw data'!BH29='Real results'!D29),2,0),0),0),0)</f>
        <v>0</v>
      </c>
      <c r="BI30" s="29">
        <f>IFERROR(IF(AND(ISNUMBER('Real results'!C29),ISNUMBER('Real results'!D29),ISNUMBER('Raw data'!BI29),ISNUMBER('Raw data'!BJ29)),IF(SIGN('Raw data'!BI29-'Raw data'!BJ29)=SIGN('Real results'!C29-'Real results'!D29),2+IF(AND('Raw data'!BI29='Real results'!C29,'Raw data'!BJ29='Real results'!D29),2,0),0),0),0)</f>
        <v>0</v>
      </c>
    </row>
    <row r="31" ht="18.0" customHeight="1">
      <c r="A31" s="1"/>
      <c r="B31" s="13" t="s">
        <v>50</v>
      </c>
      <c r="C31" s="29">
        <f>IFERROR(IF(AND(ISNUMBER('Real results'!C30),ISNUMBER('Real results'!D30),ISNUMBER('Raw data'!C30),ISNUMBER('Raw data'!D30)),IF(SIGN('Raw data'!C30-'Raw data'!D30)=SIGN('Real results'!C30-'Real results'!D30),2+IF(AND('Raw data'!C30='Real results'!C30,'Raw data'!D30='Real results'!D30),2,0),0),0),0)</f>
        <v>0</v>
      </c>
      <c r="E31" s="29">
        <f>IFERROR(IF(AND(ISNUMBER('Real results'!C30),ISNUMBER('Real results'!D30),ISNUMBER('Raw data'!E30),ISNUMBER('Raw data'!F30)),IF(SIGN('Raw data'!E30-'Raw data'!F30)=SIGN('Real results'!C30-'Real results'!D30),2+IF(AND('Raw data'!E30='Real results'!C30,'Raw data'!F30='Real results'!D30),2,0),0),0),0)</f>
        <v>0</v>
      </c>
      <c r="G31" s="29">
        <f>IFERROR(IF(AND(ISNUMBER('Real results'!C30),ISNUMBER('Real results'!D30),ISNUMBER('Raw data'!G30),ISNUMBER('Raw data'!H30)),IF(SIGN('Raw data'!G30-'Raw data'!H30)=SIGN('Real results'!C30-'Real results'!D30),2+IF(AND('Raw data'!G30='Real results'!C30,'Raw data'!H30='Real results'!D30),2,0),0),0),0)</f>
        <v>0</v>
      </c>
      <c r="I31" s="29">
        <f>IFERROR(IF(AND(ISNUMBER('Real results'!C30),ISNUMBER('Real results'!D30),ISNUMBER('Raw data'!I30),ISNUMBER('Raw data'!J30)),IF(SIGN('Raw data'!I30-'Raw data'!J30)=SIGN('Real results'!C30-'Real results'!D30),2+IF(AND('Raw data'!I30='Real results'!C30,'Raw data'!J30='Real results'!D30),2,0),0),0),0)</f>
        <v>0</v>
      </c>
      <c r="K31" s="29">
        <f>IFERROR(IF(AND(ISNUMBER('Real results'!C30),ISNUMBER('Real results'!D30),ISNUMBER('Raw data'!K30),ISNUMBER('Raw data'!L30)),IF(SIGN('Raw data'!K30-'Raw data'!L30)=SIGN('Real results'!C30-'Real results'!D30),2+IF(AND('Raw data'!K30='Real results'!C30,'Raw data'!L30='Real results'!D30),2,0),0),0),0)</f>
        <v>0</v>
      </c>
      <c r="M31" s="29">
        <f>IFERROR(IF(AND(ISNUMBER('Real results'!C30),ISNUMBER('Real results'!D30),ISNUMBER('Raw data'!M30),ISNUMBER('Raw data'!N30)),IF(SIGN('Raw data'!M30-'Raw data'!N30)=SIGN('Real results'!C30-'Real results'!D30),2+IF(AND('Raw data'!M30='Real results'!C30,'Raw data'!N30='Real results'!D30),2,0),0),0),0)</f>
        <v>0</v>
      </c>
      <c r="O31" s="29">
        <f>IFERROR(IF(AND(ISNUMBER('Real results'!C30),ISNUMBER('Real results'!D30),ISNUMBER('Raw data'!O30),ISNUMBER('Raw data'!P30)),IF(SIGN('Raw data'!O30-'Raw data'!P30)=SIGN('Real results'!C30-'Real results'!D30),2+IF(AND('Raw data'!O30='Real results'!C30,'Raw data'!P30='Real results'!D30),2,0),0),0),0)</f>
        <v>0</v>
      </c>
      <c r="Q31" s="29">
        <f>IFERROR(IF(AND(ISNUMBER('Real results'!C30),ISNUMBER('Real results'!D30),ISNUMBER('Raw data'!Q30),ISNUMBER('Raw data'!R30)),IF(SIGN('Raw data'!Q30-'Raw data'!R30)=SIGN('Real results'!C30-'Real results'!D30),2+IF(AND('Raw data'!Q30='Real results'!C30,'Raw data'!R30='Real results'!D30),2,0),0),0),0)</f>
        <v>0</v>
      </c>
      <c r="S31" s="29">
        <f>IFERROR(IF(AND(ISNUMBER('Real results'!C30),ISNUMBER('Real results'!D30),ISNUMBER('Raw data'!S30),ISNUMBER('Raw data'!T30)),IF(SIGN('Raw data'!S30-'Raw data'!T30)=SIGN('Real results'!C30-'Real results'!D30),2+IF(AND('Raw data'!S30='Real results'!C30,'Raw data'!T30='Real results'!D30),2,0),0),0),0)</f>
        <v>0</v>
      </c>
      <c r="U31" s="29">
        <f>IFERROR(IF(AND(ISNUMBER('Real results'!C30),ISNUMBER('Real results'!D30),ISNUMBER('Raw data'!U30),ISNUMBER('Raw data'!V30)),IF(SIGN('Raw data'!U30-'Raw data'!V30)=SIGN('Real results'!C30-'Real results'!D30),2+IF(AND('Raw data'!U30='Real results'!C30,'Raw data'!V30='Real results'!D30),2,0),0),0),0)</f>
        <v>0</v>
      </c>
      <c r="W31" s="29">
        <f>IFERROR(IF(AND(ISNUMBER('Real results'!C30),ISNUMBER('Real results'!D30),ISNUMBER('Raw data'!W30),ISNUMBER('Raw data'!X30)),IF(SIGN('Raw data'!W30-'Raw data'!X30)=SIGN('Real results'!C30-'Real results'!D30),2+IF(AND('Raw data'!W30='Real results'!C30,'Raw data'!X30='Real results'!D30),2,0),0),0),0)</f>
        <v>0</v>
      </c>
      <c r="Y31" s="29">
        <f>IFERROR(IF(AND(ISNUMBER('Real results'!C30),ISNUMBER('Real results'!D30),ISNUMBER('Raw data'!Y30),ISNUMBER('Raw data'!Z30)),IF(SIGN('Raw data'!Y30-'Raw data'!Z30)=SIGN('Real results'!C30-'Real results'!D30),2+IF(AND('Raw data'!Y30='Real results'!C30,'Raw data'!Z30='Real results'!D30),2,0),0),0),0)</f>
        <v>0</v>
      </c>
      <c r="AA31" s="29">
        <f>IFERROR(IF(AND(ISNUMBER('Real results'!C30),ISNUMBER('Real results'!D30),ISNUMBER('Raw data'!AA30),ISNUMBER('Raw data'!AB30)),IF(SIGN('Raw data'!AA30-'Raw data'!AB30)=SIGN('Real results'!C30-'Real results'!D30),2+IF(AND('Raw data'!AA30='Real results'!C30,'Raw data'!AB30='Real results'!D30),2,0),0),0),0)</f>
        <v>0</v>
      </c>
      <c r="AC31" s="29">
        <f>IFERROR(IF(AND(ISNUMBER('Real results'!C30),ISNUMBER('Real results'!D30),ISNUMBER('Raw data'!AC30),ISNUMBER('Raw data'!AD30)),IF(SIGN('Raw data'!AC30-'Raw data'!AD30)=SIGN('Real results'!C30-'Real results'!D30),2+IF(AND('Raw data'!AC30='Real results'!C30,'Raw data'!AD30='Real results'!D30),2,0),0),0),0)</f>
        <v>0</v>
      </c>
      <c r="AE31" s="29">
        <f>IFERROR(IF(AND(ISNUMBER('Real results'!C30),ISNUMBER('Real results'!D30),ISNUMBER('Raw data'!AE30),ISNUMBER('Raw data'!AF30)),IF(SIGN('Raw data'!AE30-'Raw data'!AF30)=SIGN('Real results'!C30-'Real results'!D30),2+IF(AND('Raw data'!AE30='Real results'!C30,'Raw data'!AF30='Real results'!D30),2,0),0),0),0)</f>
        <v>0</v>
      </c>
      <c r="AG31" s="29">
        <f>IFERROR(IF(AND(ISNUMBER('Real results'!C30),ISNUMBER('Real results'!D30),ISNUMBER('Raw data'!AG30),ISNUMBER('Raw data'!AH30)),IF(SIGN('Raw data'!AG30-'Raw data'!AH30)=SIGN('Real results'!C30-'Real results'!D30),2+IF(AND('Raw data'!AG30='Real results'!C30,'Raw data'!AH30='Real results'!D30),2,0),0),0),0)</f>
        <v>0</v>
      </c>
      <c r="AI31" s="29">
        <f>IFERROR(IF(AND(ISNUMBER('Real results'!C30),ISNUMBER('Real results'!D30),ISNUMBER('Raw data'!AI30),ISNUMBER('Raw data'!AJ30)),IF(SIGN('Raw data'!AI30-'Raw data'!AJ30)=SIGN('Real results'!C30-'Real results'!D30),2+IF(AND('Raw data'!AI30='Real results'!C30,'Raw data'!AJ30='Real results'!D30),2,0),0),0),0)</f>
        <v>0</v>
      </c>
      <c r="AK31" s="29">
        <f>IFERROR(IF(AND(ISNUMBER('Real results'!C30),ISNUMBER('Real results'!D30),ISNUMBER('Raw data'!AK30),ISNUMBER('Raw data'!AL30)),IF(SIGN('Raw data'!AK30-'Raw data'!AL30)=SIGN('Real results'!C30-'Real results'!D30),2+IF(AND('Raw data'!AK30='Real results'!C30,'Raw data'!AL30='Real results'!D30),2,0),0),0),0)</f>
        <v>0</v>
      </c>
      <c r="AM31" s="29">
        <f>IFERROR(IF(AND(ISNUMBER('Real results'!C30),ISNUMBER('Real results'!D30),ISNUMBER('Raw data'!AM30),ISNUMBER('Raw data'!AN30)),IF(SIGN('Raw data'!AM30-'Raw data'!AN30)=SIGN('Real results'!C30-'Real results'!D30),2+IF(AND('Raw data'!AM30='Real results'!C30,'Raw data'!AN30='Real results'!D30),2,0),0),0),0)</f>
        <v>0</v>
      </c>
      <c r="AO31" s="29">
        <f>IFERROR(IF(AND(ISNUMBER('Real results'!C30),ISNUMBER('Real results'!D30),ISNUMBER('Raw data'!AO30),ISNUMBER('Raw data'!AP30)),IF(SIGN('Raw data'!AO30-'Raw data'!AP30)=SIGN('Real results'!C30-'Real results'!D30),2+IF(AND('Raw data'!AO30='Real results'!C30,'Raw data'!AP30='Real results'!D30),2,0),0),0),0)</f>
        <v>0</v>
      </c>
      <c r="AQ31" s="29">
        <f>IFERROR(IF(AND(ISNUMBER('Real results'!C30),ISNUMBER('Real results'!D30),ISNUMBER('Raw data'!AQ30),ISNUMBER('Raw data'!AR30)),IF(SIGN('Raw data'!AQ30-'Raw data'!AR30)=SIGN('Real results'!C30-'Real results'!D30),2+IF(AND('Raw data'!AQ30='Real results'!C30,'Raw data'!AR30='Real results'!D30),2,0),0),0),0)</f>
        <v>0</v>
      </c>
      <c r="AS31" s="29">
        <f>IFERROR(IF(AND(ISNUMBER('Real results'!C30),ISNUMBER('Real results'!D30),ISNUMBER('Raw data'!AS30),ISNUMBER('Raw data'!AT30)),IF(SIGN('Raw data'!AS30-'Raw data'!AT30)=SIGN('Real results'!C30-'Real results'!D30),2+IF(AND('Raw data'!AS30='Real results'!C30,'Raw data'!AT30='Real results'!D30),2,0),0),0),0)</f>
        <v>0</v>
      </c>
      <c r="AU31" s="29">
        <f>IFERROR(IF(AND(ISNUMBER('Real results'!C30),ISNUMBER('Real results'!D30),ISNUMBER('Raw data'!AU30),ISNUMBER('Raw data'!AV30)),IF(SIGN('Raw data'!AU30-'Raw data'!AV30)=SIGN('Real results'!C30-'Real results'!D30),2+IF(AND('Raw data'!AU30='Real results'!C30,'Raw data'!AV30='Real results'!D30),2,0),0),0),0)</f>
        <v>0</v>
      </c>
      <c r="AW31" s="29">
        <f>IFERROR(IF(AND(ISNUMBER('Real results'!C30),ISNUMBER('Real results'!D30),ISNUMBER('Raw data'!AW30),ISNUMBER('Raw data'!AX30)),IF(SIGN('Raw data'!AW30-'Raw data'!AX30)=SIGN('Real results'!C30-'Real results'!D30),2+IF(AND('Raw data'!AW30='Real results'!C30,'Raw data'!AX30='Real results'!D30),2,0),0),0),0)</f>
        <v>0</v>
      </c>
      <c r="AY31" s="29">
        <f>IFERROR(IF(AND(ISNUMBER('Real results'!C30),ISNUMBER('Real results'!D30),ISNUMBER('Raw data'!AY30),ISNUMBER('Raw data'!AZ30)),IF(SIGN('Raw data'!AY30-'Raw data'!AZ30)=SIGN('Real results'!C30-'Real results'!D30),2+IF(AND('Raw data'!AY30='Real results'!C30,'Raw data'!AZ30='Real results'!D30),2,0),0),0),0)</f>
        <v>0</v>
      </c>
      <c r="BA31" s="29">
        <f>IFERROR(IF(AND(ISNUMBER('Real results'!C30),ISNUMBER('Real results'!D30),ISNUMBER('Raw data'!BA30),ISNUMBER('Raw data'!BB30)),IF(SIGN('Raw data'!BA30-'Raw data'!BB30)=SIGN('Real results'!C30-'Real results'!D30),2+IF(AND('Raw data'!BA30='Real results'!C30,'Raw data'!BB30='Real results'!D30),2,0),0),0),0)</f>
        <v>0</v>
      </c>
      <c r="BC31" s="29">
        <f>IFERROR(IF(AND(ISNUMBER('Real results'!C30),ISNUMBER('Real results'!D30),ISNUMBER('Raw data'!BC30),ISNUMBER('Raw data'!BD30)),IF(SIGN('Raw data'!BC30-'Raw data'!BD30)=SIGN('Real results'!C30-'Real results'!D30),2+IF(AND('Raw data'!BC30='Real results'!C30,'Raw data'!BD30='Real results'!D30),2,0),0),0),0)</f>
        <v>0</v>
      </c>
      <c r="BE31" s="29">
        <f>IFERROR(IF(AND(ISNUMBER('Real results'!C30),ISNUMBER('Real results'!D30),ISNUMBER('Raw data'!BE30),ISNUMBER('Raw data'!BF30)),IF(SIGN('Raw data'!BE30-'Raw data'!BF30)=SIGN('Real results'!C30-'Real results'!D30),2+IF(AND('Raw data'!BE30='Real results'!C30,'Raw data'!BF30='Real results'!D30),2,0),0),0),0)</f>
        <v>0</v>
      </c>
      <c r="BG31" s="29">
        <f>IFERROR(IF(AND(ISNUMBER('Real results'!C30),ISNUMBER('Real results'!D30),ISNUMBER('Raw data'!BG30),ISNUMBER('Raw data'!BH30)),IF(SIGN('Raw data'!BG30-'Raw data'!BH30)=SIGN('Real results'!C30-'Real results'!D30),2+IF(AND('Raw data'!BG30='Real results'!C30,'Raw data'!BH30='Real results'!D30),2,0),0),0),0)</f>
        <v>0</v>
      </c>
      <c r="BI31" s="29">
        <f>IFERROR(IF(AND(ISNUMBER('Real results'!C30),ISNUMBER('Real results'!D30),ISNUMBER('Raw data'!BI30),ISNUMBER('Raw data'!BJ30)),IF(SIGN('Raw data'!BI30-'Raw data'!BJ30)=SIGN('Real results'!C30-'Real results'!D30),2+IF(AND('Raw data'!BI30='Real results'!C30,'Raw data'!BJ30='Real results'!D30),2,0),0),0),0)</f>
        <v>0</v>
      </c>
    </row>
    <row r="32" ht="18.0" customHeight="1">
      <c r="A32" s="1"/>
      <c r="B32" s="13" t="s">
        <v>51</v>
      </c>
      <c r="C32" s="29">
        <f>IFERROR(IF(AND(ISNUMBER('Real results'!C31),ISNUMBER('Real results'!D31),ISNUMBER('Raw data'!C31),ISNUMBER('Raw data'!D31)),IF(SIGN('Raw data'!C31-'Raw data'!D31)=SIGN('Real results'!C31-'Real results'!D31),2+IF(AND('Raw data'!C31='Real results'!C31,'Raw data'!D31='Real results'!D31),2,0),0),0),0)</f>
        <v>0</v>
      </c>
      <c r="E32" s="29">
        <f>IFERROR(IF(AND(ISNUMBER('Real results'!C31),ISNUMBER('Real results'!D31),ISNUMBER('Raw data'!E31),ISNUMBER('Raw data'!F31)),IF(SIGN('Raw data'!E31-'Raw data'!F31)=SIGN('Real results'!C31-'Real results'!D31),2+IF(AND('Raw data'!E31='Real results'!C31,'Raw data'!F31='Real results'!D31),2,0),0),0),0)</f>
        <v>0</v>
      </c>
      <c r="G32" s="29">
        <f>IFERROR(IF(AND(ISNUMBER('Real results'!C31),ISNUMBER('Real results'!D31),ISNUMBER('Raw data'!G31),ISNUMBER('Raw data'!H31)),IF(SIGN('Raw data'!G31-'Raw data'!H31)=SIGN('Real results'!C31-'Real results'!D31),2+IF(AND('Raw data'!G31='Real results'!C31,'Raw data'!H31='Real results'!D31),2,0),0),0),0)</f>
        <v>0</v>
      </c>
      <c r="I32" s="29">
        <f>IFERROR(IF(AND(ISNUMBER('Real results'!C31),ISNUMBER('Real results'!D31),ISNUMBER('Raw data'!I31),ISNUMBER('Raw data'!J31)),IF(SIGN('Raw data'!I31-'Raw data'!J31)=SIGN('Real results'!C31-'Real results'!D31),2+IF(AND('Raw data'!I31='Real results'!C31,'Raw data'!J31='Real results'!D31),2,0),0),0),0)</f>
        <v>0</v>
      </c>
      <c r="K32" s="29">
        <f>IFERROR(IF(AND(ISNUMBER('Real results'!C31),ISNUMBER('Real results'!D31),ISNUMBER('Raw data'!K31),ISNUMBER('Raw data'!L31)),IF(SIGN('Raw data'!K31-'Raw data'!L31)=SIGN('Real results'!C31-'Real results'!D31),2+IF(AND('Raw data'!K31='Real results'!C31,'Raw data'!L31='Real results'!D31),2,0),0),0),0)</f>
        <v>0</v>
      </c>
      <c r="M32" s="29">
        <f>IFERROR(IF(AND(ISNUMBER('Real results'!C31),ISNUMBER('Real results'!D31),ISNUMBER('Raw data'!M31),ISNUMBER('Raw data'!N31)),IF(SIGN('Raw data'!M31-'Raw data'!N31)=SIGN('Real results'!C31-'Real results'!D31),2+IF(AND('Raw data'!M31='Real results'!C31,'Raw data'!N31='Real results'!D31),2,0),0),0),0)</f>
        <v>0</v>
      </c>
      <c r="O32" s="29">
        <f>IFERROR(IF(AND(ISNUMBER('Real results'!C31),ISNUMBER('Real results'!D31),ISNUMBER('Raw data'!O31),ISNUMBER('Raw data'!P31)),IF(SIGN('Raw data'!O31-'Raw data'!P31)=SIGN('Real results'!C31-'Real results'!D31),2+IF(AND('Raw data'!O31='Real results'!C31,'Raw data'!P31='Real results'!D31),2,0),0),0),0)</f>
        <v>0</v>
      </c>
      <c r="Q32" s="29">
        <f>IFERROR(IF(AND(ISNUMBER('Real results'!C31),ISNUMBER('Real results'!D31),ISNUMBER('Raw data'!Q31),ISNUMBER('Raw data'!R31)),IF(SIGN('Raw data'!Q31-'Raw data'!R31)=SIGN('Real results'!C31-'Real results'!D31),2+IF(AND('Raw data'!Q31='Real results'!C31,'Raw data'!R31='Real results'!D31),2,0),0),0),0)</f>
        <v>0</v>
      </c>
      <c r="S32" s="29">
        <f>IFERROR(IF(AND(ISNUMBER('Real results'!C31),ISNUMBER('Real results'!D31),ISNUMBER('Raw data'!S31),ISNUMBER('Raw data'!T31)),IF(SIGN('Raw data'!S31-'Raw data'!T31)=SIGN('Real results'!C31-'Real results'!D31),2+IF(AND('Raw data'!S31='Real results'!C31,'Raw data'!T31='Real results'!D31),2,0),0),0),0)</f>
        <v>0</v>
      </c>
      <c r="U32" s="29">
        <f>IFERROR(IF(AND(ISNUMBER('Real results'!C31),ISNUMBER('Real results'!D31),ISNUMBER('Raw data'!U31),ISNUMBER('Raw data'!V31)),IF(SIGN('Raw data'!U31-'Raw data'!V31)=SIGN('Real results'!C31-'Real results'!D31),2+IF(AND('Raw data'!U31='Real results'!C31,'Raw data'!V31='Real results'!D31),2,0),0),0),0)</f>
        <v>0</v>
      </c>
      <c r="W32" s="29">
        <f>IFERROR(IF(AND(ISNUMBER('Real results'!C31),ISNUMBER('Real results'!D31),ISNUMBER('Raw data'!W31),ISNUMBER('Raw data'!X31)),IF(SIGN('Raw data'!W31-'Raw data'!X31)=SIGN('Real results'!C31-'Real results'!D31),2+IF(AND('Raw data'!W31='Real results'!C31,'Raw data'!X31='Real results'!D31),2,0),0),0),0)</f>
        <v>0</v>
      </c>
      <c r="Y32" s="29">
        <f>IFERROR(IF(AND(ISNUMBER('Real results'!C31),ISNUMBER('Real results'!D31),ISNUMBER('Raw data'!Y31),ISNUMBER('Raw data'!Z31)),IF(SIGN('Raw data'!Y31-'Raw data'!Z31)=SIGN('Real results'!C31-'Real results'!D31),2+IF(AND('Raw data'!Y31='Real results'!C31,'Raw data'!Z31='Real results'!D31),2,0),0),0),0)</f>
        <v>0</v>
      </c>
      <c r="AA32" s="29">
        <f>IFERROR(IF(AND(ISNUMBER('Real results'!C31),ISNUMBER('Real results'!D31),ISNUMBER('Raw data'!AA31),ISNUMBER('Raw data'!AB31)),IF(SIGN('Raw data'!AA31-'Raw data'!AB31)=SIGN('Real results'!C31-'Real results'!D31),2+IF(AND('Raw data'!AA31='Real results'!C31,'Raw data'!AB31='Real results'!D31),2,0),0),0),0)</f>
        <v>0</v>
      </c>
      <c r="AC32" s="29">
        <f>IFERROR(IF(AND(ISNUMBER('Real results'!C31),ISNUMBER('Real results'!D31),ISNUMBER('Raw data'!AC31),ISNUMBER('Raw data'!AD31)),IF(SIGN('Raw data'!AC31-'Raw data'!AD31)=SIGN('Real results'!C31-'Real results'!D31),2+IF(AND('Raw data'!AC31='Real results'!C31,'Raw data'!AD31='Real results'!D31),2,0),0),0),0)</f>
        <v>0</v>
      </c>
      <c r="AE32" s="29">
        <f>IFERROR(IF(AND(ISNUMBER('Real results'!C31),ISNUMBER('Real results'!D31),ISNUMBER('Raw data'!AE31),ISNUMBER('Raw data'!AF31)),IF(SIGN('Raw data'!AE31-'Raw data'!AF31)=SIGN('Real results'!C31-'Real results'!D31),2+IF(AND('Raw data'!AE31='Real results'!C31,'Raw data'!AF31='Real results'!D31),2,0),0),0),0)</f>
        <v>0</v>
      </c>
      <c r="AG32" s="29">
        <f>IFERROR(IF(AND(ISNUMBER('Real results'!C31),ISNUMBER('Real results'!D31),ISNUMBER('Raw data'!AG31),ISNUMBER('Raw data'!AH31)),IF(SIGN('Raw data'!AG31-'Raw data'!AH31)=SIGN('Real results'!C31-'Real results'!D31),2+IF(AND('Raw data'!AG31='Real results'!C31,'Raw data'!AH31='Real results'!D31),2,0),0),0),0)</f>
        <v>0</v>
      </c>
      <c r="AI32" s="29">
        <f>IFERROR(IF(AND(ISNUMBER('Real results'!C31),ISNUMBER('Real results'!D31),ISNUMBER('Raw data'!AI31),ISNUMBER('Raw data'!AJ31)),IF(SIGN('Raw data'!AI31-'Raw data'!AJ31)=SIGN('Real results'!C31-'Real results'!D31),2+IF(AND('Raw data'!AI31='Real results'!C31,'Raw data'!AJ31='Real results'!D31),2,0),0),0),0)</f>
        <v>0</v>
      </c>
      <c r="AK32" s="29">
        <f>IFERROR(IF(AND(ISNUMBER('Real results'!C31),ISNUMBER('Real results'!D31),ISNUMBER('Raw data'!AK31),ISNUMBER('Raw data'!AL31)),IF(SIGN('Raw data'!AK31-'Raw data'!AL31)=SIGN('Real results'!C31-'Real results'!D31),2+IF(AND('Raw data'!AK31='Real results'!C31,'Raw data'!AL31='Real results'!D31),2,0),0),0),0)</f>
        <v>0</v>
      </c>
      <c r="AM32" s="29">
        <f>IFERROR(IF(AND(ISNUMBER('Real results'!C31),ISNUMBER('Real results'!D31),ISNUMBER('Raw data'!AM31),ISNUMBER('Raw data'!AN31)),IF(SIGN('Raw data'!AM31-'Raw data'!AN31)=SIGN('Real results'!C31-'Real results'!D31),2+IF(AND('Raw data'!AM31='Real results'!C31,'Raw data'!AN31='Real results'!D31),2,0),0),0),0)</f>
        <v>0</v>
      </c>
      <c r="AO32" s="29">
        <f>IFERROR(IF(AND(ISNUMBER('Real results'!C31),ISNUMBER('Real results'!D31),ISNUMBER('Raw data'!AO31),ISNUMBER('Raw data'!AP31)),IF(SIGN('Raw data'!AO31-'Raw data'!AP31)=SIGN('Real results'!C31-'Real results'!D31),2+IF(AND('Raw data'!AO31='Real results'!C31,'Raw data'!AP31='Real results'!D31),2,0),0),0),0)</f>
        <v>0</v>
      </c>
      <c r="AQ32" s="29">
        <f>IFERROR(IF(AND(ISNUMBER('Real results'!C31),ISNUMBER('Real results'!D31),ISNUMBER('Raw data'!AQ31),ISNUMBER('Raw data'!AR31)),IF(SIGN('Raw data'!AQ31-'Raw data'!AR31)=SIGN('Real results'!C31-'Real results'!D31),2+IF(AND('Raw data'!AQ31='Real results'!C31,'Raw data'!AR31='Real results'!D31),2,0),0),0),0)</f>
        <v>0</v>
      </c>
      <c r="AS32" s="29">
        <f>IFERROR(IF(AND(ISNUMBER('Real results'!C31),ISNUMBER('Real results'!D31),ISNUMBER('Raw data'!AS31),ISNUMBER('Raw data'!AT31)),IF(SIGN('Raw data'!AS31-'Raw data'!AT31)=SIGN('Real results'!C31-'Real results'!D31),2+IF(AND('Raw data'!AS31='Real results'!C31,'Raw data'!AT31='Real results'!D31),2,0),0),0),0)</f>
        <v>0</v>
      </c>
      <c r="AU32" s="29">
        <f>IFERROR(IF(AND(ISNUMBER('Real results'!C31),ISNUMBER('Real results'!D31),ISNUMBER('Raw data'!AU31),ISNUMBER('Raw data'!AV31)),IF(SIGN('Raw data'!AU31-'Raw data'!AV31)=SIGN('Real results'!C31-'Real results'!D31),2+IF(AND('Raw data'!AU31='Real results'!C31,'Raw data'!AV31='Real results'!D31),2,0),0),0),0)</f>
        <v>0</v>
      </c>
      <c r="AW32" s="29">
        <f>IFERROR(IF(AND(ISNUMBER('Real results'!C31),ISNUMBER('Real results'!D31),ISNUMBER('Raw data'!AW31),ISNUMBER('Raw data'!AX31)),IF(SIGN('Raw data'!AW31-'Raw data'!AX31)=SIGN('Real results'!C31-'Real results'!D31),2+IF(AND('Raw data'!AW31='Real results'!C31,'Raw data'!AX31='Real results'!D31),2,0),0),0),0)</f>
        <v>0</v>
      </c>
      <c r="AY32" s="29">
        <f>IFERROR(IF(AND(ISNUMBER('Real results'!C31),ISNUMBER('Real results'!D31),ISNUMBER('Raw data'!AY31),ISNUMBER('Raw data'!AZ31)),IF(SIGN('Raw data'!AY31-'Raw data'!AZ31)=SIGN('Real results'!C31-'Real results'!D31),2+IF(AND('Raw data'!AY31='Real results'!C31,'Raw data'!AZ31='Real results'!D31),2,0),0),0),0)</f>
        <v>0</v>
      </c>
      <c r="BA32" s="29">
        <f>IFERROR(IF(AND(ISNUMBER('Real results'!C31),ISNUMBER('Real results'!D31),ISNUMBER('Raw data'!BA31),ISNUMBER('Raw data'!BB31)),IF(SIGN('Raw data'!BA31-'Raw data'!BB31)=SIGN('Real results'!C31-'Real results'!D31),2+IF(AND('Raw data'!BA31='Real results'!C31,'Raw data'!BB31='Real results'!D31),2,0),0),0),0)</f>
        <v>0</v>
      </c>
      <c r="BC32" s="29">
        <f>IFERROR(IF(AND(ISNUMBER('Real results'!C31),ISNUMBER('Real results'!D31),ISNUMBER('Raw data'!BC31),ISNUMBER('Raw data'!BD31)),IF(SIGN('Raw data'!BC31-'Raw data'!BD31)=SIGN('Real results'!C31-'Real results'!D31),2+IF(AND('Raw data'!BC31='Real results'!C31,'Raw data'!BD31='Real results'!D31),2,0),0),0),0)</f>
        <v>0</v>
      </c>
      <c r="BE32" s="29">
        <f>IFERROR(IF(AND(ISNUMBER('Real results'!C31),ISNUMBER('Real results'!D31),ISNUMBER('Raw data'!BE31),ISNUMBER('Raw data'!BF31)),IF(SIGN('Raw data'!BE31-'Raw data'!BF31)=SIGN('Real results'!C31-'Real results'!D31),2+IF(AND('Raw data'!BE31='Real results'!C31,'Raw data'!BF31='Real results'!D31),2,0),0),0),0)</f>
        <v>0</v>
      </c>
      <c r="BG32" s="29">
        <f>IFERROR(IF(AND(ISNUMBER('Real results'!C31),ISNUMBER('Real results'!D31),ISNUMBER('Raw data'!BG31),ISNUMBER('Raw data'!BH31)),IF(SIGN('Raw data'!BG31-'Raw data'!BH31)=SIGN('Real results'!C31-'Real results'!D31),2+IF(AND('Raw data'!BG31='Real results'!C31,'Raw data'!BH31='Real results'!D31),2,0),0),0),0)</f>
        <v>0</v>
      </c>
      <c r="BI32" s="29">
        <f>IFERROR(IF(AND(ISNUMBER('Real results'!C31),ISNUMBER('Real results'!D31),ISNUMBER('Raw data'!BI31),ISNUMBER('Raw data'!BJ31)),IF(SIGN('Raw data'!BI31-'Raw data'!BJ31)=SIGN('Real results'!C31-'Real results'!D31),2+IF(AND('Raw data'!BI31='Real results'!C31,'Raw data'!BJ31='Real results'!D31),2,0),0),0),0)</f>
        <v>0</v>
      </c>
    </row>
    <row r="33" ht="18.0" customHeight="1">
      <c r="A33" s="1"/>
      <c r="B33" s="13" t="s">
        <v>52</v>
      </c>
      <c r="C33" s="29">
        <f>IFERROR(IF(AND(ISNUMBER('Real results'!C32),ISNUMBER('Real results'!D32),ISNUMBER('Raw data'!C32),ISNUMBER('Raw data'!D32)),IF(SIGN('Raw data'!C32-'Raw data'!D32)=SIGN('Real results'!C32-'Real results'!D32),2+IF(AND('Raw data'!C32='Real results'!C32,'Raw data'!D32='Real results'!D32),2,0),0),0),0)</f>
        <v>0</v>
      </c>
      <c r="E33" s="29">
        <f>IFERROR(IF(AND(ISNUMBER('Real results'!C32),ISNUMBER('Real results'!D32),ISNUMBER('Raw data'!E32),ISNUMBER('Raw data'!F32)),IF(SIGN('Raw data'!E32-'Raw data'!F32)=SIGN('Real results'!C32-'Real results'!D32),2+IF(AND('Raw data'!E32='Real results'!C32,'Raw data'!F32='Real results'!D32),2,0),0),0),0)</f>
        <v>0</v>
      </c>
      <c r="G33" s="29">
        <f>IFERROR(IF(AND(ISNUMBER('Real results'!C32),ISNUMBER('Real results'!D32),ISNUMBER('Raw data'!G32),ISNUMBER('Raw data'!H32)),IF(SIGN('Raw data'!G32-'Raw data'!H32)=SIGN('Real results'!C32-'Real results'!D32),2+IF(AND('Raw data'!G32='Real results'!C32,'Raw data'!H32='Real results'!D32),2,0),0),0),0)</f>
        <v>0</v>
      </c>
      <c r="I33" s="29">
        <f>IFERROR(IF(AND(ISNUMBER('Real results'!C32),ISNUMBER('Real results'!D32),ISNUMBER('Raw data'!I32),ISNUMBER('Raw data'!J32)),IF(SIGN('Raw data'!I32-'Raw data'!J32)=SIGN('Real results'!C32-'Real results'!D32),2+IF(AND('Raw data'!I32='Real results'!C32,'Raw data'!J32='Real results'!D32),2,0),0),0),0)</f>
        <v>0</v>
      </c>
      <c r="K33" s="29">
        <f>IFERROR(IF(AND(ISNUMBER('Real results'!C32),ISNUMBER('Real results'!D32),ISNUMBER('Raw data'!K32),ISNUMBER('Raw data'!L32)),IF(SIGN('Raw data'!K32-'Raw data'!L32)=SIGN('Real results'!C32-'Real results'!D32),2+IF(AND('Raw data'!K32='Real results'!C32,'Raw data'!L32='Real results'!D32),2,0),0),0),0)</f>
        <v>0</v>
      </c>
      <c r="M33" s="29">
        <f>IFERROR(IF(AND(ISNUMBER('Real results'!C32),ISNUMBER('Real results'!D32),ISNUMBER('Raw data'!M32),ISNUMBER('Raw data'!N32)),IF(SIGN('Raw data'!M32-'Raw data'!N32)=SIGN('Real results'!C32-'Real results'!D32),2+IF(AND('Raw data'!M32='Real results'!C32,'Raw data'!N32='Real results'!D32),2,0),0),0),0)</f>
        <v>0</v>
      </c>
      <c r="O33" s="29">
        <f>IFERROR(IF(AND(ISNUMBER('Real results'!C32),ISNUMBER('Real results'!D32),ISNUMBER('Raw data'!O32),ISNUMBER('Raw data'!P32)),IF(SIGN('Raw data'!O32-'Raw data'!P32)=SIGN('Real results'!C32-'Real results'!D32),2+IF(AND('Raw data'!O32='Real results'!C32,'Raw data'!P32='Real results'!D32),2,0),0),0),0)</f>
        <v>0</v>
      </c>
      <c r="Q33" s="29">
        <f>IFERROR(IF(AND(ISNUMBER('Real results'!C32),ISNUMBER('Real results'!D32),ISNUMBER('Raw data'!Q32),ISNUMBER('Raw data'!R32)),IF(SIGN('Raw data'!Q32-'Raw data'!R32)=SIGN('Real results'!C32-'Real results'!D32),2+IF(AND('Raw data'!Q32='Real results'!C32,'Raw data'!R32='Real results'!D32),2,0),0),0),0)</f>
        <v>0</v>
      </c>
      <c r="S33" s="29">
        <f>IFERROR(IF(AND(ISNUMBER('Real results'!C32),ISNUMBER('Real results'!D32),ISNUMBER('Raw data'!S32),ISNUMBER('Raw data'!T32)),IF(SIGN('Raw data'!S32-'Raw data'!T32)=SIGN('Real results'!C32-'Real results'!D32),2+IF(AND('Raw data'!S32='Real results'!C32,'Raw data'!T32='Real results'!D32),2,0),0),0),0)</f>
        <v>0</v>
      </c>
      <c r="U33" s="29">
        <f>IFERROR(IF(AND(ISNUMBER('Real results'!C32),ISNUMBER('Real results'!D32),ISNUMBER('Raw data'!U32),ISNUMBER('Raw data'!V32)),IF(SIGN('Raw data'!U32-'Raw data'!V32)=SIGN('Real results'!C32-'Real results'!D32),2+IF(AND('Raw data'!U32='Real results'!C32,'Raw data'!V32='Real results'!D32),2,0),0),0),0)</f>
        <v>0</v>
      </c>
      <c r="W33" s="29">
        <f>IFERROR(IF(AND(ISNUMBER('Real results'!C32),ISNUMBER('Real results'!D32),ISNUMBER('Raw data'!W32),ISNUMBER('Raw data'!X32)),IF(SIGN('Raw data'!W32-'Raw data'!X32)=SIGN('Real results'!C32-'Real results'!D32),2+IF(AND('Raw data'!W32='Real results'!C32,'Raw data'!X32='Real results'!D32),2,0),0),0),0)</f>
        <v>0</v>
      </c>
      <c r="Y33" s="29">
        <f>IFERROR(IF(AND(ISNUMBER('Real results'!C32),ISNUMBER('Real results'!D32),ISNUMBER('Raw data'!Y32),ISNUMBER('Raw data'!Z32)),IF(SIGN('Raw data'!Y32-'Raw data'!Z32)=SIGN('Real results'!C32-'Real results'!D32),2+IF(AND('Raw data'!Y32='Real results'!C32,'Raw data'!Z32='Real results'!D32),2,0),0),0),0)</f>
        <v>0</v>
      </c>
      <c r="AA33" s="29">
        <f>IFERROR(IF(AND(ISNUMBER('Real results'!C32),ISNUMBER('Real results'!D32),ISNUMBER('Raw data'!AA32),ISNUMBER('Raw data'!AB32)),IF(SIGN('Raw data'!AA32-'Raw data'!AB32)=SIGN('Real results'!C32-'Real results'!D32),2+IF(AND('Raw data'!AA32='Real results'!C32,'Raw data'!AB32='Real results'!D32),2,0),0),0),0)</f>
        <v>0</v>
      </c>
      <c r="AC33" s="29">
        <f>IFERROR(IF(AND(ISNUMBER('Real results'!C32),ISNUMBER('Real results'!D32),ISNUMBER('Raw data'!AC32),ISNUMBER('Raw data'!AD32)),IF(SIGN('Raw data'!AC32-'Raw data'!AD32)=SIGN('Real results'!C32-'Real results'!D32),2+IF(AND('Raw data'!AC32='Real results'!C32,'Raw data'!AD32='Real results'!D32),2,0),0),0),0)</f>
        <v>0</v>
      </c>
      <c r="AE33" s="29">
        <f>IFERROR(IF(AND(ISNUMBER('Real results'!C32),ISNUMBER('Real results'!D32),ISNUMBER('Raw data'!AE32),ISNUMBER('Raw data'!AF32)),IF(SIGN('Raw data'!AE32-'Raw data'!AF32)=SIGN('Real results'!C32-'Real results'!D32),2+IF(AND('Raw data'!AE32='Real results'!C32,'Raw data'!AF32='Real results'!D32),2,0),0),0),0)</f>
        <v>0</v>
      </c>
      <c r="AG33" s="29">
        <f>IFERROR(IF(AND(ISNUMBER('Real results'!C32),ISNUMBER('Real results'!D32),ISNUMBER('Raw data'!AG32),ISNUMBER('Raw data'!AH32)),IF(SIGN('Raw data'!AG32-'Raw data'!AH32)=SIGN('Real results'!C32-'Real results'!D32),2+IF(AND('Raw data'!AG32='Real results'!C32,'Raw data'!AH32='Real results'!D32),2,0),0),0),0)</f>
        <v>0</v>
      </c>
      <c r="AI33" s="29">
        <f>IFERROR(IF(AND(ISNUMBER('Real results'!C32),ISNUMBER('Real results'!D32),ISNUMBER('Raw data'!AI32),ISNUMBER('Raw data'!AJ32)),IF(SIGN('Raw data'!AI32-'Raw data'!AJ32)=SIGN('Real results'!C32-'Real results'!D32),2+IF(AND('Raw data'!AI32='Real results'!C32,'Raw data'!AJ32='Real results'!D32),2,0),0),0),0)</f>
        <v>0</v>
      </c>
      <c r="AK33" s="29">
        <f>IFERROR(IF(AND(ISNUMBER('Real results'!C32),ISNUMBER('Real results'!D32),ISNUMBER('Raw data'!AK32),ISNUMBER('Raw data'!AL32)),IF(SIGN('Raw data'!AK32-'Raw data'!AL32)=SIGN('Real results'!C32-'Real results'!D32),2+IF(AND('Raw data'!AK32='Real results'!C32,'Raw data'!AL32='Real results'!D32),2,0),0),0),0)</f>
        <v>0</v>
      </c>
      <c r="AM33" s="29">
        <f>IFERROR(IF(AND(ISNUMBER('Real results'!C32),ISNUMBER('Real results'!D32),ISNUMBER('Raw data'!AM32),ISNUMBER('Raw data'!AN32)),IF(SIGN('Raw data'!AM32-'Raw data'!AN32)=SIGN('Real results'!C32-'Real results'!D32),2+IF(AND('Raw data'!AM32='Real results'!C32,'Raw data'!AN32='Real results'!D32),2,0),0),0),0)</f>
        <v>0</v>
      </c>
      <c r="AO33" s="29">
        <f>IFERROR(IF(AND(ISNUMBER('Real results'!C32),ISNUMBER('Real results'!D32),ISNUMBER('Raw data'!AO32),ISNUMBER('Raw data'!AP32)),IF(SIGN('Raw data'!AO32-'Raw data'!AP32)=SIGN('Real results'!C32-'Real results'!D32),2+IF(AND('Raw data'!AO32='Real results'!C32,'Raw data'!AP32='Real results'!D32),2,0),0),0),0)</f>
        <v>0</v>
      </c>
      <c r="AQ33" s="29">
        <f>IFERROR(IF(AND(ISNUMBER('Real results'!C32),ISNUMBER('Real results'!D32),ISNUMBER('Raw data'!AQ32),ISNUMBER('Raw data'!AR32)),IF(SIGN('Raw data'!AQ32-'Raw data'!AR32)=SIGN('Real results'!C32-'Real results'!D32),2+IF(AND('Raw data'!AQ32='Real results'!C32,'Raw data'!AR32='Real results'!D32),2,0),0),0),0)</f>
        <v>0</v>
      </c>
      <c r="AS33" s="29">
        <f>IFERROR(IF(AND(ISNUMBER('Real results'!C32),ISNUMBER('Real results'!D32),ISNUMBER('Raw data'!AS32),ISNUMBER('Raw data'!AT32)),IF(SIGN('Raw data'!AS32-'Raw data'!AT32)=SIGN('Real results'!C32-'Real results'!D32),2+IF(AND('Raw data'!AS32='Real results'!C32,'Raw data'!AT32='Real results'!D32),2,0),0),0),0)</f>
        <v>0</v>
      </c>
      <c r="AU33" s="29">
        <f>IFERROR(IF(AND(ISNUMBER('Real results'!C32),ISNUMBER('Real results'!D32),ISNUMBER('Raw data'!AU32),ISNUMBER('Raw data'!AV32)),IF(SIGN('Raw data'!AU32-'Raw data'!AV32)=SIGN('Real results'!C32-'Real results'!D32),2+IF(AND('Raw data'!AU32='Real results'!C32,'Raw data'!AV32='Real results'!D32),2,0),0),0),0)</f>
        <v>0</v>
      </c>
      <c r="AW33" s="29">
        <f>IFERROR(IF(AND(ISNUMBER('Real results'!C32),ISNUMBER('Real results'!D32),ISNUMBER('Raw data'!AW32),ISNUMBER('Raw data'!AX32)),IF(SIGN('Raw data'!AW32-'Raw data'!AX32)=SIGN('Real results'!C32-'Real results'!D32),2+IF(AND('Raw data'!AW32='Real results'!C32,'Raw data'!AX32='Real results'!D32),2,0),0),0),0)</f>
        <v>0</v>
      </c>
      <c r="AY33" s="29">
        <f>IFERROR(IF(AND(ISNUMBER('Real results'!C32),ISNUMBER('Real results'!D32),ISNUMBER('Raw data'!AY32),ISNUMBER('Raw data'!AZ32)),IF(SIGN('Raw data'!AY32-'Raw data'!AZ32)=SIGN('Real results'!C32-'Real results'!D32),2+IF(AND('Raw data'!AY32='Real results'!C32,'Raw data'!AZ32='Real results'!D32),2,0),0),0),0)</f>
        <v>0</v>
      </c>
      <c r="BA33" s="29">
        <f>IFERROR(IF(AND(ISNUMBER('Real results'!C32),ISNUMBER('Real results'!D32),ISNUMBER('Raw data'!BA32),ISNUMBER('Raw data'!BB32)),IF(SIGN('Raw data'!BA32-'Raw data'!BB32)=SIGN('Real results'!C32-'Real results'!D32),2+IF(AND('Raw data'!BA32='Real results'!C32,'Raw data'!BB32='Real results'!D32),2,0),0),0),0)</f>
        <v>0</v>
      </c>
      <c r="BC33" s="29">
        <f>IFERROR(IF(AND(ISNUMBER('Real results'!C32),ISNUMBER('Real results'!D32),ISNUMBER('Raw data'!BC32),ISNUMBER('Raw data'!BD32)),IF(SIGN('Raw data'!BC32-'Raw data'!BD32)=SIGN('Real results'!C32-'Real results'!D32),2+IF(AND('Raw data'!BC32='Real results'!C32,'Raw data'!BD32='Real results'!D32),2,0),0),0),0)</f>
        <v>0</v>
      </c>
      <c r="BE33" s="29">
        <f>IFERROR(IF(AND(ISNUMBER('Real results'!C32),ISNUMBER('Real results'!D32),ISNUMBER('Raw data'!BE32),ISNUMBER('Raw data'!BF32)),IF(SIGN('Raw data'!BE32-'Raw data'!BF32)=SIGN('Real results'!C32-'Real results'!D32),2+IF(AND('Raw data'!BE32='Real results'!C32,'Raw data'!BF32='Real results'!D32),2,0),0),0),0)</f>
        <v>0</v>
      </c>
      <c r="BG33" s="29">
        <f>IFERROR(IF(AND(ISNUMBER('Real results'!C32),ISNUMBER('Real results'!D32),ISNUMBER('Raw data'!BG32),ISNUMBER('Raw data'!BH32)),IF(SIGN('Raw data'!BG32-'Raw data'!BH32)=SIGN('Real results'!C32-'Real results'!D32),2+IF(AND('Raw data'!BG32='Real results'!C32,'Raw data'!BH32='Real results'!D32),2,0),0),0),0)</f>
        <v>0</v>
      </c>
      <c r="BI33" s="29">
        <f>IFERROR(IF(AND(ISNUMBER('Real results'!C32),ISNUMBER('Real results'!D32),ISNUMBER('Raw data'!BI32),ISNUMBER('Raw data'!BJ32)),IF(SIGN('Raw data'!BI32-'Raw data'!BJ32)=SIGN('Real results'!C32-'Real results'!D32),2+IF(AND('Raw data'!BI32='Real results'!C32,'Raw data'!BJ32='Real results'!D32),2,0),0),0),0)</f>
        <v>0</v>
      </c>
    </row>
    <row r="34" ht="18.0" customHeight="1">
      <c r="A34" s="1"/>
      <c r="B34" s="13" t="s">
        <v>53</v>
      </c>
      <c r="C34" s="29">
        <f>IFERROR(IF(AND(ISNUMBER('Real results'!C33),ISNUMBER('Real results'!D33),ISNUMBER('Raw data'!C33),ISNUMBER('Raw data'!D33)),IF(SIGN('Raw data'!C33-'Raw data'!D33)=SIGN('Real results'!C33-'Real results'!D33),2+IF(AND('Raw data'!C33='Real results'!C33,'Raw data'!D33='Real results'!D33),2,0),0),0),0)</f>
        <v>0</v>
      </c>
      <c r="E34" s="29">
        <f>IFERROR(IF(AND(ISNUMBER('Real results'!C33),ISNUMBER('Real results'!D33),ISNUMBER('Raw data'!E33),ISNUMBER('Raw data'!F33)),IF(SIGN('Raw data'!E33-'Raw data'!F33)=SIGN('Real results'!C33-'Real results'!D33),2+IF(AND('Raw data'!E33='Real results'!C33,'Raw data'!F33='Real results'!D33),2,0),0),0),0)</f>
        <v>0</v>
      </c>
      <c r="G34" s="29">
        <f>IFERROR(IF(AND(ISNUMBER('Real results'!C33),ISNUMBER('Real results'!D33),ISNUMBER('Raw data'!G33),ISNUMBER('Raw data'!H33)),IF(SIGN('Raw data'!G33-'Raw data'!H33)=SIGN('Real results'!C33-'Real results'!D33),2+IF(AND('Raw data'!G33='Real results'!C33,'Raw data'!H33='Real results'!D33),2,0),0),0),0)</f>
        <v>0</v>
      </c>
      <c r="I34" s="29">
        <f>IFERROR(IF(AND(ISNUMBER('Real results'!C33),ISNUMBER('Real results'!D33),ISNUMBER('Raw data'!I33),ISNUMBER('Raw data'!J33)),IF(SIGN('Raw data'!I33-'Raw data'!J33)=SIGN('Real results'!C33-'Real results'!D33),2+IF(AND('Raw data'!I33='Real results'!C33,'Raw data'!J33='Real results'!D33),2,0),0),0),0)</f>
        <v>0</v>
      </c>
      <c r="K34" s="29">
        <f>IFERROR(IF(AND(ISNUMBER('Real results'!C33),ISNUMBER('Real results'!D33),ISNUMBER('Raw data'!K33),ISNUMBER('Raw data'!L33)),IF(SIGN('Raw data'!K33-'Raw data'!L33)=SIGN('Real results'!C33-'Real results'!D33),2+IF(AND('Raw data'!K33='Real results'!C33,'Raw data'!L33='Real results'!D33),2,0),0),0),0)</f>
        <v>0</v>
      </c>
      <c r="M34" s="29">
        <f>IFERROR(IF(AND(ISNUMBER('Real results'!C33),ISNUMBER('Real results'!D33),ISNUMBER('Raw data'!M33),ISNUMBER('Raw data'!N33)),IF(SIGN('Raw data'!M33-'Raw data'!N33)=SIGN('Real results'!C33-'Real results'!D33),2+IF(AND('Raw data'!M33='Real results'!C33,'Raw data'!N33='Real results'!D33),2,0),0),0),0)</f>
        <v>0</v>
      </c>
      <c r="O34" s="29">
        <f>IFERROR(IF(AND(ISNUMBER('Real results'!C33),ISNUMBER('Real results'!D33),ISNUMBER('Raw data'!O33),ISNUMBER('Raw data'!P33)),IF(SIGN('Raw data'!O33-'Raw data'!P33)=SIGN('Real results'!C33-'Real results'!D33),2+IF(AND('Raw data'!O33='Real results'!C33,'Raw data'!P33='Real results'!D33),2,0),0),0),0)</f>
        <v>0</v>
      </c>
      <c r="Q34" s="29">
        <f>IFERROR(IF(AND(ISNUMBER('Real results'!C33),ISNUMBER('Real results'!D33),ISNUMBER('Raw data'!Q33),ISNUMBER('Raw data'!R33)),IF(SIGN('Raw data'!Q33-'Raw data'!R33)=SIGN('Real results'!C33-'Real results'!D33),2+IF(AND('Raw data'!Q33='Real results'!C33,'Raw data'!R33='Real results'!D33),2,0),0),0),0)</f>
        <v>0</v>
      </c>
      <c r="S34" s="29">
        <f>IFERROR(IF(AND(ISNUMBER('Real results'!C33),ISNUMBER('Real results'!D33),ISNUMBER('Raw data'!S33),ISNUMBER('Raw data'!T33)),IF(SIGN('Raw data'!S33-'Raw data'!T33)=SIGN('Real results'!C33-'Real results'!D33),2+IF(AND('Raw data'!S33='Real results'!C33,'Raw data'!T33='Real results'!D33),2,0),0),0),0)</f>
        <v>0</v>
      </c>
      <c r="U34" s="29">
        <f>IFERROR(IF(AND(ISNUMBER('Real results'!C33),ISNUMBER('Real results'!D33),ISNUMBER('Raw data'!U33),ISNUMBER('Raw data'!V33)),IF(SIGN('Raw data'!U33-'Raw data'!V33)=SIGN('Real results'!C33-'Real results'!D33),2+IF(AND('Raw data'!U33='Real results'!C33,'Raw data'!V33='Real results'!D33),2,0),0),0),0)</f>
        <v>0</v>
      </c>
      <c r="W34" s="29">
        <f>IFERROR(IF(AND(ISNUMBER('Real results'!C33),ISNUMBER('Real results'!D33),ISNUMBER('Raw data'!W33),ISNUMBER('Raw data'!X33)),IF(SIGN('Raw data'!W33-'Raw data'!X33)=SIGN('Real results'!C33-'Real results'!D33),2+IF(AND('Raw data'!W33='Real results'!C33,'Raw data'!X33='Real results'!D33),2,0),0),0),0)</f>
        <v>0</v>
      </c>
      <c r="Y34" s="29">
        <f>IFERROR(IF(AND(ISNUMBER('Real results'!C33),ISNUMBER('Real results'!D33),ISNUMBER('Raw data'!Y33),ISNUMBER('Raw data'!Z33)),IF(SIGN('Raw data'!Y33-'Raw data'!Z33)=SIGN('Real results'!C33-'Real results'!D33),2+IF(AND('Raw data'!Y33='Real results'!C33,'Raw data'!Z33='Real results'!D33),2,0),0),0),0)</f>
        <v>0</v>
      </c>
      <c r="AA34" s="29">
        <f>IFERROR(IF(AND(ISNUMBER('Real results'!C33),ISNUMBER('Real results'!D33),ISNUMBER('Raw data'!AA33),ISNUMBER('Raw data'!AB33)),IF(SIGN('Raw data'!AA33-'Raw data'!AB33)=SIGN('Real results'!C33-'Real results'!D33),2+IF(AND('Raw data'!AA33='Real results'!C33,'Raw data'!AB33='Real results'!D33),2,0),0),0),0)</f>
        <v>0</v>
      </c>
      <c r="AC34" s="29">
        <f>IFERROR(IF(AND(ISNUMBER('Real results'!C33),ISNUMBER('Real results'!D33),ISNUMBER('Raw data'!AC33),ISNUMBER('Raw data'!AD33)),IF(SIGN('Raw data'!AC33-'Raw data'!AD33)=SIGN('Real results'!C33-'Real results'!D33),2+IF(AND('Raw data'!AC33='Real results'!C33,'Raw data'!AD33='Real results'!D33),2,0),0),0),0)</f>
        <v>0</v>
      </c>
      <c r="AE34" s="29">
        <f>IFERROR(IF(AND(ISNUMBER('Real results'!C33),ISNUMBER('Real results'!D33),ISNUMBER('Raw data'!AE33),ISNUMBER('Raw data'!AF33)),IF(SIGN('Raw data'!AE33-'Raw data'!AF33)=SIGN('Real results'!C33-'Real results'!D33),2+IF(AND('Raw data'!AE33='Real results'!C33,'Raw data'!AF33='Real results'!D33),2,0),0),0),0)</f>
        <v>0</v>
      </c>
      <c r="AG34" s="29">
        <f>IFERROR(IF(AND(ISNUMBER('Real results'!C33),ISNUMBER('Real results'!D33),ISNUMBER('Raw data'!AG33),ISNUMBER('Raw data'!AH33)),IF(SIGN('Raw data'!AG33-'Raw data'!AH33)=SIGN('Real results'!C33-'Real results'!D33),2+IF(AND('Raw data'!AG33='Real results'!C33,'Raw data'!AH33='Real results'!D33),2,0),0),0),0)</f>
        <v>0</v>
      </c>
      <c r="AI34" s="29">
        <f>IFERROR(IF(AND(ISNUMBER('Real results'!C33),ISNUMBER('Real results'!D33),ISNUMBER('Raw data'!AI33),ISNUMBER('Raw data'!AJ33)),IF(SIGN('Raw data'!AI33-'Raw data'!AJ33)=SIGN('Real results'!C33-'Real results'!D33),2+IF(AND('Raw data'!AI33='Real results'!C33,'Raw data'!AJ33='Real results'!D33),2,0),0),0),0)</f>
        <v>0</v>
      </c>
      <c r="AK34" s="29">
        <f>IFERROR(IF(AND(ISNUMBER('Real results'!C33),ISNUMBER('Real results'!D33),ISNUMBER('Raw data'!AK33),ISNUMBER('Raw data'!AL33)),IF(SIGN('Raw data'!AK33-'Raw data'!AL33)=SIGN('Real results'!C33-'Real results'!D33),2+IF(AND('Raw data'!AK33='Real results'!C33,'Raw data'!AL33='Real results'!D33),2,0),0),0),0)</f>
        <v>0</v>
      </c>
      <c r="AM34" s="29">
        <f>IFERROR(IF(AND(ISNUMBER('Real results'!C33),ISNUMBER('Real results'!D33),ISNUMBER('Raw data'!AM33),ISNUMBER('Raw data'!AN33)),IF(SIGN('Raw data'!AM33-'Raw data'!AN33)=SIGN('Real results'!C33-'Real results'!D33),2+IF(AND('Raw data'!AM33='Real results'!C33,'Raw data'!AN33='Real results'!D33),2,0),0),0),0)</f>
        <v>0</v>
      </c>
      <c r="AO34" s="29">
        <f>IFERROR(IF(AND(ISNUMBER('Real results'!C33),ISNUMBER('Real results'!D33),ISNUMBER('Raw data'!AO33),ISNUMBER('Raw data'!AP33)),IF(SIGN('Raw data'!AO33-'Raw data'!AP33)=SIGN('Real results'!C33-'Real results'!D33),2+IF(AND('Raw data'!AO33='Real results'!C33,'Raw data'!AP33='Real results'!D33),2,0),0),0),0)</f>
        <v>0</v>
      </c>
      <c r="AQ34" s="29">
        <f>IFERROR(IF(AND(ISNUMBER('Real results'!C33),ISNUMBER('Real results'!D33),ISNUMBER('Raw data'!AQ33),ISNUMBER('Raw data'!AR33)),IF(SIGN('Raw data'!AQ33-'Raw data'!AR33)=SIGN('Real results'!C33-'Real results'!D33),2+IF(AND('Raw data'!AQ33='Real results'!C33,'Raw data'!AR33='Real results'!D33),2,0),0),0),0)</f>
        <v>0</v>
      </c>
      <c r="AS34" s="29">
        <f>IFERROR(IF(AND(ISNUMBER('Real results'!C33),ISNUMBER('Real results'!D33),ISNUMBER('Raw data'!AS33),ISNUMBER('Raw data'!AT33)),IF(SIGN('Raw data'!AS33-'Raw data'!AT33)=SIGN('Real results'!C33-'Real results'!D33),2+IF(AND('Raw data'!AS33='Real results'!C33,'Raw data'!AT33='Real results'!D33),2,0),0),0),0)</f>
        <v>0</v>
      </c>
      <c r="AU34" s="29">
        <f>IFERROR(IF(AND(ISNUMBER('Real results'!C33),ISNUMBER('Real results'!D33),ISNUMBER('Raw data'!AU33),ISNUMBER('Raw data'!AV33)),IF(SIGN('Raw data'!AU33-'Raw data'!AV33)=SIGN('Real results'!C33-'Real results'!D33),2+IF(AND('Raw data'!AU33='Real results'!C33,'Raw data'!AV33='Real results'!D33),2,0),0),0),0)</f>
        <v>0</v>
      </c>
      <c r="AW34" s="29">
        <f>IFERROR(IF(AND(ISNUMBER('Real results'!C33),ISNUMBER('Real results'!D33),ISNUMBER('Raw data'!AW33),ISNUMBER('Raw data'!AX33)),IF(SIGN('Raw data'!AW33-'Raw data'!AX33)=SIGN('Real results'!C33-'Real results'!D33),2+IF(AND('Raw data'!AW33='Real results'!C33,'Raw data'!AX33='Real results'!D33),2,0),0),0),0)</f>
        <v>0</v>
      </c>
      <c r="AY34" s="29">
        <f>IFERROR(IF(AND(ISNUMBER('Real results'!C33),ISNUMBER('Real results'!D33),ISNUMBER('Raw data'!AY33),ISNUMBER('Raw data'!AZ33)),IF(SIGN('Raw data'!AY33-'Raw data'!AZ33)=SIGN('Real results'!C33-'Real results'!D33),2+IF(AND('Raw data'!AY33='Real results'!C33,'Raw data'!AZ33='Real results'!D33),2,0),0),0),0)</f>
        <v>0</v>
      </c>
      <c r="BA34" s="29">
        <f>IFERROR(IF(AND(ISNUMBER('Real results'!C33),ISNUMBER('Real results'!D33),ISNUMBER('Raw data'!BA33),ISNUMBER('Raw data'!BB33)),IF(SIGN('Raw data'!BA33-'Raw data'!BB33)=SIGN('Real results'!C33-'Real results'!D33),2+IF(AND('Raw data'!BA33='Real results'!C33,'Raw data'!BB33='Real results'!D33),2,0),0),0),0)</f>
        <v>0</v>
      </c>
      <c r="BC34" s="29">
        <f>IFERROR(IF(AND(ISNUMBER('Real results'!C33),ISNUMBER('Real results'!D33),ISNUMBER('Raw data'!BC33),ISNUMBER('Raw data'!BD33)),IF(SIGN('Raw data'!BC33-'Raw data'!BD33)=SIGN('Real results'!C33-'Real results'!D33),2+IF(AND('Raw data'!BC33='Real results'!C33,'Raw data'!BD33='Real results'!D33),2,0),0),0),0)</f>
        <v>0</v>
      </c>
      <c r="BE34" s="29">
        <f>IFERROR(IF(AND(ISNUMBER('Real results'!C33),ISNUMBER('Real results'!D33),ISNUMBER('Raw data'!BE33),ISNUMBER('Raw data'!BF33)),IF(SIGN('Raw data'!BE33-'Raw data'!BF33)=SIGN('Real results'!C33-'Real results'!D33),2+IF(AND('Raw data'!BE33='Real results'!C33,'Raw data'!BF33='Real results'!D33),2,0),0),0),0)</f>
        <v>0</v>
      </c>
      <c r="BG34" s="29">
        <f>IFERROR(IF(AND(ISNUMBER('Real results'!C33),ISNUMBER('Real results'!D33),ISNUMBER('Raw data'!BG33),ISNUMBER('Raw data'!BH33)),IF(SIGN('Raw data'!BG33-'Raw data'!BH33)=SIGN('Real results'!C33-'Real results'!D33),2+IF(AND('Raw data'!BG33='Real results'!C33,'Raw data'!BH33='Real results'!D33),2,0),0),0),0)</f>
        <v>0</v>
      </c>
      <c r="BI34" s="29">
        <f>IFERROR(IF(AND(ISNUMBER('Real results'!C33),ISNUMBER('Real results'!D33),ISNUMBER('Raw data'!BI33),ISNUMBER('Raw data'!BJ33)),IF(SIGN('Raw data'!BI33-'Raw data'!BJ33)=SIGN('Real results'!C33-'Real results'!D33),2+IF(AND('Raw data'!BI33='Real results'!C33,'Raw data'!BJ33='Real results'!D33),2,0),0),0),0)</f>
        <v>0</v>
      </c>
    </row>
    <row r="35" ht="18.0" customHeight="1">
      <c r="A35" s="1"/>
      <c r="B35" s="13" t="s">
        <v>54</v>
      </c>
      <c r="C35" s="29">
        <f>IFERROR(IF(AND(ISNUMBER('Real results'!C34),ISNUMBER('Real results'!D34),ISNUMBER('Raw data'!C34),ISNUMBER('Raw data'!D34)),IF(SIGN('Raw data'!C34-'Raw data'!D34)=SIGN('Real results'!C34-'Real results'!D34),2+IF(AND('Raw data'!C34='Real results'!C34,'Raw data'!D34='Real results'!D34),2,0),0),0),0)</f>
        <v>0</v>
      </c>
      <c r="E35" s="29">
        <f>IFERROR(IF(AND(ISNUMBER('Real results'!C34),ISNUMBER('Real results'!D34),ISNUMBER('Raw data'!E34),ISNUMBER('Raw data'!F34)),IF(SIGN('Raw data'!E34-'Raw data'!F34)=SIGN('Real results'!C34-'Real results'!D34),2+IF(AND('Raw data'!E34='Real results'!C34,'Raw data'!F34='Real results'!D34),2,0),0),0),0)</f>
        <v>0</v>
      </c>
      <c r="G35" s="29">
        <f>IFERROR(IF(AND(ISNUMBER('Real results'!C34),ISNUMBER('Real results'!D34),ISNUMBER('Raw data'!G34),ISNUMBER('Raw data'!H34)),IF(SIGN('Raw data'!G34-'Raw data'!H34)=SIGN('Real results'!C34-'Real results'!D34),2+IF(AND('Raw data'!G34='Real results'!C34,'Raw data'!H34='Real results'!D34),2,0),0),0),0)</f>
        <v>0</v>
      </c>
      <c r="I35" s="29">
        <f>IFERROR(IF(AND(ISNUMBER('Real results'!C34),ISNUMBER('Real results'!D34),ISNUMBER('Raw data'!I34),ISNUMBER('Raw data'!J34)),IF(SIGN('Raw data'!I34-'Raw data'!J34)=SIGN('Real results'!C34-'Real results'!D34),2+IF(AND('Raw data'!I34='Real results'!C34,'Raw data'!J34='Real results'!D34),2,0),0),0),0)</f>
        <v>0</v>
      </c>
      <c r="K35" s="29">
        <f>IFERROR(IF(AND(ISNUMBER('Real results'!C34),ISNUMBER('Real results'!D34),ISNUMBER('Raw data'!K34),ISNUMBER('Raw data'!L34)),IF(SIGN('Raw data'!K34-'Raw data'!L34)=SIGN('Real results'!C34-'Real results'!D34),2+IF(AND('Raw data'!K34='Real results'!C34,'Raw data'!L34='Real results'!D34),2,0),0),0),0)</f>
        <v>0</v>
      </c>
      <c r="M35" s="29">
        <f>IFERROR(IF(AND(ISNUMBER('Real results'!C34),ISNUMBER('Real results'!D34),ISNUMBER('Raw data'!M34),ISNUMBER('Raw data'!N34)),IF(SIGN('Raw data'!M34-'Raw data'!N34)=SIGN('Real results'!C34-'Real results'!D34),2+IF(AND('Raw data'!M34='Real results'!C34,'Raw data'!N34='Real results'!D34),2,0),0),0),0)</f>
        <v>0</v>
      </c>
      <c r="O35" s="29">
        <f>IFERROR(IF(AND(ISNUMBER('Real results'!C34),ISNUMBER('Real results'!D34),ISNUMBER('Raw data'!O34),ISNUMBER('Raw data'!P34)),IF(SIGN('Raw data'!O34-'Raw data'!P34)=SIGN('Real results'!C34-'Real results'!D34),2+IF(AND('Raw data'!O34='Real results'!C34,'Raw data'!P34='Real results'!D34),2,0),0),0),0)</f>
        <v>0</v>
      </c>
      <c r="Q35" s="29">
        <f>IFERROR(IF(AND(ISNUMBER('Real results'!C34),ISNUMBER('Real results'!D34),ISNUMBER('Raw data'!Q34),ISNUMBER('Raw data'!R34)),IF(SIGN('Raw data'!Q34-'Raw data'!R34)=SIGN('Real results'!C34-'Real results'!D34),2+IF(AND('Raw data'!Q34='Real results'!C34,'Raw data'!R34='Real results'!D34),2,0),0),0),0)</f>
        <v>0</v>
      </c>
      <c r="S35" s="29">
        <f>IFERROR(IF(AND(ISNUMBER('Real results'!C34),ISNUMBER('Real results'!D34),ISNUMBER('Raw data'!S34),ISNUMBER('Raw data'!T34)),IF(SIGN('Raw data'!S34-'Raw data'!T34)=SIGN('Real results'!C34-'Real results'!D34),2+IF(AND('Raw data'!S34='Real results'!C34,'Raw data'!T34='Real results'!D34),2,0),0),0),0)</f>
        <v>0</v>
      </c>
      <c r="U35" s="29">
        <f>IFERROR(IF(AND(ISNUMBER('Real results'!C34),ISNUMBER('Real results'!D34),ISNUMBER('Raw data'!U34),ISNUMBER('Raw data'!V34)),IF(SIGN('Raw data'!U34-'Raw data'!V34)=SIGN('Real results'!C34-'Real results'!D34),2+IF(AND('Raw data'!U34='Real results'!C34,'Raw data'!V34='Real results'!D34),2,0),0),0),0)</f>
        <v>0</v>
      </c>
      <c r="W35" s="29">
        <f>IFERROR(IF(AND(ISNUMBER('Real results'!C34),ISNUMBER('Real results'!D34),ISNUMBER('Raw data'!W34),ISNUMBER('Raw data'!X34)),IF(SIGN('Raw data'!W34-'Raw data'!X34)=SIGN('Real results'!C34-'Real results'!D34),2+IF(AND('Raw data'!W34='Real results'!C34,'Raw data'!X34='Real results'!D34),2,0),0),0),0)</f>
        <v>0</v>
      </c>
      <c r="Y35" s="29">
        <f>IFERROR(IF(AND(ISNUMBER('Real results'!C34),ISNUMBER('Real results'!D34),ISNUMBER('Raw data'!Y34),ISNUMBER('Raw data'!Z34)),IF(SIGN('Raw data'!Y34-'Raw data'!Z34)=SIGN('Real results'!C34-'Real results'!D34),2+IF(AND('Raw data'!Y34='Real results'!C34,'Raw data'!Z34='Real results'!D34),2,0),0),0),0)</f>
        <v>0</v>
      </c>
      <c r="AA35" s="29">
        <f>IFERROR(IF(AND(ISNUMBER('Real results'!C34),ISNUMBER('Real results'!D34),ISNUMBER('Raw data'!AA34),ISNUMBER('Raw data'!AB34)),IF(SIGN('Raw data'!AA34-'Raw data'!AB34)=SIGN('Real results'!C34-'Real results'!D34),2+IF(AND('Raw data'!AA34='Real results'!C34,'Raw data'!AB34='Real results'!D34),2,0),0),0),0)</f>
        <v>0</v>
      </c>
      <c r="AC35" s="29">
        <f>IFERROR(IF(AND(ISNUMBER('Real results'!C34),ISNUMBER('Real results'!D34),ISNUMBER('Raw data'!AC34),ISNUMBER('Raw data'!AD34)),IF(SIGN('Raw data'!AC34-'Raw data'!AD34)=SIGN('Real results'!C34-'Real results'!D34),2+IF(AND('Raw data'!AC34='Real results'!C34,'Raw data'!AD34='Real results'!D34),2,0),0),0),0)</f>
        <v>0</v>
      </c>
      <c r="AE35" s="29">
        <f>IFERROR(IF(AND(ISNUMBER('Real results'!C34),ISNUMBER('Real results'!D34),ISNUMBER('Raw data'!AE34),ISNUMBER('Raw data'!AF34)),IF(SIGN('Raw data'!AE34-'Raw data'!AF34)=SIGN('Real results'!C34-'Real results'!D34),2+IF(AND('Raw data'!AE34='Real results'!C34,'Raw data'!AF34='Real results'!D34),2,0),0),0),0)</f>
        <v>0</v>
      </c>
      <c r="AG35" s="29">
        <f>IFERROR(IF(AND(ISNUMBER('Real results'!C34),ISNUMBER('Real results'!D34),ISNUMBER('Raw data'!AG34),ISNUMBER('Raw data'!AH34)),IF(SIGN('Raw data'!AG34-'Raw data'!AH34)=SIGN('Real results'!C34-'Real results'!D34),2+IF(AND('Raw data'!AG34='Real results'!C34,'Raw data'!AH34='Real results'!D34),2,0),0),0),0)</f>
        <v>0</v>
      </c>
      <c r="AI35" s="29">
        <f>IFERROR(IF(AND(ISNUMBER('Real results'!C34),ISNUMBER('Real results'!D34),ISNUMBER('Raw data'!AI34),ISNUMBER('Raw data'!AJ34)),IF(SIGN('Raw data'!AI34-'Raw data'!AJ34)=SIGN('Real results'!C34-'Real results'!D34),2+IF(AND('Raw data'!AI34='Real results'!C34,'Raw data'!AJ34='Real results'!D34),2,0),0),0),0)</f>
        <v>0</v>
      </c>
      <c r="AK35" s="29">
        <f>IFERROR(IF(AND(ISNUMBER('Real results'!C34),ISNUMBER('Real results'!D34),ISNUMBER('Raw data'!AK34),ISNUMBER('Raw data'!AL34)),IF(SIGN('Raw data'!AK34-'Raw data'!AL34)=SIGN('Real results'!C34-'Real results'!D34),2+IF(AND('Raw data'!AK34='Real results'!C34,'Raw data'!AL34='Real results'!D34),2,0),0),0),0)</f>
        <v>0</v>
      </c>
      <c r="AM35" s="29">
        <f>IFERROR(IF(AND(ISNUMBER('Real results'!C34),ISNUMBER('Real results'!D34),ISNUMBER('Raw data'!AM34),ISNUMBER('Raw data'!AN34)),IF(SIGN('Raw data'!AM34-'Raw data'!AN34)=SIGN('Real results'!C34-'Real results'!D34),2+IF(AND('Raw data'!AM34='Real results'!C34,'Raw data'!AN34='Real results'!D34),2,0),0),0),0)</f>
        <v>0</v>
      </c>
      <c r="AO35" s="29">
        <f>IFERROR(IF(AND(ISNUMBER('Real results'!C34),ISNUMBER('Real results'!D34),ISNUMBER('Raw data'!AO34),ISNUMBER('Raw data'!AP34)),IF(SIGN('Raw data'!AO34-'Raw data'!AP34)=SIGN('Real results'!C34-'Real results'!D34),2+IF(AND('Raw data'!AO34='Real results'!C34,'Raw data'!AP34='Real results'!D34),2,0),0),0),0)</f>
        <v>0</v>
      </c>
      <c r="AQ35" s="29">
        <f>IFERROR(IF(AND(ISNUMBER('Real results'!C34),ISNUMBER('Real results'!D34),ISNUMBER('Raw data'!AQ34),ISNUMBER('Raw data'!AR34)),IF(SIGN('Raw data'!AQ34-'Raw data'!AR34)=SIGN('Real results'!C34-'Real results'!D34),2+IF(AND('Raw data'!AQ34='Real results'!C34,'Raw data'!AR34='Real results'!D34),2,0),0),0),0)</f>
        <v>0</v>
      </c>
      <c r="AS35" s="29">
        <f>IFERROR(IF(AND(ISNUMBER('Real results'!C34),ISNUMBER('Real results'!D34),ISNUMBER('Raw data'!AS34),ISNUMBER('Raw data'!AT34)),IF(SIGN('Raw data'!AS34-'Raw data'!AT34)=SIGN('Real results'!C34-'Real results'!D34),2+IF(AND('Raw data'!AS34='Real results'!C34,'Raw data'!AT34='Real results'!D34),2,0),0),0),0)</f>
        <v>0</v>
      </c>
      <c r="AU35" s="29">
        <f>IFERROR(IF(AND(ISNUMBER('Real results'!C34),ISNUMBER('Real results'!D34),ISNUMBER('Raw data'!AU34),ISNUMBER('Raw data'!AV34)),IF(SIGN('Raw data'!AU34-'Raw data'!AV34)=SIGN('Real results'!C34-'Real results'!D34),2+IF(AND('Raw data'!AU34='Real results'!C34,'Raw data'!AV34='Real results'!D34),2,0),0),0),0)</f>
        <v>0</v>
      </c>
      <c r="AW35" s="29">
        <f>IFERROR(IF(AND(ISNUMBER('Real results'!C34),ISNUMBER('Real results'!D34),ISNUMBER('Raw data'!AW34),ISNUMBER('Raw data'!AX34)),IF(SIGN('Raw data'!AW34-'Raw data'!AX34)=SIGN('Real results'!C34-'Real results'!D34),2+IF(AND('Raw data'!AW34='Real results'!C34,'Raw data'!AX34='Real results'!D34),2,0),0),0),0)</f>
        <v>0</v>
      </c>
      <c r="AY35" s="29">
        <f>IFERROR(IF(AND(ISNUMBER('Real results'!C34),ISNUMBER('Real results'!D34),ISNUMBER('Raw data'!AY34),ISNUMBER('Raw data'!AZ34)),IF(SIGN('Raw data'!AY34-'Raw data'!AZ34)=SIGN('Real results'!C34-'Real results'!D34),2+IF(AND('Raw data'!AY34='Real results'!C34,'Raw data'!AZ34='Real results'!D34),2,0),0),0),0)</f>
        <v>0</v>
      </c>
      <c r="BA35" s="29">
        <f>IFERROR(IF(AND(ISNUMBER('Real results'!C34),ISNUMBER('Real results'!D34),ISNUMBER('Raw data'!BA34),ISNUMBER('Raw data'!BB34)),IF(SIGN('Raw data'!BA34-'Raw data'!BB34)=SIGN('Real results'!C34-'Real results'!D34),2+IF(AND('Raw data'!BA34='Real results'!C34,'Raw data'!BB34='Real results'!D34),2,0),0),0),0)</f>
        <v>0</v>
      </c>
      <c r="BC35" s="29">
        <f>IFERROR(IF(AND(ISNUMBER('Real results'!C34),ISNUMBER('Real results'!D34),ISNUMBER('Raw data'!BC34),ISNUMBER('Raw data'!BD34)),IF(SIGN('Raw data'!BC34-'Raw data'!BD34)=SIGN('Real results'!C34-'Real results'!D34),2+IF(AND('Raw data'!BC34='Real results'!C34,'Raw data'!BD34='Real results'!D34),2,0),0),0),0)</f>
        <v>0</v>
      </c>
      <c r="BE35" s="29">
        <f>IFERROR(IF(AND(ISNUMBER('Real results'!C34),ISNUMBER('Real results'!D34),ISNUMBER('Raw data'!BE34),ISNUMBER('Raw data'!BF34)),IF(SIGN('Raw data'!BE34-'Raw data'!BF34)=SIGN('Real results'!C34-'Real results'!D34),2+IF(AND('Raw data'!BE34='Real results'!C34,'Raw data'!BF34='Real results'!D34),2,0),0),0),0)</f>
        <v>0</v>
      </c>
      <c r="BG35" s="29">
        <f>IFERROR(IF(AND(ISNUMBER('Real results'!C34),ISNUMBER('Real results'!D34),ISNUMBER('Raw data'!BG34),ISNUMBER('Raw data'!BH34)),IF(SIGN('Raw data'!BG34-'Raw data'!BH34)=SIGN('Real results'!C34-'Real results'!D34),2+IF(AND('Raw data'!BG34='Real results'!C34,'Raw data'!BH34='Real results'!D34),2,0),0),0),0)</f>
        <v>0</v>
      </c>
      <c r="BI35" s="29">
        <f>IFERROR(IF(AND(ISNUMBER('Real results'!C34),ISNUMBER('Real results'!D34),ISNUMBER('Raw data'!BI34),ISNUMBER('Raw data'!BJ34)),IF(SIGN('Raw data'!BI34-'Raw data'!BJ34)=SIGN('Real results'!C34-'Real results'!D34),2+IF(AND('Raw data'!BI34='Real results'!C34,'Raw data'!BJ34='Real results'!D34),2,0),0),0),0)</f>
        <v>0</v>
      </c>
    </row>
    <row r="36" ht="18.0" customHeight="1">
      <c r="A36" s="1"/>
      <c r="B36" s="13" t="s">
        <v>55</v>
      </c>
      <c r="C36" s="29">
        <f>IFERROR(IF(AND(ISNUMBER('Real results'!C35),ISNUMBER('Real results'!D35),ISNUMBER('Raw data'!C35),ISNUMBER('Raw data'!D35)),IF(SIGN('Raw data'!C35-'Raw data'!D35)=SIGN('Real results'!C35-'Real results'!D35),2+IF(AND('Raw data'!C35='Real results'!C35,'Raw data'!D35='Real results'!D35),2,0),0),0),0)</f>
        <v>0</v>
      </c>
      <c r="E36" s="29">
        <f>IFERROR(IF(AND(ISNUMBER('Real results'!C35),ISNUMBER('Real results'!D35),ISNUMBER('Raw data'!E35),ISNUMBER('Raw data'!F35)),IF(SIGN('Raw data'!E35-'Raw data'!F35)=SIGN('Real results'!C35-'Real results'!D35),2+IF(AND('Raw data'!E35='Real results'!C35,'Raw data'!F35='Real results'!D35),2,0),0),0),0)</f>
        <v>0</v>
      </c>
      <c r="G36" s="29">
        <f>IFERROR(IF(AND(ISNUMBER('Real results'!C35),ISNUMBER('Real results'!D35),ISNUMBER('Raw data'!G35),ISNUMBER('Raw data'!H35)),IF(SIGN('Raw data'!G35-'Raw data'!H35)=SIGN('Real results'!C35-'Real results'!D35),2+IF(AND('Raw data'!G35='Real results'!C35,'Raw data'!H35='Real results'!D35),2,0),0),0),0)</f>
        <v>0</v>
      </c>
      <c r="I36" s="29">
        <f>IFERROR(IF(AND(ISNUMBER('Real results'!C35),ISNUMBER('Real results'!D35),ISNUMBER('Raw data'!I35),ISNUMBER('Raw data'!J35)),IF(SIGN('Raw data'!I35-'Raw data'!J35)=SIGN('Real results'!C35-'Real results'!D35),2+IF(AND('Raw data'!I35='Real results'!C35,'Raw data'!J35='Real results'!D35),2,0),0),0),0)</f>
        <v>0</v>
      </c>
      <c r="K36" s="29">
        <f>IFERROR(IF(AND(ISNUMBER('Real results'!C35),ISNUMBER('Real results'!D35),ISNUMBER('Raw data'!K35),ISNUMBER('Raw data'!L35)),IF(SIGN('Raw data'!K35-'Raw data'!L35)=SIGN('Real results'!C35-'Real results'!D35),2+IF(AND('Raw data'!K35='Real results'!C35,'Raw data'!L35='Real results'!D35),2,0),0),0),0)</f>
        <v>0</v>
      </c>
      <c r="M36" s="29">
        <f>IFERROR(IF(AND(ISNUMBER('Real results'!C35),ISNUMBER('Real results'!D35),ISNUMBER('Raw data'!M35),ISNUMBER('Raw data'!N35)),IF(SIGN('Raw data'!M35-'Raw data'!N35)=SIGN('Real results'!C35-'Real results'!D35),2+IF(AND('Raw data'!M35='Real results'!C35,'Raw data'!N35='Real results'!D35),2,0),0),0),0)</f>
        <v>0</v>
      </c>
      <c r="O36" s="29">
        <f>IFERROR(IF(AND(ISNUMBER('Real results'!C35),ISNUMBER('Real results'!D35),ISNUMBER('Raw data'!O35),ISNUMBER('Raw data'!P35)),IF(SIGN('Raw data'!O35-'Raw data'!P35)=SIGN('Real results'!C35-'Real results'!D35),2+IF(AND('Raw data'!O35='Real results'!C35,'Raw data'!P35='Real results'!D35),2,0),0),0),0)</f>
        <v>0</v>
      </c>
      <c r="Q36" s="29">
        <f>IFERROR(IF(AND(ISNUMBER('Real results'!C35),ISNUMBER('Real results'!D35),ISNUMBER('Raw data'!Q35),ISNUMBER('Raw data'!R35)),IF(SIGN('Raw data'!Q35-'Raw data'!R35)=SIGN('Real results'!C35-'Real results'!D35),2+IF(AND('Raw data'!Q35='Real results'!C35,'Raw data'!R35='Real results'!D35),2,0),0),0),0)</f>
        <v>0</v>
      </c>
      <c r="S36" s="29">
        <f>IFERROR(IF(AND(ISNUMBER('Real results'!C35),ISNUMBER('Real results'!D35),ISNUMBER('Raw data'!S35),ISNUMBER('Raw data'!T35)),IF(SIGN('Raw data'!S35-'Raw data'!T35)=SIGN('Real results'!C35-'Real results'!D35),2+IF(AND('Raw data'!S35='Real results'!C35,'Raw data'!T35='Real results'!D35),2,0),0),0),0)</f>
        <v>0</v>
      </c>
      <c r="U36" s="29">
        <f>IFERROR(IF(AND(ISNUMBER('Real results'!C35),ISNUMBER('Real results'!D35),ISNUMBER('Raw data'!U35),ISNUMBER('Raw data'!V35)),IF(SIGN('Raw data'!U35-'Raw data'!V35)=SIGN('Real results'!C35-'Real results'!D35),2+IF(AND('Raw data'!U35='Real results'!C35,'Raw data'!V35='Real results'!D35),2,0),0),0),0)</f>
        <v>0</v>
      </c>
      <c r="W36" s="29">
        <f>IFERROR(IF(AND(ISNUMBER('Real results'!C35),ISNUMBER('Real results'!D35),ISNUMBER('Raw data'!W35),ISNUMBER('Raw data'!X35)),IF(SIGN('Raw data'!W35-'Raw data'!X35)=SIGN('Real results'!C35-'Real results'!D35),2+IF(AND('Raw data'!W35='Real results'!C35,'Raw data'!X35='Real results'!D35),2,0),0),0),0)</f>
        <v>0</v>
      </c>
      <c r="Y36" s="29">
        <f>IFERROR(IF(AND(ISNUMBER('Real results'!C35),ISNUMBER('Real results'!D35),ISNUMBER('Raw data'!Y35),ISNUMBER('Raw data'!Z35)),IF(SIGN('Raw data'!Y35-'Raw data'!Z35)=SIGN('Real results'!C35-'Real results'!D35),2+IF(AND('Raw data'!Y35='Real results'!C35,'Raw data'!Z35='Real results'!D35),2,0),0),0),0)</f>
        <v>0</v>
      </c>
      <c r="AA36" s="29">
        <f>IFERROR(IF(AND(ISNUMBER('Real results'!C35),ISNUMBER('Real results'!D35),ISNUMBER('Raw data'!AA35),ISNUMBER('Raw data'!AB35)),IF(SIGN('Raw data'!AA35-'Raw data'!AB35)=SIGN('Real results'!C35-'Real results'!D35),2+IF(AND('Raw data'!AA35='Real results'!C35,'Raw data'!AB35='Real results'!D35),2,0),0),0),0)</f>
        <v>0</v>
      </c>
      <c r="AC36" s="29">
        <f>IFERROR(IF(AND(ISNUMBER('Real results'!C35),ISNUMBER('Real results'!D35),ISNUMBER('Raw data'!AC35),ISNUMBER('Raw data'!AD35)),IF(SIGN('Raw data'!AC35-'Raw data'!AD35)=SIGN('Real results'!C35-'Real results'!D35),2+IF(AND('Raw data'!AC35='Real results'!C35,'Raw data'!AD35='Real results'!D35),2,0),0),0),0)</f>
        <v>0</v>
      </c>
      <c r="AE36" s="29">
        <f>IFERROR(IF(AND(ISNUMBER('Real results'!C35),ISNUMBER('Real results'!D35),ISNUMBER('Raw data'!AE35),ISNUMBER('Raw data'!AF35)),IF(SIGN('Raw data'!AE35-'Raw data'!AF35)=SIGN('Real results'!C35-'Real results'!D35),2+IF(AND('Raw data'!AE35='Real results'!C35,'Raw data'!AF35='Real results'!D35),2,0),0),0),0)</f>
        <v>0</v>
      </c>
      <c r="AG36" s="29">
        <f>IFERROR(IF(AND(ISNUMBER('Real results'!C35),ISNUMBER('Real results'!D35),ISNUMBER('Raw data'!AG35),ISNUMBER('Raw data'!AH35)),IF(SIGN('Raw data'!AG35-'Raw data'!AH35)=SIGN('Real results'!C35-'Real results'!D35),2+IF(AND('Raw data'!AG35='Real results'!C35,'Raw data'!AH35='Real results'!D35),2,0),0),0),0)</f>
        <v>0</v>
      </c>
      <c r="AI36" s="29">
        <f>IFERROR(IF(AND(ISNUMBER('Real results'!C35),ISNUMBER('Real results'!D35),ISNUMBER('Raw data'!AI35),ISNUMBER('Raw data'!AJ35)),IF(SIGN('Raw data'!AI35-'Raw data'!AJ35)=SIGN('Real results'!C35-'Real results'!D35),2+IF(AND('Raw data'!AI35='Real results'!C35,'Raw data'!AJ35='Real results'!D35),2,0),0),0),0)</f>
        <v>0</v>
      </c>
      <c r="AK36" s="29">
        <f>IFERROR(IF(AND(ISNUMBER('Real results'!C35),ISNUMBER('Real results'!D35),ISNUMBER('Raw data'!AK35),ISNUMBER('Raw data'!AL35)),IF(SIGN('Raw data'!AK35-'Raw data'!AL35)=SIGN('Real results'!C35-'Real results'!D35),2+IF(AND('Raw data'!AK35='Real results'!C35,'Raw data'!AL35='Real results'!D35),2,0),0),0),0)</f>
        <v>0</v>
      </c>
      <c r="AM36" s="29">
        <f>IFERROR(IF(AND(ISNUMBER('Real results'!C35),ISNUMBER('Real results'!D35),ISNUMBER('Raw data'!AM35),ISNUMBER('Raw data'!AN35)),IF(SIGN('Raw data'!AM35-'Raw data'!AN35)=SIGN('Real results'!C35-'Real results'!D35),2+IF(AND('Raw data'!AM35='Real results'!C35,'Raw data'!AN35='Real results'!D35),2,0),0),0),0)</f>
        <v>0</v>
      </c>
      <c r="AO36" s="29">
        <f>IFERROR(IF(AND(ISNUMBER('Real results'!C35),ISNUMBER('Real results'!D35),ISNUMBER('Raw data'!AO35),ISNUMBER('Raw data'!AP35)),IF(SIGN('Raw data'!AO35-'Raw data'!AP35)=SIGN('Real results'!C35-'Real results'!D35),2+IF(AND('Raw data'!AO35='Real results'!C35,'Raw data'!AP35='Real results'!D35),2,0),0),0),0)</f>
        <v>0</v>
      </c>
      <c r="AQ36" s="29">
        <f>IFERROR(IF(AND(ISNUMBER('Real results'!C35),ISNUMBER('Real results'!D35),ISNUMBER('Raw data'!AQ35),ISNUMBER('Raw data'!AR35)),IF(SIGN('Raw data'!AQ35-'Raw data'!AR35)=SIGN('Real results'!C35-'Real results'!D35),2+IF(AND('Raw data'!AQ35='Real results'!C35,'Raw data'!AR35='Real results'!D35),2,0),0),0),0)</f>
        <v>0</v>
      </c>
      <c r="AS36" s="29">
        <f>IFERROR(IF(AND(ISNUMBER('Real results'!C35),ISNUMBER('Real results'!D35),ISNUMBER('Raw data'!AS35),ISNUMBER('Raw data'!AT35)),IF(SIGN('Raw data'!AS35-'Raw data'!AT35)=SIGN('Real results'!C35-'Real results'!D35),2+IF(AND('Raw data'!AS35='Real results'!C35,'Raw data'!AT35='Real results'!D35),2,0),0),0),0)</f>
        <v>0</v>
      </c>
      <c r="AU36" s="29">
        <f>IFERROR(IF(AND(ISNUMBER('Real results'!C35),ISNUMBER('Real results'!D35),ISNUMBER('Raw data'!AU35),ISNUMBER('Raw data'!AV35)),IF(SIGN('Raw data'!AU35-'Raw data'!AV35)=SIGN('Real results'!C35-'Real results'!D35),2+IF(AND('Raw data'!AU35='Real results'!C35,'Raw data'!AV35='Real results'!D35),2,0),0),0),0)</f>
        <v>0</v>
      </c>
      <c r="AW36" s="29">
        <f>IFERROR(IF(AND(ISNUMBER('Real results'!C35),ISNUMBER('Real results'!D35),ISNUMBER('Raw data'!AW35),ISNUMBER('Raw data'!AX35)),IF(SIGN('Raw data'!AW35-'Raw data'!AX35)=SIGN('Real results'!C35-'Real results'!D35),2+IF(AND('Raw data'!AW35='Real results'!C35,'Raw data'!AX35='Real results'!D35),2,0),0),0),0)</f>
        <v>0</v>
      </c>
      <c r="AY36" s="29">
        <f>IFERROR(IF(AND(ISNUMBER('Real results'!C35),ISNUMBER('Real results'!D35),ISNUMBER('Raw data'!AY35),ISNUMBER('Raw data'!AZ35)),IF(SIGN('Raw data'!AY35-'Raw data'!AZ35)=SIGN('Real results'!C35-'Real results'!D35),2+IF(AND('Raw data'!AY35='Real results'!C35,'Raw data'!AZ35='Real results'!D35),2,0),0),0),0)</f>
        <v>0</v>
      </c>
      <c r="BA36" s="29">
        <f>IFERROR(IF(AND(ISNUMBER('Real results'!C35),ISNUMBER('Real results'!D35),ISNUMBER('Raw data'!BA35),ISNUMBER('Raw data'!BB35)),IF(SIGN('Raw data'!BA35-'Raw data'!BB35)=SIGN('Real results'!C35-'Real results'!D35),2+IF(AND('Raw data'!BA35='Real results'!C35,'Raw data'!BB35='Real results'!D35),2,0),0),0),0)</f>
        <v>0</v>
      </c>
      <c r="BC36" s="29">
        <f>IFERROR(IF(AND(ISNUMBER('Real results'!C35),ISNUMBER('Real results'!D35),ISNUMBER('Raw data'!BC35),ISNUMBER('Raw data'!BD35)),IF(SIGN('Raw data'!BC35-'Raw data'!BD35)=SIGN('Real results'!C35-'Real results'!D35),2+IF(AND('Raw data'!BC35='Real results'!C35,'Raw data'!BD35='Real results'!D35),2,0),0),0),0)</f>
        <v>0</v>
      </c>
      <c r="BE36" s="29">
        <f>IFERROR(IF(AND(ISNUMBER('Real results'!C35),ISNUMBER('Real results'!D35),ISNUMBER('Raw data'!BE35),ISNUMBER('Raw data'!BF35)),IF(SIGN('Raw data'!BE35-'Raw data'!BF35)=SIGN('Real results'!C35-'Real results'!D35),2+IF(AND('Raw data'!BE35='Real results'!C35,'Raw data'!BF35='Real results'!D35),2,0),0),0),0)</f>
        <v>0</v>
      </c>
      <c r="BG36" s="29">
        <f>IFERROR(IF(AND(ISNUMBER('Real results'!C35),ISNUMBER('Real results'!D35),ISNUMBER('Raw data'!BG35),ISNUMBER('Raw data'!BH35)),IF(SIGN('Raw data'!BG35-'Raw data'!BH35)=SIGN('Real results'!C35-'Real results'!D35),2+IF(AND('Raw data'!BG35='Real results'!C35,'Raw data'!BH35='Real results'!D35),2,0),0),0),0)</f>
        <v>0</v>
      </c>
      <c r="BI36" s="29">
        <f>IFERROR(IF(AND(ISNUMBER('Real results'!C35),ISNUMBER('Real results'!D35),ISNUMBER('Raw data'!BI35),ISNUMBER('Raw data'!BJ35)),IF(SIGN('Raw data'!BI35-'Raw data'!BJ35)=SIGN('Real results'!C35-'Real results'!D35),2+IF(AND('Raw data'!BI35='Real results'!C35,'Raw data'!BJ35='Real results'!D35),2,0),0),0),0)</f>
        <v>0</v>
      </c>
    </row>
    <row r="37" ht="18.0" customHeight="1">
      <c r="A37" s="1"/>
      <c r="B37" s="13" t="s">
        <v>56</v>
      </c>
      <c r="C37" s="29">
        <f>IFERROR(IF(AND(ISNUMBER('Real results'!C36),ISNUMBER('Real results'!D36),ISNUMBER('Raw data'!C36),ISNUMBER('Raw data'!D36)),IF(SIGN('Raw data'!C36-'Raw data'!D36)=SIGN('Real results'!C36-'Real results'!D36),2+IF(AND('Raw data'!C36='Real results'!C36,'Raw data'!D36='Real results'!D36),2,0),0),0),0)</f>
        <v>0</v>
      </c>
      <c r="E37" s="29">
        <f>IFERROR(IF(AND(ISNUMBER('Real results'!C36),ISNUMBER('Real results'!D36),ISNUMBER('Raw data'!E36),ISNUMBER('Raw data'!F36)),IF(SIGN('Raw data'!E36-'Raw data'!F36)=SIGN('Real results'!C36-'Real results'!D36),2+IF(AND('Raw data'!E36='Real results'!C36,'Raw data'!F36='Real results'!D36),2,0),0),0),0)</f>
        <v>0</v>
      </c>
      <c r="G37" s="29">
        <f>IFERROR(IF(AND(ISNUMBER('Real results'!C36),ISNUMBER('Real results'!D36),ISNUMBER('Raw data'!G36),ISNUMBER('Raw data'!H36)),IF(SIGN('Raw data'!G36-'Raw data'!H36)=SIGN('Real results'!C36-'Real results'!D36),2+IF(AND('Raw data'!G36='Real results'!C36,'Raw data'!H36='Real results'!D36),2,0),0),0),0)</f>
        <v>0</v>
      </c>
      <c r="I37" s="29">
        <f>IFERROR(IF(AND(ISNUMBER('Real results'!C36),ISNUMBER('Real results'!D36),ISNUMBER('Raw data'!I36),ISNUMBER('Raw data'!J36)),IF(SIGN('Raw data'!I36-'Raw data'!J36)=SIGN('Real results'!C36-'Real results'!D36),2+IF(AND('Raw data'!I36='Real results'!C36,'Raw data'!J36='Real results'!D36),2,0),0),0),0)</f>
        <v>0</v>
      </c>
      <c r="K37" s="29">
        <f>IFERROR(IF(AND(ISNUMBER('Real results'!C36),ISNUMBER('Real results'!D36),ISNUMBER('Raw data'!K36),ISNUMBER('Raw data'!L36)),IF(SIGN('Raw data'!K36-'Raw data'!L36)=SIGN('Real results'!C36-'Real results'!D36),2+IF(AND('Raw data'!K36='Real results'!C36,'Raw data'!L36='Real results'!D36),2,0),0),0),0)</f>
        <v>0</v>
      </c>
      <c r="M37" s="29">
        <f>IFERROR(IF(AND(ISNUMBER('Real results'!C36),ISNUMBER('Real results'!D36),ISNUMBER('Raw data'!M36),ISNUMBER('Raw data'!N36)),IF(SIGN('Raw data'!M36-'Raw data'!N36)=SIGN('Real results'!C36-'Real results'!D36),2+IF(AND('Raw data'!M36='Real results'!C36,'Raw data'!N36='Real results'!D36),2,0),0),0),0)</f>
        <v>0</v>
      </c>
      <c r="O37" s="29">
        <f>IFERROR(IF(AND(ISNUMBER('Real results'!C36),ISNUMBER('Real results'!D36),ISNUMBER('Raw data'!O36),ISNUMBER('Raw data'!P36)),IF(SIGN('Raw data'!O36-'Raw data'!P36)=SIGN('Real results'!C36-'Real results'!D36),2+IF(AND('Raw data'!O36='Real results'!C36,'Raw data'!P36='Real results'!D36),2,0),0),0),0)</f>
        <v>0</v>
      </c>
      <c r="Q37" s="29">
        <f>IFERROR(IF(AND(ISNUMBER('Real results'!C36),ISNUMBER('Real results'!D36),ISNUMBER('Raw data'!Q36),ISNUMBER('Raw data'!R36)),IF(SIGN('Raw data'!Q36-'Raw data'!R36)=SIGN('Real results'!C36-'Real results'!D36),2+IF(AND('Raw data'!Q36='Real results'!C36,'Raw data'!R36='Real results'!D36),2,0),0),0),0)</f>
        <v>0</v>
      </c>
      <c r="S37" s="29">
        <f>IFERROR(IF(AND(ISNUMBER('Real results'!C36),ISNUMBER('Real results'!D36),ISNUMBER('Raw data'!S36),ISNUMBER('Raw data'!T36)),IF(SIGN('Raw data'!S36-'Raw data'!T36)=SIGN('Real results'!C36-'Real results'!D36),2+IF(AND('Raw data'!S36='Real results'!C36,'Raw data'!T36='Real results'!D36),2,0),0),0),0)</f>
        <v>0</v>
      </c>
      <c r="U37" s="29">
        <f>IFERROR(IF(AND(ISNUMBER('Real results'!C36),ISNUMBER('Real results'!D36),ISNUMBER('Raw data'!U36),ISNUMBER('Raw data'!V36)),IF(SIGN('Raw data'!U36-'Raw data'!V36)=SIGN('Real results'!C36-'Real results'!D36),2+IF(AND('Raw data'!U36='Real results'!C36,'Raw data'!V36='Real results'!D36),2,0),0),0),0)</f>
        <v>0</v>
      </c>
      <c r="W37" s="29">
        <f>IFERROR(IF(AND(ISNUMBER('Real results'!C36),ISNUMBER('Real results'!D36),ISNUMBER('Raw data'!W36),ISNUMBER('Raw data'!X36)),IF(SIGN('Raw data'!W36-'Raw data'!X36)=SIGN('Real results'!C36-'Real results'!D36),2+IF(AND('Raw data'!W36='Real results'!C36,'Raw data'!X36='Real results'!D36),2,0),0),0),0)</f>
        <v>0</v>
      </c>
      <c r="Y37" s="29">
        <f>IFERROR(IF(AND(ISNUMBER('Real results'!C36),ISNUMBER('Real results'!D36),ISNUMBER('Raw data'!Y36),ISNUMBER('Raw data'!Z36)),IF(SIGN('Raw data'!Y36-'Raw data'!Z36)=SIGN('Real results'!C36-'Real results'!D36),2+IF(AND('Raw data'!Y36='Real results'!C36,'Raw data'!Z36='Real results'!D36),2,0),0),0),0)</f>
        <v>0</v>
      </c>
      <c r="AA37" s="29">
        <f>IFERROR(IF(AND(ISNUMBER('Real results'!C36),ISNUMBER('Real results'!D36),ISNUMBER('Raw data'!AA36),ISNUMBER('Raw data'!AB36)),IF(SIGN('Raw data'!AA36-'Raw data'!AB36)=SIGN('Real results'!C36-'Real results'!D36),2+IF(AND('Raw data'!AA36='Real results'!C36,'Raw data'!AB36='Real results'!D36),2,0),0),0),0)</f>
        <v>0</v>
      </c>
      <c r="AC37" s="29">
        <f>IFERROR(IF(AND(ISNUMBER('Real results'!C36),ISNUMBER('Real results'!D36),ISNUMBER('Raw data'!AC36),ISNUMBER('Raw data'!AD36)),IF(SIGN('Raw data'!AC36-'Raw data'!AD36)=SIGN('Real results'!C36-'Real results'!D36),2+IF(AND('Raw data'!AC36='Real results'!C36,'Raw data'!AD36='Real results'!D36),2,0),0),0),0)</f>
        <v>0</v>
      </c>
      <c r="AE37" s="29">
        <f>IFERROR(IF(AND(ISNUMBER('Real results'!C36),ISNUMBER('Real results'!D36),ISNUMBER('Raw data'!AE36),ISNUMBER('Raw data'!AF36)),IF(SIGN('Raw data'!AE36-'Raw data'!AF36)=SIGN('Real results'!C36-'Real results'!D36),2+IF(AND('Raw data'!AE36='Real results'!C36,'Raw data'!AF36='Real results'!D36),2,0),0),0),0)</f>
        <v>0</v>
      </c>
      <c r="AG37" s="29">
        <f>IFERROR(IF(AND(ISNUMBER('Real results'!C36),ISNUMBER('Real results'!D36),ISNUMBER('Raw data'!AG36),ISNUMBER('Raw data'!AH36)),IF(SIGN('Raw data'!AG36-'Raw data'!AH36)=SIGN('Real results'!C36-'Real results'!D36),2+IF(AND('Raw data'!AG36='Real results'!C36,'Raw data'!AH36='Real results'!D36),2,0),0),0),0)</f>
        <v>0</v>
      </c>
      <c r="AI37" s="29">
        <f>IFERROR(IF(AND(ISNUMBER('Real results'!C36),ISNUMBER('Real results'!D36),ISNUMBER('Raw data'!AI36),ISNUMBER('Raw data'!AJ36)),IF(SIGN('Raw data'!AI36-'Raw data'!AJ36)=SIGN('Real results'!C36-'Real results'!D36),2+IF(AND('Raw data'!AI36='Real results'!C36,'Raw data'!AJ36='Real results'!D36),2,0),0),0),0)</f>
        <v>0</v>
      </c>
      <c r="AK37" s="29">
        <f>IFERROR(IF(AND(ISNUMBER('Real results'!C36),ISNUMBER('Real results'!D36),ISNUMBER('Raw data'!AK36),ISNUMBER('Raw data'!AL36)),IF(SIGN('Raw data'!AK36-'Raw data'!AL36)=SIGN('Real results'!C36-'Real results'!D36),2+IF(AND('Raw data'!AK36='Real results'!C36,'Raw data'!AL36='Real results'!D36),2,0),0),0),0)</f>
        <v>0</v>
      </c>
      <c r="AM37" s="29">
        <f>IFERROR(IF(AND(ISNUMBER('Real results'!C36),ISNUMBER('Real results'!D36),ISNUMBER('Raw data'!AM36),ISNUMBER('Raw data'!AN36)),IF(SIGN('Raw data'!AM36-'Raw data'!AN36)=SIGN('Real results'!C36-'Real results'!D36),2+IF(AND('Raw data'!AM36='Real results'!C36,'Raw data'!AN36='Real results'!D36),2,0),0),0),0)</f>
        <v>0</v>
      </c>
      <c r="AO37" s="29">
        <f>IFERROR(IF(AND(ISNUMBER('Real results'!C36),ISNUMBER('Real results'!D36),ISNUMBER('Raw data'!AO36),ISNUMBER('Raw data'!AP36)),IF(SIGN('Raw data'!AO36-'Raw data'!AP36)=SIGN('Real results'!C36-'Real results'!D36),2+IF(AND('Raw data'!AO36='Real results'!C36,'Raw data'!AP36='Real results'!D36),2,0),0),0),0)</f>
        <v>0</v>
      </c>
      <c r="AQ37" s="29">
        <f>IFERROR(IF(AND(ISNUMBER('Real results'!C36),ISNUMBER('Real results'!D36),ISNUMBER('Raw data'!AQ36),ISNUMBER('Raw data'!AR36)),IF(SIGN('Raw data'!AQ36-'Raw data'!AR36)=SIGN('Real results'!C36-'Real results'!D36),2+IF(AND('Raw data'!AQ36='Real results'!C36,'Raw data'!AR36='Real results'!D36),2,0),0),0),0)</f>
        <v>0</v>
      </c>
      <c r="AS37" s="29">
        <f>IFERROR(IF(AND(ISNUMBER('Real results'!C36),ISNUMBER('Real results'!D36),ISNUMBER('Raw data'!AS36),ISNUMBER('Raw data'!AT36)),IF(SIGN('Raw data'!AS36-'Raw data'!AT36)=SIGN('Real results'!C36-'Real results'!D36),2+IF(AND('Raw data'!AS36='Real results'!C36,'Raw data'!AT36='Real results'!D36),2,0),0),0),0)</f>
        <v>0</v>
      </c>
      <c r="AU37" s="29">
        <f>IFERROR(IF(AND(ISNUMBER('Real results'!C36),ISNUMBER('Real results'!D36),ISNUMBER('Raw data'!AU36),ISNUMBER('Raw data'!AV36)),IF(SIGN('Raw data'!AU36-'Raw data'!AV36)=SIGN('Real results'!C36-'Real results'!D36),2+IF(AND('Raw data'!AU36='Real results'!C36,'Raw data'!AV36='Real results'!D36),2,0),0),0),0)</f>
        <v>0</v>
      </c>
      <c r="AW37" s="29">
        <f>IFERROR(IF(AND(ISNUMBER('Real results'!C36),ISNUMBER('Real results'!D36),ISNUMBER('Raw data'!AW36),ISNUMBER('Raw data'!AX36)),IF(SIGN('Raw data'!AW36-'Raw data'!AX36)=SIGN('Real results'!C36-'Real results'!D36),2+IF(AND('Raw data'!AW36='Real results'!C36,'Raw data'!AX36='Real results'!D36),2,0),0),0),0)</f>
        <v>0</v>
      </c>
      <c r="AY37" s="29">
        <f>IFERROR(IF(AND(ISNUMBER('Real results'!C36),ISNUMBER('Real results'!D36),ISNUMBER('Raw data'!AY36),ISNUMBER('Raw data'!AZ36)),IF(SIGN('Raw data'!AY36-'Raw data'!AZ36)=SIGN('Real results'!C36-'Real results'!D36),2+IF(AND('Raw data'!AY36='Real results'!C36,'Raw data'!AZ36='Real results'!D36),2,0),0),0),0)</f>
        <v>0</v>
      </c>
      <c r="BA37" s="29">
        <f>IFERROR(IF(AND(ISNUMBER('Real results'!C36),ISNUMBER('Real results'!D36),ISNUMBER('Raw data'!BA36),ISNUMBER('Raw data'!BB36)),IF(SIGN('Raw data'!BA36-'Raw data'!BB36)=SIGN('Real results'!C36-'Real results'!D36),2+IF(AND('Raw data'!BA36='Real results'!C36,'Raw data'!BB36='Real results'!D36),2,0),0),0),0)</f>
        <v>0</v>
      </c>
      <c r="BC37" s="29">
        <f>IFERROR(IF(AND(ISNUMBER('Real results'!C36),ISNUMBER('Real results'!D36),ISNUMBER('Raw data'!BC36),ISNUMBER('Raw data'!BD36)),IF(SIGN('Raw data'!BC36-'Raw data'!BD36)=SIGN('Real results'!C36-'Real results'!D36),2+IF(AND('Raw data'!BC36='Real results'!C36,'Raw data'!BD36='Real results'!D36),2,0),0),0),0)</f>
        <v>0</v>
      </c>
      <c r="BE37" s="29">
        <f>IFERROR(IF(AND(ISNUMBER('Real results'!C36),ISNUMBER('Real results'!D36),ISNUMBER('Raw data'!BE36),ISNUMBER('Raw data'!BF36)),IF(SIGN('Raw data'!BE36-'Raw data'!BF36)=SIGN('Real results'!C36-'Real results'!D36),2+IF(AND('Raw data'!BE36='Real results'!C36,'Raw data'!BF36='Real results'!D36),2,0),0),0),0)</f>
        <v>0</v>
      </c>
      <c r="BG37" s="29">
        <f>IFERROR(IF(AND(ISNUMBER('Real results'!C36),ISNUMBER('Real results'!D36),ISNUMBER('Raw data'!BG36),ISNUMBER('Raw data'!BH36)),IF(SIGN('Raw data'!BG36-'Raw data'!BH36)=SIGN('Real results'!C36-'Real results'!D36),2+IF(AND('Raw data'!BG36='Real results'!C36,'Raw data'!BH36='Real results'!D36),2,0),0),0),0)</f>
        <v>0</v>
      </c>
      <c r="BI37" s="29">
        <f>IFERROR(IF(AND(ISNUMBER('Real results'!C36),ISNUMBER('Real results'!D36),ISNUMBER('Raw data'!BI36),ISNUMBER('Raw data'!BJ36)),IF(SIGN('Raw data'!BI36-'Raw data'!BJ36)=SIGN('Real results'!C36-'Real results'!D36),2+IF(AND('Raw data'!BI36='Real results'!C36,'Raw data'!BJ36='Real results'!D36),2,0),0),0),0)</f>
        <v>0</v>
      </c>
    </row>
    <row r="38" ht="18.0" customHeight="1">
      <c r="A38" s="1"/>
      <c r="B38" s="13" t="s">
        <v>57</v>
      </c>
      <c r="C38" s="29">
        <f>IFERROR(IF(AND(ISNUMBER('Real results'!C37),ISNUMBER('Real results'!D37),ISNUMBER('Raw data'!C37),ISNUMBER('Raw data'!D37)),IF(SIGN('Raw data'!C37-'Raw data'!D37)=SIGN('Real results'!C37-'Real results'!D37),2+IF(AND('Raw data'!C37='Real results'!C37,'Raw data'!D37='Real results'!D37),2,0),0),0),0)</f>
        <v>0</v>
      </c>
      <c r="E38" s="29">
        <f>IFERROR(IF(AND(ISNUMBER('Real results'!C37),ISNUMBER('Real results'!D37),ISNUMBER('Raw data'!E37),ISNUMBER('Raw data'!F37)),IF(SIGN('Raw data'!E37-'Raw data'!F37)=SIGN('Real results'!C37-'Real results'!D37),2+IF(AND('Raw data'!E37='Real results'!C37,'Raw data'!F37='Real results'!D37),2,0),0),0),0)</f>
        <v>0</v>
      </c>
      <c r="G38" s="29">
        <f>IFERROR(IF(AND(ISNUMBER('Real results'!C37),ISNUMBER('Real results'!D37),ISNUMBER('Raw data'!G37),ISNUMBER('Raw data'!H37)),IF(SIGN('Raw data'!G37-'Raw data'!H37)=SIGN('Real results'!C37-'Real results'!D37),2+IF(AND('Raw data'!G37='Real results'!C37,'Raw data'!H37='Real results'!D37),2,0),0),0),0)</f>
        <v>0</v>
      </c>
      <c r="I38" s="29">
        <f>IFERROR(IF(AND(ISNUMBER('Real results'!C37),ISNUMBER('Real results'!D37),ISNUMBER('Raw data'!I37),ISNUMBER('Raw data'!J37)),IF(SIGN('Raw data'!I37-'Raw data'!J37)=SIGN('Real results'!C37-'Real results'!D37),2+IF(AND('Raw data'!I37='Real results'!C37,'Raw data'!J37='Real results'!D37),2,0),0),0),0)</f>
        <v>0</v>
      </c>
      <c r="K38" s="29">
        <f>IFERROR(IF(AND(ISNUMBER('Real results'!C37),ISNUMBER('Real results'!D37),ISNUMBER('Raw data'!K37),ISNUMBER('Raw data'!L37)),IF(SIGN('Raw data'!K37-'Raw data'!L37)=SIGN('Real results'!C37-'Real results'!D37),2+IF(AND('Raw data'!K37='Real results'!C37,'Raw data'!L37='Real results'!D37),2,0),0),0),0)</f>
        <v>0</v>
      </c>
      <c r="M38" s="29">
        <f>IFERROR(IF(AND(ISNUMBER('Real results'!C37),ISNUMBER('Real results'!D37),ISNUMBER('Raw data'!M37),ISNUMBER('Raw data'!N37)),IF(SIGN('Raw data'!M37-'Raw data'!N37)=SIGN('Real results'!C37-'Real results'!D37),2+IF(AND('Raw data'!M37='Real results'!C37,'Raw data'!N37='Real results'!D37),2,0),0),0),0)</f>
        <v>0</v>
      </c>
      <c r="O38" s="29">
        <f>IFERROR(IF(AND(ISNUMBER('Real results'!C37),ISNUMBER('Real results'!D37),ISNUMBER('Raw data'!O37),ISNUMBER('Raw data'!P37)),IF(SIGN('Raw data'!O37-'Raw data'!P37)=SIGN('Real results'!C37-'Real results'!D37),2+IF(AND('Raw data'!O37='Real results'!C37,'Raw data'!P37='Real results'!D37),2,0),0),0),0)</f>
        <v>0</v>
      </c>
      <c r="Q38" s="29">
        <f>IFERROR(IF(AND(ISNUMBER('Real results'!C37),ISNUMBER('Real results'!D37),ISNUMBER('Raw data'!Q37),ISNUMBER('Raw data'!R37)),IF(SIGN('Raw data'!Q37-'Raw data'!R37)=SIGN('Real results'!C37-'Real results'!D37),2+IF(AND('Raw data'!Q37='Real results'!C37,'Raw data'!R37='Real results'!D37),2,0),0),0),0)</f>
        <v>0</v>
      </c>
      <c r="S38" s="29">
        <f>IFERROR(IF(AND(ISNUMBER('Real results'!C37),ISNUMBER('Real results'!D37),ISNUMBER('Raw data'!S37),ISNUMBER('Raw data'!T37)),IF(SIGN('Raw data'!S37-'Raw data'!T37)=SIGN('Real results'!C37-'Real results'!D37),2+IF(AND('Raw data'!S37='Real results'!C37,'Raw data'!T37='Real results'!D37),2,0),0),0),0)</f>
        <v>0</v>
      </c>
      <c r="U38" s="29">
        <f>IFERROR(IF(AND(ISNUMBER('Real results'!C37),ISNUMBER('Real results'!D37),ISNUMBER('Raw data'!U37),ISNUMBER('Raw data'!V37)),IF(SIGN('Raw data'!U37-'Raw data'!V37)=SIGN('Real results'!C37-'Real results'!D37),2+IF(AND('Raw data'!U37='Real results'!C37,'Raw data'!V37='Real results'!D37),2,0),0),0),0)</f>
        <v>0</v>
      </c>
      <c r="W38" s="29">
        <f>IFERROR(IF(AND(ISNUMBER('Real results'!C37),ISNUMBER('Real results'!D37),ISNUMBER('Raw data'!W37),ISNUMBER('Raw data'!X37)),IF(SIGN('Raw data'!W37-'Raw data'!X37)=SIGN('Real results'!C37-'Real results'!D37),2+IF(AND('Raw data'!W37='Real results'!C37,'Raw data'!X37='Real results'!D37),2,0),0),0),0)</f>
        <v>0</v>
      </c>
      <c r="Y38" s="29">
        <f>IFERROR(IF(AND(ISNUMBER('Real results'!C37),ISNUMBER('Real results'!D37),ISNUMBER('Raw data'!Y37),ISNUMBER('Raw data'!Z37)),IF(SIGN('Raw data'!Y37-'Raw data'!Z37)=SIGN('Real results'!C37-'Real results'!D37),2+IF(AND('Raw data'!Y37='Real results'!C37,'Raw data'!Z37='Real results'!D37),2,0),0),0),0)</f>
        <v>0</v>
      </c>
      <c r="AA38" s="29">
        <f>IFERROR(IF(AND(ISNUMBER('Real results'!C37),ISNUMBER('Real results'!D37),ISNUMBER('Raw data'!AA37),ISNUMBER('Raw data'!AB37)),IF(SIGN('Raw data'!AA37-'Raw data'!AB37)=SIGN('Real results'!C37-'Real results'!D37),2+IF(AND('Raw data'!AA37='Real results'!C37,'Raw data'!AB37='Real results'!D37),2,0),0),0),0)</f>
        <v>0</v>
      </c>
      <c r="AC38" s="29">
        <f>IFERROR(IF(AND(ISNUMBER('Real results'!C37),ISNUMBER('Real results'!D37),ISNUMBER('Raw data'!AC37),ISNUMBER('Raw data'!AD37)),IF(SIGN('Raw data'!AC37-'Raw data'!AD37)=SIGN('Real results'!C37-'Real results'!D37),2+IF(AND('Raw data'!AC37='Real results'!C37,'Raw data'!AD37='Real results'!D37),2,0),0),0),0)</f>
        <v>0</v>
      </c>
      <c r="AE38" s="29">
        <f>IFERROR(IF(AND(ISNUMBER('Real results'!C37),ISNUMBER('Real results'!D37),ISNUMBER('Raw data'!AE37),ISNUMBER('Raw data'!AF37)),IF(SIGN('Raw data'!AE37-'Raw data'!AF37)=SIGN('Real results'!C37-'Real results'!D37),2+IF(AND('Raw data'!AE37='Real results'!C37,'Raw data'!AF37='Real results'!D37),2,0),0),0),0)</f>
        <v>0</v>
      </c>
      <c r="AG38" s="29">
        <f>IFERROR(IF(AND(ISNUMBER('Real results'!C37),ISNUMBER('Real results'!D37),ISNUMBER('Raw data'!AG37),ISNUMBER('Raw data'!AH37)),IF(SIGN('Raw data'!AG37-'Raw data'!AH37)=SIGN('Real results'!C37-'Real results'!D37),2+IF(AND('Raw data'!AG37='Real results'!C37,'Raw data'!AH37='Real results'!D37),2,0),0),0),0)</f>
        <v>0</v>
      </c>
      <c r="AI38" s="29">
        <f>IFERROR(IF(AND(ISNUMBER('Real results'!C37),ISNUMBER('Real results'!D37),ISNUMBER('Raw data'!AI37),ISNUMBER('Raw data'!AJ37)),IF(SIGN('Raw data'!AI37-'Raw data'!AJ37)=SIGN('Real results'!C37-'Real results'!D37),2+IF(AND('Raw data'!AI37='Real results'!C37,'Raw data'!AJ37='Real results'!D37),2,0),0),0),0)</f>
        <v>0</v>
      </c>
      <c r="AK38" s="29">
        <f>IFERROR(IF(AND(ISNUMBER('Real results'!C37),ISNUMBER('Real results'!D37),ISNUMBER('Raw data'!AK37),ISNUMBER('Raw data'!AL37)),IF(SIGN('Raw data'!AK37-'Raw data'!AL37)=SIGN('Real results'!C37-'Real results'!D37),2+IF(AND('Raw data'!AK37='Real results'!C37,'Raw data'!AL37='Real results'!D37),2,0),0),0),0)</f>
        <v>0</v>
      </c>
      <c r="AM38" s="29">
        <f>IFERROR(IF(AND(ISNUMBER('Real results'!C37),ISNUMBER('Real results'!D37),ISNUMBER('Raw data'!AM37),ISNUMBER('Raw data'!AN37)),IF(SIGN('Raw data'!AM37-'Raw data'!AN37)=SIGN('Real results'!C37-'Real results'!D37),2+IF(AND('Raw data'!AM37='Real results'!C37,'Raw data'!AN37='Real results'!D37),2,0),0),0),0)</f>
        <v>0</v>
      </c>
      <c r="AO38" s="29">
        <f>IFERROR(IF(AND(ISNUMBER('Real results'!C37),ISNUMBER('Real results'!D37),ISNUMBER('Raw data'!AO37),ISNUMBER('Raw data'!AP37)),IF(SIGN('Raw data'!AO37-'Raw data'!AP37)=SIGN('Real results'!C37-'Real results'!D37),2+IF(AND('Raw data'!AO37='Real results'!C37,'Raw data'!AP37='Real results'!D37),2,0),0),0),0)</f>
        <v>0</v>
      </c>
      <c r="AQ38" s="29">
        <f>IFERROR(IF(AND(ISNUMBER('Real results'!C37),ISNUMBER('Real results'!D37),ISNUMBER('Raw data'!AQ37),ISNUMBER('Raw data'!AR37)),IF(SIGN('Raw data'!AQ37-'Raw data'!AR37)=SIGN('Real results'!C37-'Real results'!D37),2+IF(AND('Raw data'!AQ37='Real results'!C37,'Raw data'!AR37='Real results'!D37),2,0),0),0),0)</f>
        <v>0</v>
      </c>
      <c r="AS38" s="29">
        <f>IFERROR(IF(AND(ISNUMBER('Real results'!C37),ISNUMBER('Real results'!D37),ISNUMBER('Raw data'!AS37),ISNUMBER('Raw data'!AT37)),IF(SIGN('Raw data'!AS37-'Raw data'!AT37)=SIGN('Real results'!C37-'Real results'!D37),2+IF(AND('Raw data'!AS37='Real results'!C37,'Raw data'!AT37='Real results'!D37),2,0),0),0),0)</f>
        <v>0</v>
      </c>
      <c r="AU38" s="29">
        <f>IFERROR(IF(AND(ISNUMBER('Real results'!C37),ISNUMBER('Real results'!D37),ISNUMBER('Raw data'!AU37),ISNUMBER('Raw data'!AV37)),IF(SIGN('Raw data'!AU37-'Raw data'!AV37)=SIGN('Real results'!C37-'Real results'!D37),2+IF(AND('Raw data'!AU37='Real results'!C37,'Raw data'!AV37='Real results'!D37),2,0),0),0),0)</f>
        <v>0</v>
      </c>
      <c r="AW38" s="29">
        <f>IFERROR(IF(AND(ISNUMBER('Real results'!C37),ISNUMBER('Real results'!D37),ISNUMBER('Raw data'!AW37),ISNUMBER('Raw data'!AX37)),IF(SIGN('Raw data'!AW37-'Raw data'!AX37)=SIGN('Real results'!C37-'Real results'!D37),2+IF(AND('Raw data'!AW37='Real results'!C37,'Raw data'!AX37='Real results'!D37),2,0),0),0),0)</f>
        <v>0</v>
      </c>
      <c r="AY38" s="29">
        <f>IFERROR(IF(AND(ISNUMBER('Real results'!C37),ISNUMBER('Real results'!D37),ISNUMBER('Raw data'!AY37),ISNUMBER('Raw data'!AZ37)),IF(SIGN('Raw data'!AY37-'Raw data'!AZ37)=SIGN('Real results'!C37-'Real results'!D37),2+IF(AND('Raw data'!AY37='Real results'!C37,'Raw data'!AZ37='Real results'!D37),2,0),0),0),0)</f>
        <v>0</v>
      </c>
      <c r="BA38" s="29">
        <f>IFERROR(IF(AND(ISNUMBER('Real results'!C37),ISNUMBER('Real results'!D37),ISNUMBER('Raw data'!BA37),ISNUMBER('Raw data'!BB37)),IF(SIGN('Raw data'!BA37-'Raw data'!BB37)=SIGN('Real results'!C37-'Real results'!D37),2+IF(AND('Raw data'!BA37='Real results'!C37,'Raw data'!BB37='Real results'!D37),2,0),0),0),0)</f>
        <v>0</v>
      </c>
      <c r="BC38" s="29">
        <f>IFERROR(IF(AND(ISNUMBER('Real results'!C37),ISNUMBER('Real results'!D37),ISNUMBER('Raw data'!BC37),ISNUMBER('Raw data'!BD37)),IF(SIGN('Raw data'!BC37-'Raw data'!BD37)=SIGN('Real results'!C37-'Real results'!D37),2+IF(AND('Raw data'!BC37='Real results'!C37,'Raw data'!BD37='Real results'!D37),2,0),0),0),0)</f>
        <v>0</v>
      </c>
      <c r="BE38" s="29">
        <f>IFERROR(IF(AND(ISNUMBER('Real results'!C37),ISNUMBER('Real results'!D37),ISNUMBER('Raw data'!BE37),ISNUMBER('Raw data'!BF37)),IF(SIGN('Raw data'!BE37-'Raw data'!BF37)=SIGN('Real results'!C37-'Real results'!D37),2+IF(AND('Raw data'!BE37='Real results'!C37,'Raw data'!BF37='Real results'!D37),2,0),0),0),0)</f>
        <v>0</v>
      </c>
      <c r="BG38" s="29">
        <f>IFERROR(IF(AND(ISNUMBER('Real results'!C37),ISNUMBER('Real results'!D37),ISNUMBER('Raw data'!BG37),ISNUMBER('Raw data'!BH37)),IF(SIGN('Raw data'!BG37-'Raw data'!BH37)=SIGN('Real results'!C37-'Real results'!D37),2+IF(AND('Raw data'!BG37='Real results'!C37,'Raw data'!BH37='Real results'!D37),2,0),0),0),0)</f>
        <v>0</v>
      </c>
      <c r="BI38" s="29">
        <f>IFERROR(IF(AND(ISNUMBER('Real results'!C37),ISNUMBER('Real results'!D37),ISNUMBER('Raw data'!BI37),ISNUMBER('Raw data'!BJ37)),IF(SIGN('Raw data'!BI37-'Raw data'!BJ37)=SIGN('Real results'!C37-'Real results'!D37),2+IF(AND('Raw data'!BI37='Real results'!C37,'Raw data'!BJ37='Real results'!D37),2,0),0),0),0)</f>
        <v>0</v>
      </c>
    </row>
    <row r="39" ht="18.0" customHeight="1">
      <c r="A39" s="1"/>
      <c r="B39" s="13" t="s">
        <v>58</v>
      </c>
      <c r="C39" s="29">
        <f>IFERROR(IF(AND(ISNUMBER('Real results'!C38),ISNUMBER('Real results'!D38),ISNUMBER('Raw data'!C38),ISNUMBER('Raw data'!D38)),IF(SIGN('Raw data'!C38-'Raw data'!D38)=SIGN('Real results'!C38-'Real results'!D38),2+IF(AND('Raw data'!C38='Real results'!C38,'Raw data'!D38='Real results'!D38),2,0),0),0),0)</f>
        <v>0</v>
      </c>
      <c r="E39" s="29">
        <f>IFERROR(IF(AND(ISNUMBER('Real results'!C38),ISNUMBER('Real results'!D38),ISNUMBER('Raw data'!E38),ISNUMBER('Raw data'!F38)),IF(SIGN('Raw data'!E38-'Raw data'!F38)=SIGN('Real results'!C38-'Real results'!D38),2+IF(AND('Raw data'!E38='Real results'!C38,'Raw data'!F38='Real results'!D38),2,0),0),0),0)</f>
        <v>0</v>
      </c>
      <c r="G39" s="29">
        <f>IFERROR(IF(AND(ISNUMBER('Real results'!C38),ISNUMBER('Real results'!D38),ISNUMBER('Raw data'!G38),ISNUMBER('Raw data'!H38)),IF(SIGN('Raw data'!G38-'Raw data'!H38)=SIGN('Real results'!C38-'Real results'!D38),2+IF(AND('Raw data'!G38='Real results'!C38,'Raw data'!H38='Real results'!D38),2,0),0),0),0)</f>
        <v>0</v>
      </c>
      <c r="I39" s="29">
        <f>IFERROR(IF(AND(ISNUMBER('Real results'!C38),ISNUMBER('Real results'!D38),ISNUMBER('Raw data'!I38),ISNUMBER('Raw data'!J38)),IF(SIGN('Raw data'!I38-'Raw data'!J38)=SIGN('Real results'!C38-'Real results'!D38),2+IF(AND('Raw data'!I38='Real results'!C38,'Raw data'!J38='Real results'!D38),2,0),0),0),0)</f>
        <v>0</v>
      </c>
      <c r="K39" s="29">
        <f>IFERROR(IF(AND(ISNUMBER('Real results'!C38),ISNUMBER('Real results'!D38),ISNUMBER('Raw data'!K38),ISNUMBER('Raw data'!L38)),IF(SIGN('Raw data'!K38-'Raw data'!L38)=SIGN('Real results'!C38-'Real results'!D38),2+IF(AND('Raw data'!K38='Real results'!C38,'Raw data'!L38='Real results'!D38),2,0),0),0),0)</f>
        <v>0</v>
      </c>
      <c r="M39" s="29">
        <f>IFERROR(IF(AND(ISNUMBER('Real results'!C38),ISNUMBER('Real results'!D38),ISNUMBER('Raw data'!M38),ISNUMBER('Raw data'!N38)),IF(SIGN('Raw data'!M38-'Raw data'!N38)=SIGN('Real results'!C38-'Real results'!D38),2+IF(AND('Raw data'!M38='Real results'!C38,'Raw data'!N38='Real results'!D38),2,0),0),0),0)</f>
        <v>0</v>
      </c>
      <c r="O39" s="29">
        <f>IFERROR(IF(AND(ISNUMBER('Real results'!C38),ISNUMBER('Real results'!D38),ISNUMBER('Raw data'!O38),ISNUMBER('Raw data'!P38)),IF(SIGN('Raw data'!O38-'Raw data'!P38)=SIGN('Real results'!C38-'Real results'!D38),2+IF(AND('Raw data'!O38='Real results'!C38,'Raw data'!P38='Real results'!D38),2,0),0),0),0)</f>
        <v>0</v>
      </c>
      <c r="Q39" s="29">
        <f>IFERROR(IF(AND(ISNUMBER('Real results'!C38),ISNUMBER('Real results'!D38),ISNUMBER('Raw data'!Q38),ISNUMBER('Raw data'!R38)),IF(SIGN('Raw data'!Q38-'Raw data'!R38)=SIGN('Real results'!C38-'Real results'!D38),2+IF(AND('Raw data'!Q38='Real results'!C38,'Raw data'!R38='Real results'!D38),2,0),0),0),0)</f>
        <v>0</v>
      </c>
      <c r="S39" s="29">
        <f>IFERROR(IF(AND(ISNUMBER('Real results'!C38),ISNUMBER('Real results'!D38),ISNUMBER('Raw data'!S38),ISNUMBER('Raw data'!T38)),IF(SIGN('Raw data'!S38-'Raw data'!T38)=SIGN('Real results'!C38-'Real results'!D38),2+IF(AND('Raw data'!S38='Real results'!C38,'Raw data'!T38='Real results'!D38),2,0),0),0),0)</f>
        <v>0</v>
      </c>
      <c r="U39" s="29">
        <f>IFERROR(IF(AND(ISNUMBER('Real results'!C38),ISNUMBER('Real results'!D38),ISNUMBER('Raw data'!U38),ISNUMBER('Raw data'!V38)),IF(SIGN('Raw data'!U38-'Raw data'!V38)=SIGN('Real results'!C38-'Real results'!D38),2+IF(AND('Raw data'!U38='Real results'!C38,'Raw data'!V38='Real results'!D38),2,0),0),0),0)</f>
        <v>0</v>
      </c>
      <c r="W39" s="29">
        <f>IFERROR(IF(AND(ISNUMBER('Real results'!C38),ISNUMBER('Real results'!D38),ISNUMBER('Raw data'!W38),ISNUMBER('Raw data'!X38)),IF(SIGN('Raw data'!W38-'Raw data'!X38)=SIGN('Real results'!C38-'Real results'!D38),2+IF(AND('Raw data'!W38='Real results'!C38,'Raw data'!X38='Real results'!D38),2,0),0),0),0)</f>
        <v>0</v>
      </c>
      <c r="Y39" s="29">
        <f>IFERROR(IF(AND(ISNUMBER('Real results'!C38),ISNUMBER('Real results'!D38),ISNUMBER('Raw data'!Y38),ISNUMBER('Raw data'!Z38)),IF(SIGN('Raw data'!Y38-'Raw data'!Z38)=SIGN('Real results'!C38-'Real results'!D38),2+IF(AND('Raw data'!Y38='Real results'!C38,'Raw data'!Z38='Real results'!D38),2,0),0),0),0)</f>
        <v>0</v>
      </c>
      <c r="AA39" s="29">
        <f>IFERROR(IF(AND(ISNUMBER('Real results'!C38),ISNUMBER('Real results'!D38),ISNUMBER('Raw data'!AA38),ISNUMBER('Raw data'!AB38)),IF(SIGN('Raw data'!AA38-'Raw data'!AB38)=SIGN('Real results'!C38-'Real results'!D38),2+IF(AND('Raw data'!AA38='Real results'!C38,'Raw data'!AB38='Real results'!D38),2,0),0),0),0)</f>
        <v>0</v>
      </c>
      <c r="AC39" s="29">
        <f>IFERROR(IF(AND(ISNUMBER('Real results'!C38),ISNUMBER('Real results'!D38),ISNUMBER('Raw data'!AC38),ISNUMBER('Raw data'!AD38)),IF(SIGN('Raw data'!AC38-'Raw data'!AD38)=SIGN('Real results'!C38-'Real results'!D38),2+IF(AND('Raw data'!AC38='Real results'!C38,'Raw data'!AD38='Real results'!D38),2,0),0),0),0)</f>
        <v>0</v>
      </c>
      <c r="AE39" s="29">
        <f>IFERROR(IF(AND(ISNUMBER('Real results'!C38),ISNUMBER('Real results'!D38),ISNUMBER('Raw data'!AE38),ISNUMBER('Raw data'!AF38)),IF(SIGN('Raw data'!AE38-'Raw data'!AF38)=SIGN('Real results'!C38-'Real results'!D38),2+IF(AND('Raw data'!AE38='Real results'!C38,'Raw data'!AF38='Real results'!D38),2,0),0),0),0)</f>
        <v>0</v>
      </c>
      <c r="AG39" s="29">
        <f>IFERROR(IF(AND(ISNUMBER('Real results'!C38),ISNUMBER('Real results'!D38),ISNUMBER('Raw data'!AG38),ISNUMBER('Raw data'!AH38)),IF(SIGN('Raw data'!AG38-'Raw data'!AH38)=SIGN('Real results'!C38-'Real results'!D38),2+IF(AND('Raw data'!AG38='Real results'!C38,'Raw data'!AH38='Real results'!D38),2,0),0),0),0)</f>
        <v>0</v>
      </c>
      <c r="AI39" s="29">
        <f>IFERROR(IF(AND(ISNUMBER('Real results'!C38),ISNUMBER('Real results'!D38),ISNUMBER('Raw data'!AI38),ISNUMBER('Raw data'!AJ38)),IF(SIGN('Raw data'!AI38-'Raw data'!AJ38)=SIGN('Real results'!C38-'Real results'!D38),2+IF(AND('Raw data'!AI38='Real results'!C38,'Raw data'!AJ38='Real results'!D38),2,0),0),0),0)</f>
        <v>0</v>
      </c>
      <c r="AK39" s="29">
        <f>IFERROR(IF(AND(ISNUMBER('Real results'!C38),ISNUMBER('Real results'!D38),ISNUMBER('Raw data'!AK38),ISNUMBER('Raw data'!AL38)),IF(SIGN('Raw data'!AK38-'Raw data'!AL38)=SIGN('Real results'!C38-'Real results'!D38),2+IF(AND('Raw data'!AK38='Real results'!C38,'Raw data'!AL38='Real results'!D38),2,0),0),0),0)</f>
        <v>0</v>
      </c>
      <c r="AM39" s="29">
        <f>IFERROR(IF(AND(ISNUMBER('Real results'!C38),ISNUMBER('Real results'!D38),ISNUMBER('Raw data'!AM38),ISNUMBER('Raw data'!AN38)),IF(SIGN('Raw data'!AM38-'Raw data'!AN38)=SIGN('Real results'!C38-'Real results'!D38),2+IF(AND('Raw data'!AM38='Real results'!C38,'Raw data'!AN38='Real results'!D38),2,0),0),0),0)</f>
        <v>0</v>
      </c>
      <c r="AO39" s="29">
        <f>IFERROR(IF(AND(ISNUMBER('Real results'!C38),ISNUMBER('Real results'!D38),ISNUMBER('Raw data'!AO38),ISNUMBER('Raw data'!AP38)),IF(SIGN('Raw data'!AO38-'Raw data'!AP38)=SIGN('Real results'!C38-'Real results'!D38),2+IF(AND('Raw data'!AO38='Real results'!C38,'Raw data'!AP38='Real results'!D38),2,0),0),0),0)</f>
        <v>0</v>
      </c>
      <c r="AQ39" s="29">
        <f>IFERROR(IF(AND(ISNUMBER('Real results'!C38),ISNUMBER('Real results'!D38),ISNUMBER('Raw data'!AQ38),ISNUMBER('Raw data'!AR38)),IF(SIGN('Raw data'!AQ38-'Raw data'!AR38)=SIGN('Real results'!C38-'Real results'!D38),2+IF(AND('Raw data'!AQ38='Real results'!C38,'Raw data'!AR38='Real results'!D38),2,0),0),0),0)</f>
        <v>0</v>
      </c>
      <c r="AS39" s="29">
        <f>IFERROR(IF(AND(ISNUMBER('Real results'!C38),ISNUMBER('Real results'!D38),ISNUMBER('Raw data'!AS38),ISNUMBER('Raw data'!AT38)),IF(SIGN('Raw data'!AS38-'Raw data'!AT38)=SIGN('Real results'!C38-'Real results'!D38),2+IF(AND('Raw data'!AS38='Real results'!C38,'Raw data'!AT38='Real results'!D38),2,0),0),0),0)</f>
        <v>0</v>
      </c>
      <c r="AU39" s="29">
        <f>IFERROR(IF(AND(ISNUMBER('Real results'!C38),ISNUMBER('Real results'!D38),ISNUMBER('Raw data'!AU38),ISNUMBER('Raw data'!AV38)),IF(SIGN('Raw data'!AU38-'Raw data'!AV38)=SIGN('Real results'!C38-'Real results'!D38),2+IF(AND('Raw data'!AU38='Real results'!C38,'Raw data'!AV38='Real results'!D38),2,0),0),0),0)</f>
        <v>0</v>
      </c>
      <c r="AW39" s="29">
        <f>IFERROR(IF(AND(ISNUMBER('Real results'!C38),ISNUMBER('Real results'!D38),ISNUMBER('Raw data'!AW38),ISNUMBER('Raw data'!AX38)),IF(SIGN('Raw data'!AW38-'Raw data'!AX38)=SIGN('Real results'!C38-'Real results'!D38),2+IF(AND('Raw data'!AW38='Real results'!C38,'Raw data'!AX38='Real results'!D38),2,0),0),0),0)</f>
        <v>0</v>
      </c>
      <c r="AY39" s="29">
        <f>IFERROR(IF(AND(ISNUMBER('Real results'!C38),ISNUMBER('Real results'!D38),ISNUMBER('Raw data'!AY38),ISNUMBER('Raw data'!AZ38)),IF(SIGN('Raw data'!AY38-'Raw data'!AZ38)=SIGN('Real results'!C38-'Real results'!D38),2+IF(AND('Raw data'!AY38='Real results'!C38,'Raw data'!AZ38='Real results'!D38),2,0),0),0),0)</f>
        <v>0</v>
      </c>
      <c r="BA39" s="29">
        <f>IFERROR(IF(AND(ISNUMBER('Real results'!C38),ISNUMBER('Real results'!D38),ISNUMBER('Raw data'!BA38),ISNUMBER('Raw data'!BB38)),IF(SIGN('Raw data'!BA38-'Raw data'!BB38)=SIGN('Real results'!C38-'Real results'!D38),2+IF(AND('Raw data'!BA38='Real results'!C38,'Raw data'!BB38='Real results'!D38),2,0),0),0),0)</f>
        <v>0</v>
      </c>
      <c r="BC39" s="29">
        <f>IFERROR(IF(AND(ISNUMBER('Real results'!C38),ISNUMBER('Real results'!D38),ISNUMBER('Raw data'!BC38),ISNUMBER('Raw data'!BD38)),IF(SIGN('Raw data'!BC38-'Raw data'!BD38)=SIGN('Real results'!C38-'Real results'!D38),2+IF(AND('Raw data'!BC38='Real results'!C38,'Raw data'!BD38='Real results'!D38),2,0),0),0),0)</f>
        <v>0</v>
      </c>
      <c r="BE39" s="29">
        <f>IFERROR(IF(AND(ISNUMBER('Real results'!C38),ISNUMBER('Real results'!D38),ISNUMBER('Raw data'!BE38),ISNUMBER('Raw data'!BF38)),IF(SIGN('Raw data'!BE38-'Raw data'!BF38)=SIGN('Real results'!C38-'Real results'!D38),2+IF(AND('Raw data'!BE38='Real results'!C38,'Raw data'!BF38='Real results'!D38),2,0),0),0),0)</f>
        <v>0</v>
      </c>
      <c r="BG39" s="29">
        <f>IFERROR(IF(AND(ISNUMBER('Real results'!C38),ISNUMBER('Real results'!D38),ISNUMBER('Raw data'!BG38),ISNUMBER('Raw data'!BH38)),IF(SIGN('Raw data'!BG38-'Raw data'!BH38)=SIGN('Real results'!C38-'Real results'!D38),2+IF(AND('Raw data'!BG38='Real results'!C38,'Raw data'!BH38='Real results'!D38),2,0),0),0),0)</f>
        <v>0</v>
      </c>
      <c r="BI39" s="29">
        <f>IFERROR(IF(AND(ISNUMBER('Real results'!C38),ISNUMBER('Real results'!D38),ISNUMBER('Raw data'!BI38),ISNUMBER('Raw data'!BJ38)),IF(SIGN('Raw data'!BI38-'Raw data'!BJ38)=SIGN('Real results'!C38-'Real results'!D38),2+IF(AND('Raw data'!BI38='Real results'!C38,'Raw data'!BJ38='Real results'!D38),2,0),0),0),0)</f>
        <v>0</v>
      </c>
    </row>
    <row r="40" ht="18.0" customHeight="1">
      <c r="A40" s="1"/>
      <c r="B40" s="13" t="s">
        <v>59</v>
      </c>
      <c r="C40" s="29">
        <f>IFERROR(IF(AND(ISNUMBER('Real results'!C39),ISNUMBER('Real results'!D39),ISNUMBER('Raw data'!C39),ISNUMBER('Raw data'!D39)),IF(SIGN('Raw data'!C39-'Raw data'!D39)=SIGN('Real results'!C39-'Real results'!D39),2+IF(AND('Raw data'!C39='Real results'!C39,'Raw data'!D39='Real results'!D39),2,0),0),0),0)</f>
        <v>0</v>
      </c>
      <c r="E40" s="29">
        <f>IFERROR(IF(AND(ISNUMBER('Real results'!C39),ISNUMBER('Real results'!D39),ISNUMBER('Raw data'!E39),ISNUMBER('Raw data'!F39)),IF(SIGN('Raw data'!E39-'Raw data'!F39)=SIGN('Real results'!C39-'Real results'!D39),2+IF(AND('Raw data'!E39='Real results'!C39,'Raw data'!F39='Real results'!D39),2,0),0),0),0)</f>
        <v>0</v>
      </c>
      <c r="G40" s="29">
        <f>IFERROR(IF(AND(ISNUMBER('Real results'!C39),ISNUMBER('Real results'!D39),ISNUMBER('Raw data'!G39),ISNUMBER('Raw data'!H39)),IF(SIGN('Raw data'!G39-'Raw data'!H39)=SIGN('Real results'!C39-'Real results'!D39),2+IF(AND('Raw data'!G39='Real results'!C39,'Raw data'!H39='Real results'!D39),2,0),0),0),0)</f>
        <v>0</v>
      </c>
      <c r="I40" s="29">
        <f>IFERROR(IF(AND(ISNUMBER('Real results'!C39),ISNUMBER('Real results'!D39),ISNUMBER('Raw data'!I39),ISNUMBER('Raw data'!J39)),IF(SIGN('Raw data'!I39-'Raw data'!J39)=SIGN('Real results'!C39-'Real results'!D39),2+IF(AND('Raw data'!I39='Real results'!C39,'Raw data'!J39='Real results'!D39),2,0),0),0),0)</f>
        <v>0</v>
      </c>
      <c r="K40" s="29">
        <f>IFERROR(IF(AND(ISNUMBER('Real results'!C39),ISNUMBER('Real results'!D39),ISNUMBER('Raw data'!K39),ISNUMBER('Raw data'!L39)),IF(SIGN('Raw data'!K39-'Raw data'!L39)=SIGN('Real results'!C39-'Real results'!D39),2+IF(AND('Raw data'!K39='Real results'!C39,'Raw data'!L39='Real results'!D39),2,0),0),0),0)</f>
        <v>0</v>
      </c>
      <c r="M40" s="29">
        <f>IFERROR(IF(AND(ISNUMBER('Real results'!C39),ISNUMBER('Real results'!D39),ISNUMBER('Raw data'!M39),ISNUMBER('Raw data'!N39)),IF(SIGN('Raw data'!M39-'Raw data'!N39)=SIGN('Real results'!C39-'Real results'!D39),2+IF(AND('Raw data'!M39='Real results'!C39,'Raw data'!N39='Real results'!D39),2,0),0),0),0)</f>
        <v>0</v>
      </c>
      <c r="O40" s="29">
        <f>IFERROR(IF(AND(ISNUMBER('Real results'!C39),ISNUMBER('Real results'!D39),ISNUMBER('Raw data'!O39),ISNUMBER('Raw data'!P39)),IF(SIGN('Raw data'!O39-'Raw data'!P39)=SIGN('Real results'!C39-'Real results'!D39),2+IF(AND('Raw data'!O39='Real results'!C39,'Raw data'!P39='Real results'!D39),2,0),0),0),0)</f>
        <v>0</v>
      </c>
      <c r="Q40" s="29">
        <f>IFERROR(IF(AND(ISNUMBER('Real results'!C39),ISNUMBER('Real results'!D39),ISNUMBER('Raw data'!Q39),ISNUMBER('Raw data'!R39)),IF(SIGN('Raw data'!Q39-'Raw data'!R39)=SIGN('Real results'!C39-'Real results'!D39),2+IF(AND('Raw data'!Q39='Real results'!C39,'Raw data'!R39='Real results'!D39),2,0),0),0),0)</f>
        <v>0</v>
      </c>
      <c r="S40" s="29">
        <f>IFERROR(IF(AND(ISNUMBER('Real results'!C39),ISNUMBER('Real results'!D39),ISNUMBER('Raw data'!S39),ISNUMBER('Raw data'!T39)),IF(SIGN('Raw data'!S39-'Raw data'!T39)=SIGN('Real results'!C39-'Real results'!D39),2+IF(AND('Raw data'!S39='Real results'!C39,'Raw data'!T39='Real results'!D39),2,0),0),0),0)</f>
        <v>0</v>
      </c>
      <c r="U40" s="29">
        <f>IFERROR(IF(AND(ISNUMBER('Real results'!C39),ISNUMBER('Real results'!D39),ISNUMBER('Raw data'!U39),ISNUMBER('Raw data'!V39)),IF(SIGN('Raw data'!U39-'Raw data'!V39)=SIGN('Real results'!C39-'Real results'!D39),2+IF(AND('Raw data'!U39='Real results'!C39,'Raw data'!V39='Real results'!D39),2,0),0),0),0)</f>
        <v>0</v>
      </c>
      <c r="W40" s="29">
        <f>IFERROR(IF(AND(ISNUMBER('Real results'!C39),ISNUMBER('Real results'!D39),ISNUMBER('Raw data'!W39),ISNUMBER('Raw data'!X39)),IF(SIGN('Raw data'!W39-'Raw data'!X39)=SIGN('Real results'!C39-'Real results'!D39),2+IF(AND('Raw data'!W39='Real results'!C39,'Raw data'!X39='Real results'!D39),2,0),0),0),0)</f>
        <v>0</v>
      </c>
      <c r="Y40" s="29">
        <f>IFERROR(IF(AND(ISNUMBER('Real results'!C39),ISNUMBER('Real results'!D39),ISNUMBER('Raw data'!Y39),ISNUMBER('Raw data'!Z39)),IF(SIGN('Raw data'!Y39-'Raw data'!Z39)=SIGN('Real results'!C39-'Real results'!D39),2+IF(AND('Raw data'!Y39='Real results'!C39,'Raw data'!Z39='Real results'!D39),2,0),0),0),0)</f>
        <v>0</v>
      </c>
      <c r="AA40" s="29">
        <f>IFERROR(IF(AND(ISNUMBER('Real results'!C39),ISNUMBER('Real results'!D39),ISNUMBER('Raw data'!AA39),ISNUMBER('Raw data'!AB39)),IF(SIGN('Raw data'!AA39-'Raw data'!AB39)=SIGN('Real results'!C39-'Real results'!D39),2+IF(AND('Raw data'!AA39='Real results'!C39,'Raw data'!AB39='Real results'!D39),2,0),0),0),0)</f>
        <v>0</v>
      </c>
      <c r="AC40" s="29">
        <f>IFERROR(IF(AND(ISNUMBER('Real results'!C39),ISNUMBER('Real results'!D39),ISNUMBER('Raw data'!AC39),ISNUMBER('Raw data'!AD39)),IF(SIGN('Raw data'!AC39-'Raw data'!AD39)=SIGN('Real results'!C39-'Real results'!D39),2+IF(AND('Raw data'!AC39='Real results'!C39,'Raw data'!AD39='Real results'!D39),2,0),0),0),0)</f>
        <v>0</v>
      </c>
      <c r="AE40" s="29">
        <f>IFERROR(IF(AND(ISNUMBER('Real results'!C39),ISNUMBER('Real results'!D39),ISNUMBER('Raw data'!AE39),ISNUMBER('Raw data'!AF39)),IF(SIGN('Raw data'!AE39-'Raw data'!AF39)=SIGN('Real results'!C39-'Real results'!D39),2+IF(AND('Raw data'!AE39='Real results'!C39,'Raw data'!AF39='Real results'!D39),2,0),0),0),0)</f>
        <v>0</v>
      </c>
      <c r="AG40" s="29">
        <f>IFERROR(IF(AND(ISNUMBER('Real results'!C39),ISNUMBER('Real results'!D39),ISNUMBER('Raw data'!AG39),ISNUMBER('Raw data'!AH39)),IF(SIGN('Raw data'!AG39-'Raw data'!AH39)=SIGN('Real results'!C39-'Real results'!D39),2+IF(AND('Raw data'!AG39='Real results'!C39,'Raw data'!AH39='Real results'!D39),2,0),0),0),0)</f>
        <v>0</v>
      </c>
      <c r="AI40" s="29">
        <f>IFERROR(IF(AND(ISNUMBER('Real results'!C39),ISNUMBER('Real results'!D39),ISNUMBER('Raw data'!AI39),ISNUMBER('Raw data'!AJ39)),IF(SIGN('Raw data'!AI39-'Raw data'!AJ39)=SIGN('Real results'!C39-'Real results'!D39),2+IF(AND('Raw data'!AI39='Real results'!C39,'Raw data'!AJ39='Real results'!D39),2,0),0),0),0)</f>
        <v>0</v>
      </c>
      <c r="AK40" s="29">
        <f>IFERROR(IF(AND(ISNUMBER('Real results'!C39),ISNUMBER('Real results'!D39),ISNUMBER('Raw data'!AK39),ISNUMBER('Raw data'!AL39)),IF(SIGN('Raw data'!AK39-'Raw data'!AL39)=SIGN('Real results'!C39-'Real results'!D39),2+IF(AND('Raw data'!AK39='Real results'!C39,'Raw data'!AL39='Real results'!D39),2,0),0),0),0)</f>
        <v>0</v>
      </c>
      <c r="AM40" s="29">
        <f>IFERROR(IF(AND(ISNUMBER('Real results'!C39),ISNUMBER('Real results'!D39),ISNUMBER('Raw data'!AM39),ISNUMBER('Raw data'!AN39)),IF(SIGN('Raw data'!AM39-'Raw data'!AN39)=SIGN('Real results'!C39-'Real results'!D39),2+IF(AND('Raw data'!AM39='Real results'!C39,'Raw data'!AN39='Real results'!D39),2,0),0),0),0)</f>
        <v>0</v>
      </c>
      <c r="AO40" s="29">
        <f>IFERROR(IF(AND(ISNUMBER('Real results'!C39),ISNUMBER('Real results'!D39),ISNUMBER('Raw data'!AO39),ISNUMBER('Raw data'!AP39)),IF(SIGN('Raw data'!AO39-'Raw data'!AP39)=SIGN('Real results'!C39-'Real results'!D39),2+IF(AND('Raw data'!AO39='Real results'!C39,'Raw data'!AP39='Real results'!D39),2,0),0),0),0)</f>
        <v>0</v>
      </c>
      <c r="AQ40" s="29">
        <f>IFERROR(IF(AND(ISNUMBER('Real results'!C39),ISNUMBER('Real results'!D39),ISNUMBER('Raw data'!AQ39),ISNUMBER('Raw data'!AR39)),IF(SIGN('Raw data'!AQ39-'Raw data'!AR39)=SIGN('Real results'!C39-'Real results'!D39),2+IF(AND('Raw data'!AQ39='Real results'!C39,'Raw data'!AR39='Real results'!D39),2,0),0),0),0)</f>
        <v>0</v>
      </c>
      <c r="AS40" s="29">
        <f>IFERROR(IF(AND(ISNUMBER('Real results'!C39),ISNUMBER('Real results'!D39),ISNUMBER('Raw data'!AS39),ISNUMBER('Raw data'!AT39)),IF(SIGN('Raw data'!AS39-'Raw data'!AT39)=SIGN('Real results'!C39-'Real results'!D39),2+IF(AND('Raw data'!AS39='Real results'!C39,'Raw data'!AT39='Real results'!D39),2,0),0),0),0)</f>
        <v>0</v>
      </c>
      <c r="AU40" s="29">
        <f>IFERROR(IF(AND(ISNUMBER('Real results'!C39),ISNUMBER('Real results'!D39),ISNUMBER('Raw data'!AU39),ISNUMBER('Raw data'!AV39)),IF(SIGN('Raw data'!AU39-'Raw data'!AV39)=SIGN('Real results'!C39-'Real results'!D39),2+IF(AND('Raw data'!AU39='Real results'!C39,'Raw data'!AV39='Real results'!D39),2,0),0),0),0)</f>
        <v>0</v>
      </c>
      <c r="AW40" s="29">
        <f>IFERROR(IF(AND(ISNUMBER('Real results'!C39),ISNUMBER('Real results'!D39),ISNUMBER('Raw data'!AW39),ISNUMBER('Raw data'!AX39)),IF(SIGN('Raw data'!AW39-'Raw data'!AX39)=SIGN('Real results'!C39-'Real results'!D39),2+IF(AND('Raw data'!AW39='Real results'!C39,'Raw data'!AX39='Real results'!D39),2,0),0),0),0)</f>
        <v>0</v>
      </c>
      <c r="AY40" s="29">
        <f>IFERROR(IF(AND(ISNUMBER('Real results'!C39),ISNUMBER('Real results'!D39),ISNUMBER('Raw data'!AY39),ISNUMBER('Raw data'!AZ39)),IF(SIGN('Raw data'!AY39-'Raw data'!AZ39)=SIGN('Real results'!C39-'Real results'!D39),2+IF(AND('Raw data'!AY39='Real results'!C39,'Raw data'!AZ39='Real results'!D39),2,0),0),0),0)</f>
        <v>0</v>
      </c>
      <c r="BA40" s="29">
        <f>IFERROR(IF(AND(ISNUMBER('Real results'!C39),ISNUMBER('Real results'!D39),ISNUMBER('Raw data'!BA39),ISNUMBER('Raw data'!BB39)),IF(SIGN('Raw data'!BA39-'Raw data'!BB39)=SIGN('Real results'!C39-'Real results'!D39),2+IF(AND('Raw data'!BA39='Real results'!C39,'Raw data'!BB39='Real results'!D39),2,0),0),0),0)</f>
        <v>0</v>
      </c>
      <c r="BC40" s="29">
        <f>IFERROR(IF(AND(ISNUMBER('Real results'!C39),ISNUMBER('Real results'!D39),ISNUMBER('Raw data'!BC39),ISNUMBER('Raw data'!BD39)),IF(SIGN('Raw data'!BC39-'Raw data'!BD39)=SIGN('Real results'!C39-'Real results'!D39),2+IF(AND('Raw data'!BC39='Real results'!C39,'Raw data'!BD39='Real results'!D39),2,0),0),0),0)</f>
        <v>0</v>
      </c>
      <c r="BE40" s="29">
        <f>IFERROR(IF(AND(ISNUMBER('Real results'!C39),ISNUMBER('Real results'!D39),ISNUMBER('Raw data'!BE39),ISNUMBER('Raw data'!BF39)),IF(SIGN('Raw data'!BE39-'Raw data'!BF39)=SIGN('Real results'!C39-'Real results'!D39),2+IF(AND('Raw data'!BE39='Real results'!C39,'Raw data'!BF39='Real results'!D39),2,0),0),0),0)</f>
        <v>0</v>
      </c>
      <c r="BG40" s="29">
        <f>IFERROR(IF(AND(ISNUMBER('Real results'!C39),ISNUMBER('Real results'!D39),ISNUMBER('Raw data'!BG39),ISNUMBER('Raw data'!BH39)),IF(SIGN('Raw data'!BG39-'Raw data'!BH39)=SIGN('Real results'!C39-'Real results'!D39),2+IF(AND('Raw data'!BG39='Real results'!C39,'Raw data'!BH39='Real results'!D39),2,0),0),0),0)</f>
        <v>0</v>
      </c>
      <c r="BI40" s="29">
        <f>IFERROR(IF(AND(ISNUMBER('Real results'!C39),ISNUMBER('Real results'!D39),ISNUMBER('Raw data'!BI39),ISNUMBER('Raw data'!BJ39)),IF(SIGN('Raw data'!BI39-'Raw data'!BJ39)=SIGN('Real results'!C39-'Real results'!D39),2+IF(AND('Raw data'!BI39='Real results'!C39,'Raw data'!BJ39='Real results'!D39),2,0),0),0),0)</f>
        <v>0</v>
      </c>
    </row>
    <row r="41" ht="18.0" customHeight="1">
      <c r="A41" s="1"/>
      <c r="B41" s="13" t="s">
        <v>60</v>
      </c>
      <c r="C41" s="29">
        <f>IFERROR(IF(AND(ISNUMBER('Real results'!C40),ISNUMBER('Real results'!D40),ISNUMBER('Raw data'!C40),ISNUMBER('Raw data'!D40)),IF(SIGN('Raw data'!C40-'Raw data'!D40)=SIGN('Real results'!C40-'Real results'!D40),2+IF(AND('Raw data'!C40='Real results'!C40,'Raw data'!D40='Real results'!D40),2,0),0),0),0)</f>
        <v>0</v>
      </c>
      <c r="E41" s="29">
        <f>IFERROR(IF(AND(ISNUMBER('Real results'!C40),ISNUMBER('Real results'!D40),ISNUMBER('Raw data'!E40),ISNUMBER('Raw data'!F40)),IF(SIGN('Raw data'!E40-'Raw data'!F40)=SIGN('Real results'!C40-'Real results'!D40),2+IF(AND('Raw data'!E40='Real results'!C40,'Raw data'!F40='Real results'!D40),2,0),0),0),0)</f>
        <v>0</v>
      </c>
      <c r="G41" s="29">
        <f>IFERROR(IF(AND(ISNUMBER('Real results'!C40),ISNUMBER('Real results'!D40),ISNUMBER('Raw data'!G40),ISNUMBER('Raw data'!H40)),IF(SIGN('Raw data'!G40-'Raw data'!H40)=SIGN('Real results'!C40-'Real results'!D40),2+IF(AND('Raw data'!G40='Real results'!C40,'Raw data'!H40='Real results'!D40),2,0),0),0),0)</f>
        <v>0</v>
      </c>
      <c r="I41" s="29">
        <f>IFERROR(IF(AND(ISNUMBER('Real results'!C40),ISNUMBER('Real results'!D40),ISNUMBER('Raw data'!I40),ISNUMBER('Raw data'!J40)),IF(SIGN('Raw data'!I40-'Raw data'!J40)=SIGN('Real results'!C40-'Real results'!D40),2+IF(AND('Raw data'!I40='Real results'!C40,'Raw data'!J40='Real results'!D40),2,0),0),0),0)</f>
        <v>0</v>
      </c>
      <c r="K41" s="29">
        <f>IFERROR(IF(AND(ISNUMBER('Real results'!C40),ISNUMBER('Real results'!D40),ISNUMBER('Raw data'!K40),ISNUMBER('Raw data'!L40)),IF(SIGN('Raw data'!K40-'Raw data'!L40)=SIGN('Real results'!C40-'Real results'!D40),2+IF(AND('Raw data'!K40='Real results'!C40,'Raw data'!L40='Real results'!D40),2,0),0),0),0)</f>
        <v>0</v>
      </c>
      <c r="M41" s="29">
        <f>IFERROR(IF(AND(ISNUMBER('Real results'!C40),ISNUMBER('Real results'!D40),ISNUMBER('Raw data'!M40),ISNUMBER('Raw data'!N40)),IF(SIGN('Raw data'!M40-'Raw data'!N40)=SIGN('Real results'!C40-'Real results'!D40),2+IF(AND('Raw data'!M40='Real results'!C40,'Raw data'!N40='Real results'!D40),2,0),0),0),0)</f>
        <v>0</v>
      </c>
      <c r="O41" s="29">
        <f>IFERROR(IF(AND(ISNUMBER('Real results'!C40),ISNUMBER('Real results'!D40),ISNUMBER('Raw data'!O40),ISNUMBER('Raw data'!P40)),IF(SIGN('Raw data'!O40-'Raw data'!P40)=SIGN('Real results'!C40-'Real results'!D40),2+IF(AND('Raw data'!O40='Real results'!C40,'Raw data'!P40='Real results'!D40),2,0),0),0),0)</f>
        <v>0</v>
      </c>
      <c r="Q41" s="29">
        <f>IFERROR(IF(AND(ISNUMBER('Real results'!C40),ISNUMBER('Real results'!D40),ISNUMBER('Raw data'!Q40),ISNUMBER('Raw data'!R40)),IF(SIGN('Raw data'!Q40-'Raw data'!R40)=SIGN('Real results'!C40-'Real results'!D40),2+IF(AND('Raw data'!Q40='Real results'!C40,'Raw data'!R40='Real results'!D40),2,0),0),0),0)</f>
        <v>0</v>
      </c>
      <c r="S41" s="29">
        <f>IFERROR(IF(AND(ISNUMBER('Real results'!C40),ISNUMBER('Real results'!D40),ISNUMBER('Raw data'!S40),ISNUMBER('Raw data'!T40)),IF(SIGN('Raw data'!S40-'Raw data'!T40)=SIGN('Real results'!C40-'Real results'!D40),2+IF(AND('Raw data'!S40='Real results'!C40,'Raw data'!T40='Real results'!D40),2,0),0),0),0)</f>
        <v>0</v>
      </c>
      <c r="U41" s="29">
        <f>IFERROR(IF(AND(ISNUMBER('Real results'!C40),ISNUMBER('Real results'!D40),ISNUMBER('Raw data'!U40),ISNUMBER('Raw data'!V40)),IF(SIGN('Raw data'!U40-'Raw data'!V40)=SIGN('Real results'!C40-'Real results'!D40),2+IF(AND('Raw data'!U40='Real results'!C40,'Raw data'!V40='Real results'!D40),2,0),0),0),0)</f>
        <v>0</v>
      </c>
      <c r="W41" s="29">
        <f>IFERROR(IF(AND(ISNUMBER('Real results'!C40),ISNUMBER('Real results'!D40),ISNUMBER('Raw data'!W40),ISNUMBER('Raw data'!X40)),IF(SIGN('Raw data'!W40-'Raw data'!X40)=SIGN('Real results'!C40-'Real results'!D40),2+IF(AND('Raw data'!W40='Real results'!C40,'Raw data'!X40='Real results'!D40),2,0),0),0),0)</f>
        <v>0</v>
      </c>
      <c r="Y41" s="29">
        <f>IFERROR(IF(AND(ISNUMBER('Real results'!C40),ISNUMBER('Real results'!D40),ISNUMBER('Raw data'!Y40),ISNUMBER('Raw data'!Z40)),IF(SIGN('Raw data'!Y40-'Raw data'!Z40)=SIGN('Real results'!C40-'Real results'!D40),2+IF(AND('Raw data'!Y40='Real results'!C40,'Raw data'!Z40='Real results'!D40),2,0),0),0),0)</f>
        <v>0</v>
      </c>
      <c r="AA41" s="29">
        <f>IFERROR(IF(AND(ISNUMBER('Real results'!C40),ISNUMBER('Real results'!D40),ISNUMBER('Raw data'!AA40),ISNUMBER('Raw data'!AB40)),IF(SIGN('Raw data'!AA40-'Raw data'!AB40)=SIGN('Real results'!C40-'Real results'!D40),2+IF(AND('Raw data'!AA40='Real results'!C40,'Raw data'!AB40='Real results'!D40),2,0),0),0),0)</f>
        <v>0</v>
      </c>
      <c r="AC41" s="29">
        <f>IFERROR(IF(AND(ISNUMBER('Real results'!C40),ISNUMBER('Real results'!D40),ISNUMBER('Raw data'!AC40),ISNUMBER('Raw data'!AD40)),IF(SIGN('Raw data'!AC40-'Raw data'!AD40)=SIGN('Real results'!C40-'Real results'!D40),2+IF(AND('Raw data'!AC40='Real results'!C40,'Raw data'!AD40='Real results'!D40),2,0),0),0),0)</f>
        <v>0</v>
      </c>
      <c r="AE41" s="29">
        <f>IFERROR(IF(AND(ISNUMBER('Real results'!C40),ISNUMBER('Real results'!D40),ISNUMBER('Raw data'!AE40),ISNUMBER('Raw data'!AF40)),IF(SIGN('Raw data'!AE40-'Raw data'!AF40)=SIGN('Real results'!C40-'Real results'!D40),2+IF(AND('Raw data'!AE40='Real results'!C40,'Raw data'!AF40='Real results'!D40),2,0),0),0),0)</f>
        <v>0</v>
      </c>
      <c r="AG41" s="29">
        <f>IFERROR(IF(AND(ISNUMBER('Real results'!C40),ISNUMBER('Real results'!D40),ISNUMBER('Raw data'!AG40),ISNUMBER('Raw data'!AH40)),IF(SIGN('Raw data'!AG40-'Raw data'!AH40)=SIGN('Real results'!C40-'Real results'!D40),2+IF(AND('Raw data'!AG40='Real results'!C40,'Raw data'!AH40='Real results'!D40),2,0),0),0),0)</f>
        <v>0</v>
      </c>
      <c r="AI41" s="29">
        <f>IFERROR(IF(AND(ISNUMBER('Real results'!C40),ISNUMBER('Real results'!D40),ISNUMBER('Raw data'!AI40),ISNUMBER('Raw data'!AJ40)),IF(SIGN('Raw data'!AI40-'Raw data'!AJ40)=SIGN('Real results'!C40-'Real results'!D40),2+IF(AND('Raw data'!AI40='Real results'!C40,'Raw data'!AJ40='Real results'!D40),2,0),0),0),0)</f>
        <v>0</v>
      </c>
      <c r="AK41" s="29">
        <f>IFERROR(IF(AND(ISNUMBER('Real results'!C40),ISNUMBER('Real results'!D40),ISNUMBER('Raw data'!AK40),ISNUMBER('Raw data'!AL40)),IF(SIGN('Raw data'!AK40-'Raw data'!AL40)=SIGN('Real results'!C40-'Real results'!D40),2+IF(AND('Raw data'!AK40='Real results'!C40,'Raw data'!AL40='Real results'!D40),2,0),0),0),0)</f>
        <v>0</v>
      </c>
      <c r="AM41" s="29">
        <f>IFERROR(IF(AND(ISNUMBER('Real results'!C40),ISNUMBER('Real results'!D40),ISNUMBER('Raw data'!AM40),ISNUMBER('Raw data'!AN40)),IF(SIGN('Raw data'!AM40-'Raw data'!AN40)=SIGN('Real results'!C40-'Real results'!D40),2+IF(AND('Raw data'!AM40='Real results'!C40,'Raw data'!AN40='Real results'!D40),2,0),0),0),0)</f>
        <v>0</v>
      </c>
      <c r="AO41" s="29">
        <f>IFERROR(IF(AND(ISNUMBER('Real results'!C40),ISNUMBER('Real results'!D40),ISNUMBER('Raw data'!AO40),ISNUMBER('Raw data'!AP40)),IF(SIGN('Raw data'!AO40-'Raw data'!AP40)=SIGN('Real results'!C40-'Real results'!D40),2+IF(AND('Raw data'!AO40='Real results'!C40,'Raw data'!AP40='Real results'!D40),2,0),0),0),0)</f>
        <v>0</v>
      </c>
      <c r="AQ41" s="29">
        <f>IFERROR(IF(AND(ISNUMBER('Real results'!C40),ISNUMBER('Real results'!D40),ISNUMBER('Raw data'!AQ40),ISNUMBER('Raw data'!AR40)),IF(SIGN('Raw data'!AQ40-'Raw data'!AR40)=SIGN('Real results'!C40-'Real results'!D40),2+IF(AND('Raw data'!AQ40='Real results'!C40,'Raw data'!AR40='Real results'!D40),2,0),0),0),0)</f>
        <v>0</v>
      </c>
      <c r="AS41" s="29">
        <f>IFERROR(IF(AND(ISNUMBER('Real results'!C40),ISNUMBER('Real results'!D40),ISNUMBER('Raw data'!AS40),ISNUMBER('Raw data'!AT40)),IF(SIGN('Raw data'!AS40-'Raw data'!AT40)=SIGN('Real results'!C40-'Real results'!D40),2+IF(AND('Raw data'!AS40='Real results'!C40,'Raw data'!AT40='Real results'!D40),2,0),0),0),0)</f>
        <v>0</v>
      </c>
      <c r="AU41" s="29">
        <f>IFERROR(IF(AND(ISNUMBER('Real results'!C40),ISNUMBER('Real results'!D40),ISNUMBER('Raw data'!AU40),ISNUMBER('Raw data'!AV40)),IF(SIGN('Raw data'!AU40-'Raw data'!AV40)=SIGN('Real results'!C40-'Real results'!D40),2+IF(AND('Raw data'!AU40='Real results'!C40,'Raw data'!AV40='Real results'!D40),2,0),0),0),0)</f>
        <v>0</v>
      </c>
      <c r="AW41" s="29">
        <f>IFERROR(IF(AND(ISNUMBER('Real results'!C40),ISNUMBER('Real results'!D40),ISNUMBER('Raw data'!AW40),ISNUMBER('Raw data'!AX40)),IF(SIGN('Raw data'!AW40-'Raw data'!AX40)=SIGN('Real results'!C40-'Real results'!D40),2+IF(AND('Raw data'!AW40='Real results'!C40,'Raw data'!AX40='Real results'!D40),2,0),0),0),0)</f>
        <v>0</v>
      </c>
      <c r="AY41" s="29">
        <f>IFERROR(IF(AND(ISNUMBER('Real results'!C40),ISNUMBER('Real results'!D40),ISNUMBER('Raw data'!AY40),ISNUMBER('Raw data'!AZ40)),IF(SIGN('Raw data'!AY40-'Raw data'!AZ40)=SIGN('Real results'!C40-'Real results'!D40),2+IF(AND('Raw data'!AY40='Real results'!C40,'Raw data'!AZ40='Real results'!D40),2,0),0),0),0)</f>
        <v>0</v>
      </c>
      <c r="BA41" s="29">
        <f>IFERROR(IF(AND(ISNUMBER('Real results'!C40),ISNUMBER('Real results'!D40),ISNUMBER('Raw data'!BA40),ISNUMBER('Raw data'!BB40)),IF(SIGN('Raw data'!BA40-'Raw data'!BB40)=SIGN('Real results'!C40-'Real results'!D40),2+IF(AND('Raw data'!BA40='Real results'!C40,'Raw data'!BB40='Real results'!D40),2,0),0),0),0)</f>
        <v>0</v>
      </c>
      <c r="BC41" s="29">
        <f>IFERROR(IF(AND(ISNUMBER('Real results'!C40),ISNUMBER('Real results'!D40),ISNUMBER('Raw data'!BC40),ISNUMBER('Raw data'!BD40)),IF(SIGN('Raw data'!BC40-'Raw data'!BD40)=SIGN('Real results'!C40-'Real results'!D40),2+IF(AND('Raw data'!BC40='Real results'!C40,'Raw data'!BD40='Real results'!D40),2,0),0),0),0)</f>
        <v>0</v>
      </c>
      <c r="BE41" s="29">
        <f>IFERROR(IF(AND(ISNUMBER('Real results'!C40),ISNUMBER('Real results'!D40),ISNUMBER('Raw data'!BE40),ISNUMBER('Raw data'!BF40)),IF(SIGN('Raw data'!BE40-'Raw data'!BF40)=SIGN('Real results'!C40-'Real results'!D40),2+IF(AND('Raw data'!BE40='Real results'!C40,'Raw data'!BF40='Real results'!D40),2,0),0),0),0)</f>
        <v>0</v>
      </c>
      <c r="BG41" s="29">
        <f>IFERROR(IF(AND(ISNUMBER('Real results'!C40),ISNUMBER('Real results'!D40),ISNUMBER('Raw data'!BG40),ISNUMBER('Raw data'!BH40)),IF(SIGN('Raw data'!BG40-'Raw data'!BH40)=SIGN('Real results'!C40-'Real results'!D40),2+IF(AND('Raw data'!BG40='Real results'!C40,'Raw data'!BH40='Real results'!D40),2,0),0),0),0)</f>
        <v>0</v>
      </c>
      <c r="BI41" s="29">
        <f>IFERROR(IF(AND(ISNUMBER('Real results'!C40),ISNUMBER('Real results'!D40),ISNUMBER('Raw data'!BI40),ISNUMBER('Raw data'!BJ40)),IF(SIGN('Raw data'!BI40-'Raw data'!BJ40)=SIGN('Real results'!C40-'Real results'!D40),2+IF(AND('Raw data'!BI40='Real results'!C40,'Raw data'!BJ40='Real results'!D40),2,0),0),0),0)</f>
        <v>0</v>
      </c>
    </row>
    <row r="42" ht="18.0" customHeight="1">
      <c r="A42" s="1"/>
      <c r="B42" s="13" t="s">
        <v>61</v>
      </c>
      <c r="C42" s="29">
        <f>IFERROR(IF(AND(ISNUMBER('Real results'!C41),ISNUMBER('Real results'!D41),ISNUMBER('Raw data'!C41),ISNUMBER('Raw data'!D41)),IF(SIGN('Raw data'!C41-'Raw data'!D41)=SIGN('Real results'!C41-'Real results'!D41),2+IF(AND('Raw data'!C41='Real results'!C41,'Raw data'!D41='Real results'!D41),2,0),0),0),0)</f>
        <v>0</v>
      </c>
      <c r="E42" s="29">
        <f>IFERROR(IF(AND(ISNUMBER('Real results'!C41),ISNUMBER('Real results'!D41),ISNUMBER('Raw data'!E41),ISNUMBER('Raw data'!F41)),IF(SIGN('Raw data'!E41-'Raw data'!F41)=SIGN('Real results'!C41-'Real results'!D41),2+IF(AND('Raw data'!E41='Real results'!C41,'Raw data'!F41='Real results'!D41),2,0),0),0),0)</f>
        <v>0</v>
      </c>
      <c r="G42" s="29">
        <f>IFERROR(IF(AND(ISNUMBER('Real results'!C41),ISNUMBER('Real results'!D41),ISNUMBER('Raw data'!G41),ISNUMBER('Raw data'!H41)),IF(SIGN('Raw data'!G41-'Raw data'!H41)=SIGN('Real results'!C41-'Real results'!D41),2+IF(AND('Raw data'!G41='Real results'!C41,'Raw data'!H41='Real results'!D41),2,0),0),0),0)</f>
        <v>0</v>
      </c>
      <c r="I42" s="29">
        <f>IFERROR(IF(AND(ISNUMBER('Real results'!C41),ISNUMBER('Real results'!D41),ISNUMBER('Raw data'!I41),ISNUMBER('Raw data'!J41)),IF(SIGN('Raw data'!I41-'Raw data'!J41)=SIGN('Real results'!C41-'Real results'!D41),2+IF(AND('Raw data'!I41='Real results'!C41,'Raw data'!J41='Real results'!D41),2,0),0),0),0)</f>
        <v>0</v>
      </c>
      <c r="K42" s="29">
        <f>IFERROR(IF(AND(ISNUMBER('Real results'!C41),ISNUMBER('Real results'!D41),ISNUMBER('Raw data'!K41),ISNUMBER('Raw data'!L41)),IF(SIGN('Raw data'!K41-'Raw data'!L41)=SIGN('Real results'!C41-'Real results'!D41),2+IF(AND('Raw data'!K41='Real results'!C41,'Raw data'!L41='Real results'!D41),2,0),0),0),0)</f>
        <v>0</v>
      </c>
      <c r="M42" s="29">
        <f>IFERROR(IF(AND(ISNUMBER('Real results'!C41),ISNUMBER('Real results'!D41),ISNUMBER('Raw data'!M41),ISNUMBER('Raw data'!N41)),IF(SIGN('Raw data'!M41-'Raw data'!N41)=SIGN('Real results'!C41-'Real results'!D41),2+IF(AND('Raw data'!M41='Real results'!C41,'Raw data'!N41='Real results'!D41),2,0),0),0),0)</f>
        <v>0</v>
      </c>
      <c r="O42" s="29">
        <f>IFERROR(IF(AND(ISNUMBER('Real results'!C41),ISNUMBER('Real results'!D41),ISNUMBER('Raw data'!O41),ISNUMBER('Raw data'!P41)),IF(SIGN('Raw data'!O41-'Raw data'!P41)=SIGN('Real results'!C41-'Real results'!D41),2+IF(AND('Raw data'!O41='Real results'!C41,'Raw data'!P41='Real results'!D41),2,0),0),0),0)</f>
        <v>0</v>
      </c>
      <c r="Q42" s="29">
        <f>IFERROR(IF(AND(ISNUMBER('Real results'!C41),ISNUMBER('Real results'!D41),ISNUMBER('Raw data'!Q41),ISNUMBER('Raw data'!R41)),IF(SIGN('Raw data'!Q41-'Raw data'!R41)=SIGN('Real results'!C41-'Real results'!D41),2+IF(AND('Raw data'!Q41='Real results'!C41,'Raw data'!R41='Real results'!D41),2,0),0),0),0)</f>
        <v>0</v>
      </c>
      <c r="S42" s="29">
        <f>IFERROR(IF(AND(ISNUMBER('Real results'!C41),ISNUMBER('Real results'!D41),ISNUMBER('Raw data'!S41),ISNUMBER('Raw data'!T41)),IF(SIGN('Raw data'!S41-'Raw data'!T41)=SIGN('Real results'!C41-'Real results'!D41),2+IF(AND('Raw data'!S41='Real results'!C41,'Raw data'!T41='Real results'!D41),2,0),0),0),0)</f>
        <v>0</v>
      </c>
      <c r="U42" s="29">
        <f>IFERROR(IF(AND(ISNUMBER('Real results'!C41),ISNUMBER('Real results'!D41),ISNUMBER('Raw data'!U41),ISNUMBER('Raw data'!V41)),IF(SIGN('Raw data'!U41-'Raw data'!V41)=SIGN('Real results'!C41-'Real results'!D41),2+IF(AND('Raw data'!U41='Real results'!C41,'Raw data'!V41='Real results'!D41),2,0),0),0),0)</f>
        <v>0</v>
      </c>
      <c r="W42" s="29">
        <f>IFERROR(IF(AND(ISNUMBER('Real results'!C41),ISNUMBER('Real results'!D41),ISNUMBER('Raw data'!W41),ISNUMBER('Raw data'!X41)),IF(SIGN('Raw data'!W41-'Raw data'!X41)=SIGN('Real results'!C41-'Real results'!D41),2+IF(AND('Raw data'!W41='Real results'!C41,'Raw data'!X41='Real results'!D41),2,0),0),0),0)</f>
        <v>0</v>
      </c>
      <c r="Y42" s="29">
        <f>IFERROR(IF(AND(ISNUMBER('Real results'!C41),ISNUMBER('Real results'!D41),ISNUMBER('Raw data'!Y41),ISNUMBER('Raw data'!Z41)),IF(SIGN('Raw data'!Y41-'Raw data'!Z41)=SIGN('Real results'!C41-'Real results'!D41),2+IF(AND('Raw data'!Y41='Real results'!C41,'Raw data'!Z41='Real results'!D41),2,0),0),0),0)</f>
        <v>0</v>
      </c>
      <c r="AA42" s="29">
        <f>IFERROR(IF(AND(ISNUMBER('Real results'!C41),ISNUMBER('Real results'!D41),ISNUMBER('Raw data'!AA41),ISNUMBER('Raw data'!AB41)),IF(SIGN('Raw data'!AA41-'Raw data'!AB41)=SIGN('Real results'!C41-'Real results'!D41),2+IF(AND('Raw data'!AA41='Real results'!C41,'Raw data'!AB41='Real results'!D41),2,0),0),0),0)</f>
        <v>0</v>
      </c>
      <c r="AC42" s="29">
        <f>IFERROR(IF(AND(ISNUMBER('Real results'!C41),ISNUMBER('Real results'!D41),ISNUMBER('Raw data'!AC41),ISNUMBER('Raw data'!AD41)),IF(SIGN('Raw data'!AC41-'Raw data'!AD41)=SIGN('Real results'!C41-'Real results'!D41),2+IF(AND('Raw data'!AC41='Real results'!C41,'Raw data'!AD41='Real results'!D41),2,0),0),0),0)</f>
        <v>0</v>
      </c>
      <c r="AE42" s="29">
        <f>IFERROR(IF(AND(ISNUMBER('Real results'!C41),ISNUMBER('Real results'!D41),ISNUMBER('Raw data'!AE41),ISNUMBER('Raw data'!AF41)),IF(SIGN('Raw data'!AE41-'Raw data'!AF41)=SIGN('Real results'!C41-'Real results'!D41),2+IF(AND('Raw data'!AE41='Real results'!C41,'Raw data'!AF41='Real results'!D41),2,0),0),0),0)</f>
        <v>0</v>
      </c>
      <c r="AG42" s="29">
        <f>IFERROR(IF(AND(ISNUMBER('Real results'!C41),ISNUMBER('Real results'!D41),ISNUMBER('Raw data'!AG41),ISNUMBER('Raw data'!AH41)),IF(SIGN('Raw data'!AG41-'Raw data'!AH41)=SIGN('Real results'!C41-'Real results'!D41),2+IF(AND('Raw data'!AG41='Real results'!C41,'Raw data'!AH41='Real results'!D41),2,0),0),0),0)</f>
        <v>0</v>
      </c>
      <c r="AI42" s="29">
        <f>IFERROR(IF(AND(ISNUMBER('Real results'!C41),ISNUMBER('Real results'!D41),ISNUMBER('Raw data'!AI41),ISNUMBER('Raw data'!AJ41)),IF(SIGN('Raw data'!AI41-'Raw data'!AJ41)=SIGN('Real results'!C41-'Real results'!D41),2+IF(AND('Raw data'!AI41='Real results'!C41,'Raw data'!AJ41='Real results'!D41),2,0),0),0),0)</f>
        <v>0</v>
      </c>
      <c r="AK42" s="29">
        <f>IFERROR(IF(AND(ISNUMBER('Real results'!C41),ISNUMBER('Real results'!D41),ISNUMBER('Raw data'!AK41),ISNUMBER('Raw data'!AL41)),IF(SIGN('Raw data'!AK41-'Raw data'!AL41)=SIGN('Real results'!C41-'Real results'!D41),2+IF(AND('Raw data'!AK41='Real results'!C41,'Raw data'!AL41='Real results'!D41),2,0),0),0),0)</f>
        <v>0</v>
      </c>
      <c r="AM42" s="29">
        <f>IFERROR(IF(AND(ISNUMBER('Real results'!C41),ISNUMBER('Real results'!D41),ISNUMBER('Raw data'!AM41),ISNUMBER('Raw data'!AN41)),IF(SIGN('Raw data'!AM41-'Raw data'!AN41)=SIGN('Real results'!C41-'Real results'!D41),2+IF(AND('Raw data'!AM41='Real results'!C41,'Raw data'!AN41='Real results'!D41),2,0),0),0),0)</f>
        <v>0</v>
      </c>
      <c r="AO42" s="29">
        <f>IFERROR(IF(AND(ISNUMBER('Real results'!C41),ISNUMBER('Real results'!D41),ISNUMBER('Raw data'!AO41),ISNUMBER('Raw data'!AP41)),IF(SIGN('Raw data'!AO41-'Raw data'!AP41)=SIGN('Real results'!C41-'Real results'!D41),2+IF(AND('Raw data'!AO41='Real results'!C41,'Raw data'!AP41='Real results'!D41),2,0),0),0),0)</f>
        <v>0</v>
      </c>
      <c r="AQ42" s="29">
        <f>IFERROR(IF(AND(ISNUMBER('Real results'!C41),ISNUMBER('Real results'!D41),ISNUMBER('Raw data'!AQ41),ISNUMBER('Raw data'!AR41)),IF(SIGN('Raw data'!AQ41-'Raw data'!AR41)=SIGN('Real results'!C41-'Real results'!D41),2+IF(AND('Raw data'!AQ41='Real results'!C41,'Raw data'!AR41='Real results'!D41),2,0),0),0),0)</f>
        <v>0</v>
      </c>
      <c r="AS42" s="29">
        <f>IFERROR(IF(AND(ISNUMBER('Real results'!C41),ISNUMBER('Real results'!D41),ISNUMBER('Raw data'!AS41),ISNUMBER('Raw data'!AT41)),IF(SIGN('Raw data'!AS41-'Raw data'!AT41)=SIGN('Real results'!C41-'Real results'!D41),2+IF(AND('Raw data'!AS41='Real results'!C41,'Raw data'!AT41='Real results'!D41),2,0),0),0),0)</f>
        <v>0</v>
      </c>
      <c r="AU42" s="29">
        <f>IFERROR(IF(AND(ISNUMBER('Real results'!C41),ISNUMBER('Real results'!D41),ISNUMBER('Raw data'!AU41),ISNUMBER('Raw data'!AV41)),IF(SIGN('Raw data'!AU41-'Raw data'!AV41)=SIGN('Real results'!C41-'Real results'!D41),2+IF(AND('Raw data'!AU41='Real results'!C41,'Raw data'!AV41='Real results'!D41),2,0),0),0),0)</f>
        <v>0</v>
      </c>
      <c r="AW42" s="29">
        <f>IFERROR(IF(AND(ISNUMBER('Real results'!C41),ISNUMBER('Real results'!D41),ISNUMBER('Raw data'!AW41),ISNUMBER('Raw data'!AX41)),IF(SIGN('Raw data'!AW41-'Raw data'!AX41)=SIGN('Real results'!C41-'Real results'!D41),2+IF(AND('Raw data'!AW41='Real results'!C41,'Raw data'!AX41='Real results'!D41),2,0),0),0),0)</f>
        <v>0</v>
      </c>
      <c r="AY42" s="29">
        <f>IFERROR(IF(AND(ISNUMBER('Real results'!C41),ISNUMBER('Real results'!D41),ISNUMBER('Raw data'!AY41),ISNUMBER('Raw data'!AZ41)),IF(SIGN('Raw data'!AY41-'Raw data'!AZ41)=SIGN('Real results'!C41-'Real results'!D41),2+IF(AND('Raw data'!AY41='Real results'!C41,'Raw data'!AZ41='Real results'!D41),2,0),0),0),0)</f>
        <v>0</v>
      </c>
      <c r="BA42" s="29">
        <f>IFERROR(IF(AND(ISNUMBER('Real results'!C41),ISNUMBER('Real results'!D41),ISNUMBER('Raw data'!BA41),ISNUMBER('Raw data'!BB41)),IF(SIGN('Raw data'!BA41-'Raw data'!BB41)=SIGN('Real results'!C41-'Real results'!D41),2+IF(AND('Raw data'!BA41='Real results'!C41,'Raw data'!BB41='Real results'!D41),2,0),0),0),0)</f>
        <v>0</v>
      </c>
      <c r="BC42" s="29">
        <f>IFERROR(IF(AND(ISNUMBER('Real results'!C41),ISNUMBER('Real results'!D41),ISNUMBER('Raw data'!BC41),ISNUMBER('Raw data'!BD41)),IF(SIGN('Raw data'!BC41-'Raw data'!BD41)=SIGN('Real results'!C41-'Real results'!D41),2+IF(AND('Raw data'!BC41='Real results'!C41,'Raw data'!BD41='Real results'!D41),2,0),0),0),0)</f>
        <v>0</v>
      </c>
      <c r="BE42" s="29">
        <f>IFERROR(IF(AND(ISNUMBER('Real results'!C41),ISNUMBER('Real results'!D41),ISNUMBER('Raw data'!BE41),ISNUMBER('Raw data'!BF41)),IF(SIGN('Raw data'!BE41-'Raw data'!BF41)=SIGN('Real results'!C41-'Real results'!D41),2+IF(AND('Raw data'!BE41='Real results'!C41,'Raw data'!BF41='Real results'!D41),2,0),0),0),0)</f>
        <v>0</v>
      </c>
      <c r="BG42" s="29">
        <f>IFERROR(IF(AND(ISNUMBER('Real results'!C41),ISNUMBER('Real results'!D41),ISNUMBER('Raw data'!BG41),ISNUMBER('Raw data'!BH41)),IF(SIGN('Raw data'!BG41-'Raw data'!BH41)=SIGN('Real results'!C41-'Real results'!D41),2+IF(AND('Raw data'!BG41='Real results'!C41,'Raw data'!BH41='Real results'!D41),2,0),0),0),0)</f>
        <v>0</v>
      </c>
      <c r="BI42" s="29">
        <f>IFERROR(IF(AND(ISNUMBER('Real results'!C41),ISNUMBER('Real results'!D41),ISNUMBER('Raw data'!BI41),ISNUMBER('Raw data'!BJ41)),IF(SIGN('Raw data'!BI41-'Raw data'!BJ41)=SIGN('Real results'!C41-'Real results'!D41),2+IF(AND('Raw data'!BI41='Real results'!C41,'Raw data'!BJ41='Real results'!D41),2,0),0),0),0)</f>
        <v>0</v>
      </c>
    </row>
    <row r="43" ht="18.0" customHeight="1">
      <c r="A43" s="1"/>
      <c r="B43" s="13" t="s">
        <v>62</v>
      </c>
      <c r="C43" s="29">
        <f>IFERROR(IF(AND(ISNUMBER('Real results'!C42),ISNUMBER('Real results'!D42),ISNUMBER('Raw data'!C42),ISNUMBER('Raw data'!D42)),IF(SIGN('Raw data'!C42-'Raw data'!D42)=SIGN('Real results'!C42-'Real results'!D42),2+IF(AND('Raw data'!C42='Real results'!C42,'Raw data'!D42='Real results'!D42),2,0),0),0),0)</f>
        <v>0</v>
      </c>
      <c r="E43" s="29">
        <f>IFERROR(IF(AND(ISNUMBER('Real results'!C42),ISNUMBER('Real results'!D42),ISNUMBER('Raw data'!E42),ISNUMBER('Raw data'!F42)),IF(SIGN('Raw data'!E42-'Raw data'!F42)=SIGN('Real results'!C42-'Real results'!D42),2+IF(AND('Raw data'!E42='Real results'!C42,'Raw data'!F42='Real results'!D42),2,0),0),0),0)</f>
        <v>0</v>
      </c>
      <c r="G43" s="29">
        <f>IFERROR(IF(AND(ISNUMBER('Real results'!C42),ISNUMBER('Real results'!D42),ISNUMBER('Raw data'!G42),ISNUMBER('Raw data'!H42)),IF(SIGN('Raw data'!G42-'Raw data'!H42)=SIGN('Real results'!C42-'Real results'!D42),2+IF(AND('Raw data'!G42='Real results'!C42,'Raw data'!H42='Real results'!D42),2,0),0),0),0)</f>
        <v>0</v>
      </c>
      <c r="I43" s="29">
        <f>IFERROR(IF(AND(ISNUMBER('Real results'!C42),ISNUMBER('Real results'!D42),ISNUMBER('Raw data'!I42),ISNUMBER('Raw data'!J42)),IF(SIGN('Raw data'!I42-'Raw data'!J42)=SIGN('Real results'!C42-'Real results'!D42),2+IF(AND('Raw data'!I42='Real results'!C42,'Raw data'!J42='Real results'!D42),2,0),0),0),0)</f>
        <v>0</v>
      </c>
      <c r="K43" s="29">
        <f>IFERROR(IF(AND(ISNUMBER('Real results'!C42),ISNUMBER('Real results'!D42),ISNUMBER('Raw data'!K42),ISNUMBER('Raw data'!L42)),IF(SIGN('Raw data'!K42-'Raw data'!L42)=SIGN('Real results'!C42-'Real results'!D42),2+IF(AND('Raw data'!K42='Real results'!C42,'Raw data'!L42='Real results'!D42),2,0),0),0),0)</f>
        <v>0</v>
      </c>
      <c r="M43" s="29">
        <f>IFERROR(IF(AND(ISNUMBER('Real results'!C42),ISNUMBER('Real results'!D42),ISNUMBER('Raw data'!M42),ISNUMBER('Raw data'!N42)),IF(SIGN('Raw data'!M42-'Raw data'!N42)=SIGN('Real results'!C42-'Real results'!D42),2+IF(AND('Raw data'!M42='Real results'!C42,'Raw data'!N42='Real results'!D42),2,0),0),0),0)</f>
        <v>0</v>
      </c>
      <c r="O43" s="29">
        <f>IFERROR(IF(AND(ISNUMBER('Real results'!C42),ISNUMBER('Real results'!D42),ISNUMBER('Raw data'!O42),ISNUMBER('Raw data'!P42)),IF(SIGN('Raw data'!O42-'Raw data'!P42)=SIGN('Real results'!C42-'Real results'!D42),2+IF(AND('Raw data'!O42='Real results'!C42,'Raw data'!P42='Real results'!D42),2,0),0),0),0)</f>
        <v>0</v>
      </c>
      <c r="Q43" s="29">
        <f>IFERROR(IF(AND(ISNUMBER('Real results'!C42),ISNUMBER('Real results'!D42),ISNUMBER('Raw data'!Q42),ISNUMBER('Raw data'!R42)),IF(SIGN('Raw data'!Q42-'Raw data'!R42)=SIGN('Real results'!C42-'Real results'!D42),2+IF(AND('Raw data'!Q42='Real results'!C42,'Raw data'!R42='Real results'!D42),2,0),0),0),0)</f>
        <v>0</v>
      </c>
      <c r="S43" s="29">
        <f>IFERROR(IF(AND(ISNUMBER('Real results'!C42),ISNUMBER('Real results'!D42),ISNUMBER('Raw data'!S42),ISNUMBER('Raw data'!T42)),IF(SIGN('Raw data'!S42-'Raw data'!T42)=SIGN('Real results'!C42-'Real results'!D42),2+IF(AND('Raw data'!S42='Real results'!C42,'Raw data'!T42='Real results'!D42),2,0),0),0),0)</f>
        <v>0</v>
      </c>
      <c r="U43" s="29">
        <f>IFERROR(IF(AND(ISNUMBER('Real results'!C42),ISNUMBER('Real results'!D42),ISNUMBER('Raw data'!U42),ISNUMBER('Raw data'!V42)),IF(SIGN('Raw data'!U42-'Raw data'!V42)=SIGN('Real results'!C42-'Real results'!D42),2+IF(AND('Raw data'!U42='Real results'!C42,'Raw data'!V42='Real results'!D42),2,0),0),0),0)</f>
        <v>0</v>
      </c>
      <c r="W43" s="29">
        <f>IFERROR(IF(AND(ISNUMBER('Real results'!C42),ISNUMBER('Real results'!D42),ISNUMBER('Raw data'!W42),ISNUMBER('Raw data'!X42)),IF(SIGN('Raw data'!W42-'Raw data'!X42)=SIGN('Real results'!C42-'Real results'!D42),2+IF(AND('Raw data'!W42='Real results'!C42,'Raw data'!X42='Real results'!D42),2,0),0),0),0)</f>
        <v>0</v>
      </c>
      <c r="Y43" s="29">
        <f>IFERROR(IF(AND(ISNUMBER('Real results'!C42),ISNUMBER('Real results'!D42),ISNUMBER('Raw data'!Y42),ISNUMBER('Raw data'!Z42)),IF(SIGN('Raw data'!Y42-'Raw data'!Z42)=SIGN('Real results'!C42-'Real results'!D42),2+IF(AND('Raw data'!Y42='Real results'!C42,'Raw data'!Z42='Real results'!D42),2,0),0),0),0)</f>
        <v>0</v>
      </c>
      <c r="AA43" s="29">
        <f>IFERROR(IF(AND(ISNUMBER('Real results'!C42),ISNUMBER('Real results'!D42),ISNUMBER('Raw data'!AA42),ISNUMBER('Raw data'!AB42)),IF(SIGN('Raw data'!AA42-'Raw data'!AB42)=SIGN('Real results'!C42-'Real results'!D42),2+IF(AND('Raw data'!AA42='Real results'!C42,'Raw data'!AB42='Real results'!D42),2,0),0),0),0)</f>
        <v>0</v>
      </c>
      <c r="AC43" s="29">
        <f>IFERROR(IF(AND(ISNUMBER('Real results'!C42),ISNUMBER('Real results'!D42),ISNUMBER('Raw data'!AC42),ISNUMBER('Raw data'!AD42)),IF(SIGN('Raw data'!AC42-'Raw data'!AD42)=SIGN('Real results'!C42-'Real results'!D42),2+IF(AND('Raw data'!AC42='Real results'!C42,'Raw data'!AD42='Real results'!D42),2,0),0),0),0)</f>
        <v>0</v>
      </c>
      <c r="AE43" s="29">
        <f>IFERROR(IF(AND(ISNUMBER('Real results'!C42),ISNUMBER('Real results'!D42),ISNUMBER('Raw data'!AE42),ISNUMBER('Raw data'!AF42)),IF(SIGN('Raw data'!AE42-'Raw data'!AF42)=SIGN('Real results'!C42-'Real results'!D42),2+IF(AND('Raw data'!AE42='Real results'!C42,'Raw data'!AF42='Real results'!D42),2,0),0),0),0)</f>
        <v>0</v>
      </c>
      <c r="AG43" s="29">
        <f>IFERROR(IF(AND(ISNUMBER('Real results'!C42),ISNUMBER('Real results'!D42),ISNUMBER('Raw data'!AG42),ISNUMBER('Raw data'!AH42)),IF(SIGN('Raw data'!AG42-'Raw data'!AH42)=SIGN('Real results'!C42-'Real results'!D42),2+IF(AND('Raw data'!AG42='Real results'!C42,'Raw data'!AH42='Real results'!D42),2,0),0),0),0)</f>
        <v>0</v>
      </c>
      <c r="AI43" s="29">
        <f>IFERROR(IF(AND(ISNUMBER('Real results'!C42),ISNUMBER('Real results'!D42),ISNUMBER('Raw data'!AI42),ISNUMBER('Raw data'!AJ42)),IF(SIGN('Raw data'!AI42-'Raw data'!AJ42)=SIGN('Real results'!C42-'Real results'!D42),2+IF(AND('Raw data'!AI42='Real results'!C42,'Raw data'!AJ42='Real results'!D42),2,0),0),0),0)</f>
        <v>0</v>
      </c>
      <c r="AK43" s="29">
        <f>IFERROR(IF(AND(ISNUMBER('Real results'!C42),ISNUMBER('Real results'!D42),ISNUMBER('Raw data'!AK42),ISNUMBER('Raw data'!AL42)),IF(SIGN('Raw data'!AK42-'Raw data'!AL42)=SIGN('Real results'!C42-'Real results'!D42),2+IF(AND('Raw data'!AK42='Real results'!C42,'Raw data'!AL42='Real results'!D42),2,0),0),0),0)</f>
        <v>0</v>
      </c>
      <c r="AM43" s="29">
        <f>IFERROR(IF(AND(ISNUMBER('Real results'!C42),ISNUMBER('Real results'!D42),ISNUMBER('Raw data'!AM42),ISNUMBER('Raw data'!AN42)),IF(SIGN('Raw data'!AM42-'Raw data'!AN42)=SIGN('Real results'!C42-'Real results'!D42),2+IF(AND('Raw data'!AM42='Real results'!C42,'Raw data'!AN42='Real results'!D42),2,0),0),0),0)</f>
        <v>0</v>
      </c>
      <c r="AO43" s="29">
        <f>IFERROR(IF(AND(ISNUMBER('Real results'!C42),ISNUMBER('Real results'!D42),ISNUMBER('Raw data'!AO42),ISNUMBER('Raw data'!AP42)),IF(SIGN('Raw data'!AO42-'Raw data'!AP42)=SIGN('Real results'!C42-'Real results'!D42),2+IF(AND('Raw data'!AO42='Real results'!C42,'Raw data'!AP42='Real results'!D42),2,0),0),0),0)</f>
        <v>0</v>
      </c>
      <c r="AQ43" s="29">
        <f>IFERROR(IF(AND(ISNUMBER('Real results'!C42),ISNUMBER('Real results'!D42),ISNUMBER('Raw data'!AQ42),ISNUMBER('Raw data'!AR42)),IF(SIGN('Raw data'!AQ42-'Raw data'!AR42)=SIGN('Real results'!C42-'Real results'!D42),2+IF(AND('Raw data'!AQ42='Real results'!C42,'Raw data'!AR42='Real results'!D42),2,0),0),0),0)</f>
        <v>0</v>
      </c>
      <c r="AS43" s="29">
        <f>IFERROR(IF(AND(ISNUMBER('Real results'!C42),ISNUMBER('Real results'!D42),ISNUMBER('Raw data'!AS42),ISNUMBER('Raw data'!AT42)),IF(SIGN('Raw data'!AS42-'Raw data'!AT42)=SIGN('Real results'!C42-'Real results'!D42),2+IF(AND('Raw data'!AS42='Real results'!C42,'Raw data'!AT42='Real results'!D42),2,0),0),0),0)</f>
        <v>0</v>
      </c>
      <c r="AU43" s="29">
        <f>IFERROR(IF(AND(ISNUMBER('Real results'!C42),ISNUMBER('Real results'!D42),ISNUMBER('Raw data'!AU42),ISNUMBER('Raw data'!AV42)),IF(SIGN('Raw data'!AU42-'Raw data'!AV42)=SIGN('Real results'!C42-'Real results'!D42),2+IF(AND('Raw data'!AU42='Real results'!C42,'Raw data'!AV42='Real results'!D42),2,0),0),0),0)</f>
        <v>0</v>
      </c>
      <c r="AW43" s="29">
        <f>IFERROR(IF(AND(ISNUMBER('Real results'!C42),ISNUMBER('Real results'!D42),ISNUMBER('Raw data'!AW42),ISNUMBER('Raw data'!AX42)),IF(SIGN('Raw data'!AW42-'Raw data'!AX42)=SIGN('Real results'!C42-'Real results'!D42),2+IF(AND('Raw data'!AW42='Real results'!C42,'Raw data'!AX42='Real results'!D42),2,0),0),0),0)</f>
        <v>0</v>
      </c>
      <c r="AY43" s="29">
        <f>IFERROR(IF(AND(ISNUMBER('Real results'!C42),ISNUMBER('Real results'!D42),ISNUMBER('Raw data'!AY42),ISNUMBER('Raw data'!AZ42)),IF(SIGN('Raw data'!AY42-'Raw data'!AZ42)=SIGN('Real results'!C42-'Real results'!D42),2+IF(AND('Raw data'!AY42='Real results'!C42,'Raw data'!AZ42='Real results'!D42),2,0),0),0),0)</f>
        <v>0</v>
      </c>
      <c r="BA43" s="29">
        <f>IFERROR(IF(AND(ISNUMBER('Real results'!C42),ISNUMBER('Real results'!D42),ISNUMBER('Raw data'!BA42),ISNUMBER('Raw data'!BB42)),IF(SIGN('Raw data'!BA42-'Raw data'!BB42)=SIGN('Real results'!C42-'Real results'!D42),2+IF(AND('Raw data'!BA42='Real results'!C42,'Raw data'!BB42='Real results'!D42),2,0),0),0),0)</f>
        <v>0</v>
      </c>
      <c r="BC43" s="29">
        <f>IFERROR(IF(AND(ISNUMBER('Real results'!C42),ISNUMBER('Real results'!D42),ISNUMBER('Raw data'!BC42),ISNUMBER('Raw data'!BD42)),IF(SIGN('Raw data'!BC42-'Raw data'!BD42)=SIGN('Real results'!C42-'Real results'!D42),2+IF(AND('Raw data'!BC42='Real results'!C42,'Raw data'!BD42='Real results'!D42),2,0),0),0),0)</f>
        <v>0</v>
      </c>
      <c r="BE43" s="29">
        <f>IFERROR(IF(AND(ISNUMBER('Real results'!C42),ISNUMBER('Real results'!D42),ISNUMBER('Raw data'!BE42),ISNUMBER('Raw data'!BF42)),IF(SIGN('Raw data'!BE42-'Raw data'!BF42)=SIGN('Real results'!C42-'Real results'!D42),2+IF(AND('Raw data'!BE42='Real results'!C42,'Raw data'!BF42='Real results'!D42),2,0),0),0),0)</f>
        <v>0</v>
      </c>
      <c r="BG43" s="29">
        <f>IFERROR(IF(AND(ISNUMBER('Real results'!C42),ISNUMBER('Real results'!D42),ISNUMBER('Raw data'!BG42),ISNUMBER('Raw data'!BH42)),IF(SIGN('Raw data'!BG42-'Raw data'!BH42)=SIGN('Real results'!C42-'Real results'!D42),2+IF(AND('Raw data'!BG42='Real results'!C42,'Raw data'!BH42='Real results'!D42),2,0),0),0),0)</f>
        <v>0</v>
      </c>
      <c r="BI43" s="29">
        <f>IFERROR(IF(AND(ISNUMBER('Real results'!C42),ISNUMBER('Real results'!D42),ISNUMBER('Raw data'!BI42),ISNUMBER('Raw data'!BJ42)),IF(SIGN('Raw data'!BI42-'Raw data'!BJ42)=SIGN('Real results'!C42-'Real results'!D42),2+IF(AND('Raw data'!BI42='Real results'!C42,'Raw data'!BJ42='Real results'!D42),2,0),0),0),0)</f>
        <v>0</v>
      </c>
    </row>
    <row r="44" ht="18.0" customHeight="1">
      <c r="A44" s="1"/>
      <c r="B44" s="13" t="s">
        <v>63</v>
      </c>
      <c r="C44" s="29">
        <f>IFERROR(IF(AND(ISNUMBER('Real results'!C43),ISNUMBER('Real results'!D43),ISNUMBER('Raw data'!C43),ISNUMBER('Raw data'!D43)),IF(SIGN('Raw data'!C43-'Raw data'!D43)=SIGN('Real results'!C43-'Real results'!D43),2+IF(AND('Raw data'!C43='Real results'!C43,'Raw data'!D43='Real results'!D43),2,0),0),0),0)</f>
        <v>0</v>
      </c>
      <c r="E44" s="29">
        <f>IFERROR(IF(AND(ISNUMBER('Real results'!C43),ISNUMBER('Real results'!D43),ISNUMBER('Raw data'!E43),ISNUMBER('Raw data'!F43)),IF(SIGN('Raw data'!E43-'Raw data'!F43)=SIGN('Real results'!C43-'Real results'!D43),2+IF(AND('Raw data'!E43='Real results'!C43,'Raw data'!F43='Real results'!D43),2,0),0),0),0)</f>
        <v>0</v>
      </c>
      <c r="G44" s="29">
        <f>IFERROR(IF(AND(ISNUMBER('Real results'!C43),ISNUMBER('Real results'!D43),ISNUMBER('Raw data'!G43),ISNUMBER('Raw data'!H43)),IF(SIGN('Raw data'!G43-'Raw data'!H43)=SIGN('Real results'!C43-'Real results'!D43),2+IF(AND('Raw data'!G43='Real results'!C43,'Raw data'!H43='Real results'!D43),2,0),0),0),0)</f>
        <v>0</v>
      </c>
      <c r="I44" s="29">
        <f>IFERROR(IF(AND(ISNUMBER('Real results'!C43),ISNUMBER('Real results'!D43),ISNUMBER('Raw data'!I43),ISNUMBER('Raw data'!J43)),IF(SIGN('Raw data'!I43-'Raw data'!J43)=SIGN('Real results'!C43-'Real results'!D43),2+IF(AND('Raw data'!I43='Real results'!C43,'Raw data'!J43='Real results'!D43),2,0),0),0),0)</f>
        <v>0</v>
      </c>
      <c r="K44" s="29">
        <f>IFERROR(IF(AND(ISNUMBER('Real results'!C43),ISNUMBER('Real results'!D43),ISNUMBER('Raw data'!K43),ISNUMBER('Raw data'!L43)),IF(SIGN('Raw data'!K43-'Raw data'!L43)=SIGN('Real results'!C43-'Real results'!D43),2+IF(AND('Raw data'!K43='Real results'!C43,'Raw data'!L43='Real results'!D43),2,0),0),0),0)</f>
        <v>0</v>
      </c>
      <c r="M44" s="29">
        <f>IFERROR(IF(AND(ISNUMBER('Real results'!C43),ISNUMBER('Real results'!D43),ISNUMBER('Raw data'!M43),ISNUMBER('Raw data'!N43)),IF(SIGN('Raw data'!M43-'Raw data'!N43)=SIGN('Real results'!C43-'Real results'!D43),2+IF(AND('Raw data'!M43='Real results'!C43,'Raw data'!N43='Real results'!D43),2,0),0),0),0)</f>
        <v>0</v>
      </c>
      <c r="O44" s="29">
        <f>IFERROR(IF(AND(ISNUMBER('Real results'!C43),ISNUMBER('Real results'!D43),ISNUMBER('Raw data'!O43),ISNUMBER('Raw data'!P43)),IF(SIGN('Raw data'!O43-'Raw data'!P43)=SIGN('Real results'!C43-'Real results'!D43),2+IF(AND('Raw data'!O43='Real results'!C43,'Raw data'!P43='Real results'!D43),2,0),0),0),0)</f>
        <v>0</v>
      </c>
      <c r="Q44" s="29">
        <f>IFERROR(IF(AND(ISNUMBER('Real results'!C43),ISNUMBER('Real results'!D43),ISNUMBER('Raw data'!Q43),ISNUMBER('Raw data'!R43)),IF(SIGN('Raw data'!Q43-'Raw data'!R43)=SIGN('Real results'!C43-'Real results'!D43),2+IF(AND('Raw data'!Q43='Real results'!C43,'Raw data'!R43='Real results'!D43),2,0),0),0),0)</f>
        <v>0</v>
      </c>
      <c r="S44" s="29">
        <f>IFERROR(IF(AND(ISNUMBER('Real results'!C43),ISNUMBER('Real results'!D43),ISNUMBER('Raw data'!S43),ISNUMBER('Raw data'!T43)),IF(SIGN('Raw data'!S43-'Raw data'!T43)=SIGN('Real results'!C43-'Real results'!D43),2+IF(AND('Raw data'!S43='Real results'!C43,'Raw data'!T43='Real results'!D43),2,0),0),0),0)</f>
        <v>0</v>
      </c>
      <c r="U44" s="29">
        <f>IFERROR(IF(AND(ISNUMBER('Real results'!C43),ISNUMBER('Real results'!D43),ISNUMBER('Raw data'!U43),ISNUMBER('Raw data'!V43)),IF(SIGN('Raw data'!U43-'Raw data'!V43)=SIGN('Real results'!C43-'Real results'!D43),2+IF(AND('Raw data'!U43='Real results'!C43,'Raw data'!V43='Real results'!D43),2,0),0),0),0)</f>
        <v>0</v>
      </c>
      <c r="W44" s="29">
        <f>IFERROR(IF(AND(ISNUMBER('Real results'!C43),ISNUMBER('Real results'!D43),ISNUMBER('Raw data'!W43),ISNUMBER('Raw data'!X43)),IF(SIGN('Raw data'!W43-'Raw data'!X43)=SIGN('Real results'!C43-'Real results'!D43),2+IF(AND('Raw data'!W43='Real results'!C43,'Raw data'!X43='Real results'!D43),2,0),0),0),0)</f>
        <v>0</v>
      </c>
      <c r="Y44" s="29">
        <f>IFERROR(IF(AND(ISNUMBER('Real results'!C43),ISNUMBER('Real results'!D43),ISNUMBER('Raw data'!Y43),ISNUMBER('Raw data'!Z43)),IF(SIGN('Raw data'!Y43-'Raw data'!Z43)=SIGN('Real results'!C43-'Real results'!D43),2+IF(AND('Raw data'!Y43='Real results'!C43,'Raw data'!Z43='Real results'!D43),2,0),0),0),0)</f>
        <v>0</v>
      </c>
      <c r="AA44" s="29">
        <f>IFERROR(IF(AND(ISNUMBER('Real results'!C43),ISNUMBER('Real results'!D43),ISNUMBER('Raw data'!AA43),ISNUMBER('Raw data'!AB43)),IF(SIGN('Raw data'!AA43-'Raw data'!AB43)=SIGN('Real results'!C43-'Real results'!D43),2+IF(AND('Raw data'!AA43='Real results'!C43,'Raw data'!AB43='Real results'!D43),2,0),0),0),0)</f>
        <v>0</v>
      </c>
      <c r="AC44" s="29">
        <f>IFERROR(IF(AND(ISNUMBER('Real results'!C43),ISNUMBER('Real results'!D43),ISNUMBER('Raw data'!AC43),ISNUMBER('Raw data'!AD43)),IF(SIGN('Raw data'!AC43-'Raw data'!AD43)=SIGN('Real results'!C43-'Real results'!D43),2+IF(AND('Raw data'!AC43='Real results'!C43,'Raw data'!AD43='Real results'!D43),2,0),0),0),0)</f>
        <v>0</v>
      </c>
      <c r="AE44" s="29">
        <f>IFERROR(IF(AND(ISNUMBER('Real results'!C43),ISNUMBER('Real results'!D43),ISNUMBER('Raw data'!AE43),ISNUMBER('Raw data'!AF43)),IF(SIGN('Raw data'!AE43-'Raw data'!AF43)=SIGN('Real results'!C43-'Real results'!D43),2+IF(AND('Raw data'!AE43='Real results'!C43,'Raw data'!AF43='Real results'!D43),2,0),0),0),0)</f>
        <v>0</v>
      </c>
      <c r="AG44" s="29">
        <f>IFERROR(IF(AND(ISNUMBER('Real results'!C43),ISNUMBER('Real results'!D43),ISNUMBER('Raw data'!AG43),ISNUMBER('Raw data'!AH43)),IF(SIGN('Raw data'!AG43-'Raw data'!AH43)=SIGN('Real results'!C43-'Real results'!D43),2+IF(AND('Raw data'!AG43='Real results'!C43,'Raw data'!AH43='Real results'!D43),2,0),0),0),0)</f>
        <v>0</v>
      </c>
      <c r="AI44" s="29">
        <f>IFERROR(IF(AND(ISNUMBER('Real results'!C43),ISNUMBER('Real results'!D43),ISNUMBER('Raw data'!AI43),ISNUMBER('Raw data'!AJ43)),IF(SIGN('Raw data'!AI43-'Raw data'!AJ43)=SIGN('Real results'!C43-'Real results'!D43),2+IF(AND('Raw data'!AI43='Real results'!C43,'Raw data'!AJ43='Real results'!D43),2,0),0),0),0)</f>
        <v>0</v>
      </c>
      <c r="AK44" s="29">
        <f>IFERROR(IF(AND(ISNUMBER('Real results'!C43),ISNUMBER('Real results'!D43),ISNUMBER('Raw data'!AK43),ISNUMBER('Raw data'!AL43)),IF(SIGN('Raw data'!AK43-'Raw data'!AL43)=SIGN('Real results'!C43-'Real results'!D43),2+IF(AND('Raw data'!AK43='Real results'!C43,'Raw data'!AL43='Real results'!D43),2,0),0),0),0)</f>
        <v>0</v>
      </c>
      <c r="AM44" s="29">
        <f>IFERROR(IF(AND(ISNUMBER('Real results'!C43),ISNUMBER('Real results'!D43),ISNUMBER('Raw data'!AM43),ISNUMBER('Raw data'!AN43)),IF(SIGN('Raw data'!AM43-'Raw data'!AN43)=SIGN('Real results'!C43-'Real results'!D43),2+IF(AND('Raw data'!AM43='Real results'!C43,'Raw data'!AN43='Real results'!D43),2,0),0),0),0)</f>
        <v>0</v>
      </c>
      <c r="AO44" s="29">
        <f>IFERROR(IF(AND(ISNUMBER('Real results'!C43),ISNUMBER('Real results'!D43),ISNUMBER('Raw data'!AO43),ISNUMBER('Raw data'!AP43)),IF(SIGN('Raw data'!AO43-'Raw data'!AP43)=SIGN('Real results'!C43-'Real results'!D43),2+IF(AND('Raw data'!AO43='Real results'!C43,'Raw data'!AP43='Real results'!D43),2,0),0),0),0)</f>
        <v>0</v>
      </c>
      <c r="AQ44" s="29">
        <f>IFERROR(IF(AND(ISNUMBER('Real results'!C43),ISNUMBER('Real results'!D43),ISNUMBER('Raw data'!AQ43),ISNUMBER('Raw data'!AR43)),IF(SIGN('Raw data'!AQ43-'Raw data'!AR43)=SIGN('Real results'!C43-'Real results'!D43),2+IF(AND('Raw data'!AQ43='Real results'!C43,'Raw data'!AR43='Real results'!D43),2,0),0),0),0)</f>
        <v>0</v>
      </c>
      <c r="AS44" s="29">
        <f>IFERROR(IF(AND(ISNUMBER('Real results'!C43),ISNUMBER('Real results'!D43),ISNUMBER('Raw data'!AS43),ISNUMBER('Raw data'!AT43)),IF(SIGN('Raw data'!AS43-'Raw data'!AT43)=SIGN('Real results'!C43-'Real results'!D43),2+IF(AND('Raw data'!AS43='Real results'!C43,'Raw data'!AT43='Real results'!D43),2,0),0),0),0)</f>
        <v>0</v>
      </c>
      <c r="AU44" s="29">
        <f>IFERROR(IF(AND(ISNUMBER('Real results'!C43),ISNUMBER('Real results'!D43),ISNUMBER('Raw data'!AU43),ISNUMBER('Raw data'!AV43)),IF(SIGN('Raw data'!AU43-'Raw data'!AV43)=SIGN('Real results'!C43-'Real results'!D43),2+IF(AND('Raw data'!AU43='Real results'!C43,'Raw data'!AV43='Real results'!D43),2,0),0),0),0)</f>
        <v>0</v>
      </c>
      <c r="AW44" s="29">
        <f>IFERROR(IF(AND(ISNUMBER('Real results'!C43),ISNUMBER('Real results'!D43),ISNUMBER('Raw data'!AW43),ISNUMBER('Raw data'!AX43)),IF(SIGN('Raw data'!AW43-'Raw data'!AX43)=SIGN('Real results'!C43-'Real results'!D43),2+IF(AND('Raw data'!AW43='Real results'!C43,'Raw data'!AX43='Real results'!D43),2,0),0),0),0)</f>
        <v>0</v>
      </c>
      <c r="AY44" s="29">
        <f>IFERROR(IF(AND(ISNUMBER('Real results'!C43),ISNUMBER('Real results'!D43),ISNUMBER('Raw data'!AY43),ISNUMBER('Raw data'!AZ43)),IF(SIGN('Raw data'!AY43-'Raw data'!AZ43)=SIGN('Real results'!C43-'Real results'!D43),2+IF(AND('Raw data'!AY43='Real results'!C43,'Raw data'!AZ43='Real results'!D43),2,0),0),0),0)</f>
        <v>0</v>
      </c>
      <c r="BA44" s="29">
        <f>IFERROR(IF(AND(ISNUMBER('Real results'!C43),ISNUMBER('Real results'!D43),ISNUMBER('Raw data'!BA43),ISNUMBER('Raw data'!BB43)),IF(SIGN('Raw data'!BA43-'Raw data'!BB43)=SIGN('Real results'!C43-'Real results'!D43),2+IF(AND('Raw data'!BA43='Real results'!C43,'Raw data'!BB43='Real results'!D43),2,0),0),0),0)</f>
        <v>0</v>
      </c>
      <c r="BC44" s="29">
        <f>IFERROR(IF(AND(ISNUMBER('Real results'!C43),ISNUMBER('Real results'!D43),ISNUMBER('Raw data'!BC43),ISNUMBER('Raw data'!BD43)),IF(SIGN('Raw data'!BC43-'Raw data'!BD43)=SIGN('Real results'!C43-'Real results'!D43),2+IF(AND('Raw data'!BC43='Real results'!C43,'Raw data'!BD43='Real results'!D43),2,0),0),0),0)</f>
        <v>0</v>
      </c>
      <c r="BE44" s="29">
        <f>IFERROR(IF(AND(ISNUMBER('Real results'!C43),ISNUMBER('Real results'!D43),ISNUMBER('Raw data'!BE43),ISNUMBER('Raw data'!BF43)),IF(SIGN('Raw data'!BE43-'Raw data'!BF43)=SIGN('Real results'!C43-'Real results'!D43),2+IF(AND('Raw data'!BE43='Real results'!C43,'Raw data'!BF43='Real results'!D43),2,0),0),0),0)</f>
        <v>0</v>
      </c>
      <c r="BG44" s="29">
        <f>IFERROR(IF(AND(ISNUMBER('Real results'!C43),ISNUMBER('Real results'!D43),ISNUMBER('Raw data'!BG43),ISNUMBER('Raw data'!BH43)),IF(SIGN('Raw data'!BG43-'Raw data'!BH43)=SIGN('Real results'!C43-'Real results'!D43),2+IF(AND('Raw data'!BG43='Real results'!C43,'Raw data'!BH43='Real results'!D43),2,0),0),0),0)</f>
        <v>0</v>
      </c>
      <c r="BI44" s="29">
        <f>IFERROR(IF(AND(ISNUMBER('Real results'!C43),ISNUMBER('Real results'!D43),ISNUMBER('Raw data'!BI43),ISNUMBER('Raw data'!BJ43)),IF(SIGN('Raw data'!BI43-'Raw data'!BJ43)=SIGN('Real results'!C43-'Real results'!D43),2+IF(AND('Raw data'!BI43='Real results'!C43,'Raw data'!BJ43='Real results'!D43),2,0),0),0),0)</f>
        <v>0</v>
      </c>
    </row>
    <row r="45" ht="18.0" customHeight="1">
      <c r="A45" s="1"/>
      <c r="B45" s="13" t="s">
        <v>64</v>
      </c>
      <c r="C45" s="29">
        <f>IFERROR(IF(AND(ISNUMBER('Real results'!C44),ISNUMBER('Real results'!D44),ISNUMBER('Raw data'!C44),ISNUMBER('Raw data'!D44)),IF(SIGN('Raw data'!C44-'Raw data'!D44)=SIGN('Real results'!C44-'Real results'!D44),2+IF(AND('Raw data'!C44='Real results'!C44,'Raw data'!D44='Real results'!D44),2,0),0),0),0)</f>
        <v>0</v>
      </c>
      <c r="E45" s="29">
        <f>IFERROR(IF(AND(ISNUMBER('Real results'!C44),ISNUMBER('Real results'!D44),ISNUMBER('Raw data'!E44),ISNUMBER('Raw data'!F44)),IF(SIGN('Raw data'!E44-'Raw data'!F44)=SIGN('Real results'!C44-'Real results'!D44),2+IF(AND('Raw data'!E44='Real results'!C44,'Raw data'!F44='Real results'!D44),2,0),0),0),0)</f>
        <v>0</v>
      </c>
      <c r="G45" s="29">
        <f>IFERROR(IF(AND(ISNUMBER('Real results'!C44),ISNUMBER('Real results'!D44),ISNUMBER('Raw data'!G44),ISNUMBER('Raw data'!H44)),IF(SIGN('Raw data'!G44-'Raw data'!H44)=SIGN('Real results'!C44-'Real results'!D44),2+IF(AND('Raw data'!G44='Real results'!C44,'Raw data'!H44='Real results'!D44),2,0),0),0),0)</f>
        <v>0</v>
      </c>
      <c r="I45" s="29">
        <f>IFERROR(IF(AND(ISNUMBER('Real results'!C44),ISNUMBER('Real results'!D44),ISNUMBER('Raw data'!I44),ISNUMBER('Raw data'!J44)),IF(SIGN('Raw data'!I44-'Raw data'!J44)=SIGN('Real results'!C44-'Real results'!D44),2+IF(AND('Raw data'!I44='Real results'!C44,'Raw data'!J44='Real results'!D44),2,0),0),0),0)</f>
        <v>0</v>
      </c>
      <c r="K45" s="29">
        <f>IFERROR(IF(AND(ISNUMBER('Real results'!C44),ISNUMBER('Real results'!D44),ISNUMBER('Raw data'!K44),ISNUMBER('Raw data'!L44)),IF(SIGN('Raw data'!K44-'Raw data'!L44)=SIGN('Real results'!C44-'Real results'!D44),2+IF(AND('Raw data'!K44='Real results'!C44,'Raw data'!L44='Real results'!D44),2,0),0),0),0)</f>
        <v>0</v>
      </c>
      <c r="M45" s="29">
        <f>IFERROR(IF(AND(ISNUMBER('Real results'!C44),ISNUMBER('Real results'!D44),ISNUMBER('Raw data'!M44),ISNUMBER('Raw data'!N44)),IF(SIGN('Raw data'!M44-'Raw data'!N44)=SIGN('Real results'!C44-'Real results'!D44),2+IF(AND('Raw data'!M44='Real results'!C44,'Raw data'!N44='Real results'!D44),2,0),0),0),0)</f>
        <v>0</v>
      </c>
      <c r="O45" s="29">
        <f>IFERROR(IF(AND(ISNUMBER('Real results'!C44),ISNUMBER('Real results'!D44),ISNUMBER('Raw data'!O44),ISNUMBER('Raw data'!P44)),IF(SIGN('Raw data'!O44-'Raw data'!P44)=SIGN('Real results'!C44-'Real results'!D44),2+IF(AND('Raw data'!O44='Real results'!C44,'Raw data'!P44='Real results'!D44),2,0),0),0),0)</f>
        <v>0</v>
      </c>
      <c r="Q45" s="29">
        <f>IFERROR(IF(AND(ISNUMBER('Real results'!C44),ISNUMBER('Real results'!D44),ISNUMBER('Raw data'!Q44),ISNUMBER('Raw data'!R44)),IF(SIGN('Raw data'!Q44-'Raw data'!R44)=SIGN('Real results'!C44-'Real results'!D44),2+IF(AND('Raw data'!Q44='Real results'!C44,'Raw data'!R44='Real results'!D44),2,0),0),0),0)</f>
        <v>0</v>
      </c>
      <c r="S45" s="29">
        <f>IFERROR(IF(AND(ISNUMBER('Real results'!C44),ISNUMBER('Real results'!D44),ISNUMBER('Raw data'!S44),ISNUMBER('Raw data'!T44)),IF(SIGN('Raw data'!S44-'Raw data'!T44)=SIGN('Real results'!C44-'Real results'!D44),2+IF(AND('Raw data'!S44='Real results'!C44,'Raw data'!T44='Real results'!D44),2,0),0),0),0)</f>
        <v>0</v>
      </c>
      <c r="U45" s="29">
        <f>IFERROR(IF(AND(ISNUMBER('Real results'!C44),ISNUMBER('Real results'!D44),ISNUMBER('Raw data'!U44),ISNUMBER('Raw data'!V44)),IF(SIGN('Raw data'!U44-'Raw data'!V44)=SIGN('Real results'!C44-'Real results'!D44),2+IF(AND('Raw data'!U44='Real results'!C44,'Raw data'!V44='Real results'!D44),2,0),0),0),0)</f>
        <v>0</v>
      </c>
      <c r="W45" s="29">
        <f>IFERROR(IF(AND(ISNUMBER('Real results'!C44),ISNUMBER('Real results'!D44),ISNUMBER('Raw data'!W44),ISNUMBER('Raw data'!X44)),IF(SIGN('Raw data'!W44-'Raw data'!X44)=SIGN('Real results'!C44-'Real results'!D44),2+IF(AND('Raw data'!W44='Real results'!C44,'Raw data'!X44='Real results'!D44),2,0),0),0),0)</f>
        <v>0</v>
      </c>
      <c r="Y45" s="29">
        <f>IFERROR(IF(AND(ISNUMBER('Real results'!C44),ISNUMBER('Real results'!D44),ISNUMBER('Raw data'!Y44),ISNUMBER('Raw data'!Z44)),IF(SIGN('Raw data'!Y44-'Raw data'!Z44)=SIGN('Real results'!C44-'Real results'!D44),2+IF(AND('Raw data'!Y44='Real results'!C44,'Raw data'!Z44='Real results'!D44),2,0),0),0),0)</f>
        <v>0</v>
      </c>
      <c r="AA45" s="29">
        <f>IFERROR(IF(AND(ISNUMBER('Real results'!C44),ISNUMBER('Real results'!D44),ISNUMBER('Raw data'!AA44),ISNUMBER('Raw data'!AB44)),IF(SIGN('Raw data'!AA44-'Raw data'!AB44)=SIGN('Real results'!C44-'Real results'!D44),2+IF(AND('Raw data'!AA44='Real results'!C44,'Raw data'!AB44='Real results'!D44),2,0),0),0),0)</f>
        <v>0</v>
      </c>
      <c r="AC45" s="29">
        <f>IFERROR(IF(AND(ISNUMBER('Real results'!C44),ISNUMBER('Real results'!D44),ISNUMBER('Raw data'!AC44),ISNUMBER('Raw data'!AD44)),IF(SIGN('Raw data'!AC44-'Raw data'!AD44)=SIGN('Real results'!C44-'Real results'!D44),2+IF(AND('Raw data'!AC44='Real results'!C44,'Raw data'!AD44='Real results'!D44),2,0),0),0),0)</f>
        <v>0</v>
      </c>
      <c r="AE45" s="29">
        <f>IFERROR(IF(AND(ISNUMBER('Real results'!C44),ISNUMBER('Real results'!D44),ISNUMBER('Raw data'!AE44),ISNUMBER('Raw data'!AF44)),IF(SIGN('Raw data'!AE44-'Raw data'!AF44)=SIGN('Real results'!C44-'Real results'!D44),2+IF(AND('Raw data'!AE44='Real results'!C44,'Raw data'!AF44='Real results'!D44),2,0),0),0),0)</f>
        <v>0</v>
      </c>
      <c r="AG45" s="29">
        <f>IFERROR(IF(AND(ISNUMBER('Real results'!C44),ISNUMBER('Real results'!D44),ISNUMBER('Raw data'!AG44),ISNUMBER('Raw data'!AH44)),IF(SIGN('Raw data'!AG44-'Raw data'!AH44)=SIGN('Real results'!C44-'Real results'!D44),2+IF(AND('Raw data'!AG44='Real results'!C44,'Raw data'!AH44='Real results'!D44),2,0),0),0),0)</f>
        <v>0</v>
      </c>
      <c r="AI45" s="29">
        <f>IFERROR(IF(AND(ISNUMBER('Real results'!C44),ISNUMBER('Real results'!D44),ISNUMBER('Raw data'!AI44),ISNUMBER('Raw data'!AJ44)),IF(SIGN('Raw data'!AI44-'Raw data'!AJ44)=SIGN('Real results'!C44-'Real results'!D44),2+IF(AND('Raw data'!AI44='Real results'!C44,'Raw data'!AJ44='Real results'!D44),2,0),0),0),0)</f>
        <v>0</v>
      </c>
      <c r="AK45" s="29">
        <f>IFERROR(IF(AND(ISNUMBER('Real results'!C44),ISNUMBER('Real results'!D44),ISNUMBER('Raw data'!AK44),ISNUMBER('Raw data'!AL44)),IF(SIGN('Raw data'!AK44-'Raw data'!AL44)=SIGN('Real results'!C44-'Real results'!D44),2+IF(AND('Raw data'!AK44='Real results'!C44,'Raw data'!AL44='Real results'!D44),2,0),0),0),0)</f>
        <v>0</v>
      </c>
      <c r="AM45" s="29">
        <f>IFERROR(IF(AND(ISNUMBER('Real results'!C44),ISNUMBER('Real results'!D44),ISNUMBER('Raw data'!AM44),ISNUMBER('Raw data'!AN44)),IF(SIGN('Raw data'!AM44-'Raw data'!AN44)=SIGN('Real results'!C44-'Real results'!D44),2+IF(AND('Raw data'!AM44='Real results'!C44,'Raw data'!AN44='Real results'!D44),2,0),0),0),0)</f>
        <v>0</v>
      </c>
      <c r="AO45" s="29">
        <f>IFERROR(IF(AND(ISNUMBER('Real results'!C44),ISNUMBER('Real results'!D44),ISNUMBER('Raw data'!AO44),ISNUMBER('Raw data'!AP44)),IF(SIGN('Raw data'!AO44-'Raw data'!AP44)=SIGN('Real results'!C44-'Real results'!D44),2+IF(AND('Raw data'!AO44='Real results'!C44,'Raw data'!AP44='Real results'!D44),2,0),0),0),0)</f>
        <v>0</v>
      </c>
      <c r="AQ45" s="29">
        <f>IFERROR(IF(AND(ISNUMBER('Real results'!C44),ISNUMBER('Real results'!D44),ISNUMBER('Raw data'!AQ44),ISNUMBER('Raw data'!AR44)),IF(SIGN('Raw data'!AQ44-'Raw data'!AR44)=SIGN('Real results'!C44-'Real results'!D44),2+IF(AND('Raw data'!AQ44='Real results'!C44,'Raw data'!AR44='Real results'!D44),2,0),0),0),0)</f>
        <v>0</v>
      </c>
      <c r="AS45" s="29">
        <f>IFERROR(IF(AND(ISNUMBER('Real results'!C44),ISNUMBER('Real results'!D44),ISNUMBER('Raw data'!AS44),ISNUMBER('Raw data'!AT44)),IF(SIGN('Raw data'!AS44-'Raw data'!AT44)=SIGN('Real results'!C44-'Real results'!D44),2+IF(AND('Raw data'!AS44='Real results'!C44,'Raw data'!AT44='Real results'!D44),2,0),0),0),0)</f>
        <v>0</v>
      </c>
      <c r="AU45" s="29">
        <f>IFERROR(IF(AND(ISNUMBER('Real results'!C44),ISNUMBER('Real results'!D44),ISNUMBER('Raw data'!AU44),ISNUMBER('Raw data'!AV44)),IF(SIGN('Raw data'!AU44-'Raw data'!AV44)=SIGN('Real results'!C44-'Real results'!D44),2+IF(AND('Raw data'!AU44='Real results'!C44,'Raw data'!AV44='Real results'!D44),2,0),0),0),0)</f>
        <v>0</v>
      </c>
      <c r="AW45" s="29">
        <f>IFERROR(IF(AND(ISNUMBER('Real results'!C44),ISNUMBER('Real results'!D44),ISNUMBER('Raw data'!AW44),ISNUMBER('Raw data'!AX44)),IF(SIGN('Raw data'!AW44-'Raw data'!AX44)=SIGN('Real results'!C44-'Real results'!D44),2+IF(AND('Raw data'!AW44='Real results'!C44,'Raw data'!AX44='Real results'!D44),2,0),0),0),0)</f>
        <v>0</v>
      </c>
      <c r="AY45" s="29">
        <f>IFERROR(IF(AND(ISNUMBER('Real results'!C44),ISNUMBER('Real results'!D44),ISNUMBER('Raw data'!AY44),ISNUMBER('Raw data'!AZ44)),IF(SIGN('Raw data'!AY44-'Raw data'!AZ44)=SIGN('Real results'!C44-'Real results'!D44),2+IF(AND('Raw data'!AY44='Real results'!C44,'Raw data'!AZ44='Real results'!D44),2,0),0),0),0)</f>
        <v>0</v>
      </c>
      <c r="BA45" s="29">
        <f>IFERROR(IF(AND(ISNUMBER('Real results'!C44),ISNUMBER('Real results'!D44),ISNUMBER('Raw data'!BA44),ISNUMBER('Raw data'!BB44)),IF(SIGN('Raw data'!BA44-'Raw data'!BB44)=SIGN('Real results'!C44-'Real results'!D44),2+IF(AND('Raw data'!BA44='Real results'!C44,'Raw data'!BB44='Real results'!D44),2,0),0),0),0)</f>
        <v>0</v>
      </c>
      <c r="BC45" s="29">
        <f>IFERROR(IF(AND(ISNUMBER('Real results'!C44),ISNUMBER('Real results'!D44),ISNUMBER('Raw data'!BC44),ISNUMBER('Raw data'!BD44)),IF(SIGN('Raw data'!BC44-'Raw data'!BD44)=SIGN('Real results'!C44-'Real results'!D44),2+IF(AND('Raw data'!BC44='Real results'!C44,'Raw data'!BD44='Real results'!D44),2,0),0),0),0)</f>
        <v>0</v>
      </c>
      <c r="BE45" s="29">
        <f>IFERROR(IF(AND(ISNUMBER('Real results'!C44),ISNUMBER('Real results'!D44),ISNUMBER('Raw data'!BE44),ISNUMBER('Raw data'!BF44)),IF(SIGN('Raw data'!BE44-'Raw data'!BF44)=SIGN('Real results'!C44-'Real results'!D44),2+IF(AND('Raw data'!BE44='Real results'!C44,'Raw data'!BF44='Real results'!D44),2,0),0),0),0)</f>
        <v>0</v>
      </c>
      <c r="BG45" s="29">
        <f>IFERROR(IF(AND(ISNUMBER('Real results'!C44),ISNUMBER('Real results'!D44),ISNUMBER('Raw data'!BG44),ISNUMBER('Raw data'!BH44)),IF(SIGN('Raw data'!BG44-'Raw data'!BH44)=SIGN('Real results'!C44-'Real results'!D44),2+IF(AND('Raw data'!BG44='Real results'!C44,'Raw data'!BH44='Real results'!D44),2,0),0),0),0)</f>
        <v>0</v>
      </c>
      <c r="BI45" s="29">
        <f>IFERROR(IF(AND(ISNUMBER('Real results'!C44),ISNUMBER('Real results'!D44),ISNUMBER('Raw data'!BI44),ISNUMBER('Raw data'!BJ44)),IF(SIGN('Raw data'!BI44-'Raw data'!BJ44)=SIGN('Real results'!C44-'Real results'!D44),2+IF(AND('Raw data'!BI44='Real results'!C44,'Raw data'!BJ44='Real results'!D44),2,0),0),0),0)</f>
        <v>0</v>
      </c>
    </row>
    <row r="46" ht="18.0" customHeight="1">
      <c r="A46" s="1"/>
      <c r="B46" s="13" t="s">
        <v>65</v>
      </c>
      <c r="C46" s="29">
        <f>IFERROR(IF(AND(ISNUMBER('Real results'!C45),ISNUMBER('Real results'!D45),ISNUMBER('Raw data'!C45),ISNUMBER('Raw data'!D45)),IF(SIGN('Raw data'!C45-'Raw data'!D45)=SIGN('Real results'!C45-'Real results'!D45),2+IF(AND('Raw data'!C45='Real results'!C45,'Raw data'!D45='Real results'!D45),2,0),0),0),0)</f>
        <v>0</v>
      </c>
      <c r="E46" s="29">
        <f>IFERROR(IF(AND(ISNUMBER('Real results'!C45),ISNUMBER('Real results'!D45),ISNUMBER('Raw data'!E45),ISNUMBER('Raw data'!F45)),IF(SIGN('Raw data'!E45-'Raw data'!F45)=SIGN('Real results'!C45-'Real results'!D45),2+IF(AND('Raw data'!E45='Real results'!C45,'Raw data'!F45='Real results'!D45),2,0),0),0),0)</f>
        <v>0</v>
      </c>
      <c r="G46" s="29">
        <f>IFERROR(IF(AND(ISNUMBER('Real results'!C45),ISNUMBER('Real results'!D45),ISNUMBER('Raw data'!G45),ISNUMBER('Raw data'!H45)),IF(SIGN('Raw data'!G45-'Raw data'!H45)=SIGN('Real results'!C45-'Real results'!D45),2+IF(AND('Raw data'!G45='Real results'!C45,'Raw data'!H45='Real results'!D45),2,0),0),0),0)</f>
        <v>0</v>
      </c>
      <c r="I46" s="29">
        <f>IFERROR(IF(AND(ISNUMBER('Real results'!C45),ISNUMBER('Real results'!D45),ISNUMBER('Raw data'!I45),ISNUMBER('Raw data'!J45)),IF(SIGN('Raw data'!I45-'Raw data'!J45)=SIGN('Real results'!C45-'Real results'!D45),2+IF(AND('Raw data'!I45='Real results'!C45,'Raw data'!J45='Real results'!D45),2,0),0),0),0)</f>
        <v>0</v>
      </c>
      <c r="K46" s="29">
        <f>IFERROR(IF(AND(ISNUMBER('Real results'!C45),ISNUMBER('Real results'!D45),ISNUMBER('Raw data'!K45),ISNUMBER('Raw data'!L45)),IF(SIGN('Raw data'!K45-'Raw data'!L45)=SIGN('Real results'!C45-'Real results'!D45),2+IF(AND('Raw data'!K45='Real results'!C45,'Raw data'!L45='Real results'!D45),2,0),0),0),0)</f>
        <v>0</v>
      </c>
      <c r="M46" s="29">
        <f>IFERROR(IF(AND(ISNUMBER('Real results'!C45),ISNUMBER('Real results'!D45),ISNUMBER('Raw data'!M45),ISNUMBER('Raw data'!N45)),IF(SIGN('Raw data'!M45-'Raw data'!N45)=SIGN('Real results'!C45-'Real results'!D45),2+IF(AND('Raw data'!M45='Real results'!C45,'Raw data'!N45='Real results'!D45),2,0),0),0),0)</f>
        <v>0</v>
      </c>
      <c r="O46" s="29">
        <f>IFERROR(IF(AND(ISNUMBER('Real results'!C45),ISNUMBER('Real results'!D45),ISNUMBER('Raw data'!O45),ISNUMBER('Raw data'!P45)),IF(SIGN('Raw data'!O45-'Raw data'!P45)=SIGN('Real results'!C45-'Real results'!D45),2+IF(AND('Raw data'!O45='Real results'!C45,'Raw data'!P45='Real results'!D45),2,0),0),0),0)</f>
        <v>0</v>
      </c>
      <c r="Q46" s="29">
        <f>IFERROR(IF(AND(ISNUMBER('Real results'!C45),ISNUMBER('Real results'!D45),ISNUMBER('Raw data'!Q45),ISNUMBER('Raw data'!R45)),IF(SIGN('Raw data'!Q45-'Raw data'!R45)=SIGN('Real results'!C45-'Real results'!D45),2+IF(AND('Raw data'!Q45='Real results'!C45,'Raw data'!R45='Real results'!D45),2,0),0),0),0)</f>
        <v>0</v>
      </c>
      <c r="S46" s="29">
        <f>IFERROR(IF(AND(ISNUMBER('Real results'!C45),ISNUMBER('Real results'!D45),ISNUMBER('Raw data'!S45),ISNUMBER('Raw data'!T45)),IF(SIGN('Raw data'!S45-'Raw data'!T45)=SIGN('Real results'!C45-'Real results'!D45),2+IF(AND('Raw data'!S45='Real results'!C45,'Raw data'!T45='Real results'!D45),2,0),0),0),0)</f>
        <v>0</v>
      </c>
      <c r="U46" s="29">
        <f>IFERROR(IF(AND(ISNUMBER('Real results'!C45),ISNUMBER('Real results'!D45),ISNUMBER('Raw data'!U45),ISNUMBER('Raw data'!V45)),IF(SIGN('Raw data'!U45-'Raw data'!V45)=SIGN('Real results'!C45-'Real results'!D45),2+IF(AND('Raw data'!U45='Real results'!C45,'Raw data'!V45='Real results'!D45),2,0),0),0),0)</f>
        <v>0</v>
      </c>
      <c r="W46" s="29">
        <f>IFERROR(IF(AND(ISNUMBER('Real results'!C45),ISNUMBER('Real results'!D45),ISNUMBER('Raw data'!W45),ISNUMBER('Raw data'!X45)),IF(SIGN('Raw data'!W45-'Raw data'!X45)=SIGN('Real results'!C45-'Real results'!D45),2+IF(AND('Raw data'!W45='Real results'!C45,'Raw data'!X45='Real results'!D45),2,0),0),0),0)</f>
        <v>0</v>
      </c>
      <c r="Y46" s="29">
        <f>IFERROR(IF(AND(ISNUMBER('Real results'!C45),ISNUMBER('Real results'!D45),ISNUMBER('Raw data'!Y45),ISNUMBER('Raw data'!Z45)),IF(SIGN('Raw data'!Y45-'Raw data'!Z45)=SIGN('Real results'!C45-'Real results'!D45),2+IF(AND('Raw data'!Y45='Real results'!C45,'Raw data'!Z45='Real results'!D45),2,0),0),0),0)</f>
        <v>0</v>
      </c>
      <c r="AA46" s="29">
        <f>IFERROR(IF(AND(ISNUMBER('Real results'!C45),ISNUMBER('Real results'!D45),ISNUMBER('Raw data'!AA45),ISNUMBER('Raw data'!AB45)),IF(SIGN('Raw data'!AA45-'Raw data'!AB45)=SIGN('Real results'!C45-'Real results'!D45),2+IF(AND('Raw data'!AA45='Real results'!C45,'Raw data'!AB45='Real results'!D45),2,0),0),0),0)</f>
        <v>0</v>
      </c>
      <c r="AC46" s="29">
        <f>IFERROR(IF(AND(ISNUMBER('Real results'!C45),ISNUMBER('Real results'!D45),ISNUMBER('Raw data'!AC45),ISNUMBER('Raw data'!AD45)),IF(SIGN('Raw data'!AC45-'Raw data'!AD45)=SIGN('Real results'!C45-'Real results'!D45),2+IF(AND('Raw data'!AC45='Real results'!C45,'Raw data'!AD45='Real results'!D45),2,0),0),0),0)</f>
        <v>0</v>
      </c>
      <c r="AE46" s="29">
        <f>IFERROR(IF(AND(ISNUMBER('Real results'!C45),ISNUMBER('Real results'!D45),ISNUMBER('Raw data'!AE45),ISNUMBER('Raw data'!AF45)),IF(SIGN('Raw data'!AE45-'Raw data'!AF45)=SIGN('Real results'!C45-'Real results'!D45),2+IF(AND('Raw data'!AE45='Real results'!C45,'Raw data'!AF45='Real results'!D45),2,0),0),0),0)</f>
        <v>0</v>
      </c>
      <c r="AG46" s="29">
        <f>IFERROR(IF(AND(ISNUMBER('Real results'!C45),ISNUMBER('Real results'!D45),ISNUMBER('Raw data'!AG45),ISNUMBER('Raw data'!AH45)),IF(SIGN('Raw data'!AG45-'Raw data'!AH45)=SIGN('Real results'!C45-'Real results'!D45),2+IF(AND('Raw data'!AG45='Real results'!C45,'Raw data'!AH45='Real results'!D45),2,0),0),0),0)</f>
        <v>0</v>
      </c>
      <c r="AI46" s="29">
        <f>IFERROR(IF(AND(ISNUMBER('Real results'!C45),ISNUMBER('Real results'!D45),ISNUMBER('Raw data'!AI45),ISNUMBER('Raw data'!AJ45)),IF(SIGN('Raw data'!AI45-'Raw data'!AJ45)=SIGN('Real results'!C45-'Real results'!D45),2+IF(AND('Raw data'!AI45='Real results'!C45,'Raw data'!AJ45='Real results'!D45),2,0),0),0),0)</f>
        <v>0</v>
      </c>
      <c r="AK46" s="29">
        <f>IFERROR(IF(AND(ISNUMBER('Real results'!C45),ISNUMBER('Real results'!D45),ISNUMBER('Raw data'!AK45),ISNUMBER('Raw data'!AL45)),IF(SIGN('Raw data'!AK45-'Raw data'!AL45)=SIGN('Real results'!C45-'Real results'!D45),2+IF(AND('Raw data'!AK45='Real results'!C45,'Raw data'!AL45='Real results'!D45),2,0),0),0),0)</f>
        <v>0</v>
      </c>
      <c r="AM46" s="29">
        <f>IFERROR(IF(AND(ISNUMBER('Real results'!C45),ISNUMBER('Real results'!D45),ISNUMBER('Raw data'!AM45),ISNUMBER('Raw data'!AN45)),IF(SIGN('Raw data'!AM45-'Raw data'!AN45)=SIGN('Real results'!C45-'Real results'!D45),2+IF(AND('Raw data'!AM45='Real results'!C45,'Raw data'!AN45='Real results'!D45),2,0),0),0),0)</f>
        <v>0</v>
      </c>
      <c r="AO46" s="29">
        <f>IFERROR(IF(AND(ISNUMBER('Real results'!C45),ISNUMBER('Real results'!D45),ISNUMBER('Raw data'!AO45),ISNUMBER('Raw data'!AP45)),IF(SIGN('Raw data'!AO45-'Raw data'!AP45)=SIGN('Real results'!C45-'Real results'!D45),2+IF(AND('Raw data'!AO45='Real results'!C45,'Raw data'!AP45='Real results'!D45),2,0),0),0),0)</f>
        <v>0</v>
      </c>
      <c r="AQ46" s="29">
        <f>IFERROR(IF(AND(ISNUMBER('Real results'!C45),ISNUMBER('Real results'!D45),ISNUMBER('Raw data'!AQ45),ISNUMBER('Raw data'!AR45)),IF(SIGN('Raw data'!AQ45-'Raw data'!AR45)=SIGN('Real results'!C45-'Real results'!D45),2+IF(AND('Raw data'!AQ45='Real results'!C45,'Raw data'!AR45='Real results'!D45),2,0),0),0),0)</f>
        <v>0</v>
      </c>
      <c r="AS46" s="29">
        <f>IFERROR(IF(AND(ISNUMBER('Real results'!C45),ISNUMBER('Real results'!D45),ISNUMBER('Raw data'!AS45),ISNUMBER('Raw data'!AT45)),IF(SIGN('Raw data'!AS45-'Raw data'!AT45)=SIGN('Real results'!C45-'Real results'!D45),2+IF(AND('Raw data'!AS45='Real results'!C45,'Raw data'!AT45='Real results'!D45),2,0),0),0),0)</f>
        <v>0</v>
      </c>
      <c r="AU46" s="29">
        <f>IFERROR(IF(AND(ISNUMBER('Real results'!C45),ISNUMBER('Real results'!D45),ISNUMBER('Raw data'!AU45),ISNUMBER('Raw data'!AV45)),IF(SIGN('Raw data'!AU45-'Raw data'!AV45)=SIGN('Real results'!C45-'Real results'!D45),2+IF(AND('Raw data'!AU45='Real results'!C45,'Raw data'!AV45='Real results'!D45),2,0),0),0),0)</f>
        <v>0</v>
      </c>
      <c r="AW46" s="29">
        <f>IFERROR(IF(AND(ISNUMBER('Real results'!C45),ISNUMBER('Real results'!D45),ISNUMBER('Raw data'!AW45),ISNUMBER('Raw data'!AX45)),IF(SIGN('Raw data'!AW45-'Raw data'!AX45)=SIGN('Real results'!C45-'Real results'!D45),2+IF(AND('Raw data'!AW45='Real results'!C45,'Raw data'!AX45='Real results'!D45),2,0),0),0),0)</f>
        <v>0</v>
      </c>
      <c r="AY46" s="29">
        <f>IFERROR(IF(AND(ISNUMBER('Real results'!C45),ISNUMBER('Real results'!D45),ISNUMBER('Raw data'!AY45),ISNUMBER('Raw data'!AZ45)),IF(SIGN('Raw data'!AY45-'Raw data'!AZ45)=SIGN('Real results'!C45-'Real results'!D45),2+IF(AND('Raw data'!AY45='Real results'!C45,'Raw data'!AZ45='Real results'!D45),2,0),0),0),0)</f>
        <v>0</v>
      </c>
      <c r="BA46" s="29">
        <f>IFERROR(IF(AND(ISNUMBER('Real results'!C45),ISNUMBER('Real results'!D45),ISNUMBER('Raw data'!BA45),ISNUMBER('Raw data'!BB45)),IF(SIGN('Raw data'!BA45-'Raw data'!BB45)=SIGN('Real results'!C45-'Real results'!D45),2+IF(AND('Raw data'!BA45='Real results'!C45,'Raw data'!BB45='Real results'!D45),2,0),0),0),0)</f>
        <v>0</v>
      </c>
      <c r="BC46" s="29">
        <f>IFERROR(IF(AND(ISNUMBER('Real results'!C45),ISNUMBER('Real results'!D45),ISNUMBER('Raw data'!BC45),ISNUMBER('Raw data'!BD45)),IF(SIGN('Raw data'!BC45-'Raw data'!BD45)=SIGN('Real results'!C45-'Real results'!D45),2+IF(AND('Raw data'!BC45='Real results'!C45,'Raw data'!BD45='Real results'!D45),2,0),0),0),0)</f>
        <v>0</v>
      </c>
      <c r="BE46" s="29">
        <f>IFERROR(IF(AND(ISNUMBER('Real results'!C45),ISNUMBER('Real results'!D45),ISNUMBER('Raw data'!BE45),ISNUMBER('Raw data'!BF45)),IF(SIGN('Raw data'!BE45-'Raw data'!BF45)=SIGN('Real results'!C45-'Real results'!D45),2+IF(AND('Raw data'!BE45='Real results'!C45,'Raw data'!BF45='Real results'!D45),2,0),0),0),0)</f>
        <v>0</v>
      </c>
      <c r="BG46" s="29">
        <f>IFERROR(IF(AND(ISNUMBER('Real results'!C45),ISNUMBER('Real results'!D45),ISNUMBER('Raw data'!BG45),ISNUMBER('Raw data'!BH45)),IF(SIGN('Raw data'!BG45-'Raw data'!BH45)=SIGN('Real results'!C45-'Real results'!D45),2+IF(AND('Raw data'!BG45='Real results'!C45,'Raw data'!BH45='Real results'!D45),2,0),0),0),0)</f>
        <v>0</v>
      </c>
      <c r="BI46" s="29">
        <f>IFERROR(IF(AND(ISNUMBER('Real results'!C45),ISNUMBER('Real results'!D45),ISNUMBER('Raw data'!BI45),ISNUMBER('Raw data'!BJ45)),IF(SIGN('Raw data'!BI45-'Raw data'!BJ45)=SIGN('Real results'!C45-'Real results'!D45),2+IF(AND('Raw data'!BI45='Real results'!C45,'Raw data'!BJ45='Real results'!D45),2,0),0),0),0)</f>
        <v>0</v>
      </c>
    </row>
    <row r="47" ht="18.0" customHeight="1">
      <c r="A47" s="1"/>
      <c r="B47" s="13" t="s">
        <v>66</v>
      </c>
      <c r="C47" s="29">
        <f>IFERROR(IF(AND(ISNUMBER('Real results'!C46),ISNUMBER('Real results'!D46),ISNUMBER('Raw data'!C46),ISNUMBER('Raw data'!D46)),IF(SIGN('Raw data'!C46-'Raw data'!D46)=SIGN('Real results'!C46-'Real results'!D46),2+IF(AND('Raw data'!C46='Real results'!C46,'Raw data'!D46='Real results'!D46),2,0),0),0),0)</f>
        <v>0</v>
      </c>
      <c r="E47" s="29">
        <f>IFERROR(IF(AND(ISNUMBER('Real results'!C46),ISNUMBER('Real results'!D46),ISNUMBER('Raw data'!E46),ISNUMBER('Raw data'!F46)),IF(SIGN('Raw data'!E46-'Raw data'!F46)=SIGN('Real results'!C46-'Real results'!D46),2+IF(AND('Raw data'!E46='Real results'!C46,'Raw data'!F46='Real results'!D46),2,0),0),0),0)</f>
        <v>0</v>
      </c>
      <c r="G47" s="29">
        <f>IFERROR(IF(AND(ISNUMBER('Real results'!C46),ISNUMBER('Real results'!D46),ISNUMBER('Raw data'!G46),ISNUMBER('Raw data'!H46)),IF(SIGN('Raw data'!G46-'Raw data'!H46)=SIGN('Real results'!C46-'Real results'!D46),2+IF(AND('Raw data'!G46='Real results'!C46,'Raw data'!H46='Real results'!D46),2,0),0),0),0)</f>
        <v>0</v>
      </c>
      <c r="I47" s="29">
        <f>IFERROR(IF(AND(ISNUMBER('Real results'!C46),ISNUMBER('Real results'!D46),ISNUMBER('Raw data'!I46),ISNUMBER('Raw data'!J46)),IF(SIGN('Raw data'!I46-'Raw data'!J46)=SIGN('Real results'!C46-'Real results'!D46),2+IF(AND('Raw data'!I46='Real results'!C46,'Raw data'!J46='Real results'!D46),2,0),0),0),0)</f>
        <v>0</v>
      </c>
      <c r="K47" s="29">
        <f>IFERROR(IF(AND(ISNUMBER('Real results'!C46),ISNUMBER('Real results'!D46),ISNUMBER('Raw data'!K46),ISNUMBER('Raw data'!L46)),IF(SIGN('Raw data'!K46-'Raw data'!L46)=SIGN('Real results'!C46-'Real results'!D46),2+IF(AND('Raw data'!K46='Real results'!C46,'Raw data'!L46='Real results'!D46),2,0),0),0),0)</f>
        <v>0</v>
      </c>
      <c r="M47" s="29">
        <f>IFERROR(IF(AND(ISNUMBER('Real results'!C46),ISNUMBER('Real results'!D46),ISNUMBER('Raw data'!M46),ISNUMBER('Raw data'!N46)),IF(SIGN('Raw data'!M46-'Raw data'!N46)=SIGN('Real results'!C46-'Real results'!D46),2+IF(AND('Raw data'!M46='Real results'!C46,'Raw data'!N46='Real results'!D46),2,0),0),0),0)</f>
        <v>0</v>
      </c>
      <c r="O47" s="29">
        <f>IFERROR(IF(AND(ISNUMBER('Real results'!C46),ISNUMBER('Real results'!D46),ISNUMBER('Raw data'!O46),ISNUMBER('Raw data'!P46)),IF(SIGN('Raw data'!O46-'Raw data'!P46)=SIGN('Real results'!C46-'Real results'!D46),2+IF(AND('Raw data'!O46='Real results'!C46,'Raw data'!P46='Real results'!D46),2,0),0),0),0)</f>
        <v>0</v>
      </c>
      <c r="Q47" s="29">
        <f>IFERROR(IF(AND(ISNUMBER('Real results'!C46),ISNUMBER('Real results'!D46),ISNUMBER('Raw data'!Q46),ISNUMBER('Raw data'!R46)),IF(SIGN('Raw data'!Q46-'Raw data'!R46)=SIGN('Real results'!C46-'Real results'!D46),2+IF(AND('Raw data'!Q46='Real results'!C46,'Raw data'!R46='Real results'!D46),2,0),0),0),0)</f>
        <v>0</v>
      </c>
      <c r="S47" s="29">
        <f>IFERROR(IF(AND(ISNUMBER('Real results'!C46),ISNUMBER('Real results'!D46),ISNUMBER('Raw data'!S46),ISNUMBER('Raw data'!T46)),IF(SIGN('Raw data'!S46-'Raw data'!T46)=SIGN('Real results'!C46-'Real results'!D46),2+IF(AND('Raw data'!S46='Real results'!C46,'Raw data'!T46='Real results'!D46),2,0),0),0),0)</f>
        <v>0</v>
      </c>
      <c r="U47" s="29">
        <f>IFERROR(IF(AND(ISNUMBER('Real results'!C46),ISNUMBER('Real results'!D46),ISNUMBER('Raw data'!U46),ISNUMBER('Raw data'!V46)),IF(SIGN('Raw data'!U46-'Raw data'!V46)=SIGN('Real results'!C46-'Real results'!D46),2+IF(AND('Raw data'!U46='Real results'!C46,'Raw data'!V46='Real results'!D46),2,0),0),0),0)</f>
        <v>0</v>
      </c>
      <c r="W47" s="29">
        <f>IFERROR(IF(AND(ISNUMBER('Real results'!C46),ISNUMBER('Real results'!D46),ISNUMBER('Raw data'!W46),ISNUMBER('Raw data'!X46)),IF(SIGN('Raw data'!W46-'Raw data'!X46)=SIGN('Real results'!C46-'Real results'!D46),2+IF(AND('Raw data'!W46='Real results'!C46,'Raw data'!X46='Real results'!D46),2,0),0),0),0)</f>
        <v>0</v>
      </c>
      <c r="Y47" s="29">
        <f>IFERROR(IF(AND(ISNUMBER('Real results'!C46),ISNUMBER('Real results'!D46),ISNUMBER('Raw data'!Y46),ISNUMBER('Raw data'!Z46)),IF(SIGN('Raw data'!Y46-'Raw data'!Z46)=SIGN('Real results'!C46-'Real results'!D46),2+IF(AND('Raw data'!Y46='Real results'!C46,'Raw data'!Z46='Real results'!D46),2,0),0),0),0)</f>
        <v>0</v>
      </c>
      <c r="AA47" s="29">
        <f>IFERROR(IF(AND(ISNUMBER('Real results'!C46),ISNUMBER('Real results'!D46),ISNUMBER('Raw data'!AA46),ISNUMBER('Raw data'!AB46)),IF(SIGN('Raw data'!AA46-'Raw data'!AB46)=SIGN('Real results'!C46-'Real results'!D46),2+IF(AND('Raw data'!AA46='Real results'!C46,'Raw data'!AB46='Real results'!D46),2,0),0),0),0)</f>
        <v>0</v>
      </c>
      <c r="AC47" s="29">
        <f>IFERROR(IF(AND(ISNUMBER('Real results'!C46),ISNUMBER('Real results'!D46),ISNUMBER('Raw data'!AC46),ISNUMBER('Raw data'!AD46)),IF(SIGN('Raw data'!AC46-'Raw data'!AD46)=SIGN('Real results'!C46-'Real results'!D46),2+IF(AND('Raw data'!AC46='Real results'!C46,'Raw data'!AD46='Real results'!D46),2,0),0),0),0)</f>
        <v>0</v>
      </c>
      <c r="AE47" s="29">
        <f>IFERROR(IF(AND(ISNUMBER('Real results'!C46),ISNUMBER('Real results'!D46),ISNUMBER('Raw data'!AE46),ISNUMBER('Raw data'!AF46)),IF(SIGN('Raw data'!AE46-'Raw data'!AF46)=SIGN('Real results'!C46-'Real results'!D46),2+IF(AND('Raw data'!AE46='Real results'!C46,'Raw data'!AF46='Real results'!D46),2,0),0),0),0)</f>
        <v>0</v>
      </c>
      <c r="AG47" s="29">
        <f>IFERROR(IF(AND(ISNUMBER('Real results'!C46),ISNUMBER('Real results'!D46),ISNUMBER('Raw data'!AG46),ISNUMBER('Raw data'!AH46)),IF(SIGN('Raw data'!AG46-'Raw data'!AH46)=SIGN('Real results'!C46-'Real results'!D46),2+IF(AND('Raw data'!AG46='Real results'!C46,'Raw data'!AH46='Real results'!D46),2,0),0),0),0)</f>
        <v>0</v>
      </c>
      <c r="AI47" s="29">
        <f>IFERROR(IF(AND(ISNUMBER('Real results'!C46),ISNUMBER('Real results'!D46),ISNUMBER('Raw data'!AI46),ISNUMBER('Raw data'!AJ46)),IF(SIGN('Raw data'!AI46-'Raw data'!AJ46)=SIGN('Real results'!C46-'Real results'!D46),2+IF(AND('Raw data'!AI46='Real results'!C46,'Raw data'!AJ46='Real results'!D46),2,0),0),0),0)</f>
        <v>0</v>
      </c>
      <c r="AK47" s="29">
        <f>IFERROR(IF(AND(ISNUMBER('Real results'!C46),ISNUMBER('Real results'!D46),ISNUMBER('Raw data'!AK46),ISNUMBER('Raw data'!AL46)),IF(SIGN('Raw data'!AK46-'Raw data'!AL46)=SIGN('Real results'!C46-'Real results'!D46),2+IF(AND('Raw data'!AK46='Real results'!C46,'Raw data'!AL46='Real results'!D46),2,0),0),0),0)</f>
        <v>0</v>
      </c>
      <c r="AM47" s="29">
        <f>IFERROR(IF(AND(ISNUMBER('Real results'!C46),ISNUMBER('Real results'!D46),ISNUMBER('Raw data'!AM46),ISNUMBER('Raw data'!AN46)),IF(SIGN('Raw data'!AM46-'Raw data'!AN46)=SIGN('Real results'!C46-'Real results'!D46),2+IF(AND('Raw data'!AM46='Real results'!C46,'Raw data'!AN46='Real results'!D46),2,0),0),0),0)</f>
        <v>0</v>
      </c>
      <c r="AO47" s="29">
        <f>IFERROR(IF(AND(ISNUMBER('Real results'!C46),ISNUMBER('Real results'!D46),ISNUMBER('Raw data'!AO46),ISNUMBER('Raw data'!AP46)),IF(SIGN('Raw data'!AO46-'Raw data'!AP46)=SIGN('Real results'!C46-'Real results'!D46),2+IF(AND('Raw data'!AO46='Real results'!C46,'Raw data'!AP46='Real results'!D46),2,0),0),0),0)</f>
        <v>0</v>
      </c>
      <c r="AQ47" s="29">
        <f>IFERROR(IF(AND(ISNUMBER('Real results'!C46),ISNUMBER('Real results'!D46),ISNUMBER('Raw data'!AQ46),ISNUMBER('Raw data'!AR46)),IF(SIGN('Raw data'!AQ46-'Raw data'!AR46)=SIGN('Real results'!C46-'Real results'!D46),2+IF(AND('Raw data'!AQ46='Real results'!C46,'Raw data'!AR46='Real results'!D46),2,0),0),0),0)</f>
        <v>0</v>
      </c>
      <c r="AS47" s="29">
        <f>IFERROR(IF(AND(ISNUMBER('Real results'!C46),ISNUMBER('Real results'!D46),ISNUMBER('Raw data'!AS46),ISNUMBER('Raw data'!AT46)),IF(SIGN('Raw data'!AS46-'Raw data'!AT46)=SIGN('Real results'!C46-'Real results'!D46),2+IF(AND('Raw data'!AS46='Real results'!C46,'Raw data'!AT46='Real results'!D46),2,0),0),0),0)</f>
        <v>0</v>
      </c>
      <c r="AU47" s="29">
        <f>IFERROR(IF(AND(ISNUMBER('Real results'!C46),ISNUMBER('Real results'!D46),ISNUMBER('Raw data'!AU46),ISNUMBER('Raw data'!AV46)),IF(SIGN('Raw data'!AU46-'Raw data'!AV46)=SIGN('Real results'!C46-'Real results'!D46),2+IF(AND('Raw data'!AU46='Real results'!C46,'Raw data'!AV46='Real results'!D46),2,0),0),0),0)</f>
        <v>0</v>
      </c>
      <c r="AW47" s="29">
        <f>IFERROR(IF(AND(ISNUMBER('Real results'!C46),ISNUMBER('Real results'!D46),ISNUMBER('Raw data'!AW46),ISNUMBER('Raw data'!AX46)),IF(SIGN('Raw data'!AW46-'Raw data'!AX46)=SIGN('Real results'!C46-'Real results'!D46),2+IF(AND('Raw data'!AW46='Real results'!C46,'Raw data'!AX46='Real results'!D46),2,0),0),0),0)</f>
        <v>0</v>
      </c>
      <c r="AY47" s="29">
        <f>IFERROR(IF(AND(ISNUMBER('Real results'!C46),ISNUMBER('Real results'!D46),ISNUMBER('Raw data'!AY46),ISNUMBER('Raw data'!AZ46)),IF(SIGN('Raw data'!AY46-'Raw data'!AZ46)=SIGN('Real results'!C46-'Real results'!D46),2+IF(AND('Raw data'!AY46='Real results'!C46,'Raw data'!AZ46='Real results'!D46),2,0),0),0),0)</f>
        <v>0</v>
      </c>
      <c r="BA47" s="29">
        <f>IFERROR(IF(AND(ISNUMBER('Real results'!C46),ISNUMBER('Real results'!D46),ISNUMBER('Raw data'!BA46),ISNUMBER('Raw data'!BB46)),IF(SIGN('Raw data'!BA46-'Raw data'!BB46)=SIGN('Real results'!C46-'Real results'!D46),2+IF(AND('Raw data'!BA46='Real results'!C46,'Raw data'!BB46='Real results'!D46),2,0),0),0),0)</f>
        <v>0</v>
      </c>
      <c r="BC47" s="29">
        <f>IFERROR(IF(AND(ISNUMBER('Real results'!C46),ISNUMBER('Real results'!D46),ISNUMBER('Raw data'!BC46),ISNUMBER('Raw data'!BD46)),IF(SIGN('Raw data'!BC46-'Raw data'!BD46)=SIGN('Real results'!C46-'Real results'!D46),2+IF(AND('Raw data'!BC46='Real results'!C46,'Raw data'!BD46='Real results'!D46),2,0),0),0),0)</f>
        <v>0</v>
      </c>
      <c r="BE47" s="29">
        <f>IFERROR(IF(AND(ISNUMBER('Real results'!C46),ISNUMBER('Real results'!D46),ISNUMBER('Raw data'!BE46),ISNUMBER('Raw data'!BF46)),IF(SIGN('Raw data'!BE46-'Raw data'!BF46)=SIGN('Real results'!C46-'Real results'!D46),2+IF(AND('Raw data'!BE46='Real results'!C46,'Raw data'!BF46='Real results'!D46),2,0),0),0),0)</f>
        <v>0</v>
      </c>
      <c r="BG47" s="29">
        <f>IFERROR(IF(AND(ISNUMBER('Real results'!C46),ISNUMBER('Real results'!D46),ISNUMBER('Raw data'!BG46),ISNUMBER('Raw data'!BH46)),IF(SIGN('Raw data'!BG46-'Raw data'!BH46)=SIGN('Real results'!C46-'Real results'!D46),2+IF(AND('Raw data'!BG46='Real results'!C46,'Raw data'!BH46='Real results'!D46),2,0),0),0),0)</f>
        <v>0</v>
      </c>
      <c r="BI47" s="29">
        <f>IFERROR(IF(AND(ISNUMBER('Real results'!C46),ISNUMBER('Real results'!D46),ISNUMBER('Raw data'!BI46),ISNUMBER('Raw data'!BJ46)),IF(SIGN('Raw data'!BI46-'Raw data'!BJ46)=SIGN('Real results'!C46-'Real results'!D46),2+IF(AND('Raw data'!BI46='Real results'!C46,'Raw data'!BJ46='Real results'!D46),2,0),0),0),0)</f>
        <v>0</v>
      </c>
    </row>
    <row r="48" ht="18.0" customHeight="1">
      <c r="A48" s="1"/>
      <c r="B48" s="13" t="s">
        <v>67</v>
      </c>
      <c r="C48" s="29">
        <f>IFERROR(IF(AND(ISNUMBER('Real results'!C47),ISNUMBER('Real results'!D47),ISNUMBER('Raw data'!C47),ISNUMBER('Raw data'!D47)),IF(SIGN('Raw data'!C47-'Raw data'!D47)=SIGN('Real results'!C47-'Real results'!D47),2+IF(AND('Raw data'!C47='Real results'!C47,'Raw data'!D47='Real results'!D47),2,0),0),0),0)</f>
        <v>0</v>
      </c>
      <c r="E48" s="29">
        <f>IFERROR(IF(AND(ISNUMBER('Real results'!C47),ISNUMBER('Real results'!D47),ISNUMBER('Raw data'!E47),ISNUMBER('Raw data'!F47)),IF(SIGN('Raw data'!E47-'Raw data'!F47)=SIGN('Real results'!C47-'Real results'!D47),2+IF(AND('Raw data'!E47='Real results'!C47,'Raw data'!F47='Real results'!D47),2,0),0),0),0)</f>
        <v>0</v>
      </c>
      <c r="G48" s="29">
        <f>IFERROR(IF(AND(ISNUMBER('Real results'!C47),ISNUMBER('Real results'!D47),ISNUMBER('Raw data'!G47),ISNUMBER('Raw data'!H47)),IF(SIGN('Raw data'!G47-'Raw data'!H47)=SIGN('Real results'!C47-'Real results'!D47),2+IF(AND('Raw data'!G47='Real results'!C47,'Raw data'!H47='Real results'!D47),2,0),0),0),0)</f>
        <v>0</v>
      </c>
      <c r="I48" s="29">
        <f>IFERROR(IF(AND(ISNUMBER('Real results'!C47),ISNUMBER('Real results'!D47),ISNUMBER('Raw data'!I47),ISNUMBER('Raw data'!J47)),IF(SIGN('Raw data'!I47-'Raw data'!J47)=SIGN('Real results'!C47-'Real results'!D47),2+IF(AND('Raw data'!I47='Real results'!C47,'Raw data'!J47='Real results'!D47),2,0),0),0),0)</f>
        <v>0</v>
      </c>
      <c r="K48" s="29">
        <f>IFERROR(IF(AND(ISNUMBER('Real results'!C47),ISNUMBER('Real results'!D47),ISNUMBER('Raw data'!K47),ISNUMBER('Raw data'!L47)),IF(SIGN('Raw data'!K47-'Raw data'!L47)=SIGN('Real results'!C47-'Real results'!D47),2+IF(AND('Raw data'!K47='Real results'!C47,'Raw data'!L47='Real results'!D47),2,0),0),0),0)</f>
        <v>0</v>
      </c>
      <c r="M48" s="29">
        <f>IFERROR(IF(AND(ISNUMBER('Real results'!C47),ISNUMBER('Real results'!D47),ISNUMBER('Raw data'!M47),ISNUMBER('Raw data'!N47)),IF(SIGN('Raw data'!M47-'Raw data'!N47)=SIGN('Real results'!C47-'Real results'!D47),2+IF(AND('Raw data'!M47='Real results'!C47,'Raw data'!N47='Real results'!D47),2,0),0),0),0)</f>
        <v>0</v>
      </c>
      <c r="O48" s="29">
        <f>IFERROR(IF(AND(ISNUMBER('Real results'!C47),ISNUMBER('Real results'!D47),ISNUMBER('Raw data'!O47),ISNUMBER('Raw data'!P47)),IF(SIGN('Raw data'!O47-'Raw data'!P47)=SIGN('Real results'!C47-'Real results'!D47),2+IF(AND('Raw data'!O47='Real results'!C47,'Raw data'!P47='Real results'!D47),2,0),0),0),0)</f>
        <v>0</v>
      </c>
      <c r="Q48" s="29">
        <f>IFERROR(IF(AND(ISNUMBER('Real results'!C47),ISNUMBER('Real results'!D47),ISNUMBER('Raw data'!Q47),ISNUMBER('Raw data'!R47)),IF(SIGN('Raw data'!Q47-'Raw data'!R47)=SIGN('Real results'!C47-'Real results'!D47),2+IF(AND('Raw data'!Q47='Real results'!C47,'Raw data'!R47='Real results'!D47),2,0),0),0),0)</f>
        <v>0</v>
      </c>
      <c r="S48" s="29">
        <f>IFERROR(IF(AND(ISNUMBER('Real results'!C47),ISNUMBER('Real results'!D47),ISNUMBER('Raw data'!S47),ISNUMBER('Raw data'!T47)),IF(SIGN('Raw data'!S47-'Raw data'!T47)=SIGN('Real results'!C47-'Real results'!D47),2+IF(AND('Raw data'!S47='Real results'!C47,'Raw data'!T47='Real results'!D47),2,0),0),0),0)</f>
        <v>0</v>
      </c>
      <c r="U48" s="29">
        <f>IFERROR(IF(AND(ISNUMBER('Real results'!C47),ISNUMBER('Real results'!D47),ISNUMBER('Raw data'!U47),ISNUMBER('Raw data'!V47)),IF(SIGN('Raw data'!U47-'Raw data'!V47)=SIGN('Real results'!C47-'Real results'!D47),2+IF(AND('Raw data'!U47='Real results'!C47,'Raw data'!V47='Real results'!D47),2,0),0),0),0)</f>
        <v>0</v>
      </c>
      <c r="W48" s="29">
        <f>IFERROR(IF(AND(ISNUMBER('Real results'!C47),ISNUMBER('Real results'!D47),ISNUMBER('Raw data'!W47),ISNUMBER('Raw data'!X47)),IF(SIGN('Raw data'!W47-'Raw data'!X47)=SIGN('Real results'!C47-'Real results'!D47),2+IF(AND('Raw data'!W47='Real results'!C47,'Raw data'!X47='Real results'!D47),2,0),0),0),0)</f>
        <v>0</v>
      </c>
      <c r="Y48" s="29">
        <f>IFERROR(IF(AND(ISNUMBER('Real results'!C47),ISNUMBER('Real results'!D47),ISNUMBER('Raw data'!Y47),ISNUMBER('Raw data'!Z47)),IF(SIGN('Raw data'!Y47-'Raw data'!Z47)=SIGN('Real results'!C47-'Real results'!D47),2+IF(AND('Raw data'!Y47='Real results'!C47,'Raw data'!Z47='Real results'!D47),2,0),0),0),0)</f>
        <v>0</v>
      </c>
      <c r="AA48" s="29">
        <f>IFERROR(IF(AND(ISNUMBER('Real results'!C47),ISNUMBER('Real results'!D47),ISNUMBER('Raw data'!AA47),ISNUMBER('Raw data'!AB47)),IF(SIGN('Raw data'!AA47-'Raw data'!AB47)=SIGN('Real results'!C47-'Real results'!D47),2+IF(AND('Raw data'!AA47='Real results'!C47,'Raw data'!AB47='Real results'!D47),2,0),0),0),0)</f>
        <v>0</v>
      </c>
      <c r="AC48" s="29">
        <f>IFERROR(IF(AND(ISNUMBER('Real results'!C47),ISNUMBER('Real results'!D47),ISNUMBER('Raw data'!AC47),ISNUMBER('Raw data'!AD47)),IF(SIGN('Raw data'!AC47-'Raw data'!AD47)=SIGN('Real results'!C47-'Real results'!D47),2+IF(AND('Raw data'!AC47='Real results'!C47,'Raw data'!AD47='Real results'!D47),2,0),0),0),0)</f>
        <v>0</v>
      </c>
      <c r="AE48" s="29">
        <f>IFERROR(IF(AND(ISNUMBER('Real results'!C47),ISNUMBER('Real results'!D47),ISNUMBER('Raw data'!AE47),ISNUMBER('Raw data'!AF47)),IF(SIGN('Raw data'!AE47-'Raw data'!AF47)=SIGN('Real results'!C47-'Real results'!D47),2+IF(AND('Raw data'!AE47='Real results'!C47,'Raw data'!AF47='Real results'!D47),2,0),0),0),0)</f>
        <v>0</v>
      </c>
      <c r="AG48" s="29">
        <f>IFERROR(IF(AND(ISNUMBER('Real results'!C47),ISNUMBER('Real results'!D47),ISNUMBER('Raw data'!AG47),ISNUMBER('Raw data'!AH47)),IF(SIGN('Raw data'!AG47-'Raw data'!AH47)=SIGN('Real results'!C47-'Real results'!D47),2+IF(AND('Raw data'!AG47='Real results'!C47,'Raw data'!AH47='Real results'!D47),2,0),0),0),0)</f>
        <v>0</v>
      </c>
      <c r="AI48" s="29">
        <f>IFERROR(IF(AND(ISNUMBER('Real results'!C47),ISNUMBER('Real results'!D47),ISNUMBER('Raw data'!AI47),ISNUMBER('Raw data'!AJ47)),IF(SIGN('Raw data'!AI47-'Raw data'!AJ47)=SIGN('Real results'!C47-'Real results'!D47),2+IF(AND('Raw data'!AI47='Real results'!C47,'Raw data'!AJ47='Real results'!D47),2,0),0),0),0)</f>
        <v>0</v>
      </c>
      <c r="AK48" s="29">
        <f>IFERROR(IF(AND(ISNUMBER('Real results'!C47),ISNUMBER('Real results'!D47),ISNUMBER('Raw data'!AK47),ISNUMBER('Raw data'!AL47)),IF(SIGN('Raw data'!AK47-'Raw data'!AL47)=SIGN('Real results'!C47-'Real results'!D47),2+IF(AND('Raw data'!AK47='Real results'!C47,'Raw data'!AL47='Real results'!D47),2,0),0),0),0)</f>
        <v>0</v>
      </c>
      <c r="AM48" s="29">
        <f>IFERROR(IF(AND(ISNUMBER('Real results'!C47),ISNUMBER('Real results'!D47),ISNUMBER('Raw data'!AM47),ISNUMBER('Raw data'!AN47)),IF(SIGN('Raw data'!AM47-'Raw data'!AN47)=SIGN('Real results'!C47-'Real results'!D47),2+IF(AND('Raw data'!AM47='Real results'!C47,'Raw data'!AN47='Real results'!D47),2,0),0),0),0)</f>
        <v>0</v>
      </c>
      <c r="AO48" s="29">
        <f>IFERROR(IF(AND(ISNUMBER('Real results'!C47),ISNUMBER('Real results'!D47),ISNUMBER('Raw data'!AO47),ISNUMBER('Raw data'!AP47)),IF(SIGN('Raw data'!AO47-'Raw data'!AP47)=SIGN('Real results'!C47-'Real results'!D47),2+IF(AND('Raw data'!AO47='Real results'!C47,'Raw data'!AP47='Real results'!D47),2,0),0),0),0)</f>
        <v>0</v>
      </c>
      <c r="AQ48" s="29">
        <f>IFERROR(IF(AND(ISNUMBER('Real results'!C47),ISNUMBER('Real results'!D47),ISNUMBER('Raw data'!AQ47),ISNUMBER('Raw data'!AR47)),IF(SIGN('Raw data'!AQ47-'Raw data'!AR47)=SIGN('Real results'!C47-'Real results'!D47),2+IF(AND('Raw data'!AQ47='Real results'!C47,'Raw data'!AR47='Real results'!D47),2,0),0),0),0)</f>
        <v>0</v>
      </c>
      <c r="AS48" s="29">
        <f>IFERROR(IF(AND(ISNUMBER('Real results'!C47),ISNUMBER('Real results'!D47),ISNUMBER('Raw data'!AS47),ISNUMBER('Raw data'!AT47)),IF(SIGN('Raw data'!AS47-'Raw data'!AT47)=SIGN('Real results'!C47-'Real results'!D47),2+IF(AND('Raw data'!AS47='Real results'!C47,'Raw data'!AT47='Real results'!D47),2,0),0),0),0)</f>
        <v>0</v>
      </c>
      <c r="AU48" s="29">
        <f>IFERROR(IF(AND(ISNUMBER('Real results'!C47),ISNUMBER('Real results'!D47),ISNUMBER('Raw data'!AU47),ISNUMBER('Raw data'!AV47)),IF(SIGN('Raw data'!AU47-'Raw data'!AV47)=SIGN('Real results'!C47-'Real results'!D47),2+IF(AND('Raw data'!AU47='Real results'!C47,'Raw data'!AV47='Real results'!D47),2,0),0),0),0)</f>
        <v>0</v>
      </c>
      <c r="AW48" s="29">
        <f>IFERROR(IF(AND(ISNUMBER('Real results'!C47),ISNUMBER('Real results'!D47),ISNUMBER('Raw data'!AW47),ISNUMBER('Raw data'!AX47)),IF(SIGN('Raw data'!AW47-'Raw data'!AX47)=SIGN('Real results'!C47-'Real results'!D47),2+IF(AND('Raw data'!AW47='Real results'!C47,'Raw data'!AX47='Real results'!D47),2,0),0),0),0)</f>
        <v>0</v>
      </c>
      <c r="AY48" s="29">
        <f>IFERROR(IF(AND(ISNUMBER('Real results'!C47),ISNUMBER('Real results'!D47),ISNUMBER('Raw data'!AY47),ISNUMBER('Raw data'!AZ47)),IF(SIGN('Raw data'!AY47-'Raw data'!AZ47)=SIGN('Real results'!C47-'Real results'!D47),2+IF(AND('Raw data'!AY47='Real results'!C47,'Raw data'!AZ47='Real results'!D47),2,0),0),0),0)</f>
        <v>0</v>
      </c>
      <c r="BA48" s="29">
        <f>IFERROR(IF(AND(ISNUMBER('Real results'!C47),ISNUMBER('Real results'!D47),ISNUMBER('Raw data'!BA47),ISNUMBER('Raw data'!BB47)),IF(SIGN('Raw data'!BA47-'Raw data'!BB47)=SIGN('Real results'!C47-'Real results'!D47),2+IF(AND('Raw data'!BA47='Real results'!C47,'Raw data'!BB47='Real results'!D47),2,0),0),0),0)</f>
        <v>0</v>
      </c>
      <c r="BC48" s="29">
        <f>IFERROR(IF(AND(ISNUMBER('Real results'!C47),ISNUMBER('Real results'!D47),ISNUMBER('Raw data'!BC47),ISNUMBER('Raw data'!BD47)),IF(SIGN('Raw data'!BC47-'Raw data'!BD47)=SIGN('Real results'!C47-'Real results'!D47),2+IF(AND('Raw data'!BC47='Real results'!C47,'Raw data'!BD47='Real results'!D47),2,0),0),0),0)</f>
        <v>0</v>
      </c>
      <c r="BE48" s="29">
        <f>IFERROR(IF(AND(ISNUMBER('Real results'!C47),ISNUMBER('Real results'!D47),ISNUMBER('Raw data'!BE47),ISNUMBER('Raw data'!BF47)),IF(SIGN('Raw data'!BE47-'Raw data'!BF47)=SIGN('Real results'!C47-'Real results'!D47),2+IF(AND('Raw data'!BE47='Real results'!C47,'Raw data'!BF47='Real results'!D47),2,0),0),0),0)</f>
        <v>0</v>
      </c>
      <c r="BG48" s="29">
        <f>IFERROR(IF(AND(ISNUMBER('Real results'!C47),ISNUMBER('Real results'!D47),ISNUMBER('Raw data'!BG47),ISNUMBER('Raw data'!BH47)),IF(SIGN('Raw data'!BG47-'Raw data'!BH47)=SIGN('Real results'!C47-'Real results'!D47),2+IF(AND('Raw data'!BG47='Real results'!C47,'Raw data'!BH47='Real results'!D47),2,0),0),0),0)</f>
        <v>0</v>
      </c>
      <c r="BI48" s="29">
        <f>IFERROR(IF(AND(ISNUMBER('Real results'!C47),ISNUMBER('Real results'!D47),ISNUMBER('Raw data'!BI47),ISNUMBER('Raw data'!BJ47)),IF(SIGN('Raw data'!BI47-'Raw data'!BJ47)=SIGN('Real results'!C47-'Real results'!D47),2+IF(AND('Raw data'!BI47='Real results'!C47,'Raw data'!BJ47='Real results'!D47),2,0),0),0),0)</f>
        <v>0</v>
      </c>
    </row>
    <row r="49" ht="18.0" customHeight="1">
      <c r="A49" s="1"/>
      <c r="B49" s="13" t="s">
        <v>68</v>
      </c>
      <c r="C49" s="29">
        <f>IFERROR(IF(AND(ISNUMBER('Real results'!C48),ISNUMBER('Real results'!D48),ISNUMBER('Raw data'!C48),ISNUMBER('Raw data'!D48)),IF(SIGN('Raw data'!C48-'Raw data'!D48)=SIGN('Real results'!C48-'Real results'!D48),2+IF(AND('Raw data'!C48='Real results'!C48,'Raw data'!D48='Real results'!D48),2,0),0),0),0)</f>
        <v>0</v>
      </c>
      <c r="E49" s="29">
        <f>IFERROR(IF(AND(ISNUMBER('Real results'!C48),ISNUMBER('Real results'!D48),ISNUMBER('Raw data'!E48),ISNUMBER('Raw data'!F48)),IF(SIGN('Raw data'!E48-'Raw data'!F48)=SIGN('Real results'!C48-'Real results'!D48),2+IF(AND('Raw data'!E48='Real results'!C48,'Raw data'!F48='Real results'!D48),2,0),0),0),0)</f>
        <v>0</v>
      </c>
      <c r="G49" s="29">
        <f>IFERROR(IF(AND(ISNUMBER('Real results'!C48),ISNUMBER('Real results'!D48),ISNUMBER('Raw data'!G48),ISNUMBER('Raw data'!H48)),IF(SIGN('Raw data'!G48-'Raw data'!H48)=SIGN('Real results'!C48-'Real results'!D48),2+IF(AND('Raw data'!G48='Real results'!C48,'Raw data'!H48='Real results'!D48),2,0),0),0),0)</f>
        <v>0</v>
      </c>
      <c r="I49" s="29">
        <f>IFERROR(IF(AND(ISNUMBER('Real results'!C48),ISNUMBER('Real results'!D48),ISNUMBER('Raw data'!I48),ISNUMBER('Raw data'!J48)),IF(SIGN('Raw data'!I48-'Raw data'!J48)=SIGN('Real results'!C48-'Real results'!D48),2+IF(AND('Raw data'!I48='Real results'!C48,'Raw data'!J48='Real results'!D48),2,0),0),0),0)</f>
        <v>0</v>
      </c>
      <c r="K49" s="29">
        <f>IFERROR(IF(AND(ISNUMBER('Real results'!C48),ISNUMBER('Real results'!D48),ISNUMBER('Raw data'!K48),ISNUMBER('Raw data'!L48)),IF(SIGN('Raw data'!K48-'Raw data'!L48)=SIGN('Real results'!C48-'Real results'!D48),2+IF(AND('Raw data'!K48='Real results'!C48,'Raw data'!L48='Real results'!D48),2,0),0),0),0)</f>
        <v>0</v>
      </c>
      <c r="M49" s="29">
        <f>IFERROR(IF(AND(ISNUMBER('Real results'!C48),ISNUMBER('Real results'!D48),ISNUMBER('Raw data'!M48),ISNUMBER('Raw data'!N48)),IF(SIGN('Raw data'!M48-'Raw data'!N48)=SIGN('Real results'!C48-'Real results'!D48),2+IF(AND('Raw data'!M48='Real results'!C48,'Raw data'!N48='Real results'!D48),2,0),0),0),0)</f>
        <v>0</v>
      </c>
      <c r="O49" s="29">
        <f>IFERROR(IF(AND(ISNUMBER('Real results'!C48),ISNUMBER('Real results'!D48),ISNUMBER('Raw data'!O48),ISNUMBER('Raw data'!P48)),IF(SIGN('Raw data'!O48-'Raw data'!P48)=SIGN('Real results'!C48-'Real results'!D48),2+IF(AND('Raw data'!O48='Real results'!C48,'Raw data'!P48='Real results'!D48),2,0),0),0),0)</f>
        <v>0</v>
      </c>
      <c r="Q49" s="29">
        <f>IFERROR(IF(AND(ISNUMBER('Real results'!C48),ISNUMBER('Real results'!D48),ISNUMBER('Raw data'!Q48),ISNUMBER('Raw data'!R48)),IF(SIGN('Raw data'!Q48-'Raw data'!R48)=SIGN('Real results'!C48-'Real results'!D48),2+IF(AND('Raw data'!Q48='Real results'!C48,'Raw data'!R48='Real results'!D48),2,0),0),0),0)</f>
        <v>0</v>
      </c>
      <c r="S49" s="29">
        <f>IFERROR(IF(AND(ISNUMBER('Real results'!C48),ISNUMBER('Real results'!D48),ISNUMBER('Raw data'!S48),ISNUMBER('Raw data'!T48)),IF(SIGN('Raw data'!S48-'Raw data'!T48)=SIGN('Real results'!C48-'Real results'!D48),2+IF(AND('Raw data'!S48='Real results'!C48,'Raw data'!T48='Real results'!D48),2,0),0),0),0)</f>
        <v>0</v>
      </c>
      <c r="U49" s="29">
        <f>IFERROR(IF(AND(ISNUMBER('Real results'!C48),ISNUMBER('Real results'!D48),ISNUMBER('Raw data'!U48),ISNUMBER('Raw data'!V48)),IF(SIGN('Raw data'!U48-'Raw data'!V48)=SIGN('Real results'!C48-'Real results'!D48),2+IF(AND('Raw data'!U48='Real results'!C48,'Raw data'!V48='Real results'!D48),2,0),0),0),0)</f>
        <v>0</v>
      </c>
      <c r="W49" s="29">
        <f>IFERROR(IF(AND(ISNUMBER('Real results'!C48),ISNUMBER('Real results'!D48),ISNUMBER('Raw data'!W48),ISNUMBER('Raw data'!X48)),IF(SIGN('Raw data'!W48-'Raw data'!X48)=SIGN('Real results'!C48-'Real results'!D48),2+IF(AND('Raw data'!W48='Real results'!C48,'Raw data'!X48='Real results'!D48),2,0),0),0),0)</f>
        <v>0</v>
      </c>
      <c r="Y49" s="29">
        <f>IFERROR(IF(AND(ISNUMBER('Real results'!C48),ISNUMBER('Real results'!D48),ISNUMBER('Raw data'!Y48),ISNUMBER('Raw data'!Z48)),IF(SIGN('Raw data'!Y48-'Raw data'!Z48)=SIGN('Real results'!C48-'Real results'!D48),2+IF(AND('Raw data'!Y48='Real results'!C48,'Raw data'!Z48='Real results'!D48),2,0),0),0),0)</f>
        <v>0</v>
      </c>
      <c r="AA49" s="29">
        <f>IFERROR(IF(AND(ISNUMBER('Real results'!C48),ISNUMBER('Real results'!D48),ISNUMBER('Raw data'!AA48),ISNUMBER('Raw data'!AB48)),IF(SIGN('Raw data'!AA48-'Raw data'!AB48)=SIGN('Real results'!C48-'Real results'!D48),2+IF(AND('Raw data'!AA48='Real results'!C48,'Raw data'!AB48='Real results'!D48),2,0),0),0),0)</f>
        <v>0</v>
      </c>
      <c r="AC49" s="29">
        <f>IFERROR(IF(AND(ISNUMBER('Real results'!C48),ISNUMBER('Real results'!D48),ISNUMBER('Raw data'!AC48),ISNUMBER('Raw data'!AD48)),IF(SIGN('Raw data'!AC48-'Raw data'!AD48)=SIGN('Real results'!C48-'Real results'!D48),2+IF(AND('Raw data'!AC48='Real results'!C48,'Raw data'!AD48='Real results'!D48),2,0),0),0),0)</f>
        <v>0</v>
      </c>
      <c r="AE49" s="29">
        <f>IFERROR(IF(AND(ISNUMBER('Real results'!C48),ISNUMBER('Real results'!D48),ISNUMBER('Raw data'!AE48),ISNUMBER('Raw data'!AF48)),IF(SIGN('Raw data'!AE48-'Raw data'!AF48)=SIGN('Real results'!C48-'Real results'!D48),2+IF(AND('Raw data'!AE48='Real results'!C48,'Raw data'!AF48='Real results'!D48),2,0),0),0),0)</f>
        <v>0</v>
      </c>
      <c r="AG49" s="29">
        <f>IFERROR(IF(AND(ISNUMBER('Real results'!C48),ISNUMBER('Real results'!D48),ISNUMBER('Raw data'!AG48),ISNUMBER('Raw data'!AH48)),IF(SIGN('Raw data'!AG48-'Raw data'!AH48)=SIGN('Real results'!C48-'Real results'!D48),2+IF(AND('Raw data'!AG48='Real results'!C48,'Raw data'!AH48='Real results'!D48),2,0),0),0),0)</f>
        <v>0</v>
      </c>
      <c r="AI49" s="29">
        <f>IFERROR(IF(AND(ISNUMBER('Real results'!C48),ISNUMBER('Real results'!D48),ISNUMBER('Raw data'!AI48),ISNUMBER('Raw data'!AJ48)),IF(SIGN('Raw data'!AI48-'Raw data'!AJ48)=SIGN('Real results'!C48-'Real results'!D48),2+IF(AND('Raw data'!AI48='Real results'!C48,'Raw data'!AJ48='Real results'!D48),2,0),0),0),0)</f>
        <v>0</v>
      </c>
      <c r="AK49" s="29">
        <f>IFERROR(IF(AND(ISNUMBER('Real results'!C48),ISNUMBER('Real results'!D48),ISNUMBER('Raw data'!AK48),ISNUMBER('Raw data'!AL48)),IF(SIGN('Raw data'!AK48-'Raw data'!AL48)=SIGN('Real results'!C48-'Real results'!D48),2+IF(AND('Raw data'!AK48='Real results'!C48,'Raw data'!AL48='Real results'!D48),2,0),0),0),0)</f>
        <v>0</v>
      </c>
      <c r="AM49" s="29">
        <f>IFERROR(IF(AND(ISNUMBER('Real results'!C48),ISNUMBER('Real results'!D48),ISNUMBER('Raw data'!AM48),ISNUMBER('Raw data'!AN48)),IF(SIGN('Raw data'!AM48-'Raw data'!AN48)=SIGN('Real results'!C48-'Real results'!D48),2+IF(AND('Raw data'!AM48='Real results'!C48,'Raw data'!AN48='Real results'!D48),2,0),0),0),0)</f>
        <v>0</v>
      </c>
      <c r="AO49" s="29">
        <f>IFERROR(IF(AND(ISNUMBER('Real results'!C48),ISNUMBER('Real results'!D48),ISNUMBER('Raw data'!AO48),ISNUMBER('Raw data'!AP48)),IF(SIGN('Raw data'!AO48-'Raw data'!AP48)=SIGN('Real results'!C48-'Real results'!D48),2+IF(AND('Raw data'!AO48='Real results'!C48,'Raw data'!AP48='Real results'!D48),2,0),0),0),0)</f>
        <v>0</v>
      </c>
      <c r="AQ49" s="29">
        <f>IFERROR(IF(AND(ISNUMBER('Real results'!C48),ISNUMBER('Real results'!D48),ISNUMBER('Raw data'!AQ48),ISNUMBER('Raw data'!AR48)),IF(SIGN('Raw data'!AQ48-'Raw data'!AR48)=SIGN('Real results'!C48-'Real results'!D48),2+IF(AND('Raw data'!AQ48='Real results'!C48,'Raw data'!AR48='Real results'!D48),2,0),0),0),0)</f>
        <v>0</v>
      </c>
      <c r="AS49" s="29">
        <f>IFERROR(IF(AND(ISNUMBER('Real results'!C48),ISNUMBER('Real results'!D48),ISNUMBER('Raw data'!AS48),ISNUMBER('Raw data'!AT48)),IF(SIGN('Raw data'!AS48-'Raw data'!AT48)=SIGN('Real results'!C48-'Real results'!D48),2+IF(AND('Raw data'!AS48='Real results'!C48,'Raw data'!AT48='Real results'!D48),2,0),0),0),0)</f>
        <v>0</v>
      </c>
      <c r="AU49" s="29">
        <f>IFERROR(IF(AND(ISNUMBER('Real results'!C48),ISNUMBER('Real results'!D48),ISNUMBER('Raw data'!AU48),ISNUMBER('Raw data'!AV48)),IF(SIGN('Raw data'!AU48-'Raw data'!AV48)=SIGN('Real results'!C48-'Real results'!D48),2+IF(AND('Raw data'!AU48='Real results'!C48,'Raw data'!AV48='Real results'!D48),2,0),0),0),0)</f>
        <v>0</v>
      </c>
      <c r="AW49" s="29">
        <f>IFERROR(IF(AND(ISNUMBER('Real results'!C48),ISNUMBER('Real results'!D48),ISNUMBER('Raw data'!AW48),ISNUMBER('Raw data'!AX48)),IF(SIGN('Raw data'!AW48-'Raw data'!AX48)=SIGN('Real results'!C48-'Real results'!D48),2+IF(AND('Raw data'!AW48='Real results'!C48,'Raw data'!AX48='Real results'!D48),2,0),0),0),0)</f>
        <v>0</v>
      </c>
      <c r="AY49" s="29">
        <f>IFERROR(IF(AND(ISNUMBER('Real results'!C48),ISNUMBER('Real results'!D48),ISNUMBER('Raw data'!AY48),ISNUMBER('Raw data'!AZ48)),IF(SIGN('Raw data'!AY48-'Raw data'!AZ48)=SIGN('Real results'!C48-'Real results'!D48),2+IF(AND('Raw data'!AY48='Real results'!C48,'Raw data'!AZ48='Real results'!D48),2,0),0),0),0)</f>
        <v>0</v>
      </c>
      <c r="BA49" s="29">
        <f>IFERROR(IF(AND(ISNUMBER('Real results'!C48),ISNUMBER('Real results'!D48),ISNUMBER('Raw data'!BA48),ISNUMBER('Raw data'!BB48)),IF(SIGN('Raw data'!BA48-'Raw data'!BB48)=SIGN('Real results'!C48-'Real results'!D48),2+IF(AND('Raw data'!BA48='Real results'!C48,'Raw data'!BB48='Real results'!D48),2,0),0),0),0)</f>
        <v>0</v>
      </c>
      <c r="BC49" s="29">
        <f>IFERROR(IF(AND(ISNUMBER('Real results'!C48),ISNUMBER('Real results'!D48),ISNUMBER('Raw data'!BC48),ISNUMBER('Raw data'!BD48)),IF(SIGN('Raw data'!BC48-'Raw data'!BD48)=SIGN('Real results'!C48-'Real results'!D48),2+IF(AND('Raw data'!BC48='Real results'!C48,'Raw data'!BD48='Real results'!D48),2,0),0),0),0)</f>
        <v>0</v>
      </c>
      <c r="BE49" s="29">
        <f>IFERROR(IF(AND(ISNUMBER('Real results'!C48),ISNUMBER('Real results'!D48),ISNUMBER('Raw data'!BE48),ISNUMBER('Raw data'!BF48)),IF(SIGN('Raw data'!BE48-'Raw data'!BF48)=SIGN('Real results'!C48-'Real results'!D48),2+IF(AND('Raw data'!BE48='Real results'!C48,'Raw data'!BF48='Real results'!D48),2,0),0),0),0)</f>
        <v>0</v>
      </c>
      <c r="BG49" s="29">
        <f>IFERROR(IF(AND(ISNUMBER('Real results'!C48),ISNUMBER('Real results'!D48),ISNUMBER('Raw data'!BG48),ISNUMBER('Raw data'!BH48)),IF(SIGN('Raw data'!BG48-'Raw data'!BH48)=SIGN('Real results'!C48-'Real results'!D48),2+IF(AND('Raw data'!BG48='Real results'!C48,'Raw data'!BH48='Real results'!D48),2,0),0),0),0)</f>
        <v>0</v>
      </c>
      <c r="BI49" s="29">
        <f>IFERROR(IF(AND(ISNUMBER('Real results'!C48),ISNUMBER('Real results'!D48),ISNUMBER('Raw data'!BI48),ISNUMBER('Raw data'!BJ48)),IF(SIGN('Raw data'!BI48-'Raw data'!BJ48)=SIGN('Real results'!C48-'Real results'!D48),2+IF(AND('Raw data'!BI48='Real results'!C48,'Raw data'!BJ48='Real results'!D48),2,0),0),0),0)</f>
        <v>0</v>
      </c>
    </row>
    <row r="50" ht="18.0" customHeight="1">
      <c r="A50" s="1"/>
      <c r="B50" s="13" t="s">
        <v>69</v>
      </c>
      <c r="C50" s="29">
        <f>IFERROR(IF(AND(ISNUMBER('Real results'!C49),ISNUMBER('Real results'!D49),ISNUMBER('Raw data'!C49),ISNUMBER('Raw data'!D49)),IF(SIGN('Raw data'!C49-'Raw data'!D49)=SIGN('Real results'!C49-'Real results'!D49),2+IF(AND('Raw data'!C49='Real results'!C49,'Raw data'!D49='Real results'!D49),2,0),0),0),0)</f>
        <v>0</v>
      </c>
      <c r="E50" s="29">
        <f>IFERROR(IF(AND(ISNUMBER('Real results'!C49),ISNUMBER('Real results'!D49),ISNUMBER('Raw data'!E49),ISNUMBER('Raw data'!F49)),IF(SIGN('Raw data'!E49-'Raw data'!F49)=SIGN('Real results'!C49-'Real results'!D49),2+IF(AND('Raw data'!E49='Real results'!C49,'Raw data'!F49='Real results'!D49),2,0),0),0),0)</f>
        <v>0</v>
      </c>
      <c r="G50" s="29">
        <f>IFERROR(IF(AND(ISNUMBER('Real results'!C49),ISNUMBER('Real results'!D49),ISNUMBER('Raw data'!G49),ISNUMBER('Raw data'!H49)),IF(SIGN('Raw data'!G49-'Raw data'!H49)=SIGN('Real results'!C49-'Real results'!D49),2+IF(AND('Raw data'!G49='Real results'!C49,'Raw data'!H49='Real results'!D49),2,0),0),0),0)</f>
        <v>0</v>
      </c>
      <c r="I50" s="29">
        <f>IFERROR(IF(AND(ISNUMBER('Real results'!C49),ISNUMBER('Real results'!D49),ISNUMBER('Raw data'!I49),ISNUMBER('Raw data'!J49)),IF(SIGN('Raw data'!I49-'Raw data'!J49)=SIGN('Real results'!C49-'Real results'!D49),2+IF(AND('Raw data'!I49='Real results'!C49,'Raw data'!J49='Real results'!D49),2,0),0),0),0)</f>
        <v>0</v>
      </c>
      <c r="K50" s="29">
        <f>IFERROR(IF(AND(ISNUMBER('Real results'!C49),ISNUMBER('Real results'!D49),ISNUMBER('Raw data'!K49),ISNUMBER('Raw data'!L49)),IF(SIGN('Raw data'!K49-'Raw data'!L49)=SIGN('Real results'!C49-'Real results'!D49),2+IF(AND('Raw data'!K49='Real results'!C49,'Raw data'!L49='Real results'!D49),2,0),0),0),0)</f>
        <v>0</v>
      </c>
      <c r="M50" s="29">
        <f>IFERROR(IF(AND(ISNUMBER('Real results'!C49),ISNUMBER('Real results'!D49),ISNUMBER('Raw data'!M49),ISNUMBER('Raw data'!N49)),IF(SIGN('Raw data'!M49-'Raw data'!N49)=SIGN('Real results'!C49-'Real results'!D49),2+IF(AND('Raw data'!M49='Real results'!C49,'Raw data'!N49='Real results'!D49),2,0),0),0),0)</f>
        <v>0</v>
      </c>
      <c r="O50" s="29">
        <f>IFERROR(IF(AND(ISNUMBER('Real results'!C49),ISNUMBER('Real results'!D49),ISNUMBER('Raw data'!O49),ISNUMBER('Raw data'!P49)),IF(SIGN('Raw data'!O49-'Raw data'!P49)=SIGN('Real results'!C49-'Real results'!D49),2+IF(AND('Raw data'!O49='Real results'!C49,'Raw data'!P49='Real results'!D49),2,0),0),0),0)</f>
        <v>0</v>
      </c>
      <c r="Q50" s="29">
        <f>IFERROR(IF(AND(ISNUMBER('Real results'!C49),ISNUMBER('Real results'!D49),ISNUMBER('Raw data'!Q49),ISNUMBER('Raw data'!R49)),IF(SIGN('Raw data'!Q49-'Raw data'!R49)=SIGN('Real results'!C49-'Real results'!D49),2+IF(AND('Raw data'!Q49='Real results'!C49,'Raw data'!R49='Real results'!D49),2,0),0),0),0)</f>
        <v>0</v>
      </c>
      <c r="S50" s="29">
        <f>IFERROR(IF(AND(ISNUMBER('Real results'!C49),ISNUMBER('Real results'!D49),ISNUMBER('Raw data'!S49),ISNUMBER('Raw data'!T49)),IF(SIGN('Raw data'!S49-'Raw data'!T49)=SIGN('Real results'!C49-'Real results'!D49),2+IF(AND('Raw data'!S49='Real results'!C49,'Raw data'!T49='Real results'!D49),2,0),0),0),0)</f>
        <v>0</v>
      </c>
      <c r="U50" s="29">
        <f>IFERROR(IF(AND(ISNUMBER('Real results'!C49),ISNUMBER('Real results'!D49),ISNUMBER('Raw data'!U49),ISNUMBER('Raw data'!V49)),IF(SIGN('Raw data'!U49-'Raw data'!V49)=SIGN('Real results'!C49-'Real results'!D49),2+IF(AND('Raw data'!U49='Real results'!C49,'Raw data'!V49='Real results'!D49),2,0),0),0),0)</f>
        <v>0</v>
      </c>
      <c r="W50" s="29">
        <f>IFERROR(IF(AND(ISNUMBER('Real results'!C49),ISNUMBER('Real results'!D49),ISNUMBER('Raw data'!W49),ISNUMBER('Raw data'!X49)),IF(SIGN('Raw data'!W49-'Raw data'!X49)=SIGN('Real results'!C49-'Real results'!D49),2+IF(AND('Raw data'!W49='Real results'!C49,'Raw data'!X49='Real results'!D49),2,0),0),0),0)</f>
        <v>0</v>
      </c>
      <c r="Y50" s="29">
        <f>IFERROR(IF(AND(ISNUMBER('Real results'!C49),ISNUMBER('Real results'!D49),ISNUMBER('Raw data'!Y49),ISNUMBER('Raw data'!Z49)),IF(SIGN('Raw data'!Y49-'Raw data'!Z49)=SIGN('Real results'!C49-'Real results'!D49),2+IF(AND('Raw data'!Y49='Real results'!C49,'Raw data'!Z49='Real results'!D49),2,0),0),0),0)</f>
        <v>0</v>
      </c>
      <c r="AA50" s="29">
        <f>IFERROR(IF(AND(ISNUMBER('Real results'!C49),ISNUMBER('Real results'!D49),ISNUMBER('Raw data'!AA49),ISNUMBER('Raw data'!AB49)),IF(SIGN('Raw data'!AA49-'Raw data'!AB49)=SIGN('Real results'!C49-'Real results'!D49),2+IF(AND('Raw data'!AA49='Real results'!C49,'Raw data'!AB49='Real results'!D49),2,0),0),0),0)</f>
        <v>0</v>
      </c>
      <c r="AC50" s="29">
        <f>IFERROR(IF(AND(ISNUMBER('Real results'!C49),ISNUMBER('Real results'!D49),ISNUMBER('Raw data'!AC49),ISNUMBER('Raw data'!AD49)),IF(SIGN('Raw data'!AC49-'Raw data'!AD49)=SIGN('Real results'!C49-'Real results'!D49),2+IF(AND('Raw data'!AC49='Real results'!C49,'Raw data'!AD49='Real results'!D49),2,0),0),0),0)</f>
        <v>0</v>
      </c>
      <c r="AE50" s="29">
        <f>IFERROR(IF(AND(ISNUMBER('Real results'!C49),ISNUMBER('Real results'!D49),ISNUMBER('Raw data'!AE49),ISNUMBER('Raw data'!AF49)),IF(SIGN('Raw data'!AE49-'Raw data'!AF49)=SIGN('Real results'!C49-'Real results'!D49),2+IF(AND('Raw data'!AE49='Real results'!C49,'Raw data'!AF49='Real results'!D49),2,0),0),0),0)</f>
        <v>0</v>
      </c>
      <c r="AG50" s="29">
        <f>IFERROR(IF(AND(ISNUMBER('Real results'!C49),ISNUMBER('Real results'!D49),ISNUMBER('Raw data'!AG49),ISNUMBER('Raw data'!AH49)),IF(SIGN('Raw data'!AG49-'Raw data'!AH49)=SIGN('Real results'!C49-'Real results'!D49),2+IF(AND('Raw data'!AG49='Real results'!C49,'Raw data'!AH49='Real results'!D49),2,0),0),0),0)</f>
        <v>0</v>
      </c>
      <c r="AI50" s="29">
        <f>IFERROR(IF(AND(ISNUMBER('Real results'!C49),ISNUMBER('Real results'!D49),ISNUMBER('Raw data'!AI49),ISNUMBER('Raw data'!AJ49)),IF(SIGN('Raw data'!AI49-'Raw data'!AJ49)=SIGN('Real results'!C49-'Real results'!D49),2+IF(AND('Raw data'!AI49='Real results'!C49,'Raw data'!AJ49='Real results'!D49),2,0),0),0),0)</f>
        <v>0</v>
      </c>
      <c r="AK50" s="29">
        <f>IFERROR(IF(AND(ISNUMBER('Real results'!C49),ISNUMBER('Real results'!D49),ISNUMBER('Raw data'!AK49),ISNUMBER('Raw data'!AL49)),IF(SIGN('Raw data'!AK49-'Raw data'!AL49)=SIGN('Real results'!C49-'Real results'!D49),2+IF(AND('Raw data'!AK49='Real results'!C49,'Raw data'!AL49='Real results'!D49),2,0),0),0),0)</f>
        <v>0</v>
      </c>
      <c r="AM50" s="29">
        <f>IFERROR(IF(AND(ISNUMBER('Real results'!C49),ISNUMBER('Real results'!D49),ISNUMBER('Raw data'!AM49),ISNUMBER('Raw data'!AN49)),IF(SIGN('Raw data'!AM49-'Raw data'!AN49)=SIGN('Real results'!C49-'Real results'!D49),2+IF(AND('Raw data'!AM49='Real results'!C49,'Raw data'!AN49='Real results'!D49),2,0),0),0),0)</f>
        <v>0</v>
      </c>
      <c r="AO50" s="29">
        <f>IFERROR(IF(AND(ISNUMBER('Real results'!C49),ISNUMBER('Real results'!D49),ISNUMBER('Raw data'!AO49),ISNUMBER('Raw data'!AP49)),IF(SIGN('Raw data'!AO49-'Raw data'!AP49)=SIGN('Real results'!C49-'Real results'!D49),2+IF(AND('Raw data'!AO49='Real results'!C49,'Raw data'!AP49='Real results'!D49),2,0),0),0),0)</f>
        <v>0</v>
      </c>
      <c r="AQ50" s="29">
        <f>IFERROR(IF(AND(ISNUMBER('Real results'!C49),ISNUMBER('Real results'!D49),ISNUMBER('Raw data'!AQ49),ISNUMBER('Raw data'!AR49)),IF(SIGN('Raw data'!AQ49-'Raw data'!AR49)=SIGN('Real results'!C49-'Real results'!D49),2+IF(AND('Raw data'!AQ49='Real results'!C49,'Raw data'!AR49='Real results'!D49),2,0),0),0),0)</f>
        <v>0</v>
      </c>
      <c r="AS50" s="29">
        <f>IFERROR(IF(AND(ISNUMBER('Real results'!C49),ISNUMBER('Real results'!D49),ISNUMBER('Raw data'!AS49),ISNUMBER('Raw data'!AT49)),IF(SIGN('Raw data'!AS49-'Raw data'!AT49)=SIGN('Real results'!C49-'Real results'!D49),2+IF(AND('Raw data'!AS49='Real results'!C49,'Raw data'!AT49='Real results'!D49),2,0),0),0),0)</f>
        <v>0</v>
      </c>
      <c r="AU50" s="29">
        <f>IFERROR(IF(AND(ISNUMBER('Real results'!C49),ISNUMBER('Real results'!D49),ISNUMBER('Raw data'!AU49),ISNUMBER('Raw data'!AV49)),IF(SIGN('Raw data'!AU49-'Raw data'!AV49)=SIGN('Real results'!C49-'Real results'!D49),2+IF(AND('Raw data'!AU49='Real results'!C49,'Raw data'!AV49='Real results'!D49),2,0),0),0),0)</f>
        <v>0</v>
      </c>
      <c r="AW50" s="29">
        <f>IFERROR(IF(AND(ISNUMBER('Real results'!C49),ISNUMBER('Real results'!D49),ISNUMBER('Raw data'!AW49),ISNUMBER('Raw data'!AX49)),IF(SIGN('Raw data'!AW49-'Raw data'!AX49)=SIGN('Real results'!C49-'Real results'!D49),2+IF(AND('Raw data'!AW49='Real results'!C49,'Raw data'!AX49='Real results'!D49),2,0),0),0),0)</f>
        <v>0</v>
      </c>
      <c r="AY50" s="29">
        <f>IFERROR(IF(AND(ISNUMBER('Real results'!C49),ISNUMBER('Real results'!D49),ISNUMBER('Raw data'!AY49),ISNUMBER('Raw data'!AZ49)),IF(SIGN('Raw data'!AY49-'Raw data'!AZ49)=SIGN('Real results'!C49-'Real results'!D49),2+IF(AND('Raw data'!AY49='Real results'!C49,'Raw data'!AZ49='Real results'!D49),2,0),0),0),0)</f>
        <v>0</v>
      </c>
      <c r="BA50" s="29">
        <f>IFERROR(IF(AND(ISNUMBER('Real results'!C49),ISNUMBER('Real results'!D49),ISNUMBER('Raw data'!BA49),ISNUMBER('Raw data'!BB49)),IF(SIGN('Raw data'!BA49-'Raw data'!BB49)=SIGN('Real results'!C49-'Real results'!D49),2+IF(AND('Raw data'!BA49='Real results'!C49,'Raw data'!BB49='Real results'!D49),2,0),0),0),0)</f>
        <v>0</v>
      </c>
      <c r="BC50" s="29">
        <f>IFERROR(IF(AND(ISNUMBER('Real results'!C49),ISNUMBER('Real results'!D49),ISNUMBER('Raw data'!BC49),ISNUMBER('Raw data'!BD49)),IF(SIGN('Raw data'!BC49-'Raw data'!BD49)=SIGN('Real results'!C49-'Real results'!D49),2+IF(AND('Raw data'!BC49='Real results'!C49,'Raw data'!BD49='Real results'!D49),2,0),0),0),0)</f>
        <v>0</v>
      </c>
      <c r="BE50" s="29">
        <f>IFERROR(IF(AND(ISNUMBER('Real results'!C49),ISNUMBER('Real results'!D49),ISNUMBER('Raw data'!BE49),ISNUMBER('Raw data'!BF49)),IF(SIGN('Raw data'!BE49-'Raw data'!BF49)=SIGN('Real results'!C49-'Real results'!D49),2+IF(AND('Raw data'!BE49='Real results'!C49,'Raw data'!BF49='Real results'!D49),2,0),0),0),0)</f>
        <v>0</v>
      </c>
      <c r="BG50" s="29">
        <f>IFERROR(IF(AND(ISNUMBER('Real results'!C49),ISNUMBER('Real results'!D49),ISNUMBER('Raw data'!BG49),ISNUMBER('Raw data'!BH49)),IF(SIGN('Raw data'!BG49-'Raw data'!BH49)=SIGN('Real results'!C49-'Real results'!D49),2+IF(AND('Raw data'!BG49='Real results'!C49,'Raw data'!BH49='Real results'!D49),2,0),0),0),0)</f>
        <v>0</v>
      </c>
      <c r="BI50" s="29">
        <f>IFERROR(IF(AND(ISNUMBER('Real results'!C49),ISNUMBER('Real results'!D49),ISNUMBER('Raw data'!BI49),ISNUMBER('Raw data'!BJ49)),IF(SIGN('Raw data'!BI49-'Raw data'!BJ49)=SIGN('Real results'!C49-'Real results'!D49),2+IF(AND('Raw data'!BI49='Real results'!C49,'Raw data'!BJ49='Real results'!D49),2,0),0),0),0)</f>
        <v>0</v>
      </c>
    </row>
    <row r="51" ht="18.0" customHeight="1">
      <c r="A51" s="1"/>
      <c r="B51" s="13" t="s">
        <v>70</v>
      </c>
      <c r="C51" s="29">
        <f>IFERROR(IF(AND(ISNUMBER('Real results'!C50),ISNUMBER('Real results'!D50),ISNUMBER('Raw data'!C50),ISNUMBER('Raw data'!D50)),IF(SIGN('Raw data'!C50-'Raw data'!D50)=SIGN('Real results'!C50-'Real results'!D50),2+IF(AND('Raw data'!C50='Real results'!C50,'Raw data'!D50='Real results'!D50),2,0),0),0),0)</f>
        <v>0</v>
      </c>
      <c r="E51" s="29">
        <f>IFERROR(IF(AND(ISNUMBER('Real results'!C50),ISNUMBER('Real results'!D50),ISNUMBER('Raw data'!E50),ISNUMBER('Raw data'!F50)),IF(SIGN('Raw data'!E50-'Raw data'!F50)=SIGN('Real results'!C50-'Real results'!D50),2+IF(AND('Raw data'!E50='Real results'!C50,'Raw data'!F50='Real results'!D50),2,0),0),0),0)</f>
        <v>0</v>
      </c>
      <c r="G51" s="29">
        <f>IFERROR(IF(AND(ISNUMBER('Real results'!C50),ISNUMBER('Real results'!D50),ISNUMBER('Raw data'!G50),ISNUMBER('Raw data'!H50)),IF(SIGN('Raw data'!G50-'Raw data'!H50)=SIGN('Real results'!C50-'Real results'!D50),2+IF(AND('Raw data'!G50='Real results'!C50,'Raw data'!H50='Real results'!D50),2,0),0),0),0)</f>
        <v>0</v>
      </c>
      <c r="I51" s="29">
        <f>IFERROR(IF(AND(ISNUMBER('Real results'!C50),ISNUMBER('Real results'!D50),ISNUMBER('Raw data'!I50),ISNUMBER('Raw data'!J50)),IF(SIGN('Raw data'!I50-'Raw data'!J50)=SIGN('Real results'!C50-'Real results'!D50),2+IF(AND('Raw data'!I50='Real results'!C50,'Raw data'!J50='Real results'!D50),2,0),0),0),0)</f>
        <v>0</v>
      </c>
      <c r="K51" s="29">
        <f>IFERROR(IF(AND(ISNUMBER('Real results'!C50),ISNUMBER('Real results'!D50),ISNUMBER('Raw data'!K50),ISNUMBER('Raw data'!L50)),IF(SIGN('Raw data'!K50-'Raw data'!L50)=SIGN('Real results'!C50-'Real results'!D50),2+IF(AND('Raw data'!K50='Real results'!C50,'Raw data'!L50='Real results'!D50),2,0),0),0),0)</f>
        <v>0</v>
      </c>
      <c r="M51" s="29">
        <f>IFERROR(IF(AND(ISNUMBER('Real results'!C50),ISNUMBER('Real results'!D50),ISNUMBER('Raw data'!M50),ISNUMBER('Raw data'!N50)),IF(SIGN('Raw data'!M50-'Raw data'!N50)=SIGN('Real results'!C50-'Real results'!D50),2+IF(AND('Raw data'!M50='Real results'!C50,'Raw data'!N50='Real results'!D50),2,0),0),0),0)</f>
        <v>0</v>
      </c>
      <c r="O51" s="29">
        <f>IFERROR(IF(AND(ISNUMBER('Real results'!C50),ISNUMBER('Real results'!D50),ISNUMBER('Raw data'!O50),ISNUMBER('Raw data'!P50)),IF(SIGN('Raw data'!O50-'Raw data'!P50)=SIGN('Real results'!C50-'Real results'!D50),2+IF(AND('Raw data'!O50='Real results'!C50,'Raw data'!P50='Real results'!D50),2,0),0),0),0)</f>
        <v>0</v>
      </c>
      <c r="Q51" s="29">
        <f>IFERROR(IF(AND(ISNUMBER('Real results'!C50),ISNUMBER('Real results'!D50),ISNUMBER('Raw data'!Q50),ISNUMBER('Raw data'!R50)),IF(SIGN('Raw data'!Q50-'Raw data'!R50)=SIGN('Real results'!C50-'Real results'!D50),2+IF(AND('Raw data'!Q50='Real results'!C50,'Raw data'!R50='Real results'!D50),2,0),0),0),0)</f>
        <v>0</v>
      </c>
      <c r="S51" s="29">
        <f>IFERROR(IF(AND(ISNUMBER('Real results'!C50),ISNUMBER('Real results'!D50),ISNUMBER('Raw data'!S50),ISNUMBER('Raw data'!T50)),IF(SIGN('Raw data'!S50-'Raw data'!T50)=SIGN('Real results'!C50-'Real results'!D50),2+IF(AND('Raw data'!S50='Real results'!C50,'Raw data'!T50='Real results'!D50),2,0),0),0),0)</f>
        <v>0</v>
      </c>
      <c r="U51" s="29">
        <f>IFERROR(IF(AND(ISNUMBER('Real results'!C50),ISNUMBER('Real results'!D50),ISNUMBER('Raw data'!U50),ISNUMBER('Raw data'!V50)),IF(SIGN('Raw data'!U50-'Raw data'!V50)=SIGN('Real results'!C50-'Real results'!D50),2+IF(AND('Raw data'!U50='Real results'!C50,'Raw data'!V50='Real results'!D50),2,0),0),0),0)</f>
        <v>0</v>
      </c>
      <c r="W51" s="29">
        <f>IFERROR(IF(AND(ISNUMBER('Real results'!C50),ISNUMBER('Real results'!D50),ISNUMBER('Raw data'!W50),ISNUMBER('Raw data'!X50)),IF(SIGN('Raw data'!W50-'Raw data'!X50)=SIGN('Real results'!C50-'Real results'!D50),2+IF(AND('Raw data'!W50='Real results'!C50,'Raw data'!X50='Real results'!D50),2,0),0),0),0)</f>
        <v>0</v>
      </c>
      <c r="Y51" s="29">
        <f>IFERROR(IF(AND(ISNUMBER('Real results'!C50),ISNUMBER('Real results'!D50),ISNUMBER('Raw data'!Y50),ISNUMBER('Raw data'!Z50)),IF(SIGN('Raw data'!Y50-'Raw data'!Z50)=SIGN('Real results'!C50-'Real results'!D50),2+IF(AND('Raw data'!Y50='Real results'!C50,'Raw data'!Z50='Real results'!D50),2,0),0),0),0)</f>
        <v>0</v>
      </c>
      <c r="AA51" s="29">
        <f>IFERROR(IF(AND(ISNUMBER('Real results'!C50),ISNUMBER('Real results'!D50),ISNUMBER('Raw data'!AA50),ISNUMBER('Raw data'!AB50)),IF(SIGN('Raw data'!AA50-'Raw data'!AB50)=SIGN('Real results'!C50-'Real results'!D50),2+IF(AND('Raw data'!AA50='Real results'!C50,'Raw data'!AB50='Real results'!D50),2,0),0),0),0)</f>
        <v>0</v>
      </c>
      <c r="AC51" s="29">
        <f>IFERROR(IF(AND(ISNUMBER('Real results'!C50),ISNUMBER('Real results'!D50),ISNUMBER('Raw data'!AC50),ISNUMBER('Raw data'!AD50)),IF(SIGN('Raw data'!AC50-'Raw data'!AD50)=SIGN('Real results'!C50-'Real results'!D50),2+IF(AND('Raw data'!AC50='Real results'!C50,'Raw data'!AD50='Real results'!D50),2,0),0),0),0)</f>
        <v>0</v>
      </c>
      <c r="AE51" s="29">
        <f>IFERROR(IF(AND(ISNUMBER('Real results'!C50),ISNUMBER('Real results'!D50),ISNUMBER('Raw data'!AE50),ISNUMBER('Raw data'!AF50)),IF(SIGN('Raw data'!AE50-'Raw data'!AF50)=SIGN('Real results'!C50-'Real results'!D50),2+IF(AND('Raw data'!AE50='Real results'!C50,'Raw data'!AF50='Real results'!D50),2,0),0),0),0)</f>
        <v>0</v>
      </c>
      <c r="AG51" s="29">
        <f>IFERROR(IF(AND(ISNUMBER('Real results'!C50),ISNUMBER('Real results'!D50),ISNUMBER('Raw data'!AG50),ISNUMBER('Raw data'!AH50)),IF(SIGN('Raw data'!AG50-'Raw data'!AH50)=SIGN('Real results'!C50-'Real results'!D50),2+IF(AND('Raw data'!AG50='Real results'!C50,'Raw data'!AH50='Real results'!D50),2,0),0),0),0)</f>
        <v>0</v>
      </c>
      <c r="AI51" s="29">
        <f>IFERROR(IF(AND(ISNUMBER('Real results'!C50),ISNUMBER('Real results'!D50),ISNUMBER('Raw data'!AI50),ISNUMBER('Raw data'!AJ50)),IF(SIGN('Raw data'!AI50-'Raw data'!AJ50)=SIGN('Real results'!C50-'Real results'!D50),2+IF(AND('Raw data'!AI50='Real results'!C50,'Raw data'!AJ50='Real results'!D50),2,0),0),0),0)</f>
        <v>0</v>
      </c>
      <c r="AK51" s="29">
        <f>IFERROR(IF(AND(ISNUMBER('Real results'!C50),ISNUMBER('Real results'!D50),ISNUMBER('Raw data'!AK50),ISNUMBER('Raw data'!AL50)),IF(SIGN('Raw data'!AK50-'Raw data'!AL50)=SIGN('Real results'!C50-'Real results'!D50),2+IF(AND('Raw data'!AK50='Real results'!C50,'Raw data'!AL50='Real results'!D50),2,0),0),0),0)</f>
        <v>0</v>
      </c>
      <c r="AM51" s="29">
        <f>IFERROR(IF(AND(ISNUMBER('Real results'!C50),ISNUMBER('Real results'!D50),ISNUMBER('Raw data'!AM50),ISNUMBER('Raw data'!AN50)),IF(SIGN('Raw data'!AM50-'Raw data'!AN50)=SIGN('Real results'!C50-'Real results'!D50),2+IF(AND('Raw data'!AM50='Real results'!C50,'Raw data'!AN50='Real results'!D50),2,0),0),0),0)</f>
        <v>0</v>
      </c>
      <c r="AO51" s="29">
        <f>IFERROR(IF(AND(ISNUMBER('Real results'!C50),ISNUMBER('Real results'!D50),ISNUMBER('Raw data'!AO50),ISNUMBER('Raw data'!AP50)),IF(SIGN('Raw data'!AO50-'Raw data'!AP50)=SIGN('Real results'!C50-'Real results'!D50),2+IF(AND('Raw data'!AO50='Real results'!C50,'Raw data'!AP50='Real results'!D50),2,0),0),0),0)</f>
        <v>0</v>
      </c>
      <c r="AQ51" s="29">
        <f>IFERROR(IF(AND(ISNUMBER('Real results'!C50),ISNUMBER('Real results'!D50),ISNUMBER('Raw data'!AQ50),ISNUMBER('Raw data'!AR50)),IF(SIGN('Raw data'!AQ50-'Raw data'!AR50)=SIGN('Real results'!C50-'Real results'!D50),2+IF(AND('Raw data'!AQ50='Real results'!C50,'Raw data'!AR50='Real results'!D50),2,0),0),0),0)</f>
        <v>0</v>
      </c>
      <c r="AS51" s="29">
        <f>IFERROR(IF(AND(ISNUMBER('Real results'!C50),ISNUMBER('Real results'!D50),ISNUMBER('Raw data'!AS50),ISNUMBER('Raw data'!AT50)),IF(SIGN('Raw data'!AS50-'Raw data'!AT50)=SIGN('Real results'!C50-'Real results'!D50),2+IF(AND('Raw data'!AS50='Real results'!C50,'Raw data'!AT50='Real results'!D50),2,0),0),0),0)</f>
        <v>0</v>
      </c>
      <c r="AU51" s="29">
        <f>IFERROR(IF(AND(ISNUMBER('Real results'!C50),ISNUMBER('Real results'!D50),ISNUMBER('Raw data'!AU50),ISNUMBER('Raw data'!AV50)),IF(SIGN('Raw data'!AU50-'Raw data'!AV50)=SIGN('Real results'!C50-'Real results'!D50),2+IF(AND('Raw data'!AU50='Real results'!C50,'Raw data'!AV50='Real results'!D50),2,0),0),0),0)</f>
        <v>0</v>
      </c>
      <c r="AW51" s="29">
        <f>IFERROR(IF(AND(ISNUMBER('Real results'!C50),ISNUMBER('Real results'!D50),ISNUMBER('Raw data'!AW50),ISNUMBER('Raw data'!AX50)),IF(SIGN('Raw data'!AW50-'Raw data'!AX50)=SIGN('Real results'!C50-'Real results'!D50),2+IF(AND('Raw data'!AW50='Real results'!C50,'Raw data'!AX50='Real results'!D50),2,0),0),0),0)</f>
        <v>0</v>
      </c>
      <c r="AY51" s="29">
        <f>IFERROR(IF(AND(ISNUMBER('Real results'!C50),ISNUMBER('Real results'!D50),ISNUMBER('Raw data'!AY50),ISNUMBER('Raw data'!AZ50)),IF(SIGN('Raw data'!AY50-'Raw data'!AZ50)=SIGN('Real results'!C50-'Real results'!D50),2+IF(AND('Raw data'!AY50='Real results'!C50,'Raw data'!AZ50='Real results'!D50),2,0),0),0),0)</f>
        <v>0</v>
      </c>
      <c r="BA51" s="29">
        <f>IFERROR(IF(AND(ISNUMBER('Real results'!C50),ISNUMBER('Real results'!D50),ISNUMBER('Raw data'!BA50),ISNUMBER('Raw data'!BB50)),IF(SIGN('Raw data'!BA50-'Raw data'!BB50)=SIGN('Real results'!C50-'Real results'!D50),2+IF(AND('Raw data'!BA50='Real results'!C50,'Raw data'!BB50='Real results'!D50),2,0),0),0),0)</f>
        <v>0</v>
      </c>
      <c r="BC51" s="29">
        <f>IFERROR(IF(AND(ISNUMBER('Real results'!C50),ISNUMBER('Real results'!D50),ISNUMBER('Raw data'!BC50),ISNUMBER('Raw data'!BD50)),IF(SIGN('Raw data'!BC50-'Raw data'!BD50)=SIGN('Real results'!C50-'Real results'!D50),2+IF(AND('Raw data'!BC50='Real results'!C50,'Raw data'!BD50='Real results'!D50),2,0),0),0),0)</f>
        <v>0</v>
      </c>
      <c r="BE51" s="29">
        <f>IFERROR(IF(AND(ISNUMBER('Real results'!C50),ISNUMBER('Real results'!D50),ISNUMBER('Raw data'!BE50),ISNUMBER('Raw data'!BF50)),IF(SIGN('Raw data'!BE50-'Raw data'!BF50)=SIGN('Real results'!C50-'Real results'!D50),2+IF(AND('Raw data'!BE50='Real results'!C50,'Raw data'!BF50='Real results'!D50),2,0),0),0),0)</f>
        <v>0</v>
      </c>
      <c r="BG51" s="29">
        <f>IFERROR(IF(AND(ISNUMBER('Real results'!C50),ISNUMBER('Real results'!D50),ISNUMBER('Raw data'!BG50),ISNUMBER('Raw data'!BH50)),IF(SIGN('Raw data'!BG50-'Raw data'!BH50)=SIGN('Real results'!C50-'Real results'!D50),2+IF(AND('Raw data'!BG50='Real results'!C50,'Raw data'!BH50='Real results'!D50),2,0),0),0),0)</f>
        <v>0</v>
      </c>
      <c r="BI51" s="29">
        <f>IFERROR(IF(AND(ISNUMBER('Real results'!C50),ISNUMBER('Real results'!D50),ISNUMBER('Raw data'!BI50),ISNUMBER('Raw data'!BJ50)),IF(SIGN('Raw data'!BI50-'Raw data'!BJ50)=SIGN('Real results'!C50-'Real results'!D50),2+IF(AND('Raw data'!BI50='Real results'!C50,'Raw data'!BJ50='Real results'!D50),2,0),0),0),0)</f>
        <v>0</v>
      </c>
    </row>
    <row r="52" ht="18.0" customHeight="1">
      <c r="A52" s="1"/>
      <c r="B52" s="13" t="s">
        <v>71</v>
      </c>
      <c r="C52" s="29">
        <f>IFERROR(IF(AND(ISNUMBER('Real results'!C51),ISNUMBER('Real results'!D51),ISNUMBER('Raw data'!C51),ISNUMBER('Raw data'!D51)),IF(SIGN('Raw data'!C51-'Raw data'!D51)=SIGN('Real results'!C51-'Real results'!D51),2+IF(AND('Raw data'!C51='Real results'!C51,'Raw data'!D51='Real results'!D51),2,0),0),0),0)</f>
        <v>0</v>
      </c>
      <c r="E52" s="29">
        <f>IFERROR(IF(AND(ISNUMBER('Real results'!C51),ISNUMBER('Real results'!D51),ISNUMBER('Raw data'!E51),ISNUMBER('Raw data'!F51)),IF(SIGN('Raw data'!E51-'Raw data'!F51)=SIGN('Real results'!C51-'Real results'!D51),2+IF(AND('Raw data'!E51='Real results'!C51,'Raw data'!F51='Real results'!D51),2,0),0),0),0)</f>
        <v>0</v>
      </c>
      <c r="G52" s="29">
        <f>IFERROR(IF(AND(ISNUMBER('Real results'!C51),ISNUMBER('Real results'!D51),ISNUMBER('Raw data'!G51),ISNUMBER('Raw data'!H51)),IF(SIGN('Raw data'!G51-'Raw data'!H51)=SIGN('Real results'!C51-'Real results'!D51),2+IF(AND('Raw data'!G51='Real results'!C51,'Raw data'!H51='Real results'!D51),2,0),0),0),0)</f>
        <v>0</v>
      </c>
      <c r="I52" s="29">
        <f>IFERROR(IF(AND(ISNUMBER('Real results'!C51),ISNUMBER('Real results'!D51),ISNUMBER('Raw data'!I51),ISNUMBER('Raw data'!J51)),IF(SIGN('Raw data'!I51-'Raw data'!J51)=SIGN('Real results'!C51-'Real results'!D51),2+IF(AND('Raw data'!I51='Real results'!C51,'Raw data'!J51='Real results'!D51),2,0),0),0),0)</f>
        <v>0</v>
      </c>
      <c r="K52" s="29">
        <f>IFERROR(IF(AND(ISNUMBER('Real results'!C51),ISNUMBER('Real results'!D51),ISNUMBER('Raw data'!K51),ISNUMBER('Raw data'!L51)),IF(SIGN('Raw data'!K51-'Raw data'!L51)=SIGN('Real results'!C51-'Real results'!D51),2+IF(AND('Raw data'!K51='Real results'!C51,'Raw data'!L51='Real results'!D51),2,0),0),0),0)</f>
        <v>0</v>
      </c>
      <c r="M52" s="29">
        <f>IFERROR(IF(AND(ISNUMBER('Real results'!C51),ISNUMBER('Real results'!D51),ISNUMBER('Raw data'!M51),ISNUMBER('Raw data'!N51)),IF(SIGN('Raw data'!M51-'Raw data'!N51)=SIGN('Real results'!C51-'Real results'!D51),2+IF(AND('Raw data'!M51='Real results'!C51,'Raw data'!N51='Real results'!D51),2,0),0),0),0)</f>
        <v>0</v>
      </c>
      <c r="O52" s="29">
        <f>IFERROR(IF(AND(ISNUMBER('Real results'!C51),ISNUMBER('Real results'!D51),ISNUMBER('Raw data'!O51),ISNUMBER('Raw data'!P51)),IF(SIGN('Raw data'!O51-'Raw data'!P51)=SIGN('Real results'!C51-'Real results'!D51),2+IF(AND('Raw data'!O51='Real results'!C51,'Raw data'!P51='Real results'!D51),2,0),0),0),0)</f>
        <v>0</v>
      </c>
      <c r="Q52" s="29">
        <f>IFERROR(IF(AND(ISNUMBER('Real results'!C51),ISNUMBER('Real results'!D51),ISNUMBER('Raw data'!Q51),ISNUMBER('Raw data'!R51)),IF(SIGN('Raw data'!Q51-'Raw data'!R51)=SIGN('Real results'!C51-'Real results'!D51),2+IF(AND('Raw data'!Q51='Real results'!C51,'Raw data'!R51='Real results'!D51),2,0),0),0),0)</f>
        <v>0</v>
      </c>
      <c r="S52" s="29">
        <f>IFERROR(IF(AND(ISNUMBER('Real results'!C51),ISNUMBER('Real results'!D51),ISNUMBER('Raw data'!S51),ISNUMBER('Raw data'!T51)),IF(SIGN('Raw data'!S51-'Raw data'!T51)=SIGN('Real results'!C51-'Real results'!D51),2+IF(AND('Raw data'!S51='Real results'!C51,'Raw data'!T51='Real results'!D51),2,0),0),0),0)</f>
        <v>0</v>
      </c>
      <c r="U52" s="29">
        <f>IFERROR(IF(AND(ISNUMBER('Real results'!C51),ISNUMBER('Real results'!D51),ISNUMBER('Raw data'!U51),ISNUMBER('Raw data'!V51)),IF(SIGN('Raw data'!U51-'Raw data'!V51)=SIGN('Real results'!C51-'Real results'!D51),2+IF(AND('Raw data'!U51='Real results'!C51,'Raw data'!V51='Real results'!D51),2,0),0),0),0)</f>
        <v>0</v>
      </c>
      <c r="W52" s="29">
        <f>IFERROR(IF(AND(ISNUMBER('Real results'!C51),ISNUMBER('Real results'!D51),ISNUMBER('Raw data'!W51),ISNUMBER('Raw data'!X51)),IF(SIGN('Raw data'!W51-'Raw data'!X51)=SIGN('Real results'!C51-'Real results'!D51),2+IF(AND('Raw data'!W51='Real results'!C51,'Raw data'!X51='Real results'!D51),2,0),0),0),0)</f>
        <v>0</v>
      </c>
      <c r="Y52" s="29">
        <f>IFERROR(IF(AND(ISNUMBER('Real results'!C51),ISNUMBER('Real results'!D51),ISNUMBER('Raw data'!Y51),ISNUMBER('Raw data'!Z51)),IF(SIGN('Raw data'!Y51-'Raw data'!Z51)=SIGN('Real results'!C51-'Real results'!D51),2+IF(AND('Raw data'!Y51='Real results'!C51,'Raw data'!Z51='Real results'!D51),2,0),0),0),0)</f>
        <v>0</v>
      </c>
      <c r="AA52" s="29">
        <f>IFERROR(IF(AND(ISNUMBER('Real results'!C51),ISNUMBER('Real results'!D51),ISNUMBER('Raw data'!AA51),ISNUMBER('Raw data'!AB51)),IF(SIGN('Raw data'!AA51-'Raw data'!AB51)=SIGN('Real results'!C51-'Real results'!D51),2+IF(AND('Raw data'!AA51='Real results'!C51,'Raw data'!AB51='Real results'!D51),2,0),0),0),0)</f>
        <v>0</v>
      </c>
      <c r="AC52" s="29">
        <f>IFERROR(IF(AND(ISNUMBER('Real results'!C51),ISNUMBER('Real results'!D51),ISNUMBER('Raw data'!AC51),ISNUMBER('Raw data'!AD51)),IF(SIGN('Raw data'!AC51-'Raw data'!AD51)=SIGN('Real results'!C51-'Real results'!D51),2+IF(AND('Raw data'!AC51='Real results'!C51,'Raw data'!AD51='Real results'!D51),2,0),0),0),0)</f>
        <v>0</v>
      </c>
      <c r="AE52" s="29">
        <f>IFERROR(IF(AND(ISNUMBER('Real results'!C51),ISNUMBER('Real results'!D51),ISNUMBER('Raw data'!AE51),ISNUMBER('Raw data'!AF51)),IF(SIGN('Raw data'!AE51-'Raw data'!AF51)=SIGN('Real results'!C51-'Real results'!D51),2+IF(AND('Raw data'!AE51='Real results'!C51,'Raw data'!AF51='Real results'!D51),2,0),0),0),0)</f>
        <v>0</v>
      </c>
      <c r="AG52" s="29">
        <f>IFERROR(IF(AND(ISNUMBER('Real results'!C51),ISNUMBER('Real results'!D51),ISNUMBER('Raw data'!AG51),ISNUMBER('Raw data'!AH51)),IF(SIGN('Raw data'!AG51-'Raw data'!AH51)=SIGN('Real results'!C51-'Real results'!D51),2+IF(AND('Raw data'!AG51='Real results'!C51,'Raw data'!AH51='Real results'!D51),2,0),0),0),0)</f>
        <v>0</v>
      </c>
      <c r="AI52" s="29">
        <f>IFERROR(IF(AND(ISNUMBER('Real results'!C51),ISNUMBER('Real results'!D51),ISNUMBER('Raw data'!AI51),ISNUMBER('Raw data'!AJ51)),IF(SIGN('Raw data'!AI51-'Raw data'!AJ51)=SIGN('Real results'!C51-'Real results'!D51),2+IF(AND('Raw data'!AI51='Real results'!C51,'Raw data'!AJ51='Real results'!D51),2,0),0),0),0)</f>
        <v>0</v>
      </c>
      <c r="AK52" s="29">
        <f>IFERROR(IF(AND(ISNUMBER('Real results'!C51),ISNUMBER('Real results'!D51),ISNUMBER('Raw data'!AK51),ISNUMBER('Raw data'!AL51)),IF(SIGN('Raw data'!AK51-'Raw data'!AL51)=SIGN('Real results'!C51-'Real results'!D51),2+IF(AND('Raw data'!AK51='Real results'!C51,'Raw data'!AL51='Real results'!D51),2,0),0),0),0)</f>
        <v>0</v>
      </c>
      <c r="AM52" s="29">
        <f>IFERROR(IF(AND(ISNUMBER('Real results'!C51),ISNUMBER('Real results'!D51),ISNUMBER('Raw data'!AM51),ISNUMBER('Raw data'!AN51)),IF(SIGN('Raw data'!AM51-'Raw data'!AN51)=SIGN('Real results'!C51-'Real results'!D51),2+IF(AND('Raw data'!AM51='Real results'!C51,'Raw data'!AN51='Real results'!D51),2,0),0),0),0)</f>
        <v>0</v>
      </c>
      <c r="AO52" s="29">
        <f>IFERROR(IF(AND(ISNUMBER('Real results'!C51),ISNUMBER('Real results'!D51),ISNUMBER('Raw data'!AO51),ISNUMBER('Raw data'!AP51)),IF(SIGN('Raw data'!AO51-'Raw data'!AP51)=SIGN('Real results'!C51-'Real results'!D51),2+IF(AND('Raw data'!AO51='Real results'!C51,'Raw data'!AP51='Real results'!D51),2,0),0),0),0)</f>
        <v>0</v>
      </c>
      <c r="AQ52" s="29">
        <f>IFERROR(IF(AND(ISNUMBER('Real results'!C51),ISNUMBER('Real results'!D51),ISNUMBER('Raw data'!AQ51),ISNUMBER('Raw data'!AR51)),IF(SIGN('Raw data'!AQ51-'Raw data'!AR51)=SIGN('Real results'!C51-'Real results'!D51),2+IF(AND('Raw data'!AQ51='Real results'!C51,'Raw data'!AR51='Real results'!D51),2,0),0),0),0)</f>
        <v>0</v>
      </c>
      <c r="AS52" s="29">
        <f>IFERROR(IF(AND(ISNUMBER('Real results'!C51),ISNUMBER('Real results'!D51),ISNUMBER('Raw data'!AS51),ISNUMBER('Raw data'!AT51)),IF(SIGN('Raw data'!AS51-'Raw data'!AT51)=SIGN('Real results'!C51-'Real results'!D51),2+IF(AND('Raw data'!AS51='Real results'!C51,'Raw data'!AT51='Real results'!D51),2,0),0),0),0)</f>
        <v>0</v>
      </c>
      <c r="AU52" s="29">
        <f>IFERROR(IF(AND(ISNUMBER('Real results'!C51),ISNUMBER('Real results'!D51),ISNUMBER('Raw data'!AU51),ISNUMBER('Raw data'!AV51)),IF(SIGN('Raw data'!AU51-'Raw data'!AV51)=SIGN('Real results'!C51-'Real results'!D51),2+IF(AND('Raw data'!AU51='Real results'!C51,'Raw data'!AV51='Real results'!D51),2,0),0),0),0)</f>
        <v>0</v>
      </c>
      <c r="AW52" s="29">
        <f>IFERROR(IF(AND(ISNUMBER('Real results'!C51),ISNUMBER('Real results'!D51),ISNUMBER('Raw data'!AW51),ISNUMBER('Raw data'!AX51)),IF(SIGN('Raw data'!AW51-'Raw data'!AX51)=SIGN('Real results'!C51-'Real results'!D51),2+IF(AND('Raw data'!AW51='Real results'!C51,'Raw data'!AX51='Real results'!D51),2,0),0),0),0)</f>
        <v>0</v>
      </c>
      <c r="AY52" s="29">
        <f>IFERROR(IF(AND(ISNUMBER('Real results'!C51),ISNUMBER('Real results'!D51),ISNUMBER('Raw data'!AY51),ISNUMBER('Raw data'!AZ51)),IF(SIGN('Raw data'!AY51-'Raw data'!AZ51)=SIGN('Real results'!C51-'Real results'!D51),2+IF(AND('Raw data'!AY51='Real results'!C51,'Raw data'!AZ51='Real results'!D51),2,0),0),0),0)</f>
        <v>0</v>
      </c>
      <c r="BA52" s="29">
        <f>IFERROR(IF(AND(ISNUMBER('Real results'!C51),ISNUMBER('Real results'!D51),ISNUMBER('Raw data'!BA51),ISNUMBER('Raw data'!BB51)),IF(SIGN('Raw data'!BA51-'Raw data'!BB51)=SIGN('Real results'!C51-'Real results'!D51),2+IF(AND('Raw data'!BA51='Real results'!C51,'Raw data'!BB51='Real results'!D51),2,0),0),0),0)</f>
        <v>0</v>
      </c>
      <c r="BC52" s="29">
        <f>IFERROR(IF(AND(ISNUMBER('Real results'!C51),ISNUMBER('Real results'!D51),ISNUMBER('Raw data'!BC51),ISNUMBER('Raw data'!BD51)),IF(SIGN('Raw data'!BC51-'Raw data'!BD51)=SIGN('Real results'!C51-'Real results'!D51),2+IF(AND('Raw data'!BC51='Real results'!C51,'Raw data'!BD51='Real results'!D51),2,0),0),0),0)</f>
        <v>0</v>
      </c>
      <c r="BE52" s="29">
        <f>IFERROR(IF(AND(ISNUMBER('Real results'!C51),ISNUMBER('Real results'!D51),ISNUMBER('Raw data'!BE51),ISNUMBER('Raw data'!BF51)),IF(SIGN('Raw data'!BE51-'Raw data'!BF51)=SIGN('Real results'!C51-'Real results'!D51),2+IF(AND('Raw data'!BE51='Real results'!C51,'Raw data'!BF51='Real results'!D51),2,0),0),0),0)</f>
        <v>0</v>
      </c>
      <c r="BG52" s="29">
        <f>IFERROR(IF(AND(ISNUMBER('Real results'!C51),ISNUMBER('Real results'!D51),ISNUMBER('Raw data'!BG51),ISNUMBER('Raw data'!BH51)),IF(SIGN('Raw data'!BG51-'Raw data'!BH51)=SIGN('Real results'!C51-'Real results'!D51),2+IF(AND('Raw data'!BG51='Real results'!C51,'Raw data'!BH51='Real results'!D51),2,0),0),0),0)</f>
        <v>0</v>
      </c>
      <c r="BI52" s="29">
        <f>IFERROR(IF(AND(ISNUMBER('Real results'!C51),ISNUMBER('Real results'!D51),ISNUMBER('Raw data'!BI51),ISNUMBER('Raw data'!BJ51)),IF(SIGN('Raw data'!BI51-'Raw data'!BJ51)=SIGN('Real results'!C51-'Real results'!D51),2+IF(AND('Raw data'!BI51='Real results'!C51,'Raw data'!BJ51='Real results'!D51),2,0),0),0),0)</f>
        <v>0</v>
      </c>
    </row>
    <row r="53" ht="18.0" customHeight="1">
      <c r="A53" s="1"/>
      <c r="B53" s="13" t="s">
        <v>72</v>
      </c>
      <c r="C53" s="29">
        <f>IFERROR(IF(AND(ISNUMBER('Real results'!C52),ISNUMBER('Real results'!D52),ISNUMBER('Raw data'!C52),ISNUMBER('Raw data'!D52)),IF(SIGN('Raw data'!C52-'Raw data'!D52)=SIGN('Real results'!C52-'Real results'!D52),2+IF(AND('Raw data'!C52='Real results'!C52,'Raw data'!D52='Real results'!D52),2,0),0),0),0)</f>
        <v>0</v>
      </c>
      <c r="E53" s="29">
        <f>IFERROR(IF(AND(ISNUMBER('Real results'!C52),ISNUMBER('Real results'!D52),ISNUMBER('Raw data'!E52),ISNUMBER('Raw data'!F52)),IF(SIGN('Raw data'!E52-'Raw data'!F52)=SIGN('Real results'!C52-'Real results'!D52),2+IF(AND('Raw data'!E52='Real results'!C52,'Raw data'!F52='Real results'!D52),2,0),0),0),0)</f>
        <v>0</v>
      </c>
      <c r="G53" s="29">
        <f>IFERROR(IF(AND(ISNUMBER('Real results'!C52),ISNUMBER('Real results'!D52),ISNUMBER('Raw data'!G52),ISNUMBER('Raw data'!H52)),IF(SIGN('Raw data'!G52-'Raw data'!H52)=SIGN('Real results'!C52-'Real results'!D52),2+IF(AND('Raw data'!G52='Real results'!C52,'Raw data'!H52='Real results'!D52),2,0),0),0),0)</f>
        <v>0</v>
      </c>
      <c r="I53" s="29">
        <f>IFERROR(IF(AND(ISNUMBER('Real results'!C52),ISNUMBER('Real results'!D52),ISNUMBER('Raw data'!I52),ISNUMBER('Raw data'!J52)),IF(SIGN('Raw data'!I52-'Raw data'!J52)=SIGN('Real results'!C52-'Real results'!D52),2+IF(AND('Raw data'!I52='Real results'!C52,'Raw data'!J52='Real results'!D52),2,0),0),0),0)</f>
        <v>0</v>
      </c>
      <c r="K53" s="29">
        <f>IFERROR(IF(AND(ISNUMBER('Real results'!C52),ISNUMBER('Real results'!D52),ISNUMBER('Raw data'!K52),ISNUMBER('Raw data'!L52)),IF(SIGN('Raw data'!K52-'Raw data'!L52)=SIGN('Real results'!C52-'Real results'!D52),2+IF(AND('Raw data'!K52='Real results'!C52,'Raw data'!L52='Real results'!D52),2,0),0),0),0)</f>
        <v>0</v>
      </c>
      <c r="M53" s="29">
        <f>IFERROR(IF(AND(ISNUMBER('Real results'!C52),ISNUMBER('Real results'!D52),ISNUMBER('Raw data'!M52),ISNUMBER('Raw data'!N52)),IF(SIGN('Raw data'!M52-'Raw data'!N52)=SIGN('Real results'!C52-'Real results'!D52),2+IF(AND('Raw data'!M52='Real results'!C52,'Raw data'!N52='Real results'!D52),2,0),0),0),0)</f>
        <v>0</v>
      </c>
      <c r="O53" s="29">
        <f>IFERROR(IF(AND(ISNUMBER('Real results'!C52),ISNUMBER('Real results'!D52),ISNUMBER('Raw data'!O52),ISNUMBER('Raw data'!P52)),IF(SIGN('Raw data'!O52-'Raw data'!P52)=SIGN('Real results'!C52-'Real results'!D52),2+IF(AND('Raw data'!O52='Real results'!C52,'Raw data'!P52='Real results'!D52),2,0),0),0),0)</f>
        <v>0</v>
      </c>
      <c r="Q53" s="29">
        <f>IFERROR(IF(AND(ISNUMBER('Real results'!C52),ISNUMBER('Real results'!D52),ISNUMBER('Raw data'!Q52),ISNUMBER('Raw data'!R52)),IF(SIGN('Raw data'!Q52-'Raw data'!R52)=SIGN('Real results'!C52-'Real results'!D52),2+IF(AND('Raw data'!Q52='Real results'!C52,'Raw data'!R52='Real results'!D52),2,0),0),0),0)</f>
        <v>0</v>
      </c>
      <c r="S53" s="29">
        <f>IFERROR(IF(AND(ISNUMBER('Real results'!C52),ISNUMBER('Real results'!D52),ISNUMBER('Raw data'!S52),ISNUMBER('Raw data'!T52)),IF(SIGN('Raw data'!S52-'Raw data'!T52)=SIGN('Real results'!C52-'Real results'!D52),2+IF(AND('Raw data'!S52='Real results'!C52,'Raw data'!T52='Real results'!D52),2,0),0),0),0)</f>
        <v>0</v>
      </c>
      <c r="U53" s="29">
        <f>IFERROR(IF(AND(ISNUMBER('Real results'!C52),ISNUMBER('Real results'!D52),ISNUMBER('Raw data'!U52),ISNUMBER('Raw data'!V52)),IF(SIGN('Raw data'!U52-'Raw data'!V52)=SIGN('Real results'!C52-'Real results'!D52),2+IF(AND('Raw data'!U52='Real results'!C52,'Raw data'!V52='Real results'!D52),2,0),0),0),0)</f>
        <v>0</v>
      </c>
      <c r="W53" s="29">
        <f>IFERROR(IF(AND(ISNUMBER('Real results'!C52),ISNUMBER('Real results'!D52),ISNUMBER('Raw data'!W52),ISNUMBER('Raw data'!X52)),IF(SIGN('Raw data'!W52-'Raw data'!X52)=SIGN('Real results'!C52-'Real results'!D52),2+IF(AND('Raw data'!W52='Real results'!C52,'Raw data'!X52='Real results'!D52),2,0),0),0),0)</f>
        <v>0</v>
      </c>
      <c r="Y53" s="29">
        <f>IFERROR(IF(AND(ISNUMBER('Real results'!C52),ISNUMBER('Real results'!D52),ISNUMBER('Raw data'!Y52),ISNUMBER('Raw data'!Z52)),IF(SIGN('Raw data'!Y52-'Raw data'!Z52)=SIGN('Real results'!C52-'Real results'!D52),2+IF(AND('Raw data'!Y52='Real results'!C52,'Raw data'!Z52='Real results'!D52),2,0),0),0),0)</f>
        <v>0</v>
      </c>
      <c r="AA53" s="29">
        <f>IFERROR(IF(AND(ISNUMBER('Real results'!C52),ISNUMBER('Real results'!D52),ISNUMBER('Raw data'!AA52),ISNUMBER('Raw data'!AB52)),IF(SIGN('Raw data'!AA52-'Raw data'!AB52)=SIGN('Real results'!C52-'Real results'!D52),2+IF(AND('Raw data'!AA52='Real results'!C52,'Raw data'!AB52='Real results'!D52),2,0),0),0),0)</f>
        <v>0</v>
      </c>
      <c r="AC53" s="29">
        <f>IFERROR(IF(AND(ISNUMBER('Real results'!C52),ISNUMBER('Real results'!D52),ISNUMBER('Raw data'!AC52),ISNUMBER('Raw data'!AD52)),IF(SIGN('Raw data'!AC52-'Raw data'!AD52)=SIGN('Real results'!C52-'Real results'!D52),2+IF(AND('Raw data'!AC52='Real results'!C52,'Raw data'!AD52='Real results'!D52),2,0),0),0),0)</f>
        <v>0</v>
      </c>
      <c r="AE53" s="29">
        <f>IFERROR(IF(AND(ISNUMBER('Real results'!C52),ISNUMBER('Real results'!D52),ISNUMBER('Raw data'!AE52),ISNUMBER('Raw data'!AF52)),IF(SIGN('Raw data'!AE52-'Raw data'!AF52)=SIGN('Real results'!C52-'Real results'!D52),2+IF(AND('Raw data'!AE52='Real results'!C52,'Raw data'!AF52='Real results'!D52),2,0),0),0),0)</f>
        <v>0</v>
      </c>
      <c r="AG53" s="29">
        <f>IFERROR(IF(AND(ISNUMBER('Real results'!C52),ISNUMBER('Real results'!D52),ISNUMBER('Raw data'!AG52),ISNUMBER('Raw data'!AH52)),IF(SIGN('Raw data'!AG52-'Raw data'!AH52)=SIGN('Real results'!C52-'Real results'!D52),2+IF(AND('Raw data'!AG52='Real results'!C52,'Raw data'!AH52='Real results'!D52),2,0),0),0),0)</f>
        <v>0</v>
      </c>
      <c r="AI53" s="29">
        <f>IFERROR(IF(AND(ISNUMBER('Real results'!C52),ISNUMBER('Real results'!D52),ISNUMBER('Raw data'!AI52),ISNUMBER('Raw data'!AJ52)),IF(SIGN('Raw data'!AI52-'Raw data'!AJ52)=SIGN('Real results'!C52-'Real results'!D52),2+IF(AND('Raw data'!AI52='Real results'!C52,'Raw data'!AJ52='Real results'!D52),2,0),0),0),0)</f>
        <v>0</v>
      </c>
      <c r="AK53" s="29">
        <f>IFERROR(IF(AND(ISNUMBER('Real results'!C52),ISNUMBER('Real results'!D52),ISNUMBER('Raw data'!AK52),ISNUMBER('Raw data'!AL52)),IF(SIGN('Raw data'!AK52-'Raw data'!AL52)=SIGN('Real results'!C52-'Real results'!D52),2+IF(AND('Raw data'!AK52='Real results'!C52,'Raw data'!AL52='Real results'!D52),2,0),0),0),0)</f>
        <v>0</v>
      </c>
      <c r="AM53" s="29">
        <f>IFERROR(IF(AND(ISNUMBER('Real results'!C52),ISNUMBER('Real results'!D52),ISNUMBER('Raw data'!AM52),ISNUMBER('Raw data'!AN52)),IF(SIGN('Raw data'!AM52-'Raw data'!AN52)=SIGN('Real results'!C52-'Real results'!D52),2+IF(AND('Raw data'!AM52='Real results'!C52,'Raw data'!AN52='Real results'!D52),2,0),0),0),0)</f>
        <v>0</v>
      </c>
      <c r="AO53" s="29">
        <f>IFERROR(IF(AND(ISNUMBER('Real results'!C52),ISNUMBER('Real results'!D52),ISNUMBER('Raw data'!AO52),ISNUMBER('Raw data'!AP52)),IF(SIGN('Raw data'!AO52-'Raw data'!AP52)=SIGN('Real results'!C52-'Real results'!D52),2+IF(AND('Raw data'!AO52='Real results'!C52,'Raw data'!AP52='Real results'!D52),2,0),0),0),0)</f>
        <v>0</v>
      </c>
      <c r="AQ53" s="29">
        <f>IFERROR(IF(AND(ISNUMBER('Real results'!C52),ISNUMBER('Real results'!D52),ISNUMBER('Raw data'!AQ52),ISNUMBER('Raw data'!AR52)),IF(SIGN('Raw data'!AQ52-'Raw data'!AR52)=SIGN('Real results'!C52-'Real results'!D52),2+IF(AND('Raw data'!AQ52='Real results'!C52,'Raw data'!AR52='Real results'!D52),2,0),0),0),0)</f>
        <v>0</v>
      </c>
      <c r="AS53" s="29">
        <f>IFERROR(IF(AND(ISNUMBER('Real results'!C52),ISNUMBER('Real results'!D52),ISNUMBER('Raw data'!AS52),ISNUMBER('Raw data'!AT52)),IF(SIGN('Raw data'!AS52-'Raw data'!AT52)=SIGN('Real results'!C52-'Real results'!D52),2+IF(AND('Raw data'!AS52='Real results'!C52,'Raw data'!AT52='Real results'!D52),2,0),0),0),0)</f>
        <v>0</v>
      </c>
      <c r="AU53" s="29">
        <f>IFERROR(IF(AND(ISNUMBER('Real results'!C52),ISNUMBER('Real results'!D52),ISNUMBER('Raw data'!AU52),ISNUMBER('Raw data'!AV52)),IF(SIGN('Raw data'!AU52-'Raw data'!AV52)=SIGN('Real results'!C52-'Real results'!D52),2+IF(AND('Raw data'!AU52='Real results'!C52,'Raw data'!AV52='Real results'!D52),2,0),0),0),0)</f>
        <v>0</v>
      </c>
      <c r="AW53" s="29">
        <f>IFERROR(IF(AND(ISNUMBER('Real results'!C52),ISNUMBER('Real results'!D52),ISNUMBER('Raw data'!AW52),ISNUMBER('Raw data'!AX52)),IF(SIGN('Raw data'!AW52-'Raw data'!AX52)=SIGN('Real results'!C52-'Real results'!D52),2+IF(AND('Raw data'!AW52='Real results'!C52,'Raw data'!AX52='Real results'!D52),2,0),0),0),0)</f>
        <v>0</v>
      </c>
      <c r="AY53" s="29">
        <f>IFERROR(IF(AND(ISNUMBER('Real results'!C52),ISNUMBER('Real results'!D52),ISNUMBER('Raw data'!AY52),ISNUMBER('Raw data'!AZ52)),IF(SIGN('Raw data'!AY52-'Raw data'!AZ52)=SIGN('Real results'!C52-'Real results'!D52),2+IF(AND('Raw data'!AY52='Real results'!C52,'Raw data'!AZ52='Real results'!D52),2,0),0),0),0)</f>
        <v>0</v>
      </c>
      <c r="BA53" s="29">
        <f>IFERROR(IF(AND(ISNUMBER('Real results'!C52),ISNUMBER('Real results'!D52),ISNUMBER('Raw data'!BA52),ISNUMBER('Raw data'!BB52)),IF(SIGN('Raw data'!BA52-'Raw data'!BB52)=SIGN('Real results'!C52-'Real results'!D52),2+IF(AND('Raw data'!BA52='Real results'!C52,'Raw data'!BB52='Real results'!D52),2,0),0),0),0)</f>
        <v>0</v>
      </c>
      <c r="BC53" s="29">
        <f>IFERROR(IF(AND(ISNUMBER('Real results'!C52),ISNUMBER('Real results'!D52),ISNUMBER('Raw data'!BC52),ISNUMBER('Raw data'!BD52)),IF(SIGN('Raw data'!BC52-'Raw data'!BD52)=SIGN('Real results'!C52-'Real results'!D52),2+IF(AND('Raw data'!BC52='Real results'!C52,'Raw data'!BD52='Real results'!D52),2,0),0),0),0)</f>
        <v>0</v>
      </c>
      <c r="BE53" s="29">
        <f>IFERROR(IF(AND(ISNUMBER('Real results'!C52),ISNUMBER('Real results'!D52),ISNUMBER('Raw data'!BE52),ISNUMBER('Raw data'!BF52)),IF(SIGN('Raw data'!BE52-'Raw data'!BF52)=SIGN('Real results'!C52-'Real results'!D52),2+IF(AND('Raw data'!BE52='Real results'!C52,'Raw data'!BF52='Real results'!D52),2,0),0),0),0)</f>
        <v>0</v>
      </c>
      <c r="BG53" s="29">
        <f>IFERROR(IF(AND(ISNUMBER('Real results'!C52),ISNUMBER('Real results'!D52),ISNUMBER('Raw data'!BG52),ISNUMBER('Raw data'!BH52)),IF(SIGN('Raw data'!BG52-'Raw data'!BH52)=SIGN('Real results'!C52-'Real results'!D52),2+IF(AND('Raw data'!BG52='Real results'!C52,'Raw data'!BH52='Real results'!D52),2,0),0),0),0)</f>
        <v>0</v>
      </c>
      <c r="BI53" s="29">
        <f>IFERROR(IF(AND(ISNUMBER('Real results'!C52),ISNUMBER('Real results'!D52),ISNUMBER('Raw data'!BI52),ISNUMBER('Raw data'!BJ52)),IF(SIGN('Raw data'!BI52-'Raw data'!BJ52)=SIGN('Real results'!C52-'Real results'!D52),2+IF(AND('Raw data'!BI52='Real results'!C52,'Raw data'!BJ52='Real results'!D52),2,0),0),0),0)</f>
        <v>0</v>
      </c>
    </row>
    <row r="54" ht="18.0" customHeight="1">
      <c r="A54" s="1"/>
      <c r="B54" s="13" t="s">
        <v>73</v>
      </c>
      <c r="C54" s="29">
        <f>IFERROR(IF(AND(ISNUMBER('Real results'!C53),ISNUMBER('Real results'!D53),ISNUMBER('Raw data'!C53),ISNUMBER('Raw data'!D53)),IF(SIGN('Raw data'!C53-'Raw data'!D53)=SIGN('Real results'!C53-'Real results'!D53),2+IF(AND('Raw data'!C53='Real results'!C53,'Raw data'!D53='Real results'!D53),2,0),0),0),0)</f>
        <v>0</v>
      </c>
      <c r="E54" s="29">
        <f>IFERROR(IF(AND(ISNUMBER('Real results'!C53),ISNUMBER('Real results'!D53),ISNUMBER('Raw data'!E53),ISNUMBER('Raw data'!F53)),IF(SIGN('Raw data'!E53-'Raw data'!F53)=SIGN('Real results'!C53-'Real results'!D53),2+IF(AND('Raw data'!E53='Real results'!C53,'Raw data'!F53='Real results'!D53),2,0),0),0),0)</f>
        <v>0</v>
      </c>
      <c r="G54" s="29">
        <f>IFERROR(IF(AND(ISNUMBER('Real results'!C53),ISNUMBER('Real results'!D53),ISNUMBER('Raw data'!G53),ISNUMBER('Raw data'!H53)),IF(SIGN('Raw data'!G53-'Raw data'!H53)=SIGN('Real results'!C53-'Real results'!D53),2+IF(AND('Raw data'!G53='Real results'!C53,'Raw data'!H53='Real results'!D53),2,0),0),0),0)</f>
        <v>0</v>
      </c>
      <c r="I54" s="29">
        <f>IFERROR(IF(AND(ISNUMBER('Real results'!C53),ISNUMBER('Real results'!D53),ISNUMBER('Raw data'!I53),ISNUMBER('Raw data'!J53)),IF(SIGN('Raw data'!I53-'Raw data'!J53)=SIGN('Real results'!C53-'Real results'!D53),2+IF(AND('Raw data'!I53='Real results'!C53,'Raw data'!J53='Real results'!D53),2,0),0),0),0)</f>
        <v>0</v>
      </c>
      <c r="K54" s="29">
        <f>IFERROR(IF(AND(ISNUMBER('Real results'!C53),ISNUMBER('Real results'!D53),ISNUMBER('Raw data'!K53),ISNUMBER('Raw data'!L53)),IF(SIGN('Raw data'!K53-'Raw data'!L53)=SIGN('Real results'!C53-'Real results'!D53),2+IF(AND('Raw data'!K53='Real results'!C53,'Raw data'!L53='Real results'!D53),2,0),0),0),0)</f>
        <v>0</v>
      </c>
      <c r="M54" s="29">
        <f>IFERROR(IF(AND(ISNUMBER('Real results'!C53),ISNUMBER('Real results'!D53),ISNUMBER('Raw data'!M53),ISNUMBER('Raw data'!N53)),IF(SIGN('Raw data'!M53-'Raw data'!N53)=SIGN('Real results'!C53-'Real results'!D53),2+IF(AND('Raw data'!M53='Real results'!C53,'Raw data'!N53='Real results'!D53),2,0),0),0),0)</f>
        <v>0</v>
      </c>
      <c r="O54" s="29">
        <f>IFERROR(IF(AND(ISNUMBER('Real results'!C53),ISNUMBER('Real results'!D53),ISNUMBER('Raw data'!O53),ISNUMBER('Raw data'!P53)),IF(SIGN('Raw data'!O53-'Raw data'!P53)=SIGN('Real results'!C53-'Real results'!D53),2+IF(AND('Raw data'!O53='Real results'!C53,'Raw data'!P53='Real results'!D53),2,0),0),0),0)</f>
        <v>0</v>
      </c>
      <c r="Q54" s="29">
        <f>IFERROR(IF(AND(ISNUMBER('Real results'!C53),ISNUMBER('Real results'!D53),ISNUMBER('Raw data'!Q53),ISNUMBER('Raw data'!R53)),IF(SIGN('Raw data'!Q53-'Raw data'!R53)=SIGN('Real results'!C53-'Real results'!D53),2+IF(AND('Raw data'!Q53='Real results'!C53,'Raw data'!R53='Real results'!D53),2,0),0),0),0)</f>
        <v>0</v>
      </c>
      <c r="S54" s="29">
        <f>IFERROR(IF(AND(ISNUMBER('Real results'!C53),ISNUMBER('Real results'!D53),ISNUMBER('Raw data'!S53),ISNUMBER('Raw data'!T53)),IF(SIGN('Raw data'!S53-'Raw data'!T53)=SIGN('Real results'!C53-'Real results'!D53),2+IF(AND('Raw data'!S53='Real results'!C53,'Raw data'!T53='Real results'!D53),2,0),0),0),0)</f>
        <v>0</v>
      </c>
      <c r="U54" s="29">
        <f>IFERROR(IF(AND(ISNUMBER('Real results'!C53),ISNUMBER('Real results'!D53),ISNUMBER('Raw data'!U53),ISNUMBER('Raw data'!V53)),IF(SIGN('Raw data'!U53-'Raw data'!V53)=SIGN('Real results'!C53-'Real results'!D53),2+IF(AND('Raw data'!U53='Real results'!C53,'Raw data'!V53='Real results'!D53),2,0),0),0),0)</f>
        <v>0</v>
      </c>
      <c r="W54" s="29">
        <f>IFERROR(IF(AND(ISNUMBER('Real results'!C53),ISNUMBER('Real results'!D53),ISNUMBER('Raw data'!W53),ISNUMBER('Raw data'!X53)),IF(SIGN('Raw data'!W53-'Raw data'!X53)=SIGN('Real results'!C53-'Real results'!D53),2+IF(AND('Raw data'!W53='Real results'!C53,'Raw data'!X53='Real results'!D53),2,0),0),0),0)</f>
        <v>0</v>
      </c>
      <c r="Y54" s="29">
        <f>IFERROR(IF(AND(ISNUMBER('Real results'!C53),ISNUMBER('Real results'!D53),ISNUMBER('Raw data'!Y53),ISNUMBER('Raw data'!Z53)),IF(SIGN('Raw data'!Y53-'Raw data'!Z53)=SIGN('Real results'!C53-'Real results'!D53),2+IF(AND('Raw data'!Y53='Real results'!C53,'Raw data'!Z53='Real results'!D53),2,0),0),0),0)</f>
        <v>0</v>
      </c>
      <c r="AA54" s="29">
        <f>IFERROR(IF(AND(ISNUMBER('Real results'!C53),ISNUMBER('Real results'!D53),ISNUMBER('Raw data'!AA53),ISNUMBER('Raw data'!AB53)),IF(SIGN('Raw data'!AA53-'Raw data'!AB53)=SIGN('Real results'!C53-'Real results'!D53),2+IF(AND('Raw data'!AA53='Real results'!C53,'Raw data'!AB53='Real results'!D53),2,0),0),0),0)</f>
        <v>0</v>
      </c>
      <c r="AC54" s="29">
        <f>IFERROR(IF(AND(ISNUMBER('Real results'!C53),ISNUMBER('Real results'!D53),ISNUMBER('Raw data'!AC53),ISNUMBER('Raw data'!AD53)),IF(SIGN('Raw data'!AC53-'Raw data'!AD53)=SIGN('Real results'!C53-'Real results'!D53),2+IF(AND('Raw data'!AC53='Real results'!C53,'Raw data'!AD53='Real results'!D53),2,0),0),0),0)</f>
        <v>0</v>
      </c>
      <c r="AE54" s="29">
        <f>IFERROR(IF(AND(ISNUMBER('Real results'!C53),ISNUMBER('Real results'!D53),ISNUMBER('Raw data'!AE53),ISNUMBER('Raw data'!AF53)),IF(SIGN('Raw data'!AE53-'Raw data'!AF53)=SIGN('Real results'!C53-'Real results'!D53),2+IF(AND('Raw data'!AE53='Real results'!C53,'Raw data'!AF53='Real results'!D53),2,0),0),0),0)</f>
        <v>0</v>
      </c>
      <c r="AG54" s="29">
        <f>IFERROR(IF(AND(ISNUMBER('Real results'!C53),ISNUMBER('Real results'!D53),ISNUMBER('Raw data'!AG53),ISNUMBER('Raw data'!AH53)),IF(SIGN('Raw data'!AG53-'Raw data'!AH53)=SIGN('Real results'!C53-'Real results'!D53),2+IF(AND('Raw data'!AG53='Real results'!C53,'Raw data'!AH53='Real results'!D53),2,0),0),0),0)</f>
        <v>0</v>
      </c>
      <c r="AI54" s="29">
        <f>IFERROR(IF(AND(ISNUMBER('Real results'!C53),ISNUMBER('Real results'!D53),ISNUMBER('Raw data'!AI53),ISNUMBER('Raw data'!AJ53)),IF(SIGN('Raw data'!AI53-'Raw data'!AJ53)=SIGN('Real results'!C53-'Real results'!D53),2+IF(AND('Raw data'!AI53='Real results'!C53,'Raw data'!AJ53='Real results'!D53),2,0),0),0),0)</f>
        <v>0</v>
      </c>
      <c r="AK54" s="29">
        <f>IFERROR(IF(AND(ISNUMBER('Real results'!C53),ISNUMBER('Real results'!D53),ISNUMBER('Raw data'!AK53),ISNUMBER('Raw data'!AL53)),IF(SIGN('Raw data'!AK53-'Raw data'!AL53)=SIGN('Real results'!C53-'Real results'!D53),2+IF(AND('Raw data'!AK53='Real results'!C53,'Raw data'!AL53='Real results'!D53),2,0),0),0),0)</f>
        <v>0</v>
      </c>
      <c r="AM54" s="29">
        <f>IFERROR(IF(AND(ISNUMBER('Real results'!C53),ISNUMBER('Real results'!D53),ISNUMBER('Raw data'!AM53),ISNUMBER('Raw data'!AN53)),IF(SIGN('Raw data'!AM53-'Raw data'!AN53)=SIGN('Real results'!C53-'Real results'!D53),2+IF(AND('Raw data'!AM53='Real results'!C53,'Raw data'!AN53='Real results'!D53),2,0),0),0),0)</f>
        <v>0</v>
      </c>
      <c r="AO54" s="29">
        <f>IFERROR(IF(AND(ISNUMBER('Real results'!C53),ISNUMBER('Real results'!D53),ISNUMBER('Raw data'!AO53),ISNUMBER('Raw data'!AP53)),IF(SIGN('Raw data'!AO53-'Raw data'!AP53)=SIGN('Real results'!C53-'Real results'!D53),2+IF(AND('Raw data'!AO53='Real results'!C53,'Raw data'!AP53='Real results'!D53),2,0),0),0),0)</f>
        <v>0</v>
      </c>
      <c r="AQ54" s="29">
        <f>IFERROR(IF(AND(ISNUMBER('Real results'!C53),ISNUMBER('Real results'!D53),ISNUMBER('Raw data'!AQ53),ISNUMBER('Raw data'!AR53)),IF(SIGN('Raw data'!AQ53-'Raw data'!AR53)=SIGN('Real results'!C53-'Real results'!D53),2+IF(AND('Raw data'!AQ53='Real results'!C53,'Raw data'!AR53='Real results'!D53),2,0),0),0),0)</f>
        <v>0</v>
      </c>
      <c r="AS54" s="29">
        <f>IFERROR(IF(AND(ISNUMBER('Real results'!C53),ISNUMBER('Real results'!D53),ISNUMBER('Raw data'!AS53),ISNUMBER('Raw data'!AT53)),IF(SIGN('Raw data'!AS53-'Raw data'!AT53)=SIGN('Real results'!C53-'Real results'!D53),2+IF(AND('Raw data'!AS53='Real results'!C53,'Raw data'!AT53='Real results'!D53),2,0),0),0),0)</f>
        <v>0</v>
      </c>
      <c r="AU54" s="29">
        <f>IFERROR(IF(AND(ISNUMBER('Real results'!C53),ISNUMBER('Real results'!D53),ISNUMBER('Raw data'!AU53),ISNUMBER('Raw data'!AV53)),IF(SIGN('Raw data'!AU53-'Raw data'!AV53)=SIGN('Real results'!C53-'Real results'!D53),2+IF(AND('Raw data'!AU53='Real results'!C53,'Raw data'!AV53='Real results'!D53),2,0),0),0),0)</f>
        <v>0</v>
      </c>
      <c r="AW54" s="29">
        <f>IFERROR(IF(AND(ISNUMBER('Real results'!C53),ISNUMBER('Real results'!D53),ISNUMBER('Raw data'!AW53),ISNUMBER('Raw data'!AX53)),IF(SIGN('Raw data'!AW53-'Raw data'!AX53)=SIGN('Real results'!C53-'Real results'!D53),2+IF(AND('Raw data'!AW53='Real results'!C53,'Raw data'!AX53='Real results'!D53),2,0),0),0),0)</f>
        <v>0</v>
      </c>
      <c r="AY54" s="29">
        <f>IFERROR(IF(AND(ISNUMBER('Real results'!C53),ISNUMBER('Real results'!D53),ISNUMBER('Raw data'!AY53),ISNUMBER('Raw data'!AZ53)),IF(SIGN('Raw data'!AY53-'Raw data'!AZ53)=SIGN('Real results'!C53-'Real results'!D53),2+IF(AND('Raw data'!AY53='Real results'!C53,'Raw data'!AZ53='Real results'!D53),2,0),0),0),0)</f>
        <v>0</v>
      </c>
      <c r="BA54" s="29">
        <f>IFERROR(IF(AND(ISNUMBER('Real results'!C53),ISNUMBER('Real results'!D53),ISNUMBER('Raw data'!BA53),ISNUMBER('Raw data'!BB53)),IF(SIGN('Raw data'!BA53-'Raw data'!BB53)=SIGN('Real results'!C53-'Real results'!D53),2+IF(AND('Raw data'!BA53='Real results'!C53,'Raw data'!BB53='Real results'!D53),2,0),0),0),0)</f>
        <v>0</v>
      </c>
      <c r="BC54" s="29">
        <f>IFERROR(IF(AND(ISNUMBER('Real results'!C53),ISNUMBER('Real results'!D53),ISNUMBER('Raw data'!BC53),ISNUMBER('Raw data'!BD53)),IF(SIGN('Raw data'!BC53-'Raw data'!BD53)=SIGN('Real results'!C53-'Real results'!D53),2+IF(AND('Raw data'!BC53='Real results'!C53,'Raw data'!BD53='Real results'!D53),2,0),0),0),0)</f>
        <v>0</v>
      </c>
      <c r="BE54" s="29">
        <f>IFERROR(IF(AND(ISNUMBER('Real results'!C53),ISNUMBER('Real results'!D53),ISNUMBER('Raw data'!BE53),ISNUMBER('Raw data'!BF53)),IF(SIGN('Raw data'!BE53-'Raw data'!BF53)=SIGN('Real results'!C53-'Real results'!D53),2+IF(AND('Raw data'!BE53='Real results'!C53,'Raw data'!BF53='Real results'!D53),2,0),0),0),0)</f>
        <v>0</v>
      </c>
      <c r="BG54" s="29">
        <f>IFERROR(IF(AND(ISNUMBER('Real results'!C53),ISNUMBER('Real results'!D53),ISNUMBER('Raw data'!BG53),ISNUMBER('Raw data'!BH53)),IF(SIGN('Raw data'!BG53-'Raw data'!BH53)=SIGN('Real results'!C53-'Real results'!D53),2+IF(AND('Raw data'!BG53='Real results'!C53,'Raw data'!BH53='Real results'!D53),2,0),0),0),0)</f>
        <v>0</v>
      </c>
      <c r="BI54" s="29">
        <f>IFERROR(IF(AND(ISNUMBER('Real results'!C53),ISNUMBER('Real results'!D53),ISNUMBER('Raw data'!BI53),ISNUMBER('Raw data'!BJ53)),IF(SIGN('Raw data'!BI53-'Raw data'!BJ53)=SIGN('Real results'!C53-'Real results'!D53),2+IF(AND('Raw data'!BI53='Real results'!C53,'Raw data'!BJ53='Real results'!D53),2,0),0),0),0)</f>
        <v>0</v>
      </c>
    </row>
    <row r="55" ht="18.0" customHeight="1">
      <c r="A55" s="1"/>
      <c r="B55" s="13" t="s">
        <v>74</v>
      </c>
      <c r="C55" s="29">
        <f>IFERROR(IF(AND(ISNUMBER('Real results'!C54),ISNUMBER('Real results'!D54),ISNUMBER('Raw data'!C54),ISNUMBER('Raw data'!D54)),IF(SIGN('Raw data'!C54-'Raw data'!D54)=SIGN('Real results'!C54-'Real results'!D54),2+IF(AND('Raw data'!C54='Real results'!C54,'Raw data'!D54='Real results'!D54),2,0),0),0),0)</f>
        <v>0</v>
      </c>
      <c r="E55" s="29">
        <f>IFERROR(IF(AND(ISNUMBER('Real results'!C54),ISNUMBER('Real results'!D54),ISNUMBER('Raw data'!E54),ISNUMBER('Raw data'!F54)),IF(SIGN('Raw data'!E54-'Raw data'!F54)=SIGN('Real results'!C54-'Real results'!D54),2+IF(AND('Raw data'!E54='Real results'!C54,'Raw data'!F54='Real results'!D54),2,0),0),0),0)</f>
        <v>0</v>
      </c>
      <c r="G55" s="29">
        <f>IFERROR(IF(AND(ISNUMBER('Real results'!C54),ISNUMBER('Real results'!D54),ISNUMBER('Raw data'!G54),ISNUMBER('Raw data'!H54)),IF(SIGN('Raw data'!G54-'Raw data'!H54)=SIGN('Real results'!C54-'Real results'!D54),2+IF(AND('Raw data'!G54='Real results'!C54,'Raw data'!H54='Real results'!D54),2,0),0),0),0)</f>
        <v>0</v>
      </c>
      <c r="I55" s="29">
        <f>IFERROR(IF(AND(ISNUMBER('Real results'!C54),ISNUMBER('Real results'!D54),ISNUMBER('Raw data'!I54),ISNUMBER('Raw data'!J54)),IF(SIGN('Raw data'!I54-'Raw data'!J54)=SIGN('Real results'!C54-'Real results'!D54),2+IF(AND('Raw data'!I54='Real results'!C54,'Raw data'!J54='Real results'!D54),2,0),0),0),0)</f>
        <v>0</v>
      </c>
      <c r="K55" s="29">
        <f>IFERROR(IF(AND(ISNUMBER('Real results'!C54),ISNUMBER('Real results'!D54),ISNUMBER('Raw data'!K54),ISNUMBER('Raw data'!L54)),IF(SIGN('Raw data'!K54-'Raw data'!L54)=SIGN('Real results'!C54-'Real results'!D54),2+IF(AND('Raw data'!K54='Real results'!C54,'Raw data'!L54='Real results'!D54),2,0),0),0),0)</f>
        <v>0</v>
      </c>
      <c r="M55" s="29">
        <f>IFERROR(IF(AND(ISNUMBER('Real results'!C54),ISNUMBER('Real results'!D54),ISNUMBER('Raw data'!M54),ISNUMBER('Raw data'!N54)),IF(SIGN('Raw data'!M54-'Raw data'!N54)=SIGN('Real results'!C54-'Real results'!D54),2+IF(AND('Raw data'!M54='Real results'!C54,'Raw data'!N54='Real results'!D54),2,0),0),0),0)</f>
        <v>0</v>
      </c>
      <c r="O55" s="29">
        <f>IFERROR(IF(AND(ISNUMBER('Real results'!C54),ISNUMBER('Real results'!D54),ISNUMBER('Raw data'!O54),ISNUMBER('Raw data'!P54)),IF(SIGN('Raw data'!O54-'Raw data'!P54)=SIGN('Real results'!C54-'Real results'!D54),2+IF(AND('Raw data'!O54='Real results'!C54,'Raw data'!P54='Real results'!D54),2,0),0),0),0)</f>
        <v>0</v>
      </c>
      <c r="Q55" s="29">
        <f>IFERROR(IF(AND(ISNUMBER('Real results'!C54),ISNUMBER('Real results'!D54),ISNUMBER('Raw data'!Q54),ISNUMBER('Raw data'!R54)),IF(SIGN('Raw data'!Q54-'Raw data'!R54)=SIGN('Real results'!C54-'Real results'!D54),2+IF(AND('Raw data'!Q54='Real results'!C54,'Raw data'!R54='Real results'!D54),2,0),0),0),0)</f>
        <v>0</v>
      </c>
      <c r="S55" s="29">
        <f>IFERROR(IF(AND(ISNUMBER('Real results'!C54),ISNUMBER('Real results'!D54),ISNUMBER('Raw data'!S54),ISNUMBER('Raw data'!T54)),IF(SIGN('Raw data'!S54-'Raw data'!T54)=SIGN('Real results'!C54-'Real results'!D54),2+IF(AND('Raw data'!S54='Real results'!C54,'Raw data'!T54='Real results'!D54),2,0),0),0),0)</f>
        <v>0</v>
      </c>
      <c r="U55" s="29">
        <f>IFERROR(IF(AND(ISNUMBER('Real results'!C54),ISNUMBER('Real results'!D54),ISNUMBER('Raw data'!U54),ISNUMBER('Raw data'!V54)),IF(SIGN('Raw data'!U54-'Raw data'!V54)=SIGN('Real results'!C54-'Real results'!D54),2+IF(AND('Raw data'!U54='Real results'!C54,'Raw data'!V54='Real results'!D54),2,0),0),0),0)</f>
        <v>0</v>
      </c>
      <c r="W55" s="29">
        <f>IFERROR(IF(AND(ISNUMBER('Real results'!C54),ISNUMBER('Real results'!D54),ISNUMBER('Raw data'!W54),ISNUMBER('Raw data'!X54)),IF(SIGN('Raw data'!W54-'Raw data'!X54)=SIGN('Real results'!C54-'Real results'!D54),2+IF(AND('Raw data'!W54='Real results'!C54,'Raw data'!X54='Real results'!D54),2,0),0),0),0)</f>
        <v>0</v>
      </c>
      <c r="Y55" s="29">
        <f>IFERROR(IF(AND(ISNUMBER('Real results'!C54),ISNUMBER('Real results'!D54),ISNUMBER('Raw data'!Y54),ISNUMBER('Raw data'!Z54)),IF(SIGN('Raw data'!Y54-'Raw data'!Z54)=SIGN('Real results'!C54-'Real results'!D54),2+IF(AND('Raw data'!Y54='Real results'!C54,'Raw data'!Z54='Real results'!D54),2,0),0),0),0)</f>
        <v>0</v>
      </c>
      <c r="AA55" s="29">
        <f>IFERROR(IF(AND(ISNUMBER('Real results'!C54),ISNUMBER('Real results'!D54),ISNUMBER('Raw data'!AA54),ISNUMBER('Raw data'!AB54)),IF(SIGN('Raw data'!AA54-'Raw data'!AB54)=SIGN('Real results'!C54-'Real results'!D54),2+IF(AND('Raw data'!AA54='Real results'!C54,'Raw data'!AB54='Real results'!D54),2,0),0),0),0)</f>
        <v>0</v>
      </c>
      <c r="AC55" s="29">
        <f>IFERROR(IF(AND(ISNUMBER('Real results'!C54),ISNUMBER('Real results'!D54),ISNUMBER('Raw data'!AC54),ISNUMBER('Raw data'!AD54)),IF(SIGN('Raw data'!AC54-'Raw data'!AD54)=SIGN('Real results'!C54-'Real results'!D54),2+IF(AND('Raw data'!AC54='Real results'!C54,'Raw data'!AD54='Real results'!D54),2,0),0),0),0)</f>
        <v>0</v>
      </c>
      <c r="AE55" s="29">
        <f>IFERROR(IF(AND(ISNUMBER('Real results'!C54),ISNUMBER('Real results'!D54),ISNUMBER('Raw data'!AE54),ISNUMBER('Raw data'!AF54)),IF(SIGN('Raw data'!AE54-'Raw data'!AF54)=SIGN('Real results'!C54-'Real results'!D54),2+IF(AND('Raw data'!AE54='Real results'!C54,'Raw data'!AF54='Real results'!D54),2,0),0),0),0)</f>
        <v>0</v>
      </c>
      <c r="AG55" s="29">
        <f>IFERROR(IF(AND(ISNUMBER('Real results'!C54),ISNUMBER('Real results'!D54),ISNUMBER('Raw data'!AG54),ISNUMBER('Raw data'!AH54)),IF(SIGN('Raw data'!AG54-'Raw data'!AH54)=SIGN('Real results'!C54-'Real results'!D54),2+IF(AND('Raw data'!AG54='Real results'!C54,'Raw data'!AH54='Real results'!D54),2,0),0),0),0)</f>
        <v>0</v>
      </c>
      <c r="AI55" s="29">
        <f>IFERROR(IF(AND(ISNUMBER('Real results'!C54),ISNUMBER('Real results'!D54),ISNUMBER('Raw data'!AI54),ISNUMBER('Raw data'!AJ54)),IF(SIGN('Raw data'!AI54-'Raw data'!AJ54)=SIGN('Real results'!C54-'Real results'!D54),2+IF(AND('Raw data'!AI54='Real results'!C54,'Raw data'!AJ54='Real results'!D54),2,0),0),0),0)</f>
        <v>0</v>
      </c>
      <c r="AK55" s="29">
        <f>IFERROR(IF(AND(ISNUMBER('Real results'!C54),ISNUMBER('Real results'!D54),ISNUMBER('Raw data'!AK54),ISNUMBER('Raw data'!AL54)),IF(SIGN('Raw data'!AK54-'Raw data'!AL54)=SIGN('Real results'!C54-'Real results'!D54),2+IF(AND('Raw data'!AK54='Real results'!C54,'Raw data'!AL54='Real results'!D54),2,0),0),0),0)</f>
        <v>0</v>
      </c>
      <c r="AM55" s="29">
        <f>IFERROR(IF(AND(ISNUMBER('Real results'!C54),ISNUMBER('Real results'!D54),ISNUMBER('Raw data'!AM54),ISNUMBER('Raw data'!AN54)),IF(SIGN('Raw data'!AM54-'Raw data'!AN54)=SIGN('Real results'!C54-'Real results'!D54),2+IF(AND('Raw data'!AM54='Real results'!C54,'Raw data'!AN54='Real results'!D54),2,0),0),0),0)</f>
        <v>0</v>
      </c>
      <c r="AO55" s="29">
        <f>IFERROR(IF(AND(ISNUMBER('Real results'!C54),ISNUMBER('Real results'!D54),ISNUMBER('Raw data'!AO54),ISNUMBER('Raw data'!AP54)),IF(SIGN('Raw data'!AO54-'Raw data'!AP54)=SIGN('Real results'!C54-'Real results'!D54),2+IF(AND('Raw data'!AO54='Real results'!C54,'Raw data'!AP54='Real results'!D54),2,0),0),0),0)</f>
        <v>0</v>
      </c>
      <c r="AQ55" s="29">
        <f>IFERROR(IF(AND(ISNUMBER('Real results'!C54),ISNUMBER('Real results'!D54),ISNUMBER('Raw data'!AQ54),ISNUMBER('Raw data'!AR54)),IF(SIGN('Raw data'!AQ54-'Raw data'!AR54)=SIGN('Real results'!C54-'Real results'!D54),2+IF(AND('Raw data'!AQ54='Real results'!C54,'Raw data'!AR54='Real results'!D54),2,0),0),0),0)</f>
        <v>0</v>
      </c>
      <c r="AS55" s="29">
        <f>IFERROR(IF(AND(ISNUMBER('Real results'!C54),ISNUMBER('Real results'!D54),ISNUMBER('Raw data'!AS54),ISNUMBER('Raw data'!AT54)),IF(SIGN('Raw data'!AS54-'Raw data'!AT54)=SIGN('Real results'!C54-'Real results'!D54),2+IF(AND('Raw data'!AS54='Real results'!C54,'Raw data'!AT54='Real results'!D54),2,0),0),0),0)</f>
        <v>0</v>
      </c>
      <c r="AU55" s="29">
        <f>IFERROR(IF(AND(ISNUMBER('Real results'!C54),ISNUMBER('Real results'!D54),ISNUMBER('Raw data'!AU54),ISNUMBER('Raw data'!AV54)),IF(SIGN('Raw data'!AU54-'Raw data'!AV54)=SIGN('Real results'!C54-'Real results'!D54),2+IF(AND('Raw data'!AU54='Real results'!C54,'Raw data'!AV54='Real results'!D54),2,0),0),0),0)</f>
        <v>0</v>
      </c>
      <c r="AW55" s="29">
        <f>IFERROR(IF(AND(ISNUMBER('Real results'!C54),ISNUMBER('Real results'!D54),ISNUMBER('Raw data'!AW54),ISNUMBER('Raw data'!AX54)),IF(SIGN('Raw data'!AW54-'Raw data'!AX54)=SIGN('Real results'!C54-'Real results'!D54),2+IF(AND('Raw data'!AW54='Real results'!C54,'Raw data'!AX54='Real results'!D54),2,0),0),0),0)</f>
        <v>0</v>
      </c>
      <c r="AY55" s="29">
        <f>IFERROR(IF(AND(ISNUMBER('Real results'!C54),ISNUMBER('Real results'!D54),ISNUMBER('Raw data'!AY54),ISNUMBER('Raw data'!AZ54)),IF(SIGN('Raw data'!AY54-'Raw data'!AZ54)=SIGN('Real results'!C54-'Real results'!D54),2+IF(AND('Raw data'!AY54='Real results'!C54,'Raw data'!AZ54='Real results'!D54),2,0),0),0),0)</f>
        <v>0</v>
      </c>
      <c r="BA55" s="29">
        <f>IFERROR(IF(AND(ISNUMBER('Real results'!C54),ISNUMBER('Real results'!D54),ISNUMBER('Raw data'!BA54),ISNUMBER('Raw data'!BB54)),IF(SIGN('Raw data'!BA54-'Raw data'!BB54)=SIGN('Real results'!C54-'Real results'!D54),2+IF(AND('Raw data'!BA54='Real results'!C54,'Raw data'!BB54='Real results'!D54),2,0),0),0),0)</f>
        <v>0</v>
      </c>
      <c r="BC55" s="29">
        <f>IFERROR(IF(AND(ISNUMBER('Real results'!C54),ISNUMBER('Real results'!D54),ISNUMBER('Raw data'!BC54),ISNUMBER('Raw data'!BD54)),IF(SIGN('Raw data'!BC54-'Raw data'!BD54)=SIGN('Real results'!C54-'Real results'!D54),2+IF(AND('Raw data'!BC54='Real results'!C54,'Raw data'!BD54='Real results'!D54),2,0),0),0),0)</f>
        <v>0</v>
      </c>
      <c r="BE55" s="29">
        <f>IFERROR(IF(AND(ISNUMBER('Real results'!C54),ISNUMBER('Real results'!D54),ISNUMBER('Raw data'!BE54),ISNUMBER('Raw data'!BF54)),IF(SIGN('Raw data'!BE54-'Raw data'!BF54)=SIGN('Real results'!C54-'Real results'!D54),2+IF(AND('Raw data'!BE54='Real results'!C54,'Raw data'!BF54='Real results'!D54),2,0),0),0),0)</f>
        <v>0</v>
      </c>
      <c r="BG55" s="29">
        <f>IFERROR(IF(AND(ISNUMBER('Real results'!C54),ISNUMBER('Real results'!D54),ISNUMBER('Raw data'!BG54),ISNUMBER('Raw data'!BH54)),IF(SIGN('Raw data'!BG54-'Raw data'!BH54)=SIGN('Real results'!C54-'Real results'!D54),2+IF(AND('Raw data'!BG54='Real results'!C54,'Raw data'!BH54='Real results'!D54),2,0),0),0),0)</f>
        <v>0</v>
      </c>
      <c r="BI55" s="29">
        <f>IFERROR(IF(AND(ISNUMBER('Real results'!C54),ISNUMBER('Real results'!D54),ISNUMBER('Raw data'!BI54),ISNUMBER('Raw data'!BJ54)),IF(SIGN('Raw data'!BI54-'Raw data'!BJ54)=SIGN('Real results'!C54-'Real results'!D54),2+IF(AND('Raw data'!BI54='Real results'!C54,'Raw data'!BJ54='Real results'!D54),2,0),0),0),0)</f>
        <v>0</v>
      </c>
    </row>
    <row r="56" ht="18.0" customHeight="1">
      <c r="A56" s="1"/>
      <c r="B56" s="13" t="s">
        <v>75</v>
      </c>
      <c r="C56" s="29">
        <f>IFERROR(IF(AND(ISNUMBER('Real results'!C55),ISNUMBER('Real results'!D55),ISNUMBER('Raw data'!C55),ISNUMBER('Raw data'!D55)),IF(SIGN('Raw data'!C55-'Raw data'!D55)=SIGN('Real results'!C55-'Real results'!D55),2+IF(AND('Raw data'!C55='Real results'!C55,'Raw data'!D55='Real results'!D55),2,0),0),0),0)</f>
        <v>0</v>
      </c>
      <c r="E56" s="29">
        <f>IFERROR(IF(AND(ISNUMBER('Real results'!C55),ISNUMBER('Real results'!D55),ISNUMBER('Raw data'!E55),ISNUMBER('Raw data'!F55)),IF(SIGN('Raw data'!E55-'Raw data'!F55)=SIGN('Real results'!C55-'Real results'!D55),2+IF(AND('Raw data'!E55='Real results'!C55,'Raw data'!F55='Real results'!D55),2,0),0),0),0)</f>
        <v>0</v>
      </c>
      <c r="G56" s="29">
        <f>IFERROR(IF(AND(ISNUMBER('Real results'!C55),ISNUMBER('Real results'!D55),ISNUMBER('Raw data'!G55),ISNUMBER('Raw data'!H55)),IF(SIGN('Raw data'!G55-'Raw data'!H55)=SIGN('Real results'!C55-'Real results'!D55),2+IF(AND('Raw data'!G55='Real results'!C55,'Raw data'!H55='Real results'!D55),2,0),0),0),0)</f>
        <v>0</v>
      </c>
      <c r="I56" s="29">
        <f>IFERROR(IF(AND(ISNUMBER('Real results'!C55),ISNUMBER('Real results'!D55),ISNUMBER('Raw data'!I55),ISNUMBER('Raw data'!J55)),IF(SIGN('Raw data'!I55-'Raw data'!J55)=SIGN('Real results'!C55-'Real results'!D55),2+IF(AND('Raw data'!I55='Real results'!C55,'Raw data'!J55='Real results'!D55),2,0),0),0),0)</f>
        <v>0</v>
      </c>
      <c r="K56" s="29">
        <f>IFERROR(IF(AND(ISNUMBER('Real results'!C55),ISNUMBER('Real results'!D55),ISNUMBER('Raw data'!K55),ISNUMBER('Raw data'!L55)),IF(SIGN('Raw data'!K55-'Raw data'!L55)=SIGN('Real results'!C55-'Real results'!D55),2+IF(AND('Raw data'!K55='Real results'!C55,'Raw data'!L55='Real results'!D55),2,0),0),0),0)</f>
        <v>0</v>
      </c>
      <c r="M56" s="29">
        <f>IFERROR(IF(AND(ISNUMBER('Real results'!C55),ISNUMBER('Real results'!D55),ISNUMBER('Raw data'!M55),ISNUMBER('Raw data'!N55)),IF(SIGN('Raw data'!M55-'Raw data'!N55)=SIGN('Real results'!C55-'Real results'!D55),2+IF(AND('Raw data'!M55='Real results'!C55,'Raw data'!N55='Real results'!D55),2,0),0),0),0)</f>
        <v>0</v>
      </c>
      <c r="O56" s="29">
        <f>IFERROR(IF(AND(ISNUMBER('Real results'!C55),ISNUMBER('Real results'!D55),ISNUMBER('Raw data'!O55),ISNUMBER('Raw data'!P55)),IF(SIGN('Raw data'!O55-'Raw data'!P55)=SIGN('Real results'!C55-'Real results'!D55),2+IF(AND('Raw data'!O55='Real results'!C55,'Raw data'!P55='Real results'!D55),2,0),0),0),0)</f>
        <v>0</v>
      </c>
      <c r="Q56" s="29">
        <f>IFERROR(IF(AND(ISNUMBER('Real results'!C55),ISNUMBER('Real results'!D55),ISNUMBER('Raw data'!Q55),ISNUMBER('Raw data'!R55)),IF(SIGN('Raw data'!Q55-'Raw data'!R55)=SIGN('Real results'!C55-'Real results'!D55),2+IF(AND('Raw data'!Q55='Real results'!C55,'Raw data'!R55='Real results'!D55),2,0),0),0),0)</f>
        <v>0</v>
      </c>
      <c r="S56" s="29">
        <f>IFERROR(IF(AND(ISNUMBER('Real results'!C55),ISNUMBER('Real results'!D55),ISNUMBER('Raw data'!S55),ISNUMBER('Raw data'!T55)),IF(SIGN('Raw data'!S55-'Raw data'!T55)=SIGN('Real results'!C55-'Real results'!D55),2+IF(AND('Raw data'!S55='Real results'!C55,'Raw data'!T55='Real results'!D55),2,0),0),0),0)</f>
        <v>0</v>
      </c>
      <c r="U56" s="29">
        <f>IFERROR(IF(AND(ISNUMBER('Real results'!C55),ISNUMBER('Real results'!D55),ISNUMBER('Raw data'!U55),ISNUMBER('Raw data'!V55)),IF(SIGN('Raw data'!U55-'Raw data'!V55)=SIGN('Real results'!C55-'Real results'!D55),2+IF(AND('Raw data'!U55='Real results'!C55,'Raw data'!V55='Real results'!D55),2,0),0),0),0)</f>
        <v>0</v>
      </c>
      <c r="W56" s="29">
        <f>IFERROR(IF(AND(ISNUMBER('Real results'!C55),ISNUMBER('Real results'!D55),ISNUMBER('Raw data'!W55),ISNUMBER('Raw data'!X55)),IF(SIGN('Raw data'!W55-'Raw data'!X55)=SIGN('Real results'!C55-'Real results'!D55),2+IF(AND('Raw data'!W55='Real results'!C55,'Raw data'!X55='Real results'!D55),2,0),0),0),0)</f>
        <v>0</v>
      </c>
      <c r="Y56" s="29">
        <f>IFERROR(IF(AND(ISNUMBER('Real results'!C55),ISNUMBER('Real results'!D55),ISNUMBER('Raw data'!Y55),ISNUMBER('Raw data'!Z55)),IF(SIGN('Raw data'!Y55-'Raw data'!Z55)=SIGN('Real results'!C55-'Real results'!D55),2+IF(AND('Raw data'!Y55='Real results'!C55,'Raw data'!Z55='Real results'!D55),2,0),0),0),0)</f>
        <v>0</v>
      </c>
      <c r="AA56" s="29">
        <f>IFERROR(IF(AND(ISNUMBER('Real results'!C55),ISNUMBER('Real results'!D55),ISNUMBER('Raw data'!AA55),ISNUMBER('Raw data'!AB55)),IF(SIGN('Raw data'!AA55-'Raw data'!AB55)=SIGN('Real results'!C55-'Real results'!D55),2+IF(AND('Raw data'!AA55='Real results'!C55,'Raw data'!AB55='Real results'!D55),2,0),0),0),0)</f>
        <v>0</v>
      </c>
      <c r="AC56" s="29">
        <f>IFERROR(IF(AND(ISNUMBER('Real results'!C55),ISNUMBER('Real results'!D55),ISNUMBER('Raw data'!AC55),ISNUMBER('Raw data'!AD55)),IF(SIGN('Raw data'!AC55-'Raw data'!AD55)=SIGN('Real results'!C55-'Real results'!D55),2+IF(AND('Raw data'!AC55='Real results'!C55,'Raw data'!AD55='Real results'!D55),2,0),0),0),0)</f>
        <v>0</v>
      </c>
      <c r="AE56" s="29">
        <f>IFERROR(IF(AND(ISNUMBER('Real results'!C55),ISNUMBER('Real results'!D55),ISNUMBER('Raw data'!AE55),ISNUMBER('Raw data'!AF55)),IF(SIGN('Raw data'!AE55-'Raw data'!AF55)=SIGN('Real results'!C55-'Real results'!D55),2+IF(AND('Raw data'!AE55='Real results'!C55,'Raw data'!AF55='Real results'!D55),2,0),0),0),0)</f>
        <v>0</v>
      </c>
      <c r="AG56" s="29">
        <f>IFERROR(IF(AND(ISNUMBER('Real results'!C55),ISNUMBER('Real results'!D55),ISNUMBER('Raw data'!AG55),ISNUMBER('Raw data'!AH55)),IF(SIGN('Raw data'!AG55-'Raw data'!AH55)=SIGN('Real results'!C55-'Real results'!D55),2+IF(AND('Raw data'!AG55='Real results'!C55,'Raw data'!AH55='Real results'!D55),2,0),0),0),0)</f>
        <v>0</v>
      </c>
      <c r="AI56" s="29">
        <f>IFERROR(IF(AND(ISNUMBER('Real results'!C55),ISNUMBER('Real results'!D55),ISNUMBER('Raw data'!AI55),ISNUMBER('Raw data'!AJ55)),IF(SIGN('Raw data'!AI55-'Raw data'!AJ55)=SIGN('Real results'!C55-'Real results'!D55),2+IF(AND('Raw data'!AI55='Real results'!C55,'Raw data'!AJ55='Real results'!D55),2,0),0),0),0)</f>
        <v>0</v>
      </c>
      <c r="AK56" s="29">
        <f>IFERROR(IF(AND(ISNUMBER('Real results'!C55),ISNUMBER('Real results'!D55),ISNUMBER('Raw data'!AK55),ISNUMBER('Raw data'!AL55)),IF(SIGN('Raw data'!AK55-'Raw data'!AL55)=SIGN('Real results'!C55-'Real results'!D55),2+IF(AND('Raw data'!AK55='Real results'!C55,'Raw data'!AL55='Real results'!D55),2,0),0),0),0)</f>
        <v>0</v>
      </c>
      <c r="AM56" s="29">
        <f>IFERROR(IF(AND(ISNUMBER('Real results'!C55),ISNUMBER('Real results'!D55),ISNUMBER('Raw data'!AM55),ISNUMBER('Raw data'!AN55)),IF(SIGN('Raw data'!AM55-'Raw data'!AN55)=SIGN('Real results'!C55-'Real results'!D55),2+IF(AND('Raw data'!AM55='Real results'!C55,'Raw data'!AN55='Real results'!D55),2,0),0),0),0)</f>
        <v>0</v>
      </c>
      <c r="AO56" s="29">
        <f>IFERROR(IF(AND(ISNUMBER('Real results'!C55),ISNUMBER('Real results'!D55),ISNUMBER('Raw data'!AO55),ISNUMBER('Raw data'!AP55)),IF(SIGN('Raw data'!AO55-'Raw data'!AP55)=SIGN('Real results'!C55-'Real results'!D55),2+IF(AND('Raw data'!AO55='Real results'!C55,'Raw data'!AP55='Real results'!D55),2,0),0),0),0)</f>
        <v>0</v>
      </c>
      <c r="AQ56" s="29">
        <f>IFERROR(IF(AND(ISNUMBER('Real results'!C55),ISNUMBER('Real results'!D55),ISNUMBER('Raw data'!AQ55),ISNUMBER('Raw data'!AR55)),IF(SIGN('Raw data'!AQ55-'Raw data'!AR55)=SIGN('Real results'!C55-'Real results'!D55),2+IF(AND('Raw data'!AQ55='Real results'!C55,'Raw data'!AR55='Real results'!D55),2,0),0),0),0)</f>
        <v>0</v>
      </c>
      <c r="AS56" s="29">
        <f>IFERROR(IF(AND(ISNUMBER('Real results'!C55),ISNUMBER('Real results'!D55),ISNUMBER('Raw data'!AS55),ISNUMBER('Raw data'!AT55)),IF(SIGN('Raw data'!AS55-'Raw data'!AT55)=SIGN('Real results'!C55-'Real results'!D55),2+IF(AND('Raw data'!AS55='Real results'!C55,'Raw data'!AT55='Real results'!D55),2,0),0),0),0)</f>
        <v>0</v>
      </c>
      <c r="AU56" s="29">
        <f>IFERROR(IF(AND(ISNUMBER('Real results'!C55),ISNUMBER('Real results'!D55),ISNUMBER('Raw data'!AU55),ISNUMBER('Raw data'!AV55)),IF(SIGN('Raw data'!AU55-'Raw data'!AV55)=SIGN('Real results'!C55-'Real results'!D55),2+IF(AND('Raw data'!AU55='Real results'!C55,'Raw data'!AV55='Real results'!D55),2,0),0),0),0)</f>
        <v>0</v>
      </c>
      <c r="AW56" s="29">
        <f>IFERROR(IF(AND(ISNUMBER('Real results'!C55),ISNUMBER('Real results'!D55),ISNUMBER('Raw data'!AW55),ISNUMBER('Raw data'!AX55)),IF(SIGN('Raw data'!AW55-'Raw data'!AX55)=SIGN('Real results'!C55-'Real results'!D55),2+IF(AND('Raw data'!AW55='Real results'!C55,'Raw data'!AX55='Real results'!D55),2,0),0),0),0)</f>
        <v>0</v>
      </c>
      <c r="AY56" s="29">
        <f>IFERROR(IF(AND(ISNUMBER('Real results'!C55),ISNUMBER('Real results'!D55),ISNUMBER('Raw data'!AY55),ISNUMBER('Raw data'!AZ55)),IF(SIGN('Raw data'!AY55-'Raw data'!AZ55)=SIGN('Real results'!C55-'Real results'!D55),2+IF(AND('Raw data'!AY55='Real results'!C55,'Raw data'!AZ55='Real results'!D55),2,0),0),0),0)</f>
        <v>0</v>
      </c>
      <c r="BA56" s="29">
        <f>IFERROR(IF(AND(ISNUMBER('Real results'!C55),ISNUMBER('Real results'!D55),ISNUMBER('Raw data'!BA55),ISNUMBER('Raw data'!BB55)),IF(SIGN('Raw data'!BA55-'Raw data'!BB55)=SIGN('Real results'!C55-'Real results'!D55),2+IF(AND('Raw data'!BA55='Real results'!C55,'Raw data'!BB55='Real results'!D55),2,0),0),0),0)</f>
        <v>0</v>
      </c>
      <c r="BC56" s="29">
        <f>IFERROR(IF(AND(ISNUMBER('Real results'!C55),ISNUMBER('Real results'!D55),ISNUMBER('Raw data'!BC55),ISNUMBER('Raw data'!BD55)),IF(SIGN('Raw data'!BC55-'Raw data'!BD55)=SIGN('Real results'!C55-'Real results'!D55),2+IF(AND('Raw data'!BC55='Real results'!C55,'Raw data'!BD55='Real results'!D55),2,0),0),0),0)</f>
        <v>0</v>
      </c>
      <c r="BE56" s="29">
        <f>IFERROR(IF(AND(ISNUMBER('Real results'!C55),ISNUMBER('Real results'!D55),ISNUMBER('Raw data'!BE55),ISNUMBER('Raw data'!BF55)),IF(SIGN('Raw data'!BE55-'Raw data'!BF55)=SIGN('Real results'!C55-'Real results'!D55),2+IF(AND('Raw data'!BE55='Real results'!C55,'Raw data'!BF55='Real results'!D55),2,0),0),0),0)</f>
        <v>0</v>
      </c>
      <c r="BG56" s="29">
        <f>IFERROR(IF(AND(ISNUMBER('Real results'!C55),ISNUMBER('Real results'!D55),ISNUMBER('Raw data'!BG55),ISNUMBER('Raw data'!BH55)),IF(SIGN('Raw data'!BG55-'Raw data'!BH55)=SIGN('Real results'!C55-'Real results'!D55),2+IF(AND('Raw data'!BG55='Real results'!C55,'Raw data'!BH55='Real results'!D55),2,0),0),0),0)</f>
        <v>0</v>
      </c>
      <c r="BI56" s="29">
        <f>IFERROR(IF(AND(ISNUMBER('Real results'!C55),ISNUMBER('Real results'!D55),ISNUMBER('Raw data'!BI55),ISNUMBER('Raw data'!BJ55)),IF(SIGN('Raw data'!BI55-'Raw data'!BJ55)=SIGN('Real results'!C55-'Real results'!D55),2+IF(AND('Raw data'!BI55='Real results'!C55,'Raw data'!BJ55='Real results'!D55),2,0),0),0),0)</f>
        <v>0</v>
      </c>
    </row>
    <row r="57" ht="18.0" customHeight="1">
      <c r="A57" s="1"/>
      <c r="B57" s="13" t="s">
        <v>76</v>
      </c>
      <c r="C57" s="29">
        <f>IFERROR(IF(AND(ISNUMBER('Real results'!C56),ISNUMBER('Real results'!D56),ISNUMBER('Raw data'!C56),ISNUMBER('Raw data'!D56)),IF(SIGN('Raw data'!C56-'Raw data'!D56)=SIGN('Real results'!C56-'Real results'!D56),2+IF(AND('Raw data'!C56='Real results'!C56,'Raw data'!D56='Real results'!D56),2,0),0),0),0)</f>
        <v>0</v>
      </c>
      <c r="E57" s="29">
        <f>IFERROR(IF(AND(ISNUMBER('Real results'!C56),ISNUMBER('Real results'!D56),ISNUMBER('Raw data'!E56),ISNUMBER('Raw data'!F56)),IF(SIGN('Raw data'!E56-'Raw data'!F56)=SIGN('Real results'!C56-'Real results'!D56),2+IF(AND('Raw data'!E56='Real results'!C56,'Raw data'!F56='Real results'!D56),2,0),0),0),0)</f>
        <v>0</v>
      </c>
      <c r="G57" s="29">
        <f>IFERROR(IF(AND(ISNUMBER('Real results'!C56),ISNUMBER('Real results'!D56),ISNUMBER('Raw data'!G56),ISNUMBER('Raw data'!H56)),IF(SIGN('Raw data'!G56-'Raw data'!H56)=SIGN('Real results'!C56-'Real results'!D56),2+IF(AND('Raw data'!G56='Real results'!C56,'Raw data'!H56='Real results'!D56),2,0),0),0),0)</f>
        <v>0</v>
      </c>
      <c r="I57" s="29">
        <f>IFERROR(IF(AND(ISNUMBER('Real results'!C56),ISNUMBER('Real results'!D56),ISNUMBER('Raw data'!I56),ISNUMBER('Raw data'!J56)),IF(SIGN('Raw data'!I56-'Raw data'!J56)=SIGN('Real results'!C56-'Real results'!D56),2+IF(AND('Raw data'!I56='Real results'!C56,'Raw data'!J56='Real results'!D56),2,0),0),0),0)</f>
        <v>0</v>
      </c>
      <c r="K57" s="29">
        <f>IFERROR(IF(AND(ISNUMBER('Real results'!C56),ISNUMBER('Real results'!D56),ISNUMBER('Raw data'!K56),ISNUMBER('Raw data'!L56)),IF(SIGN('Raw data'!K56-'Raw data'!L56)=SIGN('Real results'!C56-'Real results'!D56),2+IF(AND('Raw data'!K56='Real results'!C56,'Raw data'!L56='Real results'!D56),2,0),0),0),0)</f>
        <v>0</v>
      </c>
      <c r="M57" s="29">
        <f>IFERROR(IF(AND(ISNUMBER('Real results'!C56),ISNUMBER('Real results'!D56),ISNUMBER('Raw data'!M56),ISNUMBER('Raw data'!N56)),IF(SIGN('Raw data'!M56-'Raw data'!N56)=SIGN('Real results'!C56-'Real results'!D56),2+IF(AND('Raw data'!M56='Real results'!C56,'Raw data'!N56='Real results'!D56),2,0),0),0),0)</f>
        <v>0</v>
      </c>
      <c r="O57" s="29">
        <f>IFERROR(IF(AND(ISNUMBER('Real results'!C56),ISNUMBER('Real results'!D56),ISNUMBER('Raw data'!O56),ISNUMBER('Raw data'!P56)),IF(SIGN('Raw data'!O56-'Raw data'!P56)=SIGN('Real results'!C56-'Real results'!D56),2+IF(AND('Raw data'!O56='Real results'!C56,'Raw data'!P56='Real results'!D56),2,0),0),0),0)</f>
        <v>0</v>
      </c>
      <c r="Q57" s="29">
        <f>IFERROR(IF(AND(ISNUMBER('Real results'!C56),ISNUMBER('Real results'!D56),ISNUMBER('Raw data'!Q56),ISNUMBER('Raw data'!R56)),IF(SIGN('Raw data'!Q56-'Raw data'!R56)=SIGN('Real results'!C56-'Real results'!D56),2+IF(AND('Raw data'!Q56='Real results'!C56,'Raw data'!R56='Real results'!D56),2,0),0),0),0)</f>
        <v>0</v>
      </c>
      <c r="S57" s="29">
        <f>IFERROR(IF(AND(ISNUMBER('Real results'!C56),ISNUMBER('Real results'!D56),ISNUMBER('Raw data'!S56),ISNUMBER('Raw data'!T56)),IF(SIGN('Raw data'!S56-'Raw data'!T56)=SIGN('Real results'!C56-'Real results'!D56),2+IF(AND('Raw data'!S56='Real results'!C56,'Raw data'!T56='Real results'!D56),2,0),0),0),0)</f>
        <v>0</v>
      </c>
      <c r="U57" s="29">
        <f>IFERROR(IF(AND(ISNUMBER('Real results'!C56),ISNUMBER('Real results'!D56),ISNUMBER('Raw data'!U56),ISNUMBER('Raw data'!V56)),IF(SIGN('Raw data'!U56-'Raw data'!V56)=SIGN('Real results'!C56-'Real results'!D56),2+IF(AND('Raw data'!U56='Real results'!C56,'Raw data'!V56='Real results'!D56),2,0),0),0),0)</f>
        <v>0</v>
      </c>
      <c r="W57" s="29">
        <f>IFERROR(IF(AND(ISNUMBER('Real results'!C56),ISNUMBER('Real results'!D56),ISNUMBER('Raw data'!W56),ISNUMBER('Raw data'!X56)),IF(SIGN('Raw data'!W56-'Raw data'!X56)=SIGN('Real results'!C56-'Real results'!D56),2+IF(AND('Raw data'!W56='Real results'!C56,'Raw data'!X56='Real results'!D56),2,0),0),0),0)</f>
        <v>0</v>
      </c>
      <c r="Y57" s="29">
        <f>IFERROR(IF(AND(ISNUMBER('Real results'!C56),ISNUMBER('Real results'!D56),ISNUMBER('Raw data'!Y56),ISNUMBER('Raw data'!Z56)),IF(SIGN('Raw data'!Y56-'Raw data'!Z56)=SIGN('Real results'!C56-'Real results'!D56),2+IF(AND('Raw data'!Y56='Real results'!C56,'Raw data'!Z56='Real results'!D56),2,0),0),0),0)</f>
        <v>0</v>
      </c>
      <c r="AA57" s="29">
        <f>IFERROR(IF(AND(ISNUMBER('Real results'!C56),ISNUMBER('Real results'!D56),ISNUMBER('Raw data'!AA56),ISNUMBER('Raw data'!AB56)),IF(SIGN('Raw data'!AA56-'Raw data'!AB56)=SIGN('Real results'!C56-'Real results'!D56),2+IF(AND('Raw data'!AA56='Real results'!C56,'Raw data'!AB56='Real results'!D56),2,0),0),0),0)</f>
        <v>0</v>
      </c>
      <c r="AC57" s="29">
        <f>IFERROR(IF(AND(ISNUMBER('Real results'!C56),ISNUMBER('Real results'!D56),ISNUMBER('Raw data'!AC56),ISNUMBER('Raw data'!AD56)),IF(SIGN('Raw data'!AC56-'Raw data'!AD56)=SIGN('Real results'!C56-'Real results'!D56),2+IF(AND('Raw data'!AC56='Real results'!C56,'Raw data'!AD56='Real results'!D56),2,0),0),0),0)</f>
        <v>0</v>
      </c>
      <c r="AE57" s="29">
        <f>IFERROR(IF(AND(ISNUMBER('Real results'!C56),ISNUMBER('Real results'!D56),ISNUMBER('Raw data'!AE56),ISNUMBER('Raw data'!AF56)),IF(SIGN('Raw data'!AE56-'Raw data'!AF56)=SIGN('Real results'!C56-'Real results'!D56),2+IF(AND('Raw data'!AE56='Real results'!C56,'Raw data'!AF56='Real results'!D56),2,0),0),0),0)</f>
        <v>0</v>
      </c>
      <c r="AG57" s="29">
        <f>IFERROR(IF(AND(ISNUMBER('Real results'!C56),ISNUMBER('Real results'!D56),ISNUMBER('Raw data'!AG56),ISNUMBER('Raw data'!AH56)),IF(SIGN('Raw data'!AG56-'Raw data'!AH56)=SIGN('Real results'!C56-'Real results'!D56),2+IF(AND('Raw data'!AG56='Real results'!C56,'Raw data'!AH56='Real results'!D56),2,0),0),0),0)</f>
        <v>0</v>
      </c>
      <c r="AI57" s="29">
        <f>IFERROR(IF(AND(ISNUMBER('Real results'!C56),ISNUMBER('Real results'!D56),ISNUMBER('Raw data'!AI56),ISNUMBER('Raw data'!AJ56)),IF(SIGN('Raw data'!AI56-'Raw data'!AJ56)=SIGN('Real results'!C56-'Real results'!D56),2+IF(AND('Raw data'!AI56='Real results'!C56,'Raw data'!AJ56='Real results'!D56),2,0),0),0),0)</f>
        <v>0</v>
      </c>
      <c r="AK57" s="29">
        <f>IFERROR(IF(AND(ISNUMBER('Real results'!C56),ISNUMBER('Real results'!D56),ISNUMBER('Raw data'!AK56),ISNUMBER('Raw data'!AL56)),IF(SIGN('Raw data'!AK56-'Raw data'!AL56)=SIGN('Real results'!C56-'Real results'!D56),2+IF(AND('Raw data'!AK56='Real results'!C56,'Raw data'!AL56='Real results'!D56),2,0),0),0),0)</f>
        <v>0</v>
      </c>
      <c r="AM57" s="29">
        <f>IFERROR(IF(AND(ISNUMBER('Real results'!C56),ISNUMBER('Real results'!D56),ISNUMBER('Raw data'!AM56),ISNUMBER('Raw data'!AN56)),IF(SIGN('Raw data'!AM56-'Raw data'!AN56)=SIGN('Real results'!C56-'Real results'!D56),2+IF(AND('Raw data'!AM56='Real results'!C56,'Raw data'!AN56='Real results'!D56),2,0),0),0),0)</f>
        <v>0</v>
      </c>
      <c r="AO57" s="29">
        <f>IFERROR(IF(AND(ISNUMBER('Real results'!C56),ISNUMBER('Real results'!D56),ISNUMBER('Raw data'!AO56),ISNUMBER('Raw data'!AP56)),IF(SIGN('Raw data'!AO56-'Raw data'!AP56)=SIGN('Real results'!C56-'Real results'!D56),2+IF(AND('Raw data'!AO56='Real results'!C56,'Raw data'!AP56='Real results'!D56),2,0),0),0),0)</f>
        <v>0</v>
      </c>
      <c r="AQ57" s="29">
        <f>IFERROR(IF(AND(ISNUMBER('Real results'!C56),ISNUMBER('Real results'!D56),ISNUMBER('Raw data'!AQ56),ISNUMBER('Raw data'!AR56)),IF(SIGN('Raw data'!AQ56-'Raw data'!AR56)=SIGN('Real results'!C56-'Real results'!D56),2+IF(AND('Raw data'!AQ56='Real results'!C56,'Raw data'!AR56='Real results'!D56),2,0),0),0),0)</f>
        <v>0</v>
      </c>
      <c r="AS57" s="29">
        <f>IFERROR(IF(AND(ISNUMBER('Real results'!C56),ISNUMBER('Real results'!D56),ISNUMBER('Raw data'!AS56),ISNUMBER('Raw data'!AT56)),IF(SIGN('Raw data'!AS56-'Raw data'!AT56)=SIGN('Real results'!C56-'Real results'!D56),2+IF(AND('Raw data'!AS56='Real results'!C56,'Raw data'!AT56='Real results'!D56),2,0),0),0),0)</f>
        <v>0</v>
      </c>
      <c r="AU57" s="29">
        <f>IFERROR(IF(AND(ISNUMBER('Real results'!C56),ISNUMBER('Real results'!D56),ISNUMBER('Raw data'!AU56),ISNUMBER('Raw data'!AV56)),IF(SIGN('Raw data'!AU56-'Raw data'!AV56)=SIGN('Real results'!C56-'Real results'!D56),2+IF(AND('Raw data'!AU56='Real results'!C56,'Raw data'!AV56='Real results'!D56),2,0),0),0),0)</f>
        <v>0</v>
      </c>
      <c r="AW57" s="29">
        <f>IFERROR(IF(AND(ISNUMBER('Real results'!C56),ISNUMBER('Real results'!D56),ISNUMBER('Raw data'!AW56),ISNUMBER('Raw data'!AX56)),IF(SIGN('Raw data'!AW56-'Raw data'!AX56)=SIGN('Real results'!C56-'Real results'!D56),2+IF(AND('Raw data'!AW56='Real results'!C56,'Raw data'!AX56='Real results'!D56),2,0),0),0),0)</f>
        <v>0</v>
      </c>
      <c r="AY57" s="29">
        <f>IFERROR(IF(AND(ISNUMBER('Real results'!C56),ISNUMBER('Real results'!D56),ISNUMBER('Raw data'!AY56),ISNUMBER('Raw data'!AZ56)),IF(SIGN('Raw data'!AY56-'Raw data'!AZ56)=SIGN('Real results'!C56-'Real results'!D56),2+IF(AND('Raw data'!AY56='Real results'!C56,'Raw data'!AZ56='Real results'!D56),2,0),0),0),0)</f>
        <v>0</v>
      </c>
      <c r="BA57" s="29">
        <f>IFERROR(IF(AND(ISNUMBER('Real results'!C56),ISNUMBER('Real results'!D56),ISNUMBER('Raw data'!BA56),ISNUMBER('Raw data'!BB56)),IF(SIGN('Raw data'!BA56-'Raw data'!BB56)=SIGN('Real results'!C56-'Real results'!D56),2+IF(AND('Raw data'!BA56='Real results'!C56,'Raw data'!BB56='Real results'!D56),2,0),0),0),0)</f>
        <v>0</v>
      </c>
      <c r="BC57" s="29">
        <f>IFERROR(IF(AND(ISNUMBER('Real results'!C56),ISNUMBER('Real results'!D56),ISNUMBER('Raw data'!BC56),ISNUMBER('Raw data'!BD56)),IF(SIGN('Raw data'!BC56-'Raw data'!BD56)=SIGN('Real results'!C56-'Real results'!D56),2+IF(AND('Raw data'!BC56='Real results'!C56,'Raw data'!BD56='Real results'!D56),2,0),0),0),0)</f>
        <v>0</v>
      </c>
      <c r="BE57" s="29">
        <f>IFERROR(IF(AND(ISNUMBER('Real results'!C56),ISNUMBER('Real results'!D56),ISNUMBER('Raw data'!BE56),ISNUMBER('Raw data'!BF56)),IF(SIGN('Raw data'!BE56-'Raw data'!BF56)=SIGN('Real results'!C56-'Real results'!D56),2+IF(AND('Raw data'!BE56='Real results'!C56,'Raw data'!BF56='Real results'!D56),2,0),0),0),0)</f>
        <v>0</v>
      </c>
      <c r="BG57" s="29">
        <f>IFERROR(IF(AND(ISNUMBER('Real results'!C56),ISNUMBER('Real results'!D56),ISNUMBER('Raw data'!BG56),ISNUMBER('Raw data'!BH56)),IF(SIGN('Raw data'!BG56-'Raw data'!BH56)=SIGN('Real results'!C56-'Real results'!D56),2+IF(AND('Raw data'!BG56='Real results'!C56,'Raw data'!BH56='Real results'!D56),2,0),0),0),0)</f>
        <v>0</v>
      </c>
      <c r="BI57" s="29">
        <f>IFERROR(IF(AND(ISNUMBER('Real results'!C56),ISNUMBER('Real results'!D56),ISNUMBER('Raw data'!BI56),ISNUMBER('Raw data'!BJ56)),IF(SIGN('Raw data'!BI56-'Raw data'!BJ56)=SIGN('Real results'!C56-'Real results'!D56),2+IF(AND('Raw data'!BI56='Real results'!C56,'Raw data'!BJ56='Real results'!D56),2,0),0),0),0)</f>
        <v>0</v>
      </c>
    </row>
    <row r="58" ht="18.0" customHeight="1">
      <c r="A58" s="1"/>
      <c r="B58" s="13" t="s">
        <v>77</v>
      </c>
      <c r="C58" s="29">
        <f>IFERROR(IF(AND(ISNUMBER('Real results'!C57),ISNUMBER('Real results'!D57),ISNUMBER('Raw data'!C57),ISNUMBER('Raw data'!D57)),IF(SIGN('Raw data'!C57-'Raw data'!D57)=SIGN('Real results'!C57-'Real results'!D57),2+IF(AND('Raw data'!C57='Real results'!C57,'Raw data'!D57='Real results'!D57),2,0),0),0),0)</f>
        <v>0</v>
      </c>
      <c r="E58" s="29">
        <f>IFERROR(IF(AND(ISNUMBER('Real results'!C57),ISNUMBER('Real results'!D57),ISNUMBER('Raw data'!E57),ISNUMBER('Raw data'!F57)),IF(SIGN('Raw data'!E57-'Raw data'!F57)=SIGN('Real results'!C57-'Real results'!D57),2+IF(AND('Raw data'!E57='Real results'!C57,'Raw data'!F57='Real results'!D57),2,0),0),0),0)</f>
        <v>0</v>
      </c>
      <c r="G58" s="29">
        <f>IFERROR(IF(AND(ISNUMBER('Real results'!C57),ISNUMBER('Real results'!D57),ISNUMBER('Raw data'!G57),ISNUMBER('Raw data'!H57)),IF(SIGN('Raw data'!G57-'Raw data'!H57)=SIGN('Real results'!C57-'Real results'!D57),2+IF(AND('Raw data'!G57='Real results'!C57,'Raw data'!H57='Real results'!D57),2,0),0),0),0)</f>
        <v>0</v>
      </c>
      <c r="I58" s="29">
        <f>IFERROR(IF(AND(ISNUMBER('Real results'!C57),ISNUMBER('Real results'!D57),ISNUMBER('Raw data'!I57),ISNUMBER('Raw data'!J57)),IF(SIGN('Raw data'!I57-'Raw data'!J57)=SIGN('Real results'!C57-'Real results'!D57),2+IF(AND('Raw data'!I57='Real results'!C57,'Raw data'!J57='Real results'!D57),2,0),0),0),0)</f>
        <v>0</v>
      </c>
      <c r="K58" s="29">
        <f>IFERROR(IF(AND(ISNUMBER('Real results'!C57),ISNUMBER('Real results'!D57),ISNUMBER('Raw data'!K57),ISNUMBER('Raw data'!L57)),IF(SIGN('Raw data'!K57-'Raw data'!L57)=SIGN('Real results'!C57-'Real results'!D57),2+IF(AND('Raw data'!K57='Real results'!C57,'Raw data'!L57='Real results'!D57),2,0),0),0),0)</f>
        <v>0</v>
      </c>
      <c r="M58" s="29">
        <f>IFERROR(IF(AND(ISNUMBER('Real results'!C57),ISNUMBER('Real results'!D57),ISNUMBER('Raw data'!M57),ISNUMBER('Raw data'!N57)),IF(SIGN('Raw data'!M57-'Raw data'!N57)=SIGN('Real results'!C57-'Real results'!D57),2+IF(AND('Raw data'!M57='Real results'!C57,'Raw data'!N57='Real results'!D57),2,0),0),0),0)</f>
        <v>0</v>
      </c>
      <c r="O58" s="29">
        <f>IFERROR(IF(AND(ISNUMBER('Real results'!C57),ISNUMBER('Real results'!D57),ISNUMBER('Raw data'!O57),ISNUMBER('Raw data'!P57)),IF(SIGN('Raw data'!O57-'Raw data'!P57)=SIGN('Real results'!C57-'Real results'!D57),2+IF(AND('Raw data'!O57='Real results'!C57,'Raw data'!P57='Real results'!D57),2,0),0),0),0)</f>
        <v>0</v>
      </c>
      <c r="Q58" s="29">
        <f>IFERROR(IF(AND(ISNUMBER('Real results'!C57),ISNUMBER('Real results'!D57),ISNUMBER('Raw data'!Q57),ISNUMBER('Raw data'!R57)),IF(SIGN('Raw data'!Q57-'Raw data'!R57)=SIGN('Real results'!C57-'Real results'!D57),2+IF(AND('Raw data'!Q57='Real results'!C57,'Raw data'!R57='Real results'!D57),2,0),0),0),0)</f>
        <v>0</v>
      </c>
      <c r="S58" s="29">
        <f>IFERROR(IF(AND(ISNUMBER('Real results'!C57),ISNUMBER('Real results'!D57),ISNUMBER('Raw data'!S57),ISNUMBER('Raw data'!T57)),IF(SIGN('Raw data'!S57-'Raw data'!T57)=SIGN('Real results'!C57-'Real results'!D57),2+IF(AND('Raw data'!S57='Real results'!C57,'Raw data'!T57='Real results'!D57),2,0),0),0),0)</f>
        <v>0</v>
      </c>
      <c r="U58" s="29">
        <f>IFERROR(IF(AND(ISNUMBER('Real results'!C57),ISNUMBER('Real results'!D57),ISNUMBER('Raw data'!U57),ISNUMBER('Raw data'!V57)),IF(SIGN('Raw data'!U57-'Raw data'!V57)=SIGN('Real results'!C57-'Real results'!D57),2+IF(AND('Raw data'!U57='Real results'!C57,'Raw data'!V57='Real results'!D57),2,0),0),0),0)</f>
        <v>0</v>
      </c>
      <c r="W58" s="29">
        <f>IFERROR(IF(AND(ISNUMBER('Real results'!C57),ISNUMBER('Real results'!D57),ISNUMBER('Raw data'!W57),ISNUMBER('Raw data'!X57)),IF(SIGN('Raw data'!W57-'Raw data'!X57)=SIGN('Real results'!C57-'Real results'!D57),2+IF(AND('Raw data'!W57='Real results'!C57,'Raw data'!X57='Real results'!D57),2,0),0),0),0)</f>
        <v>0</v>
      </c>
      <c r="Y58" s="29">
        <f>IFERROR(IF(AND(ISNUMBER('Real results'!C57),ISNUMBER('Real results'!D57),ISNUMBER('Raw data'!Y57),ISNUMBER('Raw data'!Z57)),IF(SIGN('Raw data'!Y57-'Raw data'!Z57)=SIGN('Real results'!C57-'Real results'!D57),2+IF(AND('Raw data'!Y57='Real results'!C57,'Raw data'!Z57='Real results'!D57),2,0),0),0),0)</f>
        <v>0</v>
      </c>
      <c r="AA58" s="29">
        <f>IFERROR(IF(AND(ISNUMBER('Real results'!C57),ISNUMBER('Real results'!D57),ISNUMBER('Raw data'!AA57),ISNUMBER('Raw data'!AB57)),IF(SIGN('Raw data'!AA57-'Raw data'!AB57)=SIGN('Real results'!C57-'Real results'!D57),2+IF(AND('Raw data'!AA57='Real results'!C57,'Raw data'!AB57='Real results'!D57),2,0),0),0),0)</f>
        <v>0</v>
      </c>
      <c r="AC58" s="29">
        <f>IFERROR(IF(AND(ISNUMBER('Real results'!C57),ISNUMBER('Real results'!D57),ISNUMBER('Raw data'!AC57),ISNUMBER('Raw data'!AD57)),IF(SIGN('Raw data'!AC57-'Raw data'!AD57)=SIGN('Real results'!C57-'Real results'!D57),2+IF(AND('Raw data'!AC57='Real results'!C57,'Raw data'!AD57='Real results'!D57),2,0),0),0),0)</f>
        <v>0</v>
      </c>
      <c r="AE58" s="29">
        <f>IFERROR(IF(AND(ISNUMBER('Real results'!C57),ISNUMBER('Real results'!D57),ISNUMBER('Raw data'!AE57),ISNUMBER('Raw data'!AF57)),IF(SIGN('Raw data'!AE57-'Raw data'!AF57)=SIGN('Real results'!C57-'Real results'!D57),2+IF(AND('Raw data'!AE57='Real results'!C57,'Raw data'!AF57='Real results'!D57),2,0),0),0),0)</f>
        <v>0</v>
      </c>
      <c r="AG58" s="29">
        <f>IFERROR(IF(AND(ISNUMBER('Real results'!C57),ISNUMBER('Real results'!D57),ISNUMBER('Raw data'!AG57),ISNUMBER('Raw data'!AH57)),IF(SIGN('Raw data'!AG57-'Raw data'!AH57)=SIGN('Real results'!C57-'Real results'!D57),2+IF(AND('Raw data'!AG57='Real results'!C57,'Raw data'!AH57='Real results'!D57),2,0),0),0),0)</f>
        <v>0</v>
      </c>
      <c r="AI58" s="29">
        <f>IFERROR(IF(AND(ISNUMBER('Real results'!C57),ISNUMBER('Real results'!D57),ISNUMBER('Raw data'!AI57),ISNUMBER('Raw data'!AJ57)),IF(SIGN('Raw data'!AI57-'Raw data'!AJ57)=SIGN('Real results'!C57-'Real results'!D57),2+IF(AND('Raw data'!AI57='Real results'!C57,'Raw data'!AJ57='Real results'!D57),2,0),0),0),0)</f>
        <v>0</v>
      </c>
      <c r="AK58" s="29">
        <f>IFERROR(IF(AND(ISNUMBER('Real results'!C57),ISNUMBER('Real results'!D57),ISNUMBER('Raw data'!AK57),ISNUMBER('Raw data'!AL57)),IF(SIGN('Raw data'!AK57-'Raw data'!AL57)=SIGN('Real results'!C57-'Real results'!D57),2+IF(AND('Raw data'!AK57='Real results'!C57,'Raw data'!AL57='Real results'!D57),2,0),0),0),0)</f>
        <v>0</v>
      </c>
      <c r="AM58" s="29">
        <f>IFERROR(IF(AND(ISNUMBER('Real results'!C57),ISNUMBER('Real results'!D57),ISNUMBER('Raw data'!AM57),ISNUMBER('Raw data'!AN57)),IF(SIGN('Raw data'!AM57-'Raw data'!AN57)=SIGN('Real results'!C57-'Real results'!D57),2+IF(AND('Raw data'!AM57='Real results'!C57,'Raw data'!AN57='Real results'!D57),2,0),0),0),0)</f>
        <v>0</v>
      </c>
      <c r="AO58" s="29">
        <f>IFERROR(IF(AND(ISNUMBER('Real results'!C57),ISNUMBER('Real results'!D57),ISNUMBER('Raw data'!AO57),ISNUMBER('Raw data'!AP57)),IF(SIGN('Raw data'!AO57-'Raw data'!AP57)=SIGN('Real results'!C57-'Real results'!D57),2+IF(AND('Raw data'!AO57='Real results'!C57,'Raw data'!AP57='Real results'!D57),2,0),0),0),0)</f>
        <v>0</v>
      </c>
      <c r="AQ58" s="29">
        <f>IFERROR(IF(AND(ISNUMBER('Real results'!C57),ISNUMBER('Real results'!D57),ISNUMBER('Raw data'!AQ57),ISNUMBER('Raw data'!AR57)),IF(SIGN('Raw data'!AQ57-'Raw data'!AR57)=SIGN('Real results'!C57-'Real results'!D57),2+IF(AND('Raw data'!AQ57='Real results'!C57,'Raw data'!AR57='Real results'!D57),2,0),0),0),0)</f>
        <v>0</v>
      </c>
      <c r="AS58" s="29">
        <f>IFERROR(IF(AND(ISNUMBER('Real results'!C57),ISNUMBER('Real results'!D57),ISNUMBER('Raw data'!AS57),ISNUMBER('Raw data'!AT57)),IF(SIGN('Raw data'!AS57-'Raw data'!AT57)=SIGN('Real results'!C57-'Real results'!D57),2+IF(AND('Raw data'!AS57='Real results'!C57,'Raw data'!AT57='Real results'!D57),2,0),0),0),0)</f>
        <v>0</v>
      </c>
      <c r="AU58" s="29">
        <f>IFERROR(IF(AND(ISNUMBER('Real results'!C57),ISNUMBER('Real results'!D57),ISNUMBER('Raw data'!AU57),ISNUMBER('Raw data'!AV57)),IF(SIGN('Raw data'!AU57-'Raw data'!AV57)=SIGN('Real results'!C57-'Real results'!D57),2+IF(AND('Raw data'!AU57='Real results'!C57,'Raw data'!AV57='Real results'!D57),2,0),0),0),0)</f>
        <v>0</v>
      </c>
      <c r="AW58" s="29">
        <f>IFERROR(IF(AND(ISNUMBER('Real results'!C57),ISNUMBER('Real results'!D57),ISNUMBER('Raw data'!AW57),ISNUMBER('Raw data'!AX57)),IF(SIGN('Raw data'!AW57-'Raw data'!AX57)=SIGN('Real results'!C57-'Real results'!D57),2+IF(AND('Raw data'!AW57='Real results'!C57,'Raw data'!AX57='Real results'!D57),2,0),0),0),0)</f>
        <v>0</v>
      </c>
      <c r="AY58" s="29">
        <f>IFERROR(IF(AND(ISNUMBER('Real results'!C57),ISNUMBER('Real results'!D57),ISNUMBER('Raw data'!AY57),ISNUMBER('Raw data'!AZ57)),IF(SIGN('Raw data'!AY57-'Raw data'!AZ57)=SIGN('Real results'!C57-'Real results'!D57),2+IF(AND('Raw data'!AY57='Real results'!C57,'Raw data'!AZ57='Real results'!D57),2,0),0),0),0)</f>
        <v>0</v>
      </c>
      <c r="BA58" s="29">
        <f>IFERROR(IF(AND(ISNUMBER('Real results'!C57),ISNUMBER('Real results'!D57),ISNUMBER('Raw data'!BA57),ISNUMBER('Raw data'!BB57)),IF(SIGN('Raw data'!BA57-'Raw data'!BB57)=SIGN('Real results'!C57-'Real results'!D57),2+IF(AND('Raw data'!BA57='Real results'!C57,'Raw data'!BB57='Real results'!D57),2,0),0),0),0)</f>
        <v>0</v>
      </c>
      <c r="BC58" s="29">
        <f>IFERROR(IF(AND(ISNUMBER('Real results'!C57),ISNUMBER('Real results'!D57),ISNUMBER('Raw data'!BC57),ISNUMBER('Raw data'!BD57)),IF(SIGN('Raw data'!BC57-'Raw data'!BD57)=SIGN('Real results'!C57-'Real results'!D57),2+IF(AND('Raw data'!BC57='Real results'!C57,'Raw data'!BD57='Real results'!D57),2,0),0),0),0)</f>
        <v>0</v>
      </c>
      <c r="BE58" s="29">
        <f>IFERROR(IF(AND(ISNUMBER('Real results'!C57),ISNUMBER('Real results'!D57),ISNUMBER('Raw data'!BE57),ISNUMBER('Raw data'!BF57)),IF(SIGN('Raw data'!BE57-'Raw data'!BF57)=SIGN('Real results'!C57-'Real results'!D57),2+IF(AND('Raw data'!BE57='Real results'!C57,'Raw data'!BF57='Real results'!D57),2,0),0),0),0)</f>
        <v>0</v>
      </c>
      <c r="BG58" s="29">
        <f>IFERROR(IF(AND(ISNUMBER('Real results'!C57),ISNUMBER('Real results'!D57),ISNUMBER('Raw data'!BG57),ISNUMBER('Raw data'!BH57)),IF(SIGN('Raw data'!BG57-'Raw data'!BH57)=SIGN('Real results'!C57-'Real results'!D57),2+IF(AND('Raw data'!BG57='Real results'!C57,'Raw data'!BH57='Real results'!D57),2,0),0),0),0)</f>
        <v>0</v>
      </c>
      <c r="BI58" s="29">
        <f>IFERROR(IF(AND(ISNUMBER('Real results'!C57),ISNUMBER('Real results'!D57),ISNUMBER('Raw data'!BI57),ISNUMBER('Raw data'!BJ57)),IF(SIGN('Raw data'!BI57-'Raw data'!BJ57)=SIGN('Real results'!C57-'Real results'!D57),2+IF(AND('Raw data'!BI57='Real results'!C57,'Raw data'!BJ57='Real results'!D57),2,0),0),0),0)</f>
        <v>0</v>
      </c>
    </row>
    <row r="59" ht="18.0" customHeight="1">
      <c r="A59" s="1"/>
      <c r="B59" s="13" t="s">
        <v>78</v>
      </c>
      <c r="C59" s="29">
        <f>IFERROR(IF(AND(ISNUMBER('Real results'!C58),ISNUMBER('Real results'!D58),ISNUMBER('Raw data'!C58),ISNUMBER('Raw data'!D58)),IF(SIGN('Raw data'!C58-'Raw data'!D58)=SIGN('Real results'!C58-'Real results'!D58),2+IF(AND('Raw data'!C58='Real results'!C58,'Raw data'!D58='Real results'!D58),2,0),0),0),0)</f>
        <v>0</v>
      </c>
      <c r="E59" s="29">
        <f>IFERROR(IF(AND(ISNUMBER('Real results'!C58),ISNUMBER('Real results'!D58),ISNUMBER('Raw data'!E58),ISNUMBER('Raw data'!F58)),IF(SIGN('Raw data'!E58-'Raw data'!F58)=SIGN('Real results'!C58-'Real results'!D58),2+IF(AND('Raw data'!E58='Real results'!C58,'Raw data'!F58='Real results'!D58),2,0),0),0),0)</f>
        <v>0</v>
      </c>
      <c r="G59" s="29">
        <f>IFERROR(IF(AND(ISNUMBER('Real results'!C58),ISNUMBER('Real results'!D58),ISNUMBER('Raw data'!G58),ISNUMBER('Raw data'!H58)),IF(SIGN('Raw data'!G58-'Raw data'!H58)=SIGN('Real results'!C58-'Real results'!D58),2+IF(AND('Raw data'!G58='Real results'!C58,'Raw data'!H58='Real results'!D58),2,0),0),0),0)</f>
        <v>0</v>
      </c>
      <c r="I59" s="29">
        <f>IFERROR(IF(AND(ISNUMBER('Real results'!C58),ISNUMBER('Real results'!D58),ISNUMBER('Raw data'!I58),ISNUMBER('Raw data'!J58)),IF(SIGN('Raw data'!I58-'Raw data'!J58)=SIGN('Real results'!C58-'Real results'!D58),2+IF(AND('Raw data'!I58='Real results'!C58,'Raw data'!J58='Real results'!D58),2,0),0),0),0)</f>
        <v>0</v>
      </c>
      <c r="K59" s="29">
        <f>IFERROR(IF(AND(ISNUMBER('Real results'!C58),ISNUMBER('Real results'!D58),ISNUMBER('Raw data'!K58),ISNUMBER('Raw data'!L58)),IF(SIGN('Raw data'!K58-'Raw data'!L58)=SIGN('Real results'!C58-'Real results'!D58),2+IF(AND('Raw data'!K58='Real results'!C58,'Raw data'!L58='Real results'!D58),2,0),0),0),0)</f>
        <v>0</v>
      </c>
      <c r="M59" s="29">
        <f>IFERROR(IF(AND(ISNUMBER('Real results'!C58),ISNUMBER('Real results'!D58),ISNUMBER('Raw data'!M58),ISNUMBER('Raw data'!N58)),IF(SIGN('Raw data'!M58-'Raw data'!N58)=SIGN('Real results'!C58-'Real results'!D58),2+IF(AND('Raw data'!M58='Real results'!C58,'Raw data'!N58='Real results'!D58),2,0),0),0),0)</f>
        <v>0</v>
      </c>
      <c r="O59" s="29">
        <f>IFERROR(IF(AND(ISNUMBER('Real results'!C58),ISNUMBER('Real results'!D58),ISNUMBER('Raw data'!O58),ISNUMBER('Raw data'!P58)),IF(SIGN('Raw data'!O58-'Raw data'!P58)=SIGN('Real results'!C58-'Real results'!D58),2+IF(AND('Raw data'!O58='Real results'!C58,'Raw data'!P58='Real results'!D58),2,0),0),0),0)</f>
        <v>0</v>
      </c>
      <c r="Q59" s="29">
        <f>IFERROR(IF(AND(ISNUMBER('Real results'!C58),ISNUMBER('Real results'!D58),ISNUMBER('Raw data'!Q58),ISNUMBER('Raw data'!R58)),IF(SIGN('Raw data'!Q58-'Raw data'!R58)=SIGN('Real results'!C58-'Real results'!D58),2+IF(AND('Raw data'!Q58='Real results'!C58,'Raw data'!R58='Real results'!D58),2,0),0),0),0)</f>
        <v>0</v>
      </c>
      <c r="S59" s="29">
        <f>IFERROR(IF(AND(ISNUMBER('Real results'!C58),ISNUMBER('Real results'!D58),ISNUMBER('Raw data'!S58),ISNUMBER('Raw data'!T58)),IF(SIGN('Raw data'!S58-'Raw data'!T58)=SIGN('Real results'!C58-'Real results'!D58),2+IF(AND('Raw data'!S58='Real results'!C58,'Raw data'!T58='Real results'!D58),2,0),0),0),0)</f>
        <v>0</v>
      </c>
      <c r="U59" s="29">
        <f>IFERROR(IF(AND(ISNUMBER('Real results'!C58),ISNUMBER('Real results'!D58),ISNUMBER('Raw data'!U58),ISNUMBER('Raw data'!V58)),IF(SIGN('Raw data'!U58-'Raw data'!V58)=SIGN('Real results'!C58-'Real results'!D58),2+IF(AND('Raw data'!U58='Real results'!C58,'Raw data'!V58='Real results'!D58),2,0),0),0),0)</f>
        <v>0</v>
      </c>
      <c r="W59" s="29">
        <f>IFERROR(IF(AND(ISNUMBER('Real results'!C58),ISNUMBER('Real results'!D58),ISNUMBER('Raw data'!W58),ISNUMBER('Raw data'!X58)),IF(SIGN('Raw data'!W58-'Raw data'!X58)=SIGN('Real results'!C58-'Real results'!D58),2+IF(AND('Raw data'!W58='Real results'!C58,'Raw data'!X58='Real results'!D58),2,0),0),0),0)</f>
        <v>0</v>
      </c>
      <c r="Y59" s="29">
        <f>IFERROR(IF(AND(ISNUMBER('Real results'!C58),ISNUMBER('Real results'!D58),ISNUMBER('Raw data'!Y58),ISNUMBER('Raw data'!Z58)),IF(SIGN('Raw data'!Y58-'Raw data'!Z58)=SIGN('Real results'!C58-'Real results'!D58),2+IF(AND('Raw data'!Y58='Real results'!C58,'Raw data'!Z58='Real results'!D58),2,0),0),0),0)</f>
        <v>0</v>
      </c>
      <c r="AA59" s="29">
        <f>IFERROR(IF(AND(ISNUMBER('Real results'!C58),ISNUMBER('Real results'!D58),ISNUMBER('Raw data'!AA58),ISNUMBER('Raw data'!AB58)),IF(SIGN('Raw data'!AA58-'Raw data'!AB58)=SIGN('Real results'!C58-'Real results'!D58),2+IF(AND('Raw data'!AA58='Real results'!C58,'Raw data'!AB58='Real results'!D58),2,0),0),0),0)</f>
        <v>0</v>
      </c>
      <c r="AC59" s="29">
        <f>IFERROR(IF(AND(ISNUMBER('Real results'!C58),ISNUMBER('Real results'!D58),ISNUMBER('Raw data'!AC58),ISNUMBER('Raw data'!AD58)),IF(SIGN('Raw data'!AC58-'Raw data'!AD58)=SIGN('Real results'!C58-'Real results'!D58),2+IF(AND('Raw data'!AC58='Real results'!C58,'Raw data'!AD58='Real results'!D58),2,0),0),0),0)</f>
        <v>0</v>
      </c>
      <c r="AE59" s="29">
        <f>IFERROR(IF(AND(ISNUMBER('Real results'!C58),ISNUMBER('Real results'!D58),ISNUMBER('Raw data'!AE58),ISNUMBER('Raw data'!AF58)),IF(SIGN('Raw data'!AE58-'Raw data'!AF58)=SIGN('Real results'!C58-'Real results'!D58),2+IF(AND('Raw data'!AE58='Real results'!C58,'Raw data'!AF58='Real results'!D58),2,0),0),0),0)</f>
        <v>0</v>
      </c>
      <c r="AG59" s="29">
        <f>IFERROR(IF(AND(ISNUMBER('Real results'!C58),ISNUMBER('Real results'!D58),ISNUMBER('Raw data'!AG58),ISNUMBER('Raw data'!AH58)),IF(SIGN('Raw data'!AG58-'Raw data'!AH58)=SIGN('Real results'!C58-'Real results'!D58),2+IF(AND('Raw data'!AG58='Real results'!C58,'Raw data'!AH58='Real results'!D58),2,0),0),0),0)</f>
        <v>0</v>
      </c>
      <c r="AI59" s="29">
        <f>IFERROR(IF(AND(ISNUMBER('Real results'!C58),ISNUMBER('Real results'!D58),ISNUMBER('Raw data'!AI58),ISNUMBER('Raw data'!AJ58)),IF(SIGN('Raw data'!AI58-'Raw data'!AJ58)=SIGN('Real results'!C58-'Real results'!D58),2+IF(AND('Raw data'!AI58='Real results'!C58,'Raw data'!AJ58='Real results'!D58),2,0),0),0),0)</f>
        <v>0</v>
      </c>
      <c r="AK59" s="29">
        <f>IFERROR(IF(AND(ISNUMBER('Real results'!C58),ISNUMBER('Real results'!D58),ISNUMBER('Raw data'!AK58),ISNUMBER('Raw data'!AL58)),IF(SIGN('Raw data'!AK58-'Raw data'!AL58)=SIGN('Real results'!C58-'Real results'!D58),2+IF(AND('Raw data'!AK58='Real results'!C58,'Raw data'!AL58='Real results'!D58),2,0),0),0),0)</f>
        <v>0</v>
      </c>
      <c r="AM59" s="29">
        <f>IFERROR(IF(AND(ISNUMBER('Real results'!C58),ISNUMBER('Real results'!D58),ISNUMBER('Raw data'!AM58),ISNUMBER('Raw data'!AN58)),IF(SIGN('Raw data'!AM58-'Raw data'!AN58)=SIGN('Real results'!C58-'Real results'!D58),2+IF(AND('Raw data'!AM58='Real results'!C58,'Raw data'!AN58='Real results'!D58),2,0),0),0),0)</f>
        <v>0</v>
      </c>
      <c r="AO59" s="29">
        <f>IFERROR(IF(AND(ISNUMBER('Real results'!C58),ISNUMBER('Real results'!D58),ISNUMBER('Raw data'!AO58),ISNUMBER('Raw data'!AP58)),IF(SIGN('Raw data'!AO58-'Raw data'!AP58)=SIGN('Real results'!C58-'Real results'!D58),2+IF(AND('Raw data'!AO58='Real results'!C58,'Raw data'!AP58='Real results'!D58),2,0),0),0),0)</f>
        <v>0</v>
      </c>
      <c r="AQ59" s="29">
        <f>IFERROR(IF(AND(ISNUMBER('Real results'!C58),ISNUMBER('Real results'!D58),ISNUMBER('Raw data'!AQ58),ISNUMBER('Raw data'!AR58)),IF(SIGN('Raw data'!AQ58-'Raw data'!AR58)=SIGN('Real results'!C58-'Real results'!D58),2+IF(AND('Raw data'!AQ58='Real results'!C58,'Raw data'!AR58='Real results'!D58),2,0),0),0),0)</f>
        <v>0</v>
      </c>
      <c r="AS59" s="29">
        <f>IFERROR(IF(AND(ISNUMBER('Real results'!C58),ISNUMBER('Real results'!D58),ISNUMBER('Raw data'!AS58),ISNUMBER('Raw data'!AT58)),IF(SIGN('Raw data'!AS58-'Raw data'!AT58)=SIGN('Real results'!C58-'Real results'!D58),2+IF(AND('Raw data'!AS58='Real results'!C58,'Raw data'!AT58='Real results'!D58),2,0),0),0),0)</f>
        <v>0</v>
      </c>
      <c r="AU59" s="29">
        <f>IFERROR(IF(AND(ISNUMBER('Real results'!C58),ISNUMBER('Real results'!D58),ISNUMBER('Raw data'!AU58),ISNUMBER('Raw data'!AV58)),IF(SIGN('Raw data'!AU58-'Raw data'!AV58)=SIGN('Real results'!C58-'Real results'!D58),2+IF(AND('Raw data'!AU58='Real results'!C58,'Raw data'!AV58='Real results'!D58),2,0),0),0),0)</f>
        <v>0</v>
      </c>
      <c r="AW59" s="29">
        <f>IFERROR(IF(AND(ISNUMBER('Real results'!C58),ISNUMBER('Real results'!D58),ISNUMBER('Raw data'!AW58),ISNUMBER('Raw data'!AX58)),IF(SIGN('Raw data'!AW58-'Raw data'!AX58)=SIGN('Real results'!C58-'Real results'!D58),2+IF(AND('Raw data'!AW58='Real results'!C58,'Raw data'!AX58='Real results'!D58),2,0),0),0),0)</f>
        <v>0</v>
      </c>
      <c r="AY59" s="29">
        <f>IFERROR(IF(AND(ISNUMBER('Real results'!C58),ISNUMBER('Real results'!D58),ISNUMBER('Raw data'!AY58),ISNUMBER('Raw data'!AZ58)),IF(SIGN('Raw data'!AY58-'Raw data'!AZ58)=SIGN('Real results'!C58-'Real results'!D58),2+IF(AND('Raw data'!AY58='Real results'!C58,'Raw data'!AZ58='Real results'!D58),2,0),0),0),0)</f>
        <v>0</v>
      </c>
      <c r="BA59" s="29">
        <f>IFERROR(IF(AND(ISNUMBER('Real results'!C58),ISNUMBER('Real results'!D58),ISNUMBER('Raw data'!BA58),ISNUMBER('Raw data'!BB58)),IF(SIGN('Raw data'!BA58-'Raw data'!BB58)=SIGN('Real results'!C58-'Real results'!D58),2+IF(AND('Raw data'!BA58='Real results'!C58,'Raw data'!BB58='Real results'!D58),2,0),0),0),0)</f>
        <v>0</v>
      </c>
      <c r="BC59" s="29">
        <f>IFERROR(IF(AND(ISNUMBER('Real results'!C58),ISNUMBER('Real results'!D58),ISNUMBER('Raw data'!BC58),ISNUMBER('Raw data'!BD58)),IF(SIGN('Raw data'!BC58-'Raw data'!BD58)=SIGN('Real results'!C58-'Real results'!D58),2+IF(AND('Raw data'!BC58='Real results'!C58,'Raw data'!BD58='Real results'!D58),2,0),0),0),0)</f>
        <v>0</v>
      </c>
      <c r="BE59" s="29">
        <f>IFERROR(IF(AND(ISNUMBER('Real results'!C58),ISNUMBER('Real results'!D58),ISNUMBER('Raw data'!BE58),ISNUMBER('Raw data'!BF58)),IF(SIGN('Raw data'!BE58-'Raw data'!BF58)=SIGN('Real results'!C58-'Real results'!D58),2+IF(AND('Raw data'!BE58='Real results'!C58,'Raw data'!BF58='Real results'!D58),2,0),0),0),0)</f>
        <v>0</v>
      </c>
      <c r="BG59" s="29">
        <f>IFERROR(IF(AND(ISNUMBER('Real results'!C58),ISNUMBER('Real results'!D58),ISNUMBER('Raw data'!BG58),ISNUMBER('Raw data'!BH58)),IF(SIGN('Raw data'!BG58-'Raw data'!BH58)=SIGN('Real results'!C58-'Real results'!D58),2+IF(AND('Raw data'!BG58='Real results'!C58,'Raw data'!BH58='Real results'!D58),2,0),0),0),0)</f>
        <v>0</v>
      </c>
      <c r="BI59" s="29">
        <f>IFERROR(IF(AND(ISNUMBER('Real results'!C58),ISNUMBER('Real results'!D58),ISNUMBER('Raw data'!BI58),ISNUMBER('Raw data'!BJ58)),IF(SIGN('Raw data'!BI58-'Raw data'!BJ58)=SIGN('Real results'!C58-'Real results'!D58),2+IF(AND('Raw data'!BI58='Real results'!C58,'Raw data'!BJ58='Real results'!D58),2,0),0),0),0)</f>
        <v>0</v>
      </c>
    </row>
    <row r="60" ht="18.0" customHeight="1">
      <c r="A60" s="1"/>
      <c r="B60" s="13" t="s">
        <v>79</v>
      </c>
      <c r="C60" s="29">
        <f>IFERROR(IF(AND(ISNUMBER('Real results'!C59),ISNUMBER('Real results'!D59),ISNUMBER('Raw data'!C59),ISNUMBER('Raw data'!D59)),IF(SIGN('Raw data'!C59-'Raw data'!D59)=SIGN('Real results'!C59-'Real results'!D59),2+IF(AND('Raw data'!C59='Real results'!C59,'Raw data'!D59='Real results'!D59),2,0),0),0),0)</f>
        <v>0</v>
      </c>
      <c r="E60" s="29">
        <f>IFERROR(IF(AND(ISNUMBER('Real results'!C59),ISNUMBER('Real results'!D59),ISNUMBER('Raw data'!E59),ISNUMBER('Raw data'!F59)),IF(SIGN('Raw data'!E59-'Raw data'!F59)=SIGN('Real results'!C59-'Real results'!D59),2+IF(AND('Raw data'!E59='Real results'!C59,'Raw data'!F59='Real results'!D59),2,0),0),0),0)</f>
        <v>0</v>
      </c>
      <c r="G60" s="29">
        <f>IFERROR(IF(AND(ISNUMBER('Real results'!C59),ISNUMBER('Real results'!D59),ISNUMBER('Raw data'!G59),ISNUMBER('Raw data'!H59)),IF(SIGN('Raw data'!G59-'Raw data'!H59)=SIGN('Real results'!C59-'Real results'!D59),2+IF(AND('Raw data'!G59='Real results'!C59,'Raw data'!H59='Real results'!D59),2,0),0),0),0)</f>
        <v>0</v>
      </c>
      <c r="I60" s="29">
        <f>IFERROR(IF(AND(ISNUMBER('Real results'!C59),ISNUMBER('Real results'!D59),ISNUMBER('Raw data'!I59),ISNUMBER('Raw data'!J59)),IF(SIGN('Raw data'!I59-'Raw data'!J59)=SIGN('Real results'!C59-'Real results'!D59),2+IF(AND('Raw data'!I59='Real results'!C59,'Raw data'!J59='Real results'!D59),2,0),0),0),0)</f>
        <v>0</v>
      </c>
      <c r="K60" s="29">
        <f>IFERROR(IF(AND(ISNUMBER('Real results'!C59),ISNUMBER('Real results'!D59),ISNUMBER('Raw data'!K59),ISNUMBER('Raw data'!L59)),IF(SIGN('Raw data'!K59-'Raw data'!L59)=SIGN('Real results'!C59-'Real results'!D59),2+IF(AND('Raw data'!K59='Real results'!C59,'Raw data'!L59='Real results'!D59),2,0),0),0),0)</f>
        <v>0</v>
      </c>
      <c r="M60" s="29">
        <f>IFERROR(IF(AND(ISNUMBER('Real results'!C59),ISNUMBER('Real results'!D59),ISNUMBER('Raw data'!M59),ISNUMBER('Raw data'!N59)),IF(SIGN('Raw data'!M59-'Raw data'!N59)=SIGN('Real results'!C59-'Real results'!D59),2+IF(AND('Raw data'!M59='Real results'!C59,'Raw data'!N59='Real results'!D59),2,0),0),0),0)</f>
        <v>0</v>
      </c>
      <c r="O60" s="29">
        <f>IFERROR(IF(AND(ISNUMBER('Real results'!C59),ISNUMBER('Real results'!D59),ISNUMBER('Raw data'!O59),ISNUMBER('Raw data'!P59)),IF(SIGN('Raw data'!O59-'Raw data'!P59)=SIGN('Real results'!C59-'Real results'!D59),2+IF(AND('Raw data'!O59='Real results'!C59,'Raw data'!P59='Real results'!D59),2,0),0),0),0)</f>
        <v>0</v>
      </c>
      <c r="Q60" s="29">
        <f>IFERROR(IF(AND(ISNUMBER('Real results'!C59),ISNUMBER('Real results'!D59),ISNUMBER('Raw data'!Q59),ISNUMBER('Raw data'!R59)),IF(SIGN('Raw data'!Q59-'Raw data'!R59)=SIGN('Real results'!C59-'Real results'!D59),2+IF(AND('Raw data'!Q59='Real results'!C59,'Raw data'!R59='Real results'!D59),2,0),0),0),0)</f>
        <v>0</v>
      </c>
      <c r="S60" s="29">
        <f>IFERROR(IF(AND(ISNUMBER('Real results'!C59),ISNUMBER('Real results'!D59),ISNUMBER('Raw data'!S59),ISNUMBER('Raw data'!T59)),IF(SIGN('Raw data'!S59-'Raw data'!T59)=SIGN('Real results'!C59-'Real results'!D59),2+IF(AND('Raw data'!S59='Real results'!C59,'Raw data'!T59='Real results'!D59),2,0),0),0),0)</f>
        <v>0</v>
      </c>
      <c r="U60" s="29">
        <f>IFERROR(IF(AND(ISNUMBER('Real results'!C59),ISNUMBER('Real results'!D59),ISNUMBER('Raw data'!U59),ISNUMBER('Raw data'!V59)),IF(SIGN('Raw data'!U59-'Raw data'!V59)=SIGN('Real results'!C59-'Real results'!D59),2+IF(AND('Raw data'!U59='Real results'!C59,'Raw data'!V59='Real results'!D59),2,0),0),0),0)</f>
        <v>0</v>
      </c>
      <c r="W60" s="29">
        <f>IFERROR(IF(AND(ISNUMBER('Real results'!C59),ISNUMBER('Real results'!D59),ISNUMBER('Raw data'!W59),ISNUMBER('Raw data'!X59)),IF(SIGN('Raw data'!W59-'Raw data'!X59)=SIGN('Real results'!C59-'Real results'!D59),2+IF(AND('Raw data'!W59='Real results'!C59,'Raw data'!X59='Real results'!D59),2,0),0),0),0)</f>
        <v>0</v>
      </c>
      <c r="Y60" s="29">
        <f>IFERROR(IF(AND(ISNUMBER('Real results'!C59),ISNUMBER('Real results'!D59),ISNUMBER('Raw data'!Y59),ISNUMBER('Raw data'!Z59)),IF(SIGN('Raw data'!Y59-'Raw data'!Z59)=SIGN('Real results'!C59-'Real results'!D59),2+IF(AND('Raw data'!Y59='Real results'!C59,'Raw data'!Z59='Real results'!D59),2,0),0),0),0)</f>
        <v>0</v>
      </c>
      <c r="AA60" s="29">
        <f>IFERROR(IF(AND(ISNUMBER('Real results'!C59),ISNUMBER('Real results'!D59),ISNUMBER('Raw data'!AA59),ISNUMBER('Raw data'!AB59)),IF(SIGN('Raw data'!AA59-'Raw data'!AB59)=SIGN('Real results'!C59-'Real results'!D59),2+IF(AND('Raw data'!AA59='Real results'!C59,'Raw data'!AB59='Real results'!D59),2,0),0),0),0)</f>
        <v>0</v>
      </c>
      <c r="AC60" s="29">
        <f>IFERROR(IF(AND(ISNUMBER('Real results'!C59),ISNUMBER('Real results'!D59),ISNUMBER('Raw data'!AC59),ISNUMBER('Raw data'!AD59)),IF(SIGN('Raw data'!AC59-'Raw data'!AD59)=SIGN('Real results'!C59-'Real results'!D59),2+IF(AND('Raw data'!AC59='Real results'!C59,'Raw data'!AD59='Real results'!D59),2,0),0),0),0)</f>
        <v>0</v>
      </c>
      <c r="AE60" s="29">
        <f>IFERROR(IF(AND(ISNUMBER('Real results'!C59),ISNUMBER('Real results'!D59),ISNUMBER('Raw data'!AE59),ISNUMBER('Raw data'!AF59)),IF(SIGN('Raw data'!AE59-'Raw data'!AF59)=SIGN('Real results'!C59-'Real results'!D59),2+IF(AND('Raw data'!AE59='Real results'!C59,'Raw data'!AF59='Real results'!D59),2,0),0),0),0)</f>
        <v>0</v>
      </c>
      <c r="AG60" s="29">
        <f>IFERROR(IF(AND(ISNUMBER('Real results'!C59),ISNUMBER('Real results'!D59),ISNUMBER('Raw data'!AG59),ISNUMBER('Raw data'!AH59)),IF(SIGN('Raw data'!AG59-'Raw data'!AH59)=SIGN('Real results'!C59-'Real results'!D59),2+IF(AND('Raw data'!AG59='Real results'!C59,'Raw data'!AH59='Real results'!D59),2,0),0),0),0)</f>
        <v>0</v>
      </c>
      <c r="AI60" s="29">
        <f>IFERROR(IF(AND(ISNUMBER('Real results'!C59),ISNUMBER('Real results'!D59),ISNUMBER('Raw data'!AI59),ISNUMBER('Raw data'!AJ59)),IF(SIGN('Raw data'!AI59-'Raw data'!AJ59)=SIGN('Real results'!C59-'Real results'!D59),2+IF(AND('Raw data'!AI59='Real results'!C59,'Raw data'!AJ59='Real results'!D59),2,0),0),0),0)</f>
        <v>0</v>
      </c>
      <c r="AK60" s="29">
        <f>IFERROR(IF(AND(ISNUMBER('Real results'!C59),ISNUMBER('Real results'!D59),ISNUMBER('Raw data'!AK59),ISNUMBER('Raw data'!AL59)),IF(SIGN('Raw data'!AK59-'Raw data'!AL59)=SIGN('Real results'!C59-'Real results'!D59),2+IF(AND('Raw data'!AK59='Real results'!C59,'Raw data'!AL59='Real results'!D59),2,0),0),0),0)</f>
        <v>0</v>
      </c>
      <c r="AM60" s="29">
        <f>IFERROR(IF(AND(ISNUMBER('Real results'!C59),ISNUMBER('Real results'!D59),ISNUMBER('Raw data'!AM59),ISNUMBER('Raw data'!AN59)),IF(SIGN('Raw data'!AM59-'Raw data'!AN59)=SIGN('Real results'!C59-'Real results'!D59),2+IF(AND('Raw data'!AM59='Real results'!C59,'Raw data'!AN59='Real results'!D59),2,0),0),0),0)</f>
        <v>0</v>
      </c>
      <c r="AO60" s="29">
        <f>IFERROR(IF(AND(ISNUMBER('Real results'!C59),ISNUMBER('Real results'!D59),ISNUMBER('Raw data'!AO59),ISNUMBER('Raw data'!AP59)),IF(SIGN('Raw data'!AO59-'Raw data'!AP59)=SIGN('Real results'!C59-'Real results'!D59),2+IF(AND('Raw data'!AO59='Real results'!C59,'Raw data'!AP59='Real results'!D59),2,0),0),0),0)</f>
        <v>0</v>
      </c>
      <c r="AQ60" s="29">
        <f>IFERROR(IF(AND(ISNUMBER('Real results'!C59),ISNUMBER('Real results'!D59),ISNUMBER('Raw data'!AQ59),ISNUMBER('Raw data'!AR59)),IF(SIGN('Raw data'!AQ59-'Raw data'!AR59)=SIGN('Real results'!C59-'Real results'!D59),2+IF(AND('Raw data'!AQ59='Real results'!C59,'Raw data'!AR59='Real results'!D59),2,0),0),0),0)</f>
        <v>0</v>
      </c>
      <c r="AS60" s="29">
        <f>IFERROR(IF(AND(ISNUMBER('Real results'!C59),ISNUMBER('Real results'!D59),ISNUMBER('Raw data'!AS59),ISNUMBER('Raw data'!AT59)),IF(SIGN('Raw data'!AS59-'Raw data'!AT59)=SIGN('Real results'!C59-'Real results'!D59),2+IF(AND('Raw data'!AS59='Real results'!C59,'Raw data'!AT59='Real results'!D59),2,0),0),0),0)</f>
        <v>0</v>
      </c>
      <c r="AU60" s="29">
        <f>IFERROR(IF(AND(ISNUMBER('Real results'!C59),ISNUMBER('Real results'!D59),ISNUMBER('Raw data'!AU59),ISNUMBER('Raw data'!AV59)),IF(SIGN('Raw data'!AU59-'Raw data'!AV59)=SIGN('Real results'!C59-'Real results'!D59),2+IF(AND('Raw data'!AU59='Real results'!C59,'Raw data'!AV59='Real results'!D59),2,0),0),0),0)</f>
        <v>0</v>
      </c>
      <c r="AW60" s="29">
        <f>IFERROR(IF(AND(ISNUMBER('Real results'!C59),ISNUMBER('Real results'!D59),ISNUMBER('Raw data'!AW59),ISNUMBER('Raw data'!AX59)),IF(SIGN('Raw data'!AW59-'Raw data'!AX59)=SIGN('Real results'!C59-'Real results'!D59),2+IF(AND('Raw data'!AW59='Real results'!C59,'Raw data'!AX59='Real results'!D59),2,0),0),0),0)</f>
        <v>0</v>
      </c>
      <c r="AY60" s="29">
        <f>IFERROR(IF(AND(ISNUMBER('Real results'!C59),ISNUMBER('Real results'!D59),ISNUMBER('Raw data'!AY59),ISNUMBER('Raw data'!AZ59)),IF(SIGN('Raw data'!AY59-'Raw data'!AZ59)=SIGN('Real results'!C59-'Real results'!D59),2+IF(AND('Raw data'!AY59='Real results'!C59,'Raw data'!AZ59='Real results'!D59),2,0),0),0),0)</f>
        <v>0</v>
      </c>
      <c r="BA60" s="29">
        <f>IFERROR(IF(AND(ISNUMBER('Real results'!C59),ISNUMBER('Real results'!D59),ISNUMBER('Raw data'!BA59),ISNUMBER('Raw data'!BB59)),IF(SIGN('Raw data'!BA59-'Raw data'!BB59)=SIGN('Real results'!C59-'Real results'!D59),2+IF(AND('Raw data'!BA59='Real results'!C59,'Raw data'!BB59='Real results'!D59),2,0),0),0),0)</f>
        <v>0</v>
      </c>
      <c r="BC60" s="29">
        <f>IFERROR(IF(AND(ISNUMBER('Real results'!C59),ISNUMBER('Real results'!D59),ISNUMBER('Raw data'!BC59),ISNUMBER('Raw data'!BD59)),IF(SIGN('Raw data'!BC59-'Raw data'!BD59)=SIGN('Real results'!C59-'Real results'!D59),2+IF(AND('Raw data'!BC59='Real results'!C59,'Raw data'!BD59='Real results'!D59),2,0),0),0),0)</f>
        <v>0</v>
      </c>
      <c r="BE60" s="29">
        <f>IFERROR(IF(AND(ISNUMBER('Real results'!C59),ISNUMBER('Real results'!D59),ISNUMBER('Raw data'!BE59),ISNUMBER('Raw data'!BF59)),IF(SIGN('Raw data'!BE59-'Raw data'!BF59)=SIGN('Real results'!C59-'Real results'!D59),2+IF(AND('Raw data'!BE59='Real results'!C59,'Raw data'!BF59='Real results'!D59),2,0),0),0),0)</f>
        <v>0</v>
      </c>
      <c r="BG60" s="29">
        <f>IFERROR(IF(AND(ISNUMBER('Real results'!C59),ISNUMBER('Real results'!D59),ISNUMBER('Raw data'!BG59),ISNUMBER('Raw data'!BH59)),IF(SIGN('Raw data'!BG59-'Raw data'!BH59)=SIGN('Real results'!C59-'Real results'!D59),2+IF(AND('Raw data'!BG59='Real results'!C59,'Raw data'!BH59='Real results'!D59),2,0),0),0),0)</f>
        <v>0</v>
      </c>
      <c r="BI60" s="29">
        <f>IFERROR(IF(AND(ISNUMBER('Real results'!C59),ISNUMBER('Real results'!D59),ISNUMBER('Raw data'!BI59),ISNUMBER('Raw data'!BJ59)),IF(SIGN('Raw data'!BI59-'Raw data'!BJ59)=SIGN('Real results'!C59-'Real results'!D59),2+IF(AND('Raw data'!BI59='Real results'!C59,'Raw data'!BJ59='Real results'!D59),2,0),0),0),0)</f>
        <v>0</v>
      </c>
    </row>
    <row r="61" ht="18.0" customHeight="1">
      <c r="A61" s="1"/>
      <c r="B61" s="13" t="s">
        <v>80</v>
      </c>
      <c r="C61" s="29">
        <f>IFERROR(IF(AND(ISNUMBER('Real results'!C60),ISNUMBER('Real results'!D60),ISNUMBER('Raw data'!C60),ISNUMBER('Raw data'!D60)),IF(SIGN('Raw data'!C60-'Raw data'!D60)=SIGN('Real results'!C60-'Real results'!D60),2+IF(AND('Raw data'!C60='Real results'!C60,'Raw data'!D60='Real results'!D60),2,0),0),0),0)</f>
        <v>0</v>
      </c>
      <c r="E61" s="29">
        <f>IFERROR(IF(AND(ISNUMBER('Real results'!C60),ISNUMBER('Real results'!D60),ISNUMBER('Raw data'!E60),ISNUMBER('Raw data'!F60)),IF(SIGN('Raw data'!E60-'Raw data'!F60)=SIGN('Real results'!C60-'Real results'!D60),2+IF(AND('Raw data'!E60='Real results'!C60,'Raw data'!F60='Real results'!D60),2,0),0),0),0)</f>
        <v>0</v>
      </c>
      <c r="G61" s="29">
        <f>IFERROR(IF(AND(ISNUMBER('Real results'!C60),ISNUMBER('Real results'!D60),ISNUMBER('Raw data'!G60),ISNUMBER('Raw data'!H60)),IF(SIGN('Raw data'!G60-'Raw data'!H60)=SIGN('Real results'!C60-'Real results'!D60),2+IF(AND('Raw data'!G60='Real results'!C60,'Raw data'!H60='Real results'!D60),2,0),0),0),0)</f>
        <v>0</v>
      </c>
      <c r="I61" s="29">
        <f>IFERROR(IF(AND(ISNUMBER('Real results'!C60),ISNUMBER('Real results'!D60),ISNUMBER('Raw data'!I60),ISNUMBER('Raw data'!J60)),IF(SIGN('Raw data'!I60-'Raw data'!J60)=SIGN('Real results'!C60-'Real results'!D60),2+IF(AND('Raw data'!I60='Real results'!C60,'Raw data'!J60='Real results'!D60),2,0),0),0),0)</f>
        <v>0</v>
      </c>
      <c r="K61" s="29">
        <f>IFERROR(IF(AND(ISNUMBER('Real results'!C60),ISNUMBER('Real results'!D60),ISNUMBER('Raw data'!K60),ISNUMBER('Raw data'!L60)),IF(SIGN('Raw data'!K60-'Raw data'!L60)=SIGN('Real results'!C60-'Real results'!D60),2+IF(AND('Raw data'!K60='Real results'!C60,'Raw data'!L60='Real results'!D60),2,0),0),0),0)</f>
        <v>0</v>
      </c>
      <c r="M61" s="29">
        <f>IFERROR(IF(AND(ISNUMBER('Real results'!C60),ISNUMBER('Real results'!D60),ISNUMBER('Raw data'!M60),ISNUMBER('Raw data'!N60)),IF(SIGN('Raw data'!M60-'Raw data'!N60)=SIGN('Real results'!C60-'Real results'!D60),2+IF(AND('Raw data'!M60='Real results'!C60,'Raw data'!N60='Real results'!D60),2,0),0),0),0)</f>
        <v>0</v>
      </c>
      <c r="O61" s="29">
        <f>IFERROR(IF(AND(ISNUMBER('Real results'!C60),ISNUMBER('Real results'!D60),ISNUMBER('Raw data'!O60),ISNUMBER('Raw data'!P60)),IF(SIGN('Raw data'!O60-'Raw data'!P60)=SIGN('Real results'!C60-'Real results'!D60),2+IF(AND('Raw data'!O60='Real results'!C60,'Raw data'!P60='Real results'!D60),2,0),0),0),0)</f>
        <v>0</v>
      </c>
      <c r="Q61" s="29">
        <f>IFERROR(IF(AND(ISNUMBER('Real results'!C60),ISNUMBER('Real results'!D60),ISNUMBER('Raw data'!Q60),ISNUMBER('Raw data'!R60)),IF(SIGN('Raw data'!Q60-'Raw data'!R60)=SIGN('Real results'!C60-'Real results'!D60),2+IF(AND('Raw data'!Q60='Real results'!C60,'Raw data'!R60='Real results'!D60),2,0),0),0),0)</f>
        <v>0</v>
      </c>
      <c r="S61" s="29">
        <f>IFERROR(IF(AND(ISNUMBER('Real results'!C60),ISNUMBER('Real results'!D60),ISNUMBER('Raw data'!S60),ISNUMBER('Raw data'!T60)),IF(SIGN('Raw data'!S60-'Raw data'!T60)=SIGN('Real results'!C60-'Real results'!D60),2+IF(AND('Raw data'!S60='Real results'!C60,'Raw data'!T60='Real results'!D60),2,0),0),0),0)</f>
        <v>0</v>
      </c>
      <c r="U61" s="29">
        <f>IFERROR(IF(AND(ISNUMBER('Real results'!C60),ISNUMBER('Real results'!D60),ISNUMBER('Raw data'!U60),ISNUMBER('Raw data'!V60)),IF(SIGN('Raw data'!U60-'Raw data'!V60)=SIGN('Real results'!C60-'Real results'!D60),2+IF(AND('Raw data'!U60='Real results'!C60,'Raw data'!V60='Real results'!D60),2,0),0),0),0)</f>
        <v>0</v>
      </c>
      <c r="W61" s="29">
        <f>IFERROR(IF(AND(ISNUMBER('Real results'!C60),ISNUMBER('Real results'!D60),ISNUMBER('Raw data'!W60),ISNUMBER('Raw data'!X60)),IF(SIGN('Raw data'!W60-'Raw data'!X60)=SIGN('Real results'!C60-'Real results'!D60),2+IF(AND('Raw data'!W60='Real results'!C60,'Raw data'!X60='Real results'!D60),2,0),0),0),0)</f>
        <v>0</v>
      </c>
      <c r="Y61" s="29">
        <f>IFERROR(IF(AND(ISNUMBER('Real results'!C60),ISNUMBER('Real results'!D60),ISNUMBER('Raw data'!Y60),ISNUMBER('Raw data'!Z60)),IF(SIGN('Raw data'!Y60-'Raw data'!Z60)=SIGN('Real results'!C60-'Real results'!D60),2+IF(AND('Raw data'!Y60='Real results'!C60,'Raw data'!Z60='Real results'!D60),2,0),0),0),0)</f>
        <v>0</v>
      </c>
      <c r="AA61" s="29">
        <f>IFERROR(IF(AND(ISNUMBER('Real results'!C60),ISNUMBER('Real results'!D60),ISNUMBER('Raw data'!AA60),ISNUMBER('Raw data'!AB60)),IF(SIGN('Raw data'!AA60-'Raw data'!AB60)=SIGN('Real results'!C60-'Real results'!D60),2+IF(AND('Raw data'!AA60='Real results'!C60,'Raw data'!AB60='Real results'!D60),2,0),0),0),0)</f>
        <v>0</v>
      </c>
      <c r="AC61" s="29">
        <f>IFERROR(IF(AND(ISNUMBER('Real results'!C60),ISNUMBER('Real results'!D60),ISNUMBER('Raw data'!AC60),ISNUMBER('Raw data'!AD60)),IF(SIGN('Raw data'!AC60-'Raw data'!AD60)=SIGN('Real results'!C60-'Real results'!D60),2+IF(AND('Raw data'!AC60='Real results'!C60,'Raw data'!AD60='Real results'!D60),2,0),0),0),0)</f>
        <v>0</v>
      </c>
      <c r="AE61" s="29">
        <f>IFERROR(IF(AND(ISNUMBER('Real results'!C60),ISNUMBER('Real results'!D60),ISNUMBER('Raw data'!AE60),ISNUMBER('Raw data'!AF60)),IF(SIGN('Raw data'!AE60-'Raw data'!AF60)=SIGN('Real results'!C60-'Real results'!D60),2+IF(AND('Raw data'!AE60='Real results'!C60,'Raw data'!AF60='Real results'!D60),2,0),0),0),0)</f>
        <v>0</v>
      </c>
      <c r="AG61" s="29">
        <f>IFERROR(IF(AND(ISNUMBER('Real results'!C60),ISNUMBER('Real results'!D60),ISNUMBER('Raw data'!AG60),ISNUMBER('Raw data'!AH60)),IF(SIGN('Raw data'!AG60-'Raw data'!AH60)=SIGN('Real results'!C60-'Real results'!D60),2+IF(AND('Raw data'!AG60='Real results'!C60,'Raw data'!AH60='Real results'!D60),2,0),0),0),0)</f>
        <v>0</v>
      </c>
      <c r="AI61" s="29">
        <f>IFERROR(IF(AND(ISNUMBER('Real results'!C60),ISNUMBER('Real results'!D60),ISNUMBER('Raw data'!AI60),ISNUMBER('Raw data'!AJ60)),IF(SIGN('Raw data'!AI60-'Raw data'!AJ60)=SIGN('Real results'!C60-'Real results'!D60),2+IF(AND('Raw data'!AI60='Real results'!C60,'Raw data'!AJ60='Real results'!D60),2,0),0),0),0)</f>
        <v>0</v>
      </c>
      <c r="AK61" s="29">
        <f>IFERROR(IF(AND(ISNUMBER('Real results'!C60),ISNUMBER('Real results'!D60),ISNUMBER('Raw data'!AK60),ISNUMBER('Raw data'!AL60)),IF(SIGN('Raw data'!AK60-'Raw data'!AL60)=SIGN('Real results'!C60-'Real results'!D60),2+IF(AND('Raw data'!AK60='Real results'!C60,'Raw data'!AL60='Real results'!D60),2,0),0),0),0)</f>
        <v>0</v>
      </c>
      <c r="AM61" s="29">
        <f>IFERROR(IF(AND(ISNUMBER('Real results'!C60),ISNUMBER('Real results'!D60),ISNUMBER('Raw data'!AM60),ISNUMBER('Raw data'!AN60)),IF(SIGN('Raw data'!AM60-'Raw data'!AN60)=SIGN('Real results'!C60-'Real results'!D60),2+IF(AND('Raw data'!AM60='Real results'!C60,'Raw data'!AN60='Real results'!D60),2,0),0),0),0)</f>
        <v>0</v>
      </c>
      <c r="AO61" s="29">
        <f>IFERROR(IF(AND(ISNUMBER('Real results'!C60),ISNUMBER('Real results'!D60),ISNUMBER('Raw data'!AO60),ISNUMBER('Raw data'!AP60)),IF(SIGN('Raw data'!AO60-'Raw data'!AP60)=SIGN('Real results'!C60-'Real results'!D60),2+IF(AND('Raw data'!AO60='Real results'!C60,'Raw data'!AP60='Real results'!D60),2,0),0),0),0)</f>
        <v>0</v>
      </c>
      <c r="AQ61" s="29">
        <f>IFERROR(IF(AND(ISNUMBER('Real results'!C60),ISNUMBER('Real results'!D60),ISNUMBER('Raw data'!AQ60),ISNUMBER('Raw data'!AR60)),IF(SIGN('Raw data'!AQ60-'Raw data'!AR60)=SIGN('Real results'!C60-'Real results'!D60),2+IF(AND('Raw data'!AQ60='Real results'!C60,'Raw data'!AR60='Real results'!D60),2,0),0),0),0)</f>
        <v>0</v>
      </c>
      <c r="AS61" s="29">
        <f>IFERROR(IF(AND(ISNUMBER('Real results'!C60),ISNUMBER('Real results'!D60),ISNUMBER('Raw data'!AS60),ISNUMBER('Raw data'!AT60)),IF(SIGN('Raw data'!AS60-'Raw data'!AT60)=SIGN('Real results'!C60-'Real results'!D60),2+IF(AND('Raw data'!AS60='Real results'!C60,'Raw data'!AT60='Real results'!D60),2,0),0),0),0)</f>
        <v>0</v>
      </c>
      <c r="AU61" s="29">
        <f>IFERROR(IF(AND(ISNUMBER('Real results'!C60),ISNUMBER('Real results'!D60),ISNUMBER('Raw data'!AU60),ISNUMBER('Raw data'!AV60)),IF(SIGN('Raw data'!AU60-'Raw data'!AV60)=SIGN('Real results'!C60-'Real results'!D60),2+IF(AND('Raw data'!AU60='Real results'!C60,'Raw data'!AV60='Real results'!D60),2,0),0),0),0)</f>
        <v>0</v>
      </c>
      <c r="AW61" s="29">
        <f>IFERROR(IF(AND(ISNUMBER('Real results'!C60),ISNUMBER('Real results'!D60),ISNUMBER('Raw data'!AW60),ISNUMBER('Raw data'!AX60)),IF(SIGN('Raw data'!AW60-'Raw data'!AX60)=SIGN('Real results'!C60-'Real results'!D60),2+IF(AND('Raw data'!AW60='Real results'!C60,'Raw data'!AX60='Real results'!D60),2,0),0),0),0)</f>
        <v>0</v>
      </c>
      <c r="AY61" s="29">
        <f>IFERROR(IF(AND(ISNUMBER('Real results'!C60),ISNUMBER('Real results'!D60),ISNUMBER('Raw data'!AY60),ISNUMBER('Raw data'!AZ60)),IF(SIGN('Raw data'!AY60-'Raw data'!AZ60)=SIGN('Real results'!C60-'Real results'!D60),2+IF(AND('Raw data'!AY60='Real results'!C60,'Raw data'!AZ60='Real results'!D60),2,0),0),0),0)</f>
        <v>0</v>
      </c>
      <c r="BA61" s="29">
        <f>IFERROR(IF(AND(ISNUMBER('Real results'!C60),ISNUMBER('Real results'!D60),ISNUMBER('Raw data'!BA60),ISNUMBER('Raw data'!BB60)),IF(SIGN('Raw data'!BA60-'Raw data'!BB60)=SIGN('Real results'!C60-'Real results'!D60),2+IF(AND('Raw data'!BA60='Real results'!C60,'Raw data'!BB60='Real results'!D60),2,0),0),0),0)</f>
        <v>0</v>
      </c>
      <c r="BC61" s="29">
        <f>IFERROR(IF(AND(ISNUMBER('Real results'!C60),ISNUMBER('Real results'!D60),ISNUMBER('Raw data'!BC60),ISNUMBER('Raw data'!BD60)),IF(SIGN('Raw data'!BC60-'Raw data'!BD60)=SIGN('Real results'!C60-'Real results'!D60),2+IF(AND('Raw data'!BC60='Real results'!C60,'Raw data'!BD60='Real results'!D60),2,0),0),0),0)</f>
        <v>0</v>
      </c>
      <c r="BE61" s="29">
        <f>IFERROR(IF(AND(ISNUMBER('Real results'!C60),ISNUMBER('Real results'!D60),ISNUMBER('Raw data'!BE60),ISNUMBER('Raw data'!BF60)),IF(SIGN('Raw data'!BE60-'Raw data'!BF60)=SIGN('Real results'!C60-'Real results'!D60),2+IF(AND('Raw data'!BE60='Real results'!C60,'Raw data'!BF60='Real results'!D60),2,0),0),0),0)</f>
        <v>0</v>
      </c>
      <c r="BG61" s="29">
        <f>IFERROR(IF(AND(ISNUMBER('Real results'!C60),ISNUMBER('Real results'!D60),ISNUMBER('Raw data'!BG60),ISNUMBER('Raw data'!BH60)),IF(SIGN('Raw data'!BG60-'Raw data'!BH60)=SIGN('Real results'!C60-'Real results'!D60),2+IF(AND('Raw data'!BG60='Real results'!C60,'Raw data'!BH60='Real results'!D60),2,0),0),0),0)</f>
        <v>0</v>
      </c>
      <c r="BI61" s="29">
        <f>IFERROR(IF(AND(ISNUMBER('Real results'!C60),ISNUMBER('Real results'!D60),ISNUMBER('Raw data'!BI60),ISNUMBER('Raw data'!BJ60)),IF(SIGN('Raw data'!BI60-'Raw data'!BJ60)=SIGN('Real results'!C60-'Real results'!D60),2+IF(AND('Raw data'!BI60='Real results'!C60,'Raw data'!BJ60='Real results'!D60),2,0),0),0),0)</f>
        <v>0</v>
      </c>
    </row>
    <row r="62" ht="18.0" customHeight="1">
      <c r="A62" s="1"/>
      <c r="B62" s="13" t="s">
        <v>81</v>
      </c>
      <c r="C62" s="29">
        <f>IFERROR(IF(AND(ISNUMBER('Real results'!C61),ISNUMBER('Real results'!D61),ISNUMBER('Raw data'!C61),ISNUMBER('Raw data'!D61)),IF(SIGN('Raw data'!C61-'Raw data'!D61)=SIGN('Real results'!C61-'Real results'!D61),2+IF(AND('Raw data'!C61='Real results'!C61,'Raw data'!D61='Real results'!D61),2,0),0),0),0)</f>
        <v>0</v>
      </c>
      <c r="E62" s="29">
        <f>IFERROR(IF(AND(ISNUMBER('Real results'!C61),ISNUMBER('Real results'!D61),ISNUMBER('Raw data'!E61),ISNUMBER('Raw data'!F61)),IF(SIGN('Raw data'!E61-'Raw data'!F61)=SIGN('Real results'!C61-'Real results'!D61),2+IF(AND('Raw data'!E61='Real results'!C61,'Raw data'!F61='Real results'!D61),2,0),0),0),0)</f>
        <v>0</v>
      </c>
      <c r="G62" s="29">
        <f>IFERROR(IF(AND(ISNUMBER('Real results'!C61),ISNUMBER('Real results'!D61),ISNUMBER('Raw data'!G61),ISNUMBER('Raw data'!H61)),IF(SIGN('Raw data'!G61-'Raw data'!H61)=SIGN('Real results'!C61-'Real results'!D61),2+IF(AND('Raw data'!G61='Real results'!C61,'Raw data'!H61='Real results'!D61),2,0),0),0),0)</f>
        <v>0</v>
      </c>
      <c r="I62" s="29">
        <f>IFERROR(IF(AND(ISNUMBER('Real results'!C61),ISNUMBER('Real results'!D61),ISNUMBER('Raw data'!I61),ISNUMBER('Raw data'!J61)),IF(SIGN('Raw data'!I61-'Raw data'!J61)=SIGN('Real results'!C61-'Real results'!D61),2+IF(AND('Raw data'!I61='Real results'!C61,'Raw data'!J61='Real results'!D61),2,0),0),0),0)</f>
        <v>0</v>
      </c>
      <c r="K62" s="29">
        <f>IFERROR(IF(AND(ISNUMBER('Real results'!C61),ISNUMBER('Real results'!D61),ISNUMBER('Raw data'!K61),ISNUMBER('Raw data'!L61)),IF(SIGN('Raw data'!K61-'Raw data'!L61)=SIGN('Real results'!C61-'Real results'!D61),2+IF(AND('Raw data'!K61='Real results'!C61,'Raw data'!L61='Real results'!D61),2,0),0),0),0)</f>
        <v>0</v>
      </c>
      <c r="M62" s="29">
        <f>IFERROR(IF(AND(ISNUMBER('Real results'!C61),ISNUMBER('Real results'!D61),ISNUMBER('Raw data'!M61),ISNUMBER('Raw data'!N61)),IF(SIGN('Raw data'!M61-'Raw data'!N61)=SIGN('Real results'!C61-'Real results'!D61),2+IF(AND('Raw data'!M61='Real results'!C61,'Raw data'!N61='Real results'!D61),2,0),0),0),0)</f>
        <v>0</v>
      </c>
      <c r="O62" s="29">
        <f>IFERROR(IF(AND(ISNUMBER('Real results'!C61),ISNUMBER('Real results'!D61),ISNUMBER('Raw data'!O61),ISNUMBER('Raw data'!P61)),IF(SIGN('Raw data'!O61-'Raw data'!P61)=SIGN('Real results'!C61-'Real results'!D61),2+IF(AND('Raw data'!O61='Real results'!C61,'Raw data'!P61='Real results'!D61),2,0),0),0),0)</f>
        <v>0</v>
      </c>
      <c r="Q62" s="29">
        <f>IFERROR(IF(AND(ISNUMBER('Real results'!C61),ISNUMBER('Real results'!D61),ISNUMBER('Raw data'!Q61),ISNUMBER('Raw data'!R61)),IF(SIGN('Raw data'!Q61-'Raw data'!R61)=SIGN('Real results'!C61-'Real results'!D61),2+IF(AND('Raw data'!Q61='Real results'!C61,'Raw data'!R61='Real results'!D61),2,0),0),0),0)</f>
        <v>0</v>
      </c>
      <c r="S62" s="29">
        <f>IFERROR(IF(AND(ISNUMBER('Real results'!C61),ISNUMBER('Real results'!D61),ISNUMBER('Raw data'!S61),ISNUMBER('Raw data'!T61)),IF(SIGN('Raw data'!S61-'Raw data'!T61)=SIGN('Real results'!C61-'Real results'!D61),2+IF(AND('Raw data'!S61='Real results'!C61,'Raw data'!T61='Real results'!D61),2,0),0),0),0)</f>
        <v>0</v>
      </c>
      <c r="U62" s="29">
        <f>IFERROR(IF(AND(ISNUMBER('Real results'!C61),ISNUMBER('Real results'!D61),ISNUMBER('Raw data'!U61),ISNUMBER('Raw data'!V61)),IF(SIGN('Raw data'!U61-'Raw data'!V61)=SIGN('Real results'!C61-'Real results'!D61),2+IF(AND('Raw data'!U61='Real results'!C61,'Raw data'!V61='Real results'!D61),2,0),0),0),0)</f>
        <v>0</v>
      </c>
      <c r="W62" s="29">
        <f>IFERROR(IF(AND(ISNUMBER('Real results'!C61),ISNUMBER('Real results'!D61),ISNUMBER('Raw data'!W61),ISNUMBER('Raw data'!X61)),IF(SIGN('Raw data'!W61-'Raw data'!X61)=SIGN('Real results'!C61-'Real results'!D61),2+IF(AND('Raw data'!W61='Real results'!C61,'Raw data'!X61='Real results'!D61),2,0),0),0),0)</f>
        <v>0</v>
      </c>
      <c r="Y62" s="29">
        <f>IFERROR(IF(AND(ISNUMBER('Real results'!C61),ISNUMBER('Real results'!D61),ISNUMBER('Raw data'!Y61),ISNUMBER('Raw data'!Z61)),IF(SIGN('Raw data'!Y61-'Raw data'!Z61)=SIGN('Real results'!C61-'Real results'!D61),2+IF(AND('Raw data'!Y61='Real results'!C61,'Raw data'!Z61='Real results'!D61),2,0),0),0),0)</f>
        <v>0</v>
      </c>
      <c r="AA62" s="29">
        <f>IFERROR(IF(AND(ISNUMBER('Real results'!C61),ISNUMBER('Real results'!D61),ISNUMBER('Raw data'!AA61),ISNUMBER('Raw data'!AB61)),IF(SIGN('Raw data'!AA61-'Raw data'!AB61)=SIGN('Real results'!C61-'Real results'!D61),2+IF(AND('Raw data'!AA61='Real results'!C61,'Raw data'!AB61='Real results'!D61),2,0),0),0),0)</f>
        <v>0</v>
      </c>
      <c r="AC62" s="29">
        <f>IFERROR(IF(AND(ISNUMBER('Real results'!C61),ISNUMBER('Real results'!D61),ISNUMBER('Raw data'!AC61),ISNUMBER('Raw data'!AD61)),IF(SIGN('Raw data'!AC61-'Raw data'!AD61)=SIGN('Real results'!C61-'Real results'!D61),2+IF(AND('Raw data'!AC61='Real results'!C61,'Raw data'!AD61='Real results'!D61),2,0),0),0),0)</f>
        <v>0</v>
      </c>
      <c r="AE62" s="29">
        <f>IFERROR(IF(AND(ISNUMBER('Real results'!C61),ISNUMBER('Real results'!D61),ISNUMBER('Raw data'!AE61),ISNUMBER('Raw data'!AF61)),IF(SIGN('Raw data'!AE61-'Raw data'!AF61)=SIGN('Real results'!C61-'Real results'!D61),2+IF(AND('Raw data'!AE61='Real results'!C61,'Raw data'!AF61='Real results'!D61),2,0),0),0),0)</f>
        <v>0</v>
      </c>
      <c r="AG62" s="29">
        <f>IFERROR(IF(AND(ISNUMBER('Real results'!C61),ISNUMBER('Real results'!D61),ISNUMBER('Raw data'!AG61),ISNUMBER('Raw data'!AH61)),IF(SIGN('Raw data'!AG61-'Raw data'!AH61)=SIGN('Real results'!C61-'Real results'!D61),2+IF(AND('Raw data'!AG61='Real results'!C61,'Raw data'!AH61='Real results'!D61),2,0),0),0),0)</f>
        <v>0</v>
      </c>
      <c r="AI62" s="29">
        <f>IFERROR(IF(AND(ISNUMBER('Real results'!C61),ISNUMBER('Real results'!D61),ISNUMBER('Raw data'!AI61),ISNUMBER('Raw data'!AJ61)),IF(SIGN('Raw data'!AI61-'Raw data'!AJ61)=SIGN('Real results'!C61-'Real results'!D61),2+IF(AND('Raw data'!AI61='Real results'!C61,'Raw data'!AJ61='Real results'!D61),2,0),0),0),0)</f>
        <v>0</v>
      </c>
      <c r="AK62" s="29">
        <f>IFERROR(IF(AND(ISNUMBER('Real results'!C61),ISNUMBER('Real results'!D61),ISNUMBER('Raw data'!AK61),ISNUMBER('Raw data'!AL61)),IF(SIGN('Raw data'!AK61-'Raw data'!AL61)=SIGN('Real results'!C61-'Real results'!D61),2+IF(AND('Raw data'!AK61='Real results'!C61,'Raw data'!AL61='Real results'!D61),2,0),0),0),0)</f>
        <v>0</v>
      </c>
      <c r="AM62" s="29">
        <f>IFERROR(IF(AND(ISNUMBER('Real results'!C61),ISNUMBER('Real results'!D61),ISNUMBER('Raw data'!AM61),ISNUMBER('Raw data'!AN61)),IF(SIGN('Raw data'!AM61-'Raw data'!AN61)=SIGN('Real results'!C61-'Real results'!D61),2+IF(AND('Raw data'!AM61='Real results'!C61,'Raw data'!AN61='Real results'!D61),2,0),0),0),0)</f>
        <v>0</v>
      </c>
      <c r="AO62" s="29">
        <f>IFERROR(IF(AND(ISNUMBER('Real results'!C61),ISNUMBER('Real results'!D61),ISNUMBER('Raw data'!AO61),ISNUMBER('Raw data'!AP61)),IF(SIGN('Raw data'!AO61-'Raw data'!AP61)=SIGN('Real results'!C61-'Real results'!D61),2+IF(AND('Raw data'!AO61='Real results'!C61,'Raw data'!AP61='Real results'!D61),2,0),0),0),0)</f>
        <v>0</v>
      </c>
      <c r="AQ62" s="29">
        <f>IFERROR(IF(AND(ISNUMBER('Real results'!C61),ISNUMBER('Real results'!D61),ISNUMBER('Raw data'!AQ61),ISNUMBER('Raw data'!AR61)),IF(SIGN('Raw data'!AQ61-'Raw data'!AR61)=SIGN('Real results'!C61-'Real results'!D61),2+IF(AND('Raw data'!AQ61='Real results'!C61,'Raw data'!AR61='Real results'!D61),2,0),0),0),0)</f>
        <v>0</v>
      </c>
      <c r="AS62" s="29">
        <f>IFERROR(IF(AND(ISNUMBER('Real results'!C61),ISNUMBER('Real results'!D61),ISNUMBER('Raw data'!AS61),ISNUMBER('Raw data'!AT61)),IF(SIGN('Raw data'!AS61-'Raw data'!AT61)=SIGN('Real results'!C61-'Real results'!D61),2+IF(AND('Raw data'!AS61='Real results'!C61,'Raw data'!AT61='Real results'!D61),2,0),0),0),0)</f>
        <v>0</v>
      </c>
      <c r="AU62" s="29">
        <f>IFERROR(IF(AND(ISNUMBER('Real results'!C61),ISNUMBER('Real results'!D61),ISNUMBER('Raw data'!AU61),ISNUMBER('Raw data'!AV61)),IF(SIGN('Raw data'!AU61-'Raw data'!AV61)=SIGN('Real results'!C61-'Real results'!D61),2+IF(AND('Raw data'!AU61='Real results'!C61,'Raw data'!AV61='Real results'!D61),2,0),0),0),0)</f>
        <v>0</v>
      </c>
      <c r="AW62" s="29">
        <f>IFERROR(IF(AND(ISNUMBER('Real results'!C61),ISNUMBER('Real results'!D61),ISNUMBER('Raw data'!AW61),ISNUMBER('Raw data'!AX61)),IF(SIGN('Raw data'!AW61-'Raw data'!AX61)=SIGN('Real results'!C61-'Real results'!D61),2+IF(AND('Raw data'!AW61='Real results'!C61,'Raw data'!AX61='Real results'!D61),2,0),0),0),0)</f>
        <v>0</v>
      </c>
      <c r="AY62" s="29">
        <f>IFERROR(IF(AND(ISNUMBER('Real results'!C61),ISNUMBER('Real results'!D61),ISNUMBER('Raw data'!AY61),ISNUMBER('Raw data'!AZ61)),IF(SIGN('Raw data'!AY61-'Raw data'!AZ61)=SIGN('Real results'!C61-'Real results'!D61),2+IF(AND('Raw data'!AY61='Real results'!C61,'Raw data'!AZ61='Real results'!D61),2,0),0),0),0)</f>
        <v>0</v>
      </c>
      <c r="BA62" s="29">
        <f>IFERROR(IF(AND(ISNUMBER('Real results'!C61),ISNUMBER('Real results'!D61),ISNUMBER('Raw data'!BA61),ISNUMBER('Raw data'!BB61)),IF(SIGN('Raw data'!BA61-'Raw data'!BB61)=SIGN('Real results'!C61-'Real results'!D61),2+IF(AND('Raw data'!BA61='Real results'!C61,'Raw data'!BB61='Real results'!D61),2,0),0),0),0)</f>
        <v>0</v>
      </c>
      <c r="BC62" s="29">
        <f>IFERROR(IF(AND(ISNUMBER('Real results'!C61),ISNUMBER('Real results'!D61),ISNUMBER('Raw data'!BC61),ISNUMBER('Raw data'!BD61)),IF(SIGN('Raw data'!BC61-'Raw data'!BD61)=SIGN('Real results'!C61-'Real results'!D61),2+IF(AND('Raw data'!BC61='Real results'!C61,'Raw data'!BD61='Real results'!D61),2,0),0),0),0)</f>
        <v>0</v>
      </c>
      <c r="BE62" s="29">
        <f>IFERROR(IF(AND(ISNUMBER('Real results'!C61),ISNUMBER('Real results'!D61),ISNUMBER('Raw data'!BE61),ISNUMBER('Raw data'!BF61)),IF(SIGN('Raw data'!BE61-'Raw data'!BF61)=SIGN('Real results'!C61-'Real results'!D61),2+IF(AND('Raw data'!BE61='Real results'!C61,'Raw data'!BF61='Real results'!D61),2,0),0),0),0)</f>
        <v>0</v>
      </c>
      <c r="BG62" s="29">
        <f>IFERROR(IF(AND(ISNUMBER('Real results'!C61),ISNUMBER('Real results'!D61),ISNUMBER('Raw data'!BG61),ISNUMBER('Raw data'!BH61)),IF(SIGN('Raw data'!BG61-'Raw data'!BH61)=SIGN('Real results'!C61-'Real results'!D61),2+IF(AND('Raw data'!BG61='Real results'!C61,'Raw data'!BH61='Real results'!D61),2,0),0),0),0)</f>
        <v>0</v>
      </c>
      <c r="BI62" s="29">
        <f>IFERROR(IF(AND(ISNUMBER('Real results'!C61),ISNUMBER('Real results'!D61),ISNUMBER('Raw data'!BI61),ISNUMBER('Raw data'!BJ61)),IF(SIGN('Raw data'!BI61-'Raw data'!BJ61)=SIGN('Real results'!C61-'Real results'!D61),2+IF(AND('Raw data'!BI61='Real results'!C61,'Raw data'!BJ61='Real results'!D61),2,0),0),0),0)</f>
        <v>0</v>
      </c>
    </row>
    <row r="63" ht="18.0" customHeight="1">
      <c r="A63" s="1"/>
      <c r="B63" s="13" t="s">
        <v>82</v>
      </c>
      <c r="C63" s="29">
        <f>IFERROR(IF(AND(ISNUMBER('Real results'!C62),ISNUMBER('Real results'!D62),ISNUMBER('Raw data'!C62),ISNUMBER('Raw data'!D62)),IF(SIGN('Raw data'!C62-'Raw data'!D62)=SIGN('Real results'!C62-'Real results'!D62),2+IF(AND('Raw data'!C62='Real results'!C62,'Raw data'!D62='Real results'!D62),2,0),0),0),0)</f>
        <v>0</v>
      </c>
      <c r="E63" s="29">
        <f>IFERROR(IF(AND(ISNUMBER('Real results'!C62),ISNUMBER('Real results'!D62),ISNUMBER('Raw data'!E62),ISNUMBER('Raw data'!F62)),IF(SIGN('Raw data'!E62-'Raw data'!F62)=SIGN('Real results'!C62-'Real results'!D62),2+IF(AND('Raw data'!E62='Real results'!C62,'Raw data'!F62='Real results'!D62),2,0),0),0),0)</f>
        <v>0</v>
      </c>
      <c r="G63" s="29">
        <f>IFERROR(IF(AND(ISNUMBER('Real results'!C62),ISNUMBER('Real results'!D62),ISNUMBER('Raw data'!G62),ISNUMBER('Raw data'!H62)),IF(SIGN('Raw data'!G62-'Raw data'!H62)=SIGN('Real results'!C62-'Real results'!D62),2+IF(AND('Raw data'!G62='Real results'!C62,'Raw data'!H62='Real results'!D62),2,0),0),0),0)</f>
        <v>0</v>
      </c>
      <c r="I63" s="29">
        <f>IFERROR(IF(AND(ISNUMBER('Real results'!C62),ISNUMBER('Real results'!D62),ISNUMBER('Raw data'!I62),ISNUMBER('Raw data'!J62)),IF(SIGN('Raw data'!I62-'Raw data'!J62)=SIGN('Real results'!C62-'Real results'!D62),2+IF(AND('Raw data'!I62='Real results'!C62,'Raw data'!J62='Real results'!D62),2,0),0),0),0)</f>
        <v>0</v>
      </c>
      <c r="K63" s="29">
        <f>IFERROR(IF(AND(ISNUMBER('Real results'!C62),ISNUMBER('Real results'!D62),ISNUMBER('Raw data'!K62),ISNUMBER('Raw data'!L62)),IF(SIGN('Raw data'!K62-'Raw data'!L62)=SIGN('Real results'!C62-'Real results'!D62),2+IF(AND('Raw data'!K62='Real results'!C62,'Raw data'!L62='Real results'!D62),2,0),0),0),0)</f>
        <v>0</v>
      </c>
      <c r="M63" s="29">
        <f>IFERROR(IF(AND(ISNUMBER('Real results'!C62),ISNUMBER('Real results'!D62),ISNUMBER('Raw data'!M62),ISNUMBER('Raw data'!N62)),IF(SIGN('Raw data'!M62-'Raw data'!N62)=SIGN('Real results'!C62-'Real results'!D62),2+IF(AND('Raw data'!M62='Real results'!C62,'Raw data'!N62='Real results'!D62),2,0),0),0),0)</f>
        <v>0</v>
      </c>
      <c r="O63" s="29">
        <f>IFERROR(IF(AND(ISNUMBER('Real results'!C62),ISNUMBER('Real results'!D62),ISNUMBER('Raw data'!O62),ISNUMBER('Raw data'!P62)),IF(SIGN('Raw data'!O62-'Raw data'!P62)=SIGN('Real results'!C62-'Real results'!D62),2+IF(AND('Raw data'!O62='Real results'!C62,'Raw data'!P62='Real results'!D62),2,0),0),0),0)</f>
        <v>0</v>
      </c>
      <c r="Q63" s="29">
        <f>IFERROR(IF(AND(ISNUMBER('Real results'!C62),ISNUMBER('Real results'!D62),ISNUMBER('Raw data'!Q62),ISNUMBER('Raw data'!R62)),IF(SIGN('Raw data'!Q62-'Raw data'!R62)=SIGN('Real results'!C62-'Real results'!D62),2+IF(AND('Raw data'!Q62='Real results'!C62,'Raw data'!R62='Real results'!D62),2,0),0),0),0)</f>
        <v>0</v>
      </c>
      <c r="S63" s="29">
        <f>IFERROR(IF(AND(ISNUMBER('Real results'!C62),ISNUMBER('Real results'!D62),ISNUMBER('Raw data'!S62),ISNUMBER('Raw data'!T62)),IF(SIGN('Raw data'!S62-'Raw data'!T62)=SIGN('Real results'!C62-'Real results'!D62),2+IF(AND('Raw data'!S62='Real results'!C62,'Raw data'!T62='Real results'!D62),2,0),0),0),0)</f>
        <v>0</v>
      </c>
      <c r="U63" s="29">
        <f>IFERROR(IF(AND(ISNUMBER('Real results'!C62),ISNUMBER('Real results'!D62),ISNUMBER('Raw data'!U62),ISNUMBER('Raw data'!V62)),IF(SIGN('Raw data'!U62-'Raw data'!V62)=SIGN('Real results'!C62-'Real results'!D62),2+IF(AND('Raw data'!U62='Real results'!C62,'Raw data'!V62='Real results'!D62),2,0),0),0),0)</f>
        <v>0</v>
      </c>
      <c r="W63" s="29">
        <f>IFERROR(IF(AND(ISNUMBER('Real results'!C62),ISNUMBER('Real results'!D62),ISNUMBER('Raw data'!W62),ISNUMBER('Raw data'!X62)),IF(SIGN('Raw data'!W62-'Raw data'!X62)=SIGN('Real results'!C62-'Real results'!D62),2+IF(AND('Raw data'!W62='Real results'!C62,'Raw data'!X62='Real results'!D62),2,0),0),0),0)</f>
        <v>0</v>
      </c>
      <c r="Y63" s="29">
        <f>IFERROR(IF(AND(ISNUMBER('Real results'!C62),ISNUMBER('Real results'!D62),ISNUMBER('Raw data'!Y62),ISNUMBER('Raw data'!Z62)),IF(SIGN('Raw data'!Y62-'Raw data'!Z62)=SIGN('Real results'!C62-'Real results'!D62),2+IF(AND('Raw data'!Y62='Real results'!C62,'Raw data'!Z62='Real results'!D62),2,0),0),0),0)</f>
        <v>0</v>
      </c>
      <c r="AA63" s="29">
        <f>IFERROR(IF(AND(ISNUMBER('Real results'!C62),ISNUMBER('Real results'!D62),ISNUMBER('Raw data'!AA62),ISNUMBER('Raw data'!AB62)),IF(SIGN('Raw data'!AA62-'Raw data'!AB62)=SIGN('Real results'!C62-'Real results'!D62),2+IF(AND('Raw data'!AA62='Real results'!C62,'Raw data'!AB62='Real results'!D62),2,0),0),0),0)</f>
        <v>0</v>
      </c>
      <c r="AC63" s="29">
        <f>IFERROR(IF(AND(ISNUMBER('Real results'!C62),ISNUMBER('Real results'!D62),ISNUMBER('Raw data'!AC62),ISNUMBER('Raw data'!AD62)),IF(SIGN('Raw data'!AC62-'Raw data'!AD62)=SIGN('Real results'!C62-'Real results'!D62),2+IF(AND('Raw data'!AC62='Real results'!C62,'Raw data'!AD62='Real results'!D62),2,0),0),0),0)</f>
        <v>0</v>
      </c>
      <c r="AE63" s="29">
        <f>IFERROR(IF(AND(ISNUMBER('Real results'!C62),ISNUMBER('Real results'!D62),ISNUMBER('Raw data'!AE62),ISNUMBER('Raw data'!AF62)),IF(SIGN('Raw data'!AE62-'Raw data'!AF62)=SIGN('Real results'!C62-'Real results'!D62),2+IF(AND('Raw data'!AE62='Real results'!C62,'Raw data'!AF62='Real results'!D62),2,0),0),0),0)</f>
        <v>0</v>
      </c>
      <c r="AG63" s="29">
        <f>IFERROR(IF(AND(ISNUMBER('Real results'!C62),ISNUMBER('Real results'!D62),ISNUMBER('Raw data'!AG62),ISNUMBER('Raw data'!AH62)),IF(SIGN('Raw data'!AG62-'Raw data'!AH62)=SIGN('Real results'!C62-'Real results'!D62),2+IF(AND('Raw data'!AG62='Real results'!C62,'Raw data'!AH62='Real results'!D62),2,0),0),0),0)</f>
        <v>0</v>
      </c>
      <c r="AI63" s="29">
        <f>IFERROR(IF(AND(ISNUMBER('Real results'!C62),ISNUMBER('Real results'!D62),ISNUMBER('Raw data'!AI62),ISNUMBER('Raw data'!AJ62)),IF(SIGN('Raw data'!AI62-'Raw data'!AJ62)=SIGN('Real results'!C62-'Real results'!D62),2+IF(AND('Raw data'!AI62='Real results'!C62,'Raw data'!AJ62='Real results'!D62),2,0),0),0),0)</f>
        <v>0</v>
      </c>
      <c r="AK63" s="29">
        <f>IFERROR(IF(AND(ISNUMBER('Real results'!C62),ISNUMBER('Real results'!D62),ISNUMBER('Raw data'!AK62),ISNUMBER('Raw data'!AL62)),IF(SIGN('Raw data'!AK62-'Raw data'!AL62)=SIGN('Real results'!C62-'Real results'!D62),2+IF(AND('Raw data'!AK62='Real results'!C62,'Raw data'!AL62='Real results'!D62),2,0),0),0),0)</f>
        <v>0</v>
      </c>
      <c r="AM63" s="29">
        <f>IFERROR(IF(AND(ISNUMBER('Real results'!C62),ISNUMBER('Real results'!D62),ISNUMBER('Raw data'!AM62),ISNUMBER('Raw data'!AN62)),IF(SIGN('Raw data'!AM62-'Raw data'!AN62)=SIGN('Real results'!C62-'Real results'!D62),2+IF(AND('Raw data'!AM62='Real results'!C62,'Raw data'!AN62='Real results'!D62),2,0),0),0),0)</f>
        <v>0</v>
      </c>
      <c r="AO63" s="29">
        <f>IFERROR(IF(AND(ISNUMBER('Real results'!C62),ISNUMBER('Real results'!D62),ISNUMBER('Raw data'!AO62),ISNUMBER('Raw data'!AP62)),IF(SIGN('Raw data'!AO62-'Raw data'!AP62)=SIGN('Real results'!C62-'Real results'!D62),2+IF(AND('Raw data'!AO62='Real results'!C62,'Raw data'!AP62='Real results'!D62),2,0),0),0),0)</f>
        <v>0</v>
      </c>
      <c r="AQ63" s="29">
        <f>IFERROR(IF(AND(ISNUMBER('Real results'!C62),ISNUMBER('Real results'!D62),ISNUMBER('Raw data'!AQ62),ISNUMBER('Raw data'!AR62)),IF(SIGN('Raw data'!AQ62-'Raw data'!AR62)=SIGN('Real results'!C62-'Real results'!D62),2+IF(AND('Raw data'!AQ62='Real results'!C62,'Raw data'!AR62='Real results'!D62),2,0),0),0),0)</f>
        <v>0</v>
      </c>
      <c r="AS63" s="29">
        <f>IFERROR(IF(AND(ISNUMBER('Real results'!C62),ISNUMBER('Real results'!D62),ISNUMBER('Raw data'!AS62),ISNUMBER('Raw data'!AT62)),IF(SIGN('Raw data'!AS62-'Raw data'!AT62)=SIGN('Real results'!C62-'Real results'!D62),2+IF(AND('Raw data'!AS62='Real results'!C62,'Raw data'!AT62='Real results'!D62),2,0),0),0),0)</f>
        <v>0</v>
      </c>
      <c r="AU63" s="29">
        <f>IFERROR(IF(AND(ISNUMBER('Real results'!C62),ISNUMBER('Real results'!D62),ISNUMBER('Raw data'!AU62),ISNUMBER('Raw data'!AV62)),IF(SIGN('Raw data'!AU62-'Raw data'!AV62)=SIGN('Real results'!C62-'Real results'!D62),2+IF(AND('Raw data'!AU62='Real results'!C62,'Raw data'!AV62='Real results'!D62),2,0),0),0),0)</f>
        <v>0</v>
      </c>
      <c r="AW63" s="29">
        <f>IFERROR(IF(AND(ISNUMBER('Real results'!C62),ISNUMBER('Real results'!D62),ISNUMBER('Raw data'!AW62),ISNUMBER('Raw data'!AX62)),IF(SIGN('Raw data'!AW62-'Raw data'!AX62)=SIGN('Real results'!C62-'Real results'!D62),2+IF(AND('Raw data'!AW62='Real results'!C62,'Raw data'!AX62='Real results'!D62),2,0),0),0),0)</f>
        <v>0</v>
      </c>
      <c r="AY63" s="29">
        <f>IFERROR(IF(AND(ISNUMBER('Real results'!C62),ISNUMBER('Real results'!D62),ISNUMBER('Raw data'!AY62),ISNUMBER('Raw data'!AZ62)),IF(SIGN('Raw data'!AY62-'Raw data'!AZ62)=SIGN('Real results'!C62-'Real results'!D62),2+IF(AND('Raw data'!AY62='Real results'!C62,'Raw data'!AZ62='Real results'!D62),2,0),0),0),0)</f>
        <v>0</v>
      </c>
      <c r="BA63" s="29">
        <f>IFERROR(IF(AND(ISNUMBER('Real results'!C62),ISNUMBER('Real results'!D62),ISNUMBER('Raw data'!BA62),ISNUMBER('Raw data'!BB62)),IF(SIGN('Raw data'!BA62-'Raw data'!BB62)=SIGN('Real results'!C62-'Real results'!D62),2+IF(AND('Raw data'!BA62='Real results'!C62,'Raw data'!BB62='Real results'!D62),2,0),0),0),0)</f>
        <v>0</v>
      </c>
      <c r="BC63" s="29">
        <f>IFERROR(IF(AND(ISNUMBER('Real results'!C62),ISNUMBER('Real results'!D62),ISNUMBER('Raw data'!BC62),ISNUMBER('Raw data'!BD62)),IF(SIGN('Raw data'!BC62-'Raw data'!BD62)=SIGN('Real results'!C62-'Real results'!D62),2+IF(AND('Raw data'!BC62='Real results'!C62,'Raw data'!BD62='Real results'!D62),2,0),0),0),0)</f>
        <v>0</v>
      </c>
      <c r="BE63" s="29">
        <f>IFERROR(IF(AND(ISNUMBER('Real results'!C62),ISNUMBER('Real results'!D62),ISNUMBER('Raw data'!BE62),ISNUMBER('Raw data'!BF62)),IF(SIGN('Raw data'!BE62-'Raw data'!BF62)=SIGN('Real results'!C62-'Real results'!D62),2+IF(AND('Raw data'!BE62='Real results'!C62,'Raw data'!BF62='Real results'!D62),2,0),0),0),0)</f>
        <v>0</v>
      </c>
      <c r="BG63" s="29">
        <f>IFERROR(IF(AND(ISNUMBER('Real results'!C62),ISNUMBER('Real results'!D62),ISNUMBER('Raw data'!BG62),ISNUMBER('Raw data'!BH62)),IF(SIGN('Raw data'!BG62-'Raw data'!BH62)=SIGN('Real results'!C62-'Real results'!D62),2+IF(AND('Raw data'!BG62='Real results'!C62,'Raw data'!BH62='Real results'!D62),2,0),0),0),0)</f>
        <v>0</v>
      </c>
      <c r="BI63" s="29">
        <f>IFERROR(IF(AND(ISNUMBER('Real results'!C62),ISNUMBER('Real results'!D62),ISNUMBER('Raw data'!BI62),ISNUMBER('Raw data'!BJ62)),IF(SIGN('Raw data'!BI62-'Raw data'!BJ62)=SIGN('Real results'!C62-'Real results'!D62),2+IF(AND('Raw data'!BI62='Real results'!C62,'Raw data'!BJ62='Real results'!D62),2,0),0),0),0)</f>
        <v>0</v>
      </c>
    </row>
    <row r="64" ht="18.0" customHeight="1">
      <c r="A64" s="1"/>
      <c r="B64" s="13" t="s">
        <v>83</v>
      </c>
      <c r="C64" s="29">
        <f>IFERROR(IF(AND(ISNUMBER('Real results'!C63),ISNUMBER('Real results'!D63),ISNUMBER('Raw data'!C63),ISNUMBER('Raw data'!D63)),IF(SIGN('Raw data'!C63-'Raw data'!D63)=SIGN('Real results'!C63-'Real results'!D63),2+IF(AND('Raw data'!C63='Real results'!C63,'Raw data'!D63='Real results'!D63),2,0),0),0),0)</f>
        <v>0</v>
      </c>
      <c r="E64" s="29">
        <f>IFERROR(IF(AND(ISNUMBER('Real results'!C63),ISNUMBER('Real results'!D63),ISNUMBER('Raw data'!E63),ISNUMBER('Raw data'!F63)),IF(SIGN('Raw data'!E63-'Raw data'!F63)=SIGN('Real results'!C63-'Real results'!D63),2+IF(AND('Raw data'!E63='Real results'!C63,'Raw data'!F63='Real results'!D63),2,0),0),0),0)</f>
        <v>0</v>
      </c>
      <c r="G64" s="29">
        <f>IFERROR(IF(AND(ISNUMBER('Real results'!C63),ISNUMBER('Real results'!D63),ISNUMBER('Raw data'!G63),ISNUMBER('Raw data'!H63)),IF(SIGN('Raw data'!G63-'Raw data'!H63)=SIGN('Real results'!C63-'Real results'!D63),2+IF(AND('Raw data'!G63='Real results'!C63,'Raw data'!H63='Real results'!D63),2,0),0),0),0)</f>
        <v>0</v>
      </c>
      <c r="I64" s="29">
        <f>IFERROR(IF(AND(ISNUMBER('Real results'!C63),ISNUMBER('Real results'!D63),ISNUMBER('Raw data'!I63),ISNUMBER('Raw data'!J63)),IF(SIGN('Raw data'!I63-'Raw data'!J63)=SIGN('Real results'!C63-'Real results'!D63),2+IF(AND('Raw data'!I63='Real results'!C63,'Raw data'!J63='Real results'!D63),2,0),0),0),0)</f>
        <v>0</v>
      </c>
      <c r="K64" s="29">
        <f>IFERROR(IF(AND(ISNUMBER('Real results'!C63),ISNUMBER('Real results'!D63),ISNUMBER('Raw data'!K63),ISNUMBER('Raw data'!L63)),IF(SIGN('Raw data'!K63-'Raw data'!L63)=SIGN('Real results'!C63-'Real results'!D63),2+IF(AND('Raw data'!K63='Real results'!C63,'Raw data'!L63='Real results'!D63),2,0),0),0),0)</f>
        <v>0</v>
      </c>
      <c r="M64" s="29">
        <f>IFERROR(IF(AND(ISNUMBER('Real results'!C63),ISNUMBER('Real results'!D63),ISNUMBER('Raw data'!M63),ISNUMBER('Raw data'!N63)),IF(SIGN('Raw data'!M63-'Raw data'!N63)=SIGN('Real results'!C63-'Real results'!D63),2+IF(AND('Raw data'!M63='Real results'!C63,'Raw data'!N63='Real results'!D63),2,0),0),0),0)</f>
        <v>0</v>
      </c>
      <c r="O64" s="29">
        <f>IFERROR(IF(AND(ISNUMBER('Real results'!C63),ISNUMBER('Real results'!D63),ISNUMBER('Raw data'!O63),ISNUMBER('Raw data'!P63)),IF(SIGN('Raw data'!O63-'Raw data'!P63)=SIGN('Real results'!C63-'Real results'!D63),2+IF(AND('Raw data'!O63='Real results'!C63,'Raw data'!P63='Real results'!D63),2,0),0),0),0)</f>
        <v>0</v>
      </c>
      <c r="Q64" s="29">
        <f>IFERROR(IF(AND(ISNUMBER('Real results'!C63),ISNUMBER('Real results'!D63),ISNUMBER('Raw data'!Q63),ISNUMBER('Raw data'!R63)),IF(SIGN('Raw data'!Q63-'Raw data'!R63)=SIGN('Real results'!C63-'Real results'!D63),2+IF(AND('Raw data'!Q63='Real results'!C63,'Raw data'!R63='Real results'!D63),2,0),0),0),0)</f>
        <v>0</v>
      </c>
      <c r="S64" s="29">
        <f>IFERROR(IF(AND(ISNUMBER('Real results'!C63),ISNUMBER('Real results'!D63),ISNUMBER('Raw data'!S63),ISNUMBER('Raw data'!T63)),IF(SIGN('Raw data'!S63-'Raw data'!T63)=SIGN('Real results'!C63-'Real results'!D63),2+IF(AND('Raw data'!S63='Real results'!C63,'Raw data'!T63='Real results'!D63),2,0),0),0),0)</f>
        <v>0</v>
      </c>
      <c r="U64" s="29">
        <f>IFERROR(IF(AND(ISNUMBER('Real results'!C63),ISNUMBER('Real results'!D63),ISNUMBER('Raw data'!U63),ISNUMBER('Raw data'!V63)),IF(SIGN('Raw data'!U63-'Raw data'!V63)=SIGN('Real results'!C63-'Real results'!D63),2+IF(AND('Raw data'!U63='Real results'!C63,'Raw data'!V63='Real results'!D63),2,0),0),0),0)</f>
        <v>0</v>
      </c>
      <c r="W64" s="29">
        <f>IFERROR(IF(AND(ISNUMBER('Real results'!C63),ISNUMBER('Real results'!D63),ISNUMBER('Raw data'!W63),ISNUMBER('Raw data'!X63)),IF(SIGN('Raw data'!W63-'Raw data'!X63)=SIGN('Real results'!C63-'Real results'!D63),2+IF(AND('Raw data'!W63='Real results'!C63,'Raw data'!X63='Real results'!D63),2,0),0),0),0)</f>
        <v>0</v>
      </c>
      <c r="Y64" s="29">
        <f>IFERROR(IF(AND(ISNUMBER('Real results'!C63),ISNUMBER('Real results'!D63),ISNUMBER('Raw data'!Y63),ISNUMBER('Raw data'!Z63)),IF(SIGN('Raw data'!Y63-'Raw data'!Z63)=SIGN('Real results'!C63-'Real results'!D63),2+IF(AND('Raw data'!Y63='Real results'!C63,'Raw data'!Z63='Real results'!D63),2,0),0),0),0)</f>
        <v>0</v>
      </c>
      <c r="AA64" s="29">
        <f>IFERROR(IF(AND(ISNUMBER('Real results'!C63),ISNUMBER('Real results'!D63),ISNUMBER('Raw data'!AA63),ISNUMBER('Raw data'!AB63)),IF(SIGN('Raw data'!AA63-'Raw data'!AB63)=SIGN('Real results'!C63-'Real results'!D63),2+IF(AND('Raw data'!AA63='Real results'!C63,'Raw data'!AB63='Real results'!D63),2,0),0),0),0)</f>
        <v>0</v>
      </c>
      <c r="AC64" s="29">
        <f>IFERROR(IF(AND(ISNUMBER('Real results'!C63),ISNUMBER('Real results'!D63),ISNUMBER('Raw data'!AC63),ISNUMBER('Raw data'!AD63)),IF(SIGN('Raw data'!AC63-'Raw data'!AD63)=SIGN('Real results'!C63-'Real results'!D63),2+IF(AND('Raw data'!AC63='Real results'!C63,'Raw data'!AD63='Real results'!D63),2,0),0),0),0)</f>
        <v>0</v>
      </c>
      <c r="AE64" s="29">
        <f>IFERROR(IF(AND(ISNUMBER('Real results'!C63),ISNUMBER('Real results'!D63),ISNUMBER('Raw data'!AE63),ISNUMBER('Raw data'!AF63)),IF(SIGN('Raw data'!AE63-'Raw data'!AF63)=SIGN('Real results'!C63-'Real results'!D63),2+IF(AND('Raw data'!AE63='Real results'!C63,'Raw data'!AF63='Real results'!D63),2,0),0),0),0)</f>
        <v>0</v>
      </c>
      <c r="AG64" s="29">
        <f>IFERROR(IF(AND(ISNUMBER('Real results'!C63),ISNUMBER('Real results'!D63),ISNUMBER('Raw data'!AG63),ISNUMBER('Raw data'!AH63)),IF(SIGN('Raw data'!AG63-'Raw data'!AH63)=SIGN('Real results'!C63-'Real results'!D63),2+IF(AND('Raw data'!AG63='Real results'!C63,'Raw data'!AH63='Real results'!D63),2,0),0),0),0)</f>
        <v>0</v>
      </c>
      <c r="AI64" s="29">
        <f>IFERROR(IF(AND(ISNUMBER('Real results'!C63),ISNUMBER('Real results'!D63),ISNUMBER('Raw data'!AI63),ISNUMBER('Raw data'!AJ63)),IF(SIGN('Raw data'!AI63-'Raw data'!AJ63)=SIGN('Real results'!C63-'Real results'!D63),2+IF(AND('Raw data'!AI63='Real results'!C63,'Raw data'!AJ63='Real results'!D63),2,0),0),0),0)</f>
        <v>0</v>
      </c>
      <c r="AK64" s="29">
        <f>IFERROR(IF(AND(ISNUMBER('Real results'!C63),ISNUMBER('Real results'!D63),ISNUMBER('Raw data'!AK63),ISNUMBER('Raw data'!AL63)),IF(SIGN('Raw data'!AK63-'Raw data'!AL63)=SIGN('Real results'!C63-'Real results'!D63),2+IF(AND('Raw data'!AK63='Real results'!C63,'Raw data'!AL63='Real results'!D63),2,0),0),0),0)</f>
        <v>0</v>
      </c>
      <c r="AM64" s="29">
        <f>IFERROR(IF(AND(ISNUMBER('Real results'!C63),ISNUMBER('Real results'!D63),ISNUMBER('Raw data'!AM63),ISNUMBER('Raw data'!AN63)),IF(SIGN('Raw data'!AM63-'Raw data'!AN63)=SIGN('Real results'!C63-'Real results'!D63),2+IF(AND('Raw data'!AM63='Real results'!C63,'Raw data'!AN63='Real results'!D63),2,0),0),0),0)</f>
        <v>0</v>
      </c>
      <c r="AO64" s="29">
        <f>IFERROR(IF(AND(ISNUMBER('Real results'!C63),ISNUMBER('Real results'!D63),ISNUMBER('Raw data'!AO63),ISNUMBER('Raw data'!AP63)),IF(SIGN('Raw data'!AO63-'Raw data'!AP63)=SIGN('Real results'!C63-'Real results'!D63),2+IF(AND('Raw data'!AO63='Real results'!C63,'Raw data'!AP63='Real results'!D63),2,0),0),0),0)</f>
        <v>0</v>
      </c>
      <c r="AQ64" s="29">
        <f>IFERROR(IF(AND(ISNUMBER('Real results'!C63),ISNUMBER('Real results'!D63),ISNUMBER('Raw data'!AQ63),ISNUMBER('Raw data'!AR63)),IF(SIGN('Raw data'!AQ63-'Raw data'!AR63)=SIGN('Real results'!C63-'Real results'!D63),2+IF(AND('Raw data'!AQ63='Real results'!C63,'Raw data'!AR63='Real results'!D63),2,0),0),0),0)</f>
        <v>0</v>
      </c>
      <c r="AS64" s="29">
        <f>IFERROR(IF(AND(ISNUMBER('Real results'!C63),ISNUMBER('Real results'!D63),ISNUMBER('Raw data'!AS63),ISNUMBER('Raw data'!AT63)),IF(SIGN('Raw data'!AS63-'Raw data'!AT63)=SIGN('Real results'!C63-'Real results'!D63),2+IF(AND('Raw data'!AS63='Real results'!C63,'Raw data'!AT63='Real results'!D63),2,0),0),0),0)</f>
        <v>0</v>
      </c>
      <c r="AU64" s="29">
        <f>IFERROR(IF(AND(ISNUMBER('Real results'!C63),ISNUMBER('Real results'!D63),ISNUMBER('Raw data'!AU63),ISNUMBER('Raw data'!AV63)),IF(SIGN('Raw data'!AU63-'Raw data'!AV63)=SIGN('Real results'!C63-'Real results'!D63),2+IF(AND('Raw data'!AU63='Real results'!C63,'Raw data'!AV63='Real results'!D63),2,0),0),0),0)</f>
        <v>0</v>
      </c>
      <c r="AW64" s="29">
        <f>IFERROR(IF(AND(ISNUMBER('Real results'!C63),ISNUMBER('Real results'!D63),ISNUMBER('Raw data'!AW63),ISNUMBER('Raw data'!AX63)),IF(SIGN('Raw data'!AW63-'Raw data'!AX63)=SIGN('Real results'!C63-'Real results'!D63),2+IF(AND('Raw data'!AW63='Real results'!C63,'Raw data'!AX63='Real results'!D63),2,0),0),0),0)</f>
        <v>0</v>
      </c>
      <c r="AY64" s="29">
        <f>IFERROR(IF(AND(ISNUMBER('Real results'!C63),ISNUMBER('Real results'!D63),ISNUMBER('Raw data'!AY63),ISNUMBER('Raw data'!AZ63)),IF(SIGN('Raw data'!AY63-'Raw data'!AZ63)=SIGN('Real results'!C63-'Real results'!D63),2+IF(AND('Raw data'!AY63='Real results'!C63,'Raw data'!AZ63='Real results'!D63),2,0),0),0),0)</f>
        <v>0</v>
      </c>
      <c r="BA64" s="29">
        <f>IFERROR(IF(AND(ISNUMBER('Real results'!C63),ISNUMBER('Real results'!D63),ISNUMBER('Raw data'!BA63),ISNUMBER('Raw data'!BB63)),IF(SIGN('Raw data'!BA63-'Raw data'!BB63)=SIGN('Real results'!C63-'Real results'!D63),2+IF(AND('Raw data'!BA63='Real results'!C63,'Raw data'!BB63='Real results'!D63),2,0),0),0),0)</f>
        <v>0</v>
      </c>
      <c r="BC64" s="29">
        <f>IFERROR(IF(AND(ISNUMBER('Real results'!C63),ISNUMBER('Real results'!D63),ISNUMBER('Raw data'!BC63),ISNUMBER('Raw data'!BD63)),IF(SIGN('Raw data'!BC63-'Raw data'!BD63)=SIGN('Real results'!C63-'Real results'!D63),2+IF(AND('Raw data'!BC63='Real results'!C63,'Raw data'!BD63='Real results'!D63),2,0),0),0),0)</f>
        <v>0</v>
      </c>
      <c r="BE64" s="29">
        <f>IFERROR(IF(AND(ISNUMBER('Real results'!C63),ISNUMBER('Real results'!D63),ISNUMBER('Raw data'!BE63),ISNUMBER('Raw data'!BF63)),IF(SIGN('Raw data'!BE63-'Raw data'!BF63)=SIGN('Real results'!C63-'Real results'!D63),2+IF(AND('Raw data'!BE63='Real results'!C63,'Raw data'!BF63='Real results'!D63),2,0),0),0),0)</f>
        <v>0</v>
      </c>
      <c r="BG64" s="29">
        <f>IFERROR(IF(AND(ISNUMBER('Real results'!C63),ISNUMBER('Real results'!D63),ISNUMBER('Raw data'!BG63),ISNUMBER('Raw data'!BH63)),IF(SIGN('Raw data'!BG63-'Raw data'!BH63)=SIGN('Real results'!C63-'Real results'!D63),2+IF(AND('Raw data'!BG63='Real results'!C63,'Raw data'!BH63='Real results'!D63),2,0),0),0),0)</f>
        <v>0</v>
      </c>
      <c r="BI64" s="29">
        <f>IFERROR(IF(AND(ISNUMBER('Real results'!C63),ISNUMBER('Real results'!D63),ISNUMBER('Raw data'!BI63),ISNUMBER('Raw data'!BJ63)),IF(SIGN('Raw data'!BI63-'Raw data'!BJ63)=SIGN('Real results'!C63-'Real results'!D63),2+IF(AND('Raw data'!BI63='Real results'!C63,'Raw data'!BJ63='Real results'!D63),2,0),0),0),0)</f>
        <v>0</v>
      </c>
    </row>
    <row r="65" ht="18.0" customHeight="1">
      <c r="A65" s="1"/>
      <c r="B65" s="13" t="s">
        <v>84</v>
      </c>
      <c r="C65" s="29">
        <f>IFERROR(IF(AND(ISNUMBER('Real results'!C64),ISNUMBER('Real results'!D64),ISNUMBER('Raw data'!C64),ISNUMBER('Raw data'!D64)),IF(SIGN('Raw data'!C64-'Raw data'!D64)=SIGN('Real results'!C64-'Real results'!D64),2+IF(AND('Raw data'!C64='Real results'!C64,'Raw data'!D64='Real results'!D64),2,0),0),0),0)</f>
        <v>0</v>
      </c>
      <c r="E65" s="29">
        <f>IFERROR(IF(AND(ISNUMBER('Real results'!C64),ISNUMBER('Real results'!D64),ISNUMBER('Raw data'!E64),ISNUMBER('Raw data'!F64)),IF(SIGN('Raw data'!E64-'Raw data'!F64)=SIGN('Real results'!C64-'Real results'!D64),2+IF(AND('Raw data'!E64='Real results'!C64,'Raw data'!F64='Real results'!D64),2,0),0),0),0)</f>
        <v>0</v>
      </c>
      <c r="G65" s="29">
        <f>IFERROR(IF(AND(ISNUMBER('Real results'!C64),ISNUMBER('Real results'!D64),ISNUMBER('Raw data'!G64),ISNUMBER('Raw data'!H64)),IF(SIGN('Raw data'!G64-'Raw data'!H64)=SIGN('Real results'!C64-'Real results'!D64),2+IF(AND('Raw data'!G64='Real results'!C64,'Raw data'!H64='Real results'!D64),2,0),0),0),0)</f>
        <v>0</v>
      </c>
      <c r="I65" s="29">
        <f>IFERROR(IF(AND(ISNUMBER('Real results'!C64),ISNUMBER('Real results'!D64),ISNUMBER('Raw data'!I64),ISNUMBER('Raw data'!J64)),IF(SIGN('Raw data'!I64-'Raw data'!J64)=SIGN('Real results'!C64-'Real results'!D64),2+IF(AND('Raw data'!I64='Real results'!C64,'Raw data'!J64='Real results'!D64),2,0),0),0),0)</f>
        <v>0</v>
      </c>
      <c r="K65" s="29">
        <f>IFERROR(IF(AND(ISNUMBER('Real results'!C64),ISNUMBER('Real results'!D64),ISNUMBER('Raw data'!K64),ISNUMBER('Raw data'!L64)),IF(SIGN('Raw data'!K64-'Raw data'!L64)=SIGN('Real results'!C64-'Real results'!D64),2+IF(AND('Raw data'!K64='Real results'!C64,'Raw data'!L64='Real results'!D64),2,0),0),0),0)</f>
        <v>0</v>
      </c>
      <c r="M65" s="29">
        <f>IFERROR(IF(AND(ISNUMBER('Real results'!C64),ISNUMBER('Real results'!D64),ISNUMBER('Raw data'!M64),ISNUMBER('Raw data'!N64)),IF(SIGN('Raw data'!M64-'Raw data'!N64)=SIGN('Real results'!C64-'Real results'!D64),2+IF(AND('Raw data'!M64='Real results'!C64,'Raw data'!N64='Real results'!D64),2,0),0),0),0)</f>
        <v>0</v>
      </c>
      <c r="O65" s="29">
        <f>IFERROR(IF(AND(ISNUMBER('Real results'!C64),ISNUMBER('Real results'!D64),ISNUMBER('Raw data'!O64),ISNUMBER('Raw data'!P64)),IF(SIGN('Raw data'!O64-'Raw data'!P64)=SIGN('Real results'!C64-'Real results'!D64),2+IF(AND('Raw data'!O64='Real results'!C64,'Raw data'!P64='Real results'!D64),2,0),0),0),0)</f>
        <v>0</v>
      </c>
      <c r="Q65" s="29">
        <f>IFERROR(IF(AND(ISNUMBER('Real results'!C64),ISNUMBER('Real results'!D64),ISNUMBER('Raw data'!Q64),ISNUMBER('Raw data'!R64)),IF(SIGN('Raw data'!Q64-'Raw data'!R64)=SIGN('Real results'!C64-'Real results'!D64),2+IF(AND('Raw data'!Q64='Real results'!C64,'Raw data'!R64='Real results'!D64),2,0),0),0),0)</f>
        <v>0</v>
      </c>
      <c r="S65" s="29">
        <f>IFERROR(IF(AND(ISNUMBER('Real results'!C64),ISNUMBER('Real results'!D64),ISNUMBER('Raw data'!S64),ISNUMBER('Raw data'!T64)),IF(SIGN('Raw data'!S64-'Raw data'!T64)=SIGN('Real results'!C64-'Real results'!D64),2+IF(AND('Raw data'!S64='Real results'!C64,'Raw data'!T64='Real results'!D64),2,0),0),0),0)</f>
        <v>0</v>
      </c>
      <c r="U65" s="29">
        <f>IFERROR(IF(AND(ISNUMBER('Real results'!C64),ISNUMBER('Real results'!D64),ISNUMBER('Raw data'!U64),ISNUMBER('Raw data'!V64)),IF(SIGN('Raw data'!U64-'Raw data'!V64)=SIGN('Real results'!C64-'Real results'!D64),2+IF(AND('Raw data'!U64='Real results'!C64,'Raw data'!V64='Real results'!D64),2,0),0),0),0)</f>
        <v>0</v>
      </c>
      <c r="W65" s="29">
        <f>IFERROR(IF(AND(ISNUMBER('Real results'!C64),ISNUMBER('Real results'!D64),ISNUMBER('Raw data'!W64),ISNUMBER('Raw data'!X64)),IF(SIGN('Raw data'!W64-'Raw data'!X64)=SIGN('Real results'!C64-'Real results'!D64),2+IF(AND('Raw data'!W64='Real results'!C64,'Raw data'!X64='Real results'!D64),2,0),0),0),0)</f>
        <v>0</v>
      </c>
      <c r="Y65" s="29">
        <f>IFERROR(IF(AND(ISNUMBER('Real results'!C64),ISNUMBER('Real results'!D64),ISNUMBER('Raw data'!Y64),ISNUMBER('Raw data'!Z64)),IF(SIGN('Raw data'!Y64-'Raw data'!Z64)=SIGN('Real results'!C64-'Real results'!D64),2+IF(AND('Raw data'!Y64='Real results'!C64,'Raw data'!Z64='Real results'!D64),2,0),0),0),0)</f>
        <v>0</v>
      </c>
      <c r="AA65" s="29">
        <f>IFERROR(IF(AND(ISNUMBER('Real results'!C64),ISNUMBER('Real results'!D64),ISNUMBER('Raw data'!AA64),ISNUMBER('Raw data'!AB64)),IF(SIGN('Raw data'!AA64-'Raw data'!AB64)=SIGN('Real results'!C64-'Real results'!D64),2+IF(AND('Raw data'!AA64='Real results'!C64,'Raw data'!AB64='Real results'!D64),2,0),0),0),0)</f>
        <v>0</v>
      </c>
      <c r="AC65" s="29">
        <f>IFERROR(IF(AND(ISNUMBER('Real results'!C64),ISNUMBER('Real results'!D64),ISNUMBER('Raw data'!AC64),ISNUMBER('Raw data'!AD64)),IF(SIGN('Raw data'!AC64-'Raw data'!AD64)=SIGN('Real results'!C64-'Real results'!D64),2+IF(AND('Raw data'!AC64='Real results'!C64,'Raw data'!AD64='Real results'!D64),2,0),0),0),0)</f>
        <v>0</v>
      </c>
      <c r="AE65" s="29">
        <f>IFERROR(IF(AND(ISNUMBER('Real results'!C64),ISNUMBER('Real results'!D64),ISNUMBER('Raw data'!AE64),ISNUMBER('Raw data'!AF64)),IF(SIGN('Raw data'!AE64-'Raw data'!AF64)=SIGN('Real results'!C64-'Real results'!D64),2+IF(AND('Raw data'!AE64='Real results'!C64,'Raw data'!AF64='Real results'!D64),2,0),0),0),0)</f>
        <v>0</v>
      </c>
      <c r="AG65" s="29">
        <f>IFERROR(IF(AND(ISNUMBER('Real results'!C64),ISNUMBER('Real results'!D64),ISNUMBER('Raw data'!AG64),ISNUMBER('Raw data'!AH64)),IF(SIGN('Raw data'!AG64-'Raw data'!AH64)=SIGN('Real results'!C64-'Real results'!D64),2+IF(AND('Raw data'!AG64='Real results'!C64,'Raw data'!AH64='Real results'!D64),2,0),0),0),0)</f>
        <v>0</v>
      </c>
      <c r="AI65" s="29">
        <f>IFERROR(IF(AND(ISNUMBER('Real results'!C64),ISNUMBER('Real results'!D64),ISNUMBER('Raw data'!AI64),ISNUMBER('Raw data'!AJ64)),IF(SIGN('Raw data'!AI64-'Raw data'!AJ64)=SIGN('Real results'!C64-'Real results'!D64),2+IF(AND('Raw data'!AI64='Real results'!C64,'Raw data'!AJ64='Real results'!D64),2,0),0),0),0)</f>
        <v>0</v>
      </c>
      <c r="AK65" s="29">
        <f>IFERROR(IF(AND(ISNUMBER('Real results'!C64),ISNUMBER('Real results'!D64),ISNUMBER('Raw data'!AK64),ISNUMBER('Raw data'!AL64)),IF(SIGN('Raw data'!AK64-'Raw data'!AL64)=SIGN('Real results'!C64-'Real results'!D64),2+IF(AND('Raw data'!AK64='Real results'!C64,'Raw data'!AL64='Real results'!D64),2,0),0),0),0)</f>
        <v>0</v>
      </c>
      <c r="AM65" s="29">
        <f>IFERROR(IF(AND(ISNUMBER('Real results'!C64),ISNUMBER('Real results'!D64),ISNUMBER('Raw data'!AM64),ISNUMBER('Raw data'!AN64)),IF(SIGN('Raw data'!AM64-'Raw data'!AN64)=SIGN('Real results'!C64-'Real results'!D64),2+IF(AND('Raw data'!AM64='Real results'!C64,'Raw data'!AN64='Real results'!D64),2,0),0),0),0)</f>
        <v>0</v>
      </c>
      <c r="AO65" s="29">
        <f>IFERROR(IF(AND(ISNUMBER('Real results'!C64),ISNUMBER('Real results'!D64),ISNUMBER('Raw data'!AO64),ISNUMBER('Raw data'!AP64)),IF(SIGN('Raw data'!AO64-'Raw data'!AP64)=SIGN('Real results'!C64-'Real results'!D64),2+IF(AND('Raw data'!AO64='Real results'!C64,'Raw data'!AP64='Real results'!D64),2,0),0),0),0)</f>
        <v>0</v>
      </c>
      <c r="AQ65" s="29">
        <f>IFERROR(IF(AND(ISNUMBER('Real results'!C64),ISNUMBER('Real results'!D64),ISNUMBER('Raw data'!AQ64),ISNUMBER('Raw data'!AR64)),IF(SIGN('Raw data'!AQ64-'Raw data'!AR64)=SIGN('Real results'!C64-'Real results'!D64),2+IF(AND('Raw data'!AQ64='Real results'!C64,'Raw data'!AR64='Real results'!D64),2,0),0),0),0)</f>
        <v>0</v>
      </c>
      <c r="AS65" s="29">
        <f>IFERROR(IF(AND(ISNUMBER('Real results'!C64),ISNUMBER('Real results'!D64),ISNUMBER('Raw data'!AS64),ISNUMBER('Raw data'!AT64)),IF(SIGN('Raw data'!AS64-'Raw data'!AT64)=SIGN('Real results'!C64-'Real results'!D64),2+IF(AND('Raw data'!AS64='Real results'!C64,'Raw data'!AT64='Real results'!D64),2,0),0),0),0)</f>
        <v>0</v>
      </c>
      <c r="AU65" s="29">
        <f>IFERROR(IF(AND(ISNUMBER('Real results'!C64),ISNUMBER('Real results'!D64),ISNUMBER('Raw data'!AU64),ISNUMBER('Raw data'!AV64)),IF(SIGN('Raw data'!AU64-'Raw data'!AV64)=SIGN('Real results'!C64-'Real results'!D64),2+IF(AND('Raw data'!AU64='Real results'!C64,'Raw data'!AV64='Real results'!D64),2,0),0),0),0)</f>
        <v>0</v>
      </c>
      <c r="AW65" s="29">
        <f>IFERROR(IF(AND(ISNUMBER('Real results'!C64),ISNUMBER('Real results'!D64),ISNUMBER('Raw data'!AW64),ISNUMBER('Raw data'!AX64)),IF(SIGN('Raw data'!AW64-'Raw data'!AX64)=SIGN('Real results'!C64-'Real results'!D64),2+IF(AND('Raw data'!AW64='Real results'!C64,'Raw data'!AX64='Real results'!D64),2,0),0),0),0)</f>
        <v>0</v>
      </c>
      <c r="AY65" s="29">
        <f>IFERROR(IF(AND(ISNUMBER('Real results'!C64),ISNUMBER('Real results'!D64),ISNUMBER('Raw data'!AY64),ISNUMBER('Raw data'!AZ64)),IF(SIGN('Raw data'!AY64-'Raw data'!AZ64)=SIGN('Real results'!C64-'Real results'!D64),2+IF(AND('Raw data'!AY64='Real results'!C64,'Raw data'!AZ64='Real results'!D64),2,0),0),0),0)</f>
        <v>0</v>
      </c>
      <c r="BA65" s="29">
        <f>IFERROR(IF(AND(ISNUMBER('Real results'!C64),ISNUMBER('Real results'!D64),ISNUMBER('Raw data'!BA64),ISNUMBER('Raw data'!BB64)),IF(SIGN('Raw data'!BA64-'Raw data'!BB64)=SIGN('Real results'!C64-'Real results'!D64),2+IF(AND('Raw data'!BA64='Real results'!C64,'Raw data'!BB64='Real results'!D64),2,0),0),0),0)</f>
        <v>0</v>
      </c>
      <c r="BC65" s="29">
        <f>IFERROR(IF(AND(ISNUMBER('Real results'!C64),ISNUMBER('Real results'!D64),ISNUMBER('Raw data'!BC64),ISNUMBER('Raw data'!BD64)),IF(SIGN('Raw data'!BC64-'Raw data'!BD64)=SIGN('Real results'!C64-'Real results'!D64),2+IF(AND('Raw data'!BC64='Real results'!C64,'Raw data'!BD64='Real results'!D64),2,0),0),0),0)</f>
        <v>0</v>
      </c>
      <c r="BE65" s="29">
        <f>IFERROR(IF(AND(ISNUMBER('Real results'!C64),ISNUMBER('Real results'!D64),ISNUMBER('Raw data'!BE64),ISNUMBER('Raw data'!BF64)),IF(SIGN('Raw data'!BE64-'Raw data'!BF64)=SIGN('Real results'!C64-'Real results'!D64),2+IF(AND('Raw data'!BE64='Real results'!C64,'Raw data'!BF64='Real results'!D64),2,0),0),0),0)</f>
        <v>0</v>
      </c>
      <c r="BG65" s="29">
        <f>IFERROR(IF(AND(ISNUMBER('Real results'!C64),ISNUMBER('Real results'!D64),ISNUMBER('Raw data'!BG64),ISNUMBER('Raw data'!BH64)),IF(SIGN('Raw data'!BG64-'Raw data'!BH64)=SIGN('Real results'!C64-'Real results'!D64),2+IF(AND('Raw data'!BG64='Real results'!C64,'Raw data'!BH64='Real results'!D64),2,0),0),0),0)</f>
        <v>0</v>
      </c>
      <c r="BI65" s="29">
        <f>IFERROR(IF(AND(ISNUMBER('Real results'!C64),ISNUMBER('Real results'!D64),ISNUMBER('Raw data'!BI64),ISNUMBER('Raw data'!BJ64)),IF(SIGN('Raw data'!BI64-'Raw data'!BJ64)=SIGN('Real results'!C64-'Real results'!D64),2+IF(AND('Raw data'!BI64='Real results'!C64,'Raw data'!BJ64='Real results'!D64),2,0),0),0),0)</f>
        <v>0</v>
      </c>
    </row>
    <row r="66" ht="18.0" customHeight="1">
      <c r="A66" s="1"/>
      <c r="B66" s="13" t="s">
        <v>85</v>
      </c>
      <c r="C66" s="29">
        <f>IFERROR(IF(AND(ISNUMBER('Real results'!C65),ISNUMBER('Real results'!D65),ISNUMBER('Raw data'!C65),ISNUMBER('Raw data'!D65)),IF(SIGN('Raw data'!C65-'Raw data'!D65)=SIGN('Real results'!C65-'Real results'!D65),2+IF(AND('Raw data'!C65='Real results'!C65,'Raw data'!D65='Real results'!D65),2,0),0),0),0)</f>
        <v>0</v>
      </c>
      <c r="E66" s="29">
        <f>IFERROR(IF(AND(ISNUMBER('Real results'!C65),ISNUMBER('Real results'!D65),ISNUMBER('Raw data'!E65),ISNUMBER('Raw data'!F65)),IF(SIGN('Raw data'!E65-'Raw data'!F65)=SIGN('Real results'!C65-'Real results'!D65),2+IF(AND('Raw data'!E65='Real results'!C65,'Raw data'!F65='Real results'!D65),2,0),0),0),0)</f>
        <v>0</v>
      </c>
      <c r="G66" s="29">
        <f>IFERROR(IF(AND(ISNUMBER('Real results'!C65),ISNUMBER('Real results'!D65),ISNUMBER('Raw data'!G65),ISNUMBER('Raw data'!H65)),IF(SIGN('Raw data'!G65-'Raw data'!H65)=SIGN('Real results'!C65-'Real results'!D65),2+IF(AND('Raw data'!G65='Real results'!C65,'Raw data'!H65='Real results'!D65),2,0),0),0),0)</f>
        <v>0</v>
      </c>
      <c r="I66" s="29">
        <f>IFERROR(IF(AND(ISNUMBER('Real results'!C65),ISNUMBER('Real results'!D65),ISNUMBER('Raw data'!I65),ISNUMBER('Raw data'!J65)),IF(SIGN('Raw data'!I65-'Raw data'!J65)=SIGN('Real results'!C65-'Real results'!D65),2+IF(AND('Raw data'!I65='Real results'!C65,'Raw data'!J65='Real results'!D65),2,0),0),0),0)</f>
        <v>0</v>
      </c>
      <c r="K66" s="29">
        <f>IFERROR(IF(AND(ISNUMBER('Real results'!C65),ISNUMBER('Real results'!D65),ISNUMBER('Raw data'!K65),ISNUMBER('Raw data'!L65)),IF(SIGN('Raw data'!K65-'Raw data'!L65)=SIGN('Real results'!C65-'Real results'!D65),2+IF(AND('Raw data'!K65='Real results'!C65,'Raw data'!L65='Real results'!D65),2,0),0),0),0)</f>
        <v>0</v>
      </c>
      <c r="M66" s="29">
        <f>IFERROR(IF(AND(ISNUMBER('Real results'!C65),ISNUMBER('Real results'!D65),ISNUMBER('Raw data'!M65),ISNUMBER('Raw data'!N65)),IF(SIGN('Raw data'!M65-'Raw data'!N65)=SIGN('Real results'!C65-'Real results'!D65),2+IF(AND('Raw data'!M65='Real results'!C65,'Raw data'!N65='Real results'!D65),2,0),0),0),0)</f>
        <v>0</v>
      </c>
      <c r="O66" s="29">
        <f>IFERROR(IF(AND(ISNUMBER('Real results'!C65),ISNUMBER('Real results'!D65),ISNUMBER('Raw data'!O65),ISNUMBER('Raw data'!P65)),IF(SIGN('Raw data'!O65-'Raw data'!P65)=SIGN('Real results'!C65-'Real results'!D65),2+IF(AND('Raw data'!O65='Real results'!C65,'Raw data'!P65='Real results'!D65),2,0),0),0),0)</f>
        <v>0</v>
      </c>
      <c r="Q66" s="29">
        <f>IFERROR(IF(AND(ISNUMBER('Real results'!C65),ISNUMBER('Real results'!D65),ISNUMBER('Raw data'!Q65),ISNUMBER('Raw data'!R65)),IF(SIGN('Raw data'!Q65-'Raw data'!R65)=SIGN('Real results'!C65-'Real results'!D65),2+IF(AND('Raw data'!Q65='Real results'!C65,'Raw data'!R65='Real results'!D65),2,0),0),0),0)</f>
        <v>0</v>
      </c>
      <c r="S66" s="29">
        <f>IFERROR(IF(AND(ISNUMBER('Real results'!C65),ISNUMBER('Real results'!D65),ISNUMBER('Raw data'!S65),ISNUMBER('Raw data'!T65)),IF(SIGN('Raw data'!S65-'Raw data'!T65)=SIGN('Real results'!C65-'Real results'!D65),2+IF(AND('Raw data'!S65='Real results'!C65,'Raw data'!T65='Real results'!D65),2,0),0),0),0)</f>
        <v>0</v>
      </c>
      <c r="U66" s="29">
        <f>IFERROR(IF(AND(ISNUMBER('Real results'!C65),ISNUMBER('Real results'!D65),ISNUMBER('Raw data'!U65),ISNUMBER('Raw data'!V65)),IF(SIGN('Raw data'!U65-'Raw data'!V65)=SIGN('Real results'!C65-'Real results'!D65),2+IF(AND('Raw data'!U65='Real results'!C65,'Raw data'!V65='Real results'!D65),2,0),0),0),0)</f>
        <v>0</v>
      </c>
      <c r="W66" s="29">
        <f>IFERROR(IF(AND(ISNUMBER('Real results'!C65),ISNUMBER('Real results'!D65),ISNUMBER('Raw data'!W65),ISNUMBER('Raw data'!X65)),IF(SIGN('Raw data'!W65-'Raw data'!X65)=SIGN('Real results'!C65-'Real results'!D65),2+IF(AND('Raw data'!W65='Real results'!C65,'Raw data'!X65='Real results'!D65),2,0),0),0),0)</f>
        <v>0</v>
      </c>
      <c r="Y66" s="29">
        <f>IFERROR(IF(AND(ISNUMBER('Real results'!C65),ISNUMBER('Real results'!D65),ISNUMBER('Raw data'!Y65),ISNUMBER('Raw data'!Z65)),IF(SIGN('Raw data'!Y65-'Raw data'!Z65)=SIGN('Real results'!C65-'Real results'!D65),2+IF(AND('Raw data'!Y65='Real results'!C65,'Raw data'!Z65='Real results'!D65),2,0),0),0),0)</f>
        <v>0</v>
      </c>
      <c r="AA66" s="29">
        <f>IFERROR(IF(AND(ISNUMBER('Real results'!C65),ISNUMBER('Real results'!D65),ISNUMBER('Raw data'!AA65),ISNUMBER('Raw data'!AB65)),IF(SIGN('Raw data'!AA65-'Raw data'!AB65)=SIGN('Real results'!C65-'Real results'!D65),2+IF(AND('Raw data'!AA65='Real results'!C65,'Raw data'!AB65='Real results'!D65),2,0),0),0),0)</f>
        <v>0</v>
      </c>
      <c r="AC66" s="29">
        <f>IFERROR(IF(AND(ISNUMBER('Real results'!C65),ISNUMBER('Real results'!D65),ISNUMBER('Raw data'!AC65),ISNUMBER('Raw data'!AD65)),IF(SIGN('Raw data'!AC65-'Raw data'!AD65)=SIGN('Real results'!C65-'Real results'!D65),2+IF(AND('Raw data'!AC65='Real results'!C65,'Raw data'!AD65='Real results'!D65),2,0),0),0),0)</f>
        <v>0</v>
      </c>
      <c r="AE66" s="29">
        <f>IFERROR(IF(AND(ISNUMBER('Real results'!C65),ISNUMBER('Real results'!D65),ISNUMBER('Raw data'!AE65),ISNUMBER('Raw data'!AF65)),IF(SIGN('Raw data'!AE65-'Raw data'!AF65)=SIGN('Real results'!C65-'Real results'!D65),2+IF(AND('Raw data'!AE65='Real results'!C65,'Raw data'!AF65='Real results'!D65),2,0),0),0),0)</f>
        <v>0</v>
      </c>
      <c r="AG66" s="29">
        <f>IFERROR(IF(AND(ISNUMBER('Real results'!C65),ISNUMBER('Real results'!D65),ISNUMBER('Raw data'!AG65),ISNUMBER('Raw data'!AH65)),IF(SIGN('Raw data'!AG65-'Raw data'!AH65)=SIGN('Real results'!C65-'Real results'!D65),2+IF(AND('Raw data'!AG65='Real results'!C65,'Raw data'!AH65='Real results'!D65),2,0),0),0),0)</f>
        <v>0</v>
      </c>
      <c r="AI66" s="29">
        <f>IFERROR(IF(AND(ISNUMBER('Real results'!C65),ISNUMBER('Real results'!D65),ISNUMBER('Raw data'!AI65),ISNUMBER('Raw data'!AJ65)),IF(SIGN('Raw data'!AI65-'Raw data'!AJ65)=SIGN('Real results'!C65-'Real results'!D65),2+IF(AND('Raw data'!AI65='Real results'!C65,'Raw data'!AJ65='Real results'!D65),2,0),0),0),0)</f>
        <v>0</v>
      </c>
      <c r="AK66" s="29">
        <f>IFERROR(IF(AND(ISNUMBER('Real results'!C65),ISNUMBER('Real results'!D65),ISNUMBER('Raw data'!AK65),ISNUMBER('Raw data'!AL65)),IF(SIGN('Raw data'!AK65-'Raw data'!AL65)=SIGN('Real results'!C65-'Real results'!D65),2+IF(AND('Raw data'!AK65='Real results'!C65,'Raw data'!AL65='Real results'!D65),2,0),0),0),0)</f>
        <v>0</v>
      </c>
      <c r="AM66" s="29">
        <f>IFERROR(IF(AND(ISNUMBER('Real results'!C65),ISNUMBER('Real results'!D65),ISNUMBER('Raw data'!AM65),ISNUMBER('Raw data'!AN65)),IF(SIGN('Raw data'!AM65-'Raw data'!AN65)=SIGN('Real results'!C65-'Real results'!D65),2+IF(AND('Raw data'!AM65='Real results'!C65,'Raw data'!AN65='Real results'!D65),2,0),0),0),0)</f>
        <v>0</v>
      </c>
      <c r="AO66" s="29">
        <f>IFERROR(IF(AND(ISNUMBER('Real results'!C65),ISNUMBER('Real results'!D65),ISNUMBER('Raw data'!AO65),ISNUMBER('Raw data'!AP65)),IF(SIGN('Raw data'!AO65-'Raw data'!AP65)=SIGN('Real results'!C65-'Real results'!D65),2+IF(AND('Raw data'!AO65='Real results'!C65,'Raw data'!AP65='Real results'!D65),2,0),0),0),0)</f>
        <v>0</v>
      </c>
      <c r="AQ66" s="29">
        <f>IFERROR(IF(AND(ISNUMBER('Real results'!C65),ISNUMBER('Real results'!D65),ISNUMBER('Raw data'!AQ65),ISNUMBER('Raw data'!AR65)),IF(SIGN('Raw data'!AQ65-'Raw data'!AR65)=SIGN('Real results'!C65-'Real results'!D65),2+IF(AND('Raw data'!AQ65='Real results'!C65,'Raw data'!AR65='Real results'!D65),2,0),0),0),0)</f>
        <v>0</v>
      </c>
      <c r="AS66" s="29">
        <f>IFERROR(IF(AND(ISNUMBER('Real results'!C65),ISNUMBER('Real results'!D65),ISNUMBER('Raw data'!AS65),ISNUMBER('Raw data'!AT65)),IF(SIGN('Raw data'!AS65-'Raw data'!AT65)=SIGN('Real results'!C65-'Real results'!D65),2+IF(AND('Raw data'!AS65='Real results'!C65,'Raw data'!AT65='Real results'!D65),2,0),0),0),0)</f>
        <v>0</v>
      </c>
      <c r="AU66" s="29">
        <f>IFERROR(IF(AND(ISNUMBER('Real results'!C65),ISNUMBER('Real results'!D65),ISNUMBER('Raw data'!AU65),ISNUMBER('Raw data'!AV65)),IF(SIGN('Raw data'!AU65-'Raw data'!AV65)=SIGN('Real results'!C65-'Real results'!D65),2+IF(AND('Raw data'!AU65='Real results'!C65,'Raw data'!AV65='Real results'!D65),2,0),0),0),0)</f>
        <v>0</v>
      </c>
      <c r="AW66" s="29">
        <f>IFERROR(IF(AND(ISNUMBER('Real results'!C65),ISNUMBER('Real results'!D65),ISNUMBER('Raw data'!AW65),ISNUMBER('Raw data'!AX65)),IF(SIGN('Raw data'!AW65-'Raw data'!AX65)=SIGN('Real results'!C65-'Real results'!D65),2+IF(AND('Raw data'!AW65='Real results'!C65,'Raw data'!AX65='Real results'!D65),2,0),0),0),0)</f>
        <v>0</v>
      </c>
      <c r="AY66" s="29">
        <f>IFERROR(IF(AND(ISNUMBER('Real results'!C65),ISNUMBER('Real results'!D65),ISNUMBER('Raw data'!AY65),ISNUMBER('Raw data'!AZ65)),IF(SIGN('Raw data'!AY65-'Raw data'!AZ65)=SIGN('Real results'!C65-'Real results'!D65),2+IF(AND('Raw data'!AY65='Real results'!C65,'Raw data'!AZ65='Real results'!D65),2,0),0),0),0)</f>
        <v>0</v>
      </c>
      <c r="BA66" s="29">
        <f>IFERROR(IF(AND(ISNUMBER('Real results'!C65),ISNUMBER('Real results'!D65),ISNUMBER('Raw data'!BA65),ISNUMBER('Raw data'!BB65)),IF(SIGN('Raw data'!BA65-'Raw data'!BB65)=SIGN('Real results'!C65-'Real results'!D65),2+IF(AND('Raw data'!BA65='Real results'!C65,'Raw data'!BB65='Real results'!D65),2,0),0),0),0)</f>
        <v>0</v>
      </c>
      <c r="BC66" s="29">
        <f>IFERROR(IF(AND(ISNUMBER('Real results'!C65),ISNUMBER('Real results'!D65),ISNUMBER('Raw data'!BC65),ISNUMBER('Raw data'!BD65)),IF(SIGN('Raw data'!BC65-'Raw data'!BD65)=SIGN('Real results'!C65-'Real results'!D65),2+IF(AND('Raw data'!BC65='Real results'!C65,'Raw data'!BD65='Real results'!D65),2,0),0),0),0)</f>
        <v>0</v>
      </c>
      <c r="BE66" s="29">
        <f>IFERROR(IF(AND(ISNUMBER('Real results'!C65),ISNUMBER('Real results'!D65),ISNUMBER('Raw data'!BE65),ISNUMBER('Raw data'!BF65)),IF(SIGN('Raw data'!BE65-'Raw data'!BF65)=SIGN('Real results'!C65-'Real results'!D65),2+IF(AND('Raw data'!BE65='Real results'!C65,'Raw data'!BF65='Real results'!D65),2,0),0),0),0)</f>
        <v>0</v>
      </c>
      <c r="BG66" s="29">
        <f>IFERROR(IF(AND(ISNUMBER('Real results'!C65),ISNUMBER('Real results'!D65),ISNUMBER('Raw data'!BG65),ISNUMBER('Raw data'!BH65)),IF(SIGN('Raw data'!BG65-'Raw data'!BH65)=SIGN('Real results'!C65-'Real results'!D65),2+IF(AND('Raw data'!BG65='Real results'!C65,'Raw data'!BH65='Real results'!D65),2,0),0),0),0)</f>
        <v>0</v>
      </c>
      <c r="BI66" s="29">
        <f>IFERROR(IF(AND(ISNUMBER('Real results'!C65),ISNUMBER('Real results'!D65),ISNUMBER('Raw data'!BI65),ISNUMBER('Raw data'!BJ65)),IF(SIGN('Raw data'!BI65-'Raw data'!BJ65)=SIGN('Real results'!C65-'Real results'!D65),2+IF(AND('Raw data'!BI65='Real results'!C65,'Raw data'!BJ65='Real results'!D65),2,0),0),0),0)</f>
        <v>0</v>
      </c>
    </row>
    <row r="67" ht="18.0" customHeight="1">
      <c r="A67" s="1"/>
      <c r="B67" s="13" t="s">
        <v>86</v>
      </c>
      <c r="C67" s="29">
        <f>IFERROR(IF(AND(ISNUMBER('Real results'!C66),ISNUMBER('Real results'!D66),ISNUMBER('Raw data'!C66),ISNUMBER('Raw data'!D66)),IF(SIGN('Raw data'!C66-'Raw data'!D66)=SIGN('Real results'!C66-'Real results'!D66),2+IF(AND('Raw data'!C66='Real results'!C66,'Raw data'!D66='Real results'!D66),2,0),0),0),0)</f>
        <v>0</v>
      </c>
      <c r="E67" s="29">
        <f>IFERROR(IF(AND(ISNUMBER('Real results'!C66),ISNUMBER('Real results'!D66),ISNUMBER('Raw data'!E66),ISNUMBER('Raw data'!F66)),IF(SIGN('Raw data'!E66-'Raw data'!F66)=SIGN('Real results'!C66-'Real results'!D66),2+IF(AND('Raw data'!E66='Real results'!C66,'Raw data'!F66='Real results'!D66),2,0),0),0),0)</f>
        <v>0</v>
      </c>
      <c r="G67" s="29">
        <f>IFERROR(IF(AND(ISNUMBER('Real results'!C66),ISNUMBER('Real results'!D66),ISNUMBER('Raw data'!G66),ISNUMBER('Raw data'!H66)),IF(SIGN('Raw data'!G66-'Raw data'!H66)=SIGN('Real results'!C66-'Real results'!D66),2+IF(AND('Raw data'!G66='Real results'!C66,'Raw data'!H66='Real results'!D66),2,0),0),0),0)</f>
        <v>0</v>
      </c>
      <c r="I67" s="29">
        <f>IFERROR(IF(AND(ISNUMBER('Real results'!C66),ISNUMBER('Real results'!D66),ISNUMBER('Raw data'!I66),ISNUMBER('Raw data'!J66)),IF(SIGN('Raw data'!I66-'Raw data'!J66)=SIGN('Real results'!C66-'Real results'!D66),2+IF(AND('Raw data'!I66='Real results'!C66,'Raw data'!J66='Real results'!D66),2,0),0),0),0)</f>
        <v>0</v>
      </c>
      <c r="K67" s="29">
        <f>IFERROR(IF(AND(ISNUMBER('Real results'!C66),ISNUMBER('Real results'!D66),ISNUMBER('Raw data'!K66),ISNUMBER('Raw data'!L66)),IF(SIGN('Raw data'!K66-'Raw data'!L66)=SIGN('Real results'!C66-'Real results'!D66),2+IF(AND('Raw data'!K66='Real results'!C66,'Raw data'!L66='Real results'!D66),2,0),0),0),0)</f>
        <v>0</v>
      </c>
      <c r="M67" s="29">
        <f>IFERROR(IF(AND(ISNUMBER('Real results'!C66),ISNUMBER('Real results'!D66),ISNUMBER('Raw data'!M66),ISNUMBER('Raw data'!N66)),IF(SIGN('Raw data'!M66-'Raw data'!N66)=SIGN('Real results'!C66-'Real results'!D66),2+IF(AND('Raw data'!M66='Real results'!C66,'Raw data'!N66='Real results'!D66),2,0),0),0),0)</f>
        <v>0</v>
      </c>
      <c r="O67" s="29">
        <f>IFERROR(IF(AND(ISNUMBER('Real results'!C66),ISNUMBER('Real results'!D66),ISNUMBER('Raw data'!O66),ISNUMBER('Raw data'!P66)),IF(SIGN('Raw data'!O66-'Raw data'!P66)=SIGN('Real results'!C66-'Real results'!D66),2+IF(AND('Raw data'!O66='Real results'!C66,'Raw data'!P66='Real results'!D66),2,0),0),0),0)</f>
        <v>0</v>
      </c>
      <c r="Q67" s="29">
        <f>IFERROR(IF(AND(ISNUMBER('Real results'!C66),ISNUMBER('Real results'!D66),ISNUMBER('Raw data'!Q66),ISNUMBER('Raw data'!R66)),IF(SIGN('Raw data'!Q66-'Raw data'!R66)=SIGN('Real results'!C66-'Real results'!D66),2+IF(AND('Raw data'!Q66='Real results'!C66,'Raw data'!R66='Real results'!D66),2,0),0),0),0)</f>
        <v>0</v>
      </c>
      <c r="S67" s="29">
        <f>IFERROR(IF(AND(ISNUMBER('Real results'!C66),ISNUMBER('Real results'!D66),ISNUMBER('Raw data'!S66),ISNUMBER('Raw data'!T66)),IF(SIGN('Raw data'!S66-'Raw data'!T66)=SIGN('Real results'!C66-'Real results'!D66),2+IF(AND('Raw data'!S66='Real results'!C66,'Raw data'!T66='Real results'!D66),2,0),0),0),0)</f>
        <v>0</v>
      </c>
      <c r="U67" s="29">
        <f>IFERROR(IF(AND(ISNUMBER('Real results'!C66),ISNUMBER('Real results'!D66),ISNUMBER('Raw data'!U66),ISNUMBER('Raw data'!V66)),IF(SIGN('Raw data'!U66-'Raw data'!V66)=SIGN('Real results'!C66-'Real results'!D66),2+IF(AND('Raw data'!U66='Real results'!C66,'Raw data'!V66='Real results'!D66),2,0),0),0),0)</f>
        <v>0</v>
      </c>
      <c r="W67" s="29">
        <f>IFERROR(IF(AND(ISNUMBER('Real results'!C66),ISNUMBER('Real results'!D66),ISNUMBER('Raw data'!W66),ISNUMBER('Raw data'!X66)),IF(SIGN('Raw data'!W66-'Raw data'!X66)=SIGN('Real results'!C66-'Real results'!D66),2+IF(AND('Raw data'!W66='Real results'!C66,'Raw data'!X66='Real results'!D66),2,0),0),0),0)</f>
        <v>0</v>
      </c>
      <c r="Y67" s="29">
        <f>IFERROR(IF(AND(ISNUMBER('Real results'!C66),ISNUMBER('Real results'!D66),ISNUMBER('Raw data'!Y66),ISNUMBER('Raw data'!Z66)),IF(SIGN('Raw data'!Y66-'Raw data'!Z66)=SIGN('Real results'!C66-'Real results'!D66),2+IF(AND('Raw data'!Y66='Real results'!C66,'Raw data'!Z66='Real results'!D66),2,0),0),0),0)</f>
        <v>0</v>
      </c>
      <c r="AA67" s="29">
        <f>IFERROR(IF(AND(ISNUMBER('Real results'!C66),ISNUMBER('Real results'!D66),ISNUMBER('Raw data'!AA66),ISNUMBER('Raw data'!AB66)),IF(SIGN('Raw data'!AA66-'Raw data'!AB66)=SIGN('Real results'!C66-'Real results'!D66),2+IF(AND('Raw data'!AA66='Real results'!C66,'Raw data'!AB66='Real results'!D66),2,0),0),0),0)</f>
        <v>0</v>
      </c>
      <c r="AC67" s="29">
        <f>IFERROR(IF(AND(ISNUMBER('Real results'!C66),ISNUMBER('Real results'!D66),ISNUMBER('Raw data'!AC66),ISNUMBER('Raw data'!AD66)),IF(SIGN('Raw data'!AC66-'Raw data'!AD66)=SIGN('Real results'!C66-'Real results'!D66),2+IF(AND('Raw data'!AC66='Real results'!C66,'Raw data'!AD66='Real results'!D66),2,0),0),0),0)</f>
        <v>0</v>
      </c>
      <c r="AE67" s="29">
        <f>IFERROR(IF(AND(ISNUMBER('Real results'!C66),ISNUMBER('Real results'!D66),ISNUMBER('Raw data'!AE66),ISNUMBER('Raw data'!AF66)),IF(SIGN('Raw data'!AE66-'Raw data'!AF66)=SIGN('Real results'!C66-'Real results'!D66),2+IF(AND('Raw data'!AE66='Real results'!C66,'Raw data'!AF66='Real results'!D66),2,0),0),0),0)</f>
        <v>0</v>
      </c>
      <c r="AG67" s="29">
        <f>IFERROR(IF(AND(ISNUMBER('Real results'!C66),ISNUMBER('Real results'!D66),ISNUMBER('Raw data'!AG66),ISNUMBER('Raw data'!AH66)),IF(SIGN('Raw data'!AG66-'Raw data'!AH66)=SIGN('Real results'!C66-'Real results'!D66),2+IF(AND('Raw data'!AG66='Real results'!C66,'Raw data'!AH66='Real results'!D66),2,0),0),0),0)</f>
        <v>0</v>
      </c>
      <c r="AI67" s="29">
        <f>IFERROR(IF(AND(ISNUMBER('Real results'!C66),ISNUMBER('Real results'!D66),ISNUMBER('Raw data'!AI66),ISNUMBER('Raw data'!AJ66)),IF(SIGN('Raw data'!AI66-'Raw data'!AJ66)=SIGN('Real results'!C66-'Real results'!D66),2+IF(AND('Raw data'!AI66='Real results'!C66,'Raw data'!AJ66='Real results'!D66),2,0),0),0),0)</f>
        <v>0</v>
      </c>
      <c r="AK67" s="29">
        <f>IFERROR(IF(AND(ISNUMBER('Real results'!C66),ISNUMBER('Real results'!D66),ISNUMBER('Raw data'!AK66),ISNUMBER('Raw data'!AL66)),IF(SIGN('Raw data'!AK66-'Raw data'!AL66)=SIGN('Real results'!C66-'Real results'!D66),2+IF(AND('Raw data'!AK66='Real results'!C66,'Raw data'!AL66='Real results'!D66),2,0),0),0),0)</f>
        <v>0</v>
      </c>
      <c r="AM67" s="29">
        <f>IFERROR(IF(AND(ISNUMBER('Real results'!C66),ISNUMBER('Real results'!D66),ISNUMBER('Raw data'!AM66),ISNUMBER('Raw data'!AN66)),IF(SIGN('Raw data'!AM66-'Raw data'!AN66)=SIGN('Real results'!C66-'Real results'!D66),2+IF(AND('Raw data'!AM66='Real results'!C66,'Raw data'!AN66='Real results'!D66),2,0),0),0),0)</f>
        <v>0</v>
      </c>
      <c r="AO67" s="29">
        <f>IFERROR(IF(AND(ISNUMBER('Real results'!C66),ISNUMBER('Real results'!D66),ISNUMBER('Raw data'!AO66),ISNUMBER('Raw data'!AP66)),IF(SIGN('Raw data'!AO66-'Raw data'!AP66)=SIGN('Real results'!C66-'Real results'!D66),2+IF(AND('Raw data'!AO66='Real results'!C66,'Raw data'!AP66='Real results'!D66),2,0),0),0),0)</f>
        <v>0</v>
      </c>
      <c r="AQ67" s="29">
        <f>IFERROR(IF(AND(ISNUMBER('Real results'!C66),ISNUMBER('Real results'!D66),ISNUMBER('Raw data'!AQ66),ISNUMBER('Raw data'!AR66)),IF(SIGN('Raw data'!AQ66-'Raw data'!AR66)=SIGN('Real results'!C66-'Real results'!D66),2+IF(AND('Raw data'!AQ66='Real results'!C66,'Raw data'!AR66='Real results'!D66),2,0),0),0),0)</f>
        <v>0</v>
      </c>
      <c r="AS67" s="29">
        <f>IFERROR(IF(AND(ISNUMBER('Real results'!C66),ISNUMBER('Real results'!D66),ISNUMBER('Raw data'!AS66),ISNUMBER('Raw data'!AT66)),IF(SIGN('Raw data'!AS66-'Raw data'!AT66)=SIGN('Real results'!C66-'Real results'!D66),2+IF(AND('Raw data'!AS66='Real results'!C66,'Raw data'!AT66='Real results'!D66),2,0),0),0),0)</f>
        <v>0</v>
      </c>
      <c r="AU67" s="29">
        <f>IFERROR(IF(AND(ISNUMBER('Real results'!C66),ISNUMBER('Real results'!D66),ISNUMBER('Raw data'!AU66),ISNUMBER('Raw data'!AV66)),IF(SIGN('Raw data'!AU66-'Raw data'!AV66)=SIGN('Real results'!C66-'Real results'!D66),2+IF(AND('Raw data'!AU66='Real results'!C66,'Raw data'!AV66='Real results'!D66),2,0),0),0),0)</f>
        <v>0</v>
      </c>
      <c r="AW67" s="29">
        <f>IFERROR(IF(AND(ISNUMBER('Real results'!C66),ISNUMBER('Real results'!D66),ISNUMBER('Raw data'!AW66),ISNUMBER('Raw data'!AX66)),IF(SIGN('Raw data'!AW66-'Raw data'!AX66)=SIGN('Real results'!C66-'Real results'!D66),2+IF(AND('Raw data'!AW66='Real results'!C66,'Raw data'!AX66='Real results'!D66),2,0),0),0),0)</f>
        <v>0</v>
      </c>
      <c r="AY67" s="29">
        <f>IFERROR(IF(AND(ISNUMBER('Real results'!C66),ISNUMBER('Real results'!D66),ISNUMBER('Raw data'!AY66),ISNUMBER('Raw data'!AZ66)),IF(SIGN('Raw data'!AY66-'Raw data'!AZ66)=SIGN('Real results'!C66-'Real results'!D66),2+IF(AND('Raw data'!AY66='Real results'!C66,'Raw data'!AZ66='Real results'!D66),2,0),0),0),0)</f>
        <v>0</v>
      </c>
      <c r="BA67" s="29">
        <f>IFERROR(IF(AND(ISNUMBER('Real results'!C66),ISNUMBER('Real results'!D66),ISNUMBER('Raw data'!BA66),ISNUMBER('Raw data'!BB66)),IF(SIGN('Raw data'!BA66-'Raw data'!BB66)=SIGN('Real results'!C66-'Real results'!D66),2+IF(AND('Raw data'!BA66='Real results'!C66,'Raw data'!BB66='Real results'!D66),2,0),0),0),0)</f>
        <v>0</v>
      </c>
      <c r="BC67" s="29">
        <f>IFERROR(IF(AND(ISNUMBER('Real results'!C66),ISNUMBER('Real results'!D66),ISNUMBER('Raw data'!BC66),ISNUMBER('Raw data'!BD66)),IF(SIGN('Raw data'!BC66-'Raw data'!BD66)=SIGN('Real results'!C66-'Real results'!D66),2+IF(AND('Raw data'!BC66='Real results'!C66,'Raw data'!BD66='Real results'!D66),2,0),0),0),0)</f>
        <v>0</v>
      </c>
      <c r="BE67" s="29">
        <f>IFERROR(IF(AND(ISNUMBER('Real results'!C66),ISNUMBER('Real results'!D66),ISNUMBER('Raw data'!BE66),ISNUMBER('Raw data'!BF66)),IF(SIGN('Raw data'!BE66-'Raw data'!BF66)=SIGN('Real results'!C66-'Real results'!D66),2+IF(AND('Raw data'!BE66='Real results'!C66,'Raw data'!BF66='Real results'!D66),2,0),0),0),0)</f>
        <v>0</v>
      </c>
      <c r="BG67" s="29">
        <f>IFERROR(IF(AND(ISNUMBER('Real results'!C66),ISNUMBER('Real results'!D66),ISNUMBER('Raw data'!BG66),ISNUMBER('Raw data'!BH66)),IF(SIGN('Raw data'!BG66-'Raw data'!BH66)=SIGN('Real results'!C66-'Real results'!D66),2+IF(AND('Raw data'!BG66='Real results'!C66,'Raw data'!BH66='Real results'!D66),2,0),0),0),0)</f>
        <v>0</v>
      </c>
      <c r="BI67" s="29">
        <f>IFERROR(IF(AND(ISNUMBER('Real results'!C66),ISNUMBER('Real results'!D66),ISNUMBER('Raw data'!BI66),ISNUMBER('Raw data'!BJ66)),IF(SIGN('Raw data'!BI66-'Raw data'!BJ66)=SIGN('Real results'!C66-'Real results'!D66),2+IF(AND('Raw data'!BI66='Real results'!C66,'Raw data'!BJ66='Real results'!D66),2,0),0),0),0)</f>
        <v>0</v>
      </c>
    </row>
    <row r="68" ht="18.0" customHeight="1">
      <c r="A68" s="1"/>
      <c r="B68" s="13" t="s">
        <v>87</v>
      </c>
      <c r="C68" s="29">
        <f>IFERROR(IF(AND(ISNUMBER('Real results'!C67),ISNUMBER('Real results'!D67),ISNUMBER('Raw data'!C67),ISNUMBER('Raw data'!D67)),IF(SIGN('Raw data'!C67-'Raw data'!D67)=SIGN('Real results'!C67-'Real results'!D67),2+IF(AND('Raw data'!C67='Real results'!C67,'Raw data'!D67='Real results'!D67),2,0),0),0),0)</f>
        <v>0</v>
      </c>
      <c r="E68" s="29">
        <f>IFERROR(IF(AND(ISNUMBER('Real results'!C67),ISNUMBER('Real results'!D67),ISNUMBER('Raw data'!E67),ISNUMBER('Raw data'!F67)),IF(SIGN('Raw data'!E67-'Raw data'!F67)=SIGN('Real results'!C67-'Real results'!D67),2+IF(AND('Raw data'!E67='Real results'!C67,'Raw data'!F67='Real results'!D67),2,0),0),0),0)</f>
        <v>0</v>
      </c>
      <c r="G68" s="29">
        <f>IFERROR(IF(AND(ISNUMBER('Real results'!C67),ISNUMBER('Real results'!D67),ISNUMBER('Raw data'!G67),ISNUMBER('Raw data'!H67)),IF(SIGN('Raw data'!G67-'Raw data'!H67)=SIGN('Real results'!C67-'Real results'!D67),2+IF(AND('Raw data'!G67='Real results'!C67,'Raw data'!H67='Real results'!D67),2,0),0),0),0)</f>
        <v>0</v>
      </c>
      <c r="I68" s="29">
        <f>IFERROR(IF(AND(ISNUMBER('Real results'!C67),ISNUMBER('Real results'!D67),ISNUMBER('Raw data'!I67),ISNUMBER('Raw data'!J67)),IF(SIGN('Raw data'!I67-'Raw data'!J67)=SIGN('Real results'!C67-'Real results'!D67),2+IF(AND('Raw data'!I67='Real results'!C67,'Raw data'!J67='Real results'!D67),2,0),0),0),0)</f>
        <v>0</v>
      </c>
      <c r="K68" s="29">
        <f>IFERROR(IF(AND(ISNUMBER('Real results'!C67),ISNUMBER('Real results'!D67),ISNUMBER('Raw data'!K67),ISNUMBER('Raw data'!L67)),IF(SIGN('Raw data'!K67-'Raw data'!L67)=SIGN('Real results'!C67-'Real results'!D67),2+IF(AND('Raw data'!K67='Real results'!C67,'Raw data'!L67='Real results'!D67),2,0),0),0),0)</f>
        <v>0</v>
      </c>
      <c r="M68" s="29">
        <f>IFERROR(IF(AND(ISNUMBER('Real results'!C67),ISNUMBER('Real results'!D67),ISNUMBER('Raw data'!M67),ISNUMBER('Raw data'!N67)),IF(SIGN('Raw data'!M67-'Raw data'!N67)=SIGN('Real results'!C67-'Real results'!D67),2+IF(AND('Raw data'!M67='Real results'!C67,'Raw data'!N67='Real results'!D67),2,0),0),0),0)</f>
        <v>0</v>
      </c>
      <c r="O68" s="29">
        <f>IFERROR(IF(AND(ISNUMBER('Real results'!C67),ISNUMBER('Real results'!D67),ISNUMBER('Raw data'!O67),ISNUMBER('Raw data'!P67)),IF(SIGN('Raw data'!O67-'Raw data'!P67)=SIGN('Real results'!C67-'Real results'!D67),2+IF(AND('Raw data'!O67='Real results'!C67,'Raw data'!P67='Real results'!D67),2,0),0),0),0)</f>
        <v>0</v>
      </c>
      <c r="Q68" s="29">
        <f>IFERROR(IF(AND(ISNUMBER('Real results'!C67),ISNUMBER('Real results'!D67),ISNUMBER('Raw data'!Q67),ISNUMBER('Raw data'!R67)),IF(SIGN('Raw data'!Q67-'Raw data'!R67)=SIGN('Real results'!C67-'Real results'!D67),2+IF(AND('Raw data'!Q67='Real results'!C67,'Raw data'!R67='Real results'!D67),2,0),0),0),0)</f>
        <v>0</v>
      </c>
      <c r="S68" s="29">
        <f>IFERROR(IF(AND(ISNUMBER('Real results'!C67),ISNUMBER('Real results'!D67),ISNUMBER('Raw data'!S67),ISNUMBER('Raw data'!T67)),IF(SIGN('Raw data'!S67-'Raw data'!T67)=SIGN('Real results'!C67-'Real results'!D67),2+IF(AND('Raw data'!S67='Real results'!C67,'Raw data'!T67='Real results'!D67),2,0),0),0),0)</f>
        <v>0</v>
      </c>
      <c r="U68" s="29">
        <f>IFERROR(IF(AND(ISNUMBER('Real results'!C67),ISNUMBER('Real results'!D67),ISNUMBER('Raw data'!U67),ISNUMBER('Raw data'!V67)),IF(SIGN('Raw data'!U67-'Raw data'!V67)=SIGN('Real results'!C67-'Real results'!D67),2+IF(AND('Raw data'!U67='Real results'!C67,'Raw data'!V67='Real results'!D67),2,0),0),0),0)</f>
        <v>0</v>
      </c>
      <c r="W68" s="29">
        <f>IFERROR(IF(AND(ISNUMBER('Real results'!C67),ISNUMBER('Real results'!D67),ISNUMBER('Raw data'!W67),ISNUMBER('Raw data'!X67)),IF(SIGN('Raw data'!W67-'Raw data'!X67)=SIGN('Real results'!C67-'Real results'!D67),2+IF(AND('Raw data'!W67='Real results'!C67,'Raw data'!X67='Real results'!D67),2,0),0),0),0)</f>
        <v>0</v>
      </c>
      <c r="Y68" s="29">
        <f>IFERROR(IF(AND(ISNUMBER('Real results'!C67),ISNUMBER('Real results'!D67),ISNUMBER('Raw data'!Y67),ISNUMBER('Raw data'!Z67)),IF(SIGN('Raw data'!Y67-'Raw data'!Z67)=SIGN('Real results'!C67-'Real results'!D67),2+IF(AND('Raw data'!Y67='Real results'!C67,'Raw data'!Z67='Real results'!D67),2,0),0),0),0)</f>
        <v>0</v>
      </c>
      <c r="AA68" s="29">
        <f>IFERROR(IF(AND(ISNUMBER('Real results'!C67),ISNUMBER('Real results'!D67),ISNUMBER('Raw data'!AA67),ISNUMBER('Raw data'!AB67)),IF(SIGN('Raw data'!AA67-'Raw data'!AB67)=SIGN('Real results'!C67-'Real results'!D67),2+IF(AND('Raw data'!AA67='Real results'!C67,'Raw data'!AB67='Real results'!D67),2,0),0),0),0)</f>
        <v>0</v>
      </c>
      <c r="AC68" s="29">
        <f>IFERROR(IF(AND(ISNUMBER('Real results'!C67),ISNUMBER('Real results'!D67),ISNUMBER('Raw data'!AC67),ISNUMBER('Raw data'!AD67)),IF(SIGN('Raw data'!AC67-'Raw data'!AD67)=SIGN('Real results'!C67-'Real results'!D67),2+IF(AND('Raw data'!AC67='Real results'!C67,'Raw data'!AD67='Real results'!D67),2,0),0),0),0)</f>
        <v>0</v>
      </c>
      <c r="AE68" s="29">
        <f>IFERROR(IF(AND(ISNUMBER('Real results'!C67),ISNUMBER('Real results'!D67),ISNUMBER('Raw data'!AE67),ISNUMBER('Raw data'!AF67)),IF(SIGN('Raw data'!AE67-'Raw data'!AF67)=SIGN('Real results'!C67-'Real results'!D67),2+IF(AND('Raw data'!AE67='Real results'!C67,'Raw data'!AF67='Real results'!D67),2,0),0),0),0)</f>
        <v>0</v>
      </c>
      <c r="AG68" s="29">
        <f>IFERROR(IF(AND(ISNUMBER('Real results'!C67),ISNUMBER('Real results'!D67),ISNUMBER('Raw data'!AG67),ISNUMBER('Raw data'!AH67)),IF(SIGN('Raw data'!AG67-'Raw data'!AH67)=SIGN('Real results'!C67-'Real results'!D67),2+IF(AND('Raw data'!AG67='Real results'!C67,'Raw data'!AH67='Real results'!D67),2,0),0),0),0)</f>
        <v>0</v>
      </c>
      <c r="AI68" s="29">
        <f>IFERROR(IF(AND(ISNUMBER('Real results'!C67),ISNUMBER('Real results'!D67),ISNUMBER('Raw data'!AI67),ISNUMBER('Raw data'!AJ67)),IF(SIGN('Raw data'!AI67-'Raw data'!AJ67)=SIGN('Real results'!C67-'Real results'!D67),2+IF(AND('Raw data'!AI67='Real results'!C67,'Raw data'!AJ67='Real results'!D67),2,0),0),0),0)</f>
        <v>0</v>
      </c>
      <c r="AK68" s="29">
        <f>IFERROR(IF(AND(ISNUMBER('Real results'!C67),ISNUMBER('Real results'!D67),ISNUMBER('Raw data'!AK67),ISNUMBER('Raw data'!AL67)),IF(SIGN('Raw data'!AK67-'Raw data'!AL67)=SIGN('Real results'!C67-'Real results'!D67),2+IF(AND('Raw data'!AK67='Real results'!C67,'Raw data'!AL67='Real results'!D67),2,0),0),0),0)</f>
        <v>0</v>
      </c>
      <c r="AM68" s="29">
        <f>IFERROR(IF(AND(ISNUMBER('Real results'!C67),ISNUMBER('Real results'!D67),ISNUMBER('Raw data'!AM67),ISNUMBER('Raw data'!AN67)),IF(SIGN('Raw data'!AM67-'Raw data'!AN67)=SIGN('Real results'!C67-'Real results'!D67),2+IF(AND('Raw data'!AM67='Real results'!C67,'Raw data'!AN67='Real results'!D67),2,0),0),0),0)</f>
        <v>0</v>
      </c>
      <c r="AO68" s="29">
        <f>IFERROR(IF(AND(ISNUMBER('Real results'!C67),ISNUMBER('Real results'!D67),ISNUMBER('Raw data'!AO67),ISNUMBER('Raw data'!AP67)),IF(SIGN('Raw data'!AO67-'Raw data'!AP67)=SIGN('Real results'!C67-'Real results'!D67),2+IF(AND('Raw data'!AO67='Real results'!C67,'Raw data'!AP67='Real results'!D67),2,0),0),0),0)</f>
        <v>0</v>
      </c>
      <c r="AQ68" s="29">
        <f>IFERROR(IF(AND(ISNUMBER('Real results'!C67),ISNUMBER('Real results'!D67),ISNUMBER('Raw data'!AQ67),ISNUMBER('Raw data'!AR67)),IF(SIGN('Raw data'!AQ67-'Raw data'!AR67)=SIGN('Real results'!C67-'Real results'!D67),2+IF(AND('Raw data'!AQ67='Real results'!C67,'Raw data'!AR67='Real results'!D67),2,0),0),0),0)</f>
        <v>0</v>
      </c>
      <c r="AS68" s="29">
        <f>IFERROR(IF(AND(ISNUMBER('Real results'!C67),ISNUMBER('Real results'!D67),ISNUMBER('Raw data'!AS67),ISNUMBER('Raw data'!AT67)),IF(SIGN('Raw data'!AS67-'Raw data'!AT67)=SIGN('Real results'!C67-'Real results'!D67),2+IF(AND('Raw data'!AS67='Real results'!C67,'Raw data'!AT67='Real results'!D67),2,0),0),0),0)</f>
        <v>0</v>
      </c>
      <c r="AU68" s="29">
        <f>IFERROR(IF(AND(ISNUMBER('Real results'!C67),ISNUMBER('Real results'!D67),ISNUMBER('Raw data'!AU67),ISNUMBER('Raw data'!AV67)),IF(SIGN('Raw data'!AU67-'Raw data'!AV67)=SIGN('Real results'!C67-'Real results'!D67),2+IF(AND('Raw data'!AU67='Real results'!C67,'Raw data'!AV67='Real results'!D67),2,0),0),0),0)</f>
        <v>0</v>
      </c>
      <c r="AW68" s="29">
        <f>IFERROR(IF(AND(ISNUMBER('Real results'!C67),ISNUMBER('Real results'!D67),ISNUMBER('Raw data'!AW67),ISNUMBER('Raw data'!AX67)),IF(SIGN('Raw data'!AW67-'Raw data'!AX67)=SIGN('Real results'!C67-'Real results'!D67),2+IF(AND('Raw data'!AW67='Real results'!C67,'Raw data'!AX67='Real results'!D67),2,0),0),0),0)</f>
        <v>0</v>
      </c>
      <c r="AY68" s="29">
        <f>IFERROR(IF(AND(ISNUMBER('Real results'!C67),ISNUMBER('Real results'!D67),ISNUMBER('Raw data'!AY67),ISNUMBER('Raw data'!AZ67)),IF(SIGN('Raw data'!AY67-'Raw data'!AZ67)=SIGN('Real results'!C67-'Real results'!D67),2+IF(AND('Raw data'!AY67='Real results'!C67,'Raw data'!AZ67='Real results'!D67),2,0),0),0),0)</f>
        <v>0</v>
      </c>
      <c r="BA68" s="29">
        <f>IFERROR(IF(AND(ISNUMBER('Real results'!C67),ISNUMBER('Real results'!D67),ISNUMBER('Raw data'!BA67),ISNUMBER('Raw data'!BB67)),IF(SIGN('Raw data'!BA67-'Raw data'!BB67)=SIGN('Real results'!C67-'Real results'!D67),2+IF(AND('Raw data'!BA67='Real results'!C67,'Raw data'!BB67='Real results'!D67),2,0),0),0),0)</f>
        <v>0</v>
      </c>
      <c r="BC68" s="29">
        <f>IFERROR(IF(AND(ISNUMBER('Real results'!C67),ISNUMBER('Real results'!D67),ISNUMBER('Raw data'!BC67),ISNUMBER('Raw data'!BD67)),IF(SIGN('Raw data'!BC67-'Raw data'!BD67)=SIGN('Real results'!C67-'Real results'!D67),2+IF(AND('Raw data'!BC67='Real results'!C67,'Raw data'!BD67='Real results'!D67),2,0),0),0),0)</f>
        <v>0</v>
      </c>
      <c r="BE68" s="29">
        <f>IFERROR(IF(AND(ISNUMBER('Real results'!C67),ISNUMBER('Real results'!D67),ISNUMBER('Raw data'!BE67),ISNUMBER('Raw data'!BF67)),IF(SIGN('Raw data'!BE67-'Raw data'!BF67)=SIGN('Real results'!C67-'Real results'!D67),2+IF(AND('Raw data'!BE67='Real results'!C67,'Raw data'!BF67='Real results'!D67),2,0),0),0),0)</f>
        <v>0</v>
      </c>
      <c r="BG68" s="29">
        <f>IFERROR(IF(AND(ISNUMBER('Real results'!C67),ISNUMBER('Real results'!D67),ISNUMBER('Raw data'!BG67),ISNUMBER('Raw data'!BH67)),IF(SIGN('Raw data'!BG67-'Raw data'!BH67)=SIGN('Real results'!C67-'Real results'!D67),2+IF(AND('Raw data'!BG67='Real results'!C67,'Raw data'!BH67='Real results'!D67),2,0),0),0),0)</f>
        <v>0</v>
      </c>
      <c r="BI68" s="29">
        <f>IFERROR(IF(AND(ISNUMBER('Real results'!C67),ISNUMBER('Real results'!D67),ISNUMBER('Raw data'!BI67),ISNUMBER('Raw data'!BJ67)),IF(SIGN('Raw data'!BI67-'Raw data'!BJ67)=SIGN('Real results'!C67-'Real results'!D67),2+IF(AND('Raw data'!BI67='Real results'!C67,'Raw data'!BJ67='Real results'!D67),2,0),0),0),0)</f>
        <v>0</v>
      </c>
    </row>
    <row r="69" ht="18.0" customHeight="1">
      <c r="A69" s="1"/>
      <c r="B69" s="13" t="s">
        <v>88</v>
      </c>
      <c r="C69" s="29">
        <f>IFERROR(IF(AND(ISNUMBER('Real results'!C68),ISNUMBER('Real results'!D68),ISNUMBER('Raw data'!C68),ISNUMBER('Raw data'!D68)),IF(SIGN('Raw data'!C68-'Raw data'!D68)=SIGN('Real results'!C68-'Real results'!D68),2+IF(AND('Raw data'!C68='Real results'!C68,'Raw data'!D68='Real results'!D68),2,0),0),0),0)</f>
        <v>0</v>
      </c>
      <c r="E69" s="29">
        <f>IFERROR(IF(AND(ISNUMBER('Real results'!C68),ISNUMBER('Real results'!D68),ISNUMBER('Raw data'!E68),ISNUMBER('Raw data'!F68)),IF(SIGN('Raw data'!E68-'Raw data'!F68)=SIGN('Real results'!C68-'Real results'!D68),2+IF(AND('Raw data'!E68='Real results'!C68,'Raw data'!F68='Real results'!D68),2,0),0),0),0)</f>
        <v>0</v>
      </c>
      <c r="G69" s="29">
        <f>IFERROR(IF(AND(ISNUMBER('Real results'!C68),ISNUMBER('Real results'!D68),ISNUMBER('Raw data'!G68),ISNUMBER('Raw data'!H68)),IF(SIGN('Raw data'!G68-'Raw data'!H68)=SIGN('Real results'!C68-'Real results'!D68),2+IF(AND('Raw data'!G68='Real results'!C68,'Raw data'!H68='Real results'!D68),2,0),0),0),0)</f>
        <v>0</v>
      </c>
      <c r="I69" s="29">
        <f>IFERROR(IF(AND(ISNUMBER('Real results'!C68),ISNUMBER('Real results'!D68),ISNUMBER('Raw data'!I68),ISNUMBER('Raw data'!J68)),IF(SIGN('Raw data'!I68-'Raw data'!J68)=SIGN('Real results'!C68-'Real results'!D68),2+IF(AND('Raw data'!I68='Real results'!C68,'Raw data'!J68='Real results'!D68),2,0),0),0),0)</f>
        <v>0</v>
      </c>
      <c r="K69" s="29">
        <f>IFERROR(IF(AND(ISNUMBER('Real results'!C68),ISNUMBER('Real results'!D68),ISNUMBER('Raw data'!K68),ISNUMBER('Raw data'!L68)),IF(SIGN('Raw data'!K68-'Raw data'!L68)=SIGN('Real results'!C68-'Real results'!D68),2+IF(AND('Raw data'!K68='Real results'!C68,'Raw data'!L68='Real results'!D68),2,0),0),0),0)</f>
        <v>0</v>
      </c>
      <c r="M69" s="29">
        <f>IFERROR(IF(AND(ISNUMBER('Real results'!C68),ISNUMBER('Real results'!D68),ISNUMBER('Raw data'!M68),ISNUMBER('Raw data'!N68)),IF(SIGN('Raw data'!M68-'Raw data'!N68)=SIGN('Real results'!C68-'Real results'!D68),2+IF(AND('Raw data'!M68='Real results'!C68,'Raw data'!N68='Real results'!D68),2,0),0),0),0)</f>
        <v>0</v>
      </c>
      <c r="O69" s="29">
        <f>IFERROR(IF(AND(ISNUMBER('Real results'!C68),ISNUMBER('Real results'!D68),ISNUMBER('Raw data'!O68),ISNUMBER('Raw data'!P68)),IF(SIGN('Raw data'!O68-'Raw data'!P68)=SIGN('Real results'!C68-'Real results'!D68),2+IF(AND('Raw data'!O68='Real results'!C68,'Raw data'!P68='Real results'!D68),2,0),0),0),0)</f>
        <v>0</v>
      </c>
      <c r="Q69" s="29">
        <f>IFERROR(IF(AND(ISNUMBER('Real results'!C68),ISNUMBER('Real results'!D68),ISNUMBER('Raw data'!Q68),ISNUMBER('Raw data'!R68)),IF(SIGN('Raw data'!Q68-'Raw data'!R68)=SIGN('Real results'!C68-'Real results'!D68),2+IF(AND('Raw data'!Q68='Real results'!C68,'Raw data'!R68='Real results'!D68),2,0),0),0),0)</f>
        <v>0</v>
      </c>
      <c r="S69" s="29">
        <f>IFERROR(IF(AND(ISNUMBER('Real results'!C68),ISNUMBER('Real results'!D68),ISNUMBER('Raw data'!S68),ISNUMBER('Raw data'!T68)),IF(SIGN('Raw data'!S68-'Raw data'!T68)=SIGN('Real results'!C68-'Real results'!D68),2+IF(AND('Raw data'!S68='Real results'!C68,'Raw data'!T68='Real results'!D68),2,0),0),0),0)</f>
        <v>0</v>
      </c>
      <c r="U69" s="29">
        <f>IFERROR(IF(AND(ISNUMBER('Real results'!C68),ISNUMBER('Real results'!D68),ISNUMBER('Raw data'!U68),ISNUMBER('Raw data'!V68)),IF(SIGN('Raw data'!U68-'Raw data'!V68)=SIGN('Real results'!C68-'Real results'!D68),2+IF(AND('Raw data'!U68='Real results'!C68,'Raw data'!V68='Real results'!D68),2,0),0),0),0)</f>
        <v>0</v>
      </c>
      <c r="W69" s="29">
        <f>IFERROR(IF(AND(ISNUMBER('Real results'!C68),ISNUMBER('Real results'!D68),ISNUMBER('Raw data'!W68),ISNUMBER('Raw data'!X68)),IF(SIGN('Raw data'!W68-'Raw data'!X68)=SIGN('Real results'!C68-'Real results'!D68),2+IF(AND('Raw data'!W68='Real results'!C68,'Raw data'!X68='Real results'!D68),2,0),0),0),0)</f>
        <v>0</v>
      </c>
      <c r="Y69" s="29">
        <f>IFERROR(IF(AND(ISNUMBER('Real results'!C68),ISNUMBER('Real results'!D68),ISNUMBER('Raw data'!Y68),ISNUMBER('Raw data'!Z68)),IF(SIGN('Raw data'!Y68-'Raw data'!Z68)=SIGN('Real results'!C68-'Real results'!D68),2+IF(AND('Raw data'!Y68='Real results'!C68,'Raw data'!Z68='Real results'!D68),2,0),0),0),0)</f>
        <v>0</v>
      </c>
      <c r="AA69" s="29">
        <f>IFERROR(IF(AND(ISNUMBER('Real results'!C68),ISNUMBER('Real results'!D68),ISNUMBER('Raw data'!AA68),ISNUMBER('Raw data'!AB68)),IF(SIGN('Raw data'!AA68-'Raw data'!AB68)=SIGN('Real results'!C68-'Real results'!D68),2+IF(AND('Raw data'!AA68='Real results'!C68,'Raw data'!AB68='Real results'!D68),2,0),0),0),0)</f>
        <v>0</v>
      </c>
      <c r="AC69" s="29">
        <f>IFERROR(IF(AND(ISNUMBER('Real results'!C68),ISNUMBER('Real results'!D68),ISNUMBER('Raw data'!AC68),ISNUMBER('Raw data'!AD68)),IF(SIGN('Raw data'!AC68-'Raw data'!AD68)=SIGN('Real results'!C68-'Real results'!D68),2+IF(AND('Raw data'!AC68='Real results'!C68,'Raw data'!AD68='Real results'!D68),2,0),0),0),0)</f>
        <v>0</v>
      </c>
      <c r="AE69" s="29">
        <f>IFERROR(IF(AND(ISNUMBER('Real results'!C68),ISNUMBER('Real results'!D68),ISNUMBER('Raw data'!AE68),ISNUMBER('Raw data'!AF68)),IF(SIGN('Raw data'!AE68-'Raw data'!AF68)=SIGN('Real results'!C68-'Real results'!D68),2+IF(AND('Raw data'!AE68='Real results'!C68,'Raw data'!AF68='Real results'!D68),2,0),0),0),0)</f>
        <v>0</v>
      </c>
      <c r="AG69" s="29">
        <f>IFERROR(IF(AND(ISNUMBER('Real results'!C68),ISNUMBER('Real results'!D68),ISNUMBER('Raw data'!AG68),ISNUMBER('Raw data'!AH68)),IF(SIGN('Raw data'!AG68-'Raw data'!AH68)=SIGN('Real results'!C68-'Real results'!D68),2+IF(AND('Raw data'!AG68='Real results'!C68,'Raw data'!AH68='Real results'!D68),2,0),0),0),0)</f>
        <v>0</v>
      </c>
      <c r="AI69" s="29">
        <f>IFERROR(IF(AND(ISNUMBER('Real results'!C68),ISNUMBER('Real results'!D68),ISNUMBER('Raw data'!AI68),ISNUMBER('Raw data'!AJ68)),IF(SIGN('Raw data'!AI68-'Raw data'!AJ68)=SIGN('Real results'!C68-'Real results'!D68),2+IF(AND('Raw data'!AI68='Real results'!C68,'Raw data'!AJ68='Real results'!D68),2,0),0),0),0)</f>
        <v>0</v>
      </c>
      <c r="AK69" s="29">
        <f>IFERROR(IF(AND(ISNUMBER('Real results'!C68),ISNUMBER('Real results'!D68),ISNUMBER('Raw data'!AK68),ISNUMBER('Raw data'!AL68)),IF(SIGN('Raw data'!AK68-'Raw data'!AL68)=SIGN('Real results'!C68-'Real results'!D68),2+IF(AND('Raw data'!AK68='Real results'!C68,'Raw data'!AL68='Real results'!D68),2,0),0),0),0)</f>
        <v>0</v>
      </c>
      <c r="AM69" s="29">
        <f>IFERROR(IF(AND(ISNUMBER('Real results'!C68),ISNUMBER('Real results'!D68),ISNUMBER('Raw data'!AM68),ISNUMBER('Raw data'!AN68)),IF(SIGN('Raw data'!AM68-'Raw data'!AN68)=SIGN('Real results'!C68-'Real results'!D68),2+IF(AND('Raw data'!AM68='Real results'!C68,'Raw data'!AN68='Real results'!D68),2,0),0),0),0)</f>
        <v>0</v>
      </c>
      <c r="AO69" s="29">
        <f>IFERROR(IF(AND(ISNUMBER('Real results'!C68),ISNUMBER('Real results'!D68),ISNUMBER('Raw data'!AO68),ISNUMBER('Raw data'!AP68)),IF(SIGN('Raw data'!AO68-'Raw data'!AP68)=SIGN('Real results'!C68-'Real results'!D68),2+IF(AND('Raw data'!AO68='Real results'!C68,'Raw data'!AP68='Real results'!D68),2,0),0),0),0)</f>
        <v>0</v>
      </c>
      <c r="AQ69" s="29">
        <f>IFERROR(IF(AND(ISNUMBER('Real results'!C68),ISNUMBER('Real results'!D68),ISNUMBER('Raw data'!AQ68),ISNUMBER('Raw data'!AR68)),IF(SIGN('Raw data'!AQ68-'Raw data'!AR68)=SIGN('Real results'!C68-'Real results'!D68),2+IF(AND('Raw data'!AQ68='Real results'!C68,'Raw data'!AR68='Real results'!D68),2,0),0),0),0)</f>
        <v>0</v>
      </c>
      <c r="AS69" s="29">
        <f>IFERROR(IF(AND(ISNUMBER('Real results'!C68),ISNUMBER('Real results'!D68),ISNUMBER('Raw data'!AS68),ISNUMBER('Raw data'!AT68)),IF(SIGN('Raw data'!AS68-'Raw data'!AT68)=SIGN('Real results'!C68-'Real results'!D68),2+IF(AND('Raw data'!AS68='Real results'!C68,'Raw data'!AT68='Real results'!D68),2,0),0),0),0)</f>
        <v>0</v>
      </c>
      <c r="AU69" s="29">
        <f>IFERROR(IF(AND(ISNUMBER('Real results'!C68),ISNUMBER('Real results'!D68),ISNUMBER('Raw data'!AU68),ISNUMBER('Raw data'!AV68)),IF(SIGN('Raw data'!AU68-'Raw data'!AV68)=SIGN('Real results'!C68-'Real results'!D68),2+IF(AND('Raw data'!AU68='Real results'!C68,'Raw data'!AV68='Real results'!D68),2,0),0),0),0)</f>
        <v>0</v>
      </c>
      <c r="AW69" s="29">
        <f>IFERROR(IF(AND(ISNUMBER('Real results'!C68),ISNUMBER('Real results'!D68),ISNUMBER('Raw data'!AW68),ISNUMBER('Raw data'!AX68)),IF(SIGN('Raw data'!AW68-'Raw data'!AX68)=SIGN('Real results'!C68-'Real results'!D68),2+IF(AND('Raw data'!AW68='Real results'!C68,'Raw data'!AX68='Real results'!D68),2,0),0),0),0)</f>
        <v>0</v>
      </c>
      <c r="AY69" s="29">
        <f>IFERROR(IF(AND(ISNUMBER('Real results'!C68),ISNUMBER('Real results'!D68),ISNUMBER('Raw data'!AY68),ISNUMBER('Raw data'!AZ68)),IF(SIGN('Raw data'!AY68-'Raw data'!AZ68)=SIGN('Real results'!C68-'Real results'!D68),2+IF(AND('Raw data'!AY68='Real results'!C68,'Raw data'!AZ68='Real results'!D68),2,0),0),0),0)</f>
        <v>0</v>
      </c>
      <c r="BA69" s="29">
        <f>IFERROR(IF(AND(ISNUMBER('Real results'!C68),ISNUMBER('Real results'!D68),ISNUMBER('Raw data'!BA68),ISNUMBER('Raw data'!BB68)),IF(SIGN('Raw data'!BA68-'Raw data'!BB68)=SIGN('Real results'!C68-'Real results'!D68),2+IF(AND('Raw data'!BA68='Real results'!C68,'Raw data'!BB68='Real results'!D68),2,0),0),0),0)</f>
        <v>0</v>
      </c>
      <c r="BC69" s="29">
        <f>IFERROR(IF(AND(ISNUMBER('Real results'!C68),ISNUMBER('Real results'!D68),ISNUMBER('Raw data'!BC68),ISNUMBER('Raw data'!BD68)),IF(SIGN('Raw data'!BC68-'Raw data'!BD68)=SIGN('Real results'!C68-'Real results'!D68),2+IF(AND('Raw data'!BC68='Real results'!C68,'Raw data'!BD68='Real results'!D68),2,0),0),0),0)</f>
        <v>0</v>
      </c>
      <c r="BE69" s="29">
        <f>IFERROR(IF(AND(ISNUMBER('Real results'!C68),ISNUMBER('Real results'!D68),ISNUMBER('Raw data'!BE68),ISNUMBER('Raw data'!BF68)),IF(SIGN('Raw data'!BE68-'Raw data'!BF68)=SIGN('Real results'!C68-'Real results'!D68),2+IF(AND('Raw data'!BE68='Real results'!C68,'Raw data'!BF68='Real results'!D68),2,0),0),0),0)</f>
        <v>0</v>
      </c>
      <c r="BG69" s="29">
        <f>IFERROR(IF(AND(ISNUMBER('Real results'!C68),ISNUMBER('Real results'!D68),ISNUMBER('Raw data'!BG68),ISNUMBER('Raw data'!BH68)),IF(SIGN('Raw data'!BG68-'Raw data'!BH68)=SIGN('Real results'!C68-'Real results'!D68),2+IF(AND('Raw data'!BG68='Real results'!C68,'Raw data'!BH68='Real results'!D68),2,0),0),0),0)</f>
        <v>0</v>
      </c>
      <c r="BI69" s="29">
        <f>IFERROR(IF(AND(ISNUMBER('Real results'!C68),ISNUMBER('Real results'!D68),ISNUMBER('Raw data'!BI68),ISNUMBER('Raw data'!BJ68)),IF(SIGN('Raw data'!BI68-'Raw data'!BJ68)=SIGN('Real results'!C68-'Real results'!D68),2+IF(AND('Raw data'!BI68='Real results'!C68,'Raw data'!BJ68='Real results'!D68),2,0),0),0),0)</f>
        <v>0</v>
      </c>
    </row>
    <row r="70" ht="18.0" customHeight="1">
      <c r="A70" s="1"/>
      <c r="B70" s="13" t="s">
        <v>89</v>
      </c>
      <c r="C70" s="29">
        <f>IFERROR(IF(AND(ISNUMBER('Real results'!C69),ISNUMBER('Real results'!D69),ISNUMBER('Raw data'!C69),ISNUMBER('Raw data'!D69)),IF(SIGN('Raw data'!C69-'Raw data'!D69)=SIGN('Real results'!C69-'Real results'!D69),2+IF(AND('Raw data'!C69='Real results'!C69,'Raw data'!D69='Real results'!D69),2,0),0),0),0)</f>
        <v>0</v>
      </c>
      <c r="E70" s="29">
        <f>IFERROR(IF(AND(ISNUMBER('Real results'!C69),ISNUMBER('Real results'!D69),ISNUMBER('Raw data'!E69),ISNUMBER('Raw data'!F69)),IF(SIGN('Raw data'!E69-'Raw data'!F69)=SIGN('Real results'!C69-'Real results'!D69),2+IF(AND('Raw data'!E69='Real results'!C69,'Raw data'!F69='Real results'!D69),2,0),0),0),0)</f>
        <v>0</v>
      </c>
      <c r="G70" s="29">
        <f>IFERROR(IF(AND(ISNUMBER('Real results'!C69),ISNUMBER('Real results'!D69),ISNUMBER('Raw data'!G69),ISNUMBER('Raw data'!H69)),IF(SIGN('Raw data'!G69-'Raw data'!H69)=SIGN('Real results'!C69-'Real results'!D69),2+IF(AND('Raw data'!G69='Real results'!C69,'Raw data'!H69='Real results'!D69),2,0),0),0),0)</f>
        <v>0</v>
      </c>
      <c r="I70" s="29">
        <f>IFERROR(IF(AND(ISNUMBER('Real results'!C69),ISNUMBER('Real results'!D69),ISNUMBER('Raw data'!I69),ISNUMBER('Raw data'!J69)),IF(SIGN('Raw data'!I69-'Raw data'!J69)=SIGN('Real results'!C69-'Real results'!D69),2+IF(AND('Raw data'!I69='Real results'!C69,'Raw data'!J69='Real results'!D69),2,0),0),0),0)</f>
        <v>0</v>
      </c>
      <c r="K70" s="29">
        <f>IFERROR(IF(AND(ISNUMBER('Real results'!C69),ISNUMBER('Real results'!D69),ISNUMBER('Raw data'!K69),ISNUMBER('Raw data'!L69)),IF(SIGN('Raw data'!K69-'Raw data'!L69)=SIGN('Real results'!C69-'Real results'!D69),2+IF(AND('Raw data'!K69='Real results'!C69,'Raw data'!L69='Real results'!D69),2,0),0),0),0)</f>
        <v>0</v>
      </c>
      <c r="M70" s="29">
        <f>IFERROR(IF(AND(ISNUMBER('Real results'!C69),ISNUMBER('Real results'!D69),ISNUMBER('Raw data'!M69),ISNUMBER('Raw data'!N69)),IF(SIGN('Raw data'!M69-'Raw data'!N69)=SIGN('Real results'!C69-'Real results'!D69),2+IF(AND('Raw data'!M69='Real results'!C69,'Raw data'!N69='Real results'!D69),2,0),0),0),0)</f>
        <v>0</v>
      </c>
      <c r="O70" s="29">
        <f>IFERROR(IF(AND(ISNUMBER('Real results'!C69),ISNUMBER('Real results'!D69),ISNUMBER('Raw data'!O69),ISNUMBER('Raw data'!P69)),IF(SIGN('Raw data'!O69-'Raw data'!P69)=SIGN('Real results'!C69-'Real results'!D69),2+IF(AND('Raw data'!O69='Real results'!C69,'Raw data'!P69='Real results'!D69),2,0),0),0),0)</f>
        <v>0</v>
      </c>
      <c r="Q70" s="29">
        <f>IFERROR(IF(AND(ISNUMBER('Real results'!C69),ISNUMBER('Real results'!D69),ISNUMBER('Raw data'!Q69),ISNUMBER('Raw data'!R69)),IF(SIGN('Raw data'!Q69-'Raw data'!R69)=SIGN('Real results'!C69-'Real results'!D69),2+IF(AND('Raw data'!Q69='Real results'!C69,'Raw data'!R69='Real results'!D69),2,0),0),0),0)</f>
        <v>0</v>
      </c>
      <c r="S70" s="29">
        <f>IFERROR(IF(AND(ISNUMBER('Real results'!C69),ISNUMBER('Real results'!D69),ISNUMBER('Raw data'!S69),ISNUMBER('Raw data'!T69)),IF(SIGN('Raw data'!S69-'Raw data'!T69)=SIGN('Real results'!C69-'Real results'!D69),2+IF(AND('Raw data'!S69='Real results'!C69,'Raw data'!T69='Real results'!D69),2,0),0),0),0)</f>
        <v>0</v>
      </c>
      <c r="U70" s="29">
        <f>IFERROR(IF(AND(ISNUMBER('Real results'!C69),ISNUMBER('Real results'!D69),ISNUMBER('Raw data'!U69),ISNUMBER('Raw data'!V69)),IF(SIGN('Raw data'!U69-'Raw data'!V69)=SIGN('Real results'!C69-'Real results'!D69),2+IF(AND('Raw data'!U69='Real results'!C69,'Raw data'!V69='Real results'!D69),2,0),0),0),0)</f>
        <v>0</v>
      </c>
      <c r="W70" s="29">
        <f>IFERROR(IF(AND(ISNUMBER('Real results'!C69),ISNUMBER('Real results'!D69),ISNUMBER('Raw data'!W69),ISNUMBER('Raw data'!X69)),IF(SIGN('Raw data'!W69-'Raw data'!X69)=SIGN('Real results'!C69-'Real results'!D69),2+IF(AND('Raw data'!W69='Real results'!C69,'Raw data'!X69='Real results'!D69),2,0),0),0),0)</f>
        <v>0</v>
      </c>
      <c r="Y70" s="29">
        <f>IFERROR(IF(AND(ISNUMBER('Real results'!C69),ISNUMBER('Real results'!D69),ISNUMBER('Raw data'!Y69),ISNUMBER('Raw data'!Z69)),IF(SIGN('Raw data'!Y69-'Raw data'!Z69)=SIGN('Real results'!C69-'Real results'!D69),2+IF(AND('Raw data'!Y69='Real results'!C69,'Raw data'!Z69='Real results'!D69),2,0),0),0),0)</f>
        <v>0</v>
      </c>
      <c r="AA70" s="29">
        <f>IFERROR(IF(AND(ISNUMBER('Real results'!C69),ISNUMBER('Real results'!D69),ISNUMBER('Raw data'!AA69),ISNUMBER('Raw data'!AB69)),IF(SIGN('Raw data'!AA69-'Raw data'!AB69)=SIGN('Real results'!C69-'Real results'!D69),2+IF(AND('Raw data'!AA69='Real results'!C69,'Raw data'!AB69='Real results'!D69),2,0),0),0),0)</f>
        <v>0</v>
      </c>
      <c r="AC70" s="29">
        <f>IFERROR(IF(AND(ISNUMBER('Real results'!C69),ISNUMBER('Real results'!D69),ISNUMBER('Raw data'!AC69),ISNUMBER('Raw data'!AD69)),IF(SIGN('Raw data'!AC69-'Raw data'!AD69)=SIGN('Real results'!C69-'Real results'!D69),2+IF(AND('Raw data'!AC69='Real results'!C69,'Raw data'!AD69='Real results'!D69),2,0),0),0),0)</f>
        <v>0</v>
      </c>
      <c r="AE70" s="29">
        <f>IFERROR(IF(AND(ISNUMBER('Real results'!C69),ISNUMBER('Real results'!D69),ISNUMBER('Raw data'!AE69),ISNUMBER('Raw data'!AF69)),IF(SIGN('Raw data'!AE69-'Raw data'!AF69)=SIGN('Real results'!C69-'Real results'!D69),2+IF(AND('Raw data'!AE69='Real results'!C69,'Raw data'!AF69='Real results'!D69),2,0),0),0),0)</f>
        <v>0</v>
      </c>
      <c r="AG70" s="29">
        <f>IFERROR(IF(AND(ISNUMBER('Real results'!C69),ISNUMBER('Real results'!D69),ISNUMBER('Raw data'!AG69),ISNUMBER('Raw data'!AH69)),IF(SIGN('Raw data'!AG69-'Raw data'!AH69)=SIGN('Real results'!C69-'Real results'!D69),2+IF(AND('Raw data'!AG69='Real results'!C69,'Raw data'!AH69='Real results'!D69),2,0),0),0),0)</f>
        <v>0</v>
      </c>
      <c r="AI70" s="29">
        <f>IFERROR(IF(AND(ISNUMBER('Real results'!C69),ISNUMBER('Real results'!D69),ISNUMBER('Raw data'!AI69),ISNUMBER('Raw data'!AJ69)),IF(SIGN('Raw data'!AI69-'Raw data'!AJ69)=SIGN('Real results'!C69-'Real results'!D69),2+IF(AND('Raw data'!AI69='Real results'!C69,'Raw data'!AJ69='Real results'!D69),2,0),0),0),0)</f>
        <v>0</v>
      </c>
      <c r="AK70" s="29">
        <f>IFERROR(IF(AND(ISNUMBER('Real results'!C69),ISNUMBER('Real results'!D69),ISNUMBER('Raw data'!AK69),ISNUMBER('Raw data'!AL69)),IF(SIGN('Raw data'!AK69-'Raw data'!AL69)=SIGN('Real results'!C69-'Real results'!D69),2+IF(AND('Raw data'!AK69='Real results'!C69,'Raw data'!AL69='Real results'!D69),2,0),0),0),0)</f>
        <v>0</v>
      </c>
      <c r="AM70" s="29">
        <f>IFERROR(IF(AND(ISNUMBER('Real results'!C69),ISNUMBER('Real results'!D69),ISNUMBER('Raw data'!AM69),ISNUMBER('Raw data'!AN69)),IF(SIGN('Raw data'!AM69-'Raw data'!AN69)=SIGN('Real results'!C69-'Real results'!D69),2+IF(AND('Raw data'!AM69='Real results'!C69,'Raw data'!AN69='Real results'!D69),2,0),0),0),0)</f>
        <v>0</v>
      </c>
      <c r="AO70" s="29">
        <f>IFERROR(IF(AND(ISNUMBER('Real results'!C69),ISNUMBER('Real results'!D69),ISNUMBER('Raw data'!AO69),ISNUMBER('Raw data'!AP69)),IF(SIGN('Raw data'!AO69-'Raw data'!AP69)=SIGN('Real results'!C69-'Real results'!D69),2+IF(AND('Raw data'!AO69='Real results'!C69,'Raw data'!AP69='Real results'!D69),2,0),0),0),0)</f>
        <v>0</v>
      </c>
      <c r="AQ70" s="29">
        <f>IFERROR(IF(AND(ISNUMBER('Real results'!C69),ISNUMBER('Real results'!D69),ISNUMBER('Raw data'!AQ69),ISNUMBER('Raw data'!AR69)),IF(SIGN('Raw data'!AQ69-'Raw data'!AR69)=SIGN('Real results'!C69-'Real results'!D69),2+IF(AND('Raw data'!AQ69='Real results'!C69,'Raw data'!AR69='Real results'!D69),2,0),0),0),0)</f>
        <v>0</v>
      </c>
      <c r="AS70" s="29">
        <f>IFERROR(IF(AND(ISNUMBER('Real results'!C69),ISNUMBER('Real results'!D69),ISNUMBER('Raw data'!AS69),ISNUMBER('Raw data'!AT69)),IF(SIGN('Raw data'!AS69-'Raw data'!AT69)=SIGN('Real results'!C69-'Real results'!D69),2+IF(AND('Raw data'!AS69='Real results'!C69,'Raw data'!AT69='Real results'!D69),2,0),0),0),0)</f>
        <v>0</v>
      </c>
      <c r="AU70" s="29">
        <f>IFERROR(IF(AND(ISNUMBER('Real results'!C69),ISNUMBER('Real results'!D69),ISNUMBER('Raw data'!AU69),ISNUMBER('Raw data'!AV69)),IF(SIGN('Raw data'!AU69-'Raw data'!AV69)=SIGN('Real results'!C69-'Real results'!D69),2+IF(AND('Raw data'!AU69='Real results'!C69,'Raw data'!AV69='Real results'!D69),2,0),0),0),0)</f>
        <v>0</v>
      </c>
      <c r="AW70" s="29">
        <f>IFERROR(IF(AND(ISNUMBER('Real results'!C69),ISNUMBER('Real results'!D69),ISNUMBER('Raw data'!AW69),ISNUMBER('Raw data'!AX69)),IF(SIGN('Raw data'!AW69-'Raw data'!AX69)=SIGN('Real results'!C69-'Real results'!D69),2+IF(AND('Raw data'!AW69='Real results'!C69,'Raw data'!AX69='Real results'!D69),2,0),0),0),0)</f>
        <v>0</v>
      </c>
      <c r="AY70" s="29">
        <f>IFERROR(IF(AND(ISNUMBER('Real results'!C69),ISNUMBER('Real results'!D69),ISNUMBER('Raw data'!AY69),ISNUMBER('Raw data'!AZ69)),IF(SIGN('Raw data'!AY69-'Raw data'!AZ69)=SIGN('Real results'!C69-'Real results'!D69),2+IF(AND('Raw data'!AY69='Real results'!C69,'Raw data'!AZ69='Real results'!D69),2,0),0),0),0)</f>
        <v>0</v>
      </c>
      <c r="BA70" s="29">
        <f>IFERROR(IF(AND(ISNUMBER('Real results'!C69),ISNUMBER('Real results'!D69),ISNUMBER('Raw data'!BA69),ISNUMBER('Raw data'!BB69)),IF(SIGN('Raw data'!BA69-'Raw data'!BB69)=SIGN('Real results'!C69-'Real results'!D69),2+IF(AND('Raw data'!BA69='Real results'!C69,'Raw data'!BB69='Real results'!D69),2,0),0),0),0)</f>
        <v>0</v>
      </c>
      <c r="BC70" s="29">
        <f>IFERROR(IF(AND(ISNUMBER('Real results'!C69),ISNUMBER('Real results'!D69),ISNUMBER('Raw data'!BC69),ISNUMBER('Raw data'!BD69)),IF(SIGN('Raw data'!BC69-'Raw data'!BD69)=SIGN('Real results'!C69-'Real results'!D69),2+IF(AND('Raw data'!BC69='Real results'!C69,'Raw data'!BD69='Real results'!D69),2,0),0),0),0)</f>
        <v>0</v>
      </c>
      <c r="BE70" s="29">
        <f>IFERROR(IF(AND(ISNUMBER('Real results'!C69),ISNUMBER('Real results'!D69),ISNUMBER('Raw data'!BE69),ISNUMBER('Raw data'!BF69)),IF(SIGN('Raw data'!BE69-'Raw data'!BF69)=SIGN('Real results'!C69-'Real results'!D69),2+IF(AND('Raw data'!BE69='Real results'!C69,'Raw data'!BF69='Real results'!D69),2,0),0),0),0)</f>
        <v>0</v>
      </c>
      <c r="BG70" s="29">
        <f>IFERROR(IF(AND(ISNUMBER('Real results'!C69),ISNUMBER('Real results'!D69),ISNUMBER('Raw data'!BG69),ISNUMBER('Raw data'!BH69)),IF(SIGN('Raw data'!BG69-'Raw data'!BH69)=SIGN('Real results'!C69-'Real results'!D69),2+IF(AND('Raw data'!BG69='Real results'!C69,'Raw data'!BH69='Real results'!D69),2,0),0),0),0)</f>
        <v>0</v>
      </c>
      <c r="BI70" s="29">
        <f>IFERROR(IF(AND(ISNUMBER('Real results'!C69),ISNUMBER('Real results'!D69),ISNUMBER('Raw data'!BI69),ISNUMBER('Raw data'!BJ69)),IF(SIGN('Raw data'!BI69-'Raw data'!BJ69)=SIGN('Real results'!C69-'Real results'!D69),2+IF(AND('Raw data'!BI69='Real results'!C69,'Raw data'!BJ69='Real results'!D69),2,0),0),0),0)</f>
        <v>0</v>
      </c>
    </row>
    <row r="71" ht="18.0" customHeight="1">
      <c r="A71" s="1"/>
      <c r="B71" s="13" t="s">
        <v>90</v>
      </c>
      <c r="C71" s="29">
        <f>IFERROR(IF(AND(ISNUMBER('Real results'!C70),ISNUMBER('Real results'!D70),ISNUMBER('Raw data'!C70),ISNUMBER('Raw data'!D70)),IF(SIGN('Raw data'!C70-'Raw data'!D70)=SIGN('Real results'!C70-'Real results'!D70),2+IF(AND('Raw data'!C70='Real results'!C70,'Raw data'!D70='Real results'!D70),2,0),0),0),0)</f>
        <v>0</v>
      </c>
      <c r="E71" s="29">
        <f>IFERROR(IF(AND(ISNUMBER('Real results'!C70),ISNUMBER('Real results'!D70),ISNUMBER('Raw data'!E70),ISNUMBER('Raw data'!F70)),IF(SIGN('Raw data'!E70-'Raw data'!F70)=SIGN('Real results'!C70-'Real results'!D70),2+IF(AND('Raw data'!E70='Real results'!C70,'Raw data'!F70='Real results'!D70),2,0),0),0),0)</f>
        <v>0</v>
      </c>
      <c r="G71" s="29">
        <f>IFERROR(IF(AND(ISNUMBER('Real results'!C70),ISNUMBER('Real results'!D70),ISNUMBER('Raw data'!G70),ISNUMBER('Raw data'!H70)),IF(SIGN('Raw data'!G70-'Raw data'!H70)=SIGN('Real results'!C70-'Real results'!D70),2+IF(AND('Raw data'!G70='Real results'!C70,'Raw data'!H70='Real results'!D70),2,0),0),0),0)</f>
        <v>0</v>
      </c>
      <c r="I71" s="29">
        <f>IFERROR(IF(AND(ISNUMBER('Real results'!C70),ISNUMBER('Real results'!D70),ISNUMBER('Raw data'!I70),ISNUMBER('Raw data'!J70)),IF(SIGN('Raw data'!I70-'Raw data'!J70)=SIGN('Real results'!C70-'Real results'!D70),2+IF(AND('Raw data'!I70='Real results'!C70,'Raw data'!J70='Real results'!D70),2,0),0),0),0)</f>
        <v>0</v>
      </c>
      <c r="K71" s="29">
        <f>IFERROR(IF(AND(ISNUMBER('Real results'!C70),ISNUMBER('Real results'!D70),ISNUMBER('Raw data'!K70),ISNUMBER('Raw data'!L70)),IF(SIGN('Raw data'!K70-'Raw data'!L70)=SIGN('Real results'!C70-'Real results'!D70),2+IF(AND('Raw data'!K70='Real results'!C70,'Raw data'!L70='Real results'!D70),2,0),0),0),0)</f>
        <v>0</v>
      </c>
      <c r="M71" s="29">
        <f>IFERROR(IF(AND(ISNUMBER('Real results'!C70),ISNUMBER('Real results'!D70),ISNUMBER('Raw data'!M70),ISNUMBER('Raw data'!N70)),IF(SIGN('Raw data'!M70-'Raw data'!N70)=SIGN('Real results'!C70-'Real results'!D70),2+IF(AND('Raw data'!M70='Real results'!C70,'Raw data'!N70='Real results'!D70),2,0),0),0),0)</f>
        <v>0</v>
      </c>
      <c r="O71" s="29">
        <f>IFERROR(IF(AND(ISNUMBER('Real results'!C70),ISNUMBER('Real results'!D70),ISNUMBER('Raw data'!O70),ISNUMBER('Raw data'!P70)),IF(SIGN('Raw data'!O70-'Raw data'!P70)=SIGN('Real results'!C70-'Real results'!D70),2+IF(AND('Raw data'!O70='Real results'!C70,'Raw data'!P70='Real results'!D70),2,0),0),0),0)</f>
        <v>0</v>
      </c>
      <c r="Q71" s="29">
        <f>IFERROR(IF(AND(ISNUMBER('Real results'!C70),ISNUMBER('Real results'!D70),ISNUMBER('Raw data'!Q70),ISNUMBER('Raw data'!R70)),IF(SIGN('Raw data'!Q70-'Raw data'!R70)=SIGN('Real results'!C70-'Real results'!D70),2+IF(AND('Raw data'!Q70='Real results'!C70,'Raw data'!R70='Real results'!D70),2,0),0),0),0)</f>
        <v>0</v>
      </c>
      <c r="S71" s="29">
        <f>IFERROR(IF(AND(ISNUMBER('Real results'!C70),ISNUMBER('Real results'!D70),ISNUMBER('Raw data'!S70),ISNUMBER('Raw data'!T70)),IF(SIGN('Raw data'!S70-'Raw data'!T70)=SIGN('Real results'!C70-'Real results'!D70),2+IF(AND('Raw data'!S70='Real results'!C70,'Raw data'!T70='Real results'!D70),2,0),0),0),0)</f>
        <v>0</v>
      </c>
      <c r="U71" s="29">
        <f>IFERROR(IF(AND(ISNUMBER('Real results'!C70),ISNUMBER('Real results'!D70),ISNUMBER('Raw data'!U70),ISNUMBER('Raw data'!V70)),IF(SIGN('Raw data'!U70-'Raw data'!V70)=SIGN('Real results'!C70-'Real results'!D70),2+IF(AND('Raw data'!U70='Real results'!C70,'Raw data'!V70='Real results'!D70),2,0),0),0),0)</f>
        <v>0</v>
      </c>
      <c r="W71" s="29">
        <f>IFERROR(IF(AND(ISNUMBER('Real results'!C70),ISNUMBER('Real results'!D70),ISNUMBER('Raw data'!W70),ISNUMBER('Raw data'!X70)),IF(SIGN('Raw data'!W70-'Raw data'!X70)=SIGN('Real results'!C70-'Real results'!D70),2+IF(AND('Raw data'!W70='Real results'!C70,'Raw data'!X70='Real results'!D70),2,0),0),0),0)</f>
        <v>0</v>
      </c>
      <c r="Y71" s="29">
        <f>IFERROR(IF(AND(ISNUMBER('Real results'!C70),ISNUMBER('Real results'!D70),ISNUMBER('Raw data'!Y70),ISNUMBER('Raw data'!Z70)),IF(SIGN('Raw data'!Y70-'Raw data'!Z70)=SIGN('Real results'!C70-'Real results'!D70),2+IF(AND('Raw data'!Y70='Real results'!C70,'Raw data'!Z70='Real results'!D70),2,0),0),0),0)</f>
        <v>0</v>
      </c>
      <c r="AA71" s="29">
        <f>IFERROR(IF(AND(ISNUMBER('Real results'!C70),ISNUMBER('Real results'!D70),ISNUMBER('Raw data'!AA70),ISNUMBER('Raw data'!AB70)),IF(SIGN('Raw data'!AA70-'Raw data'!AB70)=SIGN('Real results'!C70-'Real results'!D70),2+IF(AND('Raw data'!AA70='Real results'!C70,'Raw data'!AB70='Real results'!D70),2,0),0),0),0)</f>
        <v>0</v>
      </c>
      <c r="AC71" s="29">
        <f>IFERROR(IF(AND(ISNUMBER('Real results'!C70),ISNUMBER('Real results'!D70),ISNUMBER('Raw data'!AC70),ISNUMBER('Raw data'!AD70)),IF(SIGN('Raw data'!AC70-'Raw data'!AD70)=SIGN('Real results'!C70-'Real results'!D70),2+IF(AND('Raw data'!AC70='Real results'!C70,'Raw data'!AD70='Real results'!D70),2,0),0),0),0)</f>
        <v>0</v>
      </c>
      <c r="AE71" s="29">
        <f>IFERROR(IF(AND(ISNUMBER('Real results'!C70),ISNUMBER('Real results'!D70),ISNUMBER('Raw data'!AE70),ISNUMBER('Raw data'!AF70)),IF(SIGN('Raw data'!AE70-'Raw data'!AF70)=SIGN('Real results'!C70-'Real results'!D70),2+IF(AND('Raw data'!AE70='Real results'!C70,'Raw data'!AF70='Real results'!D70),2,0),0),0),0)</f>
        <v>0</v>
      </c>
      <c r="AG71" s="29">
        <f>IFERROR(IF(AND(ISNUMBER('Real results'!C70),ISNUMBER('Real results'!D70),ISNUMBER('Raw data'!AG70),ISNUMBER('Raw data'!AH70)),IF(SIGN('Raw data'!AG70-'Raw data'!AH70)=SIGN('Real results'!C70-'Real results'!D70),2+IF(AND('Raw data'!AG70='Real results'!C70,'Raw data'!AH70='Real results'!D70),2,0),0),0),0)</f>
        <v>0</v>
      </c>
      <c r="AI71" s="29">
        <f>IFERROR(IF(AND(ISNUMBER('Real results'!C70),ISNUMBER('Real results'!D70),ISNUMBER('Raw data'!AI70),ISNUMBER('Raw data'!AJ70)),IF(SIGN('Raw data'!AI70-'Raw data'!AJ70)=SIGN('Real results'!C70-'Real results'!D70),2+IF(AND('Raw data'!AI70='Real results'!C70,'Raw data'!AJ70='Real results'!D70),2,0),0),0),0)</f>
        <v>0</v>
      </c>
      <c r="AK71" s="29">
        <f>IFERROR(IF(AND(ISNUMBER('Real results'!C70),ISNUMBER('Real results'!D70),ISNUMBER('Raw data'!AK70),ISNUMBER('Raw data'!AL70)),IF(SIGN('Raw data'!AK70-'Raw data'!AL70)=SIGN('Real results'!C70-'Real results'!D70),2+IF(AND('Raw data'!AK70='Real results'!C70,'Raw data'!AL70='Real results'!D70),2,0),0),0),0)</f>
        <v>0</v>
      </c>
      <c r="AM71" s="29">
        <f>IFERROR(IF(AND(ISNUMBER('Real results'!C70),ISNUMBER('Real results'!D70),ISNUMBER('Raw data'!AM70),ISNUMBER('Raw data'!AN70)),IF(SIGN('Raw data'!AM70-'Raw data'!AN70)=SIGN('Real results'!C70-'Real results'!D70),2+IF(AND('Raw data'!AM70='Real results'!C70,'Raw data'!AN70='Real results'!D70),2,0),0),0),0)</f>
        <v>0</v>
      </c>
      <c r="AO71" s="29">
        <f>IFERROR(IF(AND(ISNUMBER('Real results'!C70),ISNUMBER('Real results'!D70),ISNUMBER('Raw data'!AO70),ISNUMBER('Raw data'!AP70)),IF(SIGN('Raw data'!AO70-'Raw data'!AP70)=SIGN('Real results'!C70-'Real results'!D70),2+IF(AND('Raw data'!AO70='Real results'!C70,'Raw data'!AP70='Real results'!D70),2,0),0),0),0)</f>
        <v>0</v>
      </c>
      <c r="AQ71" s="29">
        <f>IFERROR(IF(AND(ISNUMBER('Real results'!C70),ISNUMBER('Real results'!D70),ISNUMBER('Raw data'!AQ70),ISNUMBER('Raw data'!AR70)),IF(SIGN('Raw data'!AQ70-'Raw data'!AR70)=SIGN('Real results'!C70-'Real results'!D70),2+IF(AND('Raw data'!AQ70='Real results'!C70,'Raw data'!AR70='Real results'!D70),2,0),0),0),0)</f>
        <v>0</v>
      </c>
      <c r="AS71" s="29">
        <f>IFERROR(IF(AND(ISNUMBER('Real results'!C70),ISNUMBER('Real results'!D70),ISNUMBER('Raw data'!AS70),ISNUMBER('Raw data'!AT70)),IF(SIGN('Raw data'!AS70-'Raw data'!AT70)=SIGN('Real results'!C70-'Real results'!D70),2+IF(AND('Raw data'!AS70='Real results'!C70,'Raw data'!AT70='Real results'!D70),2,0),0),0),0)</f>
        <v>0</v>
      </c>
      <c r="AU71" s="29">
        <f>IFERROR(IF(AND(ISNUMBER('Real results'!C70),ISNUMBER('Real results'!D70),ISNUMBER('Raw data'!AU70),ISNUMBER('Raw data'!AV70)),IF(SIGN('Raw data'!AU70-'Raw data'!AV70)=SIGN('Real results'!C70-'Real results'!D70),2+IF(AND('Raw data'!AU70='Real results'!C70,'Raw data'!AV70='Real results'!D70),2,0),0),0),0)</f>
        <v>0</v>
      </c>
      <c r="AW71" s="29">
        <f>IFERROR(IF(AND(ISNUMBER('Real results'!C70),ISNUMBER('Real results'!D70),ISNUMBER('Raw data'!AW70),ISNUMBER('Raw data'!AX70)),IF(SIGN('Raw data'!AW70-'Raw data'!AX70)=SIGN('Real results'!C70-'Real results'!D70),2+IF(AND('Raw data'!AW70='Real results'!C70,'Raw data'!AX70='Real results'!D70),2,0),0),0),0)</f>
        <v>0</v>
      </c>
      <c r="AY71" s="29">
        <f>IFERROR(IF(AND(ISNUMBER('Real results'!C70),ISNUMBER('Real results'!D70),ISNUMBER('Raw data'!AY70),ISNUMBER('Raw data'!AZ70)),IF(SIGN('Raw data'!AY70-'Raw data'!AZ70)=SIGN('Real results'!C70-'Real results'!D70),2+IF(AND('Raw data'!AY70='Real results'!C70,'Raw data'!AZ70='Real results'!D70),2,0),0),0),0)</f>
        <v>0</v>
      </c>
      <c r="BA71" s="29">
        <f>IFERROR(IF(AND(ISNUMBER('Real results'!C70),ISNUMBER('Real results'!D70),ISNUMBER('Raw data'!BA70),ISNUMBER('Raw data'!BB70)),IF(SIGN('Raw data'!BA70-'Raw data'!BB70)=SIGN('Real results'!C70-'Real results'!D70),2+IF(AND('Raw data'!BA70='Real results'!C70,'Raw data'!BB70='Real results'!D70),2,0),0),0),0)</f>
        <v>0</v>
      </c>
      <c r="BC71" s="29">
        <f>IFERROR(IF(AND(ISNUMBER('Real results'!C70),ISNUMBER('Real results'!D70),ISNUMBER('Raw data'!BC70),ISNUMBER('Raw data'!BD70)),IF(SIGN('Raw data'!BC70-'Raw data'!BD70)=SIGN('Real results'!C70-'Real results'!D70),2+IF(AND('Raw data'!BC70='Real results'!C70,'Raw data'!BD70='Real results'!D70),2,0),0),0),0)</f>
        <v>0</v>
      </c>
      <c r="BE71" s="29">
        <f>IFERROR(IF(AND(ISNUMBER('Real results'!C70),ISNUMBER('Real results'!D70),ISNUMBER('Raw data'!BE70),ISNUMBER('Raw data'!BF70)),IF(SIGN('Raw data'!BE70-'Raw data'!BF70)=SIGN('Real results'!C70-'Real results'!D70),2+IF(AND('Raw data'!BE70='Real results'!C70,'Raw data'!BF70='Real results'!D70),2,0),0),0),0)</f>
        <v>0</v>
      </c>
      <c r="BG71" s="29">
        <f>IFERROR(IF(AND(ISNUMBER('Real results'!C70),ISNUMBER('Real results'!D70),ISNUMBER('Raw data'!BG70),ISNUMBER('Raw data'!BH70)),IF(SIGN('Raw data'!BG70-'Raw data'!BH70)=SIGN('Real results'!C70-'Real results'!D70),2+IF(AND('Raw data'!BG70='Real results'!C70,'Raw data'!BH70='Real results'!D70),2,0),0),0),0)</f>
        <v>0</v>
      </c>
      <c r="BI71" s="29">
        <f>IFERROR(IF(AND(ISNUMBER('Real results'!C70),ISNUMBER('Real results'!D70),ISNUMBER('Raw data'!BI70),ISNUMBER('Raw data'!BJ70)),IF(SIGN('Raw data'!BI70-'Raw data'!BJ70)=SIGN('Real results'!C70-'Real results'!D70),2+IF(AND('Raw data'!BI70='Real results'!C70,'Raw data'!BJ70='Real results'!D70),2,0),0),0),0)</f>
        <v>0</v>
      </c>
    </row>
    <row r="72" ht="18.0" customHeight="1">
      <c r="A72" s="1"/>
      <c r="B72" s="13" t="s">
        <v>91</v>
      </c>
      <c r="C72" s="29">
        <f>IFERROR(IF(AND(ISNUMBER('Real results'!C71),ISNUMBER('Real results'!D71),ISNUMBER('Raw data'!C71),ISNUMBER('Raw data'!D71)),IF(SIGN('Raw data'!C71-'Raw data'!D71)=SIGN('Real results'!C71-'Real results'!D71),2+IF(AND('Raw data'!C71='Real results'!C71,'Raw data'!D71='Real results'!D71),2,0),0),0),0)</f>
        <v>0</v>
      </c>
      <c r="E72" s="29">
        <f>IFERROR(IF(AND(ISNUMBER('Real results'!C71),ISNUMBER('Real results'!D71),ISNUMBER('Raw data'!E71),ISNUMBER('Raw data'!F71)),IF(SIGN('Raw data'!E71-'Raw data'!F71)=SIGN('Real results'!C71-'Real results'!D71),2+IF(AND('Raw data'!E71='Real results'!C71,'Raw data'!F71='Real results'!D71),2,0),0),0),0)</f>
        <v>0</v>
      </c>
      <c r="G72" s="29">
        <f>IFERROR(IF(AND(ISNUMBER('Real results'!C71),ISNUMBER('Real results'!D71),ISNUMBER('Raw data'!G71),ISNUMBER('Raw data'!H71)),IF(SIGN('Raw data'!G71-'Raw data'!H71)=SIGN('Real results'!C71-'Real results'!D71),2+IF(AND('Raw data'!G71='Real results'!C71,'Raw data'!H71='Real results'!D71),2,0),0),0),0)</f>
        <v>0</v>
      </c>
      <c r="I72" s="29">
        <f>IFERROR(IF(AND(ISNUMBER('Real results'!C71),ISNUMBER('Real results'!D71),ISNUMBER('Raw data'!I71),ISNUMBER('Raw data'!J71)),IF(SIGN('Raw data'!I71-'Raw data'!J71)=SIGN('Real results'!C71-'Real results'!D71),2+IF(AND('Raw data'!I71='Real results'!C71,'Raw data'!J71='Real results'!D71),2,0),0),0),0)</f>
        <v>0</v>
      </c>
      <c r="K72" s="29">
        <f>IFERROR(IF(AND(ISNUMBER('Real results'!C71),ISNUMBER('Real results'!D71),ISNUMBER('Raw data'!K71),ISNUMBER('Raw data'!L71)),IF(SIGN('Raw data'!K71-'Raw data'!L71)=SIGN('Real results'!C71-'Real results'!D71),2+IF(AND('Raw data'!K71='Real results'!C71,'Raw data'!L71='Real results'!D71),2,0),0),0),0)</f>
        <v>0</v>
      </c>
      <c r="M72" s="29">
        <f>IFERROR(IF(AND(ISNUMBER('Real results'!C71),ISNUMBER('Real results'!D71),ISNUMBER('Raw data'!M71),ISNUMBER('Raw data'!N71)),IF(SIGN('Raw data'!M71-'Raw data'!N71)=SIGN('Real results'!C71-'Real results'!D71),2+IF(AND('Raw data'!M71='Real results'!C71,'Raw data'!N71='Real results'!D71),2,0),0),0),0)</f>
        <v>0</v>
      </c>
      <c r="O72" s="29">
        <f>IFERROR(IF(AND(ISNUMBER('Real results'!C71),ISNUMBER('Real results'!D71),ISNUMBER('Raw data'!O71),ISNUMBER('Raw data'!P71)),IF(SIGN('Raw data'!O71-'Raw data'!P71)=SIGN('Real results'!C71-'Real results'!D71),2+IF(AND('Raw data'!O71='Real results'!C71,'Raw data'!P71='Real results'!D71),2,0),0),0),0)</f>
        <v>0</v>
      </c>
      <c r="Q72" s="29">
        <f>IFERROR(IF(AND(ISNUMBER('Real results'!C71),ISNUMBER('Real results'!D71),ISNUMBER('Raw data'!Q71),ISNUMBER('Raw data'!R71)),IF(SIGN('Raw data'!Q71-'Raw data'!R71)=SIGN('Real results'!C71-'Real results'!D71),2+IF(AND('Raw data'!Q71='Real results'!C71,'Raw data'!R71='Real results'!D71),2,0),0),0),0)</f>
        <v>0</v>
      </c>
      <c r="S72" s="29">
        <f>IFERROR(IF(AND(ISNUMBER('Real results'!C71),ISNUMBER('Real results'!D71),ISNUMBER('Raw data'!S71),ISNUMBER('Raw data'!T71)),IF(SIGN('Raw data'!S71-'Raw data'!T71)=SIGN('Real results'!C71-'Real results'!D71),2+IF(AND('Raw data'!S71='Real results'!C71,'Raw data'!T71='Real results'!D71),2,0),0),0),0)</f>
        <v>0</v>
      </c>
      <c r="U72" s="29">
        <f>IFERROR(IF(AND(ISNUMBER('Real results'!C71),ISNUMBER('Real results'!D71),ISNUMBER('Raw data'!U71),ISNUMBER('Raw data'!V71)),IF(SIGN('Raw data'!U71-'Raw data'!V71)=SIGN('Real results'!C71-'Real results'!D71),2+IF(AND('Raw data'!U71='Real results'!C71,'Raw data'!V71='Real results'!D71),2,0),0),0),0)</f>
        <v>0</v>
      </c>
      <c r="W72" s="29">
        <f>IFERROR(IF(AND(ISNUMBER('Real results'!C71),ISNUMBER('Real results'!D71),ISNUMBER('Raw data'!W71),ISNUMBER('Raw data'!X71)),IF(SIGN('Raw data'!W71-'Raw data'!X71)=SIGN('Real results'!C71-'Real results'!D71),2+IF(AND('Raw data'!W71='Real results'!C71,'Raw data'!X71='Real results'!D71),2,0),0),0),0)</f>
        <v>0</v>
      </c>
      <c r="Y72" s="29">
        <f>IFERROR(IF(AND(ISNUMBER('Real results'!C71),ISNUMBER('Real results'!D71),ISNUMBER('Raw data'!Y71),ISNUMBER('Raw data'!Z71)),IF(SIGN('Raw data'!Y71-'Raw data'!Z71)=SIGN('Real results'!C71-'Real results'!D71),2+IF(AND('Raw data'!Y71='Real results'!C71,'Raw data'!Z71='Real results'!D71),2,0),0),0),0)</f>
        <v>0</v>
      </c>
      <c r="AA72" s="29">
        <f>IFERROR(IF(AND(ISNUMBER('Real results'!C71),ISNUMBER('Real results'!D71),ISNUMBER('Raw data'!AA71),ISNUMBER('Raw data'!AB71)),IF(SIGN('Raw data'!AA71-'Raw data'!AB71)=SIGN('Real results'!C71-'Real results'!D71),2+IF(AND('Raw data'!AA71='Real results'!C71,'Raw data'!AB71='Real results'!D71),2,0),0),0),0)</f>
        <v>0</v>
      </c>
      <c r="AC72" s="29">
        <f>IFERROR(IF(AND(ISNUMBER('Real results'!C71),ISNUMBER('Real results'!D71),ISNUMBER('Raw data'!AC71),ISNUMBER('Raw data'!AD71)),IF(SIGN('Raw data'!AC71-'Raw data'!AD71)=SIGN('Real results'!C71-'Real results'!D71),2+IF(AND('Raw data'!AC71='Real results'!C71,'Raw data'!AD71='Real results'!D71),2,0),0),0),0)</f>
        <v>0</v>
      </c>
      <c r="AE72" s="29">
        <f>IFERROR(IF(AND(ISNUMBER('Real results'!C71),ISNUMBER('Real results'!D71),ISNUMBER('Raw data'!AE71),ISNUMBER('Raw data'!AF71)),IF(SIGN('Raw data'!AE71-'Raw data'!AF71)=SIGN('Real results'!C71-'Real results'!D71),2+IF(AND('Raw data'!AE71='Real results'!C71,'Raw data'!AF71='Real results'!D71),2,0),0),0),0)</f>
        <v>0</v>
      </c>
      <c r="AG72" s="29">
        <f>IFERROR(IF(AND(ISNUMBER('Real results'!C71),ISNUMBER('Real results'!D71),ISNUMBER('Raw data'!AG71),ISNUMBER('Raw data'!AH71)),IF(SIGN('Raw data'!AG71-'Raw data'!AH71)=SIGN('Real results'!C71-'Real results'!D71),2+IF(AND('Raw data'!AG71='Real results'!C71,'Raw data'!AH71='Real results'!D71),2,0),0),0),0)</f>
        <v>0</v>
      </c>
      <c r="AI72" s="29">
        <f>IFERROR(IF(AND(ISNUMBER('Real results'!C71),ISNUMBER('Real results'!D71),ISNUMBER('Raw data'!AI71),ISNUMBER('Raw data'!AJ71)),IF(SIGN('Raw data'!AI71-'Raw data'!AJ71)=SIGN('Real results'!C71-'Real results'!D71),2+IF(AND('Raw data'!AI71='Real results'!C71,'Raw data'!AJ71='Real results'!D71),2,0),0),0),0)</f>
        <v>0</v>
      </c>
      <c r="AK72" s="29">
        <f>IFERROR(IF(AND(ISNUMBER('Real results'!C71),ISNUMBER('Real results'!D71),ISNUMBER('Raw data'!AK71),ISNUMBER('Raw data'!AL71)),IF(SIGN('Raw data'!AK71-'Raw data'!AL71)=SIGN('Real results'!C71-'Real results'!D71),2+IF(AND('Raw data'!AK71='Real results'!C71,'Raw data'!AL71='Real results'!D71),2,0),0),0),0)</f>
        <v>0</v>
      </c>
      <c r="AM72" s="29">
        <f>IFERROR(IF(AND(ISNUMBER('Real results'!C71),ISNUMBER('Real results'!D71),ISNUMBER('Raw data'!AM71),ISNUMBER('Raw data'!AN71)),IF(SIGN('Raw data'!AM71-'Raw data'!AN71)=SIGN('Real results'!C71-'Real results'!D71),2+IF(AND('Raw data'!AM71='Real results'!C71,'Raw data'!AN71='Real results'!D71),2,0),0),0),0)</f>
        <v>0</v>
      </c>
      <c r="AO72" s="29">
        <f>IFERROR(IF(AND(ISNUMBER('Real results'!C71),ISNUMBER('Real results'!D71),ISNUMBER('Raw data'!AO71),ISNUMBER('Raw data'!AP71)),IF(SIGN('Raw data'!AO71-'Raw data'!AP71)=SIGN('Real results'!C71-'Real results'!D71),2+IF(AND('Raw data'!AO71='Real results'!C71,'Raw data'!AP71='Real results'!D71),2,0),0),0),0)</f>
        <v>0</v>
      </c>
      <c r="AQ72" s="29">
        <f>IFERROR(IF(AND(ISNUMBER('Real results'!C71),ISNUMBER('Real results'!D71),ISNUMBER('Raw data'!AQ71),ISNUMBER('Raw data'!AR71)),IF(SIGN('Raw data'!AQ71-'Raw data'!AR71)=SIGN('Real results'!C71-'Real results'!D71),2+IF(AND('Raw data'!AQ71='Real results'!C71,'Raw data'!AR71='Real results'!D71),2,0),0),0),0)</f>
        <v>0</v>
      </c>
      <c r="AS72" s="29">
        <f>IFERROR(IF(AND(ISNUMBER('Real results'!C71),ISNUMBER('Real results'!D71),ISNUMBER('Raw data'!AS71),ISNUMBER('Raw data'!AT71)),IF(SIGN('Raw data'!AS71-'Raw data'!AT71)=SIGN('Real results'!C71-'Real results'!D71),2+IF(AND('Raw data'!AS71='Real results'!C71,'Raw data'!AT71='Real results'!D71),2,0),0),0),0)</f>
        <v>0</v>
      </c>
      <c r="AU72" s="29">
        <f>IFERROR(IF(AND(ISNUMBER('Real results'!C71),ISNUMBER('Real results'!D71),ISNUMBER('Raw data'!AU71),ISNUMBER('Raw data'!AV71)),IF(SIGN('Raw data'!AU71-'Raw data'!AV71)=SIGN('Real results'!C71-'Real results'!D71),2+IF(AND('Raw data'!AU71='Real results'!C71,'Raw data'!AV71='Real results'!D71),2,0),0),0),0)</f>
        <v>0</v>
      </c>
      <c r="AW72" s="29">
        <f>IFERROR(IF(AND(ISNUMBER('Real results'!C71),ISNUMBER('Real results'!D71),ISNUMBER('Raw data'!AW71),ISNUMBER('Raw data'!AX71)),IF(SIGN('Raw data'!AW71-'Raw data'!AX71)=SIGN('Real results'!C71-'Real results'!D71),2+IF(AND('Raw data'!AW71='Real results'!C71,'Raw data'!AX71='Real results'!D71),2,0),0),0),0)</f>
        <v>0</v>
      </c>
      <c r="AY72" s="29">
        <f>IFERROR(IF(AND(ISNUMBER('Real results'!C71),ISNUMBER('Real results'!D71),ISNUMBER('Raw data'!AY71),ISNUMBER('Raw data'!AZ71)),IF(SIGN('Raw data'!AY71-'Raw data'!AZ71)=SIGN('Real results'!C71-'Real results'!D71),2+IF(AND('Raw data'!AY71='Real results'!C71,'Raw data'!AZ71='Real results'!D71),2,0),0),0),0)</f>
        <v>0</v>
      </c>
      <c r="BA72" s="29">
        <f>IFERROR(IF(AND(ISNUMBER('Real results'!C71),ISNUMBER('Real results'!D71),ISNUMBER('Raw data'!BA71),ISNUMBER('Raw data'!BB71)),IF(SIGN('Raw data'!BA71-'Raw data'!BB71)=SIGN('Real results'!C71-'Real results'!D71),2+IF(AND('Raw data'!BA71='Real results'!C71,'Raw data'!BB71='Real results'!D71),2,0),0),0),0)</f>
        <v>0</v>
      </c>
      <c r="BC72" s="29">
        <f>IFERROR(IF(AND(ISNUMBER('Real results'!C71),ISNUMBER('Real results'!D71),ISNUMBER('Raw data'!BC71),ISNUMBER('Raw data'!BD71)),IF(SIGN('Raw data'!BC71-'Raw data'!BD71)=SIGN('Real results'!C71-'Real results'!D71),2+IF(AND('Raw data'!BC71='Real results'!C71,'Raw data'!BD71='Real results'!D71),2,0),0),0),0)</f>
        <v>0</v>
      </c>
      <c r="BE72" s="29">
        <f>IFERROR(IF(AND(ISNUMBER('Real results'!C71),ISNUMBER('Real results'!D71),ISNUMBER('Raw data'!BE71),ISNUMBER('Raw data'!BF71)),IF(SIGN('Raw data'!BE71-'Raw data'!BF71)=SIGN('Real results'!C71-'Real results'!D71),2+IF(AND('Raw data'!BE71='Real results'!C71,'Raw data'!BF71='Real results'!D71),2,0),0),0),0)</f>
        <v>0</v>
      </c>
      <c r="BG72" s="29">
        <f>IFERROR(IF(AND(ISNUMBER('Real results'!C71),ISNUMBER('Real results'!D71),ISNUMBER('Raw data'!BG71),ISNUMBER('Raw data'!BH71)),IF(SIGN('Raw data'!BG71-'Raw data'!BH71)=SIGN('Real results'!C71-'Real results'!D71),2+IF(AND('Raw data'!BG71='Real results'!C71,'Raw data'!BH71='Real results'!D71),2,0),0),0),0)</f>
        <v>0</v>
      </c>
      <c r="BI72" s="29">
        <f>IFERROR(IF(AND(ISNUMBER('Real results'!C71),ISNUMBER('Real results'!D71),ISNUMBER('Raw data'!BI71),ISNUMBER('Raw data'!BJ71)),IF(SIGN('Raw data'!BI71-'Raw data'!BJ71)=SIGN('Real results'!C71-'Real results'!D71),2+IF(AND('Raw data'!BI71='Real results'!C71,'Raw data'!BJ71='Real results'!D71),2,0),0),0),0)</f>
        <v>0</v>
      </c>
    </row>
    <row r="73" ht="18.0" customHeight="1">
      <c r="A73" s="1"/>
      <c r="B73" s="13" t="s">
        <v>92</v>
      </c>
      <c r="C73" s="29">
        <f>IFERROR(IF(AND(ISNUMBER('Real results'!C72),ISNUMBER('Real results'!D72),ISNUMBER('Raw data'!C72),ISNUMBER('Raw data'!D72)),IF(SIGN('Raw data'!C72-'Raw data'!D72)=SIGN('Real results'!C72-'Real results'!D72),2+IF(AND('Raw data'!C72='Real results'!C72,'Raw data'!D72='Real results'!D72),2,0),0),0),0)</f>
        <v>0</v>
      </c>
      <c r="E73" s="29">
        <f>IFERROR(IF(AND(ISNUMBER('Real results'!C72),ISNUMBER('Real results'!D72),ISNUMBER('Raw data'!E72),ISNUMBER('Raw data'!F72)),IF(SIGN('Raw data'!E72-'Raw data'!F72)=SIGN('Real results'!C72-'Real results'!D72),2+IF(AND('Raw data'!E72='Real results'!C72,'Raw data'!F72='Real results'!D72),2,0),0),0),0)</f>
        <v>0</v>
      </c>
      <c r="G73" s="29">
        <f>IFERROR(IF(AND(ISNUMBER('Real results'!C72),ISNUMBER('Real results'!D72),ISNUMBER('Raw data'!G72),ISNUMBER('Raw data'!H72)),IF(SIGN('Raw data'!G72-'Raw data'!H72)=SIGN('Real results'!C72-'Real results'!D72),2+IF(AND('Raw data'!G72='Real results'!C72,'Raw data'!H72='Real results'!D72),2,0),0),0),0)</f>
        <v>0</v>
      </c>
      <c r="I73" s="29">
        <f>IFERROR(IF(AND(ISNUMBER('Real results'!C72),ISNUMBER('Real results'!D72),ISNUMBER('Raw data'!I72),ISNUMBER('Raw data'!J72)),IF(SIGN('Raw data'!I72-'Raw data'!J72)=SIGN('Real results'!C72-'Real results'!D72),2+IF(AND('Raw data'!I72='Real results'!C72,'Raw data'!J72='Real results'!D72),2,0),0),0),0)</f>
        <v>0</v>
      </c>
      <c r="K73" s="29">
        <f>IFERROR(IF(AND(ISNUMBER('Real results'!C72),ISNUMBER('Real results'!D72),ISNUMBER('Raw data'!K72),ISNUMBER('Raw data'!L72)),IF(SIGN('Raw data'!K72-'Raw data'!L72)=SIGN('Real results'!C72-'Real results'!D72),2+IF(AND('Raw data'!K72='Real results'!C72,'Raw data'!L72='Real results'!D72),2,0),0),0),0)</f>
        <v>0</v>
      </c>
      <c r="M73" s="29">
        <f>IFERROR(IF(AND(ISNUMBER('Real results'!C72),ISNUMBER('Real results'!D72),ISNUMBER('Raw data'!M72),ISNUMBER('Raw data'!N72)),IF(SIGN('Raw data'!M72-'Raw data'!N72)=SIGN('Real results'!C72-'Real results'!D72),2+IF(AND('Raw data'!M72='Real results'!C72,'Raw data'!N72='Real results'!D72),2,0),0),0),0)</f>
        <v>0</v>
      </c>
      <c r="O73" s="29">
        <f>IFERROR(IF(AND(ISNUMBER('Real results'!C72),ISNUMBER('Real results'!D72),ISNUMBER('Raw data'!O72),ISNUMBER('Raw data'!P72)),IF(SIGN('Raw data'!O72-'Raw data'!P72)=SIGN('Real results'!C72-'Real results'!D72),2+IF(AND('Raw data'!O72='Real results'!C72,'Raw data'!P72='Real results'!D72),2,0),0),0),0)</f>
        <v>0</v>
      </c>
      <c r="Q73" s="29">
        <f>IFERROR(IF(AND(ISNUMBER('Real results'!C72),ISNUMBER('Real results'!D72),ISNUMBER('Raw data'!Q72),ISNUMBER('Raw data'!R72)),IF(SIGN('Raw data'!Q72-'Raw data'!R72)=SIGN('Real results'!C72-'Real results'!D72),2+IF(AND('Raw data'!Q72='Real results'!C72,'Raw data'!R72='Real results'!D72),2,0),0),0),0)</f>
        <v>0</v>
      </c>
      <c r="S73" s="29">
        <f>IFERROR(IF(AND(ISNUMBER('Real results'!C72),ISNUMBER('Real results'!D72),ISNUMBER('Raw data'!S72),ISNUMBER('Raw data'!T72)),IF(SIGN('Raw data'!S72-'Raw data'!T72)=SIGN('Real results'!C72-'Real results'!D72),2+IF(AND('Raw data'!S72='Real results'!C72,'Raw data'!T72='Real results'!D72),2,0),0),0),0)</f>
        <v>0</v>
      </c>
      <c r="U73" s="29">
        <f>IFERROR(IF(AND(ISNUMBER('Real results'!C72),ISNUMBER('Real results'!D72),ISNUMBER('Raw data'!U72),ISNUMBER('Raw data'!V72)),IF(SIGN('Raw data'!U72-'Raw data'!V72)=SIGN('Real results'!C72-'Real results'!D72),2+IF(AND('Raw data'!U72='Real results'!C72,'Raw data'!V72='Real results'!D72),2,0),0),0),0)</f>
        <v>0</v>
      </c>
      <c r="W73" s="29">
        <f>IFERROR(IF(AND(ISNUMBER('Real results'!C72),ISNUMBER('Real results'!D72),ISNUMBER('Raw data'!W72),ISNUMBER('Raw data'!X72)),IF(SIGN('Raw data'!W72-'Raw data'!X72)=SIGN('Real results'!C72-'Real results'!D72),2+IF(AND('Raw data'!W72='Real results'!C72,'Raw data'!X72='Real results'!D72),2,0),0),0),0)</f>
        <v>0</v>
      </c>
      <c r="Y73" s="29">
        <f>IFERROR(IF(AND(ISNUMBER('Real results'!C72),ISNUMBER('Real results'!D72),ISNUMBER('Raw data'!Y72),ISNUMBER('Raw data'!Z72)),IF(SIGN('Raw data'!Y72-'Raw data'!Z72)=SIGN('Real results'!C72-'Real results'!D72),2+IF(AND('Raw data'!Y72='Real results'!C72,'Raw data'!Z72='Real results'!D72),2,0),0),0),0)</f>
        <v>0</v>
      </c>
      <c r="AA73" s="29">
        <f>IFERROR(IF(AND(ISNUMBER('Real results'!C72),ISNUMBER('Real results'!D72),ISNUMBER('Raw data'!AA72),ISNUMBER('Raw data'!AB72)),IF(SIGN('Raw data'!AA72-'Raw data'!AB72)=SIGN('Real results'!C72-'Real results'!D72),2+IF(AND('Raw data'!AA72='Real results'!C72,'Raw data'!AB72='Real results'!D72),2,0),0),0),0)</f>
        <v>0</v>
      </c>
      <c r="AC73" s="29">
        <f>IFERROR(IF(AND(ISNUMBER('Real results'!C72),ISNUMBER('Real results'!D72),ISNUMBER('Raw data'!AC72),ISNUMBER('Raw data'!AD72)),IF(SIGN('Raw data'!AC72-'Raw data'!AD72)=SIGN('Real results'!C72-'Real results'!D72),2+IF(AND('Raw data'!AC72='Real results'!C72,'Raw data'!AD72='Real results'!D72),2,0),0),0),0)</f>
        <v>0</v>
      </c>
      <c r="AE73" s="29">
        <f>IFERROR(IF(AND(ISNUMBER('Real results'!C72),ISNUMBER('Real results'!D72),ISNUMBER('Raw data'!AE72),ISNUMBER('Raw data'!AF72)),IF(SIGN('Raw data'!AE72-'Raw data'!AF72)=SIGN('Real results'!C72-'Real results'!D72),2+IF(AND('Raw data'!AE72='Real results'!C72,'Raw data'!AF72='Real results'!D72),2,0),0),0),0)</f>
        <v>0</v>
      </c>
      <c r="AG73" s="29">
        <f>IFERROR(IF(AND(ISNUMBER('Real results'!C72),ISNUMBER('Real results'!D72),ISNUMBER('Raw data'!AG72),ISNUMBER('Raw data'!AH72)),IF(SIGN('Raw data'!AG72-'Raw data'!AH72)=SIGN('Real results'!C72-'Real results'!D72),2+IF(AND('Raw data'!AG72='Real results'!C72,'Raw data'!AH72='Real results'!D72),2,0),0),0),0)</f>
        <v>0</v>
      </c>
      <c r="AI73" s="29">
        <f>IFERROR(IF(AND(ISNUMBER('Real results'!C72),ISNUMBER('Real results'!D72),ISNUMBER('Raw data'!AI72),ISNUMBER('Raw data'!AJ72)),IF(SIGN('Raw data'!AI72-'Raw data'!AJ72)=SIGN('Real results'!C72-'Real results'!D72),2+IF(AND('Raw data'!AI72='Real results'!C72,'Raw data'!AJ72='Real results'!D72),2,0),0),0),0)</f>
        <v>0</v>
      </c>
      <c r="AK73" s="29">
        <f>IFERROR(IF(AND(ISNUMBER('Real results'!C72),ISNUMBER('Real results'!D72),ISNUMBER('Raw data'!AK72),ISNUMBER('Raw data'!AL72)),IF(SIGN('Raw data'!AK72-'Raw data'!AL72)=SIGN('Real results'!C72-'Real results'!D72),2+IF(AND('Raw data'!AK72='Real results'!C72,'Raw data'!AL72='Real results'!D72),2,0),0),0),0)</f>
        <v>0</v>
      </c>
      <c r="AM73" s="29">
        <f>IFERROR(IF(AND(ISNUMBER('Real results'!C72),ISNUMBER('Real results'!D72),ISNUMBER('Raw data'!AM72),ISNUMBER('Raw data'!AN72)),IF(SIGN('Raw data'!AM72-'Raw data'!AN72)=SIGN('Real results'!C72-'Real results'!D72),2+IF(AND('Raw data'!AM72='Real results'!C72,'Raw data'!AN72='Real results'!D72),2,0),0),0),0)</f>
        <v>0</v>
      </c>
      <c r="AO73" s="29">
        <f>IFERROR(IF(AND(ISNUMBER('Real results'!C72),ISNUMBER('Real results'!D72),ISNUMBER('Raw data'!AO72),ISNUMBER('Raw data'!AP72)),IF(SIGN('Raw data'!AO72-'Raw data'!AP72)=SIGN('Real results'!C72-'Real results'!D72),2+IF(AND('Raw data'!AO72='Real results'!C72,'Raw data'!AP72='Real results'!D72),2,0),0),0),0)</f>
        <v>0</v>
      </c>
      <c r="AQ73" s="29">
        <f>IFERROR(IF(AND(ISNUMBER('Real results'!C72),ISNUMBER('Real results'!D72),ISNUMBER('Raw data'!AQ72),ISNUMBER('Raw data'!AR72)),IF(SIGN('Raw data'!AQ72-'Raw data'!AR72)=SIGN('Real results'!C72-'Real results'!D72),2+IF(AND('Raw data'!AQ72='Real results'!C72,'Raw data'!AR72='Real results'!D72),2,0),0),0),0)</f>
        <v>0</v>
      </c>
      <c r="AS73" s="29">
        <f>IFERROR(IF(AND(ISNUMBER('Real results'!C72),ISNUMBER('Real results'!D72),ISNUMBER('Raw data'!AS72),ISNUMBER('Raw data'!AT72)),IF(SIGN('Raw data'!AS72-'Raw data'!AT72)=SIGN('Real results'!C72-'Real results'!D72),2+IF(AND('Raw data'!AS72='Real results'!C72,'Raw data'!AT72='Real results'!D72),2,0),0),0),0)</f>
        <v>0</v>
      </c>
      <c r="AU73" s="29">
        <f>IFERROR(IF(AND(ISNUMBER('Real results'!C72),ISNUMBER('Real results'!D72),ISNUMBER('Raw data'!AU72),ISNUMBER('Raw data'!AV72)),IF(SIGN('Raw data'!AU72-'Raw data'!AV72)=SIGN('Real results'!C72-'Real results'!D72),2+IF(AND('Raw data'!AU72='Real results'!C72,'Raw data'!AV72='Real results'!D72),2,0),0),0),0)</f>
        <v>0</v>
      </c>
      <c r="AW73" s="29">
        <f>IFERROR(IF(AND(ISNUMBER('Real results'!C72),ISNUMBER('Real results'!D72),ISNUMBER('Raw data'!AW72),ISNUMBER('Raw data'!AX72)),IF(SIGN('Raw data'!AW72-'Raw data'!AX72)=SIGN('Real results'!C72-'Real results'!D72),2+IF(AND('Raw data'!AW72='Real results'!C72,'Raw data'!AX72='Real results'!D72),2,0),0),0),0)</f>
        <v>0</v>
      </c>
      <c r="AY73" s="29">
        <f>IFERROR(IF(AND(ISNUMBER('Real results'!C72),ISNUMBER('Real results'!D72),ISNUMBER('Raw data'!AY72),ISNUMBER('Raw data'!AZ72)),IF(SIGN('Raw data'!AY72-'Raw data'!AZ72)=SIGN('Real results'!C72-'Real results'!D72),2+IF(AND('Raw data'!AY72='Real results'!C72,'Raw data'!AZ72='Real results'!D72),2,0),0),0),0)</f>
        <v>0</v>
      </c>
      <c r="BA73" s="29">
        <f>IFERROR(IF(AND(ISNUMBER('Real results'!C72),ISNUMBER('Real results'!D72),ISNUMBER('Raw data'!BA72),ISNUMBER('Raw data'!BB72)),IF(SIGN('Raw data'!BA72-'Raw data'!BB72)=SIGN('Real results'!C72-'Real results'!D72),2+IF(AND('Raw data'!BA72='Real results'!C72,'Raw data'!BB72='Real results'!D72),2,0),0),0),0)</f>
        <v>0</v>
      </c>
      <c r="BC73" s="29">
        <f>IFERROR(IF(AND(ISNUMBER('Real results'!C72),ISNUMBER('Real results'!D72),ISNUMBER('Raw data'!BC72),ISNUMBER('Raw data'!BD72)),IF(SIGN('Raw data'!BC72-'Raw data'!BD72)=SIGN('Real results'!C72-'Real results'!D72),2+IF(AND('Raw data'!BC72='Real results'!C72,'Raw data'!BD72='Real results'!D72),2,0),0),0),0)</f>
        <v>0</v>
      </c>
      <c r="BE73" s="29">
        <f>IFERROR(IF(AND(ISNUMBER('Real results'!C72),ISNUMBER('Real results'!D72),ISNUMBER('Raw data'!BE72),ISNUMBER('Raw data'!BF72)),IF(SIGN('Raw data'!BE72-'Raw data'!BF72)=SIGN('Real results'!C72-'Real results'!D72),2+IF(AND('Raw data'!BE72='Real results'!C72,'Raw data'!BF72='Real results'!D72),2,0),0),0),0)</f>
        <v>0</v>
      </c>
      <c r="BG73" s="29">
        <f>IFERROR(IF(AND(ISNUMBER('Real results'!C72),ISNUMBER('Real results'!D72),ISNUMBER('Raw data'!BG72),ISNUMBER('Raw data'!BH72)),IF(SIGN('Raw data'!BG72-'Raw data'!BH72)=SIGN('Real results'!C72-'Real results'!D72),2+IF(AND('Raw data'!BG72='Real results'!C72,'Raw data'!BH72='Real results'!D72),2,0),0),0),0)</f>
        <v>0</v>
      </c>
      <c r="BI73" s="29">
        <f>IFERROR(IF(AND(ISNUMBER('Real results'!C72),ISNUMBER('Real results'!D72),ISNUMBER('Raw data'!BI72),ISNUMBER('Raw data'!BJ72)),IF(SIGN('Raw data'!BI72-'Raw data'!BJ72)=SIGN('Real results'!C72-'Real results'!D72),2+IF(AND('Raw data'!BI72='Real results'!C72,'Raw data'!BJ72='Real results'!D72),2,0),0),0),0)</f>
        <v>0</v>
      </c>
    </row>
    <row r="74" ht="18.0" customHeight="1">
      <c r="A74" s="1"/>
      <c r="B74" s="13" t="s">
        <v>93</v>
      </c>
      <c r="C74" s="29">
        <f>IFERROR(IF(AND(ISNUMBER('Real results'!C73),ISNUMBER('Real results'!D73),ISNUMBER('Raw data'!C73),ISNUMBER('Raw data'!D73)),IF(SIGN('Raw data'!C73-'Raw data'!D73)=SIGN('Real results'!C73-'Real results'!D73),2+IF(AND('Raw data'!C73='Real results'!C73,'Raw data'!D73='Real results'!D73),2,0),0),0),0)</f>
        <v>0</v>
      </c>
      <c r="E74" s="29">
        <f>IFERROR(IF(AND(ISNUMBER('Real results'!C73),ISNUMBER('Real results'!D73),ISNUMBER('Raw data'!E73),ISNUMBER('Raw data'!F73)),IF(SIGN('Raw data'!E73-'Raw data'!F73)=SIGN('Real results'!C73-'Real results'!D73),2+IF(AND('Raw data'!E73='Real results'!C73,'Raw data'!F73='Real results'!D73),2,0),0),0),0)</f>
        <v>0</v>
      </c>
      <c r="G74" s="29">
        <f>IFERROR(IF(AND(ISNUMBER('Real results'!C73),ISNUMBER('Real results'!D73),ISNUMBER('Raw data'!G73),ISNUMBER('Raw data'!H73)),IF(SIGN('Raw data'!G73-'Raw data'!H73)=SIGN('Real results'!C73-'Real results'!D73),2+IF(AND('Raw data'!G73='Real results'!C73,'Raw data'!H73='Real results'!D73),2,0),0),0),0)</f>
        <v>0</v>
      </c>
      <c r="I74" s="29">
        <f>IFERROR(IF(AND(ISNUMBER('Real results'!C73),ISNUMBER('Real results'!D73),ISNUMBER('Raw data'!I73),ISNUMBER('Raw data'!J73)),IF(SIGN('Raw data'!I73-'Raw data'!J73)=SIGN('Real results'!C73-'Real results'!D73),2+IF(AND('Raw data'!I73='Real results'!C73,'Raw data'!J73='Real results'!D73),2,0),0),0),0)</f>
        <v>0</v>
      </c>
      <c r="K74" s="29">
        <f>IFERROR(IF(AND(ISNUMBER('Real results'!C73),ISNUMBER('Real results'!D73),ISNUMBER('Raw data'!K73),ISNUMBER('Raw data'!L73)),IF(SIGN('Raw data'!K73-'Raw data'!L73)=SIGN('Real results'!C73-'Real results'!D73),2+IF(AND('Raw data'!K73='Real results'!C73,'Raw data'!L73='Real results'!D73),2,0),0),0),0)</f>
        <v>0</v>
      </c>
      <c r="M74" s="29">
        <f>IFERROR(IF(AND(ISNUMBER('Real results'!C73),ISNUMBER('Real results'!D73),ISNUMBER('Raw data'!M73),ISNUMBER('Raw data'!N73)),IF(SIGN('Raw data'!M73-'Raw data'!N73)=SIGN('Real results'!C73-'Real results'!D73),2+IF(AND('Raw data'!M73='Real results'!C73,'Raw data'!N73='Real results'!D73),2,0),0),0),0)</f>
        <v>0</v>
      </c>
      <c r="O74" s="29">
        <f>IFERROR(IF(AND(ISNUMBER('Real results'!C73),ISNUMBER('Real results'!D73),ISNUMBER('Raw data'!O73),ISNUMBER('Raw data'!P73)),IF(SIGN('Raw data'!O73-'Raw data'!P73)=SIGN('Real results'!C73-'Real results'!D73),2+IF(AND('Raw data'!O73='Real results'!C73,'Raw data'!P73='Real results'!D73),2,0),0),0),0)</f>
        <v>0</v>
      </c>
      <c r="Q74" s="29">
        <f>IFERROR(IF(AND(ISNUMBER('Real results'!C73),ISNUMBER('Real results'!D73),ISNUMBER('Raw data'!Q73),ISNUMBER('Raw data'!R73)),IF(SIGN('Raw data'!Q73-'Raw data'!R73)=SIGN('Real results'!C73-'Real results'!D73),2+IF(AND('Raw data'!Q73='Real results'!C73,'Raw data'!R73='Real results'!D73),2,0),0),0),0)</f>
        <v>0</v>
      </c>
      <c r="S74" s="29">
        <f>IFERROR(IF(AND(ISNUMBER('Real results'!C73),ISNUMBER('Real results'!D73),ISNUMBER('Raw data'!S73),ISNUMBER('Raw data'!T73)),IF(SIGN('Raw data'!S73-'Raw data'!T73)=SIGN('Real results'!C73-'Real results'!D73),2+IF(AND('Raw data'!S73='Real results'!C73,'Raw data'!T73='Real results'!D73),2,0),0),0),0)</f>
        <v>0</v>
      </c>
      <c r="U74" s="29">
        <f>IFERROR(IF(AND(ISNUMBER('Real results'!C73),ISNUMBER('Real results'!D73),ISNUMBER('Raw data'!U73),ISNUMBER('Raw data'!V73)),IF(SIGN('Raw data'!U73-'Raw data'!V73)=SIGN('Real results'!C73-'Real results'!D73),2+IF(AND('Raw data'!U73='Real results'!C73,'Raw data'!V73='Real results'!D73),2,0),0),0),0)</f>
        <v>0</v>
      </c>
      <c r="W74" s="29">
        <f>IFERROR(IF(AND(ISNUMBER('Real results'!C73),ISNUMBER('Real results'!D73),ISNUMBER('Raw data'!W73),ISNUMBER('Raw data'!X73)),IF(SIGN('Raw data'!W73-'Raw data'!X73)=SIGN('Real results'!C73-'Real results'!D73),2+IF(AND('Raw data'!W73='Real results'!C73,'Raw data'!X73='Real results'!D73),2,0),0),0),0)</f>
        <v>0</v>
      </c>
      <c r="Y74" s="29">
        <f>IFERROR(IF(AND(ISNUMBER('Real results'!C73),ISNUMBER('Real results'!D73),ISNUMBER('Raw data'!Y73),ISNUMBER('Raw data'!Z73)),IF(SIGN('Raw data'!Y73-'Raw data'!Z73)=SIGN('Real results'!C73-'Real results'!D73),2+IF(AND('Raw data'!Y73='Real results'!C73,'Raw data'!Z73='Real results'!D73),2,0),0),0),0)</f>
        <v>0</v>
      </c>
      <c r="AA74" s="29">
        <f>IFERROR(IF(AND(ISNUMBER('Real results'!C73),ISNUMBER('Real results'!D73),ISNUMBER('Raw data'!AA73),ISNUMBER('Raw data'!AB73)),IF(SIGN('Raw data'!AA73-'Raw data'!AB73)=SIGN('Real results'!C73-'Real results'!D73),2+IF(AND('Raw data'!AA73='Real results'!C73,'Raw data'!AB73='Real results'!D73),2,0),0),0),0)</f>
        <v>0</v>
      </c>
      <c r="AC74" s="29">
        <f>IFERROR(IF(AND(ISNUMBER('Real results'!C73),ISNUMBER('Real results'!D73),ISNUMBER('Raw data'!AC73),ISNUMBER('Raw data'!AD73)),IF(SIGN('Raw data'!AC73-'Raw data'!AD73)=SIGN('Real results'!C73-'Real results'!D73),2+IF(AND('Raw data'!AC73='Real results'!C73,'Raw data'!AD73='Real results'!D73),2,0),0),0),0)</f>
        <v>0</v>
      </c>
      <c r="AE74" s="29">
        <f>IFERROR(IF(AND(ISNUMBER('Real results'!C73),ISNUMBER('Real results'!D73),ISNUMBER('Raw data'!AE73),ISNUMBER('Raw data'!AF73)),IF(SIGN('Raw data'!AE73-'Raw data'!AF73)=SIGN('Real results'!C73-'Real results'!D73),2+IF(AND('Raw data'!AE73='Real results'!C73,'Raw data'!AF73='Real results'!D73),2,0),0),0),0)</f>
        <v>0</v>
      </c>
      <c r="AG74" s="29">
        <f>IFERROR(IF(AND(ISNUMBER('Real results'!C73),ISNUMBER('Real results'!D73),ISNUMBER('Raw data'!AG73),ISNUMBER('Raw data'!AH73)),IF(SIGN('Raw data'!AG73-'Raw data'!AH73)=SIGN('Real results'!C73-'Real results'!D73),2+IF(AND('Raw data'!AG73='Real results'!C73,'Raw data'!AH73='Real results'!D73),2,0),0),0),0)</f>
        <v>0</v>
      </c>
      <c r="AI74" s="29">
        <f>IFERROR(IF(AND(ISNUMBER('Real results'!C73),ISNUMBER('Real results'!D73),ISNUMBER('Raw data'!AI73),ISNUMBER('Raw data'!AJ73)),IF(SIGN('Raw data'!AI73-'Raw data'!AJ73)=SIGN('Real results'!C73-'Real results'!D73),2+IF(AND('Raw data'!AI73='Real results'!C73,'Raw data'!AJ73='Real results'!D73),2,0),0),0),0)</f>
        <v>0</v>
      </c>
      <c r="AK74" s="29">
        <f>IFERROR(IF(AND(ISNUMBER('Real results'!C73),ISNUMBER('Real results'!D73),ISNUMBER('Raw data'!AK73),ISNUMBER('Raw data'!AL73)),IF(SIGN('Raw data'!AK73-'Raw data'!AL73)=SIGN('Real results'!C73-'Real results'!D73),2+IF(AND('Raw data'!AK73='Real results'!C73,'Raw data'!AL73='Real results'!D73),2,0),0),0),0)</f>
        <v>0</v>
      </c>
      <c r="AM74" s="29">
        <f>IFERROR(IF(AND(ISNUMBER('Real results'!C73),ISNUMBER('Real results'!D73),ISNUMBER('Raw data'!AM73),ISNUMBER('Raw data'!AN73)),IF(SIGN('Raw data'!AM73-'Raw data'!AN73)=SIGN('Real results'!C73-'Real results'!D73),2+IF(AND('Raw data'!AM73='Real results'!C73,'Raw data'!AN73='Real results'!D73),2,0),0),0),0)</f>
        <v>0</v>
      </c>
      <c r="AO74" s="29">
        <f>IFERROR(IF(AND(ISNUMBER('Real results'!C73),ISNUMBER('Real results'!D73),ISNUMBER('Raw data'!AO73),ISNUMBER('Raw data'!AP73)),IF(SIGN('Raw data'!AO73-'Raw data'!AP73)=SIGN('Real results'!C73-'Real results'!D73),2+IF(AND('Raw data'!AO73='Real results'!C73,'Raw data'!AP73='Real results'!D73),2,0),0),0),0)</f>
        <v>0</v>
      </c>
      <c r="AQ74" s="29">
        <f>IFERROR(IF(AND(ISNUMBER('Real results'!C73),ISNUMBER('Real results'!D73),ISNUMBER('Raw data'!AQ73),ISNUMBER('Raw data'!AR73)),IF(SIGN('Raw data'!AQ73-'Raw data'!AR73)=SIGN('Real results'!C73-'Real results'!D73),2+IF(AND('Raw data'!AQ73='Real results'!C73,'Raw data'!AR73='Real results'!D73),2,0),0),0),0)</f>
        <v>0</v>
      </c>
      <c r="AS74" s="29">
        <f>IFERROR(IF(AND(ISNUMBER('Real results'!C73),ISNUMBER('Real results'!D73),ISNUMBER('Raw data'!AS73),ISNUMBER('Raw data'!AT73)),IF(SIGN('Raw data'!AS73-'Raw data'!AT73)=SIGN('Real results'!C73-'Real results'!D73),2+IF(AND('Raw data'!AS73='Real results'!C73,'Raw data'!AT73='Real results'!D73),2,0),0),0),0)</f>
        <v>0</v>
      </c>
      <c r="AU74" s="29">
        <f>IFERROR(IF(AND(ISNUMBER('Real results'!C73),ISNUMBER('Real results'!D73),ISNUMBER('Raw data'!AU73),ISNUMBER('Raw data'!AV73)),IF(SIGN('Raw data'!AU73-'Raw data'!AV73)=SIGN('Real results'!C73-'Real results'!D73),2+IF(AND('Raw data'!AU73='Real results'!C73,'Raw data'!AV73='Real results'!D73),2,0),0),0),0)</f>
        <v>0</v>
      </c>
      <c r="AW74" s="29">
        <f>IFERROR(IF(AND(ISNUMBER('Real results'!C73),ISNUMBER('Real results'!D73),ISNUMBER('Raw data'!AW73),ISNUMBER('Raw data'!AX73)),IF(SIGN('Raw data'!AW73-'Raw data'!AX73)=SIGN('Real results'!C73-'Real results'!D73),2+IF(AND('Raw data'!AW73='Real results'!C73,'Raw data'!AX73='Real results'!D73),2,0),0),0),0)</f>
        <v>0</v>
      </c>
      <c r="AY74" s="29">
        <f>IFERROR(IF(AND(ISNUMBER('Real results'!C73),ISNUMBER('Real results'!D73),ISNUMBER('Raw data'!AY73),ISNUMBER('Raw data'!AZ73)),IF(SIGN('Raw data'!AY73-'Raw data'!AZ73)=SIGN('Real results'!C73-'Real results'!D73),2+IF(AND('Raw data'!AY73='Real results'!C73,'Raw data'!AZ73='Real results'!D73),2,0),0),0),0)</f>
        <v>0</v>
      </c>
      <c r="BA74" s="29">
        <f>IFERROR(IF(AND(ISNUMBER('Real results'!C73),ISNUMBER('Real results'!D73),ISNUMBER('Raw data'!BA73),ISNUMBER('Raw data'!BB73)),IF(SIGN('Raw data'!BA73-'Raw data'!BB73)=SIGN('Real results'!C73-'Real results'!D73),2+IF(AND('Raw data'!BA73='Real results'!C73,'Raw data'!BB73='Real results'!D73),2,0),0),0),0)</f>
        <v>0</v>
      </c>
      <c r="BC74" s="29">
        <f>IFERROR(IF(AND(ISNUMBER('Real results'!C73),ISNUMBER('Real results'!D73),ISNUMBER('Raw data'!BC73),ISNUMBER('Raw data'!BD73)),IF(SIGN('Raw data'!BC73-'Raw data'!BD73)=SIGN('Real results'!C73-'Real results'!D73),2+IF(AND('Raw data'!BC73='Real results'!C73,'Raw data'!BD73='Real results'!D73),2,0),0),0),0)</f>
        <v>0</v>
      </c>
      <c r="BE74" s="29">
        <f>IFERROR(IF(AND(ISNUMBER('Real results'!C73),ISNUMBER('Real results'!D73),ISNUMBER('Raw data'!BE73),ISNUMBER('Raw data'!BF73)),IF(SIGN('Raw data'!BE73-'Raw data'!BF73)=SIGN('Real results'!C73-'Real results'!D73),2+IF(AND('Raw data'!BE73='Real results'!C73,'Raw data'!BF73='Real results'!D73),2,0),0),0),0)</f>
        <v>0</v>
      </c>
      <c r="BG74" s="29">
        <f>IFERROR(IF(AND(ISNUMBER('Real results'!C73),ISNUMBER('Real results'!D73),ISNUMBER('Raw data'!BG73),ISNUMBER('Raw data'!BH73)),IF(SIGN('Raw data'!BG73-'Raw data'!BH73)=SIGN('Real results'!C73-'Real results'!D73),2+IF(AND('Raw data'!BG73='Real results'!C73,'Raw data'!BH73='Real results'!D73),2,0),0),0),0)</f>
        <v>0</v>
      </c>
      <c r="BI74" s="29">
        <f>IFERROR(IF(AND(ISNUMBER('Real results'!C73),ISNUMBER('Real results'!D73),ISNUMBER('Raw data'!BI73),ISNUMBER('Raw data'!BJ73)),IF(SIGN('Raw data'!BI73-'Raw data'!BJ73)=SIGN('Real results'!C73-'Real results'!D73),2+IF(AND('Raw data'!BI73='Real results'!C73,'Raw data'!BJ73='Real results'!D73),2,0),0),0),0)</f>
        <v>0</v>
      </c>
    </row>
    <row r="75" ht="18.0" customHeight="1">
      <c r="A75" s="1"/>
      <c r="B75" s="13" t="s">
        <v>94</v>
      </c>
      <c r="C75" s="29">
        <f>IFERROR(IF(AND(ISNUMBER('Real results'!C74),ISNUMBER('Real results'!D74),ISNUMBER('Raw data'!C74),ISNUMBER('Raw data'!D74)),IF(SIGN('Raw data'!C74-'Raw data'!D74)=SIGN('Real results'!C74-'Real results'!D74),2+IF(AND('Raw data'!C74='Real results'!C74,'Raw data'!D74='Real results'!D74),2,0),0),0),0)</f>
        <v>0</v>
      </c>
      <c r="E75" s="29">
        <f>IFERROR(IF(AND(ISNUMBER('Real results'!C74),ISNUMBER('Real results'!D74),ISNUMBER('Raw data'!E74),ISNUMBER('Raw data'!F74)),IF(SIGN('Raw data'!E74-'Raw data'!F74)=SIGN('Real results'!C74-'Real results'!D74),2+IF(AND('Raw data'!E74='Real results'!C74,'Raw data'!F74='Real results'!D74),2,0),0),0),0)</f>
        <v>0</v>
      </c>
      <c r="G75" s="29">
        <f>IFERROR(IF(AND(ISNUMBER('Real results'!C74),ISNUMBER('Real results'!D74),ISNUMBER('Raw data'!G74),ISNUMBER('Raw data'!H74)),IF(SIGN('Raw data'!G74-'Raw data'!H74)=SIGN('Real results'!C74-'Real results'!D74),2+IF(AND('Raw data'!G74='Real results'!C74,'Raw data'!H74='Real results'!D74),2,0),0),0),0)</f>
        <v>0</v>
      </c>
      <c r="I75" s="29">
        <f>IFERROR(IF(AND(ISNUMBER('Real results'!C74),ISNUMBER('Real results'!D74),ISNUMBER('Raw data'!I74),ISNUMBER('Raw data'!J74)),IF(SIGN('Raw data'!I74-'Raw data'!J74)=SIGN('Real results'!C74-'Real results'!D74),2+IF(AND('Raw data'!I74='Real results'!C74,'Raw data'!J74='Real results'!D74),2,0),0),0),0)</f>
        <v>0</v>
      </c>
      <c r="K75" s="29">
        <f>IFERROR(IF(AND(ISNUMBER('Real results'!C74),ISNUMBER('Real results'!D74),ISNUMBER('Raw data'!K74),ISNUMBER('Raw data'!L74)),IF(SIGN('Raw data'!K74-'Raw data'!L74)=SIGN('Real results'!C74-'Real results'!D74),2+IF(AND('Raw data'!K74='Real results'!C74,'Raw data'!L74='Real results'!D74),2,0),0),0),0)</f>
        <v>0</v>
      </c>
      <c r="M75" s="29">
        <f>IFERROR(IF(AND(ISNUMBER('Real results'!C74),ISNUMBER('Real results'!D74),ISNUMBER('Raw data'!M74),ISNUMBER('Raw data'!N74)),IF(SIGN('Raw data'!M74-'Raw data'!N74)=SIGN('Real results'!C74-'Real results'!D74),2+IF(AND('Raw data'!M74='Real results'!C74,'Raw data'!N74='Real results'!D74),2,0),0),0),0)</f>
        <v>0</v>
      </c>
      <c r="O75" s="29">
        <f>IFERROR(IF(AND(ISNUMBER('Real results'!C74),ISNUMBER('Real results'!D74),ISNUMBER('Raw data'!O74),ISNUMBER('Raw data'!P74)),IF(SIGN('Raw data'!O74-'Raw data'!P74)=SIGN('Real results'!C74-'Real results'!D74),2+IF(AND('Raw data'!O74='Real results'!C74,'Raw data'!P74='Real results'!D74),2,0),0),0),0)</f>
        <v>0</v>
      </c>
      <c r="Q75" s="29">
        <f>IFERROR(IF(AND(ISNUMBER('Real results'!C74),ISNUMBER('Real results'!D74),ISNUMBER('Raw data'!Q74),ISNUMBER('Raw data'!R74)),IF(SIGN('Raw data'!Q74-'Raw data'!R74)=SIGN('Real results'!C74-'Real results'!D74),2+IF(AND('Raw data'!Q74='Real results'!C74,'Raw data'!R74='Real results'!D74),2,0),0),0),0)</f>
        <v>0</v>
      </c>
      <c r="S75" s="29">
        <f>IFERROR(IF(AND(ISNUMBER('Real results'!C74),ISNUMBER('Real results'!D74),ISNUMBER('Raw data'!S74),ISNUMBER('Raw data'!T74)),IF(SIGN('Raw data'!S74-'Raw data'!T74)=SIGN('Real results'!C74-'Real results'!D74),2+IF(AND('Raw data'!S74='Real results'!C74,'Raw data'!T74='Real results'!D74),2,0),0),0),0)</f>
        <v>0</v>
      </c>
      <c r="U75" s="29">
        <f>IFERROR(IF(AND(ISNUMBER('Real results'!C74),ISNUMBER('Real results'!D74),ISNUMBER('Raw data'!U74),ISNUMBER('Raw data'!V74)),IF(SIGN('Raw data'!U74-'Raw data'!V74)=SIGN('Real results'!C74-'Real results'!D74),2+IF(AND('Raw data'!U74='Real results'!C74,'Raw data'!V74='Real results'!D74),2,0),0),0),0)</f>
        <v>0</v>
      </c>
      <c r="W75" s="29">
        <f>IFERROR(IF(AND(ISNUMBER('Real results'!C74),ISNUMBER('Real results'!D74),ISNUMBER('Raw data'!W74),ISNUMBER('Raw data'!X74)),IF(SIGN('Raw data'!W74-'Raw data'!X74)=SIGN('Real results'!C74-'Real results'!D74),2+IF(AND('Raw data'!W74='Real results'!C74,'Raw data'!X74='Real results'!D74),2,0),0),0),0)</f>
        <v>0</v>
      </c>
      <c r="Y75" s="29">
        <f>IFERROR(IF(AND(ISNUMBER('Real results'!C74),ISNUMBER('Real results'!D74),ISNUMBER('Raw data'!Y74),ISNUMBER('Raw data'!Z74)),IF(SIGN('Raw data'!Y74-'Raw data'!Z74)=SIGN('Real results'!C74-'Real results'!D74),2+IF(AND('Raw data'!Y74='Real results'!C74,'Raw data'!Z74='Real results'!D74),2,0),0),0),0)</f>
        <v>0</v>
      </c>
      <c r="AA75" s="29">
        <f>IFERROR(IF(AND(ISNUMBER('Real results'!C74),ISNUMBER('Real results'!D74),ISNUMBER('Raw data'!AA74),ISNUMBER('Raw data'!AB74)),IF(SIGN('Raw data'!AA74-'Raw data'!AB74)=SIGN('Real results'!C74-'Real results'!D74),2+IF(AND('Raw data'!AA74='Real results'!C74,'Raw data'!AB74='Real results'!D74),2,0),0),0),0)</f>
        <v>0</v>
      </c>
      <c r="AC75" s="29">
        <f>IFERROR(IF(AND(ISNUMBER('Real results'!C74),ISNUMBER('Real results'!D74),ISNUMBER('Raw data'!AC74),ISNUMBER('Raw data'!AD74)),IF(SIGN('Raw data'!AC74-'Raw data'!AD74)=SIGN('Real results'!C74-'Real results'!D74),2+IF(AND('Raw data'!AC74='Real results'!C74,'Raw data'!AD74='Real results'!D74),2,0),0),0),0)</f>
        <v>0</v>
      </c>
      <c r="AE75" s="29">
        <f>IFERROR(IF(AND(ISNUMBER('Real results'!C74),ISNUMBER('Real results'!D74),ISNUMBER('Raw data'!AE74),ISNUMBER('Raw data'!AF74)),IF(SIGN('Raw data'!AE74-'Raw data'!AF74)=SIGN('Real results'!C74-'Real results'!D74),2+IF(AND('Raw data'!AE74='Real results'!C74,'Raw data'!AF74='Real results'!D74),2,0),0),0),0)</f>
        <v>0</v>
      </c>
      <c r="AG75" s="29">
        <f>IFERROR(IF(AND(ISNUMBER('Real results'!C74),ISNUMBER('Real results'!D74),ISNUMBER('Raw data'!AG74),ISNUMBER('Raw data'!AH74)),IF(SIGN('Raw data'!AG74-'Raw data'!AH74)=SIGN('Real results'!C74-'Real results'!D74),2+IF(AND('Raw data'!AG74='Real results'!C74,'Raw data'!AH74='Real results'!D74),2,0),0),0),0)</f>
        <v>0</v>
      </c>
      <c r="AI75" s="29">
        <f>IFERROR(IF(AND(ISNUMBER('Real results'!C74),ISNUMBER('Real results'!D74),ISNUMBER('Raw data'!AI74),ISNUMBER('Raw data'!AJ74)),IF(SIGN('Raw data'!AI74-'Raw data'!AJ74)=SIGN('Real results'!C74-'Real results'!D74),2+IF(AND('Raw data'!AI74='Real results'!C74,'Raw data'!AJ74='Real results'!D74),2,0),0),0),0)</f>
        <v>0</v>
      </c>
      <c r="AK75" s="29">
        <f>IFERROR(IF(AND(ISNUMBER('Real results'!C74),ISNUMBER('Real results'!D74),ISNUMBER('Raw data'!AK74),ISNUMBER('Raw data'!AL74)),IF(SIGN('Raw data'!AK74-'Raw data'!AL74)=SIGN('Real results'!C74-'Real results'!D74),2+IF(AND('Raw data'!AK74='Real results'!C74,'Raw data'!AL74='Real results'!D74),2,0),0),0),0)</f>
        <v>0</v>
      </c>
      <c r="AM75" s="29">
        <f>IFERROR(IF(AND(ISNUMBER('Real results'!C74),ISNUMBER('Real results'!D74),ISNUMBER('Raw data'!AM74),ISNUMBER('Raw data'!AN74)),IF(SIGN('Raw data'!AM74-'Raw data'!AN74)=SIGN('Real results'!C74-'Real results'!D74),2+IF(AND('Raw data'!AM74='Real results'!C74,'Raw data'!AN74='Real results'!D74),2,0),0),0),0)</f>
        <v>0</v>
      </c>
      <c r="AO75" s="29">
        <f>IFERROR(IF(AND(ISNUMBER('Real results'!C74),ISNUMBER('Real results'!D74),ISNUMBER('Raw data'!AO74),ISNUMBER('Raw data'!AP74)),IF(SIGN('Raw data'!AO74-'Raw data'!AP74)=SIGN('Real results'!C74-'Real results'!D74),2+IF(AND('Raw data'!AO74='Real results'!C74,'Raw data'!AP74='Real results'!D74),2,0),0),0),0)</f>
        <v>0</v>
      </c>
      <c r="AQ75" s="29">
        <f>IFERROR(IF(AND(ISNUMBER('Real results'!C74),ISNUMBER('Real results'!D74),ISNUMBER('Raw data'!AQ74),ISNUMBER('Raw data'!AR74)),IF(SIGN('Raw data'!AQ74-'Raw data'!AR74)=SIGN('Real results'!C74-'Real results'!D74),2+IF(AND('Raw data'!AQ74='Real results'!C74,'Raw data'!AR74='Real results'!D74),2,0),0),0),0)</f>
        <v>0</v>
      </c>
      <c r="AS75" s="29">
        <f>IFERROR(IF(AND(ISNUMBER('Real results'!C74),ISNUMBER('Real results'!D74),ISNUMBER('Raw data'!AS74),ISNUMBER('Raw data'!AT74)),IF(SIGN('Raw data'!AS74-'Raw data'!AT74)=SIGN('Real results'!C74-'Real results'!D74),2+IF(AND('Raw data'!AS74='Real results'!C74,'Raw data'!AT74='Real results'!D74),2,0),0),0),0)</f>
        <v>0</v>
      </c>
      <c r="AU75" s="29">
        <f>IFERROR(IF(AND(ISNUMBER('Real results'!C74),ISNUMBER('Real results'!D74),ISNUMBER('Raw data'!AU74),ISNUMBER('Raw data'!AV74)),IF(SIGN('Raw data'!AU74-'Raw data'!AV74)=SIGN('Real results'!C74-'Real results'!D74),2+IF(AND('Raw data'!AU74='Real results'!C74,'Raw data'!AV74='Real results'!D74),2,0),0),0),0)</f>
        <v>0</v>
      </c>
      <c r="AW75" s="29">
        <f>IFERROR(IF(AND(ISNUMBER('Real results'!C74),ISNUMBER('Real results'!D74),ISNUMBER('Raw data'!AW74),ISNUMBER('Raw data'!AX74)),IF(SIGN('Raw data'!AW74-'Raw data'!AX74)=SIGN('Real results'!C74-'Real results'!D74),2+IF(AND('Raw data'!AW74='Real results'!C74,'Raw data'!AX74='Real results'!D74),2,0),0),0),0)</f>
        <v>0</v>
      </c>
      <c r="AY75" s="29">
        <f>IFERROR(IF(AND(ISNUMBER('Real results'!C74),ISNUMBER('Real results'!D74),ISNUMBER('Raw data'!AY74),ISNUMBER('Raw data'!AZ74)),IF(SIGN('Raw data'!AY74-'Raw data'!AZ74)=SIGN('Real results'!C74-'Real results'!D74),2+IF(AND('Raw data'!AY74='Real results'!C74,'Raw data'!AZ74='Real results'!D74),2,0),0),0),0)</f>
        <v>0</v>
      </c>
      <c r="BA75" s="29">
        <f>IFERROR(IF(AND(ISNUMBER('Real results'!C74),ISNUMBER('Real results'!D74),ISNUMBER('Raw data'!BA74),ISNUMBER('Raw data'!BB74)),IF(SIGN('Raw data'!BA74-'Raw data'!BB74)=SIGN('Real results'!C74-'Real results'!D74),2+IF(AND('Raw data'!BA74='Real results'!C74,'Raw data'!BB74='Real results'!D74),2,0),0),0),0)</f>
        <v>0</v>
      </c>
      <c r="BC75" s="29">
        <f>IFERROR(IF(AND(ISNUMBER('Real results'!C74),ISNUMBER('Real results'!D74),ISNUMBER('Raw data'!BC74),ISNUMBER('Raw data'!BD74)),IF(SIGN('Raw data'!BC74-'Raw data'!BD74)=SIGN('Real results'!C74-'Real results'!D74),2+IF(AND('Raw data'!BC74='Real results'!C74,'Raw data'!BD74='Real results'!D74),2,0),0),0),0)</f>
        <v>0</v>
      </c>
      <c r="BE75" s="29">
        <f>IFERROR(IF(AND(ISNUMBER('Real results'!C74),ISNUMBER('Real results'!D74),ISNUMBER('Raw data'!BE74),ISNUMBER('Raw data'!BF74)),IF(SIGN('Raw data'!BE74-'Raw data'!BF74)=SIGN('Real results'!C74-'Real results'!D74),2+IF(AND('Raw data'!BE74='Real results'!C74,'Raw data'!BF74='Real results'!D74),2,0),0),0),0)</f>
        <v>0</v>
      </c>
      <c r="BG75" s="29">
        <f>IFERROR(IF(AND(ISNUMBER('Real results'!C74),ISNUMBER('Real results'!D74),ISNUMBER('Raw data'!BG74),ISNUMBER('Raw data'!BH74)),IF(SIGN('Raw data'!BG74-'Raw data'!BH74)=SIGN('Real results'!C74-'Real results'!D74),2+IF(AND('Raw data'!BG74='Real results'!C74,'Raw data'!BH74='Real results'!D74),2,0),0),0),0)</f>
        <v>0</v>
      </c>
      <c r="BI75" s="29">
        <f>IFERROR(IF(AND(ISNUMBER('Real results'!C74),ISNUMBER('Real results'!D74),ISNUMBER('Raw data'!BI74),ISNUMBER('Raw data'!BJ74)),IF(SIGN('Raw data'!BI74-'Raw data'!BJ74)=SIGN('Real results'!C74-'Real results'!D74),2+IF(AND('Raw data'!BI74='Real results'!C74,'Raw data'!BJ74='Real results'!D74),2,0),0),0),0)</f>
        <v>0</v>
      </c>
    </row>
    <row r="76" ht="18.0" customHeight="1">
      <c r="A76" s="1"/>
      <c r="B76" s="13" t="s">
        <v>95</v>
      </c>
      <c r="C76" s="29">
        <f>IFERROR(IF(AND(ISNUMBER('Real results'!C75),ISNUMBER('Real results'!D75),ISNUMBER('Raw data'!C75),ISNUMBER('Raw data'!D75)),IF(SIGN('Raw data'!C75-'Raw data'!D75)=SIGN('Real results'!C75-'Real results'!D75),2+IF(AND('Raw data'!C75='Real results'!C75,'Raw data'!D75='Real results'!D75),2,0),0),0),0)</f>
        <v>0</v>
      </c>
      <c r="E76" s="29">
        <f>IFERROR(IF(AND(ISNUMBER('Real results'!C75),ISNUMBER('Real results'!D75),ISNUMBER('Raw data'!E75),ISNUMBER('Raw data'!F75)),IF(SIGN('Raw data'!E75-'Raw data'!F75)=SIGN('Real results'!C75-'Real results'!D75),2+IF(AND('Raw data'!E75='Real results'!C75,'Raw data'!F75='Real results'!D75),2,0),0),0),0)</f>
        <v>0</v>
      </c>
      <c r="G76" s="29">
        <f>IFERROR(IF(AND(ISNUMBER('Real results'!C75),ISNUMBER('Real results'!D75),ISNUMBER('Raw data'!G75),ISNUMBER('Raw data'!H75)),IF(SIGN('Raw data'!G75-'Raw data'!H75)=SIGN('Real results'!C75-'Real results'!D75),2+IF(AND('Raw data'!G75='Real results'!C75,'Raw data'!H75='Real results'!D75),2,0),0),0),0)</f>
        <v>0</v>
      </c>
      <c r="I76" s="29">
        <f>IFERROR(IF(AND(ISNUMBER('Real results'!C75),ISNUMBER('Real results'!D75),ISNUMBER('Raw data'!I75),ISNUMBER('Raw data'!J75)),IF(SIGN('Raw data'!I75-'Raw data'!J75)=SIGN('Real results'!C75-'Real results'!D75),2+IF(AND('Raw data'!I75='Real results'!C75,'Raw data'!J75='Real results'!D75),2,0),0),0),0)</f>
        <v>0</v>
      </c>
      <c r="K76" s="29">
        <f>IFERROR(IF(AND(ISNUMBER('Real results'!C75),ISNUMBER('Real results'!D75),ISNUMBER('Raw data'!K75),ISNUMBER('Raw data'!L75)),IF(SIGN('Raw data'!K75-'Raw data'!L75)=SIGN('Real results'!C75-'Real results'!D75),2+IF(AND('Raw data'!K75='Real results'!C75,'Raw data'!L75='Real results'!D75),2,0),0),0),0)</f>
        <v>0</v>
      </c>
      <c r="M76" s="29">
        <f>IFERROR(IF(AND(ISNUMBER('Real results'!C75),ISNUMBER('Real results'!D75),ISNUMBER('Raw data'!M75),ISNUMBER('Raw data'!N75)),IF(SIGN('Raw data'!M75-'Raw data'!N75)=SIGN('Real results'!C75-'Real results'!D75),2+IF(AND('Raw data'!M75='Real results'!C75,'Raw data'!N75='Real results'!D75),2,0),0),0),0)</f>
        <v>0</v>
      </c>
      <c r="O76" s="29">
        <f>IFERROR(IF(AND(ISNUMBER('Real results'!C75),ISNUMBER('Real results'!D75),ISNUMBER('Raw data'!O75),ISNUMBER('Raw data'!P75)),IF(SIGN('Raw data'!O75-'Raw data'!P75)=SIGN('Real results'!C75-'Real results'!D75),2+IF(AND('Raw data'!O75='Real results'!C75,'Raw data'!P75='Real results'!D75),2,0),0),0),0)</f>
        <v>0</v>
      </c>
      <c r="Q76" s="29">
        <f>IFERROR(IF(AND(ISNUMBER('Real results'!C75),ISNUMBER('Real results'!D75),ISNUMBER('Raw data'!Q75),ISNUMBER('Raw data'!R75)),IF(SIGN('Raw data'!Q75-'Raw data'!R75)=SIGN('Real results'!C75-'Real results'!D75),2+IF(AND('Raw data'!Q75='Real results'!C75,'Raw data'!R75='Real results'!D75),2,0),0),0),0)</f>
        <v>0</v>
      </c>
      <c r="S76" s="29">
        <f>IFERROR(IF(AND(ISNUMBER('Real results'!C75),ISNUMBER('Real results'!D75),ISNUMBER('Raw data'!S75),ISNUMBER('Raw data'!T75)),IF(SIGN('Raw data'!S75-'Raw data'!T75)=SIGN('Real results'!C75-'Real results'!D75),2+IF(AND('Raw data'!S75='Real results'!C75,'Raw data'!T75='Real results'!D75),2,0),0),0),0)</f>
        <v>0</v>
      </c>
      <c r="U76" s="29">
        <f>IFERROR(IF(AND(ISNUMBER('Real results'!C75),ISNUMBER('Real results'!D75),ISNUMBER('Raw data'!U75),ISNUMBER('Raw data'!V75)),IF(SIGN('Raw data'!U75-'Raw data'!V75)=SIGN('Real results'!C75-'Real results'!D75),2+IF(AND('Raw data'!U75='Real results'!C75,'Raw data'!V75='Real results'!D75),2,0),0),0),0)</f>
        <v>0</v>
      </c>
      <c r="W76" s="29">
        <f>IFERROR(IF(AND(ISNUMBER('Real results'!C75),ISNUMBER('Real results'!D75),ISNUMBER('Raw data'!W75),ISNUMBER('Raw data'!X75)),IF(SIGN('Raw data'!W75-'Raw data'!X75)=SIGN('Real results'!C75-'Real results'!D75),2+IF(AND('Raw data'!W75='Real results'!C75,'Raw data'!X75='Real results'!D75),2,0),0),0),0)</f>
        <v>0</v>
      </c>
      <c r="Y76" s="29">
        <f>IFERROR(IF(AND(ISNUMBER('Real results'!C75),ISNUMBER('Real results'!D75),ISNUMBER('Raw data'!Y75),ISNUMBER('Raw data'!Z75)),IF(SIGN('Raw data'!Y75-'Raw data'!Z75)=SIGN('Real results'!C75-'Real results'!D75),2+IF(AND('Raw data'!Y75='Real results'!C75,'Raw data'!Z75='Real results'!D75),2,0),0),0),0)</f>
        <v>0</v>
      </c>
      <c r="AA76" s="29">
        <f>IFERROR(IF(AND(ISNUMBER('Real results'!C75),ISNUMBER('Real results'!D75),ISNUMBER('Raw data'!AA75),ISNUMBER('Raw data'!AB75)),IF(SIGN('Raw data'!AA75-'Raw data'!AB75)=SIGN('Real results'!C75-'Real results'!D75),2+IF(AND('Raw data'!AA75='Real results'!C75,'Raw data'!AB75='Real results'!D75),2,0),0),0),0)</f>
        <v>0</v>
      </c>
      <c r="AC76" s="29">
        <f>IFERROR(IF(AND(ISNUMBER('Real results'!C75),ISNUMBER('Real results'!D75),ISNUMBER('Raw data'!AC75),ISNUMBER('Raw data'!AD75)),IF(SIGN('Raw data'!AC75-'Raw data'!AD75)=SIGN('Real results'!C75-'Real results'!D75),2+IF(AND('Raw data'!AC75='Real results'!C75,'Raw data'!AD75='Real results'!D75),2,0),0),0),0)</f>
        <v>0</v>
      </c>
      <c r="AE76" s="29">
        <f>IFERROR(IF(AND(ISNUMBER('Real results'!C75),ISNUMBER('Real results'!D75),ISNUMBER('Raw data'!AE75),ISNUMBER('Raw data'!AF75)),IF(SIGN('Raw data'!AE75-'Raw data'!AF75)=SIGN('Real results'!C75-'Real results'!D75),2+IF(AND('Raw data'!AE75='Real results'!C75,'Raw data'!AF75='Real results'!D75),2,0),0),0),0)</f>
        <v>0</v>
      </c>
      <c r="AG76" s="29">
        <f>IFERROR(IF(AND(ISNUMBER('Real results'!C75),ISNUMBER('Real results'!D75),ISNUMBER('Raw data'!AG75),ISNUMBER('Raw data'!AH75)),IF(SIGN('Raw data'!AG75-'Raw data'!AH75)=SIGN('Real results'!C75-'Real results'!D75),2+IF(AND('Raw data'!AG75='Real results'!C75,'Raw data'!AH75='Real results'!D75),2,0),0),0),0)</f>
        <v>0</v>
      </c>
      <c r="AI76" s="29">
        <f>IFERROR(IF(AND(ISNUMBER('Real results'!C75),ISNUMBER('Real results'!D75),ISNUMBER('Raw data'!AI75),ISNUMBER('Raw data'!AJ75)),IF(SIGN('Raw data'!AI75-'Raw data'!AJ75)=SIGN('Real results'!C75-'Real results'!D75),2+IF(AND('Raw data'!AI75='Real results'!C75,'Raw data'!AJ75='Real results'!D75),2,0),0),0),0)</f>
        <v>0</v>
      </c>
      <c r="AK76" s="29">
        <f>IFERROR(IF(AND(ISNUMBER('Real results'!C75),ISNUMBER('Real results'!D75),ISNUMBER('Raw data'!AK75),ISNUMBER('Raw data'!AL75)),IF(SIGN('Raw data'!AK75-'Raw data'!AL75)=SIGN('Real results'!C75-'Real results'!D75),2+IF(AND('Raw data'!AK75='Real results'!C75,'Raw data'!AL75='Real results'!D75),2,0),0),0),0)</f>
        <v>0</v>
      </c>
      <c r="AM76" s="29">
        <f>IFERROR(IF(AND(ISNUMBER('Real results'!C75),ISNUMBER('Real results'!D75),ISNUMBER('Raw data'!AM75),ISNUMBER('Raw data'!AN75)),IF(SIGN('Raw data'!AM75-'Raw data'!AN75)=SIGN('Real results'!C75-'Real results'!D75),2+IF(AND('Raw data'!AM75='Real results'!C75,'Raw data'!AN75='Real results'!D75),2,0),0),0),0)</f>
        <v>0</v>
      </c>
      <c r="AO76" s="29">
        <f>IFERROR(IF(AND(ISNUMBER('Real results'!C75),ISNUMBER('Real results'!D75),ISNUMBER('Raw data'!AO75),ISNUMBER('Raw data'!AP75)),IF(SIGN('Raw data'!AO75-'Raw data'!AP75)=SIGN('Real results'!C75-'Real results'!D75),2+IF(AND('Raw data'!AO75='Real results'!C75,'Raw data'!AP75='Real results'!D75),2,0),0),0),0)</f>
        <v>0</v>
      </c>
      <c r="AQ76" s="29">
        <f>IFERROR(IF(AND(ISNUMBER('Real results'!C75),ISNUMBER('Real results'!D75),ISNUMBER('Raw data'!AQ75),ISNUMBER('Raw data'!AR75)),IF(SIGN('Raw data'!AQ75-'Raw data'!AR75)=SIGN('Real results'!C75-'Real results'!D75),2+IF(AND('Raw data'!AQ75='Real results'!C75,'Raw data'!AR75='Real results'!D75),2,0),0),0),0)</f>
        <v>0</v>
      </c>
      <c r="AS76" s="29">
        <f>IFERROR(IF(AND(ISNUMBER('Real results'!C75),ISNUMBER('Real results'!D75),ISNUMBER('Raw data'!AS75),ISNUMBER('Raw data'!AT75)),IF(SIGN('Raw data'!AS75-'Raw data'!AT75)=SIGN('Real results'!C75-'Real results'!D75),2+IF(AND('Raw data'!AS75='Real results'!C75,'Raw data'!AT75='Real results'!D75),2,0),0),0),0)</f>
        <v>0</v>
      </c>
      <c r="AU76" s="29">
        <f>IFERROR(IF(AND(ISNUMBER('Real results'!C75),ISNUMBER('Real results'!D75),ISNUMBER('Raw data'!AU75),ISNUMBER('Raw data'!AV75)),IF(SIGN('Raw data'!AU75-'Raw data'!AV75)=SIGN('Real results'!C75-'Real results'!D75),2+IF(AND('Raw data'!AU75='Real results'!C75,'Raw data'!AV75='Real results'!D75),2,0),0),0),0)</f>
        <v>0</v>
      </c>
      <c r="AW76" s="29">
        <f>IFERROR(IF(AND(ISNUMBER('Real results'!C75),ISNUMBER('Real results'!D75),ISNUMBER('Raw data'!AW75),ISNUMBER('Raw data'!AX75)),IF(SIGN('Raw data'!AW75-'Raw data'!AX75)=SIGN('Real results'!C75-'Real results'!D75),2+IF(AND('Raw data'!AW75='Real results'!C75,'Raw data'!AX75='Real results'!D75),2,0),0),0),0)</f>
        <v>0</v>
      </c>
      <c r="AY76" s="29">
        <f>IFERROR(IF(AND(ISNUMBER('Real results'!C75),ISNUMBER('Real results'!D75),ISNUMBER('Raw data'!AY75),ISNUMBER('Raw data'!AZ75)),IF(SIGN('Raw data'!AY75-'Raw data'!AZ75)=SIGN('Real results'!C75-'Real results'!D75),2+IF(AND('Raw data'!AY75='Real results'!C75,'Raw data'!AZ75='Real results'!D75),2,0),0),0),0)</f>
        <v>0</v>
      </c>
      <c r="BA76" s="29">
        <f>IFERROR(IF(AND(ISNUMBER('Real results'!C75),ISNUMBER('Real results'!D75),ISNUMBER('Raw data'!BA75),ISNUMBER('Raw data'!BB75)),IF(SIGN('Raw data'!BA75-'Raw data'!BB75)=SIGN('Real results'!C75-'Real results'!D75),2+IF(AND('Raw data'!BA75='Real results'!C75,'Raw data'!BB75='Real results'!D75),2,0),0),0),0)</f>
        <v>0</v>
      </c>
      <c r="BC76" s="29">
        <f>IFERROR(IF(AND(ISNUMBER('Real results'!C75),ISNUMBER('Real results'!D75),ISNUMBER('Raw data'!BC75),ISNUMBER('Raw data'!BD75)),IF(SIGN('Raw data'!BC75-'Raw data'!BD75)=SIGN('Real results'!C75-'Real results'!D75),2+IF(AND('Raw data'!BC75='Real results'!C75,'Raw data'!BD75='Real results'!D75),2,0),0),0),0)</f>
        <v>0</v>
      </c>
      <c r="BE76" s="29">
        <f>IFERROR(IF(AND(ISNUMBER('Real results'!C75),ISNUMBER('Real results'!D75),ISNUMBER('Raw data'!BE75),ISNUMBER('Raw data'!BF75)),IF(SIGN('Raw data'!BE75-'Raw data'!BF75)=SIGN('Real results'!C75-'Real results'!D75),2+IF(AND('Raw data'!BE75='Real results'!C75,'Raw data'!BF75='Real results'!D75),2,0),0),0),0)</f>
        <v>0</v>
      </c>
      <c r="BG76" s="29">
        <f>IFERROR(IF(AND(ISNUMBER('Real results'!C75),ISNUMBER('Real results'!D75),ISNUMBER('Raw data'!BG75),ISNUMBER('Raw data'!BH75)),IF(SIGN('Raw data'!BG75-'Raw data'!BH75)=SIGN('Real results'!C75-'Real results'!D75),2+IF(AND('Raw data'!BG75='Real results'!C75,'Raw data'!BH75='Real results'!D75),2,0),0),0),0)</f>
        <v>0</v>
      </c>
      <c r="BI76" s="29">
        <f>IFERROR(IF(AND(ISNUMBER('Real results'!C75),ISNUMBER('Real results'!D75),ISNUMBER('Raw data'!BI75),ISNUMBER('Raw data'!BJ75)),IF(SIGN('Raw data'!BI75-'Raw data'!BJ75)=SIGN('Real results'!C75-'Real results'!D75),2+IF(AND('Raw data'!BI75='Real results'!C75,'Raw data'!BJ75='Real results'!D75),2,0),0),0),0)</f>
        <v>0</v>
      </c>
    </row>
    <row r="77" ht="18.0" customHeight="1">
      <c r="A77" s="1"/>
      <c r="B77" s="13" t="s">
        <v>96</v>
      </c>
      <c r="C77" s="29">
        <f>IFERROR(IF(AND(ISNUMBER('Real results'!C76),ISNUMBER('Real results'!D76),ISNUMBER('Raw data'!C76),ISNUMBER('Raw data'!D76)),IF(SIGN('Raw data'!C76-'Raw data'!D76)=SIGN('Real results'!C76-'Real results'!D76),2+IF(AND('Raw data'!C76='Real results'!C76,'Raw data'!D76='Real results'!D76),2,0),0),0),0)</f>
        <v>0</v>
      </c>
      <c r="E77" s="29">
        <f>IFERROR(IF(AND(ISNUMBER('Real results'!C76),ISNUMBER('Real results'!D76),ISNUMBER('Raw data'!E76),ISNUMBER('Raw data'!F76)),IF(SIGN('Raw data'!E76-'Raw data'!F76)=SIGN('Real results'!C76-'Real results'!D76),2+IF(AND('Raw data'!E76='Real results'!C76,'Raw data'!F76='Real results'!D76),2,0),0),0),0)</f>
        <v>0</v>
      </c>
      <c r="G77" s="29">
        <f>IFERROR(IF(AND(ISNUMBER('Real results'!C76),ISNUMBER('Real results'!D76),ISNUMBER('Raw data'!G76),ISNUMBER('Raw data'!H76)),IF(SIGN('Raw data'!G76-'Raw data'!H76)=SIGN('Real results'!C76-'Real results'!D76),2+IF(AND('Raw data'!G76='Real results'!C76,'Raw data'!H76='Real results'!D76),2,0),0),0),0)</f>
        <v>0</v>
      </c>
      <c r="I77" s="29">
        <f>IFERROR(IF(AND(ISNUMBER('Real results'!C76),ISNUMBER('Real results'!D76),ISNUMBER('Raw data'!I76),ISNUMBER('Raw data'!J76)),IF(SIGN('Raw data'!I76-'Raw data'!J76)=SIGN('Real results'!C76-'Real results'!D76),2+IF(AND('Raw data'!I76='Real results'!C76,'Raw data'!J76='Real results'!D76),2,0),0),0),0)</f>
        <v>0</v>
      </c>
      <c r="K77" s="29">
        <f>IFERROR(IF(AND(ISNUMBER('Real results'!C76),ISNUMBER('Real results'!D76),ISNUMBER('Raw data'!K76),ISNUMBER('Raw data'!L76)),IF(SIGN('Raw data'!K76-'Raw data'!L76)=SIGN('Real results'!C76-'Real results'!D76),2+IF(AND('Raw data'!K76='Real results'!C76,'Raw data'!L76='Real results'!D76),2,0),0),0),0)</f>
        <v>0</v>
      </c>
      <c r="M77" s="29">
        <f>IFERROR(IF(AND(ISNUMBER('Real results'!C76),ISNUMBER('Real results'!D76),ISNUMBER('Raw data'!M76),ISNUMBER('Raw data'!N76)),IF(SIGN('Raw data'!M76-'Raw data'!N76)=SIGN('Real results'!C76-'Real results'!D76),2+IF(AND('Raw data'!M76='Real results'!C76,'Raw data'!N76='Real results'!D76),2,0),0),0),0)</f>
        <v>0</v>
      </c>
      <c r="O77" s="29">
        <f>IFERROR(IF(AND(ISNUMBER('Real results'!C76),ISNUMBER('Real results'!D76),ISNUMBER('Raw data'!O76),ISNUMBER('Raw data'!P76)),IF(SIGN('Raw data'!O76-'Raw data'!P76)=SIGN('Real results'!C76-'Real results'!D76),2+IF(AND('Raw data'!O76='Real results'!C76,'Raw data'!P76='Real results'!D76),2,0),0),0),0)</f>
        <v>0</v>
      </c>
      <c r="Q77" s="29">
        <f>IFERROR(IF(AND(ISNUMBER('Real results'!C76),ISNUMBER('Real results'!D76),ISNUMBER('Raw data'!Q76),ISNUMBER('Raw data'!R76)),IF(SIGN('Raw data'!Q76-'Raw data'!R76)=SIGN('Real results'!C76-'Real results'!D76),2+IF(AND('Raw data'!Q76='Real results'!C76,'Raw data'!R76='Real results'!D76),2,0),0),0),0)</f>
        <v>0</v>
      </c>
      <c r="S77" s="29">
        <f>IFERROR(IF(AND(ISNUMBER('Real results'!C76),ISNUMBER('Real results'!D76),ISNUMBER('Raw data'!S76),ISNUMBER('Raw data'!T76)),IF(SIGN('Raw data'!S76-'Raw data'!T76)=SIGN('Real results'!C76-'Real results'!D76),2+IF(AND('Raw data'!S76='Real results'!C76,'Raw data'!T76='Real results'!D76),2,0),0),0),0)</f>
        <v>0</v>
      </c>
      <c r="U77" s="29">
        <f>IFERROR(IF(AND(ISNUMBER('Real results'!C76),ISNUMBER('Real results'!D76),ISNUMBER('Raw data'!U76),ISNUMBER('Raw data'!V76)),IF(SIGN('Raw data'!U76-'Raw data'!V76)=SIGN('Real results'!C76-'Real results'!D76),2+IF(AND('Raw data'!U76='Real results'!C76,'Raw data'!V76='Real results'!D76),2,0),0),0),0)</f>
        <v>0</v>
      </c>
      <c r="W77" s="29">
        <f>IFERROR(IF(AND(ISNUMBER('Real results'!C76),ISNUMBER('Real results'!D76),ISNUMBER('Raw data'!W76),ISNUMBER('Raw data'!X76)),IF(SIGN('Raw data'!W76-'Raw data'!X76)=SIGN('Real results'!C76-'Real results'!D76),2+IF(AND('Raw data'!W76='Real results'!C76,'Raw data'!X76='Real results'!D76),2,0),0),0),0)</f>
        <v>0</v>
      </c>
      <c r="Y77" s="29">
        <f>IFERROR(IF(AND(ISNUMBER('Real results'!C76),ISNUMBER('Real results'!D76),ISNUMBER('Raw data'!Y76),ISNUMBER('Raw data'!Z76)),IF(SIGN('Raw data'!Y76-'Raw data'!Z76)=SIGN('Real results'!C76-'Real results'!D76),2+IF(AND('Raw data'!Y76='Real results'!C76,'Raw data'!Z76='Real results'!D76),2,0),0),0),0)</f>
        <v>0</v>
      </c>
      <c r="AA77" s="29">
        <f>IFERROR(IF(AND(ISNUMBER('Real results'!C76),ISNUMBER('Real results'!D76),ISNUMBER('Raw data'!AA76),ISNUMBER('Raw data'!AB76)),IF(SIGN('Raw data'!AA76-'Raw data'!AB76)=SIGN('Real results'!C76-'Real results'!D76),2+IF(AND('Raw data'!AA76='Real results'!C76,'Raw data'!AB76='Real results'!D76),2,0),0),0),0)</f>
        <v>0</v>
      </c>
      <c r="AC77" s="29">
        <f>IFERROR(IF(AND(ISNUMBER('Real results'!C76),ISNUMBER('Real results'!D76),ISNUMBER('Raw data'!AC76),ISNUMBER('Raw data'!AD76)),IF(SIGN('Raw data'!AC76-'Raw data'!AD76)=SIGN('Real results'!C76-'Real results'!D76),2+IF(AND('Raw data'!AC76='Real results'!C76,'Raw data'!AD76='Real results'!D76),2,0),0),0),0)</f>
        <v>0</v>
      </c>
      <c r="AE77" s="29">
        <f>IFERROR(IF(AND(ISNUMBER('Real results'!C76),ISNUMBER('Real results'!D76),ISNUMBER('Raw data'!AE76),ISNUMBER('Raw data'!AF76)),IF(SIGN('Raw data'!AE76-'Raw data'!AF76)=SIGN('Real results'!C76-'Real results'!D76),2+IF(AND('Raw data'!AE76='Real results'!C76,'Raw data'!AF76='Real results'!D76),2,0),0),0),0)</f>
        <v>0</v>
      </c>
      <c r="AG77" s="29">
        <f>IFERROR(IF(AND(ISNUMBER('Real results'!C76),ISNUMBER('Real results'!D76),ISNUMBER('Raw data'!AG76),ISNUMBER('Raw data'!AH76)),IF(SIGN('Raw data'!AG76-'Raw data'!AH76)=SIGN('Real results'!C76-'Real results'!D76),2+IF(AND('Raw data'!AG76='Real results'!C76,'Raw data'!AH76='Real results'!D76),2,0),0),0),0)</f>
        <v>0</v>
      </c>
      <c r="AI77" s="29">
        <f>IFERROR(IF(AND(ISNUMBER('Real results'!C76),ISNUMBER('Real results'!D76),ISNUMBER('Raw data'!AI76),ISNUMBER('Raw data'!AJ76)),IF(SIGN('Raw data'!AI76-'Raw data'!AJ76)=SIGN('Real results'!C76-'Real results'!D76),2+IF(AND('Raw data'!AI76='Real results'!C76,'Raw data'!AJ76='Real results'!D76),2,0),0),0),0)</f>
        <v>0</v>
      </c>
      <c r="AK77" s="29">
        <f>IFERROR(IF(AND(ISNUMBER('Real results'!C76),ISNUMBER('Real results'!D76),ISNUMBER('Raw data'!AK76),ISNUMBER('Raw data'!AL76)),IF(SIGN('Raw data'!AK76-'Raw data'!AL76)=SIGN('Real results'!C76-'Real results'!D76),2+IF(AND('Raw data'!AK76='Real results'!C76,'Raw data'!AL76='Real results'!D76),2,0),0),0),0)</f>
        <v>0</v>
      </c>
      <c r="AM77" s="29">
        <f>IFERROR(IF(AND(ISNUMBER('Real results'!C76),ISNUMBER('Real results'!D76),ISNUMBER('Raw data'!AM76),ISNUMBER('Raw data'!AN76)),IF(SIGN('Raw data'!AM76-'Raw data'!AN76)=SIGN('Real results'!C76-'Real results'!D76),2+IF(AND('Raw data'!AM76='Real results'!C76,'Raw data'!AN76='Real results'!D76),2,0),0),0),0)</f>
        <v>0</v>
      </c>
      <c r="AO77" s="29">
        <f>IFERROR(IF(AND(ISNUMBER('Real results'!C76),ISNUMBER('Real results'!D76),ISNUMBER('Raw data'!AO76),ISNUMBER('Raw data'!AP76)),IF(SIGN('Raw data'!AO76-'Raw data'!AP76)=SIGN('Real results'!C76-'Real results'!D76),2+IF(AND('Raw data'!AO76='Real results'!C76,'Raw data'!AP76='Real results'!D76),2,0),0),0),0)</f>
        <v>0</v>
      </c>
      <c r="AQ77" s="29">
        <f>IFERROR(IF(AND(ISNUMBER('Real results'!C76),ISNUMBER('Real results'!D76),ISNUMBER('Raw data'!AQ76),ISNUMBER('Raw data'!AR76)),IF(SIGN('Raw data'!AQ76-'Raw data'!AR76)=SIGN('Real results'!C76-'Real results'!D76),2+IF(AND('Raw data'!AQ76='Real results'!C76,'Raw data'!AR76='Real results'!D76),2,0),0),0),0)</f>
        <v>0</v>
      </c>
      <c r="AS77" s="29">
        <f>IFERROR(IF(AND(ISNUMBER('Real results'!C76),ISNUMBER('Real results'!D76),ISNUMBER('Raw data'!AS76),ISNUMBER('Raw data'!AT76)),IF(SIGN('Raw data'!AS76-'Raw data'!AT76)=SIGN('Real results'!C76-'Real results'!D76),2+IF(AND('Raw data'!AS76='Real results'!C76,'Raw data'!AT76='Real results'!D76),2,0),0),0),0)</f>
        <v>0</v>
      </c>
      <c r="AU77" s="29">
        <f>IFERROR(IF(AND(ISNUMBER('Real results'!C76),ISNUMBER('Real results'!D76),ISNUMBER('Raw data'!AU76),ISNUMBER('Raw data'!AV76)),IF(SIGN('Raw data'!AU76-'Raw data'!AV76)=SIGN('Real results'!C76-'Real results'!D76),2+IF(AND('Raw data'!AU76='Real results'!C76,'Raw data'!AV76='Real results'!D76),2,0),0),0),0)</f>
        <v>0</v>
      </c>
      <c r="AW77" s="29">
        <f>IFERROR(IF(AND(ISNUMBER('Real results'!C76),ISNUMBER('Real results'!D76),ISNUMBER('Raw data'!AW76),ISNUMBER('Raw data'!AX76)),IF(SIGN('Raw data'!AW76-'Raw data'!AX76)=SIGN('Real results'!C76-'Real results'!D76),2+IF(AND('Raw data'!AW76='Real results'!C76,'Raw data'!AX76='Real results'!D76),2,0),0),0),0)</f>
        <v>0</v>
      </c>
      <c r="AY77" s="29">
        <f>IFERROR(IF(AND(ISNUMBER('Real results'!C76),ISNUMBER('Real results'!D76),ISNUMBER('Raw data'!AY76),ISNUMBER('Raw data'!AZ76)),IF(SIGN('Raw data'!AY76-'Raw data'!AZ76)=SIGN('Real results'!C76-'Real results'!D76),2+IF(AND('Raw data'!AY76='Real results'!C76,'Raw data'!AZ76='Real results'!D76),2,0),0),0),0)</f>
        <v>0</v>
      </c>
      <c r="BA77" s="29">
        <f>IFERROR(IF(AND(ISNUMBER('Real results'!C76),ISNUMBER('Real results'!D76),ISNUMBER('Raw data'!BA76),ISNUMBER('Raw data'!BB76)),IF(SIGN('Raw data'!BA76-'Raw data'!BB76)=SIGN('Real results'!C76-'Real results'!D76),2+IF(AND('Raw data'!BA76='Real results'!C76,'Raw data'!BB76='Real results'!D76),2,0),0),0),0)</f>
        <v>0</v>
      </c>
      <c r="BC77" s="29">
        <f>IFERROR(IF(AND(ISNUMBER('Real results'!C76),ISNUMBER('Real results'!D76),ISNUMBER('Raw data'!BC76),ISNUMBER('Raw data'!BD76)),IF(SIGN('Raw data'!BC76-'Raw data'!BD76)=SIGN('Real results'!C76-'Real results'!D76),2+IF(AND('Raw data'!BC76='Real results'!C76,'Raw data'!BD76='Real results'!D76),2,0),0),0),0)</f>
        <v>0</v>
      </c>
      <c r="BE77" s="29">
        <f>IFERROR(IF(AND(ISNUMBER('Real results'!C76),ISNUMBER('Real results'!D76),ISNUMBER('Raw data'!BE76),ISNUMBER('Raw data'!BF76)),IF(SIGN('Raw data'!BE76-'Raw data'!BF76)=SIGN('Real results'!C76-'Real results'!D76),2+IF(AND('Raw data'!BE76='Real results'!C76,'Raw data'!BF76='Real results'!D76),2,0),0),0),0)</f>
        <v>0</v>
      </c>
      <c r="BG77" s="29">
        <f>IFERROR(IF(AND(ISNUMBER('Real results'!C76),ISNUMBER('Real results'!D76),ISNUMBER('Raw data'!BG76),ISNUMBER('Raw data'!BH76)),IF(SIGN('Raw data'!BG76-'Raw data'!BH76)=SIGN('Real results'!C76-'Real results'!D76),2+IF(AND('Raw data'!BG76='Real results'!C76,'Raw data'!BH76='Real results'!D76),2,0),0),0),0)</f>
        <v>0</v>
      </c>
      <c r="BI77" s="29">
        <f>IFERROR(IF(AND(ISNUMBER('Real results'!C76),ISNUMBER('Real results'!D76),ISNUMBER('Raw data'!BI76),ISNUMBER('Raw data'!BJ76)),IF(SIGN('Raw data'!BI76-'Raw data'!BJ76)=SIGN('Real results'!C76-'Real results'!D76),2+IF(AND('Raw data'!BI76='Real results'!C76,'Raw data'!BJ76='Real results'!D76),2,0),0),0),0)</f>
        <v>0</v>
      </c>
    </row>
    <row r="78" ht="18.0" customHeight="1">
      <c r="A78" s="1"/>
      <c r="B78" s="13" t="s">
        <v>97</v>
      </c>
      <c r="C78" s="29">
        <f>IFERROR(IF(AND(ISNUMBER('Real results'!C77),ISNUMBER('Real results'!D77),ISNUMBER('Raw data'!C77),ISNUMBER('Raw data'!D77)),IF(SIGN('Raw data'!C77-'Raw data'!D77)=SIGN('Real results'!C77-'Real results'!D77),2+IF(AND('Raw data'!C77='Real results'!C77,'Raw data'!D77='Real results'!D77),2,0),0),0),0)</f>
        <v>0</v>
      </c>
      <c r="E78" s="29">
        <f>IFERROR(IF(AND(ISNUMBER('Real results'!C77),ISNUMBER('Real results'!D77),ISNUMBER('Raw data'!E77),ISNUMBER('Raw data'!F77)),IF(SIGN('Raw data'!E77-'Raw data'!F77)=SIGN('Real results'!C77-'Real results'!D77),2+IF(AND('Raw data'!E77='Real results'!C77,'Raw data'!F77='Real results'!D77),2,0),0),0),0)</f>
        <v>0</v>
      </c>
      <c r="G78" s="29">
        <f>IFERROR(IF(AND(ISNUMBER('Real results'!C77),ISNUMBER('Real results'!D77),ISNUMBER('Raw data'!G77),ISNUMBER('Raw data'!H77)),IF(SIGN('Raw data'!G77-'Raw data'!H77)=SIGN('Real results'!C77-'Real results'!D77),2+IF(AND('Raw data'!G77='Real results'!C77,'Raw data'!H77='Real results'!D77),2,0),0),0),0)</f>
        <v>0</v>
      </c>
      <c r="I78" s="29">
        <f>IFERROR(IF(AND(ISNUMBER('Real results'!C77),ISNUMBER('Real results'!D77),ISNUMBER('Raw data'!I77),ISNUMBER('Raw data'!J77)),IF(SIGN('Raw data'!I77-'Raw data'!J77)=SIGN('Real results'!C77-'Real results'!D77),2+IF(AND('Raw data'!I77='Real results'!C77,'Raw data'!J77='Real results'!D77),2,0),0),0),0)</f>
        <v>0</v>
      </c>
      <c r="K78" s="29">
        <f>IFERROR(IF(AND(ISNUMBER('Real results'!C77),ISNUMBER('Real results'!D77),ISNUMBER('Raw data'!K77),ISNUMBER('Raw data'!L77)),IF(SIGN('Raw data'!K77-'Raw data'!L77)=SIGN('Real results'!C77-'Real results'!D77),2+IF(AND('Raw data'!K77='Real results'!C77,'Raw data'!L77='Real results'!D77),2,0),0),0),0)</f>
        <v>0</v>
      </c>
      <c r="M78" s="29">
        <f>IFERROR(IF(AND(ISNUMBER('Real results'!C77),ISNUMBER('Real results'!D77),ISNUMBER('Raw data'!M77),ISNUMBER('Raw data'!N77)),IF(SIGN('Raw data'!M77-'Raw data'!N77)=SIGN('Real results'!C77-'Real results'!D77),2+IF(AND('Raw data'!M77='Real results'!C77,'Raw data'!N77='Real results'!D77),2,0),0),0),0)</f>
        <v>0</v>
      </c>
      <c r="O78" s="29">
        <f>IFERROR(IF(AND(ISNUMBER('Real results'!C77),ISNUMBER('Real results'!D77),ISNUMBER('Raw data'!O77),ISNUMBER('Raw data'!P77)),IF(SIGN('Raw data'!O77-'Raw data'!P77)=SIGN('Real results'!C77-'Real results'!D77),2+IF(AND('Raw data'!O77='Real results'!C77,'Raw data'!P77='Real results'!D77),2,0),0),0),0)</f>
        <v>0</v>
      </c>
      <c r="Q78" s="29">
        <f>IFERROR(IF(AND(ISNUMBER('Real results'!C77),ISNUMBER('Real results'!D77),ISNUMBER('Raw data'!Q77),ISNUMBER('Raw data'!R77)),IF(SIGN('Raw data'!Q77-'Raw data'!R77)=SIGN('Real results'!C77-'Real results'!D77),2+IF(AND('Raw data'!Q77='Real results'!C77,'Raw data'!R77='Real results'!D77),2,0),0),0),0)</f>
        <v>0</v>
      </c>
      <c r="S78" s="29">
        <f>IFERROR(IF(AND(ISNUMBER('Real results'!C77),ISNUMBER('Real results'!D77),ISNUMBER('Raw data'!S77),ISNUMBER('Raw data'!T77)),IF(SIGN('Raw data'!S77-'Raw data'!T77)=SIGN('Real results'!C77-'Real results'!D77),2+IF(AND('Raw data'!S77='Real results'!C77,'Raw data'!T77='Real results'!D77),2,0),0),0),0)</f>
        <v>0</v>
      </c>
      <c r="U78" s="29">
        <f>IFERROR(IF(AND(ISNUMBER('Real results'!C77),ISNUMBER('Real results'!D77),ISNUMBER('Raw data'!U77),ISNUMBER('Raw data'!V77)),IF(SIGN('Raw data'!U77-'Raw data'!V77)=SIGN('Real results'!C77-'Real results'!D77),2+IF(AND('Raw data'!U77='Real results'!C77,'Raw data'!V77='Real results'!D77),2,0),0),0),0)</f>
        <v>0</v>
      </c>
      <c r="W78" s="29">
        <f>IFERROR(IF(AND(ISNUMBER('Real results'!C77),ISNUMBER('Real results'!D77),ISNUMBER('Raw data'!W77),ISNUMBER('Raw data'!X77)),IF(SIGN('Raw data'!W77-'Raw data'!X77)=SIGN('Real results'!C77-'Real results'!D77),2+IF(AND('Raw data'!W77='Real results'!C77,'Raw data'!X77='Real results'!D77),2,0),0),0),0)</f>
        <v>0</v>
      </c>
      <c r="Y78" s="29">
        <f>IFERROR(IF(AND(ISNUMBER('Real results'!C77),ISNUMBER('Real results'!D77),ISNUMBER('Raw data'!Y77),ISNUMBER('Raw data'!Z77)),IF(SIGN('Raw data'!Y77-'Raw data'!Z77)=SIGN('Real results'!C77-'Real results'!D77),2+IF(AND('Raw data'!Y77='Real results'!C77,'Raw data'!Z77='Real results'!D77),2,0),0),0),0)</f>
        <v>0</v>
      </c>
      <c r="AA78" s="29">
        <f>IFERROR(IF(AND(ISNUMBER('Real results'!C77),ISNUMBER('Real results'!D77),ISNUMBER('Raw data'!AA77),ISNUMBER('Raw data'!AB77)),IF(SIGN('Raw data'!AA77-'Raw data'!AB77)=SIGN('Real results'!C77-'Real results'!D77),2+IF(AND('Raw data'!AA77='Real results'!C77,'Raw data'!AB77='Real results'!D77),2,0),0),0),0)</f>
        <v>0</v>
      </c>
      <c r="AC78" s="29">
        <f>IFERROR(IF(AND(ISNUMBER('Real results'!C77),ISNUMBER('Real results'!D77),ISNUMBER('Raw data'!AC77),ISNUMBER('Raw data'!AD77)),IF(SIGN('Raw data'!AC77-'Raw data'!AD77)=SIGN('Real results'!C77-'Real results'!D77),2+IF(AND('Raw data'!AC77='Real results'!C77,'Raw data'!AD77='Real results'!D77),2,0),0),0),0)</f>
        <v>0</v>
      </c>
      <c r="AE78" s="29">
        <f>IFERROR(IF(AND(ISNUMBER('Real results'!C77),ISNUMBER('Real results'!D77),ISNUMBER('Raw data'!AE77),ISNUMBER('Raw data'!AF77)),IF(SIGN('Raw data'!AE77-'Raw data'!AF77)=SIGN('Real results'!C77-'Real results'!D77),2+IF(AND('Raw data'!AE77='Real results'!C77,'Raw data'!AF77='Real results'!D77),2,0),0),0),0)</f>
        <v>0</v>
      </c>
      <c r="AG78" s="29">
        <f>IFERROR(IF(AND(ISNUMBER('Real results'!C77),ISNUMBER('Real results'!D77),ISNUMBER('Raw data'!AG77),ISNUMBER('Raw data'!AH77)),IF(SIGN('Raw data'!AG77-'Raw data'!AH77)=SIGN('Real results'!C77-'Real results'!D77),2+IF(AND('Raw data'!AG77='Real results'!C77,'Raw data'!AH77='Real results'!D77),2,0),0),0),0)</f>
        <v>0</v>
      </c>
      <c r="AI78" s="29">
        <f>IFERROR(IF(AND(ISNUMBER('Real results'!C77),ISNUMBER('Real results'!D77),ISNUMBER('Raw data'!AI77),ISNUMBER('Raw data'!AJ77)),IF(SIGN('Raw data'!AI77-'Raw data'!AJ77)=SIGN('Real results'!C77-'Real results'!D77),2+IF(AND('Raw data'!AI77='Real results'!C77,'Raw data'!AJ77='Real results'!D77),2,0),0),0),0)</f>
        <v>0</v>
      </c>
      <c r="AK78" s="29">
        <f>IFERROR(IF(AND(ISNUMBER('Real results'!C77),ISNUMBER('Real results'!D77),ISNUMBER('Raw data'!AK77),ISNUMBER('Raw data'!AL77)),IF(SIGN('Raw data'!AK77-'Raw data'!AL77)=SIGN('Real results'!C77-'Real results'!D77),2+IF(AND('Raw data'!AK77='Real results'!C77,'Raw data'!AL77='Real results'!D77),2,0),0),0),0)</f>
        <v>0</v>
      </c>
      <c r="AM78" s="29">
        <f>IFERROR(IF(AND(ISNUMBER('Real results'!C77),ISNUMBER('Real results'!D77),ISNUMBER('Raw data'!AM77),ISNUMBER('Raw data'!AN77)),IF(SIGN('Raw data'!AM77-'Raw data'!AN77)=SIGN('Real results'!C77-'Real results'!D77),2+IF(AND('Raw data'!AM77='Real results'!C77,'Raw data'!AN77='Real results'!D77),2,0),0),0),0)</f>
        <v>0</v>
      </c>
      <c r="AO78" s="29">
        <f>IFERROR(IF(AND(ISNUMBER('Real results'!C77),ISNUMBER('Real results'!D77),ISNUMBER('Raw data'!AO77),ISNUMBER('Raw data'!AP77)),IF(SIGN('Raw data'!AO77-'Raw data'!AP77)=SIGN('Real results'!C77-'Real results'!D77),2+IF(AND('Raw data'!AO77='Real results'!C77,'Raw data'!AP77='Real results'!D77),2,0),0),0),0)</f>
        <v>0</v>
      </c>
      <c r="AQ78" s="29">
        <f>IFERROR(IF(AND(ISNUMBER('Real results'!C77),ISNUMBER('Real results'!D77),ISNUMBER('Raw data'!AQ77),ISNUMBER('Raw data'!AR77)),IF(SIGN('Raw data'!AQ77-'Raw data'!AR77)=SIGN('Real results'!C77-'Real results'!D77),2+IF(AND('Raw data'!AQ77='Real results'!C77,'Raw data'!AR77='Real results'!D77),2,0),0),0),0)</f>
        <v>0</v>
      </c>
      <c r="AS78" s="29">
        <f>IFERROR(IF(AND(ISNUMBER('Real results'!C77),ISNUMBER('Real results'!D77),ISNUMBER('Raw data'!AS77),ISNUMBER('Raw data'!AT77)),IF(SIGN('Raw data'!AS77-'Raw data'!AT77)=SIGN('Real results'!C77-'Real results'!D77),2+IF(AND('Raw data'!AS77='Real results'!C77,'Raw data'!AT77='Real results'!D77),2,0),0),0),0)</f>
        <v>0</v>
      </c>
      <c r="AU78" s="29">
        <f>IFERROR(IF(AND(ISNUMBER('Real results'!C77),ISNUMBER('Real results'!D77),ISNUMBER('Raw data'!AU77),ISNUMBER('Raw data'!AV77)),IF(SIGN('Raw data'!AU77-'Raw data'!AV77)=SIGN('Real results'!C77-'Real results'!D77),2+IF(AND('Raw data'!AU77='Real results'!C77,'Raw data'!AV77='Real results'!D77),2,0),0),0),0)</f>
        <v>0</v>
      </c>
      <c r="AW78" s="29">
        <f>IFERROR(IF(AND(ISNUMBER('Real results'!C77),ISNUMBER('Real results'!D77),ISNUMBER('Raw data'!AW77),ISNUMBER('Raw data'!AX77)),IF(SIGN('Raw data'!AW77-'Raw data'!AX77)=SIGN('Real results'!C77-'Real results'!D77),2+IF(AND('Raw data'!AW77='Real results'!C77,'Raw data'!AX77='Real results'!D77),2,0),0),0),0)</f>
        <v>0</v>
      </c>
      <c r="AY78" s="29">
        <f>IFERROR(IF(AND(ISNUMBER('Real results'!C77),ISNUMBER('Real results'!D77),ISNUMBER('Raw data'!AY77),ISNUMBER('Raw data'!AZ77)),IF(SIGN('Raw data'!AY77-'Raw data'!AZ77)=SIGN('Real results'!C77-'Real results'!D77),2+IF(AND('Raw data'!AY77='Real results'!C77,'Raw data'!AZ77='Real results'!D77),2,0),0),0),0)</f>
        <v>0</v>
      </c>
      <c r="BA78" s="29">
        <f>IFERROR(IF(AND(ISNUMBER('Real results'!C77),ISNUMBER('Real results'!D77),ISNUMBER('Raw data'!BA77),ISNUMBER('Raw data'!BB77)),IF(SIGN('Raw data'!BA77-'Raw data'!BB77)=SIGN('Real results'!C77-'Real results'!D77),2+IF(AND('Raw data'!BA77='Real results'!C77,'Raw data'!BB77='Real results'!D77),2,0),0),0),0)</f>
        <v>0</v>
      </c>
      <c r="BC78" s="29">
        <f>IFERROR(IF(AND(ISNUMBER('Real results'!C77),ISNUMBER('Real results'!D77),ISNUMBER('Raw data'!BC77),ISNUMBER('Raw data'!BD77)),IF(SIGN('Raw data'!BC77-'Raw data'!BD77)=SIGN('Real results'!C77-'Real results'!D77),2+IF(AND('Raw data'!BC77='Real results'!C77,'Raw data'!BD77='Real results'!D77),2,0),0),0),0)</f>
        <v>0</v>
      </c>
      <c r="BE78" s="29">
        <f>IFERROR(IF(AND(ISNUMBER('Real results'!C77),ISNUMBER('Real results'!D77),ISNUMBER('Raw data'!BE77),ISNUMBER('Raw data'!BF77)),IF(SIGN('Raw data'!BE77-'Raw data'!BF77)=SIGN('Real results'!C77-'Real results'!D77),2+IF(AND('Raw data'!BE77='Real results'!C77,'Raw data'!BF77='Real results'!D77),2,0),0),0),0)</f>
        <v>0</v>
      </c>
      <c r="BG78" s="29">
        <f>IFERROR(IF(AND(ISNUMBER('Real results'!C77),ISNUMBER('Real results'!D77),ISNUMBER('Raw data'!BG77),ISNUMBER('Raw data'!BH77)),IF(SIGN('Raw data'!BG77-'Raw data'!BH77)=SIGN('Real results'!C77-'Real results'!D77),2+IF(AND('Raw data'!BG77='Real results'!C77,'Raw data'!BH77='Real results'!D77),2,0),0),0),0)</f>
        <v>0</v>
      </c>
      <c r="BI78" s="29">
        <f>IFERROR(IF(AND(ISNUMBER('Real results'!C77),ISNUMBER('Real results'!D77),ISNUMBER('Raw data'!BI77),ISNUMBER('Raw data'!BJ77)),IF(SIGN('Raw data'!BI77-'Raw data'!BJ77)=SIGN('Real results'!C77-'Real results'!D77),2+IF(AND('Raw data'!BI77='Real results'!C77,'Raw data'!BJ77='Real results'!D77),2,0),0),0),0)</f>
        <v>0</v>
      </c>
    </row>
    <row r="79" ht="18.0" customHeight="1">
      <c r="A79" s="1"/>
      <c r="B79" s="13" t="s">
        <v>98</v>
      </c>
      <c r="C79" s="29">
        <f>IFERROR(IF(AND(ISNUMBER('Real results'!C78),ISNUMBER('Real results'!D78),ISNUMBER('Raw data'!C78),ISNUMBER('Raw data'!D78)),IF(SIGN('Raw data'!C78-'Raw data'!D78)=SIGN('Real results'!C78-'Real results'!D78),2+IF(AND('Raw data'!C78='Real results'!C78,'Raw data'!D78='Real results'!D78),2,0),0),0),0)</f>
        <v>0</v>
      </c>
      <c r="E79" s="29">
        <f>IFERROR(IF(AND(ISNUMBER('Real results'!C78),ISNUMBER('Real results'!D78),ISNUMBER('Raw data'!E78),ISNUMBER('Raw data'!F78)),IF(SIGN('Raw data'!E78-'Raw data'!F78)=SIGN('Real results'!C78-'Real results'!D78),2+IF(AND('Raw data'!E78='Real results'!C78,'Raw data'!F78='Real results'!D78),2,0),0),0),0)</f>
        <v>0</v>
      </c>
      <c r="G79" s="29">
        <f>IFERROR(IF(AND(ISNUMBER('Real results'!C78),ISNUMBER('Real results'!D78),ISNUMBER('Raw data'!G78),ISNUMBER('Raw data'!H78)),IF(SIGN('Raw data'!G78-'Raw data'!H78)=SIGN('Real results'!C78-'Real results'!D78),2+IF(AND('Raw data'!G78='Real results'!C78,'Raw data'!H78='Real results'!D78),2,0),0),0),0)</f>
        <v>0</v>
      </c>
      <c r="I79" s="29">
        <f>IFERROR(IF(AND(ISNUMBER('Real results'!C78),ISNUMBER('Real results'!D78),ISNUMBER('Raw data'!I78),ISNUMBER('Raw data'!J78)),IF(SIGN('Raw data'!I78-'Raw data'!J78)=SIGN('Real results'!C78-'Real results'!D78),2+IF(AND('Raw data'!I78='Real results'!C78,'Raw data'!J78='Real results'!D78),2,0),0),0),0)</f>
        <v>0</v>
      </c>
      <c r="K79" s="29">
        <f>IFERROR(IF(AND(ISNUMBER('Real results'!C78),ISNUMBER('Real results'!D78),ISNUMBER('Raw data'!K78),ISNUMBER('Raw data'!L78)),IF(SIGN('Raw data'!K78-'Raw data'!L78)=SIGN('Real results'!C78-'Real results'!D78),2+IF(AND('Raw data'!K78='Real results'!C78,'Raw data'!L78='Real results'!D78),2,0),0),0),0)</f>
        <v>0</v>
      </c>
      <c r="M79" s="29">
        <f>IFERROR(IF(AND(ISNUMBER('Real results'!C78),ISNUMBER('Real results'!D78),ISNUMBER('Raw data'!M78),ISNUMBER('Raw data'!N78)),IF(SIGN('Raw data'!M78-'Raw data'!N78)=SIGN('Real results'!C78-'Real results'!D78),2+IF(AND('Raw data'!M78='Real results'!C78,'Raw data'!N78='Real results'!D78),2,0),0),0),0)</f>
        <v>0</v>
      </c>
      <c r="O79" s="29">
        <f>IFERROR(IF(AND(ISNUMBER('Real results'!C78),ISNUMBER('Real results'!D78),ISNUMBER('Raw data'!O78),ISNUMBER('Raw data'!P78)),IF(SIGN('Raw data'!O78-'Raw data'!P78)=SIGN('Real results'!C78-'Real results'!D78),2+IF(AND('Raw data'!O78='Real results'!C78,'Raw data'!P78='Real results'!D78),2,0),0),0),0)</f>
        <v>0</v>
      </c>
      <c r="Q79" s="29">
        <f>IFERROR(IF(AND(ISNUMBER('Real results'!C78),ISNUMBER('Real results'!D78),ISNUMBER('Raw data'!Q78),ISNUMBER('Raw data'!R78)),IF(SIGN('Raw data'!Q78-'Raw data'!R78)=SIGN('Real results'!C78-'Real results'!D78),2+IF(AND('Raw data'!Q78='Real results'!C78,'Raw data'!R78='Real results'!D78),2,0),0),0),0)</f>
        <v>0</v>
      </c>
      <c r="S79" s="29">
        <f>IFERROR(IF(AND(ISNUMBER('Real results'!C78),ISNUMBER('Real results'!D78),ISNUMBER('Raw data'!S78),ISNUMBER('Raw data'!T78)),IF(SIGN('Raw data'!S78-'Raw data'!T78)=SIGN('Real results'!C78-'Real results'!D78),2+IF(AND('Raw data'!S78='Real results'!C78,'Raw data'!T78='Real results'!D78),2,0),0),0),0)</f>
        <v>0</v>
      </c>
      <c r="U79" s="29">
        <f>IFERROR(IF(AND(ISNUMBER('Real results'!C78),ISNUMBER('Real results'!D78),ISNUMBER('Raw data'!U78),ISNUMBER('Raw data'!V78)),IF(SIGN('Raw data'!U78-'Raw data'!V78)=SIGN('Real results'!C78-'Real results'!D78),2+IF(AND('Raw data'!U78='Real results'!C78,'Raw data'!V78='Real results'!D78),2,0),0),0),0)</f>
        <v>0</v>
      </c>
      <c r="W79" s="29">
        <f>IFERROR(IF(AND(ISNUMBER('Real results'!C78),ISNUMBER('Real results'!D78),ISNUMBER('Raw data'!W78),ISNUMBER('Raw data'!X78)),IF(SIGN('Raw data'!W78-'Raw data'!X78)=SIGN('Real results'!C78-'Real results'!D78),2+IF(AND('Raw data'!W78='Real results'!C78,'Raw data'!X78='Real results'!D78),2,0),0),0),0)</f>
        <v>0</v>
      </c>
      <c r="Y79" s="29">
        <f>IFERROR(IF(AND(ISNUMBER('Real results'!C78),ISNUMBER('Real results'!D78),ISNUMBER('Raw data'!Y78),ISNUMBER('Raw data'!Z78)),IF(SIGN('Raw data'!Y78-'Raw data'!Z78)=SIGN('Real results'!C78-'Real results'!D78),2+IF(AND('Raw data'!Y78='Real results'!C78,'Raw data'!Z78='Real results'!D78),2,0),0),0),0)</f>
        <v>0</v>
      </c>
      <c r="AA79" s="29">
        <f>IFERROR(IF(AND(ISNUMBER('Real results'!C78),ISNUMBER('Real results'!D78),ISNUMBER('Raw data'!AA78),ISNUMBER('Raw data'!AB78)),IF(SIGN('Raw data'!AA78-'Raw data'!AB78)=SIGN('Real results'!C78-'Real results'!D78),2+IF(AND('Raw data'!AA78='Real results'!C78,'Raw data'!AB78='Real results'!D78),2,0),0),0),0)</f>
        <v>0</v>
      </c>
      <c r="AC79" s="29">
        <f>IFERROR(IF(AND(ISNUMBER('Real results'!C78),ISNUMBER('Real results'!D78),ISNUMBER('Raw data'!AC78),ISNUMBER('Raw data'!AD78)),IF(SIGN('Raw data'!AC78-'Raw data'!AD78)=SIGN('Real results'!C78-'Real results'!D78),2+IF(AND('Raw data'!AC78='Real results'!C78,'Raw data'!AD78='Real results'!D78),2,0),0),0),0)</f>
        <v>0</v>
      </c>
      <c r="AE79" s="29">
        <f>IFERROR(IF(AND(ISNUMBER('Real results'!C78),ISNUMBER('Real results'!D78),ISNUMBER('Raw data'!AE78),ISNUMBER('Raw data'!AF78)),IF(SIGN('Raw data'!AE78-'Raw data'!AF78)=SIGN('Real results'!C78-'Real results'!D78),2+IF(AND('Raw data'!AE78='Real results'!C78,'Raw data'!AF78='Real results'!D78),2,0),0),0),0)</f>
        <v>0</v>
      </c>
      <c r="AG79" s="29">
        <f>IFERROR(IF(AND(ISNUMBER('Real results'!C78),ISNUMBER('Real results'!D78),ISNUMBER('Raw data'!AG78),ISNUMBER('Raw data'!AH78)),IF(SIGN('Raw data'!AG78-'Raw data'!AH78)=SIGN('Real results'!C78-'Real results'!D78),2+IF(AND('Raw data'!AG78='Real results'!C78,'Raw data'!AH78='Real results'!D78),2,0),0),0),0)</f>
        <v>0</v>
      </c>
      <c r="AI79" s="29">
        <f>IFERROR(IF(AND(ISNUMBER('Real results'!C78),ISNUMBER('Real results'!D78),ISNUMBER('Raw data'!AI78),ISNUMBER('Raw data'!AJ78)),IF(SIGN('Raw data'!AI78-'Raw data'!AJ78)=SIGN('Real results'!C78-'Real results'!D78),2+IF(AND('Raw data'!AI78='Real results'!C78,'Raw data'!AJ78='Real results'!D78),2,0),0),0),0)</f>
        <v>0</v>
      </c>
      <c r="AK79" s="29">
        <f>IFERROR(IF(AND(ISNUMBER('Real results'!C78),ISNUMBER('Real results'!D78),ISNUMBER('Raw data'!AK78),ISNUMBER('Raw data'!AL78)),IF(SIGN('Raw data'!AK78-'Raw data'!AL78)=SIGN('Real results'!C78-'Real results'!D78),2+IF(AND('Raw data'!AK78='Real results'!C78,'Raw data'!AL78='Real results'!D78),2,0),0),0),0)</f>
        <v>0</v>
      </c>
      <c r="AM79" s="29">
        <f>IFERROR(IF(AND(ISNUMBER('Real results'!C78),ISNUMBER('Real results'!D78),ISNUMBER('Raw data'!AM78),ISNUMBER('Raw data'!AN78)),IF(SIGN('Raw data'!AM78-'Raw data'!AN78)=SIGN('Real results'!C78-'Real results'!D78),2+IF(AND('Raw data'!AM78='Real results'!C78,'Raw data'!AN78='Real results'!D78),2,0),0),0),0)</f>
        <v>0</v>
      </c>
      <c r="AO79" s="29">
        <f>IFERROR(IF(AND(ISNUMBER('Real results'!C78),ISNUMBER('Real results'!D78),ISNUMBER('Raw data'!AO78),ISNUMBER('Raw data'!AP78)),IF(SIGN('Raw data'!AO78-'Raw data'!AP78)=SIGN('Real results'!C78-'Real results'!D78),2+IF(AND('Raw data'!AO78='Real results'!C78,'Raw data'!AP78='Real results'!D78),2,0),0),0),0)</f>
        <v>0</v>
      </c>
      <c r="AQ79" s="29">
        <f>IFERROR(IF(AND(ISNUMBER('Real results'!C78),ISNUMBER('Real results'!D78),ISNUMBER('Raw data'!AQ78),ISNUMBER('Raw data'!AR78)),IF(SIGN('Raw data'!AQ78-'Raw data'!AR78)=SIGN('Real results'!C78-'Real results'!D78),2+IF(AND('Raw data'!AQ78='Real results'!C78,'Raw data'!AR78='Real results'!D78),2,0),0),0),0)</f>
        <v>0</v>
      </c>
      <c r="AS79" s="29">
        <f>IFERROR(IF(AND(ISNUMBER('Real results'!C78),ISNUMBER('Real results'!D78),ISNUMBER('Raw data'!AS78),ISNUMBER('Raw data'!AT78)),IF(SIGN('Raw data'!AS78-'Raw data'!AT78)=SIGN('Real results'!C78-'Real results'!D78),2+IF(AND('Raw data'!AS78='Real results'!C78,'Raw data'!AT78='Real results'!D78),2,0),0),0),0)</f>
        <v>0</v>
      </c>
      <c r="AU79" s="29">
        <f>IFERROR(IF(AND(ISNUMBER('Real results'!C78),ISNUMBER('Real results'!D78),ISNUMBER('Raw data'!AU78),ISNUMBER('Raw data'!AV78)),IF(SIGN('Raw data'!AU78-'Raw data'!AV78)=SIGN('Real results'!C78-'Real results'!D78),2+IF(AND('Raw data'!AU78='Real results'!C78,'Raw data'!AV78='Real results'!D78),2,0),0),0),0)</f>
        <v>0</v>
      </c>
      <c r="AW79" s="29">
        <f>IFERROR(IF(AND(ISNUMBER('Real results'!C78),ISNUMBER('Real results'!D78),ISNUMBER('Raw data'!AW78),ISNUMBER('Raw data'!AX78)),IF(SIGN('Raw data'!AW78-'Raw data'!AX78)=SIGN('Real results'!C78-'Real results'!D78),2+IF(AND('Raw data'!AW78='Real results'!C78,'Raw data'!AX78='Real results'!D78),2,0),0),0),0)</f>
        <v>0</v>
      </c>
      <c r="AY79" s="29">
        <f>IFERROR(IF(AND(ISNUMBER('Real results'!C78),ISNUMBER('Real results'!D78),ISNUMBER('Raw data'!AY78),ISNUMBER('Raw data'!AZ78)),IF(SIGN('Raw data'!AY78-'Raw data'!AZ78)=SIGN('Real results'!C78-'Real results'!D78),2+IF(AND('Raw data'!AY78='Real results'!C78,'Raw data'!AZ78='Real results'!D78),2,0),0),0),0)</f>
        <v>0</v>
      </c>
      <c r="BA79" s="29">
        <f>IFERROR(IF(AND(ISNUMBER('Real results'!C78),ISNUMBER('Real results'!D78),ISNUMBER('Raw data'!BA78),ISNUMBER('Raw data'!BB78)),IF(SIGN('Raw data'!BA78-'Raw data'!BB78)=SIGN('Real results'!C78-'Real results'!D78),2+IF(AND('Raw data'!BA78='Real results'!C78,'Raw data'!BB78='Real results'!D78),2,0),0),0),0)</f>
        <v>0</v>
      </c>
      <c r="BC79" s="29">
        <f>IFERROR(IF(AND(ISNUMBER('Real results'!C78),ISNUMBER('Real results'!D78),ISNUMBER('Raw data'!BC78),ISNUMBER('Raw data'!BD78)),IF(SIGN('Raw data'!BC78-'Raw data'!BD78)=SIGN('Real results'!C78-'Real results'!D78),2+IF(AND('Raw data'!BC78='Real results'!C78,'Raw data'!BD78='Real results'!D78),2,0),0),0),0)</f>
        <v>0</v>
      </c>
      <c r="BE79" s="29">
        <f>IFERROR(IF(AND(ISNUMBER('Real results'!C78),ISNUMBER('Real results'!D78),ISNUMBER('Raw data'!BE78),ISNUMBER('Raw data'!BF78)),IF(SIGN('Raw data'!BE78-'Raw data'!BF78)=SIGN('Real results'!C78-'Real results'!D78),2+IF(AND('Raw data'!BE78='Real results'!C78,'Raw data'!BF78='Real results'!D78),2,0),0),0),0)</f>
        <v>0</v>
      </c>
      <c r="BG79" s="29">
        <f>IFERROR(IF(AND(ISNUMBER('Real results'!C78),ISNUMBER('Real results'!D78),ISNUMBER('Raw data'!BG78),ISNUMBER('Raw data'!BH78)),IF(SIGN('Raw data'!BG78-'Raw data'!BH78)=SIGN('Real results'!C78-'Real results'!D78),2+IF(AND('Raw data'!BG78='Real results'!C78,'Raw data'!BH78='Real results'!D78),2,0),0),0),0)</f>
        <v>0</v>
      </c>
      <c r="BI79" s="29">
        <f>IFERROR(IF(AND(ISNUMBER('Real results'!C78),ISNUMBER('Real results'!D78),ISNUMBER('Raw data'!BI78),ISNUMBER('Raw data'!BJ78)),IF(SIGN('Raw data'!BI78-'Raw data'!BJ78)=SIGN('Real results'!C78-'Real results'!D78),2+IF(AND('Raw data'!BI78='Real results'!C78,'Raw data'!BJ78='Real results'!D78),2,0),0),0),0)</f>
        <v>0</v>
      </c>
    </row>
    <row r="80" ht="21.75" customHeight="1">
      <c r="A80" s="1"/>
      <c r="B80" s="30" t="s">
        <v>361</v>
      </c>
      <c r="C80" s="31">
        <f>SUM(C8:C79)</f>
        <v>0</v>
      </c>
      <c r="E80" s="31">
        <f>SUM(E8:E79)</f>
        <v>0</v>
      </c>
      <c r="G80" s="31">
        <f>SUM(G8:G79)</f>
        <v>0</v>
      </c>
      <c r="I80" s="31">
        <f>SUM(I8:I79)</f>
        <v>0</v>
      </c>
      <c r="K80" s="31">
        <f>SUM(K8:K79)</f>
        <v>0</v>
      </c>
      <c r="M80" s="31">
        <f>SUM(M8:M79)</f>
        <v>0</v>
      </c>
      <c r="O80" s="31">
        <f>SUM(O8:O79)</f>
        <v>0</v>
      </c>
      <c r="Q80" s="31">
        <f>SUM(Q8:Q79)</f>
        <v>0</v>
      </c>
      <c r="S80" s="31">
        <f>SUM(S8:S79)</f>
        <v>0</v>
      </c>
      <c r="U80" s="31">
        <f>SUM(U8:U79)</f>
        <v>0</v>
      </c>
      <c r="W80" s="31">
        <f>SUM(W8:W79)</f>
        <v>0</v>
      </c>
      <c r="Y80" s="31">
        <f>SUM(Y8:Y79)</f>
        <v>0</v>
      </c>
      <c r="AA80" s="31">
        <f>SUM(AA8:AA79)</f>
        <v>0</v>
      </c>
      <c r="AC80" s="31">
        <f>SUM(AC8:AC79)</f>
        <v>0</v>
      </c>
      <c r="AE80" s="31">
        <f>SUM(AE8:AE79)</f>
        <v>0</v>
      </c>
      <c r="AG80" s="31">
        <f>SUM(AG8:AG79)</f>
        <v>0</v>
      </c>
      <c r="AI80" s="31">
        <f>SUM(AI8:AI79)</f>
        <v>0</v>
      </c>
      <c r="AK80" s="31">
        <f>SUM(AK8:AK79)</f>
        <v>0</v>
      </c>
      <c r="AM80" s="31">
        <f>SUM(AM8:AM79)</f>
        <v>0</v>
      </c>
      <c r="AO80" s="31">
        <f>SUM(AO8:AO79)</f>
        <v>0</v>
      </c>
      <c r="AQ80" s="31">
        <f>SUM(AQ8:AQ79)</f>
        <v>0</v>
      </c>
      <c r="AS80" s="31">
        <f>SUM(AS8:AS79)</f>
        <v>0</v>
      </c>
      <c r="AU80" s="31">
        <f>SUM(AU8:AU79)</f>
        <v>0</v>
      </c>
      <c r="AW80" s="31">
        <f>SUM(AW8:AW79)</f>
        <v>0</v>
      </c>
      <c r="AY80" s="31">
        <f>SUM(AY8:AY79)</f>
        <v>0</v>
      </c>
      <c r="BA80" s="31">
        <f>SUM(BA8:BA79)</f>
        <v>0</v>
      </c>
      <c r="BC80" s="31">
        <f>SUM(BC8:BC79)</f>
        <v>0</v>
      </c>
      <c r="BE80" s="31">
        <f>SUM(BE8:BE79)</f>
        <v>0</v>
      </c>
      <c r="BG80" s="31">
        <f>SUM(BG8:BG79)</f>
        <v>0</v>
      </c>
      <c r="BI80" s="31">
        <f>SUM(BI8:BI79)</f>
        <v>0</v>
      </c>
    </row>
    <row r="81" ht="19.5" customHeight="1">
      <c r="A81" s="1"/>
      <c r="B81" s="28" t="s">
        <v>362</v>
      </c>
      <c r="C81" s="12"/>
      <c r="E81" s="12"/>
      <c r="G81" s="12"/>
      <c r="I81" s="12"/>
      <c r="K81" s="12"/>
      <c r="M81" s="12"/>
      <c r="O81" s="12"/>
      <c r="Q81" s="12"/>
      <c r="S81" s="12"/>
      <c r="U81" s="12"/>
      <c r="W81" s="12"/>
      <c r="Y81" s="12"/>
      <c r="AA81" s="12"/>
      <c r="AC81" s="12"/>
      <c r="AE81" s="12"/>
      <c r="AG81" s="12"/>
      <c r="AI81" s="12"/>
      <c r="AK81" s="12"/>
      <c r="AM81" s="12"/>
      <c r="AO81" s="12"/>
      <c r="AQ81" s="12"/>
      <c r="AS81" s="12"/>
      <c r="AU81" s="12"/>
      <c r="AW81" s="12"/>
      <c r="AY81" s="12"/>
      <c r="BA81" s="12"/>
      <c r="BC81" s="12"/>
      <c r="BE81" s="12"/>
      <c r="BG81" s="12"/>
      <c r="BI81" s="12"/>
    </row>
    <row r="82" ht="18.0" customHeight="1">
      <c r="A82" s="1"/>
      <c r="B82" s="13" t="s">
        <v>363</v>
      </c>
      <c r="C82" s="29">
        <f>IFERROR(IF('Raw data'!C80&lt;&gt;"",IF(OR(UPPER(TRIM('Raw data'!C80))=UPPER(TRIM('Real results'!C80)),UPPER(TRIM('Raw data'!C80))=UPPER(TRIM('Real results'!C81)),UPPER(TRIM('Raw data'!C80))=UPPER(TRIM('Real results'!C82))),1,0)+IF(UPPER(TRIM('Raw data'!C80))=UPPER(TRIM('Real results'!C80)),2,0),0),0)</f>
        <v>0</v>
      </c>
      <c r="E82" s="29">
        <f>IFERROR(IF('Raw data'!E80&lt;&gt;"",IF(OR(UPPER(TRIM('Raw data'!E80))=UPPER(TRIM('Real results'!C80)),UPPER(TRIM('Raw data'!E80))=UPPER(TRIM('Real results'!C81)),UPPER(TRIM('Raw data'!E80))=UPPER(TRIM('Real results'!C82))),1,0)+IF(UPPER(TRIM('Raw data'!E80))=UPPER(TRIM('Real results'!C80)),2,0),0),0)</f>
        <v>0</v>
      </c>
      <c r="G82" s="29">
        <f>IFERROR(IF('Raw data'!G80&lt;&gt;"",IF(OR(UPPER(TRIM('Raw data'!G80))=UPPER(TRIM('Real results'!C80)),UPPER(TRIM('Raw data'!G80))=UPPER(TRIM('Real results'!C81)),UPPER(TRIM('Raw data'!G80))=UPPER(TRIM('Real results'!C82))),1,0)+IF(UPPER(TRIM('Raw data'!G80))=UPPER(TRIM('Real results'!C80)),2,0),0),0)</f>
        <v>0</v>
      </c>
      <c r="I82" s="29">
        <f>IFERROR(IF('Raw data'!I80&lt;&gt;"",IF(OR(UPPER(TRIM('Raw data'!I80))=UPPER(TRIM('Real results'!C80)),UPPER(TRIM('Raw data'!I80))=UPPER(TRIM('Real results'!C81)),UPPER(TRIM('Raw data'!I80))=UPPER(TRIM('Real results'!C82))),1,0)+IF(UPPER(TRIM('Raw data'!I80))=UPPER(TRIM('Real results'!C80)),2,0),0),0)</f>
        <v>0</v>
      </c>
      <c r="K82" s="29">
        <f>IFERROR(IF('Raw data'!K80&lt;&gt;"",IF(OR(UPPER(TRIM('Raw data'!K80))=UPPER(TRIM('Real results'!C80)),UPPER(TRIM('Raw data'!K80))=UPPER(TRIM('Real results'!C81)),UPPER(TRIM('Raw data'!K80))=UPPER(TRIM('Real results'!C82))),1,0)+IF(UPPER(TRIM('Raw data'!K80))=UPPER(TRIM('Real results'!C80)),2,0),0),0)</f>
        <v>0</v>
      </c>
      <c r="M82" s="29">
        <f>IFERROR(IF('Raw data'!M80&lt;&gt;"",IF(OR(UPPER(TRIM('Raw data'!M80))=UPPER(TRIM('Real results'!C80)),UPPER(TRIM('Raw data'!M80))=UPPER(TRIM('Real results'!C81)),UPPER(TRIM('Raw data'!M80))=UPPER(TRIM('Real results'!C82))),1,0)+IF(UPPER(TRIM('Raw data'!M80))=UPPER(TRIM('Real results'!C80)),2,0),0),0)</f>
        <v>0</v>
      </c>
      <c r="O82" s="29">
        <f>IFERROR(IF('Raw data'!O80&lt;&gt;"",IF(OR(UPPER(TRIM('Raw data'!O80))=UPPER(TRIM('Real results'!C80)),UPPER(TRIM('Raw data'!O80))=UPPER(TRIM('Real results'!C81)),UPPER(TRIM('Raw data'!O80))=UPPER(TRIM('Real results'!C82))),1,0)+IF(UPPER(TRIM('Raw data'!O80))=UPPER(TRIM('Real results'!C80)),2,0),0),0)</f>
        <v>0</v>
      </c>
      <c r="Q82" s="29">
        <f>IFERROR(IF('Raw data'!Q80&lt;&gt;"",IF(OR(UPPER(TRIM('Raw data'!Q80))=UPPER(TRIM('Real results'!C80)),UPPER(TRIM('Raw data'!Q80))=UPPER(TRIM('Real results'!C81)),UPPER(TRIM('Raw data'!Q80))=UPPER(TRIM('Real results'!C82))),1,0)+IF(UPPER(TRIM('Raw data'!Q80))=UPPER(TRIM('Real results'!C80)),2,0),0),0)</f>
        <v>0</v>
      </c>
      <c r="S82" s="29">
        <f>IFERROR(IF('Raw data'!S80&lt;&gt;"",IF(OR(UPPER(TRIM('Raw data'!S80))=UPPER(TRIM('Real results'!C80)),UPPER(TRIM('Raw data'!S80))=UPPER(TRIM('Real results'!C81)),UPPER(TRIM('Raw data'!S80))=UPPER(TRIM('Real results'!C82))),1,0)+IF(UPPER(TRIM('Raw data'!S80))=UPPER(TRIM('Real results'!C80)),2,0),0),0)</f>
        <v>0</v>
      </c>
      <c r="U82" s="29">
        <f>IFERROR(IF('Raw data'!U80&lt;&gt;"",IF(OR(UPPER(TRIM('Raw data'!U80))=UPPER(TRIM('Real results'!C80)),UPPER(TRIM('Raw data'!U80))=UPPER(TRIM('Real results'!C81)),UPPER(TRIM('Raw data'!U80))=UPPER(TRIM('Real results'!C82))),1,0)+IF(UPPER(TRIM('Raw data'!U80))=UPPER(TRIM('Real results'!C80)),2,0),0),0)</f>
        <v>0</v>
      </c>
      <c r="W82" s="29">
        <f>IFERROR(IF('Raw data'!W80&lt;&gt;"",IF(OR(UPPER(TRIM('Raw data'!W80))=UPPER(TRIM('Real results'!C80)),UPPER(TRIM('Raw data'!W80))=UPPER(TRIM('Real results'!C81)),UPPER(TRIM('Raw data'!W80))=UPPER(TRIM('Real results'!C82))),1,0)+IF(UPPER(TRIM('Raw data'!W80))=UPPER(TRIM('Real results'!C80)),2,0),0),0)</f>
        <v>0</v>
      </c>
      <c r="Y82" s="29">
        <f>IFERROR(IF('Raw data'!Y80&lt;&gt;"",IF(OR(UPPER(TRIM('Raw data'!Y80))=UPPER(TRIM('Real results'!C80)),UPPER(TRIM('Raw data'!Y80))=UPPER(TRIM('Real results'!C81)),UPPER(TRIM('Raw data'!Y80))=UPPER(TRIM('Real results'!C82))),1,0)+IF(UPPER(TRIM('Raw data'!Y80))=UPPER(TRIM('Real results'!C80)),2,0),0),0)</f>
        <v>0</v>
      </c>
      <c r="AA82" s="29">
        <f>IFERROR(IF('Raw data'!AA80&lt;&gt;"",IF(OR(UPPER(TRIM('Raw data'!AA80))=UPPER(TRIM('Real results'!C80)),UPPER(TRIM('Raw data'!AA80))=UPPER(TRIM('Real results'!C81)),UPPER(TRIM('Raw data'!AA80))=UPPER(TRIM('Real results'!C82))),1,0)+IF(UPPER(TRIM('Raw data'!AA80))=UPPER(TRIM('Real results'!C80)),2,0),0),0)</f>
        <v>0</v>
      </c>
      <c r="AC82" s="29">
        <f>IFERROR(IF('Raw data'!AC80&lt;&gt;"",IF(OR(UPPER(TRIM('Raw data'!AC80))=UPPER(TRIM('Real results'!C80)),UPPER(TRIM('Raw data'!AC80))=UPPER(TRIM('Real results'!C81)),UPPER(TRIM('Raw data'!AC80))=UPPER(TRIM('Real results'!C82))),1,0)+IF(UPPER(TRIM('Raw data'!AC80))=UPPER(TRIM('Real results'!C80)),2,0),0),0)</f>
        <v>0</v>
      </c>
      <c r="AE82" s="29">
        <f>IFERROR(IF('Raw data'!AE80&lt;&gt;"",IF(OR(UPPER(TRIM('Raw data'!AE80))=UPPER(TRIM('Real results'!C80)),UPPER(TRIM('Raw data'!AE80))=UPPER(TRIM('Real results'!C81)),UPPER(TRIM('Raw data'!AE80))=UPPER(TRIM('Real results'!C82))),1,0)+IF(UPPER(TRIM('Raw data'!AE80))=UPPER(TRIM('Real results'!C80)),2,0),0),0)</f>
        <v>0</v>
      </c>
      <c r="AG82" s="29">
        <f>IFERROR(IF('Raw data'!AG80&lt;&gt;"",IF(OR(UPPER(TRIM('Raw data'!AG80))=UPPER(TRIM('Real results'!C80)),UPPER(TRIM('Raw data'!AG80))=UPPER(TRIM('Real results'!C81)),UPPER(TRIM('Raw data'!AG80))=UPPER(TRIM('Real results'!C82))),1,0)+IF(UPPER(TRIM('Raw data'!AG80))=UPPER(TRIM('Real results'!C80)),2,0),0),0)</f>
        <v>0</v>
      </c>
      <c r="AI82" s="29">
        <f>IFERROR(IF('Raw data'!AI80&lt;&gt;"",IF(OR(UPPER(TRIM('Raw data'!AI80))=UPPER(TRIM('Real results'!C80)),UPPER(TRIM('Raw data'!AI80))=UPPER(TRIM('Real results'!C81)),UPPER(TRIM('Raw data'!AI80))=UPPER(TRIM('Real results'!C82))),1,0)+IF(UPPER(TRIM('Raw data'!AI80))=UPPER(TRIM('Real results'!C80)),2,0),0),0)</f>
        <v>0</v>
      </c>
      <c r="AK82" s="29">
        <f>IFERROR(IF('Raw data'!AK80&lt;&gt;"",IF(OR(UPPER(TRIM('Raw data'!AK80))=UPPER(TRIM('Real results'!C80)),UPPER(TRIM('Raw data'!AK80))=UPPER(TRIM('Real results'!C81)),UPPER(TRIM('Raw data'!AK80))=UPPER(TRIM('Real results'!C82))),1,0)+IF(UPPER(TRIM('Raw data'!AK80))=UPPER(TRIM('Real results'!C80)),2,0),0),0)</f>
        <v>0</v>
      </c>
      <c r="AM82" s="29">
        <f>IFERROR(IF('Raw data'!AM80&lt;&gt;"",IF(OR(UPPER(TRIM('Raw data'!AM80))=UPPER(TRIM('Real results'!C80)),UPPER(TRIM('Raw data'!AM80))=UPPER(TRIM('Real results'!C81)),UPPER(TRIM('Raw data'!AM80))=UPPER(TRIM('Real results'!C82))),1,0)+IF(UPPER(TRIM('Raw data'!AM80))=UPPER(TRIM('Real results'!C80)),2,0),0),0)</f>
        <v>0</v>
      </c>
      <c r="AO82" s="29">
        <f>IFERROR(IF('Raw data'!AO80&lt;&gt;"",IF(OR(UPPER(TRIM('Raw data'!AO80))=UPPER(TRIM('Real results'!C80)),UPPER(TRIM('Raw data'!AO80))=UPPER(TRIM('Real results'!C81)),UPPER(TRIM('Raw data'!AO80))=UPPER(TRIM('Real results'!C82))),1,0)+IF(UPPER(TRIM('Raw data'!AO80))=UPPER(TRIM('Real results'!C80)),2,0),0),0)</f>
        <v>0</v>
      </c>
      <c r="AQ82" s="29">
        <f>IFERROR(IF('Raw data'!AQ80&lt;&gt;"",IF(OR(UPPER(TRIM('Raw data'!AQ80))=UPPER(TRIM('Real results'!C80)),UPPER(TRIM('Raw data'!AQ80))=UPPER(TRIM('Real results'!C81)),UPPER(TRIM('Raw data'!AQ80))=UPPER(TRIM('Real results'!C82))),1,0)+IF(UPPER(TRIM('Raw data'!AQ80))=UPPER(TRIM('Real results'!C80)),2,0),0),0)</f>
        <v>0</v>
      </c>
      <c r="AS82" s="29">
        <f>IFERROR(IF('Raw data'!AS80&lt;&gt;"",IF(OR(UPPER(TRIM('Raw data'!AS80))=UPPER(TRIM('Real results'!C80)),UPPER(TRIM('Raw data'!AS80))=UPPER(TRIM('Real results'!C81)),UPPER(TRIM('Raw data'!AS80))=UPPER(TRIM('Real results'!C82))),1,0)+IF(UPPER(TRIM('Raw data'!AS80))=UPPER(TRIM('Real results'!C80)),2,0),0),0)</f>
        <v>0</v>
      </c>
      <c r="AU82" s="29">
        <f>IFERROR(IF('Raw data'!AU80&lt;&gt;"",IF(OR(UPPER(TRIM('Raw data'!AU80))=UPPER(TRIM('Real results'!C80)),UPPER(TRIM('Raw data'!AU80))=UPPER(TRIM('Real results'!C81)),UPPER(TRIM('Raw data'!AU80))=UPPER(TRIM('Real results'!C82))),1,0)+IF(UPPER(TRIM('Raw data'!AU80))=UPPER(TRIM('Real results'!C80)),2,0),0),0)</f>
        <v>0</v>
      </c>
      <c r="AW82" s="29">
        <f>IFERROR(IF('Raw data'!AW80&lt;&gt;"",IF(OR(UPPER(TRIM('Raw data'!AW80))=UPPER(TRIM('Real results'!C80)),UPPER(TRIM('Raw data'!AW80))=UPPER(TRIM('Real results'!C81)),UPPER(TRIM('Raw data'!AW80))=UPPER(TRIM('Real results'!C82))),1,0)+IF(UPPER(TRIM('Raw data'!AW80))=UPPER(TRIM('Real results'!C80)),2,0),0),0)</f>
        <v>0</v>
      </c>
      <c r="AY82" s="29">
        <f>IFERROR(IF('Raw data'!AY80&lt;&gt;"",IF(OR(UPPER(TRIM('Raw data'!AY80))=UPPER(TRIM('Real results'!C80)),UPPER(TRIM('Raw data'!AY80))=UPPER(TRIM('Real results'!C81)),UPPER(TRIM('Raw data'!AY80))=UPPER(TRIM('Real results'!C82))),1,0)+IF(UPPER(TRIM('Raw data'!AY80))=UPPER(TRIM('Real results'!C80)),2,0),0),0)</f>
        <v>0</v>
      </c>
      <c r="BA82" s="29">
        <f>IFERROR(IF('Raw data'!BA80&lt;&gt;"",IF(OR(UPPER(TRIM('Raw data'!BA80))=UPPER(TRIM('Real results'!C80)),UPPER(TRIM('Raw data'!BA80))=UPPER(TRIM('Real results'!C81)),UPPER(TRIM('Raw data'!BA80))=UPPER(TRIM('Real results'!C82))),1,0)+IF(UPPER(TRIM('Raw data'!BA80))=UPPER(TRIM('Real results'!C80)),2,0),0),0)</f>
        <v>0</v>
      </c>
      <c r="BC82" s="29">
        <f>IFERROR(IF('Raw data'!BC80&lt;&gt;"",IF(OR(UPPER(TRIM('Raw data'!BC80))=UPPER(TRIM('Real results'!C80)),UPPER(TRIM('Raw data'!BC80))=UPPER(TRIM('Real results'!C81)),UPPER(TRIM('Raw data'!BC80))=UPPER(TRIM('Real results'!C82))),1,0)+IF(UPPER(TRIM('Raw data'!BC80))=UPPER(TRIM('Real results'!C80)),2,0),0),0)</f>
        <v>0</v>
      </c>
      <c r="BE82" s="29">
        <f>IFERROR(IF('Raw data'!BE80&lt;&gt;"",IF(OR(UPPER(TRIM('Raw data'!BE80))=UPPER(TRIM('Real results'!C80)),UPPER(TRIM('Raw data'!BE80))=UPPER(TRIM('Real results'!C81)),UPPER(TRIM('Raw data'!BE80))=UPPER(TRIM('Real results'!C82))),1,0)+IF(UPPER(TRIM('Raw data'!BE80))=UPPER(TRIM('Real results'!C80)),2,0),0),0)</f>
        <v>0</v>
      </c>
      <c r="BG82" s="29">
        <f>IFERROR(IF('Raw data'!BG80&lt;&gt;"",IF(OR(UPPER(TRIM('Raw data'!BG80))=UPPER(TRIM('Real results'!C80)),UPPER(TRIM('Raw data'!BG80))=UPPER(TRIM('Real results'!C81)),UPPER(TRIM('Raw data'!BG80))=UPPER(TRIM('Real results'!C82))),1,0)+IF(UPPER(TRIM('Raw data'!BG80))=UPPER(TRIM('Real results'!C80)),2,0),0),0)</f>
        <v>0</v>
      </c>
      <c r="BI82" s="29">
        <f>IFERROR(IF('Raw data'!BI80&lt;&gt;"",IF(OR(UPPER(TRIM('Raw data'!BI80))=UPPER(TRIM('Real results'!C80)),UPPER(TRIM('Raw data'!BI80))=UPPER(TRIM('Real results'!C81)),UPPER(TRIM('Raw data'!BI80))=UPPER(TRIM('Real results'!C82))),1,0)+IF(UPPER(TRIM('Raw data'!BI80))=UPPER(TRIM('Real results'!C80)),2,0),0),0)</f>
        <v>0</v>
      </c>
    </row>
    <row r="83" ht="18.0" customHeight="1">
      <c r="A83" s="1"/>
      <c r="B83" s="13" t="s">
        <v>364</v>
      </c>
      <c r="C83" s="29">
        <f>IFERROR(IF('Raw data'!C81&lt;&gt;"",IF(OR(UPPER(TRIM('Raw data'!C81))=UPPER(TRIM('Real results'!C80)),UPPER(TRIM('Raw data'!C81))=UPPER(TRIM('Real results'!C81)),UPPER(TRIM('Raw data'!C81))=UPPER(TRIM('Real results'!C82))),1,0),0),0)</f>
        <v>0</v>
      </c>
      <c r="E83" s="29">
        <f>IFERROR(IF('Raw data'!E81&lt;&gt;"",IF(OR(UPPER(TRIM('Raw data'!E81))=UPPER(TRIM('Real results'!C80)),UPPER(TRIM('Raw data'!E81))=UPPER(TRIM('Real results'!C81)),UPPER(TRIM('Raw data'!E81))=UPPER(TRIM('Real results'!C82))),1,0),0),0)</f>
        <v>0</v>
      </c>
      <c r="G83" s="29">
        <f>IFERROR(IF('Raw data'!G81&lt;&gt;"",IF(OR(UPPER(TRIM('Raw data'!G81))=UPPER(TRIM('Real results'!C80)),UPPER(TRIM('Raw data'!G81))=UPPER(TRIM('Real results'!C81)),UPPER(TRIM('Raw data'!G81))=UPPER(TRIM('Real results'!C82))),1,0),0),0)</f>
        <v>0</v>
      </c>
      <c r="I83" s="29">
        <f>IFERROR(IF('Raw data'!I81&lt;&gt;"",IF(OR(UPPER(TRIM('Raw data'!I81))=UPPER(TRIM('Real results'!C80)),UPPER(TRIM('Raw data'!I81))=UPPER(TRIM('Real results'!C81)),UPPER(TRIM('Raw data'!I81))=UPPER(TRIM('Real results'!C82))),1,0),0),0)</f>
        <v>0</v>
      </c>
      <c r="K83" s="29">
        <f>IFERROR(IF('Raw data'!K81&lt;&gt;"",IF(OR(UPPER(TRIM('Raw data'!K81))=UPPER(TRIM('Real results'!C80)),UPPER(TRIM('Raw data'!K81))=UPPER(TRIM('Real results'!C81)),UPPER(TRIM('Raw data'!K81))=UPPER(TRIM('Real results'!C82))),1,0),0),0)</f>
        <v>0</v>
      </c>
      <c r="M83" s="29">
        <f>IFERROR(IF('Raw data'!M81&lt;&gt;"",IF(OR(UPPER(TRIM('Raw data'!M81))=UPPER(TRIM('Real results'!C80)),UPPER(TRIM('Raw data'!M81))=UPPER(TRIM('Real results'!C81)),UPPER(TRIM('Raw data'!M81))=UPPER(TRIM('Real results'!C82))),1,0),0),0)</f>
        <v>0</v>
      </c>
      <c r="O83" s="29">
        <f>IFERROR(IF('Raw data'!O81&lt;&gt;"",IF(OR(UPPER(TRIM('Raw data'!O81))=UPPER(TRIM('Real results'!C80)),UPPER(TRIM('Raw data'!O81))=UPPER(TRIM('Real results'!C81)),UPPER(TRIM('Raw data'!O81))=UPPER(TRIM('Real results'!C82))),1,0),0),0)</f>
        <v>0</v>
      </c>
      <c r="Q83" s="29">
        <f>IFERROR(IF('Raw data'!Q81&lt;&gt;"",IF(OR(UPPER(TRIM('Raw data'!Q81))=UPPER(TRIM('Real results'!C80)),UPPER(TRIM('Raw data'!Q81))=UPPER(TRIM('Real results'!C81)),UPPER(TRIM('Raw data'!Q81))=UPPER(TRIM('Real results'!C82))),1,0),0),0)</f>
        <v>0</v>
      </c>
      <c r="S83" s="29">
        <f>IFERROR(IF('Raw data'!S81&lt;&gt;"",IF(OR(UPPER(TRIM('Raw data'!S81))=UPPER(TRIM('Real results'!C80)),UPPER(TRIM('Raw data'!S81))=UPPER(TRIM('Real results'!C81)),UPPER(TRIM('Raw data'!S81))=UPPER(TRIM('Real results'!C82))),1,0),0),0)</f>
        <v>0</v>
      </c>
      <c r="U83" s="29">
        <f>IFERROR(IF('Raw data'!U81&lt;&gt;"",IF(OR(UPPER(TRIM('Raw data'!U81))=UPPER(TRIM('Real results'!C80)),UPPER(TRIM('Raw data'!U81))=UPPER(TRIM('Real results'!C81)),UPPER(TRIM('Raw data'!U81))=UPPER(TRIM('Real results'!C82))),1,0),0),0)</f>
        <v>0</v>
      </c>
      <c r="W83" s="29">
        <f>IFERROR(IF('Raw data'!W81&lt;&gt;"",IF(OR(UPPER(TRIM('Raw data'!W81))=UPPER(TRIM('Real results'!C80)),UPPER(TRIM('Raw data'!W81))=UPPER(TRIM('Real results'!C81)),UPPER(TRIM('Raw data'!W81))=UPPER(TRIM('Real results'!C82))),1,0),0),0)</f>
        <v>0</v>
      </c>
      <c r="Y83" s="29">
        <f>IFERROR(IF('Raw data'!Y81&lt;&gt;"",IF(OR(UPPER(TRIM('Raw data'!Y81))=UPPER(TRIM('Real results'!C80)),UPPER(TRIM('Raw data'!Y81))=UPPER(TRIM('Real results'!C81)),UPPER(TRIM('Raw data'!Y81))=UPPER(TRIM('Real results'!C82))),1,0),0),0)</f>
        <v>0</v>
      </c>
      <c r="AA83" s="29">
        <f>IFERROR(IF('Raw data'!AA81&lt;&gt;"",IF(OR(UPPER(TRIM('Raw data'!AA81))=UPPER(TRIM('Real results'!C80)),UPPER(TRIM('Raw data'!AA81))=UPPER(TRIM('Real results'!C81)),UPPER(TRIM('Raw data'!AA81))=UPPER(TRIM('Real results'!C82))),1,0),0),0)</f>
        <v>0</v>
      </c>
      <c r="AC83" s="29">
        <f>IFERROR(IF('Raw data'!AC81&lt;&gt;"",IF(OR(UPPER(TRIM('Raw data'!AC81))=UPPER(TRIM('Real results'!C80)),UPPER(TRIM('Raw data'!AC81))=UPPER(TRIM('Real results'!C81)),UPPER(TRIM('Raw data'!AC81))=UPPER(TRIM('Real results'!C82))),1,0),0),0)</f>
        <v>0</v>
      </c>
      <c r="AE83" s="29">
        <f>IFERROR(IF('Raw data'!AE81&lt;&gt;"",IF(OR(UPPER(TRIM('Raw data'!AE81))=UPPER(TRIM('Real results'!C80)),UPPER(TRIM('Raw data'!AE81))=UPPER(TRIM('Real results'!C81)),UPPER(TRIM('Raw data'!AE81))=UPPER(TRIM('Real results'!C82))),1,0),0),0)</f>
        <v>0</v>
      </c>
      <c r="AG83" s="29">
        <f>IFERROR(IF('Raw data'!AG81&lt;&gt;"",IF(OR(UPPER(TRIM('Raw data'!AG81))=UPPER(TRIM('Real results'!C80)),UPPER(TRIM('Raw data'!AG81))=UPPER(TRIM('Real results'!C81)),UPPER(TRIM('Raw data'!AG81))=UPPER(TRIM('Real results'!C82))),1,0),0),0)</f>
        <v>0</v>
      </c>
      <c r="AI83" s="29">
        <f>IFERROR(IF('Raw data'!AI81&lt;&gt;"",IF(OR(UPPER(TRIM('Raw data'!AI81))=UPPER(TRIM('Real results'!C80)),UPPER(TRIM('Raw data'!AI81))=UPPER(TRIM('Real results'!C81)),UPPER(TRIM('Raw data'!AI81))=UPPER(TRIM('Real results'!C82))),1,0),0),0)</f>
        <v>0</v>
      </c>
      <c r="AK83" s="29">
        <f>IFERROR(IF('Raw data'!AK81&lt;&gt;"",IF(OR(UPPER(TRIM('Raw data'!AK81))=UPPER(TRIM('Real results'!C80)),UPPER(TRIM('Raw data'!AK81))=UPPER(TRIM('Real results'!C81)),UPPER(TRIM('Raw data'!AK81))=UPPER(TRIM('Real results'!C82))),1,0),0),0)</f>
        <v>0</v>
      </c>
      <c r="AM83" s="29">
        <f>IFERROR(IF('Raw data'!AM81&lt;&gt;"",IF(OR(UPPER(TRIM('Raw data'!AM81))=UPPER(TRIM('Real results'!C80)),UPPER(TRIM('Raw data'!AM81))=UPPER(TRIM('Real results'!C81)),UPPER(TRIM('Raw data'!AM81))=UPPER(TRIM('Real results'!C82))),1,0),0),0)</f>
        <v>0</v>
      </c>
      <c r="AO83" s="29">
        <f>IFERROR(IF('Raw data'!AO81&lt;&gt;"",IF(OR(UPPER(TRIM('Raw data'!AO81))=UPPER(TRIM('Real results'!C80)),UPPER(TRIM('Raw data'!AO81))=UPPER(TRIM('Real results'!C81)),UPPER(TRIM('Raw data'!AO81))=UPPER(TRIM('Real results'!C82))),1,0),0),0)</f>
        <v>0</v>
      </c>
      <c r="AQ83" s="29">
        <f>IFERROR(IF('Raw data'!AQ81&lt;&gt;"",IF(OR(UPPER(TRIM('Raw data'!AQ81))=UPPER(TRIM('Real results'!C80)),UPPER(TRIM('Raw data'!AQ81))=UPPER(TRIM('Real results'!C81)),UPPER(TRIM('Raw data'!AQ81))=UPPER(TRIM('Real results'!C82))),1,0),0),0)</f>
        <v>0</v>
      </c>
      <c r="AS83" s="29">
        <f>IFERROR(IF('Raw data'!AS81&lt;&gt;"",IF(OR(UPPER(TRIM('Raw data'!AS81))=UPPER(TRIM('Real results'!C80)),UPPER(TRIM('Raw data'!AS81))=UPPER(TRIM('Real results'!C81)),UPPER(TRIM('Raw data'!AS81))=UPPER(TRIM('Real results'!C82))),1,0),0),0)</f>
        <v>0</v>
      </c>
      <c r="AU83" s="29">
        <f>IFERROR(IF('Raw data'!AU81&lt;&gt;"",IF(OR(UPPER(TRIM('Raw data'!AU81))=UPPER(TRIM('Real results'!C80)),UPPER(TRIM('Raw data'!AU81))=UPPER(TRIM('Real results'!C81)),UPPER(TRIM('Raw data'!AU81))=UPPER(TRIM('Real results'!C82))),1,0),0),0)</f>
        <v>0</v>
      </c>
      <c r="AW83" s="29">
        <f>IFERROR(IF('Raw data'!AW81&lt;&gt;"",IF(OR(UPPER(TRIM('Raw data'!AW81))=UPPER(TRIM('Real results'!C80)),UPPER(TRIM('Raw data'!AW81))=UPPER(TRIM('Real results'!C81)),UPPER(TRIM('Raw data'!AW81))=UPPER(TRIM('Real results'!C82))),1,0),0),0)</f>
        <v>0</v>
      </c>
      <c r="AY83" s="29">
        <f>IFERROR(IF('Raw data'!AY81&lt;&gt;"",IF(OR(UPPER(TRIM('Raw data'!AY81))=UPPER(TRIM('Real results'!C80)),UPPER(TRIM('Raw data'!AY81))=UPPER(TRIM('Real results'!C81)),UPPER(TRIM('Raw data'!AY81))=UPPER(TRIM('Real results'!C82))),1,0),0),0)</f>
        <v>0</v>
      </c>
      <c r="BA83" s="29">
        <f>IFERROR(IF('Raw data'!BA81&lt;&gt;"",IF(OR(UPPER(TRIM('Raw data'!BA81))=UPPER(TRIM('Real results'!C80)),UPPER(TRIM('Raw data'!BA81))=UPPER(TRIM('Real results'!C81)),UPPER(TRIM('Raw data'!BA81))=UPPER(TRIM('Real results'!C82))),1,0),0),0)</f>
        <v>0</v>
      </c>
      <c r="BC83" s="29">
        <f>IFERROR(IF('Raw data'!BC81&lt;&gt;"",IF(OR(UPPER(TRIM('Raw data'!BC81))=UPPER(TRIM('Real results'!C80)),UPPER(TRIM('Raw data'!BC81))=UPPER(TRIM('Real results'!C81)),UPPER(TRIM('Raw data'!BC81))=UPPER(TRIM('Real results'!C82))),1,0),0),0)</f>
        <v>0</v>
      </c>
      <c r="BE83" s="29">
        <f>IFERROR(IF('Raw data'!BE81&lt;&gt;"",IF(OR(UPPER(TRIM('Raw data'!BE81))=UPPER(TRIM('Real results'!C80)),UPPER(TRIM('Raw data'!BE81))=UPPER(TRIM('Real results'!C81)),UPPER(TRIM('Raw data'!BE81))=UPPER(TRIM('Real results'!C82))),1,0),0),0)</f>
        <v>0</v>
      </c>
      <c r="BG83" s="29">
        <f>IFERROR(IF('Raw data'!BG81&lt;&gt;"",IF(OR(UPPER(TRIM('Raw data'!BG81))=UPPER(TRIM('Real results'!C80)),UPPER(TRIM('Raw data'!BG81))=UPPER(TRIM('Real results'!C81)),UPPER(TRIM('Raw data'!BG81))=UPPER(TRIM('Real results'!C82))),1,0),0),0)</f>
        <v>0</v>
      </c>
      <c r="BI83" s="29">
        <f>IFERROR(IF('Raw data'!BI81&lt;&gt;"",IF(OR(UPPER(TRIM('Raw data'!BI81))=UPPER(TRIM('Real results'!C80)),UPPER(TRIM('Raw data'!BI81))=UPPER(TRIM('Real results'!C81)),UPPER(TRIM('Raw data'!BI81))=UPPER(TRIM('Real results'!C82))),1,0),0),0)</f>
        <v>0</v>
      </c>
    </row>
    <row r="84" ht="18.0" customHeight="1">
      <c r="A84" s="1"/>
      <c r="B84" s="13" t="s">
        <v>365</v>
      </c>
      <c r="C84" s="29">
        <f>IFERROR(IF('Raw data'!C82&lt;&gt;"",IF(OR(UPPER(TRIM('Raw data'!C82))=UPPER(TRIM('Real results'!C80)),UPPER(TRIM('Raw data'!C82))=UPPER(TRIM('Real results'!C81)),UPPER(TRIM('Raw data'!C82))=UPPER(TRIM('Real results'!C82))),1,0),0),0)</f>
        <v>0</v>
      </c>
      <c r="E84" s="29">
        <f>IFERROR(IF('Raw data'!E82&lt;&gt;"",IF(OR(UPPER(TRIM('Raw data'!E82))=UPPER(TRIM('Real results'!C80)),UPPER(TRIM('Raw data'!E82))=UPPER(TRIM('Real results'!C81)),UPPER(TRIM('Raw data'!E82))=UPPER(TRIM('Real results'!C82))),1,0),0),0)</f>
        <v>0</v>
      </c>
      <c r="G84" s="29">
        <f>IFERROR(IF('Raw data'!G82&lt;&gt;"",IF(OR(UPPER(TRIM('Raw data'!G82))=UPPER(TRIM('Real results'!C80)),UPPER(TRIM('Raw data'!G82))=UPPER(TRIM('Real results'!C81)),UPPER(TRIM('Raw data'!G82))=UPPER(TRIM('Real results'!C82))),1,0),0),0)</f>
        <v>0</v>
      </c>
      <c r="I84" s="29">
        <f>IFERROR(IF('Raw data'!I82&lt;&gt;"",IF(OR(UPPER(TRIM('Raw data'!I82))=UPPER(TRIM('Real results'!C80)),UPPER(TRIM('Raw data'!I82))=UPPER(TRIM('Real results'!C81)),UPPER(TRIM('Raw data'!I82))=UPPER(TRIM('Real results'!C82))),1,0),0),0)</f>
        <v>0</v>
      </c>
      <c r="K84" s="29">
        <f>IFERROR(IF('Raw data'!K82&lt;&gt;"",IF(OR(UPPER(TRIM('Raw data'!K82))=UPPER(TRIM('Real results'!C80)),UPPER(TRIM('Raw data'!K82))=UPPER(TRIM('Real results'!C81)),UPPER(TRIM('Raw data'!K82))=UPPER(TRIM('Real results'!C82))),1,0),0),0)</f>
        <v>0</v>
      </c>
      <c r="M84" s="29">
        <f>IFERROR(IF('Raw data'!M82&lt;&gt;"",IF(OR(UPPER(TRIM('Raw data'!M82))=UPPER(TRIM('Real results'!C80)),UPPER(TRIM('Raw data'!M82))=UPPER(TRIM('Real results'!C81)),UPPER(TRIM('Raw data'!M82))=UPPER(TRIM('Real results'!C82))),1,0),0),0)</f>
        <v>0</v>
      </c>
      <c r="O84" s="29">
        <f>IFERROR(IF('Raw data'!O82&lt;&gt;"",IF(OR(UPPER(TRIM('Raw data'!O82))=UPPER(TRIM('Real results'!C80)),UPPER(TRIM('Raw data'!O82))=UPPER(TRIM('Real results'!C81)),UPPER(TRIM('Raw data'!O82))=UPPER(TRIM('Real results'!C82))),1,0),0),0)</f>
        <v>0</v>
      </c>
      <c r="Q84" s="29">
        <f>IFERROR(IF('Raw data'!Q82&lt;&gt;"",IF(OR(UPPER(TRIM('Raw data'!Q82))=UPPER(TRIM('Real results'!C80)),UPPER(TRIM('Raw data'!Q82))=UPPER(TRIM('Real results'!C81)),UPPER(TRIM('Raw data'!Q82))=UPPER(TRIM('Real results'!C82))),1,0),0),0)</f>
        <v>0</v>
      </c>
      <c r="S84" s="29">
        <f>IFERROR(IF('Raw data'!S82&lt;&gt;"",IF(OR(UPPER(TRIM('Raw data'!S82))=UPPER(TRIM('Real results'!C80)),UPPER(TRIM('Raw data'!S82))=UPPER(TRIM('Real results'!C81)),UPPER(TRIM('Raw data'!S82))=UPPER(TRIM('Real results'!C82))),1,0),0),0)</f>
        <v>0</v>
      </c>
      <c r="U84" s="29">
        <f>IFERROR(IF('Raw data'!U82&lt;&gt;"",IF(OR(UPPER(TRIM('Raw data'!U82))=UPPER(TRIM('Real results'!C80)),UPPER(TRIM('Raw data'!U82))=UPPER(TRIM('Real results'!C81)),UPPER(TRIM('Raw data'!U82))=UPPER(TRIM('Real results'!C82))),1,0),0),0)</f>
        <v>0</v>
      </c>
      <c r="W84" s="29">
        <f>IFERROR(IF('Raw data'!W82&lt;&gt;"",IF(OR(UPPER(TRIM('Raw data'!W82))=UPPER(TRIM('Real results'!C80)),UPPER(TRIM('Raw data'!W82))=UPPER(TRIM('Real results'!C81)),UPPER(TRIM('Raw data'!W82))=UPPER(TRIM('Real results'!C82))),1,0),0),0)</f>
        <v>0</v>
      </c>
      <c r="Y84" s="29">
        <f>IFERROR(IF('Raw data'!Y82&lt;&gt;"",IF(OR(UPPER(TRIM('Raw data'!Y82))=UPPER(TRIM('Real results'!C80)),UPPER(TRIM('Raw data'!Y82))=UPPER(TRIM('Real results'!C81)),UPPER(TRIM('Raw data'!Y82))=UPPER(TRIM('Real results'!C82))),1,0),0),0)</f>
        <v>0</v>
      </c>
      <c r="AA84" s="29">
        <f>IFERROR(IF('Raw data'!AA82&lt;&gt;"",IF(OR(UPPER(TRIM('Raw data'!AA82))=UPPER(TRIM('Real results'!C80)),UPPER(TRIM('Raw data'!AA82))=UPPER(TRIM('Real results'!C81)),UPPER(TRIM('Raw data'!AA82))=UPPER(TRIM('Real results'!C82))),1,0),0),0)</f>
        <v>0</v>
      </c>
      <c r="AC84" s="29">
        <f>IFERROR(IF('Raw data'!AC82&lt;&gt;"",IF(OR(UPPER(TRIM('Raw data'!AC82))=UPPER(TRIM('Real results'!C80)),UPPER(TRIM('Raw data'!AC82))=UPPER(TRIM('Real results'!C81)),UPPER(TRIM('Raw data'!AC82))=UPPER(TRIM('Real results'!C82))),1,0),0),0)</f>
        <v>0</v>
      </c>
      <c r="AE84" s="29">
        <f>IFERROR(IF('Raw data'!AE82&lt;&gt;"",IF(OR(UPPER(TRIM('Raw data'!AE82))=UPPER(TRIM('Real results'!C80)),UPPER(TRIM('Raw data'!AE82))=UPPER(TRIM('Real results'!C81)),UPPER(TRIM('Raw data'!AE82))=UPPER(TRIM('Real results'!C82))),1,0),0),0)</f>
        <v>0</v>
      </c>
      <c r="AG84" s="29">
        <f>IFERROR(IF('Raw data'!AG82&lt;&gt;"",IF(OR(UPPER(TRIM('Raw data'!AG82))=UPPER(TRIM('Real results'!C80)),UPPER(TRIM('Raw data'!AG82))=UPPER(TRIM('Real results'!C81)),UPPER(TRIM('Raw data'!AG82))=UPPER(TRIM('Real results'!C82))),1,0),0),0)</f>
        <v>0</v>
      </c>
      <c r="AI84" s="29">
        <f>IFERROR(IF('Raw data'!AI82&lt;&gt;"",IF(OR(UPPER(TRIM('Raw data'!AI82))=UPPER(TRIM('Real results'!C80)),UPPER(TRIM('Raw data'!AI82))=UPPER(TRIM('Real results'!C81)),UPPER(TRIM('Raw data'!AI82))=UPPER(TRIM('Real results'!C82))),1,0),0),0)</f>
        <v>0</v>
      </c>
      <c r="AK84" s="29">
        <f>IFERROR(IF('Raw data'!AK82&lt;&gt;"",IF(OR(UPPER(TRIM('Raw data'!AK82))=UPPER(TRIM('Real results'!C80)),UPPER(TRIM('Raw data'!AK82))=UPPER(TRIM('Real results'!C81)),UPPER(TRIM('Raw data'!AK82))=UPPER(TRIM('Real results'!C82))),1,0),0),0)</f>
        <v>0</v>
      </c>
      <c r="AM84" s="29">
        <f>IFERROR(IF('Raw data'!AM82&lt;&gt;"",IF(OR(UPPER(TRIM('Raw data'!AM82))=UPPER(TRIM('Real results'!C80)),UPPER(TRIM('Raw data'!AM82))=UPPER(TRIM('Real results'!C81)),UPPER(TRIM('Raw data'!AM82))=UPPER(TRIM('Real results'!C82))),1,0),0),0)</f>
        <v>0</v>
      </c>
      <c r="AO84" s="29">
        <f>IFERROR(IF('Raw data'!AO82&lt;&gt;"",IF(OR(UPPER(TRIM('Raw data'!AO82))=UPPER(TRIM('Real results'!C80)),UPPER(TRIM('Raw data'!AO82))=UPPER(TRIM('Real results'!C81)),UPPER(TRIM('Raw data'!AO82))=UPPER(TRIM('Real results'!C82))),1,0),0),0)</f>
        <v>0</v>
      </c>
      <c r="AQ84" s="29">
        <f>IFERROR(IF('Raw data'!AQ82&lt;&gt;"",IF(OR(UPPER(TRIM('Raw data'!AQ82))=UPPER(TRIM('Real results'!C80)),UPPER(TRIM('Raw data'!AQ82))=UPPER(TRIM('Real results'!C81)),UPPER(TRIM('Raw data'!AQ82))=UPPER(TRIM('Real results'!C82))),1,0),0),0)</f>
        <v>0</v>
      </c>
      <c r="AS84" s="29">
        <f>IFERROR(IF('Raw data'!AS82&lt;&gt;"",IF(OR(UPPER(TRIM('Raw data'!AS82))=UPPER(TRIM('Real results'!C80)),UPPER(TRIM('Raw data'!AS82))=UPPER(TRIM('Real results'!C81)),UPPER(TRIM('Raw data'!AS82))=UPPER(TRIM('Real results'!C82))),1,0),0),0)</f>
        <v>0</v>
      </c>
      <c r="AU84" s="29">
        <f>IFERROR(IF('Raw data'!AU82&lt;&gt;"",IF(OR(UPPER(TRIM('Raw data'!AU82))=UPPER(TRIM('Real results'!C80)),UPPER(TRIM('Raw data'!AU82))=UPPER(TRIM('Real results'!C81)),UPPER(TRIM('Raw data'!AU82))=UPPER(TRIM('Real results'!C82))),1,0),0),0)</f>
        <v>0</v>
      </c>
      <c r="AW84" s="29">
        <f>IFERROR(IF('Raw data'!AW82&lt;&gt;"",IF(OR(UPPER(TRIM('Raw data'!AW82))=UPPER(TRIM('Real results'!C80)),UPPER(TRIM('Raw data'!AW82))=UPPER(TRIM('Real results'!C81)),UPPER(TRIM('Raw data'!AW82))=UPPER(TRIM('Real results'!C82))),1,0),0),0)</f>
        <v>0</v>
      </c>
      <c r="AY84" s="29">
        <f>IFERROR(IF('Raw data'!AY82&lt;&gt;"",IF(OR(UPPER(TRIM('Raw data'!AY82))=UPPER(TRIM('Real results'!C80)),UPPER(TRIM('Raw data'!AY82))=UPPER(TRIM('Real results'!C81)),UPPER(TRIM('Raw data'!AY82))=UPPER(TRIM('Real results'!C82))),1,0),0),0)</f>
        <v>0</v>
      </c>
      <c r="BA84" s="29">
        <f>IFERROR(IF('Raw data'!BA82&lt;&gt;"",IF(OR(UPPER(TRIM('Raw data'!BA82))=UPPER(TRIM('Real results'!C80)),UPPER(TRIM('Raw data'!BA82))=UPPER(TRIM('Real results'!C81)),UPPER(TRIM('Raw data'!BA82))=UPPER(TRIM('Real results'!C82))),1,0),0),0)</f>
        <v>0</v>
      </c>
      <c r="BC84" s="29">
        <f>IFERROR(IF('Raw data'!BC82&lt;&gt;"",IF(OR(UPPER(TRIM('Raw data'!BC82))=UPPER(TRIM('Real results'!C80)),UPPER(TRIM('Raw data'!BC82))=UPPER(TRIM('Real results'!C81)),UPPER(TRIM('Raw data'!BC82))=UPPER(TRIM('Real results'!C82))),1,0),0),0)</f>
        <v>0</v>
      </c>
      <c r="BE84" s="29">
        <f>IFERROR(IF('Raw data'!BE82&lt;&gt;"",IF(OR(UPPER(TRIM('Raw data'!BE82))=UPPER(TRIM('Real results'!C80)),UPPER(TRIM('Raw data'!BE82))=UPPER(TRIM('Real results'!C81)),UPPER(TRIM('Raw data'!BE82))=UPPER(TRIM('Real results'!C82))),1,0),0),0)</f>
        <v>0</v>
      </c>
      <c r="BG84" s="29">
        <f>IFERROR(IF('Raw data'!BG82&lt;&gt;"",IF(OR(UPPER(TRIM('Raw data'!BG82))=UPPER(TRIM('Real results'!C80)),UPPER(TRIM('Raw data'!BG82))=UPPER(TRIM('Real results'!C81)),UPPER(TRIM('Raw data'!BG82))=UPPER(TRIM('Real results'!C82))),1,0),0),0)</f>
        <v>0</v>
      </c>
      <c r="BI84" s="29">
        <f>IFERROR(IF('Raw data'!BI82&lt;&gt;"",IF(OR(UPPER(TRIM('Raw data'!BI82))=UPPER(TRIM('Real results'!C80)),UPPER(TRIM('Raw data'!BI82))=UPPER(TRIM('Real results'!C81)),UPPER(TRIM('Raw data'!BI82))=UPPER(TRIM('Real results'!C82))),1,0),0),0)</f>
        <v>0</v>
      </c>
    </row>
    <row r="85" ht="18.0" customHeight="1">
      <c r="A85" s="1"/>
      <c r="B85" s="13" t="s">
        <v>366</v>
      </c>
      <c r="C85" s="29">
        <f>IFERROR(IF('Raw data'!C83&lt;&gt;"",IF(OR(UPPER(TRIM('Raw data'!C83))=UPPER(TRIM('Real results'!C83)),UPPER(TRIM('Raw data'!C83))=UPPER(TRIM('Real results'!C84)),UPPER(TRIM('Raw data'!C83))=UPPER(TRIM('Real results'!C85))),1,0)+IF(UPPER(TRIM('Raw data'!C83))=UPPER(TRIM('Real results'!C83)),2,0),0),0)</f>
        <v>0</v>
      </c>
      <c r="E85" s="29">
        <f>IFERROR(IF('Raw data'!E83&lt;&gt;"",IF(OR(UPPER(TRIM('Raw data'!E83))=UPPER(TRIM('Real results'!C83)),UPPER(TRIM('Raw data'!E83))=UPPER(TRIM('Real results'!C84)),UPPER(TRIM('Raw data'!E83))=UPPER(TRIM('Real results'!C85))),1,0)+IF(UPPER(TRIM('Raw data'!E83))=UPPER(TRIM('Real results'!C83)),2,0),0),0)</f>
        <v>0</v>
      </c>
      <c r="G85" s="29">
        <f>IFERROR(IF('Raw data'!G83&lt;&gt;"",IF(OR(UPPER(TRIM('Raw data'!G83))=UPPER(TRIM('Real results'!C83)),UPPER(TRIM('Raw data'!G83))=UPPER(TRIM('Real results'!C84)),UPPER(TRIM('Raw data'!G83))=UPPER(TRIM('Real results'!C85))),1,0)+IF(UPPER(TRIM('Raw data'!G83))=UPPER(TRIM('Real results'!C83)),2,0),0),0)</f>
        <v>0</v>
      </c>
      <c r="I85" s="29">
        <f>IFERROR(IF('Raw data'!I83&lt;&gt;"",IF(OR(UPPER(TRIM('Raw data'!I83))=UPPER(TRIM('Real results'!C83)),UPPER(TRIM('Raw data'!I83))=UPPER(TRIM('Real results'!C84)),UPPER(TRIM('Raw data'!I83))=UPPER(TRIM('Real results'!C85))),1,0)+IF(UPPER(TRIM('Raw data'!I83))=UPPER(TRIM('Real results'!C83)),2,0),0),0)</f>
        <v>0</v>
      </c>
      <c r="K85" s="29">
        <f>IFERROR(IF('Raw data'!K83&lt;&gt;"",IF(OR(UPPER(TRIM('Raw data'!K83))=UPPER(TRIM('Real results'!C83)),UPPER(TRIM('Raw data'!K83))=UPPER(TRIM('Real results'!C84)),UPPER(TRIM('Raw data'!K83))=UPPER(TRIM('Real results'!C85))),1,0)+IF(UPPER(TRIM('Raw data'!K83))=UPPER(TRIM('Real results'!C83)),2,0),0),0)</f>
        <v>0</v>
      </c>
      <c r="M85" s="29">
        <f>IFERROR(IF('Raw data'!M83&lt;&gt;"",IF(OR(UPPER(TRIM('Raw data'!M83))=UPPER(TRIM('Real results'!C83)),UPPER(TRIM('Raw data'!M83))=UPPER(TRIM('Real results'!C84)),UPPER(TRIM('Raw data'!M83))=UPPER(TRIM('Real results'!C85))),1,0)+IF(UPPER(TRIM('Raw data'!M83))=UPPER(TRIM('Real results'!C83)),2,0),0),0)</f>
        <v>0</v>
      </c>
      <c r="O85" s="29">
        <f>IFERROR(IF('Raw data'!O83&lt;&gt;"",IF(OR(UPPER(TRIM('Raw data'!O83))=UPPER(TRIM('Real results'!C83)),UPPER(TRIM('Raw data'!O83))=UPPER(TRIM('Real results'!C84)),UPPER(TRIM('Raw data'!O83))=UPPER(TRIM('Real results'!C85))),1,0)+IF(UPPER(TRIM('Raw data'!O83))=UPPER(TRIM('Real results'!C83)),2,0),0),0)</f>
        <v>0</v>
      </c>
      <c r="Q85" s="29">
        <f>IFERROR(IF('Raw data'!Q83&lt;&gt;"",IF(OR(UPPER(TRIM('Raw data'!Q83))=UPPER(TRIM('Real results'!C83)),UPPER(TRIM('Raw data'!Q83))=UPPER(TRIM('Real results'!C84)),UPPER(TRIM('Raw data'!Q83))=UPPER(TRIM('Real results'!C85))),1,0)+IF(UPPER(TRIM('Raw data'!Q83))=UPPER(TRIM('Real results'!C83)),2,0),0),0)</f>
        <v>0</v>
      </c>
      <c r="S85" s="29">
        <f>IFERROR(IF('Raw data'!S83&lt;&gt;"",IF(OR(UPPER(TRIM('Raw data'!S83))=UPPER(TRIM('Real results'!C83)),UPPER(TRIM('Raw data'!S83))=UPPER(TRIM('Real results'!C84)),UPPER(TRIM('Raw data'!S83))=UPPER(TRIM('Real results'!C85))),1,0)+IF(UPPER(TRIM('Raw data'!S83))=UPPER(TRIM('Real results'!C83)),2,0),0),0)</f>
        <v>0</v>
      </c>
      <c r="U85" s="29">
        <f>IFERROR(IF('Raw data'!U83&lt;&gt;"",IF(OR(UPPER(TRIM('Raw data'!U83))=UPPER(TRIM('Real results'!C83)),UPPER(TRIM('Raw data'!U83))=UPPER(TRIM('Real results'!C84)),UPPER(TRIM('Raw data'!U83))=UPPER(TRIM('Real results'!C85))),1,0)+IF(UPPER(TRIM('Raw data'!U83))=UPPER(TRIM('Real results'!C83)),2,0),0),0)</f>
        <v>0</v>
      </c>
      <c r="W85" s="29">
        <f>IFERROR(IF('Raw data'!W83&lt;&gt;"",IF(OR(UPPER(TRIM('Raw data'!W83))=UPPER(TRIM('Real results'!C83)),UPPER(TRIM('Raw data'!W83))=UPPER(TRIM('Real results'!C84)),UPPER(TRIM('Raw data'!W83))=UPPER(TRIM('Real results'!C85))),1,0)+IF(UPPER(TRIM('Raw data'!W83))=UPPER(TRIM('Real results'!C83)),2,0),0),0)</f>
        <v>0</v>
      </c>
      <c r="Y85" s="29">
        <f>IFERROR(IF('Raw data'!Y83&lt;&gt;"",IF(OR(UPPER(TRIM('Raw data'!Y83))=UPPER(TRIM('Real results'!C83)),UPPER(TRIM('Raw data'!Y83))=UPPER(TRIM('Real results'!C84)),UPPER(TRIM('Raw data'!Y83))=UPPER(TRIM('Real results'!C85))),1,0)+IF(UPPER(TRIM('Raw data'!Y83))=UPPER(TRIM('Real results'!C83)),2,0),0),0)</f>
        <v>0</v>
      </c>
      <c r="AA85" s="29">
        <f>IFERROR(IF('Raw data'!AA83&lt;&gt;"",IF(OR(UPPER(TRIM('Raw data'!AA83))=UPPER(TRIM('Real results'!C83)),UPPER(TRIM('Raw data'!AA83))=UPPER(TRIM('Real results'!C84)),UPPER(TRIM('Raw data'!AA83))=UPPER(TRIM('Real results'!C85))),1,0)+IF(UPPER(TRIM('Raw data'!AA83))=UPPER(TRIM('Real results'!C83)),2,0),0),0)</f>
        <v>0</v>
      </c>
      <c r="AC85" s="29">
        <f>IFERROR(IF('Raw data'!AC83&lt;&gt;"",IF(OR(UPPER(TRIM('Raw data'!AC83))=UPPER(TRIM('Real results'!C83)),UPPER(TRIM('Raw data'!AC83))=UPPER(TRIM('Real results'!C84)),UPPER(TRIM('Raw data'!AC83))=UPPER(TRIM('Real results'!C85))),1,0)+IF(UPPER(TRIM('Raw data'!AC83))=UPPER(TRIM('Real results'!C83)),2,0),0),0)</f>
        <v>0</v>
      </c>
      <c r="AE85" s="29">
        <f>IFERROR(IF('Raw data'!AE83&lt;&gt;"",IF(OR(UPPER(TRIM('Raw data'!AE83))=UPPER(TRIM('Real results'!C83)),UPPER(TRIM('Raw data'!AE83))=UPPER(TRIM('Real results'!C84)),UPPER(TRIM('Raw data'!AE83))=UPPER(TRIM('Real results'!C85))),1,0)+IF(UPPER(TRIM('Raw data'!AE83))=UPPER(TRIM('Real results'!C83)),2,0),0),0)</f>
        <v>0</v>
      </c>
      <c r="AG85" s="29">
        <f>IFERROR(IF('Raw data'!AG83&lt;&gt;"",IF(OR(UPPER(TRIM('Raw data'!AG83))=UPPER(TRIM('Real results'!C83)),UPPER(TRIM('Raw data'!AG83))=UPPER(TRIM('Real results'!C84)),UPPER(TRIM('Raw data'!AG83))=UPPER(TRIM('Real results'!C85))),1,0)+IF(UPPER(TRIM('Raw data'!AG83))=UPPER(TRIM('Real results'!C83)),2,0),0),0)</f>
        <v>0</v>
      </c>
      <c r="AI85" s="29">
        <f>IFERROR(IF('Raw data'!AI83&lt;&gt;"",IF(OR(UPPER(TRIM('Raw data'!AI83))=UPPER(TRIM('Real results'!C83)),UPPER(TRIM('Raw data'!AI83))=UPPER(TRIM('Real results'!C84)),UPPER(TRIM('Raw data'!AI83))=UPPER(TRIM('Real results'!C85))),1,0)+IF(UPPER(TRIM('Raw data'!AI83))=UPPER(TRIM('Real results'!C83)),2,0),0),0)</f>
        <v>0</v>
      </c>
      <c r="AK85" s="29">
        <f>IFERROR(IF('Raw data'!AK83&lt;&gt;"",IF(OR(UPPER(TRIM('Raw data'!AK83))=UPPER(TRIM('Real results'!C83)),UPPER(TRIM('Raw data'!AK83))=UPPER(TRIM('Real results'!C84)),UPPER(TRIM('Raw data'!AK83))=UPPER(TRIM('Real results'!C85))),1,0)+IF(UPPER(TRIM('Raw data'!AK83))=UPPER(TRIM('Real results'!C83)),2,0),0),0)</f>
        <v>0</v>
      </c>
      <c r="AM85" s="29">
        <f>IFERROR(IF('Raw data'!AM83&lt;&gt;"",IF(OR(UPPER(TRIM('Raw data'!AM83))=UPPER(TRIM('Real results'!C83)),UPPER(TRIM('Raw data'!AM83))=UPPER(TRIM('Real results'!C84)),UPPER(TRIM('Raw data'!AM83))=UPPER(TRIM('Real results'!C85))),1,0)+IF(UPPER(TRIM('Raw data'!AM83))=UPPER(TRIM('Real results'!C83)),2,0),0),0)</f>
        <v>0</v>
      </c>
      <c r="AO85" s="29">
        <f>IFERROR(IF('Raw data'!AO83&lt;&gt;"",IF(OR(UPPER(TRIM('Raw data'!AO83))=UPPER(TRIM('Real results'!C83)),UPPER(TRIM('Raw data'!AO83))=UPPER(TRIM('Real results'!C84)),UPPER(TRIM('Raw data'!AO83))=UPPER(TRIM('Real results'!C85))),1,0)+IF(UPPER(TRIM('Raw data'!AO83))=UPPER(TRIM('Real results'!C83)),2,0),0),0)</f>
        <v>0</v>
      </c>
      <c r="AQ85" s="29">
        <f>IFERROR(IF('Raw data'!AQ83&lt;&gt;"",IF(OR(UPPER(TRIM('Raw data'!AQ83))=UPPER(TRIM('Real results'!C83)),UPPER(TRIM('Raw data'!AQ83))=UPPER(TRIM('Real results'!C84)),UPPER(TRIM('Raw data'!AQ83))=UPPER(TRIM('Real results'!C85))),1,0)+IF(UPPER(TRIM('Raw data'!AQ83))=UPPER(TRIM('Real results'!C83)),2,0),0),0)</f>
        <v>0</v>
      </c>
      <c r="AS85" s="29">
        <f>IFERROR(IF('Raw data'!AS83&lt;&gt;"",IF(OR(UPPER(TRIM('Raw data'!AS83))=UPPER(TRIM('Real results'!C83)),UPPER(TRIM('Raw data'!AS83))=UPPER(TRIM('Real results'!C84)),UPPER(TRIM('Raw data'!AS83))=UPPER(TRIM('Real results'!C85))),1,0)+IF(UPPER(TRIM('Raw data'!AS83))=UPPER(TRIM('Real results'!C83)),2,0),0),0)</f>
        <v>0</v>
      </c>
      <c r="AU85" s="29">
        <f>IFERROR(IF('Raw data'!AU83&lt;&gt;"",IF(OR(UPPER(TRIM('Raw data'!AU83))=UPPER(TRIM('Real results'!C83)),UPPER(TRIM('Raw data'!AU83))=UPPER(TRIM('Real results'!C84)),UPPER(TRIM('Raw data'!AU83))=UPPER(TRIM('Real results'!C85))),1,0)+IF(UPPER(TRIM('Raw data'!AU83))=UPPER(TRIM('Real results'!C83)),2,0),0),0)</f>
        <v>0</v>
      </c>
      <c r="AW85" s="29">
        <f>IFERROR(IF('Raw data'!AW83&lt;&gt;"",IF(OR(UPPER(TRIM('Raw data'!AW83))=UPPER(TRIM('Real results'!C83)),UPPER(TRIM('Raw data'!AW83))=UPPER(TRIM('Real results'!C84)),UPPER(TRIM('Raw data'!AW83))=UPPER(TRIM('Real results'!C85))),1,0)+IF(UPPER(TRIM('Raw data'!AW83))=UPPER(TRIM('Real results'!C83)),2,0),0),0)</f>
        <v>0</v>
      </c>
      <c r="AY85" s="29">
        <f>IFERROR(IF('Raw data'!AY83&lt;&gt;"",IF(OR(UPPER(TRIM('Raw data'!AY83))=UPPER(TRIM('Real results'!C83)),UPPER(TRIM('Raw data'!AY83))=UPPER(TRIM('Real results'!C84)),UPPER(TRIM('Raw data'!AY83))=UPPER(TRIM('Real results'!C85))),1,0)+IF(UPPER(TRIM('Raw data'!AY83))=UPPER(TRIM('Real results'!C83)),2,0),0),0)</f>
        <v>0</v>
      </c>
      <c r="BA85" s="29">
        <f>IFERROR(IF('Raw data'!BA83&lt;&gt;"",IF(OR(UPPER(TRIM('Raw data'!BA83))=UPPER(TRIM('Real results'!C83)),UPPER(TRIM('Raw data'!BA83))=UPPER(TRIM('Real results'!C84)),UPPER(TRIM('Raw data'!BA83))=UPPER(TRIM('Real results'!C85))),1,0)+IF(UPPER(TRIM('Raw data'!BA83))=UPPER(TRIM('Real results'!C83)),2,0),0),0)</f>
        <v>0</v>
      </c>
      <c r="BC85" s="29">
        <f>IFERROR(IF('Raw data'!BC83&lt;&gt;"",IF(OR(UPPER(TRIM('Raw data'!BC83))=UPPER(TRIM('Real results'!C83)),UPPER(TRIM('Raw data'!BC83))=UPPER(TRIM('Real results'!C84)),UPPER(TRIM('Raw data'!BC83))=UPPER(TRIM('Real results'!C85))),1,0)+IF(UPPER(TRIM('Raw data'!BC83))=UPPER(TRIM('Real results'!C83)),2,0),0),0)</f>
        <v>0</v>
      </c>
      <c r="BE85" s="29">
        <f>IFERROR(IF('Raw data'!BE83&lt;&gt;"",IF(OR(UPPER(TRIM('Raw data'!BE83))=UPPER(TRIM('Real results'!C83)),UPPER(TRIM('Raw data'!BE83))=UPPER(TRIM('Real results'!C84)),UPPER(TRIM('Raw data'!BE83))=UPPER(TRIM('Real results'!C85))),1,0)+IF(UPPER(TRIM('Raw data'!BE83))=UPPER(TRIM('Real results'!C83)),2,0),0),0)</f>
        <v>0</v>
      </c>
      <c r="BG85" s="29">
        <f>IFERROR(IF('Raw data'!BG83&lt;&gt;"",IF(OR(UPPER(TRIM('Raw data'!BG83))=UPPER(TRIM('Real results'!C83)),UPPER(TRIM('Raw data'!BG83))=UPPER(TRIM('Real results'!C84)),UPPER(TRIM('Raw data'!BG83))=UPPER(TRIM('Real results'!C85))),1,0)+IF(UPPER(TRIM('Raw data'!BG83))=UPPER(TRIM('Real results'!C83)),2,0),0),0)</f>
        <v>0</v>
      </c>
      <c r="BI85" s="29">
        <f>IFERROR(IF('Raw data'!BI83&lt;&gt;"",IF(OR(UPPER(TRIM('Raw data'!BI83))=UPPER(TRIM('Real results'!C83)),UPPER(TRIM('Raw data'!BI83))=UPPER(TRIM('Real results'!C84)),UPPER(TRIM('Raw data'!BI83))=UPPER(TRIM('Real results'!C85))),1,0)+IF(UPPER(TRIM('Raw data'!BI83))=UPPER(TRIM('Real results'!C83)),2,0),0),0)</f>
        <v>0</v>
      </c>
    </row>
    <row r="86" ht="18.0" customHeight="1">
      <c r="A86" s="1"/>
      <c r="B86" s="13" t="s">
        <v>367</v>
      </c>
      <c r="C86" s="29">
        <f>IFERROR(IF('Raw data'!C84&lt;&gt;"",IF(OR(UPPER(TRIM('Raw data'!C84))=UPPER(TRIM('Real results'!C83)),UPPER(TRIM('Raw data'!C84))=UPPER(TRIM('Real results'!C84)),UPPER(TRIM('Raw data'!C84))=UPPER(TRIM('Real results'!C85))),1,0),0),0)</f>
        <v>0</v>
      </c>
      <c r="E86" s="29">
        <f>IFERROR(IF('Raw data'!E84&lt;&gt;"",IF(OR(UPPER(TRIM('Raw data'!E84))=UPPER(TRIM('Real results'!C83)),UPPER(TRIM('Raw data'!E84))=UPPER(TRIM('Real results'!C84)),UPPER(TRIM('Raw data'!E84))=UPPER(TRIM('Real results'!C85))),1,0),0),0)</f>
        <v>0</v>
      </c>
      <c r="G86" s="29">
        <f>IFERROR(IF('Raw data'!G84&lt;&gt;"",IF(OR(UPPER(TRIM('Raw data'!G84))=UPPER(TRIM('Real results'!C83)),UPPER(TRIM('Raw data'!G84))=UPPER(TRIM('Real results'!C84)),UPPER(TRIM('Raw data'!G84))=UPPER(TRIM('Real results'!C85))),1,0),0),0)</f>
        <v>0</v>
      </c>
      <c r="I86" s="29">
        <f>IFERROR(IF('Raw data'!I84&lt;&gt;"",IF(OR(UPPER(TRIM('Raw data'!I84))=UPPER(TRIM('Real results'!C83)),UPPER(TRIM('Raw data'!I84))=UPPER(TRIM('Real results'!C84)),UPPER(TRIM('Raw data'!I84))=UPPER(TRIM('Real results'!C85))),1,0),0),0)</f>
        <v>0</v>
      </c>
      <c r="K86" s="29">
        <f>IFERROR(IF('Raw data'!K84&lt;&gt;"",IF(OR(UPPER(TRIM('Raw data'!K84))=UPPER(TRIM('Real results'!C83)),UPPER(TRIM('Raw data'!K84))=UPPER(TRIM('Real results'!C84)),UPPER(TRIM('Raw data'!K84))=UPPER(TRIM('Real results'!C85))),1,0),0),0)</f>
        <v>0</v>
      </c>
      <c r="M86" s="29">
        <f>IFERROR(IF('Raw data'!M84&lt;&gt;"",IF(OR(UPPER(TRIM('Raw data'!M84))=UPPER(TRIM('Real results'!C83)),UPPER(TRIM('Raw data'!M84))=UPPER(TRIM('Real results'!C84)),UPPER(TRIM('Raw data'!M84))=UPPER(TRIM('Real results'!C85))),1,0),0),0)</f>
        <v>0</v>
      </c>
      <c r="O86" s="29">
        <f>IFERROR(IF('Raw data'!O84&lt;&gt;"",IF(OR(UPPER(TRIM('Raw data'!O84))=UPPER(TRIM('Real results'!C83)),UPPER(TRIM('Raw data'!O84))=UPPER(TRIM('Real results'!C84)),UPPER(TRIM('Raw data'!O84))=UPPER(TRIM('Real results'!C85))),1,0),0),0)</f>
        <v>0</v>
      </c>
      <c r="Q86" s="29">
        <f>IFERROR(IF('Raw data'!Q84&lt;&gt;"",IF(OR(UPPER(TRIM('Raw data'!Q84))=UPPER(TRIM('Real results'!C83)),UPPER(TRIM('Raw data'!Q84))=UPPER(TRIM('Real results'!C84)),UPPER(TRIM('Raw data'!Q84))=UPPER(TRIM('Real results'!C85))),1,0),0),0)</f>
        <v>0</v>
      </c>
      <c r="S86" s="29">
        <f>IFERROR(IF('Raw data'!S84&lt;&gt;"",IF(OR(UPPER(TRIM('Raw data'!S84))=UPPER(TRIM('Real results'!C83)),UPPER(TRIM('Raw data'!S84))=UPPER(TRIM('Real results'!C84)),UPPER(TRIM('Raw data'!S84))=UPPER(TRIM('Real results'!C85))),1,0),0),0)</f>
        <v>0</v>
      </c>
      <c r="U86" s="29">
        <f>IFERROR(IF('Raw data'!U84&lt;&gt;"",IF(OR(UPPER(TRIM('Raw data'!U84))=UPPER(TRIM('Real results'!C83)),UPPER(TRIM('Raw data'!U84))=UPPER(TRIM('Real results'!C84)),UPPER(TRIM('Raw data'!U84))=UPPER(TRIM('Real results'!C85))),1,0),0),0)</f>
        <v>0</v>
      </c>
      <c r="W86" s="29">
        <f>IFERROR(IF('Raw data'!W84&lt;&gt;"",IF(OR(UPPER(TRIM('Raw data'!W84))=UPPER(TRIM('Real results'!C83)),UPPER(TRIM('Raw data'!W84))=UPPER(TRIM('Real results'!C84)),UPPER(TRIM('Raw data'!W84))=UPPER(TRIM('Real results'!C85))),1,0),0),0)</f>
        <v>0</v>
      </c>
      <c r="Y86" s="29">
        <f>IFERROR(IF('Raw data'!Y84&lt;&gt;"",IF(OR(UPPER(TRIM('Raw data'!Y84))=UPPER(TRIM('Real results'!C83)),UPPER(TRIM('Raw data'!Y84))=UPPER(TRIM('Real results'!C84)),UPPER(TRIM('Raw data'!Y84))=UPPER(TRIM('Real results'!C85))),1,0),0),0)</f>
        <v>0</v>
      </c>
      <c r="AA86" s="29">
        <f>IFERROR(IF('Raw data'!AA84&lt;&gt;"",IF(OR(UPPER(TRIM('Raw data'!AA84))=UPPER(TRIM('Real results'!C83)),UPPER(TRIM('Raw data'!AA84))=UPPER(TRIM('Real results'!C84)),UPPER(TRIM('Raw data'!AA84))=UPPER(TRIM('Real results'!C85))),1,0),0),0)</f>
        <v>0</v>
      </c>
      <c r="AC86" s="29">
        <f>IFERROR(IF('Raw data'!AC84&lt;&gt;"",IF(OR(UPPER(TRIM('Raw data'!AC84))=UPPER(TRIM('Real results'!C83)),UPPER(TRIM('Raw data'!AC84))=UPPER(TRIM('Real results'!C84)),UPPER(TRIM('Raw data'!AC84))=UPPER(TRIM('Real results'!C85))),1,0),0),0)</f>
        <v>0</v>
      </c>
      <c r="AE86" s="29">
        <f>IFERROR(IF('Raw data'!AE84&lt;&gt;"",IF(OR(UPPER(TRIM('Raw data'!AE84))=UPPER(TRIM('Real results'!C83)),UPPER(TRIM('Raw data'!AE84))=UPPER(TRIM('Real results'!C84)),UPPER(TRIM('Raw data'!AE84))=UPPER(TRIM('Real results'!C85))),1,0),0),0)</f>
        <v>0</v>
      </c>
      <c r="AG86" s="29">
        <f>IFERROR(IF('Raw data'!AG84&lt;&gt;"",IF(OR(UPPER(TRIM('Raw data'!AG84))=UPPER(TRIM('Real results'!C83)),UPPER(TRIM('Raw data'!AG84))=UPPER(TRIM('Real results'!C84)),UPPER(TRIM('Raw data'!AG84))=UPPER(TRIM('Real results'!C85))),1,0),0),0)</f>
        <v>0</v>
      </c>
      <c r="AI86" s="29">
        <f>IFERROR(IF('Raw data'!AI84&lt;&gt;"",IF(OR(UPPER(TRIM('Raw data'!AI84))=UPPER(TRIM('Real results'!C83)),UPPER(TRIM('Raw data'!AI84))=UPPER(TRIM('Real results'!C84)),UPPER(TRIM('Raw data'!AI84))=UPPER(TRIM('Real results'!C85))),1,0),0),0)</f>
        <v>0</v>
      </c>
      <c r="AK86" s="29">
        <f>IFERROR(IF('Raw data'!AK84&lt;&gt;"",IF(OR(UPPER(TRIM('Raw data'!AK84))=UPPER(TRIM('Real results'!C83)),UPPER(TRIM('Raw data'!AK84))=UPPER(TRIM('Real results'!C84)),UPPER(TRIM('Raw data'!AK84))=UPPER(TRIM('Real results'!C85))),1,0),0),0)</f>
        <v>0</v>
      </c>
      <c r="AM86" s="29">
        <f>IFERROR(IF('Raw data'!AM84&lt;&gt;"",IF(OR(UPPER(TRIM('Raw data'!AM84))=UPPER(TRIM('Real results'!C83)),UPPER(TRIM('Raw data'!AM84))=UPPER(TRIM('Real results'!C84)),UPPER(TRIM('Raw data'!AM84))=UPPER(TRIM('Real results'!C85))),1,0),0),0)</f>
        <v>0</v>
      </c>
      <c r="AO86" s="29">
        <f>IFERROR(IF('Raw data'!AO84&lt;&gt;"",IF(OR(UPPER(TRIM('Raw data'!AO84))=UPPER(TRIM('Real results'!C83)),UPPER(TRIM('Raw data'!AO84))=UPPER(TRIM('Real results'!C84)),UPPER(TRIM('Raw data'!AO84))=UPPER(TRIM('Real results'!C85))),1,0),0),0)</f>
        <v>0</v>
      </c>
      <c r="AQ86" s="29">
        <f>IFERROR(IF('Raw data'!AQ84&lt;&gt;"",IF(OR(UPPER(TRIM('Raw data'!AQ84))=UPPER(TRIM('Real results'!C83)),UPPER(TRIM('Raw data'!AQ84))=UPPER(TRIM('Real results'!C84)),UPPER(TRIM('Raw data'!AQ84))=UPPER(TRIM('Real results'!C85))),1,0),0),0)</f>
        <v>0</v>
      </c>
      <c r="AS86" s="29">
        <f>IFERROR(IF('Raw data'!AS84&lt;&gt;"",IF(OR(UPPER(TRIM('Raw data'!AS84))=UPPER(TRIM('Real results'!C83)),UPPER(TRIM('Raw data'!AS84))=UPPER(TRIM('Real results'!C84)),UPPER(TRIM('Raw data'!AS84))=UPPER(TRIM('Real results'!C85))),1,0),0),0)</f>
        <v>0</v>
      </c>
      <c r="AU86" s="29">
        <f>IFERROR(IF('Raw data'!AU84&lt;&gt;"",IF(OR(UPPER(TRIM('Raw data'!AU84))=UPPER(TRIM('Real results'!C83)),UPPER(TRIM('Raw data'!AU84))=UPPER(TRIM('Real results'!C84)),UPPER(TRIM('Raw data'!AU84))=UPPER(TRIM('Real results'!C85))),1,0),0),0)</f>
        <v>0</v>
      </c>
      <c r="AW86" s="29">
        <f>IFERROR(IF('Raw data'!AW84&lt;&gt;"",IF(OR(UPPER(TRIM('Raw data'!AW84))=UPPER(TRIM('Real results'!C83)),UPPER(TRIM('Raw data'!AW84))=UPPER(TRIM('Real results'!C84)),UPPER(TRIM('Raw data'!AW84))=UPPER(TRIM('Real results'!C85))),1,0),0),0)</f>
        <v>0</v>
      </c>
      <c r="AY86" s="29">
        <f>IFERROR(IF('Raw data'!AY84&lt;&gt;"",IF(OR(UPPER(TRIM('Raw data'!AY84))=UPPER(TRIM('Real results'!C83)),UPPER(TRIM('Raw data'!AY84))=UPPER(TRIM('Real results'!C84)),UPPER(TRIM('Raw data'!AY84))=UPPER(TRIM('Real results'!C85))),1,0),0),0)</f>
        <v>0</v>
      </c>
      <c r="BA86" s="29">
        <f>IFERROR(IF('Raw data'!BA84&lt;&gt;"",IF(OR(UPPER(TRIM('Raw data'!BA84))=UPPER(TRIM('Real results'!C83)),UPPER(TRIM('Raw data'!BA84))=UPPER(TRIM('Real results'!C84)),UPPER(TRIM('Raw data'!BA84))=UPPER(TRIM('Real results'!C85))),1,0),0),0)</f>
        <v>0</v>
      </c>
      <c r="BC86" s="29">
        <f>IFERROR(IF('Raw data'!BC84&lt;&gt;"",IF(OR(UPPER(TRIM('Raw data'!BC84))=UPPER(TRIM('Real results'!C83)),UPPER(TRIM('Raw data'!BC84))=UPPER(TRIM('Real results'!C84)),UPPER(TRIM('Raw data'!BC84))=UPPER(TRIM('Real results'!C85))),1,0),0),0)</f>
        <v>0</v>
      </c>
      <c r="BE86" s="29">
        <f>IFERROR(IF('Raw data'!BE84&lt;&gt;"",IF(OR(UPPER(TRIM('Raw data'!BE84))=UPPER(TRIM('Real results'!C83)),UPPER(TRIM('Raw data'!BE84))=UPPER(TRIM('Real results'!C84)),UPPER(TRIM('Raw data'!BE84))=UPPER(TRIM('Real results'!C85))),1,0),0),0)</f>
        <v>0</v>
      </c>
      <c r="BG86" s="29">
        <f>IFERROR(IF('Raw data'!BG84&lt;&gt;"",IF(OR(UPPER(TRIM('Raw data'!BG84))=UPPER(TRIM('Real results'!C83)),UPPER(TRIM('Raw data'!BG84))=UPPER(TRIM('Real results'!C84)),UPPER(TRIM('Raw data'!BG84))=UPPER(TRIM('Real results'!C85))),1,0),0),0)</f>
        <v>0</v>
      </c>
      <c r="BI86" s="29">
        <f>IFERROR(IF('Raw data'!BI84&lt;&gt;"",IF(OR(UPPER(TRIM('Raw data'!BI84))=UPPER(TRIM('Real results'!C83)),UPPER(TRIM('Raw data'!BI84))=UPPER(TRIM('Real results'!C84)),UPPER(TRIM('Raw data'!BI84))=UPPER(TRIM('Real results'!C85))),1,0),0),0)</f>
        <v>0</v>
      </c>
    </row>
    <row r="87" ht="18.0" customHeight="1">
      <c r="A87" s="1"/>
      <c r="B87" s="13" t="s">
        <v>368</v>
      </c>
      <c r="C87" s="29">
        <f>IFERROR(IF('Raw data'!C85&lt;&gt;"",IF(OR(UPPER(TRIM('Raw data'!C85))=UPPER(TRIM('Real results'!C83)),UPPER(TRIM('Raw data'!C85))=UPPER(TRIM('Real results'!C84)),UPPER(TRIM('Raw data'!C85))=UPPER(TRIM('Real results'!C85))),1,0),0),0)</f>
        <v>0</v>
      </c>
      <c r="E87" s="29">
        <f>IFERROR(IF('Raw data'!E85&lt;&gt;"",IF(OR(UPPER(TRIM('Raw data'!E85))=UPPER(TRIM('Real results'!C83)),UPPER(TRIM('Raw data'!E85))=UPPER(TRIM('Real results'!C84)),UPPER(TRIM('Raw data'!E85))=UPPER(TRIM('Real results'!C85))),1,0),0),0)</f>
        <v>0</v>
      </c>
      <c r="G87" s="29">
        <f>IFERROR(IF('Raw data'!G85&lt;&gt;"",IF(OR(UPPER(TRIM('Raw data'!G85))=UPPER(TRIM('Real results'!C83)),UPPER(TRIM('Raw data'!G85))=UPPER(TRIM('Real results'!C84)),UPPER(TRIM('Raw data'!G85))=UPPER(TRIM('Real results'!C85))),1,0),0),0)</f>
        <v>0</v>
      </c>
      <c r="I87" s="29">
        <f>IFERROR(IF('Raw data'!I85&lt;&gt;"",IF(OR(UPPER(TRIM('Raw data'!I85))=UPPER(TRIM('Real results'!C83)),UPPER(TRIM('Raw data'!I85))=UPPER(TRIM('Real results'!C84)),UPPER(TRIM('Raw data'!I85))=UPPER(TRIM('Real results'!C85))),1,0),0),0)</f>
        <v>0</v>
      </c>
      <c r="K87" s="29">
        <f>IFERROR(IF('Raw data'!K85&lt;&gt;"",IF(OR(UPPER(TRIM('Raw data'!K85))=UPPER(TRIM('Real results'!C83)),UPPER(TRIM('Raw data'!K85))=UPPER(TRIM('Real results'!C84)),UPPER(TRIM('Raw data'!K85))=UPPER(TRIM('Real results'!C85))),1,0),0),0)</f>
        <v>0</v>
      </c>
      <c r="M87" s="29">
        <f>IFERROR(IF('Raw data'!M85&lt;&gt;"",IF(OR(UPPER(TRIM('Raw data'!M85))=UPPER(TRIM('Real results'!C83)),UPPER(TRIM('Raw data'!M85))=UPPER(TRIM('Real results'!C84)),UPPER(TRIM('Raw data'!M85))=UPPER(TRIM('Real results'!C85))),1,0),0),0)</f>
        <v>0</v>
      </c>
      <c r="O87" s="29">
        <f>IFERROR(IF('Raw data'!O85&lt;&gt;"",IF(OR(UPPER(TRIM('Raw data'!O85))=UPPER(TRIM('Real results'!C83)),UPPER(TRIM('Raw data'!O85))=UPPER(TRIM('Real results'!C84)),UPPER(TRIM('Raw data'!O85))=UPPER(TRIM('Real results'!C85))),1,0),0),0)</f>
        <v>0</v>
      </c>
      <c r="Q87" s="29">
        <f>IFERROR(IF('Raw data'!Q85&lt;&gt;"",IF(OR(UPPER(TRIM('Raw data'!Q85))=UPPER(TRIM('Real results'!C83)),UPPER(TRIM('Raw data'!Q85))=UPPER(TRIM('Real results'!C84)),UPPER(TRIM('Raw data'!Q85))=UPPER(TRIM('Real results'!C85))),1,0),0),0)</f>
        <v>0</v>
      </c>
      <c r="S87" s="29">
        <f>IFERROR(IF('Raw data'!S85&lt;&gt;"",IF(OR(UPPER(TRIM('Raw data'!S85))=UPPER(TRIM('Real results'!C83)),UPPER(TRIM('Raw data'!S85))=UPPER(TRIM('Real results'!C84)),UPPER(TRIM('Raw data'!S85))=UPPER(TRIM('Real results'!C85))),1,0),0),0)</f>
        <v>0</v>
      </c>
      <c r="U87" s="29">
        <f>IFERROR(IF('Raw data'!U85&lt;&gt;"",IF(OR(UPPER(TRIM('Raw data'!U85))=UPPER(TRIM('Real results'!C83)),UPPER(TRIM('Raw data'!U85))=UPPER(TRIM('Real results'!C84)),UPPER(TRIM('Raw data'!U85))=UPPER(TRIM('Real results'!C85))),1,0),0),0)</f>
        <v>0</v>
      </c>
      <c r="W87" s="29">
        <f>IFERROR(IF('Raw data'!W85&lt;&gt;"",IF(OR(UPPER(TRIM('Raw data'!W85))=UPPER(TRIM('Real results'!C83)),UPPER(TRIM('Raw data'!W85))=UPPER(TRIM('Real results'!C84)),UPPER(TRIM('Raw data'!W85))=UPPER(TRIM('Real results'!C85))),1,0),0),0)</f>
        <v>0</v>
      </c>
      <c r="Y87" s="29">
        <f>IFERROR(IF('Raw data'!Y85&lt;&gt;"",IF(OR(UPPER(TRIM('Raw data'!Y85))=UPPER(TRIM('Real results'!C83)),UPPER(TRIM('Raw data'!Y85))=UPPER(TRIM('Real results'!C84)),UPPER(TRIM('Raw data'!Y85))=UPPER(TRIM('Real results'!C85))),1,0),0),0)</f>
        <v>0</v>
      </c>
      <c r="AA87" s="29">
        <f>IFERROR(IF('Raw data'!AA85&lt;&gt;"",IF(OR(UPPER(TRIM('Raw data'!AA85))=UPPER(TRIM('Real results'!C83)),UPPER(TRIM('Raw data'!AA85))=UPPER(TRIM('Real results'!C84)),UPPER(TRIM('Raw data'!AA85))=UPPER(TRIM('Real results'!C85))),1,0),0),0)</f>
        <v>0</v>
      </c>
      <c r="AC87" s="29">
        <f>IFERROR(IF('Raw data'!AC85&lt;&gt;"",IF(OR(UPPER(TRIM('Raw data'!AC85))=UPPER(TRIM('Real results'!C83)),UPPER(TRIM('Raw data'!AC85))=UPPER(TRIM('Real results'!C84)),UPPER(TRIM('Raw data'!AC85))=UPPER(TRIM('Real results'!C85))),1,0),0),0)</f>
        <v>0</v>
      </c>
      <c r="AE87" s="29">
        <f>IFERROR(IF('Raw data'!AE85&lt;&gt;"",IF(OR(UPPER(TRIM('Raw data'!AE85))=UPPER(TRIM('Real results'!C83)),UPPER(TRIM('Raw data'!AE85))=UPPER(TRIM('Real results'!C84)),UPPER(TRIM('Raw data'!AE85))=UPPER(TRIM('Real results'!C85))),1,0),0),0)</f>
        <v>0</v>
      </c>
      <c r="AG87" s="29">
        <f>IFERROR(IF('Raw data'!AG85&lt;&gt;"",IF(OR(UPPER(TRIM('Raw data'!AG85))=UPPER(TRIM('Real results'!C83)),UPPER(TRIM('Raw data'!AG85))=UPPER(TRIM('Real results'!C84)),UPPER(TRIM('Raw data'!AG85))=UPPER(TRIM('Real results'!C85))),1,0),0),0)</f>
        <v>0</v>
      </c>
      <c r="AI87" s="29">
        <f>IFERROR(IF('Raw data'!AI85&lt;&gt;"",IF(OR(UPPER(TRIM('Raw data'!AI85))=UPPER(TRIM('Real results'!C83)),UPPER(TRIM('Raw data'!AI85))=UPPER(TRIM('Real results'!C84)),UPPER(TRIM('Raw data'!AI85))=UPPER(TRIM('Real results'!C85))),1,0),0),0)</f>
        <v>0</v>
      </c>
      <c r="AK87" s="29">
        <f>IFERROR(IF('Raw data'!AK85&lt;&gt;"",IF(OR(UPPER(TRIM('Raw data'!AK85))=UPPER(TRIM('Real results'!C83)),UPPER(TRIM('Raw data'!AK85))=UPPER(TRIM('Real results'!C84)),UPPER(TRIM('Raw data'!AK85))=UPPER(TRIM('Real results'!C85))),1,0),0),0)</f>
        <v>0</v>
      </c>
      <c r="AM87" s="29">
        <f>IFERROR(IF('Raw data'!AM85&lt;&gt;"",IF(OR(UPPER(TRIM('Raw data'!AM85))=UPPER(TRIM('Real results'!C83)),UPPER(TRIM('Raw data'!AM85))=UPPER(TRIM('Real results'!C84)),UPPER(TRIM('Raw data'!AM85))=UPPER(TRIM('Real results'!C85))),1,0),0),0)</f>
        <v>0</v>
      </c>
      <c r="AO87" s="29">
        <f>IFERROR(IF('Raw data'!AO85&lt;&gt;"",IF(OR(UPPER(TRIM('Raw data'!AO85))=UPPER(TRIM('Real results'!C83)),UPPER(TRIM('Raw data'!AO85))=UPPER(TRIM('Real results'!C84)),UPPER(TRIM('Raw data'!AO85))=UPPER(TRIM('Real results'!C85))),1,0),0),0)</f>
        <v>0</v>
      </c>
      <c r="AQ87" s="29">
        <f>IFERROR(IF('Raw data'!AQ85&lt;&gt;"",IF(OR(UPPER(TRIM('Raw data'!AQ85))=UPPER(TRIM('Real results'!C83)),UPPER(TRIM('Raw data'!AQ85))=UPPER(TRIM('Real results'!C84)),UPPER(TRIM('Raw data'!AQ85))=UPPER(TRIM('Real results'!C85))),1,0),0),0)</f>
        <v>0</v>
      </c>
      <c r="AS87" s="29">
        <f>IFERROR(IF('Raw data'!AS85&lt;&gt;"",IF(OR(UPPER(TRIM('Raw data'!AS85))=UPPER(TRIM('Real results'!C83)),UPPER(TRIM('Raw data'!AS85))=UPPER(TRIM('Real results'!C84)),UPPER(TRIM('Raw data'!AS85))=UPPER(TRIM('Real results'!C85))),1,0),0),0)</f>
        <v>0</v>
      </c>
      <c r="AU87" s="29">
        <f>IFERROR(IF('Raw data'!AU85&lt;&gt;"",IF(OR(UPPER(TRIM('Raw data'!AU85))=UPPER(TRIM('Real results'!C83)),UPPER(TRIM('Raw data'!AU85))=UPPER(TRIM('Real results'!C84)),UPPER(TRIM('Raw data'!AU85))=UPPER(TRIM('Real results'!C85))),1,0),0),0)</f>
        <v>0</v>
      </c>
      <c r="AW87" s="29">
        <f>IFERROR(IF('Raw data'!AW85&lt;&gt;"",IF(OR(UPPER(TRIM('Raw data'!AW85))=UPPER(TRIM('Real results'!C83)),UPPER(TRIM('Raw data'!AW85))=UPPER(TRIM('Real results'!C84)),UPPER(TRIM('Raw data'!AW85))=UPPER(TRIM('Real results'!C85))),1,0),0),0)</f>
        <v>0</v>
      </c>
      <c r="AY87" s="29">
        <f>IFERROR(IF('Raw data'!AY85&lt;&gt;"",IF(OR(UPPER(TRIM('Raw data'!AY85))=UPPER(TRIM('Real results'!C83)),UPPER(TRIM('Raw data'!AY85))=UPPER(TRIM('Real results'!C84)),UPPER(TRIM('Raw data'!AY85))=UPPER(TRIM('Real results'!C85))),1,0),0),0)</f>
        <v>0</v>
      </c>
      <c r="BA87" s="29">
        <f>IFERROR(IF('Raw data'!BA85&lt;&gt;"",IF(OR(UPPER(TRIM('Raw data'!BA85))=UPPER(TRIM('Real results'!C83)),UPPER(TRIM('Raw data'!BA85))=UPPER(TRIM('Real results'!C84)),UPPER(TRIM('Raw data'!BA85))=UPPER(TRIM('Real results'!C85))),1,0),0),0)</f>
        <v>0</v>
      </c>
      <c r="BC87" s="29">
        <f>IFERROR(IF('Raw data'!BC85&lt;&gt;"",IF(OR(UPPER(TRIM('Raw data'!BC85))=UPPER(TRIM('Real results'!C83)),UPPER(TRIM('Raw data'!BC85))=UPPER(TRIM('Real results'!C84)),UPPER(TRIM('Raw data'!BC85))=UPPER(TRIM('Real results'!C85))),1,0),0),0)</f>
        <v>0</v>
      </c>
      <c r="BE87" s="29">
        <f>IFERROR(IF('Raw data'!BE85&lt;&gt;"",IF(OR(UPPER(TRIM('Raw data'!BE85))=UPPER(TRIM('Real results'!C83)),UPPER(TRIM('Raw data'!BE85))=UPPER(TRIM('Real results'!C84)),UPPER(TRIM('Raw data'!BE85))=UPPER(TRIM('Real results'!C85))),1,0),0),0)</f>
        <v>0</v>
      </c>
      <c r="BG87" s="29">
        <f>IFERROR(IF('Raw data'!BG85&lt;&gt;"",IF(OR(UPPER(TRIM('Raw data'!BG85))=UPPER(TRIM('Real results'!C83)),UPPER(TRIM('Raw data'!BG85))=UPPER(TRIM('Real results'!C84)),UPPER(TRIM('Raw data'!BG85))=UPPER(TRIM('Real results'!C85))),1,0),0),0)</f>
        <v>0</v>
      </c>
      <c r="BI87" s="29">
        <f>IFERROR(IF('Raw data'!BI85&lt;&gt;"",IF(OR(UPPER(TRIM('Raw data'!BI85))=UPPER(TRIM('Real results'!C83)),UPPER(TRIM('Raw data'!BI85))=UPPER(TRIM('Real results'!C84)),UPPER(TRIM('Raw data'!BI85))=UPPER(TRIM('Real results'!C85))),1,0),0),0)</f>
        <v>0</v>
      </c>
    </row>
    <row r="88" ht="18.0" customHeight="1">
      <c r="A88" s="1"/>
      <c r="B88" s="13" t="s">
        <v>369</v>
      </c>
      <c r="C88" s="29">
        <f>IFERROR(IF('Raw data'!C86&lt;&gt;"",IF(OR(UPPER(TRIM('Raw data'!C86))=UPPER(TRIM('Real results'!C86)),UPPER(TRIM('Raw data'!C86))=UPPER(TRIM('Real results'!C87)),UPPER(TRIM('Raw data'!C86))=UPPER(TRIM('Real results'!C88))),1,0)+IF(UPPER(TRIM('Raw data'!C86))=UPPER(TRIM('Real results'!C86)),2,0),0),0)</f>
        <v>0</v>
      </c>
      <c r="E88" s="29">
        <f>IFERROR(IF('Raw data'!E86&lt;&gt;"",IF(OR(UPPER(TRIM('Raw data'!E86))=UPPER(TRIM('Real results'!C86)),UPPER(TRIM('Raw data'!E86))=UPPER(TRIM('Real results'!C87)),UPPER(TRIM('Raw data'!E86))=UPPER(TRIM('Real results'!C88))),1,0)+IF(UPPER(TRIM('Raw data'!E86))=UPPER(TRIM('Real results'!C86)),2,0),0),0)</f>
        <v>0</v>
      </c>
      <c r="G88" s="29">
        <f>IFERROR(IF('Raw data'!G86&lt;&gt;"",IF(OR(UPPER(TRIM('Raw data'!G86))=UPPER(TRIM('Real results'!C86)),UPPER(TRIM('Raw data'!G86))=UPPER(TRIM('Real results'!C87)),UPPER(TRIM('Raw data'!G86))=UPPER(TRIM('Real results'!C88))),1,0)+IF(UPPER(TRIM('Raw data'!G86))=UPPER(TRIM('Real results'!C86)),2,0),0),0)</f>
        <v>0</v>
      </c>
      <c r="I88" s="29">
        <f>IFERROR(IF('Raw data'!I86&lt;&gt;"",IF(OR(UPPER(TRIM('Raw data'!I86))=UPPER(TRIM('Real results'!C86)),UPPER(TRIM('Raw data'!I86))=UPPER(TRIM('Real results'!C87)),UPPER(TRIM('Raw data'!I86))=UPPER(TRIM('Real results'!C88))),1,0)+IF(UPPER(TRIM('Raw data'!I86))=UPPER(TRIM('Real results'!C86)),2,0),0),0)</f>
        <v>0</v>
      </c>
      <c r="K88" s="29">
        <f>IFERROR(IF('Raw data'!K86&lt;&gt;"",IF(OR(UPPER(TRIM('Raw data'!K86))=UPPER(TRIM('Real results'!C86)),UPPER(TRIM('Raw data'!K86))=UPPER(TRIM('Real results'!C87)),UPPER(TRIM('Raw data'!K86))=UPPER(TRIM('Real results'!C88))),1,0)+IF(UPPER(TRIM('Raw data'!K86))=UPPER(TRIM('Real results'!C86)),2,0),0),0)</f>
        <v>0</v>
      </c>
      <c r="M88" s="29">
        <f>IFERROR(IF('Raw data'!M86&lt;&gt;"",IF(OR(UPPER(TRIM('Raw data'!M86))=UPPER(TRIM('Real results'!C86)),UPPER(TRIM('Raw data'!M86))=UPPER(TRIM('Real results'!C87)),UPPER(TRIM('Raw data'!M86))=UPPER(TRIM('Real results'!C88))),1,0)+IF(UPPER(TRIM('Raw data'!M86))=UPPER(TRIM('Real results'!C86)),2,0),0),0)</f>
        <v>0</v>
      </c>
      <c r="O88" s="29">
        <f>IFERROR(IF('Raw data'!O86&lt;&gt;"",IF(OR(UPPER(TRIM('Raw data'!O86))=UPPER(TRIM('Real results'!C86)),UPPER(TRIM('Raw data'!O86))=UPPER(TRIM('Real results'!C87)),UPPER(TRIM('Raw data'!O86))=UPPER(TRIM('Real results'!C88))),1,0)+IF(UPPER(TRIM('Raw data'!O86))=UPPER(TRIM('Real results'!C86)),2,0),0),0)</f>
        <v>0</v>
      </c>
      <c r="Q88" s="29">
        <f>IFERROR(IF('Raw data'!Q86&lt;&gt;"",IF(OR(UPPER(TRIM('Raw data'!Q86))=UPPER(TRIM('Real results'!C86)),UPPER(TRIM('Raw data'!Q86))=UPPER(TRIM('Real results'!C87)),UPPER(TRIM('Raw data'!Q86))=UPPER(TRIM('Real results'!C88))),1,0)+IF(UPPER(TRIM('Raw data'!Q86))=UPPER(TRIM('Real results'!C86)),2,0),0),0)</f>
        <v>0</v>
      </c>
      <c r="S88" s="29">
        <f>IFERROR(IF('Raw data'!S86&lt;&gt;"",IF(OR(UPPER(TRIM('Raw data'!S86))=UPPER(TRIM('Real results'!C86)),UPPER(TRIM('Raw data'!S86))=UPPER(TRIM('Real results'!C87)),UPPER(TRIM('Raw data'!S86))=UPPER(TRIM('Real results'!C88))),1,0)+IF(UPPER(TRIM('Raw data'!S86))=UPPER(TRIM('Real results'!C86)),2,0),0),0)</f>
        <v>0</v>
      </c>
      <c r="U88" s="29">
        <f>IFERROR(IF('Raw data'!U86&lt;&gt;"",IF(OR(UPPER(TRIM('Raw data'!U86))=UPPER(TRIM('Real results'!C86)),UPPER(TRIM('Raw data'!U86))=UPPER(TRIM('Real results'!C87)),UPPER(TRIM('Raw data'!U86))=UPPER(TRIM('Real results'!C88))),1,0)+IF(UPPER(TRIM('Raw data'!U86))=UPPER(TRIM('Real results'!C86)),2,0),0),0)</f>
        <v>0</v>
      </c>
      <c r="W88" s="29">
        <f>IFERROR(IF('Raw data'!W86&lt;&gt;"",IF(OR(UPPER(TRIM('Raw data'!W86))=UPPER(TRIM('Real results'!C86)),UPPER(TRIM('Raw data'!W86))=UPPER(TRIM('Real results'!C87)),UPPER(TRIM('Raw data'!W86))=UPPER(TRIM('Real results'!C88))),1,0)+IF(UPPER(TRIM('Raw data'!W86))=UPPER(TRIM('Real results'!C86)),2,0),0),0)</f>
        <v>0</v>
      </c>
      <c r="Y88" s="29">
        <f>IFERROR(IF('Raw data'!Y86&lt;&gt;"",IF(OR(UPPER(TRIM('Raw data'!Y86))=UPPER(TRIM('Real results'!C86)),UPPER(TRIM('Raw data'!Y86))=UPPER(TRIM('Real results'!C87)),UPPER(TRIM('Raw data'!Y86))=UPPER(TRIM('Real results'!C88))),1,0)+IF(UPPER(TRIM('Raw data'!Y86))=UPPER(TRIM('Real results'!C86)),2,0),0),0)</f>
        <v>0</v>
      </c>
      <c r="AA88" s="29">
        <f>IFERROR(IF('Raw data'!AA86&lt;&gt;"",IF(OR(UPPER(TRIM('Raw data'!AA86))=UPPER(TRIM('Real results'!C86)),UPPER(TRIM('Raw data'!AA86))=UPPER(TRIM('Real results'!C87)),UPPER(TRIM('Raw data'!AA86))=UPPER(TRIM('Real results'!C88))),1,0)+IF(UPPER(TRIM('Raw data'!AA86))=UPPER(TRIM('Real results'!C86)),2,0),0),0)</f>
        <v>0</v>
      </c>
      <c r="AC88" s="29">
        <f>IFERROR(IF('Raw data'!AC86&lt;&gt;"",IF(OR(UPPER(TRIM('Raw data'!AC86))=UPPER(TRIM('Real results'!C86)),UPPER(TRIM('Raw data'!AC86))=UPPER(TRIM('Real results'!C87)),UPPER(TRIM('Raw data'!AC86))=UPPER(TRIM('Real results'!C88))),1,0)+IF(UPPER(TRIM('Raw data'!AC86))=UPPER(TRIM('Real results'!C86)),2,0),0),0)</f>
        <v>0</v>
      </c>
      <c r="AE88" s="29">
        <f>IFERROR(IF('Raw data'!AE86&lt;&gt;"",IF(OR(UPPER(TRIM('Raw data'!AE86))=UPPER(TRIM('Real results'!C86)),UPPER(TRIM('Raw data'!AE86))=UPPER(TRIM('Real results'!C87)),UPPER(TRIM('Raw data'!AE86))=UPPER(TRIM('Real results'!C88))),1,0)+IF(UPPER(TRIM('Raw data'!AE86))=UPPER(TRIM('Real results'!C86)),2,0),0),0)</f>
        <v>0</v>
      </c>
      <c r="AG88" s="29">
        <f>IFERROR(IF('Raw data'!AG86&lt;&gt;"",IF(OR(UPPER(TRIM('Raw data'!AG86))=UPPER(TRIM('Real results'!C86)),UPPER(TRIM('Raw data'!AG86))=UPPER(TRIM('Real results'!C87)),UPPER(TRIM('Raw data'!AG86))=UPPER(TRIM('Real results'!C88))),1,0)+IF(UPPER(TRIM('Raw data'!AG86))=UPPER(TRIM('Real results'!C86)),2,0),0),0)</f>
        <v>0</v>
      </c>
      <c r="AI88" s="29">
        <f>IFERROR(IF('Raw data'!AI86&lt;&gt;"",IF(OR(UPPER(TRIM('Raw data'!AI86))=UPPER(TRIM('Real results'!C86)),UPPER(TRIM('Raw data'!AI86))=UPPER(TRIM('Real results'!C87)),UPPER(TRIM('Raw data'!AI86))=UPPER(TRIM('Real results'!C88))),1,0)+IF(UPPER(TRIM('Raw data'!AI86))=UPPER(TRIM('Real results'!C86)),2,0),0),0)</f>
        <v>0</v>
      </c>
      <c r="AK88" s="29">
        <f>IFERROR(IF('Raw data'!AK86&lt;&gt;"",IF(OR(UPPER(TRIM('Raw data'!AK86))=UPPER(TRIM('Real results'!C86)),UPPER(TRIM('Raw data'!AK86))=UPPER(TRIM('Real results'!C87)),UPPER(TRIM('Raw data'!AK86))=UPPER(TRIM('Real results'!C88))),1,0)+IF(UPPER(TRIM('Raw data'!AK86))=UPPER(TRIM('Real results'!C86)),2,0),0),0)</f>
        <v>0</v>
      </c>
      <c r="AM88" s="29">
        <f>IFERROR(IF('Raw data'!AM86&lt;&gt;"",IF(OR(UPPER(TRIM('Raw data'!AM86))=UPPER(TRIM('Real results'!C86)),UPPER(TRIM('Raw data'!AM86))=UPPER(TRIM('Real results'!C87)),UPPER(TRIM('Raw data'!AM86))=UPPER(TRIM('Real results'!C88))),1,0)+IF(UPPER(TRIM('Raw data'!AM86))=UPPER(TRIM('Real results'!C86)),2,0),0),0)</f>
        <v>0</v>
      </c>
      <c r="AO88" s="29">
        <f>IFERROR(IF('Raw data'!AO86&lt;&gt;"",IF(OR(UPPER(TRIM('Raw data'!AO86))=UPPER(TRIM('Real results'!C86)),UPPER(TRIM('Raw data'!AO86))=UPPER(TRIM('Real results'!C87)),UPPER(TRIM('Raw data'!AO86))=UPPER(TRIM('Real results'!C88))),1,0)+IF(UPPER(TRIM('Raw data'!AO86))=UPPER(TRIM('Real results'!C86)),2,0),0),0)</f>
        <v>0</v>
      </c>
      <c r="AQ88" s="29">
        <f>IFERROR(IF('Raw data'!AQ86&lt;&gt;"",IF(OR(UPPER(TRIM('Raw data'!AQ86))=UPPER(TRIM('Real results'!C86)),UPPER(TRIM('Raw data'!AQ86))=UPPER(TRIM('Real results'!C87)),UPPER(TRIM('Raw data'!AQ86))=UPPER(TRIM('Real results'!C88))),1,0)+IF(UPPER(TRIM('Raw data'!AQ86))=UPPER(TRIM('Real results'!C86)),2,0),0),0)</f>
        <v>0</v>
      </c>
      <c r="AS88" s="29">
        <f>IFERROR(IF('Raw data'!AS86&lt;&gt;"",IF(OR(UPPER(TRIM('Raw data'!AS86))=UPPER(TRIM('Real results'!C86)),UPPER(TRIM('Raw data'!AS86))=UPPER(TRIM('Real results'!C87)),UPPER(TRIM('Raw data'!AS86))=UPPER(TRIM('Real results'!C88))),1,0)+IF(UPPER(TRIM('Raw data'!AS86))=UPPER(TRIM('Real results'!C86)),2,0),0),0)</f>
        <v>0</v>
      </c>
      <c r="AU88" s="29">
        <f>IFERROR(IF('Raw data'!AU86&lt;&gt;"",IF(OR(UPPER(TRIM('Raw data'!AU86))=UPPER(TRIM('Real results'!C86)),UPPER(TRIM('Raw data'!AU86))=UPPER(TRIM('Real results'!C87)),UPPER(TRIM('Raw data'!AU86))=UPPER(TRIM('Real results'!C88))),1,0)+IF(UPPER(TRIM('Raw data'!AU86))=UPPER(TRIM('Real results'!C86)),2,0),0),0)</f>
        <v>0</v>
      </c>
      <c r="AW88" s="29">
        <f>IFERROR(IF('Raw data'!AW86&lt;&gt;"",IF(OR(UPPER(TRIM('Raw data'!AW86))=UPPER(TRIM('Real results'!C86)),UPPER(TRIM('Raw data'!AW86))=UPPER(TRIM('Real results'!C87)),UPPER(TRIM('Raw data'!AW86))=UPPER(TRIM('Real results'!C88))),1,0)+IF(UPPER(TRIM('Raw data'!AW86))=UPPER(TRIM('Real results'!C86)),2,0),0),0)</f>
        <v>0</v>
      </c>
      <c r="AY88" s="29">
        <f>IFERROR(IF('Raw data'!AY86&lt;&gt;"",IF(OR(UPPER(TRIM('Raw data'!AY86))=UPPER(TRIM('Real results'!C86)),UPPER(TRIM('Raw data'!AY86))=UPPER(TRIM('Real results'!C87)),UPPER(TRIM('Raw data'!AY86))=UPPER(TRIM('Real results'!C88))),1,0)+IF(UPPER(TRIM('Raw data'!AY86))=UPPER(TRIM('Real results'!C86)),2,0),0),0)</f>
        <v>0</v>
      </c>
      <c r="BA88" s="29">
        <f>IFERROR(IF('Raw data'!BA86&lt;&gt;"",IF(OR(UPPER(TRIM('Raw data'!BA86))=UPPER(TRIM('Real results'!C86)),UPPER(TRIM('Raw data'!BA86))=UPPER(TRIM('Real results'!C87)),UPPER(TRIM('Raw data'!BA86))=UPPER(TRIM('Real results'!C88))),1,0)+IF(UPPER(TRIM('Raw data'!BA86))=UPPER(TRIM('Real results'!C86)),2,0),0),0)</f>
        <v>0</v>
      </c>
      <c r="BC88" s="29">
        <f>IFERROR(IF('Raw data'!BC86&lt;&gt;"",IF(OR(UPPER(TRIM('Raw data'!BC86))=UPPER(TRIM('Real results'!C86)),UPPER(TRIM('Raw data'!BC86))=UPPER(TRIM('Real results'!C87)),UPPER(TRIM('Raw data'!BC86))=UPPER(TRIM('Real results'!C88))),1,0)+IF(UPPER(TRIM('Raw data'!BC86))=UPPER(TRIM('Real results'!C86)),2,0),0),0)</f>
        <v>0</v>
      </c>
      <c r="BE88" s="29">
        <f>IFERROR(IF('Raw data'!BE86&lt;&gt;"",IF(OR(UPPER(TRIM('Raw data'!BE86))=UPPER(TRIM('Real results'!C86)),UPPER(TRIM('Raw data'!BE86))=UPPER(TRIM('Real results'!C87)),UPPER(TRIM('Raw data'!BE86))=UPPER(TRIM('Real results'!C88))),1,0)+IF(UPPER(TRIM('Raw data'!BE86))=UPPER(TRIM('Real results'!C86)),2,0),0),0)</f>
        <v>0</v>
      </c>
      <c r="BG88" s="29">
        <f>IFERROR(IF('Raw data'!BG86&lt;&gt;"",IF(OR(UPPER(TRIM('Raw data'!BG86))=UPPER(TRIM('Real results'!C86)),UPPER(TRIM('Raw data'!BG86))=UPPER(TRIM('Real results'!C87)),UPPER(TRIM('Raw data'!BG86))=UPPER(TRIM('Real results'!C88))),1,0)+IF(UPPER(TRIM('Raw data'!BG86))=UPPER(TRIM('Real results'!C86)),2,0),0),0)</f>
        <v>0</v>
      </c>
      <c r="BI88" s="29">
        <f>IFERROR(IF('Raw data'!BI86&lt;&gt;"",IF(OR(UPPER(TRIM('Raw data'!BI86))=UPPER(TRIM('Real results'!C86)),UPPER(TRIM('Raw data'!BI86))=UPPER(TRIM('Real results'!C87)),UPPER(TRIM('Raw data'!BI86))=UPPER(TRIM('Real results'!C88))),1,0)+IF(UPPER(TRIM('Raw data'!BI86))=UPPER(TRIM('Real results'!C86)),2,0),0),0)</f>
        <v>0</v>
      </c>
    </row>
    <row r="89" ht="18.0" customHeight="1">
      <c r="A89" s="1"/>
      <c r="B89" s="13" t="s">
        <v>370</v>
      </c>
      <c r="C89" s="29">
        <f>IFERROR(IF('Raw data'!C87&lt;&gt;"",IF(OR(UPPER(TRIM('Raw data'!C87))=UPPER(TRIM('Real results'!C86)),UPPER(TRIM('Raw data'!C87))=UPPER(TRIM('Real results'!C87)),UPPER(TRIM('Raw data'!C87))=UPPER(TRIM('Real results'!C88))),1,0),0),0)</f>
        <v>0</v>
      </c>
      <c r="E89" s="29">
        <f>IFERROR(IF('Raw data'!E87&lt;&gt;"",IF(OR(UPPER(TRIM('Raw data'!E87))=UPPER(TRIM('Real results'!C86)),UPPER(TRIM('Raw data'!E87))=UPPER(TRIM('Real results'!C87)),UPPER(TRIM('Raw data'!E87))=UPPER(TRIM('Real results'!C88))),1,0),0),0)</f>
        <v>0</v>
      </c>
      <c r="G89" s="29">
        <f>IFERROR(IF('Raw data'!G87&lt;&gt;"",IF(OR(UPPER(TRIM('Raw data'!G87))=UPPER(TRIM('Real results'!C86)),UPPER(TRIM('Raw data'!G87))=UPPER(TRIM('Real results'!C87)),UPPER(TRIM('Raw data'!G87))=UPPER(TRIM('Real results'!C88))),1,0),0),0)</f>
        <v>0</v>
      </c>
      <c r="I89" s="29">
        <f>IFERROR(IF('Raw data'!I87&lt;&gt;"",IF(OR(UPPER(TRIM('Raw data'!I87))=UPPER(TRIM('Real results'!C86)),UPPER(TRIM('Raw data'!I87))=UPPER(TRIM('Real results'!C87)),UPPER(TRIM('Raw data'!I87))=UPPER(TRIM('Real results'!C88))),1,0),0),0)</f>
        <v>0</v>
      </c>
      <c r="K89" s="29">
        <f>IFERROR(IF('Raw data'!K87&lt;&gt;"",IF(OR(UPPER(TRIM('Raw data'!K87))=UPPER(TRIM('Real results'!C86)),UPPER(TRIM('Raw data'!K87))=UPPER(TRIM('Real results'!C87)),UPPER(TRIM('Raw data'!K87))=UPPER(TRIM('Real results'!C88))),1,0),0),0)</f>
        <v>0</v>
      </c>
      <c r="M89" s="29">
        <f>IFERROR(IF('Raw data'!M87&lt;&gt;"",IF(OR(UPPER(TRIM('Raw data'!M87))=UPPER(TRIM('Real results'!C86)),UPPER(TRIM('Raw data'!M87))=UPPER(TRIM('Real results'!C87)),UPPER(TRIM('Raw data'!M87))=UPPER(TRIM('Real results'!C88))),1,0),0),0)</f>
        <v>0</v>
      </c>
      <c r="O89" s="29">
        <f>IFERROR(IF('Raw data'!O87&lt;&gt;"",IF(OR(UPPER(TRIM('Raw data'!O87))=UPPER(TRIM('Real results'!C86)),UPPER(TRIM('Raw data'!O87))=UPPER(TRIM('Real results'!C87)),UPPER(TRIM('Raw data'!O87))=UPPER(TRIM('Real results'!C88))),1,0),0),0)</f>
        <v>0</v>
      </c>
      <c r="Q89" s="29">
        <f>IFERROR(IF('Raw data'!Q87&lt;&gt;"",IF(OR(UPPER(TRIM('Raw data'!Q87))=UPPER(TRIM('Real results'!C86)),UPPER(TRIM('Raw data'!Q87))=UPPER(TRIM('Real results'!C87)),UPPER(TRIM('Raw data'!Q87))=UPPER(TRIM('Real results'!C88))),1,0),0),0)</f>
        <v>0</v>
      </c>
      <c r="S89" s="29">
        <f>IFERROR(IF('Raw data'!S87&lt;&gt;"",IF(OR(UPPER(TRIM('Raw data'!S87))=UPPER(TRIM('Real results'!C86)),UPPER(TRIM('Raw data'!S87))=UPPER(TRIM('Real results'!C87)),UPPER(TRIM('Raw data'!S87))=UPPER(TRIM('Real results'!C88))),1,0),0),0)</f>
        <v>0</v>
      </c>
      <c r="U89" s="29">
        <f>IFERROR(IF('Raw data'!U87&lt;&gt;"",IF(OR(UPPER(TRIM('Raw data'!U87))=UPPER(TRIM('Real results'!C86)),UPPER(TRIM('Raw data'!U87))=UPPER(TRIM('Real results'!C87)),UPPER(TRIM('Raw data'!U87))=UPPER(TRIM('Real results'!C88))),1,0),0),0)</f>
        <v>0</v>
      </c>
      <c r="W89" s="29">
        <f>IFERROR(IF('Raw data'!W87&lt;&gt;"",IF(OR(UPPER(TRIM('Raw data'!W87))=UPPER(TRIM('Real results'!C86)),UPPER(TRIM('Raw data'!W87))=UPPER(TRIM('Real results'!C87)),UPPER(TRIM('Raw data'!W87))=UPPER(TRIM('Real results'!C88))),1,0),0),0)</f>
        <v>0</v>
      </c>
      <c r="Y89" s="29">
        <f>IFERROR(IF('Raw data'!Y87&lt;&gt;"",IF(OR(UPPER(TRIM('Raw data'!Y87))=UPPER(TRIM('Real results'!C86)),UPPER(TRIM('Raw data'!Y87))=UPPER(TRIM('Real results'!C87)),UPPER(TRIM('Raw data'!Y87))=UPPER(TRIM('Real results'!C88))),1,0),0),0)</f>
        <v>0</v>
      </c>
      <c r="AA89" s="29">
        <f>IFERROR(IF('Raw data'!AA87&lt;&gt;"",IF(OR(UPPER(TRIM('Raw data'!AA87))=UPPER(TRIM('Real results'!C86)),UPPER(TRIM('Raw data'!AA87))=UPPER(TRIM('Real results'!C87)),UPPER(TRIM('Raw data'!AA87))=UPPER(TRIM('Real results'!C88))),1,0),0),0)</f>
        <v>0</v>
      </c>
      <c r="AC89" s="29">
        <f>IFERROR(IF('Raw data'!AC87&lt;&gt;"",IF(OR(UPPER(TRIM('Raw data'!AC87))=UPPER(TRIM('Real results'!C86)),UPPER(TRIM('Raw data'!AC87))=UPPER(TRIM('Real results'!C87)),UPPER(TRIM('Raw data'!AC87))=UPPER(TRIM('Real results'!C88))),1,0),0),0)</f>
        <v>0</v>
      </c>
      <c r="AE89" s="29">
        <f>IFERROR(IF('Raw data'!AE87&lt;&gt;"",IF(OR(UPPER(TRIM('Raw data'!AE87))=UPPER(TRIM('Real results'!C86)),UPPER(TRIM('Raw data'!AE87))=UPPER(TRIM('Real results'!C87)),UPPER(TRIM('Raw data'!AE87))=UPPER(TRIM('Real results'!C88))),1,0),0),0)</f>
        <v>0</v>
      </c>
      <c r="AG89" s="29">
        <f>IFERROR(IF('Raw data'!AG87&lt;&gt;"",IF(OR(UPPER(TRIM('Raw data'!AG87))=UPPER(TRIM('Real results'!C86)),UPPER(TRIM('Raw data'!AG87))=UPPER(TRIM('Real results'!C87)),UPPER(TRIM('Raw data'!AG87))=UPPER(TRIM('Real results'!C88))),1,0),0),0)</f>
        <v>0</v>
      </c>
      <c r="AI89" s="29">
        <f>IFERROR(IF('Raw data'!AI87&lt;&gt;"",IF(OR(UPPER(TRIM('Raw data'!AI87))=UPPER(TRIM('Real results'!C86)),UPPER(TRIM('Raw data'!AI87))=UPPER(TRIM('Real results'!C87)),UPPER(TRIM('Raw data'!AI87))=UPPER(TRIM('Real results'!C88))),1,0),0),0)</f>
        <v>0</v>
      </c>
      <c r="AK89" s="29">
        <f>IFERROR(IF('Raw data'!AK87&lt;&gt;"",IF(OR(UPPER(TRIM('Raw data'!AK87))=UPPER(TRIM('Real results'!C86)),UPPER(TRIM('Raw data'!AK87))=UPPER(TRIM('Real results'!C87)),UPPER(TRIM('Raw data'!AK87))=UPPER(TRIM('Real results'!C88))),1,0),0),0)</f>
        <v>0</v>
      </c>
      <c r="AM89" s="29">
        <f>IFERROR(IF('Raw data'!AM87&lt;&gt;"",IF(OR(UPPER(TRIM('Raw data'!AM87))=UPPER(TRIM('Real results'!C86)),UPPER(TRIM('Raw data'!AM87))=UPPER(TRIM('Real results'!C87)),UPPER(TRIM('Raw data'!AM87))=UPPER(TRIM('Real results'!C88))),1,0),0),0)</f>
        <v>0</v>
      </c>
      <c r="AO89" s="29">
        <f>IFERROR(IF('Raw data'!AO87&lt;&gt;"",IF(OR(UPPER(TRIM('Raw data'!AO87))=UPPER(TRIM('Real results'!C86)),UPPER(TRIM('Raw data'!AO87))=UPPER(TRIM('Real results'!C87)),UPPER(TRIM('Raw data'!AO87))=UPPER(TRIM('Real results'!C88))),1,0),0),0)</f>
        <v>0</v>
      </c>
      <c r="AQ89" s="29">
        <f>IFERROR(IF('Raw data'!AQ87&lt;&gt;"",IF(OR(UPPER(TRIM('Raw data'!AQ87))=UPPER(TRIM('Real results'!C86)),UPPER(TRIM('Raw data'!AQ87))=UPPER(TRIM('Real results'!C87)),UPPER(TRIM('Raw data'!AQ87))=UPPER(TRIM('Real results'!C88))),1,0),0),0)</f>
        <v>0</v>
      </c>
      <c r="AS89" s="29">
        <f>IFERROR(IF('Raw data'!AS87&lt;&gt;"",IF(OR(UPPER(TRIM('Raw data'!AS87))=UPPER(TRIM('Real results'!C86)),UPPER(TRIM('Raw data'!AS87))=UPPER(TRIM('Real results'!C87)),UPPER(TRIM('Raw data'!AS87))=UPPER(TRIM('Real results'!C88))),1,0),0),0)</f>
        <v>0</v>
      </c>
      <c r="AU89" s="29">
        <f>IFERROR(IF('Raw data'!AU87&lt;&gt;"",IF(OR(UPPER(TRIM('Raw data'!AU87))=UPPER(TRIM('Real results'!C86)),UPPER(TRIM('Raw data'!AU87))=UPPER(TRIM('Real results'!C87)),UPPER(TRIM('Raw data'!AU87))=UPPER(TRIM('Real results'!C88))),1,0),0),0)</f>
        <v>0</v>
      </c>
      <c r="AW89" s="29">
        <f>IFERROR(IF('Raw data'!AW87&lt;&gt;"",IF(OR(UPPER(TRIM('Raw data'!AW87))=UPPER(TRIM('Real results'!C86)),UPPER(TRIM('Raw data'!AW87))=UPPER(TRIM('Real results'!C87)),UPPER(TRIM('Raw data'!AW87))=UPPER(TRIM('Real results'!C88))),1,0),0),0)</f>
        <v>0</v>
      </c>
      <c r="AY89" s="29">
        <f>IFERROR(IF('Raw data'!AY87&lt;&gt;"",IF(OR(UPPER(TRIM('Raw data'!AY87))=UPPER(TRIM('Real results'!C86)),UPPER(TRIM('Raw data'!AY87))=UPPER(TRIM('Real results'!C87)),UPPER(TRIM('Raw data'!AY87))=UPPER(TRIM('Real results'!C88))),1,0),0),0)</f>
        <v>0</v>
      </c>
      <c r="BA89" s="29">
        <f>IFERROR(IF('Raw data'!BA87&lt;&gt;"",IF(OR(UPPER(TRIM('Raw data'!BA87))=UPPER(TRIM('Real results'!C86)),UPPER(TRIM('Raw data'!BA87))=UPPER(TRIM('Real results'!C87)),UPPER(TRIM('Raw data'!BA87))=UPPER(TRIM('Real results'!C88))),1,0),0),0)</f>
        <v>0</v>
      </c>
      <c r="BC89" s="29">
        <f>IFERROR(IF('Raw data'!BC87&lt;&gt;"",IF(OR(UPPER(TRIM('Raw data'!BC87))=UPPER(TRIM('Real results'!C86)),UPPER(TRIM('Raw data'!BC87))=UPPER(TRIM('Real results'!C87)),UPPER(TRIM('Raw data'!BC87))=UPPER(TRIM('Real results'!C88))),1,0),0),0)</f>
        <v>0</v>
      </c>
      <c r="BE89" s="29">
        <f>IFERROR(IF('Raw data'!BE87&lt;&gt;"",IF(OR(UPPER(TRIM('Raw data'!BE87))=UPPER(TRIM('Real results'!C86)),UPPER(TRIM('Raw data'!BE87))=UPPER(TRIM('Real results'!C87)),UPPER(TRIM('Raw data'!BE87))=UPPER(TRIM('Real results'!C88))),1,0),0),0)</f>
        <v>0</v>
      </c>
      <c r="BG89" s="29">
        <f>IFERROR(IF('Raw data'!BG87&lt;&gt;"",IF(OR(UPPER(TRIM('Raw data'!BG87))=UPPER(TRIM('Real results'!C86)),UPPER(TRIM('Raw data'!BG87))=UPPER(TRIM('Real results'!C87)),UPPER(TRIM('Raw data'!BG87))=UPPER(TRIM('Real results'!C88))),1,0),0),0)</f>
        <v>0</v>
      </c>
      <c r="BI89" s="29">
        <f>IFERROR(IF('Raw data'!BI87&lt;&gt;"",IF(OR(UPPER(TRIM('Raw data'!BI87))=UPPER(TRIM('Real results'!C86)),UPPER(TRIM('Raw data'!BI87))=UPPER(TRIM('Real results'!C87)),UPPER(TRIM('Raw data'!BI87))=UPPER(TRIM('Real results'!C88))),1,0),0),0)</f>
        <v>0</v>
      </c>
    </row>
    <row r="90" ht="18.0" customHeight="1">
      <c r="A90" s="1"/>
      <c r="B90" s="13" t="s">
        <v>371</v>
      </c>
      <c r="C90" s="29">
        <f>IFERROR(IF('Raw data'!C88&lt;&gt;"",IF(OR(UPPER(TRIM('Raw data'!C88))=UPPER(TRIM('Real results'!C86)),UPPER(TRIM('Raw data'!C88))=UPPER(TRIM('Real results'!C87)),UPPER(TRIM('Raw data'!C88))=UPPER(TRIM('Real results'!C88))),1,0),0),0)</f>
        <v>0</v>
      </c>
      <c r="E90" s="29">
        <f>IFERROR(IF('Raw data'!E88&lt;&gt;"",IF(OR(UPPER(TRIM('Raw data'!E88))=UPPER(TRIM('Real results'!C86)),UPPER(TRIM('Raw data'!E88))=UPPER(TRIM('Real results'!C87)),UPPER(TRIM('Raw data'!E88))=UPPER(TRIM('Real results'!C88))),1,0),0),0)</f>
        <v>0</v>
      </c>
      <c r="G90" s="29">
        <f>IFERROR(IF('Raw data'!G88&lt;&gt;"",IF(OR(UPPER(TRIM('Raw data'!G88))=UPPER(TRIM('Real results'!C86)),UPPER(TRIM('Raw data'!G88))=UPPER(TRIM('Real results'!C87)),UPPER(TRIM('Raw data'!G88))=UPPER(TRIM('Real results'!C88))),1,0),0),0)</f>
        <v>0</v>
      </c>
      <c r="I90" s="29">
        <f>IFERROR(IF('Raw data'!I88&lt;&gt;"",IF(OR(UPPER(TRIM('Raw data'!I88))=UPPER(TRIM('Real results'!C86)),UPPER(TRIM('Raw data'!I88))=UPPER(TRIM('Real results'!C87)),UPPER(TRIM('Raw data'!I88))=UPPER(TRIM('Real results'!C88))),1,0),0),0)</f>
        <v>0</v>
      </c>
      <c r="K90" s="29">
        <f>IFERROR(IF('Raw data'!K88&lt;&gt;"",IF(OR(UPPER(TRIM('Raw data'!K88))=UPPER(TRIM('Real results'!C86)),UPPER(TRIM('Raw data'!K88))=UPPER(TRIM('Real results'!C87)),UPPER(TRIM('Raw data'!K88))=UPPER(TRIM('Real results'!C88))),1,0),0),0)</f>
        <v>0</v>
      </c>
      <c r="M90" s="29">
        <f>IFERROR(IF('Raw data'!M88&lt;&gt;"",IF(OR(UPPER(TRIM('Raw data'!M88))=UPPER(TRIM('Real results'!C86)),UPPER(TRIM('Raw data'!M88))=UPPER(TRIM('Real results'!C87)),UPPER(TRIM('Raw data'!M88))=UPPER(TRIM('Real results'!C88))),1,0),0),0)</f>
        <v>0</v>
      </c>
      <c r="O90" s="29">
        <f>IFERROR(IF('Raw data'!O88&lt;&gt;"",IF(OR(UPPER(TRIM('Raw data'!O88))=UPPER(TRIM('Real results'!C86)),UPPER(TRIM('Raw data'!O88))=UPPER(TRIM('Real results'!C87)),UPPER(TRIM('Raw data'!O88))=UPPER(TRIM('Real results'!C88))),1,0),0),0)</f>
        <v>0</v>
      </c>
      <c r="Q90" s="29">
        <f>IFERROR(IF('Raw data'!Q88&lt;&gt;"",IF(OR(UPPER(TRIM('Raw data'!Q88))=UPPER(TRIM('Real results'!C86)),UPPER(TRIM('Raw data'!Q88))=UPPER(TRIM('Real results'!C87)),UPPER(TRIM('Raw data'!Q88))=UPPER(TRIM('Real results'!C88))),1,0),0),0)</f>
        <v>0</v>
      </c>
      <c r="S90" s="29">
        <f>IFERROR(IF('Raw data'!S88&lt;&gt;"",IF(OR(UPPER(TRIM('Raw data'!S88))=UPPER(TRIM('Real results'!C86)),UPPER(TRIM('Raw data'!S88))=UPPER(TRIM('Real results'!C87)),UPPER(TRIM('Raw data'!S88))=UPPER(TRIM('Real results'!C88))),1,0),0),0)</f>
        <v>0</v>
      </c>
      <c r="U90" s="29">
        <f>IFERROR(IF('Raw data'!U88&lt;&gt;"",IF(OR(UPPER(TRIM('Raw data'!U88))=UPPER(TRIM('Real results'!C86)),UPPER(TRIM('Raw data'!U88))=UPPER(TRIM('Real results'!C87)),UPPER(TRIM('Raw data'!U88))=UPPER(TRIM('Real results'!C88))),1,0),0),0)</f>
        <v>0</v>
      </c>
      <c r="W90" s="29">
        <f>IFERROR(IF('Raw data'!W88&lt;&gt;"",IF(OR(UPPER(TRIM('Raw data'!W88))=UPPER(TRIM('Real results'!C86)),UPPER(TRIM('Raw data'!W88))=UPPER(TRIM('Real results'!C87)),UPPER(TRIM('Raw data'!W88))=UPPER(TRIM('Real results'!C88))),1,0),0),0)</f>
        <v>0</v>
      </c>
      <c r="Y90" s="29">
        <f>IFERROR(IF('Raw data'!Y88&lt;&gt;"",IF(OR(UPPER(TRIM('Raw data'!Y88))=UPPER(TRIM('Real results'!C86)),UPPER(TRIM('Raw data'!Y88))=UPPER(TRIM('Real results'!C87)),UPPER(TRIM('Raw data'!Y88))=UPPER(TRIM('Real results'!C88))),1,0),0),0)</f>
        <v>0</v>
      </c>
      <c r="AA90" s="29">
        <f>IFERROR(IF('Raw data'!AA88&lt;&gt;"",IF(OR(UPPER(TRIM('Raw data'!AA88))=UPPER(TRIM('Real results'!C86)),UPPER(TRIM('Raw data'!AA88))=UPPER(TRIM('Real results'!C87)),UPPER(TRIM('Raw data'!AA88))=UPPER(TRIM('Real results'!C88))),1,0),0),0)</f>
        <v>0</v>
      </c>
      <c r="AC90" s="29">
        <f>IFERROR(IF('Raw data'!AC88&lt;&gt;"",IF(OR(UPPER(TRIM('Raw data'!AC88))=UPPER(TRIM('Real results'!C86)),UPPER(TRIM('Raw data'!AC88))=UPPER(TRIM('Real results'!C87)),UPPER(TRIM('Raw data'!AC88))=UPPER(TRIM('Real results'!C88))),1,0),0),0)</f>
        <v>0</v>
      </c>
      <c r="AE90" s="29">
        <f>IFERROR(IF('Raw data'!AE88&lt;&gt;"",IF(OR(UPPER(TRIM('Raw data'!AE88))=UPPER(TRIM('Real results'!C86)),UPPER(TRIM('Raw data'!AE88))=UPPER(TRIM('Real results'!C87)),UPPER(TRIM('Raw data'!AE88))=UPPER(TRIM('Real results'!C88))),1,0),0),0)</f>
        <v>0</v>
      </c>
      <c r="AG90" s="29">
        <f>IFERROR(IF('Raw data'!AG88&lt;&gt;"",IF(OR(UPPER(TRIM('Raw data'!AG88))=UPPER(TRIM('Real results'!C86)),UPPER(TRIM('Raw data'!AG88))=UPPER(TRIM('Real results'!C87)),UPPER(TRIM('Raw data'!AG88))=UPPER(TRIM('Real results'!C88))),1,0),0),0)</f>
        <v>0</v>
      </c>
      <c r="AI90" s="29">
        <f>IFERROR(IF('Raw data'!AI88&lt;&gt;"",IF(OR(UPPER(TRIM('Raw data'!AI88))=UPPER(TRIM('Real results'!C86)),UPPER(TRIM('Raw data'!AI88))=UPPER(TRIM('Real results'!C87)),UPPER(TRIM('Raw data'!AI88))=UPPER(TRIM('Real results'!C88))),1,0),0),0)</f>
        <v>0</v>
      </c>
      <c r="AK90" s="29">
        <f>IFERROR(IF('Raw data'!AK88&lt;&gt;"",IF(OR(UPPER(TRIM('Raw data'!AK88))=UPPER(TRIM('Real results'!C86)),UPPER(TRIM('Raw data'!AK88))=UPPER(TRIM('Real results'!C87)),UPPER(TRIM('Raw data'!AK88))=UPPER(TRIM('Real results'!C88))),1,0),0),0)</f>
        <v>0</v>
      </c>
      <c r="AM90" s="29">
        <f>IFERROR(IF('Raw data'!AM88&lt;&gt;"",IF(OR(UPPER(TRIM('Raw data'!AM88))=UPPER(TRIM('Real results'!C86)),UPPER(TRIM('Raw data'!AM88))=UPPER(TRIM('Real results'!C87)),UPPER(TRIM('Raw data'!AM88))=UPPER(TRIM('Real results'!C88))),1,0),0),0)</f>
        <v>0</v>
      </c>
      <c r="AO90" s="29">
        <f>IFERROR(IF('Raw data'!AO88&lt;&gt;"",IF(OR(UPPER(TRIM('Raw data'!AO88))=UPPER(TRIM('Real results'!C86)),UPPER(TRIM('Raw data'!AO88))=UPPER(TRIM('Real results'!C87)),UPPER(TRIM('Raw data'!AO88))=UPPER(TRIM('Real results'!C88))),1,0),0),0)</f>
        <v>0</v>
      </c>
      <c r="AQ90" s="29">
        <f>IFERROR(IF('Raw data'!AQ88&lt;&gt;"",IF(OR(UPPER(TRIM('Raw data'!AQ88))=UPPER(TRIM('Real results'!C86)),UPPER(TRIM('Raw data'!AQ88))=UPPER(TRIM('Real results'!C87)),UPPER(TRIM('Raw data'!AQ88))=UPPER(TRIM('Real results'!C88))),1,0),0),0)</f>
        <v>0</v>
      </c>
      <c r="AS90" s="29">
        <f>IFERROR(IF('Raw data'!AS88&lt;&gt;"",IF(OR(UPPER(TRIM('Raw data'!AS88))=UPPER(TRIM('Real results'!C86)),UPPER(TRIM('Raw data'!AS88))=UPPER(TRIM('Real results'!C87)),UPPER(TRIM('Raw data'!AS88))=UPPER(TRIM('Real results'!C88))),1,0),0),0)</f>
        <v>0</v>
      </c>
      <c r="AU90" s="29">
        <f>IFERROR(IF('Raw data'!AU88&lt;&gt;"",IF(OR(UPPER(TRIM('Raw data'!AU88))=UPPER(TRIM('Real results'!C86)),UPPER(TRIM('Raw data'!AU88))=UPPER(TRIM('Real results'!C87)),UPPER(TRIM('Raw data'!AU88))=UPPER(TRIM('Real results'!C88))),1,0),0),0)</f>
        <v>0</v>
      </c>
      <c r="AW90" s="29">
        <f>IFERROR(IF('Raw data'!AW88&lt;&gt;"",IF(OR(UPPER(TRIM('Raw data'!AW88))=UPPER(TRIM('Real results'!C86)),UPPER(TRIM('Raw data'!AW88))=UPPER(TRIM('Real results'!C87)),UPPER(TRIM('Raw data'!AW88))=UPPER(TRIM('Real results'!C88))),1,0),0),0)</f>
        <v>0</v>
      </c>
      <c r="AY90" s="29">
        <f>IFERROR(IF('Raw data'!AY88&lt;&gt;"",IF(OR(UPPER(TRIM('Raw data'!AY88))=UPPER(TRIM('Real results'!C86)),UPPER(TRIM('Raw data'!AY88))=UPPER(TRIM('Real results'!C87)),UPPER(TRIM('Raw data'!AY88))=UPPER(TRIM('Real results'!C88))),1,0),0),0)</f>
        <v>0</v>
      </c>
      <c r="BA90" s="29">
        <f>IFERROR(IF('Raw data'!BA88&lt;&gt;"",IF(OR(UPPER(TRIM('Raw data'!BA88))=UPPER(TRIM('Real results'!C86)),UPPER(TRIM('Raw data'!BA88))=UPPER(TRIM('Real results'!C87)),UPPER(TRIM('Raw data'!BA88))=UPPER(TRIM('Real results'!C88))),1,0),0),0)</f>
        <v>0</v>
      </c>
      <c r="BC90" s="29">
        <f>IFERROR(IF('Raw data'!BC88&lt;&gt;"",IF(OR(UPPER(TRIM('Raw data'!BC88))=UPPER(TRIM('Real results'!C86)),UPPER(TRIM('Raw data'!BC88))=UPPER(TRIM('Real results'!C87)),UPPER(TRIM('Raw data'!BC88))=UPPER(TRIM('Real results'!C88))),1,0),0),0)</f>
        <v>0</v>
      </c>
      <c r="BE90" s="29">
        <f>IFERROR(IF('Raw data'!BE88&lt;&gt;"",IF(OR(UPPER(TRIM('Raw data'!BE88))=UPPER(TRIM('Real results'!C86)),UPPER(TRIM('Raw data'!BE88))=UPPER(TRIM('Real results'!C87)),UPPER(TRIM('Raw data'!BE88))=UPPER(TRIM('Real results'!C88))),1,0),0),0)</f>
        <v>0</v>
      </c>
      <c r="BG90" s="29">
        <f>IFERROR(IF('Raw data'!BG88&lt;&gt;"",IF(OR(UPPER(TRIM('Raw data'!BG88))=UPPER(TRIM('Real results'!C86)),UPPER(TRIM('Raw data'!BG88))=UPPER(TRIM('Real results'!C87)),UPPER(TRIM('Raw data'!BG88))=UPPER(TRIM('Real results'!C88))),1,0),0),0)</f>
        <v>0</v>
      </c>
      <c r="BI90" s="29">
        <f>IFERROR(IF('Raw data'!BI88&lt;&gt;"",IF(OR(UPPER(TRIM('Raw data'!BI88))=UPPER(TRIM('Real results'!C86)),UPPER(TRIM('Raw data'!BI88))=UPPER(TRIM('Real results'!C87)),UPPER(TRIM('Raw data'!BI88))=UPPER(TRIM('Real results'!C88))),1,0),0),0)</f>
        <v>0</v>
      </c>
    </row>
    <row r="91" ht="18.0" customHeight="1">
      <c r="A91" s="1"/>
      <c r="B91" s="13" t="s">
        <v>372</v>
      </c>
      <c r="C91" s="29">
        <f>IFERROR(IF('Raw data'!C89&lt;&gt;"",IF(OR(UPPER(TRIM('Raw data'!C89))=UPPER(TRIM('Real results'!C89)),UPPER(TRIM('Raw data'!C89))=UPPER(TRIM('Real results'!C90)),UPPER(TRIM('Raw data'!C89))=UPPER(TRIM('Real results'!C91))),1,0)+IF(UPPER(TRIM('Raw data'!C89))=UPPER(TRIM('Real results'!C89)),2,0),0),0)</f>
        <v>0</v>
      </c>
      <c r="E91" s="29">
        <f>IFERROR(IF('Raw data'!E89&lt;&gt;"",IF(OR(UPPER(TRIM('Raw data'!E89))=UPPER(TRIM('Real results'!C89)),UPPER(TRIM('Raw data'!E89))=UPPER(TRIM('Real results'!C90)),UPPER(TRIM('Raw data'!E89))=UPPER(TRIM('Real results'!C91))),1,0)+IF(UPPER(TRIM('Raw data'!E89))=UPPER(TRIM('Real results'!C89)),2,0),0),0)</f>
        <v>0</v>
      </c>
      <c r="G91" s="29">
        <f>IFERROR(IF('Raw data'!G89&lt;&gt;"",IF(OR(UPPER(TRIM('Raw data'!G89))=UPPER(TRIM('Real results'!C89)),UPPER(TRIM('Raw data'!G89))=UPPER(TRIM('Real results'!C90)),UPPER(TRIM('Raw data'!G89))=UPPER(TRIM('Real results'!C91))),1,0)+IF(UPPER(TRIM('Raw data'!G89))=UPPER(TRIM('Real results'!C89)),2,0),0),0)</f>
        <v>0</v>
      </c>
      <c r="I91" s="29">
        <f>IFERROR(IF('Raw data'!I89&lt;&gt;"",IF(OR(UPPER(TRIM('Raw data'!I89))=UPPER(TRIM('Real results'!C89)),UPPER(TRIM('Raw data'!I89))=UPPER(TRIM('Real results'!C90)),UPPER(TRIM('Raw data'!I89))=UPPER(TRIM('Real results'!C91))),1,0)+IF(UPPER(TRIM('Raw data'!I89))=UPPER(TRIM('Real results'!C89)),2,0),0),0)</f>
        <v>0</v>
      </c>
      <c r="K91" s="29">
        <f>IFERROR(IF('Raw data'!K89&lt;&gt;"",IF(OR(UPPER(TRIM('Raw data'!K89))=UPPER(TRIM('Real results'!C89)),UPPER(TRIM('Raw data'!K89))=UPPER(TRIM('Real results'!C90)),UPPER(TRIM('Raw data'!K89))=UPPER(TRIM('Real results'!C91))),1,0)+IF(UPPER(TRIM('Raw data'!K89))=UPPER(TRIM('Real results'!C89)),2,0),0),0)</f>
        <v>0</v>
      </c>
      <c r="M91" s="29">
        <f>IFERROR(IF('Raw data'!M89&lt;&gt;"",IF(OR(UPPER(TRIM('Raw data'!M89))=UPPER(TRIM('Real results'!C89)),UPPER(TRIM('Raw data'!M89))=UPPER(TRIM('Real results'!C90)),UPPER(TRIM('Raw data'!M89))=UPPER(TRIM('Real results'!C91))),1,0)+IF(UPPER(TRIM('Raw data'!M89))=UPPER(TRIM('Real results'!C89)),2,0),0),0)</f>
        <v>0</v>
      </c>
      <c r="O91" s="29">
        <f>IFERROR(IF('Raw data'!O89&lt;&gt;"",IF(OR(UPPER(TRIM('Raw data'!O89))=UPPER(TRIM('Real results'!C89)),UPPER(TRIM('Raw data'!O89))=UPPER(TRIM('Real results'!C90)),UPPER(TRIM('Raw data'!O89))=UPPER(TRIM('Real results'!C91))),1,0)+IF(UPPER(TRIM('Raw data'!O89))=UPPER(TRIM('Real results'!C89)),2,0),0),0)</f>
        <v>0</v>
      </c>
      <c r="Q91" s="29">
        <f>IFERROR(IF('Raw data'!Q89&lt;&gt;"",IF(OR(UPPER(TRIM('Raw data'!Q89))=UPPER(TRIM('Real results'!C89)),UPPER(TRIM('Raw data'!Q89))=UPPER(TRIM('Real results'!C90)),UPPER(TRIM('Raw data'!Q89))=UPPER(TRIM('Real results'!C91))),1,0)+IF(UPPER(TRIM('Raw data'!Q89))=UPPER(TRIM('Real results'!C89)),2,0),0),0)</f>
        <v>0</v>
      </c>
      <c r="S91" s="29">
        <f>IFERROR(IF('Raw data'!S89&lt;&gt;"",IF(OR(UPPER(TRIM('Raw data'!S89))=UPPER(TRIM('Real results'!C89)),UPPER(TRIM('Raw data'!S89))=UPPER(TRIM('Real results'!C90)),UPPER(TRIM('Raw data'!S89))=UPPER(TRIM('Real results'!C91))),1,0)+IF(UPPER(TRIM('Raw data'!S89))=UPPER(TRIM('Real results'!C89)),2,0),0),0)</f>
        <v>0</v>
      </c>
      <c r="U91" s="29">
        <f>IFERROR(IF('Raw data'!U89&lt;&gt;"",IF(OR(UPPER(TRIM('Raw data'!U89))=UPPER(TRIM('Real results'!C89)),UPPER(TRIM('Raw data'!U89))=UPPER(TRIM('Real results'!C90)),UPPER(TRIM('Raw data'!U89))=UPPER(TRIM('Real results'!C91))),1,0)+IF(UPPER(TRIM('Raw data'!U89))=UPPER(TRIM('Real results'!C89)),2,0),0),0)</f>
        <v>0</v>
      </c>
      <c r="W91" s="29">
        <f>IFERROR(IF('Raw data'!W89&lt;&gt;"",IF(OR(UPPER(TRIM('Raw data'!W89))=UPPER(TRIM('Real results'!C89)),UPPER(TRIM('Raw data'!W89))=UPPER(TRIM('Real results'!C90)),UPPER(TRIM('Raw data'!W89))=UPPER(TRIM('Real results'!C91))),1,0)+IF(UPPER(TRIM('Raw data'!W89))=UPPER(TRIM('Real results'!C89)),2,0),0),0)</f>
        <v>0</v>
      </c>
      <c r="Y91" s="29">
        <f>IFERROR(IF('Raw data'!Y89&lt;&gt;"",IF(OR(UPPER(TRIM('Raw data'!Y89))=UPPER(TRIM('Real results'!C89)),UPPER(TRIM('Raw data'!Y89))=UPPER(TRIM('Real results'!C90)),UPPER(TRIM('Raw data'!Y89))=UPPER(TRIM('Real results'!C91))),1,0)+IF(UPPER(TRIM('Raw data'!Y89))=UPPER(TRIM('Real results'!C89)),2,0),0),0)</f>
        <v>0</v>
      </c>
      <c r="AA91" s="29">
        <f>IFERROR(IF('Raw data'!AA89&lt;&gt;"",IF(OR(UPPER(TRIM('Raw data'!AA89))=UPPER(TRIM('Real results'!C89)),UPPER(TRIM('Raw data'!AA89))=UPPER(TRIM('Real results'!C90)),UPPER(TRIM('Raw data'!AA89))=UPPER(TRIM('Real results'!C91))),1,0)+IF(UPPER(TRIM('Raw data'!AA89))=UPPER(TRIM('Real results'!C89)),2,0),0),0)</f>
        <v>0</v>
      </c>
      <c r="AC91" s="29">
        <f>IFERROR(IF('Raw data'!AC89&lt;&gt;"",IF(OR(UPPER(TRIM('Raw data'!AC89))=UPPER(TRIM('Real results'!C89)),UPPER(TRIM('Raw data'!AC89))=UPPER(TRIM('Real results'!C90)),UPPER(TRIM('Raw data'!AC89))=UPPER(TRIM('Real results'!C91))),1,0)+IF(UPPER(TRIM('Raw data'!AC89))=UPPER(TRIM('Real results'!C89)),2,0),0),0)</f>
        <v>0</v>
      </c>
      <c r="AE91" s="29">
        <f>IFERROR(IF('Raw data'!AE89&lt;&gt;"",IF(OR(UPPER(TRIM('Raw data'!AE89))=UPPER(TRIM('Real results'!C89)),UPPER(TRIM('Raw data'!AE89))=UPPER(TRIM('Real results'!C90)),UPPER(TRIM('Raw data'!AE89))=UPPER(TRIM('Real results'!C91))),1,0)+IF(UPPER(TRIM('Raw data'!AE89))=UPPER(TRIM('Real results'!C89)),2,0),0),0)</f>
        <v>0</v>
      </c>
      <c r="AG91" s="29">
        <f>IFERROR(IF('Raw data'!AG89&lt;&gt;"",IF(OR(UPPER(TRIM('Raw data'!AG89))=UPPER(TRIM('Real results'!C89)),UPPER(TRIM('Raw data'!AG89))=UPPER(TRIM('Real results'!C90)),UPPER(TRIM('Raw data'!AG89))=UPPER(TRIM('Real results'!C91))),1,0)+IF(UPPER(TRIM('Raw data'!AG89))=UPPER(TRIM('Real results'!C89)),2,0),0),0)</f>
        <v>0</v>
      </c>
      <c r="AI91" s="29">
        <f>IFERROR(IF('Raw data'!AI89&lt;&gt;"",IF(OR(UPPER(TRIM('Raw data'!AI89))=UPPER(TRIM('Real results'!C89)),UPPER(TRIM('Raw data'!AI89))=UPPER(TRIM('Real results'!C90)),UPPER(TRIM('Raw data'!AI89))=UPPER(TRIM('Real results'!C91))),1,0)+IF(UPPER(TRIM('Raw data'!AI89))=UPPER(TRIM('Real results'!C89)),2,0),0),0)</f>
        <v>0</v>
      </c>
      <c r="AK91" s="29">
        <f>IFERROR(IF('Raw data'!AK89&lt;&gt;"",IF(OR(UPPER(TRIM('Raw data'!AK89))=UPPER(TRIM('Real results'!C89)),UPPER(TRIM('Raw data'!AK89))=UPPER(TRIM('Real results'!C90)),UPPER(TRIM('Raw data'!AK89))=UPPER(TRIM('Real results'!C91))),1,0)+IF(UPPER(TRIM('Raw data'!AK89))=UPPER(TRIM('Real results'!C89)),2,0),0),0)</f>
        <v>0</v>
      </c>
      <c r="AM91" s="29">
        <f>IFERROR(IF('Raw data'!AM89&lt;&gt;"",IF(OR(UPPER(TRIM('Raw data'!AM89))=UPPER(TRIM('Real results'!C89)),UPPER(TRIM('Raw data'!AM89))=UPPER(TRIM('Real results'!C90)),UPPER(TRIM('Raw data'!AM89))=UPPER(TRIM('Real results'!C91))),1,0)+IF(UPPER(TRIM('Raw data'!AM89))=UPPER(TRIM('Real results'!C89)),2,0),0),0)</f>
        <v>0</v>
      </c>
      <c r="AO91" s="29">
        <f>IFERROR(IF('Raw data'!AO89&lt;&gt;"",IF(OR(UPPER(TRIM('Raw data'!AO89))=UPPER(TRIM('Real results'!C89)),UPPER(TRIM('Raw data'!AO89))=UPPER(TRIM('Real results'!C90)),UPPER(TRIM('Raw data'!AO89))=UPPER(TRIM('Real results'!C91))),1,0)+IF(UPPER(TRIM('Raw data'!AO89))=UPPER(TRIM('Real results'!C89)),2,0),0),0)</f>
        <v>0</v>
      </c>
      <c r="AQ91" s="29">
        <f>IFERROR(IF('Raw data'!AQ89&lt;&gt;"",IF(OR(UPPER(TRIM('Raw data'!AQ89))=UPPER(TRIM('Real results'!C89)),UPPER(TRIM('Raw data'!AQ89))=UPPER(TRIM('Real results'!C90)),UPPER(TRIM('Raw data'!AQ89))=UPPER(TRIM('Real results'!C91))),1,0)+IF(UPPER(TRIM('Raw data'!AQ89))=UPPER(TRIM('Real results'!C89)),2,0),0),0)</f>
        <v>0</v>
      </c>
      <c r="AS91" s="29">
        <f>IFERROR(IF('Raw data'!AS89&lt;&gt;"",IF(OR(UPPER(TRIM('Raw data'!AS89))=UPPER(TRIM('Real results'!C89)),UPPER(TRIM('Raw data'!AS89))=UPPER(TRIM('Real results'!C90)),UPPER(TRIM('Raw data'!AS89))=UPPER(TRIM('Real results'!C91))),1,0)+IF(UPPER(TRIM('Raw data'!AS89))=UPPER(TRIM('Real results'!C89)),2,0),0),0)</f>
        <v>0</v>
      </c>
      <c r="AU91" s="29">
        <f>IFERROR(IF('Raw data'!AU89&lt;&gt;"",IF(OR(UPPER(TRIM('Raw data'!AU89))=UPPER(TRIM('Real results'!C89)),UPPER(TRIM('Raw data'!AU89))=UPPER(TRIM('Real results'!C90)),UPPER(TRIM('Raw data'!AU89))=UPPER(TRIM('Real results'!C91))),1,0)+IF(UPPER(TRIM('Raw data'!AU89))=UPPER(TRIM('Real results'!C89)),2,0),0),0)</f>
        <v>0</v>
      </c>
      <c r="AW91" s="29">
        <f>IFERROR(IF('Raw data'!AW89&lt;&gt;"",IF(OR(UPPER(TRIM('Raw data'!AW89))=UPPER(TRIM('Real results'!C89)),UPPER(TRIM('Raw data'!AW89))=UPPER(TRIM('Real results'!C90)),UPPER(TRIM('Raw data'!AW89))=UPPER(TRIM('Real results'!C91))),1,0)+IF(UPPER(TRIM('Raw data'!AW89))=UPPER(TRIM('Real results'!C89)),2,0),0),0)</f>
        <v>0</v>
      </c>
      <c r="AY91" s="29">
        <f>IFERROR(IF('Raw data'!AY89&lt;&gt;"",IF(OR(UPPER(TRIM('Raw data'!AY89))=UPPER(TRIM('Real results'!C89)),UPPER(TRIM('Raw data'!AY89))=UPPER(TRIM('Real results'!C90)),UPPER(TRIM('Raw data'!AY89))=UPPER(TRIM('Real results'!C91))),1,0)+IF(UPPER(TRIM('Raw data'!AY89))=UPPER(TRIM('Real results'!C89)),2,0),0),0)</f>
        <v>0</v>
      </c>
      <c r="BA91" s="29">
        <f>IFERROR(IF('Raw data'!BA89&lt;&gt;"",IF(OR(UPPER(TRIM('Raw data'!BA89))=UPPER(TRIM('Real results'!C89)),UPPER(TRIM('Raw data'!BA89))=UPPER(TRIM('Real results'!C90)),UPPER(TRIM('Raw data'!BA89))=UPPER(TRIM('Real results'!C91))),1,0)+IF(UPPER(TRIM('Raw data'!BA89))=UPPER(TRIM('Real results'!C89)),2,0),0),0)</f>
        <v>0</v>
      </c>
      <c r="BC91" s="29">
        <f>IFERROR(IF('Raw data'!BC89&lt;&gt;"",IF(OR(UPPER(TRIM('Raw data'!BC89))=UPPER(TRIM('Real results'!C89)),UPPER(TRIM('Raw data'!BC89))=UPPER(TRIM('Real results'!C90)),UPPER(TRIM('Raw data'!BC89))=UPPER(TRIM('Real results'!C91))),1,0)+IF(UPPER(TRIM('Raw data'!BC89))=UPPER(TRIM('Real results'!C89)),2,0),0),0)</f>
        <v>0</v>
      </c>
      <c r="BE91" s="29">
        <f>IFERROR(IF('Raw data'!BE89&lt;&gt;"",IF(OR(UPPER(TRIM('Raw data'!BE89))=UPPER(TRIM('Real results'!C89)),UPPER(TRIM('Raw data'!BE89))=UPPER(TRIM('Real results'!C90)),UPPER(TRIM('Raw data'!BE89))=UPPER(TRIM('Real results'!C91))),1,0)+IF(UPPER(TRIM('Raw data'!BE89))=UPPER(TRIM('Real results'!C89)),2,0),0),0)</f>
        <v>0</v>
      </c>
      <c r="BG91" s="29">
        <f>IFERROR(IF('Raw data'!BG89&lt;&gt;"",IF(OR(UPPER(TRIM('Raw data'!BG89))=UPPER(TRIM('Real results'!C89)),UPPER(TRIM('Raw data'!BG89))=UPPER(TRIM('Real results'!C90)),UPPER(TRIM('Raw data'!BG89))=UPPER(TRIM('Real results'!C91))),1,0)+IF(UPPER(TRIM('Raw data'!BG89))=UPPER(TRIM('Real results'!C89)),2,0),0),0)</f>
        <v>0</v>
      </c>
      <c r="BI91" s="29">
        <f>IFERROR(IF('Raw data'!BI89&lt;&gt;"",IF(OR(UPPER(TRIM('Raw data'!BI89))=UPPER(TRIM('Real results'!C89)),UPPER(TRIM('Raw data'!BI89))=UPPER(TRIM('Real results'!C90)),UPPER(TRIM('Raw data'!BI89))=UPPER(TRIM('Real results'!C91))),1,0)+IF(UPPER(TRIM('Raw data'!BI89))=UPPER(TRIM('Real results'!C89)),2,0),0),0)</f>
        <v>0</v>
      </c>
    </row>
    <row r="92" ht="18.0" customHeight="1">
      <c r="A92" s="1"/>
      <c r="B92" s="13" t="s">
        <v>373</v>
      </c>
      <c r="C92" s="29">
        <f>IFERROR(IF('Raw data'!C90&lt;&gt;"",IF(OR(UPPER(TRIM('Raw data'!C90))=UPPER(TRIM('Real results'!C89)),UPPER(TRIM('Raw data'!C90))=UPPER(TRIM('Real results'!C90)),UPPER(TRIM('Raw data'!C90))=UPPER(TRIM('Real results'!C91))),1,0),0),0)</f>
        <v>0</v>
      </c>
      <c r="E92" s="29">
        <f>IFERROR(IF('Raw data'!E90&lt;&gt;"",IF(OR(UPPER(TRIM('Raw data'!E90))=UPPER(TRIM('Real results'!C89)),UPPER(TRIM('Raw data'!E90))=UPPER(TRIM('Real results'!C90)),UPPER(TRIM('Raw data'!E90))=UPPER(TRIM('Real results'!C91))),1,0),0),0)</f>
        <v>0</v>
      </c>
      <c r="G92" s="29">
        <f>IFERROR(IF('Raw data'!G90&lt;&gt;"",IF(OR(UPPER(TRIM('Raw data'!G90))=UPPER(TRIM('Real results'!C89)),UPPER(TRIM('Raw data'!G90))=UPPER(TRIM('Real results'!C90)),UPPER(TRIM('Raw data'!G90))=UPPER(TRIM('Real results'!C91))),1,0),0),0)</f>
        <v>0</v>
      </c>
      <c r="I92" s="29">
        <f>IFERROR(IF('Raw data'!I90&lt;&gt;"",IF(OR(UPPER(TRIM('Raw data'!I90))=UPPER(TRIM('Real results'!C89)),UPPER(TRIM('Raw data'!I90))=UPPER(TRIM('Real results'!C90)),UPPER(TRIM('Raw data'!I90))=UPPER(TRIM('Real results'!C91))),1,0),0),0)</f>
        <v>0</v>
      </c>
      <c r="K92" s="29">
        <f>IFERROR(IF('Raw data'!K90&lt;&gt;"",IF(OR(UPPER(TRIM('Raw data'!K90))=UPPER(TRIM('Real results'!C89)),UPPER(TRIM('Raw data'!K90))=UPPER(TRIM('Real results'!C90)),UPPER(TRIM('Raw data'!K90))=UPPER(TRIM('Real results'!C91))),1,0),0),0)</f>
        <v>0</v>
      </c>
      <c r="M92" s="29">
        <f>IFERROR(IF('Raw data'!M90&lt;&gt;"",IF(OR(UPPER(TRIM('Raw data'!M90))=UPPER(TRIM('Real results'!C89)),UPPER(TRIM('Raw data'!M90))=UPPER(TRIM('Real results'!C90)),UPPER(TRIM('Raw data'!M90))=UPPER(TRIM('Real results'!C91))),1,0),0),0)</f>
        <v>0</v>
      </c>
      <c r="O92" s="29">
        <f>IFERROR(IF('Raw data'!O90&lt;&gt;"",IF(OR(UPPER(TRIM('Raw data'!O90))=UPPER(TRIM('Real results'!C89)),UPPER(TRIM('Raw data'!O90))=UPPER(TRIM('Real results'!C90)),UPPER(TRIM('Raw data'!O90))=UPPER(TRIM('Real results'!C91))),1,0),0),0)</f>
        <v>0</v>
      </c>
      <c r="Q92" s="29">
        <f>IFERROR(IF('Raw data'!Q90&lt;&gt;"",IF(OR(UPPER(TRIM('Raw data'!Q90))=UPPER(TRIM('Real results'!C89)),UPPER(TRIM('Raw data'!Q90))=UPPER(TRIM('Real results'!C90)),UPPER(TRIM('Raw data'!Q90))=UPPER(TRIM('Real results'!C91))),1,0),0),0)</f>
        <v>0</v>
      </c>
      <c r="S92" s="29">
        <f>IFERROR(IF('Raw data'!S90&lt;&gt;"",IF(OR(UPPER(TRIM('Raw data'!S90))=UPPER(TRIM('Real results'!C89)),UPPER(TRIM('Raw data'!S90))=UPPER(TRIM('Real results'!C90)),UPPER(TRIM('Raw data'!S90))=UPPER(TRIM('Real results'!C91))),1,0),0),0)</f>
        <v>0</v>
      </c>
      <c r="U92" s="29">
        <f>IFERROR(IF('Raw data'!U90&lt;&gt;"",IF(OR(UPPER(TRIM('Raw data'!U90))=UPPER(TRIM('Real results'!C89)),UPPER(TRIM('Raw data'!U90))=UPPER(TRIM('Real results'!C90)),UPPER(TRIM('Raw data'!U90))=UPPER(TRIM('Real results'!C91))),1,0),0),0)</f>
        <v>0</v>
      </c>
      <c r="W92" s="29">
        <f>IFERROR(IF('Raw data'!W90&lt;&gt;"",IF(OR(UPPER(TRIM('Raw data'!W90))=UPPER(TRIM('Real results'!C89)),UPPER(TRIM('Raw data'!W90))=UPPER(TRIM('Real results'!C90)),UPPER(TRIM('Raw data'!W90))=UPPER(TRIM('Real results'!C91))),1,0),0),0)</f>
        <v>0</v>
      </c>
      <c r="Y92" s="29">
        <f>IFERROR(IF('Raw data'!Y90&lt;&gt;"",IF(OR(UPPER(TRIM('Raw data'!Y90))=UPPER(TRIM('Real results'!C89)),UPPER(TRIM('Raw data'!Y90))=UPPER(TRIM('Real results'!C90)),UPPER(TRIM('Raw data'!Y90))=UPPER(TRIM('Real results'!C91))),1,0),0),0)</f>
        <v>0</v>
      </c>
      <c r="AA92" s="29">
        <f>IFERROR(IF('Raw data'!AA90&lt;&gt;"",IF(OR(UPPER(TRIM('Raw data'!AA90))=UPPER(TRIM('Real results'!C89)),UPPER(TRIM('Raw data'!AA90))=UPPER(TRIM('Real results'!C90)),UPPER(TRIM('Raw data'!AA90))=UPPER(TRIM('Real results'!C91))),1,0),0),0)</f>
        <v>0</v>
      </c>
      <c r="AC92" s="29">
        <f>IFERROR(IF('Raw data'!AC90&lt;&gt;"",IF(OR(UPPER(TRIM('Raw data'!AC90))=UPPER(TRIM('Real results'!C89)),UPPER(TRIM('Raw data'!AC90))=UPPER(TRIM('Real results'!C90)),UPPER(TRIM('Raw data'!AC90))=UPPER(TRIM('Real results'!C91))),1,0),0),0)</f>
        <v>0</v>
      </c>
      <c r="AE92" s="29">
        <f>IFERROR(IF('Raw data'!AE90&lt;&gt;"",IF(OR(UPPER(TRIM('Raw data'!AE90))=UPPER(TRIM('Real results'!C89)),UPPER(TRIM('Raw data'!AE90))=UPPER(TRIM('Real results'!C90)),UPPER(TRIM('Raw data'!AE90))=UPPER(TRIM('Real results'!C91))),1,0),0),0)</f>
        <v>0</v>
      </c>
      <c r="AG92" s="29">
        <f>IFERROR(IF('Raw data'!AG90&lt;&gt;"",IF(OR(UPPER(TRIM('Raw data'!AG90))=UPPER(TRIM('Real results'!C89)),UPPER(TRIM('Raw data'!AG90))=UPPER(TRIM('Real results'!C90)),UPPER(TRIM('Raw data'!AG90))=UPPER(TRIM('Real results'!C91))),1,0),0),0)</f>
        <v>0</v>
      </c>
      <c r="AI92" s="29">
        <f>IFERROR(IF('Raw data'!AI90&lt;&gt;"",IF(OR(UPPER(TRIM('Raw data'!AI90))=UPPER(TRIM('Real results'!C89)),UPPER(TRIM('Raw data'!AI90))=UPPER(TRIM('Real results'!C90)),UPPER(TRIM('Raw data'!AI90))=UPPER(TRIM('Real results'!C91))),1,0),0),0)</f>
        <v>0</v>
      </c>
      <c r="AK92" s="29">
        <f>IFERROR(IF('Raw data'!AK90&lt;&gt;"",IF(OR(UPPER(TRIM('Raw data'!AK90))=UPPER(TRIM('Real results'!C89)),UPPER(TRIM('Raw data'!AK90))=UPPER(TRIM('Real results'!C90)),UPPER(TRIM('Raw data'!AK90))=UPPER(TRIM('Real results'!C91))),1,0),0),0)</f>
        <v>0</v>
      </c>
      <c r="AM92" s="29">
        <f>IFERROR(IF('Raw data'!AM90&lt;&gt;"",IF(OR(UPPER(TRIM('Raw data'!AM90))=UPPER(TRIM('Real results'!C89)),UPPER(TRIM('Raw data'!AM90))=UPPER(TRIM('Real results'!C90)),UPPER(TRIM('Raw data'!AM90))=UPPER(TRIM('Real results'!C91))),1,0),0),0)</f>
        <v>0</v>
      </c>
      <c r="AO92" s="29">
        <f>IFERROR(IF('Raw data'!AO90&lt;&gt;"",IF(OR(UPPER(TRIM('Raw data'!AO90))=UPPER(TRIM('Real results'!C89)),UPPER(TRIM('Raw data'!AO90))=UPPER(TRIM('Real results'!C90)),UPPER(TRIM('Raw data'!AO90))=UPPER(TRIM('Real results'!C91))),1,0),0),0)</f>
        <v>0</v>
      </c>
      <c r="AQ92" s="29">
        <f>IFERROR(IF('Raw data'!AQ90&lt;&gt;"",IF(OR(UPPER(TRIM('Raw data'!AQ90))=UPPER(TRIM('Real results'!C89)),UPPER(TRIM('Raw data'!AQ90))=UPPER(TRIM('Real results'!C90)),UPPER(TRIM('Raw data'!AQ90))=UPPER(TRIM('Real results'!C91))),1,0),0),0)</f>
        <v>0</v>
      </c>
      <c r="AS92" s="29">
        <f>IFERROR(IF('Raw data'!AS90&lt;&gt;"",IF(OR(UPPER(TRIM('Raw data'!AS90))=UPPER(TRIM('Real results'!C89)),UPPER(TRIM('Raw data'!AS90))=UPPER(TRIM('Real results'!C90)),UPPER(TRIM('Raw data'!AS90))=UPPER(TRIM('Real results'!C91))),1,0),0),0)</f>
        <v>0</v>
      </c>
      <c r="AU92" s="29">
        <f>IFERROR(IF('Raw data'!AU90&lt;&gt;"",IF(OR(UPPER(TRIM('Raw data'!AU90))=UPPER(TRIM('Real results'!C89)),UPPER(TRIM('Raw data'!AU90))=UPPER(TRIM('Real results'!C90)),UPPER(TRIM('Raw data'!AU90))=UPPER(TRIM('Real results'!C91))),1,0),0),0)</f>
        <v>0</v>
      </c>
      <c r="AW92" s="29">
        <f>IFERROR(IF('Raw data'!AW90&lt;&gt;"",IF(OR(UPPER(TRIM('Raw data'!AW90))=UPPER(TRIM('Real results'!C89)),UPPER(TRIM('Raw data'!AW90))=UPPER(TRIM('Real results'!C90)),UPPER(TRIM('Raw data'!AW90))=UPPER(TRIM('Real results'!C91))),1,0),0),0)</f>
        <v>0</v>
      </c>
      <c r="AY92" s="29">
        <f>IFERROR(IF('Raw data'!AY90&lt;&gt;"",IF(OR(UPPER(TRIM('Raw data'!AY90))=UPPER(TRIM('Real results'!C89)),UPPER(TRIM('Raw data'!AY90))=UPPER(TRIM('Real results'!C90)),UPPER(TRIM('Raw data'!AY90))=UPPER(TRIM('Real results'!C91))),1,0),0),0)</f>
        <v>0</v>
      </c>
      <c r="BA92" s="29">
        <f>IFERROR(IF('Raw data'!BA90&lt;&gt;"",IF(OR(UPPER(TRIM('Raw data'!BA90))=UPPER(TRIM('Real results'!C89)),UPPER(TRIM('Raw data'!BA90))=UPPER(TRIM('Real results'!C90)),UPPER(TRIM('Raw data'!BA90))=UPPER(TRIM('Real results'!C91))),1,0),0),0)</f>
        <v>0</v>
      </c>
      <c r="BC92" s="29">
        <f>IFERROR(IF('Raw data'!BC90&lt;&gt;"",IF(OR(UPPER(TRIM('Raw data'!BC90))=UPPER(TRIM('Real results'!C89)),UPPER(TRIM('Raw data'!BC90))=UPPER(TRIM('Real results'!C90)),UPPER(TRIM('Raw data'!BC90))=UPPER(TRIM('Real results'!C91))),1,0),0),0)</f>
        <v>0</v>
      </c>
      <c r="BE92" s="29">
        <f>IFERROR(IF('Raw data'!BE90&lt;&gt;"",IF(OR(UPPER(TRIM('Raw data'!BE90))=UPPER(TRIM('Real results'!C89)),UPPER(TRIM('Raw data'!BE90))=UPPER(TRIM('Real results'!C90)),UPPER(TRIM('Raw data'!BE90))=UPPER(TRIM('Real results'!C91))),1,0),0),0)</f>
        <v>0</v>
      </c>
      <c r="BG92" s="29">
        <f>IFERROR(IF('Raw data'!BG90&lt;&gt;"",IF(OR(UPPER(TRIM('Raw data'!BG90))=UPPER(TRIM('Real results'!C89)),UPPER(TRIM('Raw data'!BG90))=UPPER(TRIM('Real results'!C90)),UPPER(TRIM('Raw data'!BG90))=UPPER(TRIM('Real results'!C91))),1,0),0),0)</f>
        <v>0</v>
      </c>
      <c r="BI92" s="29">
        <f>IFERROR(IF('Raw data'!BI90&lt;&gt;"",IF(OR(UPPER(TRIM('Raw data'!BI90))=UPPER(TRIM('Real results'!C89)),UPPER(TRIM('Raw data'!BI90))=UPPER(TRIM('Real results'!C90)),UPPER(TRIM('Raw data'!BI90))=UPPER(TRIM('Real results'!C91))),1,0),0),0)</f>
        <v>0</v>
      </c>
    </row>
    <row r="93" ht="18.0" customHeight="1">
      <c r="A93" s="1"/>
      <c r="B93" s="13" t="s">
        <v>374</v>
      </c>
      <c r="C93" s="29">
        <f>IFERROR(IF('Raw data'!C91&lt;&gt;"",IF(OR(UPPER(TRIM('Raw data'!C91))=UPPER(TRIM('Real results'!C89)),UPPER(TRIM('Raw data'!C91))=UPPER(TRIM('Real results'!C90)),UPPER(TRIM('Raw data'!C91))=UPPER(TRIM('Real results'!C91))),1,0),0),0)</f>
        <v>0</v>
      </c>
      <c r="E93" s="29">
        <f>IFERROR(IF('Raw data'!E91&lt;&gt;"",IF(OR(UPPER(TRIM('Raw data'!E91))=UPPER(TRIM('Real results'!C89)),UPPER(TRIM('Raw data'!E91))=UPPER(TRIM('Real results'!C90)),UPPER(TRIM('Raw data'!E91))=UPPER(TRIM('Real results'!C91))),1,0),0),0)</f>
        <v>0</v>
      </c>
      <c r="G93" s="29">
        <f>IFERROR(IF('Raw data'!G91&lt;&gt;"",IF(OR(UPPER(TRIM('Raw data'!G91))=UPPER(TRIM('Real results'!C89)),UPPER(TRIM('Raw data'!G91))=UPPER(TRIM('Real results'!C90)),UPPER(TRIM('Raw data'!G91))=UPPER(TRIM('Real results'!C91))),1,0),0),0)</f>
        <v>0</v>
      </c>
      <c r="I93" s="29">
        <f>IFERROR(IF('Raw data'!I91&lt;&gt;"",IF(OR(UPPER(TRIM('Raw data'!I91))=UPPER(TRIM('Real results'!C89)),UPPER(TRIM('Raw data'!I91))=UPPER(TRIM('Real results'!C90)),UPPER(TRIM('Raw data'!I91))=UPPER(TRIM('Real results'!C91))),1,0),0),0)</f>
        <v>0</v>
      </c>
      <c r="K93" s="29">
        <f>IFERROR(IF('Raw data'!K91&lt;&gt;"",IF(OR(UPPER(TRIM('Raw data'!K91))=UPPER(TRIM('Real results'!C89)),UPPER(TRIM('Raw data'!K91))=UPPER(TRIM('Real results'!C90)),UPPER(TRIM('Raw data'!K91))=UPPER(TRIM('Real results'!C91))),1,0),0),0)</f>
        <v>0</v>
      </c>
      <c r="M93" s="29">
        <f>IFERROR(IF('Raw data'!M91&lt;&gt;"",IF(OR(UPPER(TRIM('Raw data'!M91))=UPPER(TRIM('Real results'!C89)),UPPER(TRIM('Raw data'!M91))=UPPER(TRIM('Real results'!C90)),UPPER(TRIM('Raw data'!M91))=UPPER(TRIM('Real results'!C91))),1,0),0),0)</f>
        <v>0</v>
      </c>
      <c r="O93" s="29">
        <f>IFERROR(IF('Raw data'!O91&lt;&gt;"",IF(OR(UPPER(TRIM('Raw data'!O91))=UPPER(TRIM('Real results'!C89)),UPPER(TRIM('Raw data'!O91))=UPPER(TRIM('Real results'!C90)),UPPER(TRIM('Raw data'!O91))=UPPER(TRIM('Real results'!C91))),1,0),0),0)</f>
        <v>0</v>
      </c>
      <c r="Q93" s="29">
        <f>IFERROR(IF('Raw data'!Q91&lt;&gt;"",IF(OR(UPPER(TRIM('Raw data'!Q91))=UPPER(TRIM('Real results'!C89)),UPPER(TRIM('Raw data'!Q91))=UPPER(TRIM('Real results'!C90)),UPPER(TRIM('Raw data'!Q91))=UPPER(TRIM('Real results'!C91))),1,0),0),0)</f>
        <v>0</v>
      </c>
      <c r="S93" s="29">
        <f>IFERROR(IF('Raw data'!S91&lt;&gt;"",IF(OR(UPPER(TRIM('Raw data'!S91))=UPPER(TRIM('Real results'!C89)),UPPER(TRIM('Raw data'!S91))=UPPER(TRIM('Real results'!C90)),UPPER(TRIM('Raw data'!S91))=UPPER(TRIM('Real results'!C91))),1,0),0),0)</f>
        <v>0</v>
      </c>
      <c r="U93" s="29">
        <f>IFERROR(IF('Raw data'!U91&lt;&gt;"",IF(OR(UPPER(TRIM('Raw data'!U91))=UPPER(TRIM('Real results'!C89)),UPPER(TRIM('Raw data'!U91))=UPPER(TRIM('Real results'!C90)),UPPER(TRIM('Raw data'!U91))=UPPER(TRIM('Real results'!C91))),1,0),0),0)</f>
        <v>0</v>
      </c>
      <c r="W93" s="29">
        <f>IFERROR(IF('Raw data'!W91&lt;&gt;"",IF(OR(UPPER(TRIM('Raw data'!W91))=UPPER(TRIM('Real results'!C89)),UPPER(TRIM('Raw data'!W91))=UPPER(TRIM('Real results'!C90)),UPPER(TRIM('Raw data'!W91))=UPPER(TRIM('Real results'!C91))),1,0),0),0)</f>
        <v>0</v>
      </c>
      <c r="Y93" s="29">
        <f>IFERROR(IF('Raw data'!Y91&lt;&gt;"",IF(OR(UPPER(TRIM('Raw data'!Y91))=UPPER(TRIM('Real results'!C89)),UPPER(TRIM('Raw data'!Y91))=UPPER(TRIM('Real results'!C90)),UPPER(TRIM('Raw data'!Y91))=UPPER(TRIM('Real results'!C91))),1,0),0),0)</f>
        <v>0</v>
      </c>
      <c r="AA93" s="29">
        <f>IFERROR(IF('Raw data'!AA91&lt;&gt;"",IF(OR(UPPER(TRIM('Raw data'!AA91))=UPPER(TRIM('Real results'!C89)),UPPER(TRIM('Raw data'!AA91))=UPPER(TRIM('Real results'!C90)),UPPER(TRIM('Raw data'!AA91))=UPPER(TRIM('Real results'!C91))),1,0),0),0)</f>
        <v>0</v>
      </c>
      <c r="AC93" s="29">
        <f>IFERROR(IF('Raw data'!AC91&lt;&gt;"",IF(OR(UPPER(TRIM('Raw data'!AC91))=UPPER(TRIM('Real results'!C89)),UPPER(TRIM('Raw data'!AC91))=UPPER(TRIM('Real results'!C90)),UPPER(TRIM('Raw data'!AC91))=UPPER(TRIM('Real results'!C91))),1,0),0),0)</f>
        <v>0</v>
      </c>
      <c r="AE93" s="29">
        <f>IFERROR(IF('Raw data'!AE91&lt;&gt;"",IF(OR(UPPER(TRIM('Raw data'!AE91))=UPPER(TRIM('Real results'!C89)),UPPER(TRIM('Raw data'!AE91))=UPPER(TRIM('Real results'!C90)),UPPER(TRIM('Raw data'!AE91))=UPPER(TRIM('Real results'!C91))),1,0),0),0)</f>
        <v>0</v>
      </c>
      <c r="AG93" s="29">
        <f>IFERROR(IF('Raw data'!AG91&lt;&gt;"",IF(OR(UPPER(TRIM('Raw data'!AG91))=UPPER(TRIM('Real results'!C89)),UPPER(TRIM('Raw data'!AG91))=UPPER(TRIM('Real results'!C90)),UPPER(TRIM('Raw data'!AG91))=UPPER(TRIM('Real results'!C91))),1,0),0),0)</f>
        <v>0</v>
      </c>
      <c r="AI93" s="29">
        <f>IFERROR(IF('Raw data'!AI91&lt;&gt;"",IF(OR(UPPER(TRIM('Raw data'!AI91))=UPPER(TRIM('Real results'!C89)),UPPER(TRIM('Raw data'!AI91))=UPPER(TRIM('Real results'!C90)),UPPER(TRIM('Raw data'!AI91))=UPPER(TRIM('Real results'!C91))),1,0),0),0)</f>
        <v>0</v>
      </c>
      <c r="AK93" s="29">
        <f>IFERROR(IF('Raw data'!AK91&lt;&gt;"",IF(OR(UPPER(TRIM('Raw data'!AK91))=UPPER(TRIM('Real results'!C89)),UPPER(TRIM('Raw data'!AK91))=UPPER(TRIM('Real results'!C90)),UPPER(TRIM('Raw data'!AK91))=UPPER(TRIM('Real results'!C91))),1,0),0),0)</f>
        <v>0</v>
      </c>
      <c r="AM93" s="29">
        <f>IFERROR(IF('Raw data'!AM91&lt;&gt;"",IF(OR(UPPER(TRIM('Raw data'!AM91))=UPPER(TRIM('Real results'!C89)),UPPER(TRIM('Raw data'!AM91))=UPPER(TRIM('Real results'!C90)),UPPER(TRIM('Raw data'!AM91))=UPPER(TRIM('Real results'!C91))),1,0),0),0)</f>
        <v>0</v>
      </c>
      <c r="AO93" s="29">
        <f>IFERROR(IF('Raw data'!AO91&lt;&gt;"",IF(OR(UPPER(TRIM('Raw data'!AO91))=UPPER(TRIM('Real results'!C89)),UPPER(TRIM('Raw data'!AO91))=UPPER(TRIM('Real results'!C90)),UPPER(TRIM('Raw data'!AO91))=UPPER(TRIM('Real results'!C91))),1,0),0),0)</f>
        <v>0</v>
      </c>
      <c r="AQ93" s="29">
        <f>IFERROR(IF('Raw data'!AQ91&lt;&gt;"",IF(OR(UPPER(TRIM('Raw data'!AQ91))=UPPER(TRIM('Real results'!C89)),UPPER(TRIM('Raw data'!AQ91))=UPPER(TRIM('Real results'!C90)),UPPER(TRIM('Raw data'!AQ91))=UPPER(TRIM('Real results'!C91))),1,0),0),0)</f>
        <v>0</v>
      </c>
      <c r="AS93" s="29">
        <f>IFERROR(IF('Raw data'!AS91&lt;&gt;"",IF(OR(UPPER(TRIM('Raw data'!AS91))=UPPER(TRIM('Real results'!C89)),UPPER(TRIM('Raw data'!AS91))=UPPER(TRIM('Real results'!C90)),UPPER(TRIM('Raw data'!AS91))=UPPER(TRIM('Real results'!C91))),1,0),0),0)</f>
        <v>0</v>
      </c>
      <c r="AU93" s="29">
        <f>IFERROR(IF('Raw data'!AU91&lt;&gt;"",IF(OR(UPPER(TRIM('Raw data'!AU91))=UPPER(TRIM('Real results'!C89)),UPPER(TRIM('Raw data'!AU91))=UPPER(TRIM('Real results'!C90)),UPPER(TRIM('Raw data'!AU91))=UPPER(TRIM('Real results'!C91))),1,0),0),0)</f>
        <v>0</v>
      </c>
      <c r="AW93" s="29">
        <f>IFERROR(IF('Raw data'!AW91&lt;&gt;"",IF(OR(UPPER(TRIM('Raw data'!AW91))=UPPER(TRIM('Real results'!C89)),UPPER(TRIM('Raw data'!AW91))=UPPER(TRIM('Real results'!C90)),UPPER(TRIM('Raw data'!AW91))=UPPER(TRIM('Real results'!C91))),1,0),0),0)</f>
        <v>0</v>
      </c>
      <c r="AY93" s="29">
        <f>IFERROR(IF('Raw data'!AY91&lt;&gt;"",IF(OR(UPPER(TRIM('Raw data'!AY91))=UPPER(TRIM('Real results'!C89)),UPPER(TRIM('Raw data'!AY91))=UPPER(TRIM('Real results'!C90)),UPPER(TRIM('Raw data'!AY91))=UPPER(TRIM('Real results'!C91))),1,0),0),0)</f>
        <v>0</v>
      </c>
      <c r="BA93" s="29">
        <f>IFERROR(IF('Raw data'!BA91&lt;&gt;"",IF(OR(UPPER(TRIM('Raw data'!BA91))=UPPER(TRIM('Real results'!C89)),UPPER(TRIM('Raw data'!BA91))=UPPER(TRIM('Real results'!C90)),UPPER(TRIM('Raw data'!BA91))=UPPER(TRIM('Real results'!C91))),1,0),0),0)</f>
        <v>0</v>
      </c>
      <c r="BC93" s="29">
        <f>IFERROR(IF('Raw data'!BC91&lt;&gt;"",IF(OR(UPPER(TRIM('Raw data'!BC91))=UPPER(TRIM('Real results'!C89)),UPPER(TRIM('Raw data'!BC91))=UPPER(TRIM('Real results'!C90)),UPPER(TRIM('Raw data'!BC91))=UPPER(TRIM('Real results'!C91))),1,0),0),0)</f>
        <v>0</v>
      </c>
      <c r="BE93" s="29">
        <f>IFERROR(IF('Raw data'!BE91&lt;&gt;"",IF(OR(UPPER(TRIM('Raw data'!BE91))=UPPER(TRIM('Real results'!C89)),UPPER(TRIM('Raw data'!BE91))=UPPER(TRIM('Real results'!C90)),UPPER(TRIM('Raw data'!BE91))=UPPER(TRIM('Real results'!C91))),1,0),0),0)</f>
        <v>0</v>
      </c>
      <c r="BG93" s="29">
        <f>IFERROR(IF('Raw data'!BG91&lt;&gt;"",IF(OR(UPPER(TRIM('Raw data'!BG91))=UPPER(TRIM('Real results'!C89)),UPPER(TRIM('Raw data'!BG91))=UPPER(TRIM('Real results'!C90)),UPPER(TRIM('Raw data'!BG91))=UPPER(TRIM('Real results'!C91))),1,0),0),0)</f>
        <v>0</v>
      </c>
      <c r="BI93" s="29">
        <f>IFERROR(IF('Raw data'!BI91&lt;&gt;"",IF(OR(UPPER(TRIM('Raw data'!BI91))=UPPER(TRIM('Real results'!C89)),UPPER(TRIM('Raw data'!BI91))=UPPER(TRIM('Real results'!C90)),UPPER(TRIM('Raw data'!BI91))=UPPER(TRIM('Real results'!C91))),1,0),0),0)</f>
        <v>0</v>
      </c>
    </row>
    <row r="94" ht="18.0" customHeight="1">
      <c r="A94" s="1"/>
      <c r="B94" s="13" t="s">
        <v>375</v>
      </c>
      <c r="C94" s="29">
        <f>IFERROR(IF('Raw data'!C92&lt;&gt;"",IF(OR(UPPER(TRIM('Raw data'!C92))=UPPER(TRIM('Real results'!C92)),UPPER(TRIM('Raw data'!C92))=UPPER(TRIM('Real results'!C93)),UPPER(TRIM('Raw data'!C92))=UPPER(TRIM('Real results'!C94))),1,0)+IF(UPPER(TRIM('Raw data'!C92))=UPPER(TRIM('Real results'!C92)),2,0),0),0)</f>
        <v>0</v>
      </c>
      <c r="E94" s="29">
        <f>IFERROR(IF('Raw data'!E92&lt;&gt;"",IF(OR(UPPER(TRIM('Raw data'!E92))=UPPER(TRIM('Real results'!C92)),UPPER(TRIM('Raw data'!E92))=UPPER(TRIM('Real results'!C93)),UPPER(TRIM('Raw data'!E92))=UPPER(TRIM('Real results'!C94))),1,0)+IF(UPPER(TRIM('Raw data'!E92))=UPPER(TRIM('Real results'!C92)),2,0),0),0)</f>
        <v>0</v>
      </c>
      <c r="G94" s="29">
        <f>IFERROR(IF('Raw data'!G92&lt;&gt;"",IF(OR(UPPER(TRIM('Raw data'!G92))=UPPER(TRIM('Real results'!C92)),UPPER(TRIM('Raw data'!G92))=UPPER(TRIM('Real results'!C93)),UPPER(TRIM('Raw data'!G92))=UPPER(TRIM('Real results'!C94))),1,0)+IF(UPPER(TRIM('Raw data'!G92))=UPPER(TRIM('Real results'!C92)),2,0),0),0)</f>
        <v>0</v>
      </c>
      <c r="I94" s="29">
        <f>IFERROR(IF('Raw data'!I92&lt;&gt;"",IF(OR(UPPER(TRIM('Raw data'!I92))=UPPER(TRIM('Real results'!C92)),UPPER(TRIM('Raw data'!I92))=UPPER(TRIM('Real results'!C93)),UPPER(TRIM('Raw data'!I92))=UPPER(TRIM('Real results'!C94))),1,0)+IF(UPPER(TRIM('Raw data'!I92))=UPPER(TRIM('Real results'!C92)),2,0),0),0)</f>
        <v>0</v>
      </c>
      <c r="K94" s="29">
        <f>IFERROR(IF('Raw data'!K92&lt;&gt;"",IF(OR(UPPER(TRIM('Raw data'!K92))=UPPER(TRIM('Real results'!C92)),UPPER(TRIM('Raw data'!K92))=UPPER(TRIM('Real results'!C93)),UPPER(TRIM('Raw data'!K92))=UPPER(TRIM('Real results'!C94))),1,0)+IF(UPPER(TRIM('Raw data'!K92))=UPPER(TRIM('Real results'!C92)),2,0),0),0)</f>
        <v>0</v>
      </c>
      <c r="M94" s="29">
        <f>IFERROR(IF('Raw data'!M92&lt;&gt;"",IF(OR(UPPER(TRIM('Raw data'!M92))=UPPER(TRIM('Real results'!C92)),UPPER(TRIM('Raw data'!M92))=UPPER(TRIM('Real results'!C93)),UPPER(TRIM('Raw data'!M92))=UPPER(TRIM('Real results'!C94))),1,0)+IF(UPPER(TRIM('Raw data'!M92))=UPPER(TRIM('Real results'!C92)),2,0),0),0)</f>
        <v>0</v>
      </c>
      <c r="O94" s="29">
        <f>IFERROR(IF('Raw data'!O92&lt;&gt;"",IF(OR(UPPER(TRIM('Raw data'!O92))=UPPER(TRIM('Real results'!C92)),UPPER(TRIM('Raw data'!O92))=UPPER(TRIM('Real results'!C93)),UPPER(TRIM('Raw data'!O92))=UPPER(TRIM('Real results'!C94))),1,0)+IF(UPPER(TRIM('Raw data'!O92))=UPPER(TRIM('Real results'!C92)),2,0),0),0)</f>
        <v>0</v>
      </c>
      <c r="Q94" s="29">
        <f>IFERROR(IF('Raw data'!Q92&lt;&gt;"",IF(OR(UPPER(TRIM('Raw data'!Q92))=UPPER(TRIM('Real results'!C92)),UPPER(TRIM('Raw data'!Q92))=UPPER(TRIM('Real results'!C93)),UPPER(TRIM('Raw data'!Q92))=UPPER(TRIM('Real results'!C94))),1,0)+IF(UPPER(TRIM('Raw data'!Q92))=UPPER(TRIM('Real results'!C92)),2,0),0),0)</f>
        <v>0</v>
      </c>
      <c r="S94" s="29">
        <f>IFERROR(IF('Raw data'!S92&lt;&gt;"",IF(OR(UPPER(TRIM('Raw data'!S92))=UPPER(TRIM('Real results'!C92)),UPPER(TRIM('Raw data'!S92))=UPPER(TRIM('Real results'!C93)),UPPER(TRIM('Raw data'!S92))=UPPER(TRIM('Real results'!C94))),1,0)+IF(UPPER(TRIM('Raw data'!S92))=UPPER(TRIM('Real results'!C92)),2,0),0),0)</f>
        <v>0</v>
      </c>
      <c r="U94" s="29">
        <f>IFERROR(IF('Raw data'!U92&lt;&gt;"",IF(OR(UPPER(TRIM('Raw data'!U92))=UPPER(TRIM('Real results'!C92)),UPPER(TRIM('Raw data'!U92))=UPPER(TRIM('Real results'!C93)),UPPER(TRIM('Raw data'!U92))=UPPER(TRIM('Real results'!C94))),1,0)+IF(UPPER(TRIM('Raw data'!U92))=UPPER(TRIM('Real results'!C92)),2,0),0),0)</f>
        <v>0</v>
      </c>
      <c r="W94" s="29">
        <f>IFERROR(IF('Raw data'!W92&lt;&gt;"",IF(OR(UPPER(TRIM('Raw data'!W92))=UPPER(TRIM('Real results'!C92)),UPPER(TRIM('Raw data'!W92))=UPPER(TRIM('Real results'!C93)),UPPER(TRIM('Raw data'!W92))=UPPER(TRIM('Real results'!C94))),1,0)+IF(UPPER(TRIM('Raw data'!W92))=UPPER(TRIM('Real results'!C92)),2,0),0),0)</f>
        <v>0</v>
      </c>
      <c r="Y94" s="29">
        <f>IFERROR(IF('Raw data'!Y92&lt;&gt;"",IF(OR(UPPER(TRIM('Raw data'!Y92))=UPPER(TRIM('Real results'!C92)),UPPER(TRIM('Raw data'!Y92))=UPPER(TRIM('Real results'!C93)),UPPER(TRIM('Raw data'!Y92))=UPPER(TRIM('Real results'!C94))),1,0)+IF(UPPER(TRIM('Raw data'!Y92))=UPPER(TRIM('Real results'!C92)),2,0),0),0)</f>
        <v>0</v>
      </c>
      <c r="AA94" s="29">
        <f>IFERROR(IF('Raw data'!AA92&lt;&gt;"",IF(OR(UPPER(TRIM('Raw data'!AA92))=UPPER(TRIM('Real results'!C92)),UPPER(TRIM('Raw data'!AA92))=UPPER(TRIM('Real results'!C93)),UPPER(TRIM('Raw data'!AA92))=UPPER(TRIM('Real results'!C94))),1,0)+IF(UPPER(TRIM('Raw data'!AA92))=UPPER(TRIM('Real results'!C92)),2,0),0),0)</f>
        <v>0</v>
      </c>
      <c r="AC94" s="29">
        <f>IFERROR(IF('Raw data'!AC92&lt;&gt;"",IF(OR(UPPER(TRIM('Raw data'!AC92))=UPPER(TRIM('Real results'!C92)),UPPER(TRIM('Raw data'!AC92))=UPPER(TRIM('Real results'!C93)),UPPER(TRIM('Raw data'!AC92))=UPPER(TRIM('Real results'!C94))),1,0)+IF(UPPER(TRIM('Raw data'!AC92))=UPPER(TRIM('Real results'!C92)),2,0),0),0)</f>
        <v>0</v>
      </c>
      <c r="AE94" s="29">
        <f>IFERROR(IF('Raw data'!AE92&lt;&gt;"",IF(OR(UPPER(TRIM('Raw data'!AE92))=UPPER(TRIM('Real results'!C92)),UPPER(TRIM('Raw data'!AE92))=UPPER(TRIM('Real results'!C93)),UPPER(TRIM('Raw data'!AE92))=UPPER(TRIM('Real results'!C94))),1,0)+IF(UPPER(TRIM('Raw data'!AE92))=UPPER(TRIM('Real results'!C92)),2,0),0),0)</f>
        <v>0</v>
      </c>
      <c r="AG94" s="29">
        <f>IFERROR(IF('Raw data'!AG92&lt;&gt;"",IF(OR(UPPER(TRIM('Raw data'!AG92))=UPPER(TRIM('Real results'!C92)),UPPER(TRIM('Raw data'!AG92))=UPPER(TRIM('Real results'!C93)),UPPER(TRIM('Raw data'!AG92))=UPPER(TRIM('Real results'!C94))),1,0)+IF(UPPER(TRIM('Raw data'!AG92))=UPPER(TRIM('Real results'!C92)),2,0),0),0)</f>
        <v>0</v>
      </c>
      <c r="AI94" s="29">
        <f>IFERROR(IF('Raw data'!AI92&lt;&gt;"",IF(OR(UPPER(TRIM('Raw data'!AI92))=UPPER(TRIM('Real results'!C92)),UPPER(TRIM('Raw data'!AI92))=UPPER(TRIM('Real results'!C93)),UPPER(TRIM('Raw data'!AI92))=UPPER(TRIM('Real results'!C94))),1,0)+IF(UPPER(TRIM('Raw data'!AI92))=UPPER(TRIM('Real results'!C92)),2,0),0),0)</f>
        <v>0</v>
      </c>
      <c r="AK94" s="29">
        <f>IFERROR(IF('Raw data'!AK92&lt;&gt;"",IF(OR(UPPER(TRIM('Raw data'!AK92))=UPPER(TRIM('Real results'!C92)),UPPER(TRIM('Raw data'!AK92))=UPPER(TRIM('Real results'!C93)),UPPER(TRIM('Raw data'!AK92))=UPPER(TRIM('Real results'!C94))),1,0)+IF(UPPER(TRIM('Raw data'!AK92))=UPPER(TRIM('Real results'!C92)),2,0),0),0)</f>
        <v>0</v>
      </c>
      <c r="AM94" s="29">
        <f>IFERROR(IF('Raw data'!AM92&lt;&gt;"",IF(OR(UPPER(TRIM('Raw data'!AM92))=UPPER(TRIM('Real results'!C92)),UPPER(TRIM('Raw data'!AM92))=UPPER(TRIM('Real results'!C93)),UPPER(TRIM('Raw data'!AM92))=UPPER(TRIM('Real results'!C94))),1,0)+IF(UPPER(TRIM('Raw data'!AM92))=UPPER(TRIM('Real results'!C92)),2,0),0),0)</f>
        <v>0</v>
      </c>
      <c r="AO94" s="29">
        <f>IFERROR(IF('Raw data'!AO92&lt;&gt;"",IF(OR(UPPER(TRIM('Raw data'!AO92))=UPPER(TRIM('Real results'!C92)),UPPER(TRIM('Raw data'!AO92))=UPPER(TRIM('Real results'!C93)),UPPER(TRIM('Raw data'!AO92))=UPPER(TRIM('Real results'!C94))),1,0)+IF(UPPER(TRIM('Raw data'!AO92))=UPPER(TRIM('Real results'!C92)),2,0),0),0)</f>
        <v>0</v>
      </c>
      <c r="AQ94" s="29">
        <f>IFERROR(IF('Raw data'!AQ92&lt;&gt;"",IF(OR(UPPER(TRIM('Raw data'!AQ92))=UPPER(TRIM('Real results'!C92)),UPPER(TRIM('Raw data'!AQ92))=UPPER(TRIM('Real results'!C93)),UPPER(TRIM('Raw data'!AQ92))=UPPER(TRIM('Real results'!C94))),1,0)+IF(UPPER(TRIM('Raw data'!AQ92))=UPPER(TRIM('Real results'!C92)),2,0),0),0)</f>
        <v>0</v>
      </c>
      <c r="AS94" s="29">
        <f>IFERROR(IF('Raw data'!AS92&lt;&gt;"",IF(OR(UPPER(TRIM('Raw data'!AS92))=UPPER(TRIM('Real results'!C92)),UPPER(TRIM('Raw data'!AS92))=UPPER(TRIM('Real results'!C93)),UPPER(TRIM('Raw data'!AS92))=UPPER(TRIM('Real results'!C94))),1,0)+IF(UPPER(TRIM('Raw data'!AS92))=UPPER(TRIM('Real results'!C92)),2,0),0),0)</f>
        <v>0</v>
      </c>
      <c r="AU94" s="29">
        <f>IFERROR(IF('Raw data'!AU92&lt;&gt;"",IF(OR(UPPER(TRIM('Raw data'!AU92))=UPPER(TRIM('Real results'!C92)),UPPER(TRIM('Raw data'!AU92))=UPPER(TRIM('Real results'!C93)),UPPER(TRIM('Raw data'!AU92))=UPPER(TRIM('Real results'!C94))),1,0)+IF(UPPER(TRIM('Raw data'!AU92))=UPPER(TRIM('Real results'!C92)),2,0),0),0)</f>
        <v>0</v>
      </c>
      <c r="AW94" s="29">
        <f>IFERROR(IF('Raw data'!AW92&lt;&gt;"",IF(OR(UPPER(TRIM('Raw data'!AW92))=UPPER(TRIM('Real results'!C92)),UPPER(TRIM('Raw data'!AW92))=UPPER(TRIM('Real results'!C93)),UPPER(TRIM('Raw data'!AW92))=UPPER(TRIM('Real results'!C94))),1,0)+IF(UPPER(TRIM('Raw data'!AW92))=UPPER(TRIM('Real results'!C92)),2,0),0),0)</f>
        <v>0</v>
      </c>
      <c r="AY94" s="29">
        <f>IFERROR(IF('Raw data'!AY92&lt;&gt;"",IF(OR(UPPER(TRIM('Raw data'!AY92))=UPPER(TRIM('Real results'!C92)),UPPER(TRIM('Raw data'!AY92))=UPPER(TRIM('Real results'!C93)),UPPER(TRIM('Raw data'!AY92))=UPPER(TRIM('Real results'!C94))),1,0)+IF(UPPER(TRIM('Raw data'!AY92))=UPPER(TRIM('Real results'!C92)),2,0),0),0)</f>
        <v>0</v>
      </c>
      <c r="BA94" s="29">
        <f>IFERROR(IF('Raw data'!BA92&lt;&gt;"",IF(OR(UPPER(TRIM('Raw data'!BA92))=UPPER(TRIM('Real results'!C92)),UPPER(TRIM('Raw data'!BA92))=UPPER(TRIM('Real results'!C93)),UPPER(TRIM('Raw data'!BA92))=UPPER(TRIM('Real results'!C94))),1,0)+IF(UPPER(TRIM('Raw data'!BA92))=UPPER(TRIM('Real results'!C92)),2,0),0),0)</f>
        <v>0</v>
      </c>
      <c r="BC94" s="29">
        <f>IFERROR(IF('Raw data'!BC92&lt;&gt;"",IF(OR(UPPER(TRIM('Raw data'!BC92))=UPPER(TRIM('Real results'!C92)),UPPER(TRIM('Raw data'!BC92))=UPPER(TRIM('Real results'!C93)),UPPER(TRIM('Raw data'!BC92))=UPPER(TRIM('Real results'!C94))),1,0)+IF(UPPER(TRIM('Raw data'!BC92))=UPPER(TRIM('Real results'!C92)),2,0),0),0)</f>
        <v>0</v>
      </c>
      <c r="BE94" s="29">
        <f>IFERROR(IF('Raw data'!BE92&lt;&gt;"",IF(OR(UPPER(TRIM('Raw data'!BE92))=UPPER(TRIM('Real results'!C92)),UPPER(TRIM('Raw data'!BE92))=UPPER(TRIM('Real results'!C93)),UPPER(TRIM('Raw data'!BE92))=UPPER(TRIM('Real results'!C94))),1,0)+IF(UPPER(TRIM('Raw data'!BE92))=UPPER(TRIM('Real results'!C92)),2,0),0),0)</f>
        <v>0</v>
      </c>
      <c r="BG94" s="29">
        <f>IFERROR(IF('Raw data'!BG92&lt;&gt;"",IF(OR(UPPER(TRIM('Raw data'!BG92))=UPPER(TRIM('Real results'!C92)),UPPER(TRIM('Raw data'!BG92))=UPPER(TRIM('Real results'!C93)),UPPER(TRIM('Raw data'!BG92))=UPPER(TRIM('Real results'!C94))),1,0)+IF(UPPER(TRIM('Raw data'!BG92))=UPPER(TRIM('Real results'!C92)),2,0),0),0)</f>
        <v>0</v>
      </c>
      <c r="BI94" s="29">
        <f>IFERROR(IF('Raw data'!BI92&lt;&gt;"",IF(OR(UPPER(TRIM('Raw data'!BI92))=UPPER(TRIM('Real results'!C92)),UPPER(TRIM('Raw data'!BI92))=UPPER(TRIM('Real results'!C93)),UPPER(TRIM('Raw data'!BI92))=UPPER(TRIM('Real results'!C94))),1,0)+IF(UPPER(TRIM('Raw data'!BI92))=UPPER(TRIM('Real results'!C92)),2,0),0),0)</f>
        <v>0</v>
      </c>
    </row>
    <row r="95" ht="18.0" customHeight="1">
      <c r="A95" s="1"/>
      <c r="B95" s="13" t="s">
        <v>376</v>
      </c>
      <c r="C95" s="29">
        <f>IFERROR(IF('Raw data'!C93&lt;&gt;"",IF(OR(UPPER(TRIM('Raw data'!C93))=UPPER(TRIM('Real results'!C92)),UPPER(TRIM('Raw data'!C93))=UPPER(TRIM('Real results'!C93)),UPPER(TRIM('Raw data'!C93))=UPPER(TRIM('Real results'!C94))),1,0),0),0)</f>
        <v>0</v>
      </c>
      <c r="E95" s="29">
        <f>IFERROR(IF('Raw data'!E93&lt;&gt;"",IF(OR(UPPER(TRIM('Raw data'!E93))=UPPER(TRIM('Real results'!C92)),UPPER(TRIM('Raw data'!E93))=UPPER(TRIM('Real results'!C93)),UPPER(TRIM('Raw data'!E93))=UPPER(TRIM('Real results'!C94))),1,0),0),0)</f>
        <v>0</v>
      </c>
      <c r="G95" s="29">
        <f>IFERROR(IF('Raw data'!G93&lt;&gt;"",IF(OR(UPPER(TRIM('Raw data'!G93))=UPPER(TRIM('Real results'!C92)),UPPER(TRIM('Raw data'!G93))=UPPER(TRIM('Real results'!C93)),UPPER(TRIM('Raw data'!G93))=UPPER(TRIM('Real results'!C94))),1,0),0),0)</f>
        <v>0</v>
      </c>
      <c r="I95" s="29">
        <f>IFERROR(IF('Raw data'!I93&lt;&gt;"",IF(OR(UPPER(TRIM('Raw data'!I93))=UPPER(TRIM('Real results'!C92)),UPPER(TRIM('Raw data'!I93))=UPPER(TRIM('Real results'!C93)),UPPER(TRIM('Raw data'!I93))=UPPER(TRIM('Real results'!C94))),1,0),0),0)</f>
        <v>0</v>
      </c>
      <c r="K95" s="29">
        <f>IFERROR(IF('Raw data'!K93&lt;&gt;"",IF(OR(UPPER(TRIM('Raw data'!K93))=UPPER(TRIM('Real results'!C92)),UPPER(TRIM('Raw data'!K93))=UPPER(TRIM('Real results'!C93)),UPPER(TRIM('Raw data'!K93))=UPPER(TRIM('Real results'!C94))),1,0),0),0)</f>
        <v>0</v>
      </c>
      <c r="M95" s="29">
        <f>IFERROR(IF('Raw data'!M93&lt;&gt;"",IF(OR(UPPER(TRIM('Raw data'!M93))=UPPER(TRIM('Real results'!C92)),UPPER(TRIM('Raw data'!M93))=UPPER(TRIM('Real results'!C93)),UPPER(TRIM('Raw data'!M93))=UPPER(TRIM('Real results'!C94))),1,0),0),0)</f>
        <v>0</v>
      </c>
      <c r="O95" s="29">
        <f>IFERROR(IF('Raw data'!O93&lt;&gt;"",IF(OR(UPPER(TRIM('Raw data'!O93))=UPPER(TRIM('Real results'!C92)),UPPER(TRIM('Raw data'!O93))=UPPER(TRIM('Real results'!C93)),UPPER(TRIM('Raw data'!O93))=UPPER(TRIM('Real results'!C94))),1,0),0),0)</f>
        <v>0</v>
      </c>
      <c r="Q95" s="29">
        <f>IFERROR(IF('Raw data'!Q93&lt;&gt;"",IF(OR(UPPER(TRIM('Raw data'!Q93))=UPPER(TRIM('Real results'!C92)),UPPER(TRIM('Raw data'!Q93))=UPPER(TRIM('Real results'!C93)),UPPER(TRIM('Raw data'!Q93))=UPPER(TRIM('Real results'!C94))),1,0),0),0)</f>
        <v>0</v>
      </c>
      <c r="S95" s="29">
        <f>IFERROR(IF('Raw data'!S93&lt;&gt;"",IF(OR(UPPER(TRIM('Raw data'!S93))=UPPER(TRIM('Real results'!C92)),UPPER(TRIM('Raw data'!S93))=UPPER(TRIM('Real results'!C93)),UPPER(TRIM('Raw data'!S93))=UPPER(TRIM('Real results'!C94))),1,0),0),0)</f>
        <v>0</v>
      </c>
      <c r="U95" s="29">
        <f>IFERROR(IF('Raw data'!U93&lt;&gt;"",IF(OR(UPPER(TRIM('Raw data'!U93))=UPPER(TRIM('Real results'!C92)),UPPER(TRIM('Raw data'!U93))=UPPER(TRIM('Real results'!C93)),UPPER(TRIM('Raw data'!U93))=UPPER(TRIM('Real results'!C94))),1,0),0),0)</f>
        <v>0</v>
      </c>
      <c r="W95" s="29">
        <f>IFERROR(IF('Raw data'!W93&lt;&gt;"",IF(OR(UPPER(TRIM('Raw data'!W93))=UPPER(TRIM('Real results'!C92)),UPPER(TRIM('Raw data'!W93))=UPPER(TRIM('Real results'!C93)),UPPER(TRIM('Raw data'!W93))=UPPER(TRIM('Real results'!C94))),1,0),0),0)</f>
        <v>0</v>
      </c>
      <c r="Y95" s="29">
        <f>IFERROR(IF('Raw data'!Y93&lt;&gt;"",IF(OR(UPPER(TRIM('Raw data'!Y93))=UPPER(TRIM('Real results'!C92)),UPPER(TRIM('Raw data'!Y93))=UPPER(TRIM('Real results'!C93)),UPPER(TRIM('Raw data'!Y93))=UPPER(TRIM('Real results'!C94))),1,0),0),0)</f>
        <v>0</v>
      </c>
      <c r="AA95" s="29">
        <f>IFERROR(IF('Raw data'!AA93&lt;&gt;"",IF(OR(UPPER(TRIM('Raw data'!AA93))=UPPER(TRIM('Real results'!C92)),UPPER(TRIM('Raw data'!AA93))=UPPER(TRIM('Real results'!C93)),UPPER(TRIM('Raw data'!AA93))=UPPER(TRIM('Real results'!C94))),1,0),0),0)</f>
        <v>0</v>
      </c>
      <c r="AC95" s="29">
        <f>IFERROR(IF('Raw data'!AC93&lt;&gt;"",IF(OR(UPPER(TRIM('Raw data'!AC93))=UPPER(TRIM('Real results'!C92)),UPPER(TRIM('Raw data'!AC93))=UPPER(TRIM('Real results'!C93)),UPPER(TRIM('Raw data'!AC93))=UPPER(TRIM('Real results'!C94))),1,0),0),0)</f>
        <v>0</v>
      </c>
      <c r="AE95" s="29">
        <f>IFERROR(IF('Raw data'!AE93&lt;&gt;"",IF(OR(UPPER(TRIM('Raw data'!AE93))=UPPER(TRIM('Real results'!C92)),UPPER(TRIM('Raw data'!AE93))=UPPER(TRIM('Real results'!C93)),UPPER(TRIM('Raw data'!AE93))=UPPER(TRIM('Real results'!C94))),1,0),0),0)</f>
        <v>0</v>
      </c>
      <c r="AG95" s="29">
        <f>IFERROR(IF('Raw data'!AG93&lt;&gt;"",IF(OR(UPPER(TRIM('Raw data'!AG93))=UPPER(TRIM('Real results'!C92)),UPPER(TRIM('Raw data'!AG93))=UPPER(TRIM('Real results'!C93)),UPPER(TRIM('Raw data'!AG93))=UPPER(TRIM('Real results'!C94))),1,0),0),0)</f>
        <v>0</v>
      </c>
      <c r="AI95" s="29">
        <f>IFERROR(IF('Raw data'!AI93&lt;&gt;"",IF(OR(UPPER(TRIM('Raw data'!AI93))=UPPER(TRIM('Real results'!C92)),UPPER(TRIM('Raw data'!AI93))=UPPER(TRIM('Real results'!C93)),UPPER(TRIM('Raw data'!AI93))=UPPER(TRIM('Real results'!C94))),1,0),0),0)</f>
        <v>0</v>
      </c>
      <c r="AK95" s="29">
        <f>IFERROR(IF('Raw data'!AK93&lt;&gt;"",IF(OR(UPPER(TRIM('Raw data'!AK93))=UPPER(TRIM('Real results'!C92)),UPPER(TRIM('Raw data'!AK93))=UPPER(TRIM('Real results'!C93)),UPPER(TRIM('Raw data'!AK93))=UPPER(TRIM('Real results'!C94))),1,0),0),0)</f>
        <v>0</v>
      </c>
      <c r="AM95" s="29">
        <f>IFERROR(IF('Raw data'!AM93&lt;&gt;"",IF(OR(UPPER(TRIM('Raw data'!AM93))=UPPER(TRIM('Real results'!C92)),UPPER(TRIM('Raw data'!AM93))=UPPER(TRIM('Real results'!C93)),UPPER(TRIM('Raw data'!AM93))=UPPER(TRIM('Real results'!C94))),1,0),0),0)</f>
        <v>0</v>
      </c>
      <c r="AO95" s="29">
        <f>IFERROR(IF('Raw data'!AO93&lt;&gt;"",IF(OR(UPPER(TRIM('Raw data'!AO93))=UPPER(TRIM('Real results'!C92)),UPPER(TRIM('Raw data'!AO93))=UPPER(TRIM('Real results'!C93)),UPPER(TRIM('Raw data'!AO93))=UPPER(TRIM('Real results'!C94))),1,0),0),0)</f>
        <v>0</v>
      </c>
      <c r="AQ95" s="29">
        <f>IFERROR(IF('Raw data'!AQ93&lt;&gt;"",IF(OR(UPPER(TRIM('Raw data'!AQ93))=UPPER(TRIM('Real results'!C92)),UPPER(TRIM('Raw data'!AQ93))=UPPER(TRIM('Real results'!C93)),UPPER(TRIM('Raw data'!AQ93))=UPPER(TRIM('Real results'!C94))),1,0),0),0)</f>
        <v>0</v>
      </c>
      <c r="AS95" s="29">
        <f>IFERROR(IF('Raw data'!AS93&lt;&gt;"",IF(OR(UPPER(TRIM('Raw data'!AS93))=UPPER(TRIM('Real results'!C92)),UPPER(TRIM('Raw data'!AS93))=UPPER(TRIM('Real results'!C93)),UPPER(TRIM('Raw data'!AS93))=UPPER(TRIM('Real results'!C94))),1,0),0),0)</f>
        <v>0</v>
      </c>
      <c r="AU95" s="29">
        <f>IFERROR(IF('Raw data'!AU93&lt;&gt;"",IF(OR(UPPER(TRIM('Raw data'!AU93))=UPPER(TRIM('Real results'!C92)),UPPER(TRIM('Raw data'!AU93))=UPPER(TRIM('Real results'!C93)),UPPER(TRIM('Raw data'!AU93))=UPPER(TRIM('Real results'!C94))),1,0),0),0)</f>
        <v>0</v>
      </c>
      <c r="AW95" s="29">
        <f>IFERROR(IF('Raw data'!AW93&lt;&gt;"",IF(OR(UPPER(TRIM('Raw data'!AW93))=UPPER(TRIM('Real results'!C92)),UPPER(TRIM('Raw data'!AW93))=UPPER(TRIM('Real results'!C93)),UPPER(TRIM('Raw data'!AW93))=UPPER(TRIM('Real results'!C94))),1,0),0),0)</f>
        <v>0</v>
      </c>
      <c r="AY95" s="29">
        <f>IFERROR(IF('Raw data'!AY93&lt;&gt;"",IF(OR(UPPER(TRIM('Raw data'!AY93))=UPPER(TRIM('Real results'!C92)),UPPER(TRIM('Raw data'!AY93))=UPPER(TRIM('Real results'!C93)),UPPER(TRIM('Raw data'!AY93))=UPPER(TRIM('Real results'!C94))),1,0),0),0)</f>
        <v>0</v>
      </c>
      <c r="BA95" s="29">
        <f>IFERROR(IF('Raw data'!BA93&lt;&gt;"",IF(OR(UPPER(TRIM('Raw data'!BA93))=UPPER(TRIM('Real results'!C92)),UPPER(TRIM('Raw data'!BA93))=UPPER(TRIM('Real results'!C93)),UPPER(TRIM('Raw data'!BA93))=UPPER(TRIM('Real results'!C94))),1,0),0),0)</f>
        <v>0</v>
      </c>
      <c r="BC95" s="29">
        <f>IFERROR(IF('Raw data'!BC93&lt;&gt;"",IF(OR(UPPER(TRIM('Raw data'!BC93))=UPPER(TRIM('Real results'!C92)),UPPER(TRIM('Raw data'!BC93))=UPPER(TRIM('Real results'!C93)),UPPER(TRIM('Raw data'!BC93))=UPPER(TRIM('Real results'!C94))),1,0),0),0)</f>
        <v>0</v>
      </c>
      <c r="BE95" s="29">
        <f>IFERROR(IF('Raw data'!BE93&lt;&gt;"",IF(OR(UPPER(TRIM('Raw data'!BE93))=UPPER(TRIM('Real results'!C92)),UPPER(TRIM('Raw data'!BE93))=UPPER(TRIM('Real results'!C93)),UPPER(TRIM('Raw data'!BE93))=UPPER(TRIM('Real results'!C94))),1,0),0),0)</f>
        <v>0</v>
      </c>
      <c r="BG95" s="29">
        <f>IFERROR(IF('Raw data'!BG93&lt;&gt;"",IF(OR(UPPER(TRIM('Raw data'!BG93))=UPPER(TRIM('Real results'!C92)),UPPER(TRIM('Raw data'!BG93))=UPPER(TRIM('Real results'!C93)),UPPER(TRIM('Raw data'!BG93))=UPPER(TRIM('Real results'!C94))),1,0),0),0)</f>
        <v>0</v>
      </c>
      <c r="BI95" s="29">
        <f>IFERROR(IF('Raw data'!BI93&lt;&gt;"",IF(OR(UPPER(TRIM('Raw data'!BI93))=UPPER(TRIM('Real results'!C92)),UPPER(TRIM('Raw data'!BI93))=UPPER(TRIM('Real results'!C93)),UPPER(TRIM('Raw data'!BI93))=UPPER(TRIM('Real results'!C94))),1,0),0),0)</f>
        <v>0</v>
      </c>
    </row>
    <row r="96" ht="18.0" customHeight="1">
      <c r="A96" s="1"/>
      <c r="B96" s="13" t="s">
        <v>377</v>
      </c>
      <c r="C96" s="29">
        <f>IFERROR(IF('Raw data'!C94&lt;&gt;"",IF(OR(UPPER(TRIM('Raw data'!C94))=UPPER(TRIM('Real results'!C92)),UPPER(TRIM('Raw data'!C94))=UPPER(TRIM('Real results'!C93)),UPPER(TRIM('Raw data'!C94))=UPPER(TRIM('Real results'!C94))),1,0),0),0)</f>
        <v>0</v>
      </c>
      <c r="E96" s="29">
        <f>IFERROR(IF('Raw data'!E94&lt;&gt;"",IF(OR(UPPER(TRIM('Raw data'!E94))=UPPER(TRIM('Real results'!C92)),UPPER(TRIM('Raw data'!E94))=UPPER(TRIM('Real results'!C93)),UPPER(TRIM('Raw data'!E94))=UPPER(TRIM('Real results'!C94))),1,0),0),0)</f>
        <v>0</v>
      </c>
      <c r="G96" s="29">
        <f>IFERROR(IF('Raw data'!G94&lt;&gt;"",IF(OR(UPPER(TRIM('Raw data'!G94))=UPPER(TRIM('Real results'!C92)),UPPER(TRIM('Raw data'!G94))=UPPER(TRIM('Real results'!C93)),UPPER(TRIM('Raw data'!G94))=UPPER(TRIM('Real results'!C94))),1,0),0),0)</f>
        <v>0</v>
      </c>
      <c r="I96" s="29">
        <f>IFERROR(IF('Raw data'!I94&lt;&gt;"",IF(OR(UPPER(TRIM('Raw data'!I94))=UPPER(TRIM('Real results'!C92)),UPPER(TRIM('Raw data'!I94))=UPPER(TRIM('Real results'!C93)),UPPER(TRIM('Raw data'!I94))=UPPER(TRIM('Real results'!C94))),1,0),0),0)</f>
        <v>0</v>
      </c>
      <c r="K96" s="29">
        <f>IFERROR(IF('Raw data'!K94&lt;&gt;"",IF(OR(UPPER(TRIM('Raw data'!K94))=UPPER(TRIM('Real results'!C92)),UPPER(TRIM('Raw data'!K94))=UPPER(TRIM('Real results'!C93)),UPPER(TRIM('Raw data'!K94))=UPPER(TRIM('Real results'!C94))),1,0),0),0)</f>
        <v>0</v>
      </c>
      <c r="M96" s="29">
        <f>IFERROR(IF('Raw data'!M94&lt;&gt;"",IF(OR(UPPER(TRIM('Raw data'!M94))=UPPER(TRIM('Real results'!C92)),UPPER(TRIM('Raw data'!M94))=UPPER(TRIM('Real results'!C93)),UPPER(TRIM('Raw data'!M94))=UPPER(TRIM('Real results'!C94))),1,0),0),0)</f>
        <v>0</v>
      </c>
      <c r="O96" s="29">
        <f>IFERROR(IF('Raw data'!O94&lt;&gt;"",IF(OR(UPPER(TRIM('Raw data'!O94))=UPPER(TRIM('Real results'!C92)),UPPER(TRIM('Raw data'!O94))=UPPER(TRIM('Real results'!C93)),UPPER(TRIM('Raw data'!O94))=UPPER(TRIM('Real results'!C94))),1,0),0),0)</f>
        <v>0</v>
      </c>
      <c r="Q96" s="29">
        <f>IFERROR(IF('Raw data'!Q94&lt;&gt;"",IF(OR(UPPER(TRIM('Raw data'!Q94))=UPPER(TRIM('Real results'!C92)),UPPER(TRIM('Raw data'!Q94))=UPPER(TRIM('Real results'!C93)),UPPER(TRIM('Raw data'!Q94))=UPPER(TRIM('Real results'!C94))),1,0),0),0)</f>
        <v>0</v>
      </c>
      <c r="S96" s="29">
        <f>IFERROR(IF('Raw data'!S94&lt;&gt;"",IF(OR(UPPER(TRIM('Raw data'!S94))=UPPER(TRIM('Real results'!C92)),UPPER(TRIM('Raw data'!S94))=UPPER(TRIM('Real results'!C93)),UPPER(TRIM('Raw data'!S94))=UPPER(TRIM('Real results'!C94))),1,0),0),0)</f>
        <v>0</v>
      </c>
      <c r="U96" s="29">
        <f>IFERROR(IF('Raw data'!U94&lt;&gt;"",IF(OR(UPPER(TRIM('Raw data'!U94))=UPPER(TRIM('Real results'!C92)),UPPER(TRIM('Raw data'!U94))=UPPER(TRIM('Real results'!C93)),UPPER(TRIM('Raw data'!U94))=UPPER(TRIM('Real results'!C94))),1,0),0),0)</f>
        <v>0</v>
      </c>
      <c r="W96" s="29">
        <f>IFERROR(IF('Raw data'!W94&lt;&gt;"",IF(OR(UPPER(TRIM('Raw data'!W94))=UPPER(TRIM('Real results'!C92)),UPPER(TRIM('Raw data'!W94))=UPPER(TRIM('Real results'!C93)),UPPER(TRIM('Raw data'!W94))=UPPER(TRIM('Real results'!C94))),1,0),0),0)</f>
        <v>0</v>
      </c>
      <c r="Y96" s="29">
        <f>IFERROR(IF('Raw data'!Y94&lt;&gt;"",IF(OR(UPPER(TRIM('Raw data'!Y94))=UPPER(TRIM('Real results'!C92)),UPPER(TRIM('Raw data'!Y94))=UPPER(TRIM('Real results'!C93)),UPPER(TRIM('Raw data'!Y94))=UPPER(TRIM('Real results'!C94))),1,0),0),0)</f>
        <v>0</v>
      </c>
      <c r="AA96" s="29">
        <f>IFERROR(IF('Raw data'!AA94&lt;&gt;"",IF(OR(UPPER(TRIM('Raw data'!AA94))=UPPER(TRIM('Real results'!C92)),UPPER(TRIM('Raw data'!AA94))=UPPER(TRIM('Real results'!C93)),UPPER(TRIM('Raw data'!AA94))=UPPER(TRIM('Real results'!C94))),1,0),0),0)</f>
        <v>0</v>
      </c>
      <c r="AC96" s="29">
        <f>IFERROR(IF('Raw data'!AC94&lt;&gt;"",IF(OR(UPPER(TRIM('Raw data'!AC94))=UPPER(TRIM('Real results'!C92)),UPPER(TRIM('Raw data'!AC94))=UPPER(TRIM('Real results'!C93)),UPPER(TRIM('Raw data'!AC94))=UPPER(TRIM('Real results'!C94))),1,0),0),0)</f>
        <v>0</v>
      </c>
      <c r="AE96" s="29">
        <f>IFERROR(IF('Raw data'!AE94&lt;&gt;"",IF(OR(UPPER(TRIM('Raw data'!AE94))=UPPER(TRIM('Real results'!C92)),UPPER(TRIM('Raw data'!AE94))=UPPER(TRIM('Real results'!C93)),UPPER(TRIM('Raw data'!AE94))=UPPER(TRIM('Real results'!C94))),1,0),0),0)</f>
        <v>0</v>
      </c>
      <c r="AG96" s="29">
        <f>IFERROR(IF('Raw data'!AG94&lt;&gt;"",IF(OR(UPPER(TRIM('Raw data'!AG94))=UPPER(TRIM('Real results'!C92)),UPPER(TRIM('Raw data'!AG94))=UPPER(TRIM('Real results'!C93)),UPPER(TRIM('Raw data'!AG94))=UPPER(TRIM('Real results'!C94))),1,0),0),0)</f>
        <v>0</v>
      </c>
      <c r="AI96" s="29">
        <f>IFERROR(IF('Raw data'!AI94&lt;&gt;"",IF(OR(UPPER(TRIM('Raw data'!AI94))=UPPER(TRIM('Real results'!C92)),UPPER(TRIM('Raw data'!AI94))=UPPER(TRIM('Real results'!C93)),UPPER(TRIM('Raw data'!AI94))=UPPER(TRIM('Real results'!C94))),1,0),0),0)</f>
        <v>0</v>
      </c>
      <c r="AK96" s="29">
        <f>IFERROR(IF('Raw data'!AK94&lt;&gt;"",IF(OR(UPPER(TRIM('Raw data'!AK94))=UPPER(TRIM('Real results'!C92)),UPPER(TRIM('Raw data'!AK94))=UPPER(TRIM('Real results'!C93)),UPPER(TRIM('Raw data'!AK94))=UPPER(TRIM('Real results'!C94))),1,0),0),0)</f>
        <v>0</v>
      </c>
      <c r="AM96" s="29">
        <f>IFERROR(IF('Raw data'!AM94&lt;&gt;"",IF(OR(UPPER(TRIM('Raw data'!AM94))=UPPER(TRIM('Real results'!C92)),UPPER(TRIM('Raw data'!AM94))=UPPER(TRIM('Real results'!C93)),UPPER(TRIM('Raw data'!AM94))=UPPER(TRIM('Real results'!C94))),1,0),0),0)</f>
        <v>0</v>
      </c>
      <c r="AO96" s="29">
        <f>IFERROR(IF('Raw data'!AO94&lt;&gt;"",IF(OR(UPPER(TRIM('Raw data'!AO94))=UPPER(TRIM('Real results'!C92)),UPPER(TRIM('Raw data'!AO94))=UPPER(TRIM('Real results'!C93)),UPPER(TRIM('Raw data'!AO94))=UPPER(TRIM('Real results'!C94))),1,0),0),0)</f>
        <v>0</v>
      </c>
      <c r="AQ96" s="29">
        <f>IFERROR(IF('Raw data'!AQ94&lt;&gt;"",IF(OR(UPPER(TRIM('Raw data'!AQ94))=UPPER(TRIM('Real results'!C92)),UPPER(TRIM('Raw data'!AQ94))=UPPER(TRIM('Real results'!C93)),UPPER(TRIM('Raw data'!AQ94))=UPPER(TRIM('Real results'!C94))),1,0),0),0)</f>
        <v>0</v>
      </c>
      <c r="AS96" s="29">
        <f>IFERROR(IF('Raw data'!AS94&lt;&gt;"",IF(OR(UPPER(TRIM('Raw data'!AS94))=UPPER(TRIM('Real results'!C92)),UPPER(TRIM('Raw data'!AS94))=UPPER(TRIM('Real results'!C93)),UPPER(TRIM('Raw data'!AS94))=UPPER(TRIM('Real results'!C94))),1,0),0),0)</f>
        <v>0</v>
      </c>
      <c r="AU96" s="29">
        <f>IFERROR(IF('Raw data'!AU94&lt;&gt;"",IF(OR(UPPER(TRIM('Raw data'!AU94))=UPPER(TRIM('Real results'!C92)),UPPER(TRIM('Raw data'!AU94))=UPPER(TRIM('Real results'!C93)),UPPER(TRIM('Raw data'!AU94))=UPPER(TRIM('Real results'!C94))),1,0),0),0)</f>
        <v>0</v>
      </c>
      <c r="AW96" s="29">
        <f>IFERROR(IF('Raw data'!AW94&lt;&gt;"",IF(OR(UPPER(TRIM('Raw data'!AW94))=UPPER(TRIM('Real results'!C92)),UPPER(TRIM('Raw data'!AW94))=UPPER(TRIM('Real results'!C93)),UPPER(TRIM('Raw data'!AW94))=UPPER(TRIM('Real results'!C94))),1,0),0),0)</f>
        <v>0</v>
      </c>
      <c r="AY96" s="29">
        <f>IFERROR(IF('Raw data'!AY94&lt;&gt;"",IF(OR(UPPER(TRIM('Raw data'!AY94))=UPPER(TRIM('Real results'!C92)),UPPER(TRIM('Raw data'!AY94))=UPPER(TRIM('Real results'!C93)),UPPER(TRIM('Raw data'!AY94))=UPPER(TRIM('Real results'!C94))),1,0),0),0)</f>
        <v>0</v>
      </c>
      <c r="BA96" s="29">
        <f>IFERROR(IF('Raw data'!BA94&lt;&gt;"",IF(OR(UPPER(TRIM('Raw data'!BA94))=UPPER(TRIM('Real results'!C92)),UPPER(TRIM('Raw data'!BA94))=UPPER(TRIM('Real results'!C93)),UPPER(TRIM('Raw data'!BA94))=UPPER(TRIM('Real results'!C94))),1,0),0),0)</f>
        <v>0</v>
      </c>
      <c r="BC96" s="29">
        <f>IFERROR(IF('Raw data'!BC94&lt;&gt;"",IF(OR(UPPER(TRIM('Raw data'!BC94))=UPPER(TRIM('Real results'!C92)),UPPER(TRIM('Raw data'!BC94))=UPPER(TRIM('Real results'!C93)),UPPER(TRIM('Raw data'!BC94))=UPPER(TRIM('Real results'!C94))),1,0),0),0)</f>
        <v>0</v>
      </c>
      <c r="BE96" s="29">
        <f>IFERROR(IF('Raw data'!BE94&lt;&gt;"",IF(OR(UPPER(TRIM('Raw data'!BE94))=UPPER(TRIM('Real results'!C92)),UPPER(TRIM('Raw data'!BE94))=UPPER(TRIM('Real results'!C93)),UPPER(TRIM('Raw data'!BE94))=UPPER(TRIM('Real results'!C94))),1,0),0),0)</f>
        <v>0</v>
      </c>
      <c r="BG96" s="29">
        <f>IFERROR(IF('Raw data'!BG94&lt;&gt;"",IF(OR(UPPER(TRIM('Raw data'!BG94))=UPPER(TRIM('Real results'!C92)),UPPER(TRIM('Raw data'!BG94))=UPPER(TRIM('Real results'!C93)),UPPER(TRIM('Raw data'!BG94))=UPPER(TRIM('Real results'!C94))),1,0),0),0)</f>
        <v>0</v>
      </c>
      <c r="BI96" s="29">
        <f>IFERROR(IF('Raw data'!BI94&lt;&gt;"",IF(OR(UPPER(TRIM('Raw data'!BI94))=UPPER(TRIM('Real results'!C92)),UPPER(TRIM('Raw data'!BI94))=UPPER(TRIM('Real results'!C93)),UPPER(TRIM('Raw data'!BI94))=UPPER(TRIM('Real results'!C94))),1,0),0),0)</f>
        <v>0</v>
      </c>
    </row>
    <row r="97" ht="18.0" customHeight="1">
      <c r="A97" s="1"/>
      <c r="B97" s="13" t="s">
        <v>378</v>
      </c>
      <c r="C97" s="29">
        <f>IFERROR(IF('Raw data'!C95&lt;&gt;"",IF(OR(UPPER(TRIM('Raw data'!C95))=UPPER(TRIM('Real results'!C95)),UPPER(TRIM('Raw data'!C95))=UPPER(TRIM('Real results'!C96)),UPPER(TRIM('Raw data'!C95))=UPPER(TRIM('Real results'!C97))),1,0)+IF(UPPER(TRIM('Raw data'!C95))=UPPER(TRIM('Real results'!C95)),2,0),0),0)</f>
        <v>0</v>
      </c>
      <c r="E97" s="29">
        <f>IFERROR(IF('Raw data'!E95&lt;&gt;"",IF(OR(UPPER(TRIM('Raw data'!E95))=UPPER(TRIM('Real results'!C95)),UPPER(TRIM('Raw data'!E95))=UPPER(TRIM('Real results'!C96)),UPPER(TRIM('Raw data'!E95))=UPPER(TRIM('Real results'!C97))),1,0)+IF(UPPER(TRIM('Raw data'!E95))=UPPER(TRIM('Real results'!C95)),2,0),0),0)</f>
        <v>0</v>
      </c>
      <c r="G97" s="29">
        <f>IFERROR(IF('Raw data'!G95&lt;&gt;"",IF(OR(UPPER(TRIM('Raw data'!G95))=UPPER(TRIM('Real results'!C95)),UPPER(TRIM('Raw data'!G95))=UPPER(TRIM('Real results'!C96)),UPPER(TRIM('Raw data'!G95))=UPPER(TRIM('Real results'!C97))),1,0)+IF(UPPER(TRIM('Raw data'!G95))=UPPER(TRIM('Real results'!C95)),2,0),0),0)</f>
        <v>0</v>
      </c>
      <c r="I97" s="29">
        <f>IFERROR(IF('Raw data'!I95&lt;&gt;"",IF(OR(UPPER(TRIM('Raw data'!I95))=UPPER(TRIM('Real results'!C95)),UPPER(TRIM('Raw data'!I95))=UPPER(TRIM('Real results'!C96)),UPPER(TRIM('Raw data'!I95))=UPPER(TRIM('Real results'!C97))),1,0)+IF(UPPER(TRIM('Raw data'!I95))=UPPER(TRIM('Real results'!C95)),2,0),0),0)</f>
        <v>0</v>
      </c>
      <c r="K97" s="29">
        <f>IFERROR(IF('Raw data'!K95&lt;&gt;"",IF(OR(UPPER(TRIM('Raw data'!K95))=UPPER(TRIM('Real results'!C95)),UPPER(TRIM('Raw data'!K95))=UPPER(TRIM('Real results'!C96)),UPPER(TRIM('Raw data'!K95))=UPPER(TRIM('Real results'!C97))),1,0)+IF(UPPER(TRIM('Raw data'!K95))=UPPER(TRIM('Real results'!C95)),2,0),0),0)</f>
        <v>0</v>
      </c>
      <c r="M97" s="29">
        <f>IFERROR(IF('Raw data'!M95&lt;&gt;"",IF(OR(UPPER(TRIM('Raw data'!M95))=UPPER(TRIM('Real results'!C95)),UPPER(TRIM('Raw data'!M95))=UPPER(TRIM('Real results'!C96)),UPPER(TRIM('Raw data'!M95))=UPPER(TRIM('Real results'!C97))),1,0)+IF(UPPER(TRIM('Raw data'!M95))=UPPER(TRIM('Real results'!C95)),2,0),0),0)</f>
        <v>0</v>
      </c>
      <c r="O97" s="29">
        <f>IFERROR(IF('Raw data'!O95&lt;&gt;"",IF(OR(UPPER(TRIM('Raw data'!O95))=UPPER(TRIM('Real results'!C95)),UPPER(TRIM('Raw data'!O95))=UPPER(TRIM('Real results'!C96)),UPPER(TRIM('Raw data'!O95))=UPPER(TRIM('Real results'!C97))),1,0)+IF(UPPER(TRIM('Raw data'!O95))=UPPER(TRIM('Real results'!C95)),2,0),0),0)</f>
        <v>0</v>
      </c>
      <c r="Q97" s="29">
        <f>IFERROR(IF('Raw data'!Q95&lt;&gt;"",IF(OR(UPPER(TRIM('Raw data'!Q95))=UPPER(TRIM('Real results'!C95)),UPPER(TRIM('Raw data'!Q95))=UPPER(TRIM('Real results'!C96)),UPPER(TRIM('Raw data'!Q95))=UPPER(TRIM('Real results'!C97))),1,0)+IF(UPPER(TRIM('Raw data'!Q95))=UPPER(TRIM('Real results'!C95)),2,0),0),0)</f>
        <v>0</v>
      </c>
      <c r="S97" s="29">
        <f>IFERROR(IF('Raw data'!S95&lt;&gt;"",IF(OR(UPPER(TRIM('Raw data'!S95))=UPPER(TRIM('Real results'!C95)),UPPER(TRIM('Raw data'!S95))=UPPER(TRIM('Real results'!C96)),UPPER(TRIM('Raw data'!S95))=UPPER(TRIM('Real results'!C97))),1,0)+IF(UPPER(TRIM('Raw data'!S95))=UPPER(TRIM('Real results'!C95)),2,0),0),0)</f>
        <v>0</v>
      </c>
      <c r="U97" s="29">
        <f>IFERROR(IF('Raw data'!U95&lt;&gt;"",IF(OR(UPPER(TRIM('Raw data'!U95))=UPPER(TRIM('Real results'!C95)),UPPER(TRIM('Raw data'!U95))=UPPER(TRIM('Real results'!C96)),UPPER(TRIM('Raw data'!U95))=UPPER(TRIM('Real results'!C97))),1,0)+IF(UPPER(TRIM('Raw data'!U95))=UPPER(TRIM('Real results'!C95)),2,0),0),0)</f>
        <v>0</v>
      </c>
      <c r="W97" s="29">
        <f>IFERROR(IF('Raw data'!W95&lt;&gt;"",IF(OR(UPPER(TRIM('Raw data'!W95))=UPPER(TRIM('Real results'!C95)),UPPER(TRIM('Raw data'!W95))=UPPER(TRIM('Real results'!C96)),UPPER(TRIM('Raw data'!W95))=UPPER(TRIM('Real results'!C97))),1,0)+IF(UPPER(TRIM('Raw data'!W95))=UPPER(TRIM('Real results'!C95)),2,0),0),0)</f>
        <v>0</v>
      </c>
      <c r="Y97" s="29">
        <f>IFERROR(IF('Raw data'!Y95&lt;&gt;"",IF(OR(UPPER(TRIM('Raw data'!Y95))=UPPER(TRIM('Real results'!C95)),UPPER(TRIM('Raw data'!Y95))=UPPER(TRIM('Real results'!C96)),UPPER(TRIM('Raw data'!Y95))=UPPER(TRIM('Real results'!C97))),1,0)+IF(UPPER(TRIM('Raw data'!Y95))=UPPER(TRIM('Real results'!C95)),2,0),0),0)</f>
        <v>0</v>
      </c>
      <c r="AA97" s="29">
        <f>IFERROR(IF('Raw data'!AA95&lt;&gt;"",IF(OR(UPPER(TRIM('Raw data'!AA95))=UPPER(TRIM('Real results'!C95)),UPPER(TRIM('Raw data'!AA95))=UPPER(TRIM('Real results'!C96)),UPPER(TRIM('Raw data'!AA95))=UPPER(TRIM('Real results'!C97))),1,0)+IF(UPPER(TRIM('Raw data'!AA95))=UPPER(TRIM('Real results'!C95)),2,0),0),0)</f>
        <v>0</v>
      </c>
      <c r="AC97" s="29">
        <f>IFERROR(IF('Raw data'!AC95&lt;&gt;"",IF(OR(UPPER(TRIM('Raw data'!AC95))=UPPER(TRIM('Real results'!C95)),UPPER(TRIM('Raw data'!AC95))=UPPER(TRIM('Real results'!C96)),UPPER(TRIM('Raw data'!AC95))=UPPER(TRIM('Real results'!C97))),1,0)+IF(UPPER(TRIM('Raw data'!AC95))=UPPER(TRIM('Real results'!C95)),2,0),0),0)</f>
        <v>0</v>
      </c>
      <c r="AE97" s="29">
        <f>IFERROR(IF('Raw data'!AE95&lt;&gt;"",IF(OR(UPPER(TRIM('Raw data'!AE95))=UPPER(TRIM('Real results'!C95)),UPPER(TRIM('Raw data'!AE95))=UPPER(TRIM('Real results'!C96)),UPPER(TRIM('Raw data'!AE95))=UPPER(TRIM('Real results'!C97))),1,0)+IF(UPPER(TRIM('Raw data'!AE95))=UPPER(TRIM('Real results'!C95)),2,0),0),0)</f>
        <v>0</v>
      </c>
      <c r="AG97" s="29">
        <f>IFERROR(IF('Raw data'!AG95&lt;&gt;"",IF(OR(UPPER(TRIM('Raw data'!AG95))=UPPER(TRIM('Real results'!C95)),UPPER(TRIM('Raw data'!AG95))=UPPER(TRIM('Real results'!C96)),UPPER(TRIM('Raw data'!AG95))=UPPER(TRIM('Real results'!C97))),1,0)+IF(UPPER(TRIM('Raw data'!AG95))=UPPER(TRIM('Real results'!C95)),2,0),0),0)</f>
        <v>0</v>
      </c>
      <c r="AI97" s="29">
        <f>IFERROR(IF('Raw data'!AI95&lt;&gt;"",IF(OR(UPPER(TRIM('Raw data'!AI95))=UPPER(TRIM('Real results'!C95)),UPPER(TRIM('Raw data'!AI95))=UPPER(TRIM('Real results'!C96)),UPPER(TRIM('Raw data'!AI95))=UPPER(TRIM('Real results'!C97))),1,0)+IF(UPPER(TRIM('Raw data'!AI95))=UPPER(TRIM('Real results'!C95)),2,0),0),0)</f>
        <v>0</v>
      </c>
      <c r="AK97" s="29">
        <f>IFERROR(IF('Raw data'!AK95&lt;&gt;"",IF(OR(UPPER(TRIM('Raw data'!AK95))=UPPER(TRIM('Real results'!C95)),UPPER(TRIM('Raw data'!AK95))=UPPER(TRIM('Real results'!C96)),UPPER(TRIM('Raw data'!AK95))=UPPER(TRIM('Real results'!C97))),1,0)+IF(UPPER(TRIM('Raw data'!AK95))=UPPER(TRIM('Real results'!C95)),2,0),0),0)</f>
        <v>0</v>
      </c>
      <c r="AM97" s="29">
        <f>IFERROR(IF('Raw data'!AM95&lt;&gt;"",IF(OR(UPPER(TRIM('Raw data'!AM95))=UPPER(TRIM('Real results'!C95)),UPPER(TRIM('Raw data'!AM95))=UPPER(TRIM('Real results'!C96)),UPPER(TRIM('Raw data'!AM95))=UPPER(TRIM('Real results'!C97))),1,0)+IF(UPPER(TRIM('Raw data'!AM95))=UPPER(TRIM('Real results'!C95)),2,0),0),0)</f>
        <v>0</v>
      </c>
      <c r="AO97" s="29">
        <f>IFERROR(IF('Raw data'!AO95&lt;&gt;"",IF(OR(UPPER(TRIM('Raw data'!AO95))=UPPER(TRIM('Real results'!C95)),UPPER(TRIM('Raw data'!AO95))=UPPER(TRIM('Real results'!C96)),UPPER(TRIM('Raw data'!AO95))=UPPER(TRIM('Real results'!C97))),1,0)+IF(UPPER(TRIM('Raw data'!AO95))=UPPER(TRIM('Real results'!C95)),2,0),0),0)</f>
        <v>0</v>
      </c>
      <c r="AQ97" s="29">
        <f>IFERROR(IF('Raw data'!AQ95&lt;&gt;"",IF(OR(UPPER(TRIM('Raw data'!AQ95))=UPPER(TRIM('Real results'!C95)),UPPER(TRIM('Raw data'!AQ95))=UPPER(TRIM('Real results'!C96)),UPPER(TRIM('Raw data'!AQ95))=UPPER(TRIM('Real results'!C97))),1,0)+IF(UPPER(TRIM('Raw data'!AQ95))=UPPER(TRIM('Real results'!C95)),2,0),0),0)</f>
        <v>0</v>
      </c>
      <c r="AS97" s="29">
        <f>IFERROR(IF('Raw data'!AS95&lt;&gt;"",IF(OR(UPPER(TRIM('Raw data'!AS95))=UPPER(TRIM('Real results'!C95)),UPPER(TRIM('Raw data'!AS95))=UPPER(TRIM('Real results'!C96)),UPPER(TRIM('Raw data'!AS95))=UPPER(TRIM('Real results'!C97))),1,0)+IF(UPPER(TRIM('Raw data'!AS95))=UPPER(TRIM('Real results'!C95)),2,0),0),0)</f>
        <v>0</v>
      </c>
      <c r="AU97" s="29">
        <f>IFERROR(IF('Raw data'!AU95&lt;&gt;"",IF(OR(UPPER(TRIM('Raw data'!AU95))=UPPER(TRIM('Real results'!C95)),UPPER(TRIM('Raw data'!AU95))=UPPER(TRIM('Real results'!C96)),UPPER(TRIM('Raw data'!AU95))=UPPER(TRIM('Real results'!C97))),1,0)+IF(UPPER(TRIM('Raw data'!AU95))=UPPER(TRIM('Real results'!C95)),2,0),0),0)</f>
        <v>0</v>
      </c>
      <c r="AW97" s="29">
        <f>IFERROR(IF('Raw data'!AW95&lt;&gt;"",IF(OR(UPPER(TRIM('Raw data'!AW95))=UPPER(TRIM('Real results'!C95)),UPPER(TRIM('Raw data'!AW95))=UPPER(TRIM('Real results'!C96)),UPPER(TRIM('Raw data'!AW95))=UPPER(TRIM('Real results'!C97))),1,0)+IF(UPPER(TRIM('Raw data'!AW95))=UPPER(TRIM('Real results'!C95)),2,0),0),0)</f>
        <v>0</v>
      </c>
      <c r="AY97" s="29">
        <f>IFERROR(IF('Raw data'!AY95&lt;&gt;"",IF(OR(UPPER(TRIM('Raw data'!AY95))=UPPER(TRIM('Real results'!C95)),UPPER(TRIM('Raw data'!AY95))=UPPER(TRIM('Real results'!C96)),UPPER(TRIM('Raw data'!AY95))=UPPER(TRIM('Real results'!C97))),1,0)+IF(UPPER(TRIM('Raw data'!AY95))=UPPER(TRIM('Real results'!C95)),2,0),0),0)</f>
        <v>0</v>
      </c>
      <c r="BA97" s="29">
        <f>IFERROR(IF('Raw data'!BA95&lt;&gt;"",IF(OR(UPPER(TRIM('Raw data'!BA95))=UPPER(TRIM('Real results'!C95)),UPPER(TRIM('Raw data'!BA95))=UPPER(TRIM('Real results'!C96)),UPPER(TRIM('Raw data'!BA95))=UPPER(TRIM('Real results'!C97))),1,0)+IF(UPPER(TRIM('Raw data'!BA95))=UPPER(TRIM('Real results'!C95)),2,0),0),0)</f>
        <v>0</v>
      </c>
      <c r="BC97" s="29">
        <f>IFERROR(IF('Raw data'!BC95&lt;&gt;"",IF(OR(UPPER(TRIM('Raw data'!BC95))=UPPER(TRIM('Real results'!C95)),UPPER(TRIM('Raw data'!BC95))=UPPER(TRIM('Real results'!C96)),UPPER(TRIM('Raw data'!BC95))=UPPER(TRIM('Real results'!C97))),1,0)+IF(UPPER(TRIM('Raw data'!BC95))=UPPER(TRIM('Real results'!C95)),2,0),0),0)</f>
        <v>0</v>
      </c>
      <c r="BE97" s="29">
        <f>IFERROR(IF('Raw data'!BE95&lt;&gt;"",IF(OR(UPPER(TRIM('Raw data'!BE95))=UPPER(TRIM('Real results'!C95)),UPPER(TRIM('Raw data'!BE95))=UPPER(TRIM('Real results'!C96)),UPPER(TRIM('Raw data'!BE95))=UPPER(TRIM('Real results'!C97))),1,0)+IF(UPPER(TRIM('Raw data'!BE95))=UPPER(TRIM('Real results'!C95)),2,0),0),0)</f>
        <v>0</v>
      </c>
      <c r="BG97" s="29">
        <f>IFERROR(IF('Raw data'!BG95&lt;&gt;"",IF(OR(UPPER(TRIM('Raw data'!BG95))=UPPER(TRIM('Real results'!C95)),UPPER(TRIM('Raw data'!BG95))=UPPER(TRIM('Real results'!C96)),UPPER(TRIM('Raw data'!BG95))=UPPER(TRIM('Real results'!C97))),1,0)+IF(UPPER(TRIM('Raw data'!BG95))=UPPER(TRIM('Real results'!C95)),2,0),0),0)</f>
        <v>0</v>
      </c>
      <c r="BI97" s="29">
        <f>IFERROR(IF('Raw data'!BI95&lt;&gt;"",IF(OR(UPPER(TRIM('Raw data'!BI95))=UPPER(TRIM('Real results'!C95)),UPPER(TRIM('Raw data'!BI95))=UPPER(TRIM('Real results'!C96)),UPPER(TRIM('Raw data'!BI95))=UPPER(TRIM('Real results'!C97))),1,0)+IF(UPPER(TRIM('Raw data'!BI95))=UPPER(TRIM('Real results'!C95)),2,0),0),0)</f>
        <v>0</v>
      </c>
    </row>
    <row r="98" ht="18.0" customHeight="1">
      <c r="A98" s="1"/>
      <c r="B98" s="13" t="s">
        <v>379</v>
      </c>
      <c r="C98" s="29">
        <f>IFERROR(IF('Raw data'!C96&lt;&gt;"",IF(OR(UPPER(TRIM('Raw data'!C96))=UPPER(TRIM('Real results'!C95)),UPPER(TRIM('Raw data'!C96))=UPPER(TRIM('Real results'!C96)),UPPER(TRIM('Raw data'!C96))=UPPER(TRIM('Real results'!C97))),1,0),0),0)</f>
        <v>0</v>
      </c>
      <c r="E98" s="29">
        <f>IFERROR(IF('Raw data'!E96&lt;&gt;"",IF(OR(UPPER(TRIM('Raw data'!E96))=UPPER(TRIM('Real results'!C95)),UPPER(TRIM('Raw data'!E96))=UPPER(TRIM('Real results'!C96)),UPPER(TRIM('Raw data'!E96))=UPPER(TRIM('Real results'!C97))),1,0),0),0)</f>
        <v>0</v>
      </c>
      <c r="G98" s="29">
        <f>IFERROR(IF('Raw data'!G96&lt;&gt;"",IF(OR(UPPER(TRIM('Raw data'!G96))=UPPER(TRIM('Real results'!C95)),UPPER(TRIM('Raw data'!G96))=UPPER(TRIM('Real results'!C96)),UPPER(TRIM('Raw data'!G96))=UPPER(TRIM('Real results'!C97))),1,0),0),0)</f>
        <v>0</v>
      </c>
      <c r="I98" s="29">
        <f>IFERROR(IF('Raw data'!I96&lt;&gt;"",IF(OR(UPPER(TRIM('Raw data'!I96))=UPPER(TRIM('Real results'!C95)),UPPER(TRIM('Raw data'!I96))=UPPER(TRIM('Real results'!C96)),UPPER(TRIM('Raw data'!I96))=UPPER(TRIM('Real results'!C97))),1,0),0),0)</f>
        <v>0</v>
      </c>
      <c r="K98" s="29">
        <f>IFERROR(IF('Raw data'!K96&lt;&gt;"",IF(OR(UPPER(TRIM('Raw data'!K96))=UPPER(TRIM('Real results'!C95)),UPPER(TRIM('Raw data'!K96))=UPPER(TRIM('Real results'!C96)),UPPER(TRIM('Raw data'!K96))=UPPER(TRIM('Real results'!C97))),1,0),0),0)</f>
        <v>0</v>
      </c>
      <c r="M98" s="29">
        <f>IFERROR(IF('Raw data'!M96&lt;&gt;"",IF(OR(UPPER(TRIM('Raw data'!M96))=UPPER(TRIM('Real results'!C95)),UPPER(TRIM('Raw data'!M96))=UPPER(TRIM('Real results'!C96)),UPPER(TRIM('Raw data'!M96))=UPPER(TRIM('Real results'!C97))),1,0),0),0)</f>
        <v>0</v>
      </c>
      <c r="O98" s="29">
        <f>IFERROR(IF('Raw data'!O96&lt;&gt;"",IF(OR(UPPER(TRIM('Raw data'!O96))=UPPER(TRIM('Real results'!C95)),UPPER(TRIM('Raw data'!O96))=UPPER(TRIM('Real results'!C96)),UPPER(TRIM('Raw data'!O96))=UPPER(TRIM('Real results'!C97))),1,0),0),0)</f>
        <v>0</v>
      </c>
      <c r="Q98" s="29">
        <f>IFERROR(IF('Raw data'!Q96&lt;&gt;"",IF(OR(UPPER(TRIM('Raw data'!Q96))=UPPER(TRIM('Real results'!C95)),UPPER(TRIM('Raw data'!Q96))=UPPER(TRIM('Real results'!C96)),UPPER(TRIM('Raw data'!Q96))=UPPER(TRIM('Real results'!C97))),1,0),0),0)</f>
        <v>0</v>
      </c>
      <c r="S98" s="29">
        <f>IFERROR(IF('Raw data'!S96&lt;&gt;"",IF(OR(UPPER(TRIM('Raw data'!S96))=UPPER(TRIM('Real results'!C95)),UPPER(TRIM('Raw data'!S96))=UPPER(TRIM('Real results'!C96)),UPPER(TRIM('Raw data'!S96))=UPPER(TRIM('Real results'!C97))),1,0),0),0)</f>
        <v>0</v>
      </c>
      <c r="U98" s="29">
        <f>IFERROR(IF('Raw data'!U96&lt;&gt;"",IF(OR(UPPER(TRIM('Raw data'!U96))=UPPER(TRIM('Real results'!C95)),UPPER(TRIM('Raw data'!U96))=UPPER(TRIM('Real results'!C96)),UPPER(TRIM('Raw data'!U96))=UPPER(TRIM('Real results'!C97))),1,0),0),0)</f>
        <v>0</v>
      </c>
      <c r="W98" s="29">
        <f>IFERROR(IF('Raw data'!W96&lt;&gt;"",IF(OR(UPPER(TRIM('Raw data'!W96))=UPPER(TRIM('Real results'!C95)),UPPER(TRIM('Raw data'!W96))=UPPER(TRIM('Real results'!C96)),UPPER(TRIM('Raw data'!W96))=UPPER(TRIM('Real results'!C97))),1,0),0),0)</f>
        <v>0</v>
      </c>
      <c r="Y98" s="29">
        <f>IFERROR(IF('Raw data'!Y96&lt;&gt;"",IF(OR(UPPER(TRIM('Raw data'!Y96))=UPPER(TRIM('Real results'!C95)),UPPER(TRIM('Raw data'!Y96))=UPPER(TRIM('Real results'!C96)),UPPER(TRIM('Raw data'!Y96))=UPPER(TRIM('Real results'!C97))),1,0),0),0)</f>
        <v>0</v>
      </c>
      <c r="AA98" s="29">
        <f>IFERROR(IF('Raw data'!AA96&lt;&gt;"",IF(OR(UPPER(TRIM('Raw data'!AA96))=UPPER(TRIM('Real results'!C95)),UPPER(TRIM('Raw data'!AA96))=UPPER(TRIM('Real results'!C96)),UPPER(TRIM('Raw data'!AA96))=UPPER(TRIM('Real results'!C97))),1,0),0),0)</f>
        <v>0</v>
      </c>
      <c r="AC98" s="29">
        <f>IFERROR(IF('Raw data'!AC96&lt;&gt;"",IF(OR(UPPER(TRIM('Raw data'!AC96))=UPPER(TRIM('Real results'!C95)),UPPER(TRIM('Raw data'!AC96))=UPPER(TRIM('Real results'!C96)),UPPER(TRIM('Raw data'!AC96))=UPPER(TRIM('Real results'!C97))),1,0),0),0)</f>
        <v>0</v>
      </c>
      <c r="AE98" s="29">
        <f>IFERROR(IF('Raw data'!AE96&lt;&gt;"",IF(OR(UPPER(TRIM('Raw data'!AE96))=UPPER(TRIM('Real results'!C95)),UPPER(TRIM('Raw data'!AE96))=UPPER(TRIM('Real results'!C96)),UPPER(TRIM('Raw data'!AE96))=UPPER(TRIM('Real results'!C97))),1,0),0),0)</f>
        <v>0</v>
      </c>
      <c r="AG98" s="29">
        <f>IFERROR(IF('Raw data'!AG96&lt;&gt;"",IF(OR(UPPER(TRIM('Raw data'!AG96))=UPPER(TRIM('Real results'!C95)),UPPER(TRIM('Raw data'!AG96))=UPPER(TRIM('Real results'!C96)),UPPER(TRIM('Raw data'!AG96))=UPPER(TRIM('Real results'!C97))),1,0),0),0)</f>
        <v>0</v>
      </c>
      <c r="AI98" s="29">
        <f>IFERROR(IF('Raw data'!AI96&lt;&gt;"",IF(OR(UPPER(TRIM('Raw data'!AI96))=UPPER(TRIM('Real results'!C95)),UPPER(TRIM('Raw data'!AI96))=UPPER(TRIM('Real results'!C96)),UPPER(TRIM('Raw data'!AI96))=UPPER(TRIM('Real results'!C97))),1,0),0),0)</f>
        <v>0</v>
      </c>
      <c r="AK98" s="29">
        <f>IFERROR(IF('Raw data'!AK96&lt;&gt;"",IF(OR(UPPER(TRIM('Raw data'!AK96))=UPPER(TRIM('Real results'!C95)),UPPER(TRIM('Raw data'!AK96))=UPPER(TRIM('Real results'!C96)),UPPER(TRIM('Raw data'!AK96))=UPPER(TRIM('Real results'!C97))),1,0),0),0)</f>
        <v>0</v>
      </c>
      <c r="AM98" s="29">
        <f>IFERROR(IF('Raw data'!AM96&lt;&gt;"",IF(OR(UPPER(TRIM('Raw data'!AM96))=UPPER(TRIM('Real results'!C95)),UPPER(TRIM('Raw data'!AM96))=UPPER(TRIM('Real results'!C96)),UPPER(TRIM('Raw data'!AM96))=UPPER(TRIM('Real results'!C97))),1,0),0),0)</f>
        <v>0</v>
      </c>
      <c r="AO98" s="29">
        <f>IFERROR(IF('Raw data'!AO96&lt;&gt;"",IF(OR(UPPER(TRIM('Raw data'!AO96))=UPPER(TRIM('Real results'!C95)),UPPER(TRIM('Raw data'!AO96))=UPPER(TRIM('Real results'!C96)),UPPER(TRIM('Raw data'!AO96))=UPPER(TRIM('Real results'!C97))),1,0),0),0)</f>
        <v>0</v>
      </c>
      <c r="AQ98" s="29">
        <f>IFERROR(IF('Raw data'!AQ96&lt;&gt;"",IF(OR(UPPER(TRIM('Raw data'!AQ96))=UPPER(TRIM('Real results'!C95)),UPPER(TRIM('Raw data'!AQ96))=UPPER(TRIM('Real results'!C96)),UPPER(TRIM('Raw data'!AQ96))=UPPER(TRIM('Real results'!C97))),1,0),0),0)</f>
        <v>0</v>
      </c>
      <c r="AS98" s="29">
        <f>IFERROR(IF('Raw data'!AS96&lt;&gt;"",IF(OR(UPPER(TRIM('Raw data'!AS96))=UPPER(TRIM('Real results'!C95)),UPPER(TRIM('Raw data'!AS96))=UPPER(TRIM('Real results'!C96)),UPPER(TRIM('Raw data'!AS96))=UPPER(TRIM('Real results'!C97))),1,0),0),0)</f>
        <v>0</v>
      </c>
      <c r="AU98" s="29">
        <f>IFERROR(IF('Raw data'!AU96&lt;&gt;"",IF(OR(UPPER(TRIM('Raw data'!AU96))=UPPER(TRIM('Real results'!C95)),UPPER(TRIM('Raw data'!AU96))=UPPER(TRIM('Real results'!C96)),UPPER(TRIM('Raw data'!AU96))=UPPER(TRIM('Real results'!C97))),1,0),0),0)</f>
        <v>0</v>
      </c>
      <c r="AW98" s="29">
        <f>IFERROR(IF('Raw data'!AW96&lt;&gt;"",IF(OR(UPPER(TRIM('Raw data'!AW96))=UPPER(TRIM('Real results'!C95)),UPPER(TRIM('Raw data'!AW96))=UPPER(TRIM('Real results'!C96)),UPPER(TRIM('Raw data'!AW96))=UPPER(TRIM('Real results'!C97))),1,0),0),0)</f>
        <v>0</v>
      </c>
      <c r="AY98" s="29">
        <f>IFERROR(IF('Raw data'!AY96&lt;&gt;"",IF(OR(UPPER(TRIM('Raw data'!AY96))=UPPER(TRIM('Real results'!C95)),UPPER(TRIM('Raw data'!AY96))=UPPER(TRIM('Real results'!C96)),UPPER(TRIM('Raw data'!AY96))=UPPER(TRIM('Real results'!C97))),1,0),0),0)</f>
        <v>0</v>
      </c>
      <c r="BA98" s="29">
        <f>IFERROR(IF('Raw data'!BA96&lt;&gt;"",IF(OR(UPPER(TRIM('Raw data'!BA96))=UPPER(TRIM('Real results'!C95)),UPPER(TRIM('Raw data'!BA96))=UPPER(TRIM('Real results'!C96)),UPPER(TRIM('Raw data'!BA96))=UPPER(TRIM('Real results'!C97))),1,0),0),0)</f>
        <v>0</v>
      </c>
      <c r="BC98" s="29">
        <f>IFERROR(IF('Raw data'!BC96&lt;&gt;"",IF(OR(UPPER(TRIM('Raw data'!BC96))=UPPER(TRIM('Real results'!C95)),UPPER(TRIM('Raw data'!BC96))=UPPER(TRIM('Real results'!C96)),UPPER(TRIM('Raw data'!BC96))=UPPER(TRIM('Real results'!C97))),1,0),0),0)</f>
        <v>0</v>
      </c>
      <c r="BE98" s="29">
        <f>IFERROR(IF('Raw data'!BE96&lt;&gt;"",IF(OR(UPPER(TRIM('Raw data'!BE96))=UPPER(TRIM('Real results'!C95)),UPPER(TRIM('Raw data'!BE96))=UPPER(TRIM('Real results'!C96)),UPPER(TRIM('Raw data'!BE96))=UPPER(TRIM('Real results'!C97))),1,0),0),0)</f>
        <v>0</v>
      </c>
      <c r="BG98" s="29">
        <f>IFERROR(IF('Raw data'!BG96&lt;&gt;"",IF(OR(UPPER(TRIM('Raw data'!BG96))=UPPER(TRIM('Real results'!C95)),UPPER(TRIM('Raw data'!BG96))=UPPER(TRIM('Real results'!C96)),UPPER(TRIM('Raw data'!BG96))=UPPER(TRIM('Real results'!C97))),1,0),0),0)</f>
        <v>0</v>
      </c>
      <c r="BI98" s="29">
        <f>IFERROR(IF('Raw data'!BI96&lt;&gt;"",IF(OR(UPPER(TRIM('Raw data'!BI96))=UPPER(TRIM('Real results'!C95)),UPPER(TRIM('Raw data'!BI96))=UPPER(TRIM('Real results'!C96)),UPPER(TRIM('Raw data'!BI96))=UPPER(TRIM('Real results'!C97))),1,0),0),0)</f>
        <v>0</v>
      </c>
    </row>
    <row r="99" ht="18.0" customHeight="1">
      <c r="A99" s="1"/>
      <c r="B99" s="13" t="s">
        <v>380</v>
      </c>
      <c r="C99" s="29">
        <f>IFERROR(IF('Raw data'!C97&lt;&gt;"",IF(OR(UPPER(TRIM('Raw data'!C97))=UPPER(TRIM('Real results'!C95)),UPPER(TRIM('Raw data'!C97))=UPPER(TRIM('Real results'!C96)),UPPER(TRIM('Raw data'!C97))=UPPER(TRIM('Real results'!C97))),1,0),0),0)</f>
        <v>0</v>
      </c>
      <c r="E99" s="29">
        <f>IFERROR(IF('Raw data'!E97&lt;&gt;"",IF(OR(UPPER(TRIM('Raw data'!E97))=UPPER(TRIM('Real results'!C95)),UPPER(TRIM('Raw data'!E97))=UPPER(TRIM('Real results'!C96)),UPPER(TRIM('Raw data'!E97))=UPPER(TRIM('Real results'!C97))),1,0),0),0)</f>
        <v>0</v>
      </c>
      <c r="G99" s="29">
        <f>IFERROR(IF('Raw data'!G97&lt;&gt;"",IF(OR(UPPER(TRIM('Raw data'!G97))=UPPER(TRIM('Real results'!C95)),UPPER(TRIM('Raw data'!G97))=UPPER(TRIM('Real results'!C96)),UPPER(TRIM('Raw data'!G97))=UPPER(TRIM('Real results'!C97))),1,0),0),0)</f>
        <v>0</v>
      </c>
      <c r="I99" s="29">
        <f>IFERROR(IF('Raw data'!I97&lt;&gt;"",IF(OR(UPPER(TRIM('Raw data'!I97))=UPPER(TRIM('Real results'!C95)),UPPER(TRIM('Raw data'!I97))=UPPER(TRIM('Real results'!C96)),UPPER(TRIM('Raw data'!I97))=UPPER(TRIM('Real results'!C97))),1,0),0),0)</f>
        <v>0</v>
      </c>
      <c r="K99" s="29">
        <f>IFERROR(IF('Raw data'!K97&lt;&gt;"",IF(OR(UPPER(TRIM('Raw data'!K97))=UPPER(TRIM('Real results'!C95)),UPPER(TRIM('Raw data'!K97))=UPPER(TRIM('Real results'!C96)),UPPER(TRIM('Raw data'!K97))=UPPER(TRIM('Real results'!C97))),1,0),0),0)</f>
        <v>0</v>
      </c>
      <c r="M99" s="29">
        <f>IFERROR(IF('Raw data'!M97&lt;&gt;"",IF(OR(UPPER(TRIM('Raw data'!M97))=UPPER(TRIM('Real results'!C95)),UPPER(TRIM('Raw data'!M97))=UPPER(TRIM('Real results'!C96)),UPPER(TRIM('Raw data'!M97))=UPPER(TRIM('Real results'!C97))),1,0),0),0)</f>
        <v>0</v>
      </c>
      <c r="O99" s="29">
        <f>IFERROR(IF('Raw data'!O97&lt;&gt;"",IF(OR(UPPER(TRIM('Raw data'!O97))=UPPER(TRIM('Real results'!C95)),UPPER(TRIM('Raw data'!O97))=UPPER(TRIM('Real results'!C96)),UPPER(TRIM('Raw data'!O97))=UPPER(TRIM('Real results'!C97))),1,0),0),0)</f>
        <v>0</v>
      </c>
      <c r="Q99" s="29">
        <f>IFERROR(IF('Raw data'!Q97&lt;&gt;"",IF(OR(UPPER(TRIM('Raw data'!Q97))=UPPER(TRIM('Real results'!C95)),UPPER(TRIM('Raw data'!Q97))=UPPER(TRIM('Real results'!C96)),UPPER(TRIM('Raw data'!Q97))=UPPER(TRIM('Real results'!C97))),1,0),0),0)</f>
        <v>0</v>
      </c>
      <c r="S99" s="29">
        <f>IFERROR(IF('Raw data'!S97&lt;&gt;"",IF(OR(UPPER(TRIM('Raw data'!S97))=UPPER(TRIM('Real results'!C95)),UPPER(TRIM('Raw data'!S97))=UPPER(TRIM('Real results'!C96)),UPPER(TRIM('Raw data'!S97))=UPPER(TRIM('Real results'!C97))),1,0),0),0)</f>
        <v>0</v>
      </c>
      <c r="U99" s="29">
        <f>IFERROR(IF('Raw data'!U97&lt;&gt;"",IF(OR(UPPER(TRIM('Raw data'!U97))=UPPER(TRIM('Real results'!C95)),UPPER(TRIM('Raw data'!U97))=UPPER(TRIM('Real results'!C96)),UPPER(TRIM('Raw data'!U97))=UPPER(TRIM('Real results'!C97))),1,0),0),0)</f>
        <v>0</v>
      </c>
      <c r="W99" s="29">
        <f>IFERROR(IF('Raw data'!W97&lt;&gt;"",IF(OR(UPPER(TRIM('Raw data'!W97))=UPPER(TRIM('Real results'!C95)),UPPER(TRIM('Raw data'!W97))=UPPER(TRIM('Real results'!C96)),UPPER(TRIM('Raw data'!W97))=UPPER(TRIM('Real results'!C97))),1,0),0),0)</f>
        <v>0</v>
      </c>
      <c r="Y99" s="29">
        <f>IFERROR(IF('Raw data'!Y97&lt;&gt;"",IF(OR(UPPER(TRIM('Raw data'!Y97))=UPPER(TRIM('Real results'!C95)),UPPER(TRIM('Raw data'!Y97))=UPPER(TRIM('Real results'!C96)),UPPER(TRIM('Raw data'!Y97))=UPPER(TRIM('Real results'!C97))),1,0),0),0)</f>
        <v>0</v>
      </c>
      <c r="AA99" s="29">
        <f>IFERROR(IF('Raw data'!AA97&lt;&gt;"",IF(OR(UPPER(TRIM('Raw data'!AA97))=UPPER(TRIM('Real results'!C95)),UPPER(TRIM('Raw data'!AA97))=UPPER(TRIM('Real results'!C96)),UPPER(TRIM('Raw data'!AA97))=UPPER(TRIM('Real results'!C97))),1,0),0),0)</f>
        <v>0</v>
      </c>
      <c r="AC99" s="29">
        <f>IFERROR(IF('Raw data'!AC97&lt;&gt;"",IF(OR(UPPER(TRIM('Raw data'!AC97))=UPPER(TRIM('Real results'!C95)),UPPER(TRIM('Raw data'!AC97))=UPPER(TRIM('Real results'!C96)),UPPER(TRIM('Raw data'!AC97))=UPPER(TRIM('Real results'!C97))),1,0),0),0)</f>
        <v>0</v>
      </c>
      <c r="AE99" s="29">
        <f>IFERROR(IF('Raw data'!AE97&lt;&gt;"",IF(OR(UPPER(TRIM('Raw data'!AE97))=UPPER(TRIM('Real results'!C95)),UPPER(TRIM('Raw data'!AE97))=UPPER(TRIM('Real results'!C96)),UPPER(TRIM('Raw data'!AE97))=UPPER(TRIM('Real results'!C97))),1,0),0),0)</f>
        <v>0</v>
      </c>
      <c r="AG99" s="29">
        <f>IFERROR(IF('Raw data'!AG97&lt;&gt;"",IF(OR(UPPER(TRIM('Raw data'!AG97))=UPPER(TRIM('Real results'!C95)),UPPER(TRIM('Raw data'!AG97))=UPPER(TRIM('Real results'!C96)),UPPER(TRIM('Raw data'!AG97))=UPPER(TRIM('Real results'!C97))),1,0),0),0)</f>
        <v>0</v>
      </c>
      <c r="AI99" s="29">
        <f>IFERROR(IF('Raw data'!AI97&lt;&gt;"",IF(OR(UPPER(TRIM('Raw data'!AI97))=UPPER(TRIM('Real results'!C95)),UPPER(TRIM('Raw data'!AI97))=UPPER(TRIM('Real results'!C96)),UPPER(TRIM('Raw data'!AI97))=UPPER(TRIM('Real results'!C97))),1,0),0),0)</f>
        <v>0</v>
      </c>
      <c r="AK99" s="29">
        <f>IFERROR(IF('Raw data'!AK97&lt;&gt;"",IF(OR(UPPER(TRIM('Raw data'!AK97))=UPPER(TRIM('Real results'!C95)),UPPER(TRIM('Raw data'!AK97))=UPPER(TRIM('Real results'!C96)),UPPER(TRIM('Raw data'!AK97))=UPPER(TRIM('Real results'!C97))),1,0),0),0)</f>
        <v>0</v>
      </c>
      <c r="AM99" s="29">
        <f>IFERROR(IF('Raw data'!AM97&lt;&gt;"",IF(OR(UPPER(TRIM('Raw data'!AM97))=UPPER(TRIM('Real results'!C95)),UPPER(TRIM('Raw data'!AM97))=UPPER(TRIM('Real results'!C96)),UPPER(TRIM('Raw data'!AM97))=UPPER(TRIM('Real results'!C97))),1,0),0),0)</f>
        <v>0</v>
      </c>
      <c r="AO99" s="29">
        <f>IFERROR(IF('Raw data'!AO97&lt;&gt;"",IF(OR(UPPER(TRIM('Raw data'!AO97))=UPPER(TRIM('Real results'!C95)),UPPER(TRIM('Raw data'!AO97))=UPPER(TRIM('Real results'!C96)),UPPER(TRIM('Raw data'!AO97))=UPPER(TRIM('Real results'!C97))),1,0),0),0)</f>
        <v>0</v>
      </c>
      <c r="AQ99" s="29">
        <f>IFERROR(IF('Raw data'!AQ97&lt;&gt;"",IF(OR(UPPER(TRIM('Raw data'!AQ97))=UPPER(TRIM('Real results'!C95)),UPPER(TRIM('Raw data'!AQ97))=UPPER(TRIM('Real results'!C96)),UPPER(TRIM('Raw data'!AQ97))=UPPER(TRIM('Real results'!C97))),1,0),0),0)</f>
        <v>0</v>
      </c>
      <c r="AS99" s="29">
        <f>IFERROR(IF('Raw data'!AS97&lt;&gt;"",IF(OR(UPPER(TRIM('Raw data'!AS97))=UPPER(TRIM('Real results'!C95)),UPPER(TRIM('Raw data'!AS97))=UPPER(TRIM('Real results'!C96)),UPPER(TRIM('Raw data'!AS97))=UPPER(TRIM('Real results'!C97))),1,0),0),0)</f>
        <v>0</v>
      </c>
      <c r="AU99" s="29">
        <f>IFERROR(IF('Raw data'!AU97&lt;&gt;"",IF(OR(UPPER(TRIM('Raw data'!AU97))=UPPER(TRIM('Real results'!C95)),UPPER(TRIM('Raw data'!AU97))=UPPER(TRIM('Real results'!C96)),UPPER(TRIM('Raw data'!AU97))=UPPER(TRIM('Real results'!C97))),1,0),0),0)</f>
        <v>0</v>
      </c>
      <c r="AW99" s="29">
        <f>IFERROR(IF('Raw data'!AW97&lt;&gt;"",IF(OR(UPPER(TRIM('Raw data'!AW97))=UPPER(TRIM('Real results'!C95)),UPPER(TRIM('Raw data'!AW97))=UPPER(TRIM('Real results'!C96)),UPPER(TRIM('Raw data'!AW97))=UPPER(TRIM('Real results'!C97))),1,0),0),0)</f>
        <v>0</v>
      </c>
      <c r="AY99" s="29">
        <f>IFERROR(IF('Raw data'!AY97&lt;&gt;"",IF(OR(UPPER(TRIM('Raw data'!AY97))=UPPER(TRIM('Real results'!C95)),UPPER(TRIM('Raw data'!AY97))=UPPER(TRIM('Real results'!C96)),UPPER(TRIM('Raw data'!AY97))=UPPER(TRIM('Real results'!C97))),1,0),0),0)</f>
        <v>0</v>
      </c>
      <c r="BA99" s="29">
        <f>IFERROR(IF('Raw data'!BA97&lt;&gt;"",IF(OR(UPPER(TRIM('Raw data'!BA97))=UPPER(TRIM('Real results'!C95)),UPPER(TRIM('Raw data'!BA97))=UPPER(TRIM('Real results'!C96)),UPPER(TRIM('Raw data'!BA97))=UPPER(TRIM('Real results'!C97))),1,0),0),0)</f>
        <v>0</v>
      </c>
      <c r="BC99" s="29">
        <f>IFERROR(IF('Raw data'!BC97&lt;&gt;"",IF(OR(UPPER(TRIM('Raw data'!BC97))=UPPER(TRIM('Real results'!C95)),UPPER(TRIM('Raw data'!BC97))=UPPER(TRIM('Real results'!C96)),UPPER(TRIM('Raw data'!BC97))=UPPER(TRIM('Real results'!C97))),1,0),0),0)</f>
        <v>0</v>
      </c>
      <c r="BE99" s="29">
        <f>IFERROR(IF('Raw data'!BE97&lt;&gt;"",IF(OR(UPPER(TRIM('Raw data'!BE97))=UPPER(TRIM('Real results'!C95)),UPPER(TRIM('Raw data'!BE97))=UPPER(TRIM('Real results'!C96)),UPPER(TRIM('Raw data'!BE97))=UPPER(TRIM('Real results'!C97))),1,0),0),0)</f>
        <v>0</v>
      </c>
      <c r="BG99" s="29">
        <f>IFERROR(IF('Raw data'!BG97&lt;&gt;"",IF(OR(UPPER(TRIM('Raw data'!BG97))=UPPER(TRIM('Real results'!C95)),UPPER(TRIM('Raw data'!BG97))=UPPER(TRIM('Real results'!C96)),UPPER(TRIM('Raw data'!BG97))=UPPER(TRIM('Real results'!C97))),1,0),0),0)</f>
        <v>0</v>
      </c>
      <c r="BI99" s="29">
        <f>IFERROR(IF('Raw data'!BI97&lt;&gt;"",IF(OR(UPPER(TRIM('Raw data'!BI97))=UPPER(TRIM('Real results'!C95)),UPPER(TRIM('Raw data'!BI97))=UPPER(TRIM('Real results'!C96)),UPPER(TRIM('Raw data'!BI97))=UPPER(TRIM('Real results'!C97))),1,0),0),0)</f>
        <v>0</v>
      </c>
    </row>
    <row r="100" ht="18.0" customHeight="1">
      <c r="A100" s="1"/>
      <c r="B100" s="13" t="s">
        <v>381</v>
      </c>
      <c r="C100" s="29">
        <f>IFERROR(IF('Raw data'!C98&lt;&gt;"",IF(OR(UPPER(TRIM('Raw data'!C98))=UPPER(TRIM('Real results'!C98)),UPPER(TRIM('Raw data'!C98))=UPPER(TRIM('Real results'!C99)),UPPER(TRIM('Raw data'!C98))=UPPER(TRIM('Real results'!C100))),1,0)+IF(UPPER(TRIM('Raw data'!C98))=UPPER(TRIM('Real results'!C98)),2,0),0),0)</f>
        <v>0</v>
      </c>
      <c r="E100" s="29">
        <f>IFERROR(IF('Raw data'!E98&lt;&gt;"",IF(OR(UPPER(TRIM('Raw data'!E98))=UPPER(TRIM('Real results'!C98)),UPPER(TRIM('Raw data'!E98))=UPPER(TRIM('Real results'!C99)),UPPER(TRIM('Raw data'!E98))=UPPER(TRIM('Real results'!C100))),1,0)+IF(UPPER(TRIM('Raw data'!E98))=UPPER(TRIM('Real results'!C98)),2,0),0),0)</f>
        <v>0</v>
      </c>
      <c r="G100" s="29">
        <f>IFERROR(IF('Raw data'!G98&lt;&gt;"",IF(OR(UPPER(TRIM('Raw data'!G98))=UPPER(TRIM('Real results'!C98)),UPPER(TRIM('Raw data'!G98))=UPPER(TRIM('Real results'!C99)),UPPER(TRIM('Raw data'!G98))=UPPER(TRIM('Real results'!C100))),1,0)+IF(UPPER(TRIM('Raw data'!G98))=UPPER(TRIM('Real results'!C98)),2,0),0),0)</f>
        <v>0</v>
      </c>
      <c r="I100" s="29">
        <f>IFERROR(IF('Raw data'!I98&lt;&gt;"",IF(OR(UPPER(TRIM('Raw data'!I98))=UPPER(TRIM('Real results'!C98)),UPPER(TRIM('Raw data'!I98))=UPPER(TRIM('Real results'!C99)),UPPER(TRIM('Raw data'!I98))=UPPER(TRIM('Real results'!C100))),1,0)+IF(UPPER(TRIM('Raw data'!I98))=UPPER(TRIM('Real results'!C98)),2,0),0),0)</f>
        <v>0</v>
      </c>
      <c r="K100" s="29">
        <f>IFERROR(IF('Raw data'!K98&lt;&gt;"",IF(OR(UPPER(TRIM('Raw data'!K98))=UPPER(TRIM('Real results'!C98)),UPPER(TRIM('Raw data'!K98))=UPPER(TRIM('Real results'!C99)),UPPER(TRIM('Raw data'!K98))=UPPER(TRIM('Real results'!C100))),1,0)+IF(UPPER(TRIM('Raw data'!K98))=UPPER(TRIM('Real results'!C98)),2,0),0),0)</f>
        <v>0</v>
      </c>
      <c r="M100" s="29">
        <f>IFERROR(IF('Raw data'!M98&lt;&gt;"",IF(OR(UPPER(TRIM('Raw data'!M98))=UPPER(TRIM('Real results'!C98)),UPPER(TRIM('Raw data'!M98))=UPPER(TRIM('Real results'!C99)),UPPER(TRIM('Raw data'!M98))=UPPER(TRIM('Real results'!C100))),1,0)+IF(UPPER(TRIM('Raw data'!M98))=UPPER(TRIM('Real results'!C98)),2,0),0),0)</f>
        <v>0</v>
      </c>
      <c r="O100" s="29">
        <f>IFERROR(IF('Raw data'!O98&lt;&gt;"",IF(OR(UPPER(TRIM('Raw data'!O98))=UPPER(TRIM('Real results'!C98)),UPPER(TRIM('Raw data'!O98))=UPPER(TRIM('Real results'!C99)),UPPER(TRIM('Raw data'!O98))=UPPER(TRIM('Real results'!C100))),1,0)+IF(UPPER(TRIM('Raw data'!O98))=UPPER(TRIM('Real results'!C98)),2,0),0),0)</f>
        <v>0</v>
      </c>
      <c r="Q100" s="29">
        <f>IFERROR(IF('Raw data'!Q98&lt;&gt;"",IF(OR(UPPER(TRIM('Raw data'!Q98))=UPPER(TRIM('Real results'!C98)),UPPER(TRIM('Raw data'!Q98))=UPPER(TRIM('Real results'!C99)),UPPER(TRIM('Raw data'!Q98))=UPPER(TRIM('Real results'!C100))),1,0)+IF(UPPER(TRIM('Raw data'!Q98))=UPPER(TRIM('Real results'!C98)),2,0),0),0)</f>
        <v>0</v>
      </c>
      <c r="S100" s="29">
        <f>IFERROR(IF('Raw data'!S98&lt;&gt;"",IF(OR(UPPER(TRIM('Raw data'!S98))=UPPER(TRIM('Real results'!C98)),UPPER(TRIM('Raw data'!S98))=UPPER(TRIM('Real results'!C99)),UPPER(TRIM('Raw data'!S98))=UPPER(TRIM('Real results'!C100))),1,0)+IF(UPPER(TRIM('Raw data'!S98))=UPPER(TRIM('Real results'!C98)),2,0),0),0)</f>
        <v>0</v>
      </c>
      <c r="U100" s="29">
        <f>IFERROR(IF('Raw data'!U98&lt;&gt;"",IF(OR(UPPER(TRIM('Raw data'!U98))=UPPER(TRIM('Real results'!C98)),UPPER(TRIM('Raw data'!U98))=UPPER(TRIM('Real results'!C99)),UPPER(TRIM('Raw data'!U98))=UPPER(TRIM('Real results'!C100))),1,0)+IF(UPPER(TRIM('Raw data'!U98))=UPPER(TRIM('Real results'!C98)),2,0),0),0)</f>
        <v>0</v>
      </c>
      <c r="W100" s="29">
        <f>IFERROR(IF('Raw data'!W98&lt;&gt;"",IF(OR(UPPER(TRIM('Raw data'!W98))=UPPER(TRIM('Real results'!C98)),UPPER(TRIM('Raw data'!W98))=UPPER(TRIM('Real results'!C99)),UPPER(TRIM('Raw data'!W98))=UPPER(TRIM('Real results'!C100))),1,0)+IF(UPPER(TRIM('Raw data'!W98))=UPPER(TRIM('Real results'!C98)),2,0),0),0)</f>
        <v>0</v>
      </c>
      <c r="Y100" s="29">
        <f>IFERROR(IF('Raw data'!Y98&lt;&gt;"",IF(OR(UPPER(TRIM('Raw data'!Y98))=UPPER(TRIM('Real results'!C98)),UPPER(TRIM('Raw data'!Y98))=UPPER(TRIM('Real results'!C99)),UPPER(TRIM('Raw data'!Y98))=UPPER(TRIM('Real results'!C100))),1,0)+IF(UPPER(TRIM('Raw data'!Y98))=UPPER(TRIM('Real results'!C98)),2,0),0),0)</f>
        <v>0</v>
      </c>
      <c r="AA100" s="29">
        <f>IFERROR(IF('Raw data'!AA98&lt;&gt;"",IF(OR(UPPER(TRIM('Raw data'!AA98))=UPPER(TRIM('Real results'!C98)),UPPER(TRIM('Raw data'!AA98))=UPPER(TRIM('Real results'!C99)),UPPER(TRIM('Raw data'!AA98))=UPPER(TRIM('Real results'!C100))),1,0)+IF(UPPER(TRIM('Raw data'!AA98))=UPPER(TRIM('Real results'!C98)),2,0),0),0)</f>
        <v>0</v>
      </c>
      <c r="AC100" s="29">
        <f>IFERROR(IF('Raw data'!AC98&lt;&gt;"",IF(OR(UPPER(TRIM('Raw data'!AC98))=UPPER(TRIM('Real results'!C98)),UPPER(TRIM('Raw data'!AC98))=UPPER(TRIM('Real results'!C99)),UPPER(TRIM('Raw data'!AC98))=UPPER(TRIM('Real results'!C100))),1,0)+IF(UPPER(TRIM('Raw data'!AC98))=UPPER(TRIM('Real results'!C98)),2,0),0),0)</f>
        <v>0</v>
      </c>
      <c r="AE100" s="29">
        <f>IFERROR(IF('Raw data'!AE98&lt;&gt;"",IF(OR(UPPER(TRIM('Raw data'!AE98))=UPPER(TRIM('Real results'!C98)),UPPER(TRIM('Raw data'!AE98))=UPPER(TRIM('Real results'!C99)),UPPER(TRIM('Raw data'!AE98))=UPPER(TRIM('Real results'!C100))),1,0)+IF(UPPER(TRIM('Raw data'!AE98))=UPPER(TRIM('Real results'!C98)),2,0),0),0)</f>
        <v>0</v>
      </c>
      <c r="AG100" s="29">
        <f>IFERROR(IF('Raw data'!AG98&lt;&gt;"",IF(OR(UPPER(TRIM('Raw data'!AG98))=UPPER(TRIM('Real results'!C98)),UPPER(TRIM('Raw data'!AG98))=UPPER(TRIM('Real results'!C99)),UPPER(TRIM('Raw data'!AG98))=UPPER(TRIM('Real results'!C100))),1,0)+IF(UPPER(TRIM('Raw data'!AG98))=UPPER(TRIM('Real results'!C98)),2,0),0),0)</f>
        <v>0</v>
      </c>
      <c r="AI100" s="29">
        <f>IFERROR(IF('Raw data'!AI98&lt;&gt;"",IF(OR(UPPER(TRIM('Raw data'!AI98))=UPPER(TRIM('Real results'!C98)),UPPER(TRIM('Raw data'!AI98))=UPPER(TRIM('Real results'!C99)),UPPER(TRIM('Raw data'!AI98))=UPPER(TRIM('Real results'!C100))),1,0)+IF(UPPER(TRIM('Raw data'!AI98))=UPPER(TRIM('Real results'!C98)),2,0),0),0)</f>
        <v>0</v>
      </c>
      <c r="AK100" s="29">
        <f>IFERROR(IF('Raw data'!AK98&lt;&gt;"",IF(OR(UPPER(TRIM('Raw data'!AK98))=UPPER(TRIM('Real results'!C98)),UPPER(TRIM('Raw data'!AK98))=UPPER(TRIM('Real results'!C99)),UPPER(TRIM('Raw data'!AK98))=UPPER(TRIM('Real results'!C100))),1,0)+IF(UPPER(TRIM('Raw data'!AK98))=UPPER(TRIM('Real results'!C98)),2,0),0),0)</f>
        <v>0</v>
      </c>
      <c r="AM100" s="29">
        <f>IFERROR(IF('Raw data'!AM98&lt;&gt;"",IF(OR(UPPER(TRIM('Raw data'!AM98))=UPPER(TRIM('Real results'!C98)),UPPER(TRIM('Raw data'!AM98))=UPPER(TRIM('Real results'!C99)),UPPER(TRIM('Raw data'!AM98))=UPPER(TRIM('Real results'!C100))),1,0)+IF(UPPER(TRIM('Raw data'!AM98))=UPPER(TRIM('Real results'!C98)),2,0),0),0)</f>
        <v>0</v>
      </c>
      <c r="AO100" s="29">
        <f>IFERROR(IF('Raw data'!AO98&lt;&gt;"",IF(OR(UPPER(TRIM('Raw data'!AO98))=UPPER(TRIM('Real results'!C98)),UPPER(TRIM('Raw data'!AO98))=UPPER(TRIM('Real results'!C99)),UPPER(TRIM('Raw data'!AO98))=UPPER(TRIM('Real results'!C100))),1,0)+IF(UPPER(TRIM('Raw data'!AO98))=UPPER(TRIM('Real results'!C98)),2,0),0),0)</f>
        <v>0</v>
      </c>
      <c r="AQ100" s="29">
        <f>IFERROR(IF('Raw data'!AQ98&lt;&gt;"",IF(OR(UPPER(TRIM('Raw data'!AQ98))=UPPER(TRIM('Real results'!C98)),UPPER(TRIM('Raw data'!AQ98))=UPPER(TRIM('Real results'!C99)),UPPER(TRIM('Raw data'!AQ98))=UPPER(TRIM('Real results'!C100))),1,0)+IF(UPPER(TRIM('Raw data'!AQ98))=UPPER(TRIM('Real results'!C98)),2,0),0),0)</f>
        <v>0</v>
      </c>
      <c r="AS100" s="29">
        <f>IFERROR(IF('Raw data'!AS98&lt;&gt;"",IF(OR(UPPER(TRIM('Raw data'!AS98))=UPPER(TRIM('Real results'!C98)),UPPER(TRIM('Raw data'!AS98))=UPPER(TRIM('Real results'!C99)),UPPER(TRIM('Raw data'!AS98))=UPPER(TRIM('Real results'!C100))),1,0)+IF(UPPER(TRIM('Raw data'!AS98))=UPPER(TRIM('Real results'!C98)),2,0),0),0)</f>
        <v>0</v>
      </c>
      <c r="AU100" s="29">
        <f>IFERROR(IF('Raw data'!AU98&lt;&gt;"",IF(OR(UPPER(TRIM('Raw data'!AU98))=UPPER(TRIM('Real results'!C98)),UPPER(TRIM('Raw data'!AU98))=UPPER(TRIM('Real results'!C99)),UPPER(TRIM('Raw data'!AU98))=UPPER(TRIM('Real results'!C100))),1,0)+IF(UPPER(TRIM('Raw data'!AU98))=UPPER(TRIM('Real results'!C98)),2,0),0),0)</f>
        <v>0</v>
      </c>
      <c r="AW100" s="29">
        <f>IFERROR(IF('Raw data'!AW98&lt;&gt;"",IF(OR(UPPER(TRIM('Raw data'!AW98))=UPPER(TRIM('Real results'!C98)),UPPER(TRIM('Raw data'!AW98))=UPPER(TRIM('Real results'!C99)),UPPER(TRIM('Raw data'!AW98))=UPPER(TRIM('Real results'!C100))),1,0)+IF(UPPER(TRIM('Raw data'!AW98))=UPPER(TRIM('Real results'!C98)),2,0),0),0)</f>
        <v>0</v>
      </c>
      <c r="AY100" s="29">
        <f>IFERROR(IF('Raw data'!AY98&lt;&gt;"",IF(OR(UPPER(TRIM('Raw data'!AY98))=UPPER(TRIM('Real results'!C98)),UPPER(TRIM('Raw data'!AY98))=UPPER(TRIM('Real results'!C99)),UPPER(TRIM('Raw data'!AY98))=UPPER(TRIM('Real results'!C100))),1,0)+IF(UPPER(TRIM('Raw data'!AY98))=UPPER(TRIM('Real results'!C98)),2,0),0),0)</f>
        <v>0</v>
      </c>
      <c r="BA100" s="29">
        <f>IFERROR(IF('Raw data'!BA98&lt;&gt;"",IF(OR(UPPER(TRIM('Raw data'!BA98))=UPPER(TRIM('Real results'!C98)),UPPER(TRIM('Raw data'!BA98))=UPPER(TRIM('Real results'!C99)),UPPER(TRIM('Raw data'!BA98))=UPPER(TRIM('Real results'!C100))),1,0)+IF(UPPER(TRIM('Raw data'!BA98))=UPPER(TRIM('Real results'!C98)),2,0),0),0)</f>
        <v>0</v>
      </c>
      <c r="BC100" s="29">
        <f>IFERROR(IF('Raw data'!BC98&lt;&gt;"",IF(OR(UPPER(TRIM('Raw data'!BC98))=UPPER(TRIM('Real results'!C98)),UPPER(TRIM('Raw data'!BC98))=UPPER(TRIM('Real results'!C99)),UPPER(TRIM('Raw data'!BC98))=UPPER(TRIM('Real results'!C100))),1,0)+IF(UPPER(TRIM('Raw data'!BC98))=UPPER(TRIM('Real results'!C98)),2,0),0),0)</f>
        <v>0</v>
      </c>
      <c r="BE100" s="29">
        <f>IFERROR(IF('Raw data'!BE98&lt;&gt;"",IF(OR(UPPER(TRIM('Raw data'!BE98))=UPPER(TRIM('Real results'!C98)),UPPER(TRIM('Raw data'!BE98))=UPPER(TRIM('Real results'!C99)),UPPER(TRIM('Raw data'!BE98))=UPPER(TRIM('Real results'!C100))),1,0)+IF(UPPER(TRIM('Raw data'!BE98))=UPPER(TRIM('Real results'!C98)),2,0),0),0)</f>
        <v>0</v>
      </c>
      <c r="BG100" s="29">
        <f>IFERROR(IF('Raw data'!BG98&lt;&gt;"",IF(OR(UPPER(TRIM('Raw data'!BG98))=UPPER(TRIM('Real results'!C98)),UPPER(TRIM('Raw data'!BG98))=UPPER(TRIM('Real results'!C99)),UPPER(TRIM('Raw data'!BG98))=UPPER(TRIM('Real results'!C100))),1,0)+IF(UPPER(TRIM('Raw data'!BG98))=UPPER(TRIM('Real results'!C98)),2,0),0),0)</f>
        <v>0</v>
      </c>
      <c r="BI100" s="29">
        <f>IFERROR(IF('Raw data'!BI98&lt;&gt;"",IF(OR(UPPER(TRIM('Raw data'!BI98))=UPPER(TRIM('Real results'!C98)),UPPER(TRIM('Raw data'!BI98))=UPPER(TRIM('Real results'!C99)),UPPER(TRIM('Raw data'!BI98))=UPPER(TRIM('Real results'!C100))),1,0)+IF(UPPER(TRIM('Raw data'!BI98))=UPPER(TRIM('Real results'!C98)),2,0),0),0)</f>
        <v>0</v>
      </c>
    </row>
    <row r="101" ht="18.0" customHeight="1">
      <c r="A101" s="1"/>
      <c r="B101" s="13" t="s">
        <v>382</v>
      </c>
      <c r="C101" s="29">
        <f>IFERROR(IF('Raw data'!C99&lt;&gt;"",IF(OR(UPPER(TRIM('Raw data'!C99))=UPPER(TRIM('Real results'!C98)),UPPER(TRIM('Raw data'!C99))=UPPER(TRIM('Real results'!C99)),UPPER(TRIM('Raw data'!C99))=UPPER(TRIM('Real results'!C100))),1,0),0),0)</f>
        <v>0</v>
      </c>
      <c r="E101" s="29">
        <f>IFERROR(IF('Raw data'!E99&lt;&gt;"",IF(OR(UPPER(TRIM('Raw data'!E99))=UPPER(TRIM('Real results'!C98)),UPPER(TRIM('Raw data'!E99))=UPPER(TRIM('Real results'!C99)),UPPER(TRIM('Raw data'!E99))=UPPER(TRIM('Real results'!C100))),1,0),0),0)</f>
        <v>0</v>
      </c>
      <c r="G101" s="29">
        <f>IFERROR(IF('Raw data'!G99&lt;&gt;"",IF(OR(UPPER(TRIM('Raw data'!G99))=UPPER(TRIM('Real results'!C98)),UPPER(TRIM('Raw data'!G99))=UPPER(TRIM('Real results'!C99)),UPPER(TRIM('Raw data'!G99))=UPPER(TRIM('Real results'!C100))),1,0),0),0)</f>
        <v>0</v>
      </c>
      <c r="I101" s="29">
        <f>IFERROR(IF('Raw data'!I99&lt;&gt;"",IF(OR(UPPER(TRIM('Raw data'!I99))=UPPER(TRIM('Real results'!C98)),UPPER(TRIM('Raw data'!I99))=UPPER(TRIM('Real results'!C99)),UPPER(TRIM('Raw data'!I99))=UPPER(TRIM('Real results'!C100))),1,0),0),0)</f>
        <v>0</v>
      </c>
      <c r="K101" s="29">
        <f>IFERROR(IF('Raw data'!K99&lt;&gt;"",IF(OR(UPPER(TRIM('Raw data'!K99))=UPPER(TRIM('Real results'!C98)),UPPER(TRIM('Raw data'!K99))=UPPER(TRIM('Real results'!C99)),UPPER(TRIM('Raw data'!K99))=UPPER(TRIM('Real results'!C100))),1,0),0),0)</f>
        <v>0</v>
      </c>
      <c r="M101" s="29">
        <f>IFERROR(IF('Raw data'!M99&lt;&gt;"",IF(OR(UPPER(TRIM('Raw data'!M99))=UPPER(TRIM('Real results'!C98)),UPPER(TRIM('Raw data'!M99))=UPPER(TRIM('Real results'!C99)),UPPER(TRIM('Raw data'!M99))=UPPER(TRIM('Real results'!C100))),1,0),0),0)</f>
        <v>0</v>
      </c>
      <c r="O101" s="29">
        <f>IFERROR(IF('Raw data'!O99&lt;&gt;"",IF(OR(UPPER(TRIM('Raw data'!O99))=UPPER(TRIM('Real results'!C98)),UPPER(TRIM('Raw data'!O99))=UPPER(TRIM('Real results'!C99)),UPPER(TRIM('Raw data'!O99))=UPPER(TRIM('Real results'!C100))),1,0),0),0)</f>
        <v>0</v>
      </c>
      <c r="Q101" s="29">
        <f>IFERROR(IF('Raw data'!Q99&lt;&gt;"",IF(OR(UPPER(TRIM('Raw data'!Q99))=UPPER(TRIM('Real results'!C98)),UPPER(TRIM('Raw data'!Q99))=UPPER(TRIM('Real results'!C99)),UPPER(TRIM('Raw data'!Q99))=UPPER(TRIM('Real results'!C100))),1,0),0),0)</f>
        <v>0</v>
      </c>
      <c r="S101" s="29">
        <f>IFERROR(IF('Raw data'!S99&lt;&gt;"",IF(OR(UPPER(TRIM('Raw data'!S99))=UPPER(TRIM('Real results'!C98)),UPPER(TRIM('Raw data'!S99))=UPPER(TRIM('Real results'!C99)),UPPER(TRIM('Raw data'!S99))=UPPER(TRIM('Real results'!C100))),1,0),0),0)</f>
        <v>0</v>
      </c>
      <c r="U101" s="29">
        <f>IFERROR(IF('Raw data'!U99&lt;&gt;"",IF(OR(UPPER(TRIM('Raw data'!U99))=UPPER(TRIM('Real results'!C98)),UPPER(TRIM('Raw data'!U99))=UPPER(TRIM('Real results'!C99)),UPPER(TRIM('Raw data'!U99))=UPPER(TRIM('Real results'!C100))),1,0),0),0)</f>
        <v>0</v>
      </c>
      <c r="W101" s="29">
        <f>IFERROR(IF('Raw data'!W99&lt;&gt;"",IF(OR(UPPER(TRIM('Raw data'!W99))=UPPER(TRIM('Real results'!C98)),UPPER(TRIM('Raw data'!W99))=UPPER(TRIM('Real results'!C99)),UPPER(TRIM('Raw data'!W99))=UPPER(TRIM('Real results'!C100))),1,0),0),0)</f>
        <v>0</v>
      </c>
      <c r="Y101" s="29">
        <f>IFERROR(IF('Raw data'!Y99&lt;&gt;"",IF(OR(UPPER(TRIM('Raw data'!Y99))=UPPER(TRIM('Real results'!C98)),UPPER(TRIM('Raw data'!Y99))=UPPER(TRIM('Real results'!C99)),UPPER(TRIM('Raw data'!Y99))=UPPER(TRIM('Real results'!C100))),1,0),0),0)</f>
        <v>0</v>
      </c>
      <c r="AA101" s="29">
        <f>IFERROR(IF('Raw data'!AA99&lt;&gt;"",IF(OR(UPPER(TRIM('Raw data'!AA99))=UPPER(TRIM('Real results'!C98)),UPPER(TRIM('Raw data'!AA99))=UPPER(TRIM('Real results'!C99)),UPPER(TRIM('Raw data'!AA99))=UPPER(TRIM('Real results'!C100))),1,0),0),0)</f>
        <v>0</v>
      </c>
      <c r="AC101" s="29">
        <f>IFERROR(IF('Raw data'!AC99&lt;&gt;"",IF(OR(UPPER(TRIM('Raw data'!AC99))=UPPER(TRIM('Real results'!C98)),UPPER(TRIM('Raw data'!AC99))=UPPER(TRIM('Real results'!C99)),UPPER(TRIM('Raw data'!AC99))=UPPER(TRIM('Real results'!C100))),1,0),0),0)</f>
        <v>0</v>
      </c>
      <c r="AE101" s="29">
        <f>IFERROR(IF('Raw data'!AE99&lt;&gt;"",IF(OR(UPPER(TRIM('Raw data'!AE99))=UPPER(TRIM('Real results'!C98)),UPPER(TRIM('Raw data'!AE99))=UPPER(TRIM('Real results'!C99)),UPPER(TRIM('Raw data'!AE99))=UPPER(TRIM('Real results'!C100))),1,0),0),0)</f>
        <v>0</v>
      </c>
      <c r="AG101" s="29">
        <f>IFERROR(IF('Raw data'!AG99&lt;&gt;"",IF(OR(UPPER(TRIM('Raw data'!AG99))=UPPER(TRIM('Real results'!C98)),UPPER(TRIM('Raw data'!AG99))=UPPER(TRIM('Real results'!C99)),UPPER(TRIM('Raw data'!AG99))=UPPER(TRIM('Real results'!C100))),1,0),0),0)</f>
        <v>0</v>
      </c>
      <c r="AI101" s="29">
        <f>IFERROR(IF('Raw data'!AI99&lt;&gt;"",IF(OR(UPPER(TRIM('Raw data'!AI99))=UPPER(TRIM('Real results'!C98)),UPPER(TRIM('Raw data'!AI99))=UPPER(TRIM('Real results'!C99)),UPPER(TRIM('Raw data'!AI99))=UPPER(TRIM('Real results'!C100))),1,0),0),0)</f>
        <v>0</v>
      </c>
      <c r="AK101" s="29">
        <f>IFERROR(IF('Raw data'!AK99&lt;&gt;"",IF(OR(UPPER(TRIM('Raw data'!AK99))=UPPER(TRIM('Real results'!C98)),UPPER(TRIM('Raw data'!AK99))=UPPER(TRIM('Real results'!C99)),UPPER(TRIM('Raw data'!AK99))=UPPER(TRIM('Real results'!C100))),1,0),0),0)</f>
        <v>0</v>
      </c>
      <c r="AM101" s="29">
        <f>IFERROR(IF('Raw data'!AM99&lt;&gt;"",IF(OR(UPPER(TRIM('Raw data'!AM99))=UPPER(TRIM('Real results'!C98)),UPPER(TRIM('Raw data'!AM99))=UPPER(TRIM('Real results'!C99)),UPPER(TRIM('Raw data'!AM99))=UPPER(TRIM('Real results'!C100))),1,0),0),0)</f>
        <v>0</v>
      </c>
      <c r="AO101" s="29">
        <f>IFERROR(IF('Raw data'!AO99&lt;&gt;"",IF(OR(UPPER(TRIM('Raw data'!AO99))=UPPER(TRIM('Real results'!C98)),UPPER(TRIM('Raw data'!AO99))=UPPER(TRIM('Real results'!C99)),UPPER(TRIM('Raw data'!AO99))=UPPER(TRIM('Real results'!C100))),1,0),0),0)</f>
        <v>0</v>
      </c>
      <c r="AQ101" s="29">
        <f>IFERROR(IF('Raw data'!AQ99&lt;&gt;"",IF(OR(UPPER(TRIM('Raw data'!AQ99))=UPPER(TRIM('Real results'!C98)),UPPER(TRIM('Raw data'!AQ99))=UPPER(TRIM('Real results'!C99)),UPPER(TRIM('Raw data'!AQ99))=UPPER(TRIM('Real results'!C100))),1,0),0),0)</f>
        <v>0</v>
      </c>
      <c r="AS101" s="29">
        <f>IFERROR(IF('Raw data'!AS99&lt;&gt;"",IF(OR(UPPER(TRIM('Raw data'!AS99))=UPPER(TRIM('Real results'!C98)),UPPER(TRIM('Raw data'!AS99))=UPPER(TRIM('Real results'!C99)),UPPER(TRIM('Raw data'!AS99))=UPPER(TRIM('Real results'!C100))),1,0),0),0)</f>
        <v>0</v>
      </c>
      <c r="AU101" s="29">
        <f>IFERROR(IF('Raw data'!AU99&lt;&gt;"",IF(OR(UPPER(TRIM('Raw data'!AU99))=UPPER(TRIM('Real results'!C98)),UPPER(TRIM('Raw data'!AU99))=UPPER(TRIM('Real results'!C99)),UPPER(TRIM('Raw data'!AU99))=UPPER(TRIM('Real results'!C100))),1,0),0),0)</f>
        <v>0</v>
      </c>
      <c r="AW101" s="29">
        <f>IFERROR(IF('Raw data'!AW99&lt;&gt;"",IF(OR(UPPER(TRIM('Raw data'!AW99))=UPPER(TRIM('Real results'!C98)),UPPER(TRIM('Raw data'!AW99))=UPPER(TRIM('Real results'!C99)),UPPER(TRIM('Raw data'!AW99))=UPPER(TRIM('Real results'!C100))),1,0),0),0)</f>
        <v>0</v>
      </c>
      <c r="AY101" s="29">
        <f>IFERROR(IF('Raw data'!AY99&lt;&gt;"",IF(OR(UPPER(TRIM('Raw data'!AY99))=UPPER(TRIM('Real results'!C98)),UPPER(TRIM('Raw data'!AY99))=UPPER(TRIM('Real results'!C99)),UPPER(TRIM('Raw data'!AY99))=UPPER(TRIM('Real results'!C100))),1,0),0),0)</f>
        <v>0</v>
      </c>
      <c r="BA101" s="29">
        <f>IFERROR(IF('Raw data'!BA99&lt;&gt;"",IF(OR(UPPER(TRIM('Raw data'!BA99))=UPPER(TRIM('Real results'!C98)),UPPER(TRIM('Raw data'!BA99))=UPPER(TRIM('Real results'!C99)),UPPER(TRIM('Raw data'!BA99))=UPPER(TRIM('Real results'!C100))),1,0),0),0)</f>
        <v>0</v>
      </c>
      <c r="BC101" s="29">
        <f>IFERROR(IF('Raw data'!BC99&lt;&gt;"",IF(OR(UPPER(TRIM('Raw data'!BC99))=UPPER(TRIM('Real results'!C98)),UPPER(TRIM('Raw data'!BC99))=UPPER(TRIM('Real results'!C99)),UPPER(TRIM('Raw data'!BC99))=UPPER(TRIM('Real results'!C100))),1,0),0),0)</f>
        <v>0</v>
      </c>
      <c r="BE101" s="29">
        <f>IFERROR(IF('Raw data'!BE99&lt;&gt;"",IF(OR(UPPER(TRIM('Raw data'!BE99))=UPPER(TRIM('Real results'!C98)),UPPER(TRIM('Raw data'!BE99))=UPPER(TRIM('Real results'!C99)),UPPER(TRIM('Raw data'!BE99))=UPPER(TRIM('Real results'!C100))),1,0),0),0)</f>
        <v>0</v>
      </c>
      <c r="BG101" s="29">
        <f>IFERROR(IF('Raw data'!BG99&lt;&gt;"",IF(OR(UPPER(TRIM('Raw data'!BG99))=UPPER(TRIM('Real results'!C98)),UPPER(TRIM('Raw data'!BG99))=UPPER(TRIM('Real results'!C99)),UPPER(TRIM('Raw data'!BG99))=UPPER(TRIM('Real results'!C100))),1,0),0),0)</f>
        <v>0</v>
      </c>
      <c r="BI101" s="29">
        <f>IFERROR(IF('Raw data'!BI99&lt;&gt;"",IF(OR(UPPER(TRIM('Raw data'!BI99))=UPPER(TRIM('Real results'!C98)),UPPER(TRIM('Raw data'!BI99))=UPPER(TRIM('Real results'!C99)),UPPER(TRIM('Raw data'!BI99))=UPPER(TRIM('Real results'!C100))),1,0),0),0)</f>
        <v>0</v>
      </c>
    </row>
    <row r="102" ht="18.0" customHeight="1">
      <c r="A102" s="1"/>
      <c r="B102" s="13" t="s">
        <v>383</v>
      </c>
      <c r="C102" s="29">
        <f>IFERROR(IF('Raw data'!C100&lt;&gt;"",IF(OR(UPPER(TRIM('Raw data'!C100))=UPPER(TRIM('Real results'!C98)),UPPER(TRIM('Raw data'!C100))=UPPER(TRIM('Real results'!C99)),UPPER(TRIM('Raw data'!C100))=UPPER(TRIM('Real results'!C100))),1,0),0),0)</f>
        <v>0</v>
      </c>
      <c r="E102" s="29">
        <f>IFERROR(IF('Raw data'!E100&lt;&gt;"",IF(OR(UPPER(TRIM('Raw data'!E100))=UPPER(TRIM('Real results'!C98)),UPPER(TRIM('Raw data'!E100))=UPPER(TRIM('Real results'!C99)),UPPER(TRIM('Raw data'!E100))=UPPER(TRIM('Real results'!C100))),1,0),0),0)</f>
        <v>0</v>
      </c>
      <c r="G102" s="29">
        <f>IFERROR(IF('Raw data'!G100&lt;&gt;"",IF(OR(UPPER(TRIM('Raw data'!G100))=UPPER(TRIM('Real results'!C98)),UPPER(TRIM('Raw data'!G100))=UPPER(TRIM('Real results'!C99)),UPPER(TRIM('Raw data'!G100))=UPPER(TRIM('Real results'!C100))),1,0),0),0)</f>
        <v>0</v>
      </c>
      <c r="I102" s="29">
        <f>IFERROR(IF('Raw data'!I100&lt;&gt;"",IF(OR(UPPER(TRIM('Raw data'!I100))=UPPER(TRIM('Real results'!C98)),UPPER(TRIM('Raw data'!I100))=UPPER(TRIM('Real results'!C99)),UPPER(TRIM('Raw data'!I100))=UPPER(TRIM('Real results'!C100))),1,0),0),0)</f>
        <v>0</v>
      </c>
      <c r="K102" s="29">
        <f>IFERROR(IF('Raw data'!K100&lt;&gt;"",IF(OR(UPPER(TRIM('Raw data'!K100))=UPPER(TRIM('Real results'!C98)),UPPER(TRIM('Raw data'!K100))=UPPER(TRIM('Real results'!C99)),UPPER(TRIM('Raw data'!K100))=UPPER(TRIM('Real results'!C100))),1,0),0),0)</f>
        <v>0</v>
      </c>
      <c r="M102" s="29">
        <f>IFERROR(IF('Raw data'!M100&lt;&gt;"",IF(OR(UPPER(TRIM('Raw data'!M100))=UPPER(TRIM('Real results'!C98)),UPPER(TRIM('Raw data'!M100))=UPPER(TRIM('Real results'!C99)),UPPER(TRIM('Raw data'!M100))=UPPER(TRIM('Real results'!C100))),1,0),0),0)</f>
        <v>0</v>
      </c>
      <c r="O102" s="29">
        <f>IFERROR(IF('Raw data'!O100&lt;&gt;"",IF(OR(UPPER(TRIM('Raw data'!O100))=UPPER(TRIM('Real results'!C98)),UPPER(TRIM('Raw data'!O100))=UPPER(TRIM('Real results'!C99)),UPPER(TRIM('Raw data'!O100))=UPPER(TRIM('Real results'!C100))),1,0),0),0)</f>
        <v>0</v>
      </c>
      <c r="Q102" s="29">
        <f>IFERROR(IF('Raw data'!Q100&lt;&gt;"",IF(OR(UPPER(TRIM('Raw data'!Q100))=UPPER(TRIM('Real results'!C98)),UPPER(TRIM('Raw data'!Q100))=UPPER(TRIM('Real results'!C99)),UPPER(TRIM('Raw data'!Q100))=UPPER(TRIM('Real results'!C100))),1,0),0),0)</f>
        <v>0</v>
      </c>
      <c r="S102" s="29">
        <f>IFERROR(IF('Raw data'!S100&lt;&gt;"",IF(OR(UPPER(TRIM('Raw data'!S100))=UPPER(TRIM('Real results'!C98)),UPPER(TRIM('Raw data'!S100))=UPPER(TRIM('Real results'!C99)),UPPER(TRIM('Raw data'!S100))=UPPER(TRIM('Real results'!C100))),1,0),0),0)</f>
        <v>0</v>
      </c>
      <c r="U102" s="29">
        <f>IFERROR(IF('Raw data'!U100&lt;&gt;"",IF(OR(UPPER(TRIM('Raw data'!U100))=UPPER(TRIM('Real results'!C98)),UPPER(TRIM('Raw data'!U100))=UPPER(TRIM('Real results'!C99)),UPPER(TRIM('Raw data'!U100))=UPPER(TRIM('Real results'!C100))),1,0),0),0)</f>
        <v>0</v>
      </c>
      <c r="W102" s="29">
        <f>IFERROR(IF('Raw data'!W100&lt;&gt;"",IF(OR(UPPER(TRIM('Raw data'!W100))=UPPER(TRIM('Real results'!C98)),UPPER(TRIM('Raw data'!W100))=UPPER(TRIM('Real results'!C99)),UPPER(TRIM('Raw data'!W100))=UPPER(TRIM('Real results'!C100))),1,0),0),0)</f>
        <v>0</v>
      </c>
      <c r="Y102" s="29">
        <f>IFERROR(IF('Raw data'!Y100&lt;&gt;"",IF(OR(UPPER(TRIM('Raw data'!Y100))=UPPER(TRIM('Real results'!C98)),UPPER(TRIM('Raw data'!Y100))=UPPER(TRIM('Real results'!C99)),UPPER(TRIM('Raw data'!Y100))=UPPER(TRIM('Real results'!C100))),1,0),0),0)</f>
        <v>0</v>
      </c>
      <c r="AA102" s="29">
        <f>IFERROR(IF('Raw data'!AA100&lt;&gt;"",IF(OR(UPPER(TRIM('Raw data'!AA100))=UPPER(TRIM('Real results'!C98)),UPPER(TRIM('Raw data'!AA100))=UPPER(TRIM('Real results'!C99)),UPPER(TRIM('Raw data'!AA100))=UPPER(TRIM('Real results'!C100))),1,0),0),0)</f>
        <v>0</v>
      </c>
      <c r="AC102" s="29">
        <f>IFERROR(IF('Raw data'!AC100&lt;&gt;"",IF(OR(UPPER(TRIM('Raw data'!AC100))=UPPER(TRIM('Real results'!C98)),UPPER(TRIM('Raw data'!AC100))=UPPER(TRIM('Real results'!C99)),UPPER(TRIM('Raw data'!AC100))=UPPER(TRIM('Real results'!C100))),1,0),0),0)</f>
        <v>0</v>
      </c>
      <c r="AE102" s="29">
        <f>IFERROR(IF('Raw data'!AE100&lt;&gt;"",IF(OR(UPPER(TRIM('Raw data'!AE100))=UPPER(TRIM('Real results'!C98)),UPPER(TRIM('Raw data'!AE100))=UPPER(TRIM('Real results'!C99)),UPPER(TRIM('Raw data'!AE100))=UPPER(TRIM('Real results'!C100))),1,0),0),0)</f>
        <v>0</v>
      </c>
      <c r="AG102" s="29">
        <f>IFERROR(IF('Raw data'!AG100&lt;&gt;"",IF(OR(UPPER(TRIM('Raw data'!AG100))=UPPER(TRIM('Real results'!C98)),UPPER(TRIM('Raw data'!AG100))=UPPER(TRIM('Real results'!C99)),UPPER(TRIM('Raw data'!AG100))=UPPER(TRIM('Real results'!C100))),1,0),0),0)</f>
        <v>0</v>
      </c>
      <c r="AI102" s="29">
        <f>IFERROR(IF('Raw data'!AI100&lt;&gt;"",IF(OR(UPPER(TRIM('Raw data'!AI100))=UPPER(TRIM('Real results'!C98)),UPPER(TRIM('Raw data'!AI100))=UPPER(TRIM('Real results'!C99)),UPPER(TRIM('Raw data'!AI100))=UPPER(TRIM('Real results'!C100))),1,0),0),0)</f>
        <v>0</v>
      </c>
      <c r="AK102" s="29">
        <f>IFERROR(IF('Raw data'!AK100&lt;&gt;"",IF(OR(UPPER(TRIM('Raw data'!AK100))=UPPER(TRIM('Real results'!C98)),UPPER(TRIM('Raw data'!AK100))=UPPER(TRIM('Real results'!C99)),UPPER(TRIM('Raw data'!AK100))=UPPER(TRIM('Real results'!C100))),1,0),0),0)</f>
        <v>0</v>
      </c>
      <c r="AM102" s="29">
        <f>IFERROR(IF('Raw data'!AM100&lt;&gt;"",IF(OR(UPPER(TRIM('Raw data'!AM100))=UPPER(TRIM('Real results'!C98)),UPPER(TRIM('Raw data'!AM100))=UPPER(TRIM('Real results'!C99)),UPPER(TRIM('Raw data'!AM100))=UPPER(TRIM('Real results'!C100))),1,0),0),0)</f>
        <v>0</v>
      </c>
      <c r="AO102" s="29">
        <f>IFERROR(IF('Raw data'!AO100&lt;&gt;"",IF(OR(UPPER(TRIM('Raw data'!AO100))=UPPER(TRIM('Real results'!C98)),UPPER(TRIM('Raw data'!AO100))=UPPER(TRIM('Real results'!C99)),UPPER(TRIM('Raw data'!AO100))=UPPER(TRIM('Real results'!C100))),1,0),0),0)</f>
        <v>0</v>
      </c>
      <c r="AQ102" s="29">
        <f>IFERROR(IF('Raw data'!AQ100&lt;&gt;"",IF(OR(UPPER(TRIM('Raw data'!AQ100))=UPPER(TRIM('Real results'!C98)),UPPER(TRIM('Raw data'!AQ100))=UPPER(TRIM('Real results'!C99)),UPPER(TRIM('Raw data'!AQ100))=UPPER(TRIM('Real results'!C100))),1,0),0),0)</f>
        <v>0</v>
      </c>
      <c r="AS102" s="29">
        <f>IFERROR(IF('Raw data'!AS100&lt;&gt;"",IF(OR(UPPER(TRIM('Raw data'!AS100))=UPPER(TRIM('Real results'!C98)),UPPER(TRIM('Raw data'!AS100))=UPPER(TRIM('Real results'!C99)),UPPER(TRIM('Raw data'!AS100))=UPPER(TRIM('Real results'!C100))),1,0),0),0)</f>
        <v>0</v>
      </c>
      <c r="AU102" s="29">
        <f>IFERROR(IF('Raw data'!AU100&lt;&gt;"",IF(OR(UPPER(TRIM('Raw data'!AU100))=UPPER(TRIM('Real results'!C98)),UPPER(TRIM('Raw data'!AU100))=UPPER(TRIM('Real results'!C99)),UPPER(TRIM('Raw data'!AU100))=UPPER(TRIM('Real results'!C100))),1,0),0),0)</f>
        <v>0</v>
      </c>
      <c r="AW102" s="29">
        <f>IFERROR(IF('Raw data'!AW100&lt;&gt;"",IF(OR(UPPER(TRIM('Raw data'!AW100))=UPPER(TRIM('Real results'!C98)),UPPER(TRIM('Raw data'!AW100))=UPPER(TRIM('Real results'!C99)),UPPER(TRIM('Raw data'!AW100))=UPPER(TRIM('Real results'!C100))),1,0),0),0)</f>
        <v>0</v>
      </c>
      <c r="AY102" s="29">
        <f>IFERROR(IF('Raw data'!AY100&lt;&gt;"",IF(OR(UPPER(TRIM('Raw data'!AY100))=UPPER(TRIM('Real results'!C98)),UPPER(TRIM('Raw data'!AY100))=UPPER(TRIM('Real results'!C99)),UPPER(TRIM('Raw data'!AY100))=UPPER(TRIM('Real results'!C100))),1,0),0),0)</f>
        <v>0</v>
      </c>
      <c r="BA102" s="29">
        <f>IFERROR(IF('Raw data'!BA100&lt;&gt;"",IF(OR(UPPER(TRIM('Raw data'!BA100))=UPPER(TRIM('Real results'!C98)),UPPER(TRIM('Raw data'!BA100))=UPPER(TRIM('Real results'!C99)),UPPER(TRIM('Raw data'!BA100))=UPPER(TRIM('Real results'!C100))),1,0),0),0)</f>
        <v>0</v>
      </c>
      <c r="BC102" s="29">
        <f>IFERROR(IF('Raw data'!BC100&lt;&gt;"",IF(OR(UPPER(TRIM('Raw data'!BC100))=UPPER(TRIM('Real results'!C98)),UPPER(TRIM('Raw data'!BC100))=UPPER(TRIM('Real results'!C99)),UPPER(TRIM('Raw data'!BC100))=UPPER(TRIM('Real results'!C100))),1,0),0),0)</f>
        <v>0</v>
      </c>
      <c r="BE102" s="29">
        <f>IFERROR(IF('Raw data'!BE100&lt;&gt;"",IF(OR(UPPER(TRIM('Raw data'!BE100))=UPPER(TRIM('Real results'!C98)),UPPER(TRIM('Raw data'!BE100))=UPPER(TRIM('Real results'!C99)),UPPER(TRIM('Raw data'!BE100))=UPPER(TRIM('Real results'!C100))),1,0),0),0)</f>
        <v>0</v>
      </c>
      <c r="BG102" s="29">
        <f>IFERROR(IF('Raw data'!BG100&lt;&gt;"",IF(OR(UPPER(TRIM('Raw data'!BG100))=UPPER(TRIM('Real results'!C98)),UPPER(TRIM('Raw data'!BG100))=UPPER(TRIM('Real results'!C99)),UPPER(TRIM('Raw data'!BG100))=UPPER(TRIM('Real results'!C100))),1,0),0),0)</f>
        <v>0</v>
      </c>
      <c r="BI102" s="29">
        <f>IFERROR(IF('Raw data'!BI100&lt;&gt;"",IF(OR(UPPER(TRIM('Raw data'!BI100))=UPPER(TRIM('Real results'!C98)),UPPER(TRIM('Raw data'!BI100))=UPPER(TRIM('Real results'!C99)),UPPER(TRIM('Raw data'!BI100))=UPPER(TRIM('Real results'!C100))),1,0),0),0)</f>
        <v>0</v>
      </c>
    </row>
    <row r="103" ht="18.0" customHeight="1">
      <c r="A103" s="1"/>
      <c r="B103" s="13" t="s">
        <v>384</v>
      </c>
      <c r="C103" s="29">
        <f>IFERROR(IF('Raw data'!C101&lt;&gt;"",IF(OR(UPPER(TRIM('Raw data'!C101))=UPPER(TRIM('Real results'!C101)),UPPER(TRIM('Raw data'!C101))=UPPER(TRIM('Real results'!C102)),UPPER(TRIM('Raw data'!C101))=UPPER(TRIM('Real results'!C103))),1,0)+IF(UPPER(TRIM('Raw data'!C101))=UPPER(TRIM('Real results'!C101)),2,0),0),0)</f>
        <v>0</v>
      </c>
      <c r="E103" s="29">
        <f>IFERROR(IF('Raw data'!E101&lt;&gt;"",IF(OR(UPPER(TRIM('Raw data'!E101))=UPPER(TRIM('Real results'!C101)),UPPER(TRIM('Raw data'!E101))=UPPER(TRIM('Real results'!C102)),UPPER(TRIM('Raw data'!E101))=UPPER(TRIM('Real results'!C103))),1,0)+IF(UPPER(TRIM('Raw data'!E101))=UPPER(TRIM('Real results'!C101)),2,0),0),0)</f>
        <v>0</v>
      </c>
      <c r="G103" s="29">
        <f>IFERROR(IF('Raw data'!G101&lt;&gt;"",IF(OR(UPPER(TRIM('Raw data'!G101))=UPPER(TRIM('Real results'!C101)),UPPER(TRIM('Raw data'!G101))=UPPER(TRIM('Real results'!C102)),UPPER(TRIM('Raw data'!G101))=UPPER(TRIM('Real results'!C103))),1,0)+IF(UPPER(TRIM('Raw data'!G101))=UPPER(TRIM('Real results'!C101)),2,0),0),0)</f>
        <v>0</v>
      </c>
      <c r="I103" s="29">
        <f>IFERROR(IF('Raw data'!I101&lt;&gt;"",IF(OR(UPPER(TRIM('Raw data'!I101))=UPPER(TRIM('Real results'!C101)),UPPER(TRIM('Raw data'!I101))=UPPER(TRIM('Real results'!C102)),UPPER(TRIM('Raw data'!I101))=UPPER(TRIM('Real results'!C103))),1,0)+IF(UPPER(TRIM('Raw data'!I101))=UPPER(TRIM('Real results'!C101)),2,0),0),0)</f>
        <v>0</v>
      </c>
      <c r="K103" s="29">
        <f>IFERROR(IF('Raw data'!K101&lt;&gt;"",IF(OR(UPPER(TRIM('Raw data'!K101))=UPPER(TRIM('Real results'!C101)),UPPER(TRIM('Raw data'!K101))=UPPER(TRIM('Real results'!C102)),UPPER(TRIM('Raw data'!K101))=UPPER(TRIM('Real results'!C103))),1,0)+IF(UPPER(TRIM('Raw data'!K101))=UPPER(TRIM('Real results'!C101)),2,0),0),0)</f>
        <v>0</v>
      </c>
      <c r="M103" s="29">
        <f>IFERROR(IF('Raw data'!M101&lt;&gt;"",IF(OR(UPPER(TRIM('Raw data'!M101))=UPPER(TRIM('Real results'!C101)),UPPER(TRIM('Raw data'!M101))=UPPER(TRIM('Real results'!C102)),UPPER(TRIM('Raw data'!M101))=UPPER(TRIM('Real results'!C103))),1,0)+IF(UPPER(TRIM('Raw data'!M101))=UPPER(TRIM('Real results'!C101)),2,0),0),0)</f>
        <v>0</v>
      </c>
      <c r="O103" s="29">
        <f>IFERROR(IF('Raw data'!O101&lt;&gt;"",IF(OR(UPPER(TRIM('Raw data'!O101))=UPPER(TRIM('Real results'!C101)),UPPER(TRIM('Raw data'!O101))=UPPER(TRIM('Real results'!C102)),UPPER(TRIM('Raw data'!O101))=UPPER(TRIM('Real results'!C103))),1,0)+IF(UPPER(TRIM('Raw data'!O101))=UPPER(TRIM('Real results'!C101)),2,0),0),0)</f>
        <v>0</v>
      </c>
      <c r="Q103" s="29">
        <f>IFERROR(IF('Raw data'!Q101&lt;&gt;"",IF(OR(UPPER(TRIM('Raw data'!Q101))=UPPER(TRIM('Real results'!C101)),UPPER(TRIM('Raw data'!Q101))=UPPER(TRIM('Real results'!C102)),UPPER(TRIM('Raw data'!Q101))=UPPER(TRIM('Real results'!C103))),1,0)+IF(UPPER(TRIM('Raw data'!Q101))=UPPER(TRIM('Real results'!C101)),2,0),0),0)</f>
        <v>0</v>
      </c>
      <c r="S103" s="29">
        <f>IFERROR(IF('Raw data'!S101&lt;&gt;"",IF(OR(UPPER(TRIM('Raw data'!S101))=UPPER(TRIM('Real results'!C101)),UPPER(TRIM('Raw data'!S101))=UPPER(TRIM('Real results'!C102)),UPPER(TRIM('Raw data'!S101))=UPPER(TRIM('Real results'!C103))),1,0)+IF(UPPER(TRIM('Raw data'!S101))=UPPER(TRIM('Real results'!C101)),2,0),0),0)</f>
        <v>0</v>
      </c>
      <c r="U103" s="29">
        <f>IFERROR(IF('Raw data'!U101&lt;&gt;"",IF(OR(UPPER(TRIM('Raw data'!U101))=UPPER(TRIM('Real results'!C101)),UPPER(TRIM('Raw data'!U101))=UPPER(TRIM('Real results'!C102)),UPPER(TRIM('Raw data'!U101))=UPPER(TRIM('Real results'!C103))),1,0)+IF(UPPER(TRIM('Raw data'!U101))=UPPER(TRIM('Real results'!C101)),2,0),0),0)</f>
        <v>0</v>
      </c>
      <c r="W103" s="29">
        <f>IFERROR(IF('Raw data'!W101&lt;&gt;"",IF(OR(UPPER(TRIM('Raw data'!W101))=UPPER(TRIM('Real results'!C101)),UPPER(TRIM('Raw data'!W101))=UPPER(TRIM('Real results'!C102)),UPPER(TRIM('Raw data'!W101))=UPPER(TRIM('Real results'!C103))),1,0)+IF(UPPER(TRIM('Raw data'!W101))=UPPER(TRIM('Real results'!C101)),2,0),0),0)</f>
        <v>0</v>
      </c>
      <c r="Y103" s="29">
        <f>IFERROR(IF('Raw data'!Y101&lt;&gt;"",IF(OR(UPPER(TRIM('Raw data'!Y101))=UPPER(TRIM('Real results'!C101)),UPPER(TRIM('Raw data'!Y101))=UPPER(TRIM('Real results'!C102)),UPPER(TRIM('Raw data'!Y101))=UPPER(TRIM('Real results'!C103))),1,0)+IF(UPPER(TRIM('Raw data'!Y101))=UPPER(TRIM('Real results'!C101)),2,0),0),0)</f>
        <v>0</v>
      </c>
      <c r="AA103" s="29">
        <f>IFERROR(IF('Raw data'!AA101&lt;&gt;"",IF(OR(UPPER(TRIM('Raw data'!AA101))=UPPER(TRIM('Real results'!C101)),UPPER(TRIM('Raw data'!AA101))=UPPER(TRIM('Real results'!C102)),UPPER(TRIM('Raw data'!AA101))=UPPER(TRIM('Real results'!C103))),1,0)+IF(UPPER(TRIM('Raw data'!AA101))=UPPER(TRIM('Real results'!C101)),2,0),0),0)</f>
        <v>0</v>
      </c>
      <c r="AC103" s="29">
        <f>IFERROR(IF('Raw data'!AC101&lt;&gt;"",IF(OR(UPPER(TRIM('Raw data'!AC101))=UPPER(TRIM('Real results'!C101)),UPPER(TRIM('Raw data'!AC101))=UPPER(TRIM('Real results'!C102)),UPPER(TRIM('Raw data'!AC101))=UPPER(TRIM('Real results'!C103))),1,0)+IF(UPPER(TRIM('Raw data'!AC101))=UPPER(TRIM('Real results'!C101)),2,0),0),0)</f>
        <v>0</v>
      </c>
      <c r="AE103" s="29">
        <f>IFERROR(IF('Raw data'!AE101&lt;&gt;"",IF(OR(UPPER(TRIM('Raw data'!AE101))=UPPER(TRIM('Real results'!C101)),UPPER(TRIM('Raw data'!AE101))=UPPER(TRIM('Real results'!C102)),UPPER(TRIM('Raw data'!AE101))=UPPER(TRIM('Real results'!C103))),1,0)+IF(UPPER(TRIM('Raw data'!AE101))=UPPER(TRIM('Real results'!C101)),2,0),0),0)</f>
        <v>0</v>
      </c>
      <c r="AG103" s="29">
        <f>IFERROR(IF('Raw data'!AG101&lt;&gt;"",IF(OR(UPPER(TRIM('Raw data'!AG101))=UPPER(TRIM('Real results'!C101)),UPPER(TRIM('Raw data'!AG101))=UPPER(TRIM('Real results'!C102)),UPPER(TRIM('Raw data'!AG101))=UPPER(TRIM('Real results'!C103))),1,0)+IF(UPPER(TRIM('Raw data'!AG101))=UPPER(TRIM('Real results'!C101)),2,0),0),0)</f>
        <v>0</v>
      </c>
      <c r="AI103" s="29">
        <f>IFERROR(IF('Raw data'!AI101&lt;&gt;"",IF(OR(UPPER(TRIM('Raw data'!AI101))=UPPER(TRIM('Real results'!C101)),UPPER(TRIM('Raw data'!AI101))=UPPER(TRIM('Real results'!C102)),UPPER(TRIM('Raw data'!AI101))=UPPER(TRIM('Real results'!C103))),1,0)+IF(UPPER(TRIM('Raw data'!AI101))=UPPER(TRIM('Real results'!C101)),2,0),0),0)</f>
        <v>0</v>
      </c>
      <c r="AK103" s="29">
        <f>IFERROR(IF('Raw data'!AK101&lt;&gt;"",IF(OR(UPPER(TRIM('Raw data'!AK101))=UPPER(TRIM('Real results'!C101)),UPPER(TRIM('Raw data'!AK101))=UPPER(TRIM('Real results'!C102)),UPPER(TRIM('Raw data'!AK101))=UPPER(TRIM('Real results'!C103))),1,0)+IF(UPPER(TRIM('Raw data'!AK101))=UPPER(TRIM('Real results'!C101)),2,0),0),0)</f>
        <v>0</v>
      </c>
      <c r="AM103" s="29">
        <f>IFERROR(IF('Raw data'!AM101&lt;&gt;"",IF(OR(UPPER(TRIM('Raw data'!AM101))=UPPER(TRIM('Real results'!C101)),UPPER(TRIM('Raw data'!AM101))=UPPER(TRIM('Real results'!C102)),UPPER(TRIM('Raw data'!AM101))=UPPER(TRIM('Real results'!C103))),1,0)+IF(UPPER(TRIM('Raw data'!AM101))=UPPER(TRIM('Real results'!C101)),2,0),0),0)</f>
        <v>0</v>
      </c>
      <c r="AO103" s="29">
        <f>IFERROR(IF('Raw data'!AO101&lt;&gt;"",IF(OR(UPPER(TRIM('Raw data'!AO101))=UPPER(TRIM('Real results'!C101)),UPPER(TRIM('Raw data'!AO101))=UPPER(TRIM('Real results'!C102)),UPPER(TRIM('Raw data'!AO101))=UPPER(TRIM('Real results'!C103))),1,0)+IF(UPPER(TRIM('Raw data'!AO101))=UPPER(TRIM('Real results'!C101)),2,0),0),0)</f>
        <v>0</v>
      </c>
      <c r="AQ103" s="29">
        <f>IFERROR(IF('Raw data'!AQ101&lt;&gt;"",IF(OR(UPPER(TRIM('Raw data'!AQ101))=UPPER(TRIM('Real results'!C101)),UPPER(TRIM('Raw data'!AQ101))=UPPER(TRIM('Real results'!C102)),UPPER(TRIM('Raw data'!AQ101))=UPPER(TRIM('Real results'!C103))),1,0)+IF(UPPER(TRIM('Raw data'!AQ101))=UPPER(TRIM('Real results'!C101)),2,0),0),0)</f>
        <v>0</v>
      </c>
      <c r="AS103" s="29">
        <f>IFERROR(IF('Raw data'!AS101&lt;&gt;"",IF(OR(UPPER(TRIM('Raw data'!AS101))=UPPER(TRIM('Real results'!C101)),UPPER(TRIM('Raw data'!AS101))=UPPER(TRIM('Real results'!C102)),UPPER(TRIM('Raw data'!AS101))=UPPER(TRIM('Real results'!C103))),1,0)+IF(UPPER(TRIM('Raw data'!AS101))=UPPER(TRIM('Real results'!C101)),2,0),0),0)</f>
        <v>0</v>
      </c>
      <c r="AU103" s="29">
        <f>IFERROR(IF('Raw data'!AU101&lt;&gt;"",IF(OR(UPPER(TRIM('Raw data'!AU101))=UPPER(TRIM('Real results'!C101)),UPPER(TRIM('Raw data'!AU101))=UPPER(TRIM('Real results'!C102)),UPPER(TRIM('Raw data'!AU101))=UPPER(TRIM('Real results'!C103))),1,0)+IF(UPPER(TRIM('Raw data'!AU101))=UPPER(TRIM('Real results'!C101)),2,0),0),0)</f>
        <v>0</v>
      </c>
      <c r="AW103" s="29">
        <f>IFERROR(IF('Raw data'!AW101&lt;&gt;"",IF(OR(UPPER(TRIM('Raw data'!AW101))=UPPER(TRIM('Real results'!C101)),UPPER(TRIM('Raw data'!AW101))=UPPER(TRIM('Real results'!C102)),UPPER(TRIM('Raw data'!AW101))=UPPER(TRIM('Real results'!C103))),1,0)+IF(UPPER(TRIM('Raw data'!AW101))=UPPER(TRIM('Real results'!C101)),2,0),0),0)</f>
        <v>0</v>
      </c>
      <c r="AY103" s="29">
        <f>IFERROR(IF('Raw data'!AY101&lt;&gt;"",IF(OR(UPPER(TRIM('Raw data'!AY101))=UPPER(TRIM('Real results'!C101)),UPPER(TRIM('Raw data'!AY101))=UPPER(TRIM('Real results'!C102)),UPPER(TRIM('Raw data'!AY101))=UPPER(TRIM('Real results'!C103))),1,0)+IF(UPPER(TRIM('Raw data'!AY101))=UPPER(TRIM('Real results'!C101)),2,0),0),0)</f>
        <v>0</v>
      </c>
      <c r="BA103" s="29">
        <f>IFERROR(IF('Raw data'!BA101&lt;&gt;"",IF(OR(UPPER(TRIM('Raw data'!BA101))=UPPER(TRIM('Real results'!C101)),UPPER(TRIM('Raw data'!BA101))=UPPER(TRIM('Real results'!C102)),UPPER(TRIM('Raw data'!BA101))=UPPER(TRIM('Real results'!C103))),1,0)+IF(UPPER(TRIM('Raw data'!BA101))=UPPER(TRIM('Real results'!C101)),2,0),0),0)</f>
        <v>0</v>
      </c>
      <c r="BC103" s="29">
        <f>IFERROR(IF('Raw data'!BC101&lt;&gt;"",IF(OR(UPPER(TRIM('Raw data'!BC101))=UPPER(TRIM('Real results'!C101)),UPPER(TRIM('Raw data'!BC101))=UPPER(TRIM('Real results'!C102)),UPPER(TRIM('Raw data'!BC101))=UPPER(TRIM('Real results'!C103))),1,0)+IF(UPPER(TRIM('Raw data'!BC101))=UPPER(TRIM('Real results'!C101)),2,0),0),0)</f>
        <v>0</v>
      </c>
      <c r="BE103" s="29">
        <f>IFERROR(IF('Raw data'!BE101&lt;&gt;"",IF(OR(UPPER(TRIM('Raw data'!BE101))=UPPER(TRIM('Real results'!C101)),UPPER(TRIM('Raw data'!BE101))=UPPER(TRIM('Real results'!C102)),UPPER(TRIM('Raw data'!BE101))=UPPER(TRIM('Real results'!C103))),1,0)+IF(UPPER(TRIM('Raw data'!BE101))=UPPER(TRIM('Real results'!C101)),2,0),0),0)</f>
        <v>0</v>
      </c>
      <c r="BG103" s="29">
        <f>IFERROR(IF('Raw data'!BG101&lt;&gt;"",IF(OR(UPPER(TRIM('Raw data'!BG101))=UPPER(TRIM('Real results'!C101)),UPPER(TRIM('Raw data'!BG101))=UPPER(TRIM('Real results'!C102)),UPPER(TRIM('Raw data'!BG101))=UPPER(TRIM('Real results'!C103))),1,0)+IF(UPPER(TRIM('Raw data'!BG101))=UPPER(TRIM('Real results'!C101)),2,0),0),0)</f>
        <v>0</v>
      </c>
      <c r="BI103" s="29">
        <f>IFERROR(IF('Raw data'!BI101&lt;&gt;"",IF(OR(UPPER(TRIM('Raw data'!BI101))=UPPER(TRIM('Real results'!C101)),UPPER(TRIM('Raw data'!BI101))=UPPER(TRIM('Real results'!C102)),UPPER(TRIM('Raw data'!BI101))=UPPER(TRIM('Real results'!C103))),1,0)+IF(UPPER(TRIM('Raw data'!BI101))=UPPER(TRIM('Real results'!C101)),2,0),0),0)</f>
        <v>0</v>
      </c>
    </row>
    <row r="104" ht="18.0" customHeight="1">
      <c r="A104" s="1"/>
      <c r="B104" s="13" t="s">
        <v>385</v>
      </c>
      <c r="C104" s="29">
        <f>IFERROR(IF('Raw data'!C102&lt;&gt;"",IF(OR(UPPER(TRIM('Raw data'!C102))=UPPER(TRIM('Real results'!C101)),UPPER(TRIM('Raw data'!C102))=UPPER(TRIM('Real results'!C102)),UPPER(TRIM('Raw data'!C102))=UPPER(TRIM('Real results'!C103))),1,0),0),0)</f>
        <v>0</v>
      </c>
      <c r="E104" s="29">
        <f>IFERROR(IF('Raw data'!E102&lt;&gt;"",IF(OR(UPPER(TRIM('Raw data'!E102))=UPPER(TRIM('Real results'!C101)),UPPER(TRIM('Raw data'!E102))=UPPER(TRIM('Real results'!C102)),UPPER(TRIM('Raw data'!E102))=UPPER(TRIM('Real results'!C103))),1,0),0),0)</f>
        <v>0</v>
      </c>
      <c r="G104" s="29">
        <f>IFERROR(IF('Raw data'!G102&lt;&gt;"",IF(OR(UPPER(TRIM('Raw data'!G102))=UPPER(TRIM('Real results'!C101)),UPPER(TRIM('Raw data'!G102))=UPPER(TRIM('Real results'!C102)),UPPER(TRIM('Raw data'!G102))=UPPER(TRIM('Real results'!C103))),1,0),0),0)</f>
        <v>0</v>
      </c>
      <c r="I104" s="29">
        <f>IFERROR(IF('Raw data'!I102&lt;&gt;"",IF(OR(UPPER(TRIM('Raw data'!I102))=UPPER(TRIM('Real results'!C101)),UPPER(TRIM('Raw data'!I102))=UPPER(TRIM('Real results'!C102)),UPPER(TRIM('Raw data'!I102))=UPPER(TRIM('Real results'!C103))),1,0),0),0)</f>
        <v>0</v>
      </c>
      <c r="K104" s="29">
        <f>IFERROR(IF('Raw data'!K102&lt;&gt;"",IF(OR(UPPER(TRIM('Raw data'!K102))=UPPER(TRIM('Real results'!C101)),UPPER(TRIM('Raw data'!K102))=UPPER(TRIM('Real results'!C102)),UPPER(TRIM('Raw data'!K102))=UPPER(TRIM('Real results'!C103))),1,0),0),0)</f>
        <v>0</v>
      </c>
      <c r="M104" s="29">
        <f>IFERROR(IF('Raw data'!M102&lt;&gt;"",IF(OR(UPPER(TRIM('Raw data'!M102))=UPPER(TRIM('Real results'!C101)),UPPER(TRIM('Raw data'!M102))=UPPER(TRIM('Real results'!C102)),UPPER(TRIM('Raw data'!M102))=UPPER(TRIM('Real results'!C103))),1,0),0),0)</f>
        <v>0</v>
      </c>
      <c r="O104" s="29">
        <f>IFERROR(IF('Raw data'!O102&lt;&gt;"",IF(OR(UPPER(TRIM('Raw data'!O102))=UPPER(TRIM('Real results'!C101)),UPPER(TRIM('Raw data'!O102))=UPPER(TRIM('Real results'!C102)),UPPER(TRIM('Raw data'!O102))=UPPER(TRIM('Real results'!C103))),1,0),0),0)</f>
        <v>0</v>
      </c>
      <c r="Q104" s="29">
        <f>IFERROR(IF('Raw data'!Q102&lt;&gt;"",IF(OR(UPPER(TRIM('Raw data'!Q102))=UPPER(TRIM('Real results'!C101)),UPPER(TRIM('Raw data'!Q102))=UPPER(TRIM('Real results'!C102)),UPPER(TRIM('Raw data'!Q102))=UPPER(TRIM('Real results'!C103))),1,0),0),0)</f>
        <v>0</v>
      </c>
      <c r="S104" s="29">
        <f>IFERROR(IF('Raw data'!S102&lt;&gt;"",IF(OR(UPPER(TRIM('Raw data'!S102))=UPPER(TRIM('Real results'!C101)),UPPER(TRIM('Raw data'!S102))=UPPER(TRIM('Real results'!C102)),UPPER(TRIM('Raw data'!S102))=UPPER(TRIM('Real results'!C103))),1,0),0),0)</f>
        <v>0</v>
      </c>
      <c r="U104" s="29">
        <f>IFERROR(IF('Raw data'!U102&lt;&gt;"",IF(OR(UPPER(TRIM('Raw data'!U102))=UPPER(TRIM('Real results'!C101)),UPPER(TRIM('Raw data'!U102))=UPPER(TRIM('Real results'!C102)),UPPER(TRIM('Raw data'!U102))=UPPER(TRIM('Real results'!C103))),1,0),0),0)</f>
        <v>0</v>
      </c>
      <c r="W104" s="29">
        <f>IFERROR(IF('Raw data'!W102&lt;&gt;"",IF(OR(UPPER(TRIM('Raw data'!W102))=UPPER(TRIM('Real results'!C101)),UPPER(TRIM('Raw data'!W102))=UPPER(TRIM('Real results'!C102)),UPPER(TRIM('Raw data'!W102))=UPPER(TRIM('Real results'!C103))),1,0),0),0)</f>
        <v>0</v>
      </c>
      <c r="Y104" s="29">
        <f>IFERROR(IF('Raw data'!Y102&lt;&gt;"",IF(OR(UPPER(TRIM('Raw data'!Y102))=UPPER(TRIM('Real results'!C101)),UPPER(TRIM('Raw data'!Y102))=UPPER(TRIM('Real results'!C102)),UPPER(TRIM('Raw data'!Y102))=UPPER(TRIM('Real results'!C103))),1,0),0),0)</f>
        <v>0</v>
      </c>
      <c r="AA104" s="29">
        <f>IFERROR(IF('Raw data'!AA102&lt;&gt;"",IF(OR(UPPER(TRIM('Raw data'!AA102))=UPPER(TRIM('Real results'!C101)),UPPER(TRIM('Raw data'!AA102))=UPPER(TRIM('Real results'!C102)),UPPER(TRIM('Raw data'!AA102))=UPPER(TRIM('Real results'!C103))),1,0),0),0)</f>
        <v>0</v>
      </c>
      <c r="AC104" s="29">
        <f>IFERROR(IF('Raw data'!AC102&lt;&gt;"",IF(OR(UPPER(TRIM('Raw data'!AC102))=UPPER(TRIM('Real results'!C101)),UPPER(TRIM('Raw data'!AC102))=UPPER(TRIM('Real results'!C102)),UPPER(TRIM('Raw data'!AC102))=UPPER(TRIM('Real results'!C103))),1,0),0),0)</f>
        <v>0</v>
      </c>
      <c r="AE104" s="29">
        <f>IFERROR(IF('Raw data'!AE102&lt;&gt;"",IF(OR(UPPER(TRIM('Raw data'!AE102))=UPPER(TRIM('Real results'!C101)),UPPER(TRIM('Raw data'!AE102))=UPPER(TRIM('Real results'!C102)),UPPER(TRIM('Raw data'!AE102))=UPPER(TRIM('Real results'!C103))),1,0),0),0)</f>
        <v>0</v>
      </c>
      <c r="AG104" s="29">
        <f>IFERROR(IF('Raw data'!AG102&lt;&gt;"",IF(OR(UPPER(TRIM('Raw data'!AG102))=UPPER(TRIM('Real results'!C101)),UPPER(TRIM('Raw data'!AG102))=UPPER(TRIM('Real results'!C102)),UPPER(TRIM('Raw data'!AG102))=UPPER(TRIM('Real results'!C103))),1,0),0),0)</f>
        <v>0</v>
      </c>
      <c r="AI104" s="29">
        <f>IFERROR(IF('Raw data'!AI102&lt;&gt;"",IF(OR(UPPER(TRIM('Raw data'!AI102))=UPPER(TRIM('Real results'!C101)),UPPER(TRIM('Raw data'!AI102))=UPPER(TRIM('Real results'!C102)),UPPER(TRIM('Raw data'!AI102))=UPPER(TRIM('Real results'!C103))),1,0),0),0)</f>
        <v>0</v>
      </c>
      <c r="AK104" s="29">
        <f>IFERROR(IF('Raw data'!AK102&lt;&gt;"",IF(OR(UPPER(TRIM('Raw data'!AK102))=UPPER(TRIM('Real results'!C101)),UPPER(TRIM('Raw data'!AK102))=UPPER(TRIM('Real results'!C102)),UPPER(TRIM('Raw data'!AK102))=UPPER(TRIM('Real results'!C103))),1,0),0),0)</f>
        <v>0</v>
      </c>
      <c r="AM104" s="29">
        <f>IFERROR(IF('Raw data'!AM102&lt;&gt;"",IF(OR(UPPER(TRIM('Raw data'!AM102))=UPPER(TRIM('Real results'!C101)),UPPER(TRIM('Raw data'!AM102))=UPPER(TRIM('Real results'!C102)),UPPER(TRIM('Raw data'!AM102))=UPPER(TRIM('Real results'!C103))),1,0),0),0)</f>
        <v>0</v>
      </c>
      <c r="AO104" s="29">
        <f>IFERROR(IF('Raw data'!AO102&lt;&gt;"",IF(OR(UPPER(TRIM('Raw data'!AO102))=UPPER(TRIM('Real results'!C101)),UPPER(TRIM('Raw data'!AO102))=UPPER(TRIM('Real results'!C102)),UPPER(TRIM('Raw data'!AO102))=UPPER(TRIM('Real results'!C103))),1,0),0),0)</f>
        <v>0</v>
      </c>
      <c r="AQ104" s="29">
        <f>IFERROR(IF('Raw data'!AQ102&lt;&gt;"",IF(OR(UPPER(TRIM('Raw data'!AQ102))=UPPER(TRIM('Real results'!C101)),UPPER(TRIM('Raw data'!AQ102))=UPPER(TRIM('Real results'!C102)),UPPER(TRIM('Raw data'!AQ102))=UPPER(TRIM('Real results'!C103))),1,0),0),0)</f>
        <v>0</v>
      </c>
      <c r="AS104" s="29">
        <f>IFERROR(IF('Raw data'!AS102&lt;&gt;"",IF(OR(UPPER(TRIM('Raw data'!AS102))=UPPER(TRIM('Real results'!C101)),UPPER(TRIM('Raw data'!AS102))=UPPER(TRIM('Real results'!C102)),UPPER(TRIM('Raw data'!AS102))=UPPER(TRIM('Real results'!C103))),1,0),0),0)</f>
        <v>0</v>
      </c>
      <c r="AU104" s="29">
        <f>IFERROR(IF('Raw data'!AU102&lt;&gt;"",IF(OR(UPPER(TRIM('Raw data'!AU102))=UPPER(TRIM('Real results'!C101)),UPPER(TRIM('Raw data'!AU102))=UPPER(TRIM('Real results'!C102)),UPPER(TRIM('Raw data'!AU102))=UPPER(TRIM('Real results'!C103))),1,0),0),0)</f>
        <v>0</v>
      </c>
      <c r="AW104" s="29">
        <f>IFERROR(IF('Raw data'!AW102&lt;&gt;"",IF(OR(UPPER(TRIM('Raw data'!AW102))=UPPER(TRIM('Real results'!C101)),UPPER(TRIM('Raw data'!AW102))=UPPER(TRIM('Real results'!C102)),UPPER(TRIM('Raw data'!AW102))=UPPER(TRIM('Real results'!C103))),1,0),0),0)</f>
        <v>0</v>
      </c>
      <c r="AY104" s="29">
        <f>IFERROR(IF('Raw data'!AY102&lt;&gt;"",IF(OR(UPPER(TRIM('Raw data'!AY102))=UPPER(TRIM('Real results'!C101)),UPPER(TRIM('Raw data'!AY102))=UPPER(TRIM('Real results'!C102)),UPPER(TRIM('Raw data'!AY102))=UPPER(TRIM('Real results'!C103))),1,0),0),0)</f>
        <v>0</v>
      </c>
      <c r="BA104" s="29">
        <f>IFERROR(IF('Raw data'!BA102&lt;&gt;"",IF(OR(UPPER(TRIM('Raw data'!BA102))=UPPER(TRIM('Real results'!C101)),UPPER(TRIM('Raw data'!BA102))=UPPER(TRIM('Real results'!C102)),UPPER(TRIM('Raw data'!BA102))=UPPER(TRIM('Real results'!C103))),1,0),0),0)</f>
        <v>0</v>
      </c>
      <c r="BC104" s="29">
        <f>IFERROR(IF('Raw data'!BC102&lt;&gt;"",IF(OR(UPPER(TRIM('Raw data'!BC102))=UPPER(TRIM('Real results'!C101)),UPPER(TRIM('Raw data'!BC102))=UPPER(TRIM('Real results'!C102)),UPPER(TRIM('Raw data'!BC102))=UPPER(TRIM('Real results'!C103))),1,0),0),0)</f>
        <v>0</v>
      </c>
      <c r="BE104" s="29">
        <f>IFERROR(IF('Raw data'!BE102&lt;&gt;"",IF(OR(UPPER(TRIM('Raw data'!BE102))=UPPER(TRIM('Real results'!C101)),UPPER(TRIM('Raw data'!BE102))=UPPER(TRIM('Real results'!C102)),UPPER(TRIM('Raw data'!BE102))=UPPER(TRIM('Real results'!C103))),1,0),0),0)</f>
        <v>0</v>
      </c>
      <c r="BG104" s="29">
        <f>IFERROR(IF('Raw data'!BG102&lt;&gt;"",IF(OR(UPPER(TRIM('Raw data'!BG102))=UPPER(TRIM('Real results'!C101)),UPPER(TRIM('Raw data'!BG102))=UPPER(TRIM('Real results'!C102)),UPPER(TRIM('Raw data'!BG102))=UPPER(TRIM('Real results'!C103))),1,0),0),0)</f>
        <v>0</v>
      </c>
      <c r="BI104" s="29">
        <f>IFERROR(IF('Raw data'!BI102&lt;&gt;"",IF(OR(UPPER(TRIM('Raw data'!BI102))=UPPER(TRIM('Real results'!C101)),UPPER(TRIM('Raw data'!BI102))=UPPER(TRIM('Real results'!C102)),UPPER(TRIM('Raw data'!BI102))=UPPER(TRIM('Real results'!C103))),1,0),0),0)</f>
        <v>0</v>
      </c>
    </row>
    <row r="105" ht="18.0" customHeight="1">
      <c r="A105" s="1"/>
      <c r="B105" s="13" t="s">
        <v>386</v>
      </c>
      <c r="C105" s="29">
        <f>IFERROR(IF('Raw data'!C103&lt;&gt;"",IF(OR(UPPER(TRIM('Raw data'!C103))=UPPER(TRIM('Real results'!C101)),UPPER(TRIM('Raw data'!C103))=UPPER(TRIM('Real results'!C102)),UPPER(TRIM('Raw data'!C103))=UPPER(TRIM('Real results'!C103))),1,0),0),0)</f>
        <v>0</v>
      </c>
      <c r="E105" s="29">
        <f>IFERROR(IF('Raw data'!E103&lt;&gt;"",IF(OR(UPPER(TRIM('Raw data'!E103))=UPPER(TRIM('Real results'!C101)),UPPER(TRIM('Raw data'!E103))=UPPER(TRIM('Real results'!C102)),UPPER(TRIM('Raw data'!E103))=UPPER(TRIM('Real results'!C103))),1,0),0),0)</f>
        <v>0</v>
      </c>
      <c r="G105" s="29">
        <f>IFERROR(IF('Raw data'!G103&lt;&gt;"",IF(OR(UPPER(TRIM('Raw data'!G103))=UPPER(TRIM('Real results'!C101)),UPPER(TRIM('Raw data'!G103))=UPPER(TRIM('Real results'!C102)),UPPER(TRIM('Raw data'!G103))=UPPER(TRIM('Real results'!C103))),1,0),0),0)</f>
        <v>0</v>
      </c>
      <c r="I105" s="29">
        <f>IFERROR(IF('Raw data'!I103&lt;&gt;"",IF(OR(UPPER(TRIM('Raw data'!I103))=UPPER(TRIM('Real results'!C101)),UPPER(TRIM('Raw data'!I103))=UPPER(TRIM('Real results'!C102)),UPPER(TRIM('Raw data'!I103))=UPPER(TRIM('Real results'!C103))),1,0),0),0)</f>
        <v>0</v>
      </c>
      <c r="K105" s="29">
        <f>IFERROR(IF('Raw data'!K103&lt;&gt;"",IF(OR(UPPER(TRIM('Raw data'!K103))=UPPER(TRIM('Real results'!C101)),UPPER(TRIM('Raw data'!K103))=UPPER(TRIM('Real results'!C102)),UPPER(TRIM('Raw data'!K103))=UPPER(TRIM('Real results'!C103))),1,0),0),0)</f>
        <v>0</v>
      </c>
      <c r="M105" s="29">
        <f>IFERROR(IF('Raw data'!M103&lt;&gt;"",IF(OR(UPPER(TRIM('Raw data'!M103))=UPPER(TRIM('Real results'!C101)),UPPER(TRIM('Raw data'!M103))=UPPER(TRIM('Real results'!C102)),UPPER(TRIM('Raw data'!M103))=UPPER(TRIM('Real results'!C103))),1,0),0),0)</f>
        <v>0</v>
      </c>
      <c r="O105" s="29">
        <f>IFERROR(IF('Raw data'!O103&lt;&gt;"",IF(OR(UPPER(TRIM('Raw data'!O103))=UPPER(TRIM('Real results'!C101)),UPPER(TRIM('Raw data'!O103))=UPPER(TRIM('Real results'!C102)),UPPER(TRIM('Raw data'!O103))=UPPER(TRIM('Real results'!C103))),1,0),0),0)</f>
        <v>0</v>
      </c>
      <c r="Q105" s="29">
        <f>IFERROR(IF('Raw data'!Q103&lt;&gt;"",IF(OR(UPPER(TRIM('Raw data'!Q103))=UPPER(TRIM('Real results'!C101)),UPPER(TRIM('Raw data'!Q103))=UPPER(TRIM('Real results'!C102)),UPPER(TRIM('Raw data'!Q103))=UPPER(TRIM('Real results'!C103))),1,0),0),0)</f>
        <v>0</v>
      </c>
      <c r="S105" s="29">
        <f>IFERROR(IF('Raw data'!S103&lt;&gt;"",IF(OR(UPPER(TRIM('Raw data'!S103))=UPPER(TRIM('Real results'!C101)),UPPER(TRIM('Raw data'!S103))=UPPER(TRIM('Real results'!C102)),UPPER(TRIM('Raw data'!S103))=UPPER(TRIM('Real results'!C103))),1,0),0),0)</f>
        <v>0</v>
      </c>
      <c r="U105" s="29">
        <f>IFERROR(IF('Raw data'!U103&lt;&gt;"",IF(OR(UPPER(TRIM('Raw data'!U103))=UPPER(TRIM('Real results'!C101)),UPPER(TRIM('Raw data'!U103))=UPPER(TRIM('Real results'!C102)),UPPER(TRIM('Raw data'!U103))=UPPER(TRIM('Real results'!C103))),1,0),0),0)</f>
        <v>0</v>
      </c>
      <c r="W105" s="29">
        <f>IFERROR(IF('Raw data'!W103&lt;&gt;"",IF(OR(UPPER(TRIM('Raw data'!W103))=UPPER(TRIM('Real results'!C101)),UPPER(TRIM('Raw data'!W103))=UPPER(TRIM('Real results'!C102)),UPPER(TRIM('Raw data'!W103))=UPPER(TRIM('Real results'!C103))),1,0),0),0)</f>
        <v>0</v>
      </c>
      <c r="Y105" s="29">
        <f>IFERROR(IF('Raw data'!Y103&lt;&gt;"",IF(OR(UPPER(TRIM('Raw data'!Y103))=UPPER(TRIM('Real results'!C101)),UPPER(TRIM('Raw data'!Y103))=UPPER(TRIM('Real results'!C102)),UPPER(TRIM('Raw data'!Y103))=UPPER(TRIM('Real results'!C103))),1,0),0),0)</f>
        <v>0</v>
      </c>
      <c r="AA105" s="29">
        <f>IFERROR(IF('Raw data'!AA103&lt;&gt;"",IF(OR(UPPER(TRIM('Raw data'!AA103))=UPPER(TRIM('Real results'!C101)),UPPER(TRIM('Raw data'!AA103))=UPPER(TRIM('Real results'!C102)),UPPER(TRIM('Raw data'!AA103))=UPPER(TRIM('Real results'!C103))),1,0),0),0)</f>
        <v>0</v>
      </c>
      <c r="AC105" s="29">
        <f>IFERROR(IF('Raw data'!AC103&lt;&gt;"",IF(OR(UPPER(TRIM('Raw data'!AC103))=UPPER(TRIM('Real results'!C101)),UPPER(TRIM('Raw data'!AC103))=UPPER(TRIM('Real results'!C102)),UPPER(TRIM('Raw data'!AC103))=UPPER(TRIM('Real results'!C103))),1,0),0),0)</f>
        <v>0</v>
      </c>
      <c r="AE105" s="29">
        <f>IFERROR(IF('Raw data'!AE103&lt;&gt;"",IF(OR(UPPER(TRIM('Raw data'!AE103))=UPPER(TRIM('Real results'!C101)),UPPER(TRIM('Raw data'!AE103))=UPPER(TRIM('Real results'!C102)),UPPER(TRIM('Raw data'!AE103))=UPPER(TRIM('Real results'!C103))),1,0),0),0)</f>
        <v>0</v>
      </c>
      <c r="AG105" s="29">
        <f>IFERROR(IF('Raw data'!AG103&lt;&gt;"",IF(OR(UPPER(TRIM('Raw data'!AG103))=UPPER(TRIM('Real results'!C101)),UPPER(TRIM('Raw data'!AG103))=UPPER(TRIM('Real results'!C102)),UPPER(TRIM('Raw data'!AG103))=UPPER(TRIM('Real results'!C103))),1,0),0),0)</f>
        <v>0</v>
      </c>
      <c r="AI105" s="29">
        <f>IFERROR(IF('Raw data'!AI103&lt;&gt;"",IF(OR(UPPER(TRIM('Raw data'!AI103))=UPPER(TRIM('Real results'!C101)),UPPER(TRIM('Raw data'!AI103))=UPPER(TRIM('Real results'!C102)),UPPER(TRIM('Raw data'!AI103))=UPPER(TRIM('Real results'!C103))),1,0),0),0)</f>
        <v>0</v>
      </c>
      <c r="AK105" s="29">
        <f>IFERROR(IF('Raw data'!AK103&lt;&gt;"",IF(OR(UPPER(TRIM('Raw data'!AK103))=UPPER(TRIM('Real results'!C101)),UPPER(TRIM('Raw data'!AK103))=UPPER(TRIM('Real results'!C102)),UPPER(TRIM('Raw data'!AK103))=UPPER(TRIM('Real results'!C103))),1,0),0),0)</f>
        <v>0</v>
      </c>
      <c r="AM105" s="29">
        <f>IFERROR(IF('Raw data'!AM103&lt;&gt;"",IF(OR(UPPER(TRIM('Raw data'!AM103))=UPPER(TRIM('Real results'!C101)),UPPER(TRIM('Raw data'!AM103))=UPPER(TRIM('Real results'!C102)),UPPER(TRIM('Raw data'!AM103))=UPPER(TRIM('Real results'!C103))),1,0),0),0)</f>
        <v>0</v>
      </c>
      <c r="AO105" s="29">
        <f>IFERROR(IF('Raw data'!AO103&lt;&gt;"",IF(OR(UPPER(TRIM('Raw data'!AO103))=UPPER(TRIM('Real results'!C101)),UPPER(TRIM('Raw data'!AO103))=UPPER(TRIM('Real results'!C102)),UPPER(TRIM('Raw data'!AO103))=UPPER(TRIM('Real results'!C103))),1,0),0),0)</f>
        <v>0</v>
      </c>
      <c r="AQ105" s="29">
        <f>IFERROR(IF('Raw data'!AQ103&lt;&gt;"",IF(OR(UPPER(TRIM('Raw data'!AQ103))=UPPER(TRIM('Real results'!C101)),UPPER(TRIM('Raw data'!AQ103))=UPPER(TRIM('Real results'!C102)),UPPER(TRIM('Raw data'!AQ103))=UPPER(TRIM('Real results'!C103))),1,0),0),0)</f>
        <v>0</v>
      </c>
      <c r="AS105" s="29">
        <f>IFERROR(IF('Raw data'!AS103&lt;&gt;"",IF(OR(UPPER(TRIM('Raw data'!AS103))=UPPER(TRIM('Real results'!C101)),UPPER(TRIM('Raw data'!AS103))=UPPER(TRIM('Real results'!C102)),UPPER(TRIM('Raw data'!AS103))=UPPER(TRIM('Real results'!C103))),1,0),0),0)</f>
        <v>0</v>
      </c>
      <c r="AU105" s="29">
        <f>IFERROR(IF('Raw data'!AU103&lt;&gt;"",IF(OR(UPPER(TRIM('Raw data'!AU103))=UPPER(TRIM('Real results'!C101)),UPPER(TRIM('Raw data'!AU103))=UPPER(TRIM('Real results'!C102)),UPPER(TRIM('Raw data'!AU103))=UPPER(TRIM('Real results'!C103))),1,0),0),0)</f>
        <v>0</v>
      </c>
      <c r="AW105" s="29">
        <f>IFERROR(IF('Raw data'!AW103&lt;&gt;"",IF(OR(UPPER(TRIM('Raw data'!AW103))=UPPER(TRIM('Real results'!C101)),UPPER(TRIM('Raw data'!AW103))=UPPER(TRIM('Real results'!C102)),UPPER(TRIM('Raw data'!AW103))=UPPER(TRIM('Real results'!C103))),1,0),0),0)</f>
        <v>0</v>
      </c>
      <c r="AY105" s="29">
        <f>IFERROR(IF('Raw data'!AY103&lt;&gt;"",IF(OR(UPPER(TRIM('Raw data'!AY103))=UPPER(TRIM('Real results'!C101)),UPPER(TRIM('Raw data'!AY103))=UPPER(TRIM('Real results'!C102)),UPPER(TRIM('Raw data'!AY103))=UPPER(TRIM('Real results'!C103))),1,0),0),0)</f>
        <v>0</v>
      </c>
      <c r="BA105" s="29">
        <f>IFERROR(IF('Raw data'!BA103&lt;&gt;"",IF(OR(UPPER(TRIM('Raw data'!BA103))=UPPER(TRIM('Real results'!C101)),UPPER(TRIM('Raw data'!BA103))=UPPER(TRIM('Real results'!C102)),UPPER(TRIM('Raw data'!BA103))=UPPER(TRIM('Real results'!C103))),1,0),0),0)</f>
        <v>0</v>
      </c>
      <c r="BC105" s="29">
        <f>IFERROR(IF('Raw data'!BC103&lt;&gt;"",IF(OR(UPPER(TRIM('Raw data'!BC103))=UPPER(TRIM('Real results'!C101)),UPPER(TRIM('Raw data'!BC103))=UPPER(TRIM('Real results'!C102)),UPPER(TRIM('Raw data'!BC103))=UPPER(TRIM('Real results'!C103))),1,0),0),0)</f>
        <v>0</v>
      </c>
      <c r="BE105" s="29">
        <f>IFERROR(IF('Raw data'!BE103&lt;&gt;"",IF(OR(UPPER(TRIM('Raw data'!BE103))=UPPER(TRIM('Real results'!C101)),UPPER(TRIM('Raw data'!BE103))=UPPER(TRIM('Real results'!C102)),UPPER(TRIM('Raw data'!BE103))=UPPER(TRIM('Real results'!C103))),1,0),0),0)</f>
        <v>0</v>
      </c>
      <c r="BG105" s="29">
        <f>IFERROR(IF('Raw data'!BG103&lt;&gt;"",IF(OR(UPPER(TRIM('Raw data'!BG103))=UPPER(TRIM('Real results'!C101)),UPPER(TRIM('Raw data'!BG103))=UPPER(TRIM('Real results'!C102)),UPPER(TRIM('Raw data'!BG103))=UPPER(TRIM('Real results'!C103))),1,0),0),0)</f>
        <v>0</v>
      </c>
      <c r="BI105" s="29">
        <f>IFERROR(IF('Raw data'!BI103&lt;&gt;"",IF(OR(UPPER(TRIM('Raw data'!BI103))=UPPER(TRIM('Real results'!C101)),UPPER(TRIM('Raw data'!BI103))=UPPER(TRIM('Real results'!C102)),UPPER(TRIM('Raw data'!BI103))=UPPER(TRIM('Real results'!C103))),1,0),0),0)</f>
        <v>0</v>
      </c>
    </row>
    <row r="106" ht="18.0" customHeight="1">
      <c r="A106" s="1"/>
      <c r="B106" s="13" t="s">
        <v>387</v>
      </c>
      <c r="C106" s="29">
        <f>IFERROR(IF('Raw data'!C104&lt;&gt;"",IF(OR(UPPER(TRIM('Raw data'!C104))=UPPER(TRIM('Real results'!C104)),UPPER(TRIM('Raw data'!C104))=UPPER(TRIM('Real results'!C105)),UPPER(TRIM('Raw data'!C104))=UPPER(TRIM('Real results'!C106))),1,0)+IF(UPPER(TRIM('Raw data'!C104))=UPPER(TRIM('Real results'!C104)),2,0),0),0)</f>
        <v>0</v>
      </c>
      <c r="E106" s="29">
        <f>IFERROR(IF('Raw data'!E104&lt;&gt;"",IF(OR(UPPER(TRIM('Raw data'!E104))=UPPER(TRIM('Real results'!C104)),UPPER(TRIM('Raw data'!E104))=UPPER(TRIM('Real results'!C105)),UPPER(TRIM('Raw data'!E104))=UPPER(TRIM('Real results'!C106))),1,0)+IF(UPPER(TRIM('Raw data'!E104))=UPPER(TRIM('Real results'!C104)),2,0),0),0)</f>
        <v>0</v>
      </c>
      <c r="G106" s="29">
        <f>IFERROR(IF('Raw data'!G104&lt;&gt;"",IF(OR(UPPER(TRIM('Raw data'!G104))=UPPER(TRIM('Real results'!C104)),UPPER(TRIM('Raw data'!G104))=UPPER(TRIM('Real results'!C105)),UPPER(TRIM('Raw data'!G104))=UPPER(TRIM('Real results'!C106))),1,0)+IF(UPPER(TRIM('Raw data'!G104))=UPPER(TRIM('Real results'!C104)),2,0),0),0)</f>
        <v>0</v>
      </c>
      <c r="I106" s="29">
        <f>IFERROR(IF('Raw data'!I104&lt;&gt;"",IF(OR(UPPER(TRIM('Raw data'!I104))=UPPER(TRIM('Real results'!C104)),UPPER(TRIM('Raw data'!I104))=UPPER(TRIM('Real results'!C105)),UPPER(TRIM('Raw data'!I104))=UPPER(TRIM('Real results'!C106))),1,0)+IF(UPPER(TRIM('Raw data'!I104))=UPPER(TRIM('Real results'!C104)),2,0),0),0)</f>
        <v>0</v>
      </c>
      <c r="K106" s="29">
        <f>IFERROR(IF('Raw data'!K104&lt;&gt;"",IF(OR(UPPER(TRIM('Raw data'!K104))=UPPER(TRIM('Real results'!C104)),UPPER(TRIM('Raw data'!K104))=UPPER(TRIM('Real results'!C105)),UPPER(TRIM('Raw data'!K104))=UPPER(TRIM('Real results'!C106))),1,0)+IF(UPPER(TRIM('Raw data'!K104))=UPPER(TRIM('Real results'!C104)),2,0),0),0)</f>
        <v>0</v>
      </c>
      <c r="M106" s="29">
        <f>IFERROR(IF('Raw data'!M104&lt;&gt;"",IF(OR(UPPER(TRIM('Raw data'!M104))=UPPER(TRIM('Real results'!C104)),UPPER(TRIM('Raw data'!M104))=UPPER(TRIM('Real results'!C105)),UPPER(TRIM('Raw data'!M104))=UPPER(TRIM('Real results'!C106))),1,0)+IF(UPPER(TRIM('Raw data'!M104))=UPPER(TRIM('Real results'!C104)),2,0),0),0)</f>
        <v>0</v>
      </c>
      <c r="O106" s="29">
        <f>IFERROR(IF('Raw data'!O104&lt;&gt;"",IF(OR(UPPER(TRIM('Raw data'!O104))=UPPER(TRIM('Real results'!C104)),UPPER(TRIM('Raw data'!O104))=UPPER(TRIM('Real results'!C105)),UPPER(TRIM('Raw data'!O104))=UPPER(TRIM('Real results'!C106))),1,0)+IF(UPPER(TRIM('Raw data'!O104))=UPPER(TRIM('Real results'!C104)),2,0),0),0)</f>
        <v>0</v>
      </c>
      <c r="Q106" s="29">
        <f>IFERROR(IF('Raw data'!Q104&lt;&gt;"",IF(OR(UPPER(TRIM('Raw data'!Q104))=UPPER(TRIM('Real results'!C104)),UPPER(TRIM('Raw data'!Q104))=UPPER(TRIM('Real results'!C105)),UPPER(TRIM('Raw data'!Q104))=UPPER(TRIM('Real results'!C106))),1,0)+IF(UPPER(TRIM('Raw data'!Q104))=UPPER(TRIM('Real results'!C104)),2,0),0),0)</f>
        <v>0</v>
      </c>
      <c r="S106" s="29">
        <f>IFERROR(IF('Raw data'!S104&lt;&gt;"",IF(OR(UPPER(TRIM('Raw data'!S104))=UPPER(TRIM('Real results'!C104)),UPPER(TRIM('Raw data'!S104))=UPPER(TRIM('Real results'!C105)),UPPER(TRIM('Raw data'!S104))=UPPER(TRIM('Real results'!C106))),1,0)+IF(UPPER(TRIM('Raw data'!S104))=UPPER(TRIM('Real results'!C104)),2,0),0),0)</f>
        <v>0</v>
      </c>
      <c r="U106" s="29">
        <f>IFERROR(IF('Raw data'!U104&lt;&gt;"",IF(OR(UPPER(TRIM('Raw data'!U104))=UPPER(TRIM('Real results'!C104)),UPPER(TRIM('Raw data'!U104))=UPPER(TRIM('Real results'!C105)),UPPER(TRIM('Raw data'!U104))=UPPER(TRIM('Real results'!C106))),1,0)+IF(UPPER(TRIM('Raw data'!U104))=UPPER(TRIM('Real results'!C104)),2,0),0),0)</f>
        <v>0</v>
      </c>
      <c r="W106" s="29">
        <f>IFERROR(IF('Raw data'!W104&lt;&gt;"",IF(OR(UPPER(TRIM('Raw data'!W104))=UPPER(TRIM('Real results'!C104)),UPPER(TRIM('Raw data'!W104))=UPPER(TRIM('Real results'!C105)),UPPER(TRIM('Raw data'!W104))=UPPER(TRIM('Real results'!C106))),1,0)+IF(UPPER(TRIM('Raw data'!W104))=UPPER(TRIM('Real results'!C104)),2,0),0),0)</f>
        <v>0</v>
      </c>
      <c r="Y106" s="29">
        <f>IFERROR(IF('Raw data'!Y104&lt;&gt;"",IF(OR(UPPER(TRIM('Raw data'!Y104))=UPPER(TRIM('Real results'!C104)),UPPER(TRIM('Raw data'!Y104))=UPPER(TRIM('Real results'!C105)),UPPER(TRIM('Raw data'!Y104))=UPPER(TRIM('Real results'!C106))),1,0)+IF(UPPER(TRIM('Raw data'!Y104))=UPPER(TRIM('Real results'!C104)),2,0),0),0)</f>
        <v>0</v>
      </c>
      <c r="AA106" s="29">
        <f>IFERROR(IF('Raw data'!AA104&lt;&gt;"",IF(OR(UPPER(TRIM('Raw data'!AA104))=UPPER(TRIM('Real results'!C104)),UPPER(TRIM('Raw data'!AA104))=UPPER(TRIM('Real results'!C105)),UPPER(TRIM('Raw data'!AA104))=UPPER(TRIM('Real results'!C106))),1,0)+IF(UPPER(TRIM('Raw data'!AA104))=UPPER(TRIM('Real results'!C104)),2,0),0),0)</f>
        <v>0</v>
      </c>
      <c r="AC106" s="29">
        <f>IFERROR(IF('Raw data'!AC104&lt;&gt;"",IF(OR(UPPER(TRIM('Raw data'!AC104))=UPPER(TRIM('Real results'!C104)),UPPER(TRIM('Raw data'!AC104))=UPPER(TRIM('Real results'!C105)),UPPER(TRIM('Raw data'!AC104))=UPPER(TRIM('Real results'!C106))),1,0)+IF(UPPER(TRIM('Raw data'!AC104))=UPPER(TRIM('Real results'!C104)),2,0),0),0)</f>
        <v>0</v>
      </c>
      <c r="AE106" s="29">
        <f>IFERROR(IF('Raw data'!AE104&lt;&gt;"",IF(OR(UPPER(TRIM('Raw data'!AE104))=UPPER(TRIM('Real results'!C104)),UPPER(TRIM('Raw data'!AE104))=UPPER(TRIM('Real results'!C105)),UPPER(TRIM('Raw data'!AE104))=UPPER(TRIM('Real results'!C106))),1,0)+IF(UPPER(TRIM('Raw data'!AE104))=UPPER(TRIM('Real results'!C104)),2,0),0),0)</f>
        <v>0</v>
      </c>
      <c r="AG106" s="29">
        <f>IFERROR(IF('Raw data'!AG104&lt;&gt;"",IF(OR(UPPER(TRIM('Raw data'!AG104))=UPPER(TRIM('Real results'!C104)),UPPER(TRIM('Raw data'!AG104))=UPPER(TRIM('Real results'!C105)),UPPER(TRIM('Raw data'!AG104))=UPPER(TRIM('Real results'!C106))),1,0)+IF(UPPER(TRIM('Raw data'!AG104))=UPPER(TRIM('Real results'!C104)),2,0),0),0)</f>
        <v>0</v>
      </c>
      <c r="AI106" s="29">
        <f>IFERROR(IF('Raw data'!AI104&lt;&gt;"",IF(OR(UPPER(TRIM('Raw data'!AI104))=UPPER(TRIM('Real results'!C104)),UPPER(TRIM('Raw data'!AI104))=UPPER(TRIM('Real results'!C105)),UPPER(TRIM('Raw data'!AI104))=UPPER(TRIM('Real results'!C106))),1,0)+IF(UPPER(TRIM('Raw data'!AI104))=UPPER(TRIM('Real results'!C104)),2,0),0),0)</f>
        <v>0</v>
      </c>
      <c r="AK106" s="29">
        <f>IFERROR(IF('Raw data'!AK104&lt;&gt;"",IF(OR(UPPER(TRIM('Raw data'!AK104))=UPPER(TRIM('Real results'!C104)),UPPER(TRIM('Raw data'!AK104))=UPPER(TRIM('Real results'!C105)),UPPER(TRIM('Raw data'!AK104))=UPPER(TRIM('Real results'!C106))),1,0)+IF(UPPER(TRIM('Raw data'!AK104))=UPPER(TRIM('Real results'!C104)),2,0),0),0)</f>
        <v>0</v>
      </c>
      <c r="AM106" s="29">
        <f>IFERROR(IF('Raw data'!AM104&lt;&gt;"",IF(OR(UPPER(TRIM('Raw data'!AM104))=UPPER(TRIM('Real results'!C104)),UPPER(TRIM('Raw data'!AM104))=UPPER(TRIM('Real results'!C105)),UPPER(TRIM('Raw data'!AM104))=UPPER(TRIM('Real results'!C106))),1,0)+IF(UPPER(TRIM('Raw data'!AM104))=UPPER(TRIM('Real results'!C104)),2,0),0),0)</f>
        <v>0</v>
      </c>
      <c r="AO106" s="29">
        <f>IFERROR(IF('Raw data'!AO104&lt;&gt;"",IF(OR(UPPER(TRIM('Raw data'!AO104))=UPPER(TRIM('Real results'!C104)),UPPER(TRIM('Raw data'!AO104))=UPPER(TRIM('Real results'!C105)),UPPER(TRIM('Raw data'!AO104))=UPPER(TRIM('Real results'!C106))),1,0)+IF(UPPER(TRIM('Raw data'!AO104))=UPPER(TRIM('Real results'!C104)),2,0),0),0)</f>
        <v>0</v>
      </c>
      <c r="AQ106" s="29">
        <f>IFERROR(IF('Raw data'!AQ104&lt;&gt;"",IF(OR(UPPER(TRIM('Raw data'!AQ104))=UPPER(TRIM('Real results'!C104)),UPPER(TRIM('Raw data'!AQ104))=UPPER(TRIM('Real results'!C105)),UPPER(TRIM('Raw data'!AQ104))=UPPER(TRIM('Real results'!C106))),1,0)+IF(UPPER(TRIM('Raw data'!AQ104))=UPPER(TRIM('Real results'!C104)),2,0),0),0)</f>
        <v>0</v>
      </c>
      <c r="AS106" s="29">
        <f>IFERROR(IF('Raw data'!AS104&lt;&gt;"",IF(OR(UPPER(TRIM('Raw data'!AS104))=UPPER(TRIM('Real results'!C104)),UPPER(TRIM('Raw data'!AS104))=UPPER(TRIM('Real results'!C105)),UPPER(TRIM('Raw data'!AS104))=UPPER(TRIM('Real results'!C106))),1,0)+IF(UPPER(TRIM('Raw data'!AS104))=UPPER(TRIM('Real results'!C104)),2,0),0),0)</f>
        <v>0</v>
      </c>
      <c r="AU106" s="29">
        <f>IFERROR(IF('Raw data'!AU104&lt;&gt;"",IF(OR(UPPER(TRIM('Raw data'!AU104))=UPPER(TRIM('Real results'!C104)),UPPER(TRIM('Raw data'!AU104))=UPPER(TRIM('Real results'!C105)),UPPER(TRIM('Raw data'!AU104))=UPPER(TRIM('Real results'!C106))),1,0)+IF(UPPER(TRIM('Raw data'!AU104))=UPPER(TRIM('Real results'!C104)),2,0),0),0)</f>
        <v>0</v>
      </c>
      <c r="AW106" s="29">
        <f>IFERROR(IF('Raw data'!AW104&lt;&gt;"",IF(OR(UPPER(TRIM('Raw data'!AW104))=UPPER(TRIM('Real results'!C104)),UPPER(TRIM('Raw data'!AW104))=UPPER(TRIM('Real results'!C105)),UPPER(TRIM('Raw data'!AW104))=UPPER(TRIM('Real results'!C106))),1,0)+IF(UPPER(TRIM('Raw data'!AW104))=UPPER(TRIM('Real results'!C104)),2,0),0),0)</f>
        <v>0</v>
      </c>
      <c r="AY106" s="29">
        <f>IFERROR(IF('Raw data'!AY104&lt;&gt;"",IF(OR(UPPER(TRIM('Raw data'!AY104))=UPPER(TRIM('Real results'!C104)),UPPER(TRIM('Raw data'!AY104))=UPPER(TRIM('Real results'!C105)),UPPER(TRIM('Raw data'!AY104))=UPPER(TRIM('Real results'!C106))),1,0)+IF(UPPER(TRIM('Raw data'!AY104))=UPPER(TRIM('Real results'!C104)),2,0),0),0)</f>
        <v>0</v>
      </c>
      <c r="BA106" s="29">
        <f>IFERROR(IF('Raw data'!BA104&lt;&gt;"",IF(OR(UPPER(TRIM('Raw data'!BA104))=UPPER(TRIM('Real results'!C104)),UPPER(TRIM('Raw data'!BA104))=UPPER(TRIM('Real results'!C105)),UPPER(TRIM('Raw data'!BA104))=UPPER(TRIM('Real results'!C106))),1,0)+IF(UPPER(TRIM('Raw data'!BA104))=UPPER(TRIM('Real results'!C104)),2,0),0),0)</f>
        <v>0</v>
      </c>
      <c r="BC106" s="29">
        <f>IFERROR(IF('Raw data'!BC104&lt;&gt;"",IF(OR(UPPER(TRIM('Raw data'!BC104))=UPPER(TRIM('Real results'!C104)),UPPER(TRIM('Raw data'!BC104))=UPPER(TRIM('Real results'!C105)),UPPER(TRIM('Raw data'!BC104))=UPPER(TRIM('Real results'!C106))),1,0)+IF(UPPER(TRIM('Raw data'!BC104))=UPPER(TRIM('Real results'!C104)),2,0),0),0)</f>
        <v>0</v>
      </c>
      <c r="BE106" s="29">
        <f>IFERROR(IF('Raw data'!BE104&lt;&gt;"",IF(OR(UPPER(TRIM('Raw data'!BE104))=UPPER(TRIM('Real results'!C104)),UPPER(TRIM('Raw data'!BE104))=UPPER(TRIM('Real results'!C105)),UPPER(TRIM('Raw data'!BE104))=UPPER(TRIM('Real results'!C106))),1,0)+IF(UPPER(TRIM('Raw data'!BE104))=UPPER(TRIM('Real results'!C104)),2,0),0),0)</f>
        <v>0</v>
      </c>
      <c r="BG106" s="29">
        <f>IFERROR(IF('Raw data'!BG104&lt;&gt;"",IF(OR(UPPER(TRIM('Raw data'!BG104))=UPPER(TRIM('Real results'!C104)),UPPER(TRIM('Raw data'!BG104))=UPPER(TRIM('Real results'!C105)),UPPER(TRIM('Raw data'!BG104))=UPPER(TRIM('Real results'!C106))),1,0)+IF(UPPER(TRIM('Raw data'!BG104))=UPPER(TRIM('Real results'!C104)),2,0),0),0)</f>
        <v>0</v>
      </c>
      <c r="BI106" s="29">
        <f>IFERROR(IF('Raw data'!BI104&lt;&gt;"",IF(OR(UPPER(TRIM('Raw data'!BI104))=UPPER(TRIM('Real results'!C104)),UPPER(TRIM('Raw data'!BI104))=UPPER(TRIM('Real results'!C105)),UPPER(TRIM('Raw data'!BI104))=UPPER(TRIM('Real results'!C106))),1,0)+IF(UPPER(TRIM('Raw data'!BI104))=UPPER(TRIM('Real results'!C104)),2,0),0),0)</f>
        <v>0</v>
      </c>
    </row>
    <row r="107" ht="18.0" customHeight="1">
      <c r="A107" s="1"/>
      <c r="B107" s="13" t="s">
        <v>388</v>
      </c>
      <c r="C107" s="29">
        <f>IFERROR(IF('Raw data'!C105&lt;&gt;"",IF(OR(UPPER(TRIM('Raw data'!C105))=UPPER(TRIM('Real results'!C104)),UPPER(TRIM('Raw data'!C105))=UPPER(TRIM('Real results'!C105)),UPPER(TRIM('Raw data'!C105))=UPPER(TRIM('Real results'!C106))),1,0),0),0)</f>
        <v>0</v>
      </c>
      <c r="E107" s="29">
        <f>IFERROR(IF('Raw data'!E105&lt;&gt;"",IF(OR(UPPER(TRIM('Raw data'!E105))=UPPER(TRIM('Real results'!C104)),UPPER(TRIM('Raw data'!E105))=UPPER(TRIM('Real results'!C105)),UPPER(TRIM('Raw data'!E105))=UPPER(TRIM('Real results'!C106))),1,0),0),0)</f>
        <v>0</v>
      </c>
      <c r="G107" s="29">
        <f>IFERROR(IF('Raw data'!G105&lt;&gt;"",IF(OR(UPPER(TRIM('Raw data'!G105))=UPPER(TRIM('Real results'!C104)),UPPER(TRIM('Raw data'!G105))=UPPER(TRIM('Real results'!C105)),UPPER(TRIM('Raw data'!G105))=UPPER(TRIM('Real results'!C106))),1,0),0),0)</f>
        <v>0</v>
      </c>
      <c r="I107" s="29">
        <f>IFERROR(IF('Raw data'!I105&lt;&gt;"",IF(OR(UPPER(TRIM('Raw data'!I105))=UPPER(TRIM('Real results'!C104)),UPPER(TRIM('Raw data'!I105))=UPPER(TRIM('Real results'!C105)),UPPER(TRIM('Raw data'!I105))=UPPER(TRIM('Real results'!C106))),1,0),0),0)</f>
        <v>0</v>
      </c>
      <c r="K107" s="29">
        <f>IFERROR(IF('Raw data'!K105&lt;&gt;"",IF(OR(UPPER(TRIM('Raw data'!K105))=UPPER(TRIM('Real results'!C104)),UPPER(TRIM('Raw data'!K105))=UPPER(TRIM('Real results'!C105)),UPPER(TRIM('Raw data'!K105))=UPPER(TRIM('Real results'!C106))),1,0),0),0)</f>
        <v>0</v>
      </c>
      <c r="M107" s="29">
        <f>IFERROR(IF('Raw data'!M105&lt;&gt;"",IF(OR(UPPER(TRIM('Raw data'!M105))=UPPER(TRIM('Real results'!C104)),UPPER(TRIM('Raw data'!M105))=UPPER(TRIM('Real results'!C105)),UPPER(TRIM('Raw data'!M105))=UPPER(TRIM('Real results'!C106))),1,0),0),0)</f>
        <v>0</v>
      </c>
      <c r="O107" s="29">
        <f>IFERROR(IF('Raw data'!O105&lt;&gt;"",IF(OR(UPPER(TRIM('Raw data'!O105))=UPPER(TRIM('Real results'!C104)),UPPER(TRIM('Raw data'!O105))=UPPER(TRIM('Real results'!C105)),UPPER(TRIM('Raw data'!O105))=UPPER(TRIM('Real results'!C106))),1,0),0),0)</f>
        <v>0</v>
      </c>
      <c r="Q107" s="29">
        <f>IFERROR(IF('Raw data'!Q105&lt;&gt;"",IF(OR(UPPER(TRIM('Raw data'!Q105))=UPPER(TRIM('Real results'!C104)),UPPER(TRIM('Raw data'!Q105))=UPPER(TRIM('Real results'!C105)),UPPER(TRIM('Raw data'!Q105))=UPPER(TRIM('Real results'!C106))),1,0),0),0)</f>
        <v>0</v>
      </c>
      <c r="S107" s="29">
        <f>IFERROR(IF('Raw data'!S105&lt;&gt;"",IF(OR(UPPER(TRIM('Raw data'!S105))=UPPER(TRIM('Real results'!C104)),UPPER(TRIM('Raw data'!S105))=UPPER(TRIM('Real results'!C105)),UPPER(TRIM('Raw data'!S105))=UPPER(TRIM('Real results'!C106))),1,0),0),0)</f>
        <v>0</v>
      </c>
      <c r="U107" s="29">
        <f>IFERROR(IF('Raw data'!U105&lt;&gt;"",IF(OR(UPPER(TRIM('Raw data'!U105))=UPPER(TRIM('Real results'!C104)),UPPER(TRIM('Raw data'!U105))=UPPER(TRIM('Real results'!C105)),UPPER(TRIM('Raw data'!U105))=UPPER(TRIM('Real results'!C106))),1,0),0),0)</f>
        <v>0</v>
      </c>
      <c r="W107" s="29">
        <f>IFERROR(IF('Raw data'!W105&lt;&gt;"",IF(OR(UPPER(TRIM('Raw data'!W105))=UPPER(TRIM('Real results'!C104)),UPPER(TRIM('Raw data'!W105))=UPPER(TRIM('Real results'!C105)),UPPER(TRIM('Raw data'!W105))=UPPER(TRIM('Real results'!C106))),1,0),0),0)</f>
        <v>0</v>
      </c>
      <c r="Y107" s="29">
        <f>IFERROR(IF('Raw data'!Y105&lt;&gt;"",IF(OR(UPPER(TRIM('Raw data'!Y105))=UPPER(TRIM('Real results'!C104)),UPPER(TRIM('Raw data'!Y105))=UPPER(TRIM('Real results'!C105)),UPPER(TRIM('Raw data'!Y105))=UPPER(TRIM('Real results'!C106))),1,0),0),0)</f>
        <v>0</v>
      </c>
      <c r="AA107" s="29">
        <f>IFERROR(IF('Raw data'!AA105&lt;&gt;"",IF(OR(UPPER(TRIM('Raw data'!AA105))=UPPER(TRIM('Real results'!C104)),UPPER(TRIM('Raw data'!AA105))=UPPER(TRIM('Real results'!C105)),UPPER(TRIM('Raw data'!AA105))=UPPER(TRIM('Real results'!C106))),1,0),0),0)</f>
        <v>0</v>
      </c>
      <c r="AC107" s="29">
        <f>IFERROR(IF('Raw data'!AC105&lt;&gt;"",IF(OR(UPPER(TRIM('Raw data'!AC105))=UPPER(TRIM('Real results'!C104)),UPPER(TRIM('Raw data'!AC105))=UPPER(TRIM('Real results'!C105)),UPPER(TRIM('Raw data'!AC105))=UPPER(TRIM('Real results'!C106))),1,0),0),0)</f>
        <v>0</v>
      </c>
      <c r="AE107" s="29">
        <f>IFERROR(IF('Raw data'!AE105&lt;&gt;"",IF(OR(UPPER(TRIM('Raw data'!AE105))=UPPER(TRIM('Real results'!C104)),UPPER(TRIM('Raw data'!AE105))=UPPER(TRIM('Real results'!C105)),UPPER(TRIM('Raw data'!AE105))=UPPER(TRIM('Real results'!C106))),1,0),0),0)</f>
        <v>0</v>
      </c>
      <c r="AG107" s="29">
        <f>IFERROR(IF('Raw data'!AG105&lt;&gt;"",IF(OR(UPPER(TRIM('Raw data'!AG105))=UPPER(TRIM('Real results'!C104)),UPPER(TRIM('Raw data'!AG105))=UPPER(TRIM('Real results'!C105)),UPPER(TRIM('Raw data'!AG105))=UPPER(TRIM('Real results'!C106))),1,0),0),0)</f>
        <v>0</v>
      </c>
      <c r="AI107" s="29">
        <f>IFERROR(IF('Raw data'!AI105&lt;&gt;"",IF(OR(UPPER(TRIM('Raw data'!AI105))=UPPER(TRIM('Real results'!C104)),UPPER(TRIM('Raw data'!AI105))=UPPER(TRIM('Real results'!C105)),UPPER(TRIM('Raw data'!AI105))=UPPER(TRIM('Real results'!C106))),1,0),0),0)</f>
        <v>0</v>
      </c>
      <c r="AK107" s="29">
        <f>IFERROR(IF('Raw data'!AK105&lt;&gt;"",IF(OR(UPPER(TRIM('Raw data'!AK105))=UPPER(TRIM('Real results'!C104)),UPPER(TRIM('Raw data'!AK105))=UPPER(TRIM('Real results'!C105)),UPPER(TRIM('Raw data'!AK105))=UPPER(TRIM('Real results'!C106))),1,0),0),0)</f>
        <v>0</v>
      </c>
      <c r="AM107" s="29">
        <f>IFERROR(IF('Raw data'!AM105&lt;&gt;"",IF(OR(UPPER(TRIM('Raw data'!AM105))=UPPER(TRIM('Real results'!C104)),UPPER(TRIM('Raw data'!AM105))=UPPER(TRIM('Real results'!C105)),UPPER(TRIM('Raw data'!AM105))=UPPER(TRIM('Real results'!C106))),1,0),0),0)</f>
        <v>0</v>
      </c>
      <c r="AO107" s="29">
        <f>IFERROR(IF('Raw data'!AO105&lt;&gt;"",IF(OR(UPPER(TRIM('Raw data'!AO105))=UPPER(TRIM('Real results'!C104)),UPPER(TRIM('Raw data'!AO105))=UPPER(TRIM('Real results'!C105)),UPPER(TRIM('Raw data'!AO105))=UPPER(TRIM('Real results'!C106))),1,0),0),0)</f>
        <v>0</v>
      </c>
      <c r="AQ107" s="29">
        <f>IFERROR(IF('Raw data'!AQ105&lt;&gt;"",IF(OR(UPPER(TRIM('Raw data'!AQ105))=UPPER(TRIM('Real results'!C104)),UPPER(TRIM('Raw data'!AQ105))=UPPER(TRIM('Real results'!C105)),UPPER(TRIM('Raw data'!AQ105))=UPPER(TRIM('Real results'!C106))),1,0),0),0)</f>
        <v>0</v>
      </c>
      <c r="AS107" s="29">
        <f>IFERROR(IF('Raw data'!AS105&lt;&gt;"",IF(OR(UPPER(TRIM('Raw data'!AS105))=UPPER(TRIM('Real results'!C104)),UPPER(TRIM('Raw data'!AS105))=UPPER(TRIM('Real results'!C105)),UPPER(TRIM('Raw data'!AS105))=UPPER(TRIM('Real results'!C106))),1,0),0),0)</f>
        <v>0</v>
      </c>
      <c r="AU107" s="29">
        <f>IFERROR(IF('Raw data'!AU105&lt;&gt;"",IF(OR(UPPER(TRIM('Raw data'!AU105))=UPPER(TRIM('Real results'!C104)),UPPER(TRIM('Raw data'!AU105))=UPPER(TRIM('Real results'!C105)),UPPER(TRIM('Raw data'!AU105))=UPPER(TRIM('Real results'!C106))),1,0),0),0)</f>
        <v>0</v>
      </c>
      <c r="AW107" s="29">
        <f>IFERROR(IF('Raw data'!AW105&lt;&gt;"",IF(OR(UPPER(TRIM('Raw data'!AW105))=UPPER(TRIM('Real results'!C104)),UPPER(TRIM('Raw data'!AW105))=UPPER(TRIM('Real results'!C105)),UPPER(TRIM('Raw data'!AW105))=UPPER(TRIM('Real results'!C106))),1,0),0),0)</f>
        <v>0</v>
      </c>
      <c r="AY107" s="29">
        <f>IFERROR(IF('Raw data'!AY105&lt;&gt;"",IF(OR(UPPER(TRIM('Raw data'!AY105))=UPPER(TRIM('Real results'!C104)),UPPER(TRIM('Raw data'!AY105))=UPPER(TRIM('Real results'!C105)),UPPER(TRIM('Raw data'!AY105))=UPPER(TRIM('Real results'!C106))),1,0),0),0)</f>
        <v>0</v>
      </c>
      <c r="BA107" s="29">
        <f>IFERROR(IF('Raw data'!BA105&lt;&gt;"",IF(OR(UPPER(TRIM('Raw data'!BA105))=UPPER(TRIM('Real results'!C104)),UPPER(TRIM('Raw data'!BA105))=UPPER(TRIM('Real results'!C105)),UPPER(TRIM('Raw data'!BA105))=UPPER(TRIM('Real results'!C106))),1,0),0),0)</f>
        <v>0</v>
      </c>
      <c r="BC107" s="29">
        <f>IFERROR(IF('Raw data'!BC105&lt;&gt;"",IF(OR(UPPER(TRIM('Raw data'!BC105))=UPPER(TRIM('Real results'!C104)),UPPER(TRIM('Raw data'!BC105))=UPPER(TRIM('Real results'!C105)),UPPER(TRIM('Raw data'!BC105))=UPPER(TRIM('Real results'!C106))),1,0),0),0)</f>
        <v>0</v>
      </c>
      <c r="BE107" s="29">
        <f>IFERROR(IF('Raw data'!BE105&lt;&gt;"",IF(OR(UPPER(TRIM('Raw data'!BE105))=UPPER(TRIM('Real results'!C104)),UPPER(TRIM('Raw data'!BE105))=UPPER(TRIM('Real results'!C105)),UPPER(TRIM('Raw data'!BE105))=UPPER(TRIM('Real results'!C106))),1,0),0),0)</f>
        <v>0</v>
      </c>
      <c r="BG107" s="29">
        <f>IFERROR(IF('Raw data'!BG105&lt;&gt;"",IF(OR(UPPER(TRIM('Raw data'!BG105))=UPPER(TRIM('Real results'!C104)),UPPER(TRIM('Raw data'!BG105))=UPPER(TRIM('Real results'!C105)),UPPER(TRIM('Raw data'!BG105))=UPPER(TRIM('Real results'!C106))),1,0),0),0)</f>
        <v>0</v>
      </c>
      <c r="BI107" s="29">
        <f>IFERROR(IF('Raw data'!BI105&lt;&gt;"",IF(OR(UPPER(TRIM('Raw data'!BI105))=UPPER(TRIM('Real results'!C104)),UPPER(TRIM('Raw data'!BI105))=UPPER(TRIM('Real results'!C105)),UPPER(TRIM('Raw data'!BI105))=UPPER(TRIM('Real results'!C106))),1,0),0),0)</f>
        <v>0</v>
      </c>
    </row>
    <row r="108" ht="18.0" customHeight="1">
      <c r="A108" s="1"/>
      <c r="B108" s="13" t="s">
        <v>389</v>
      </c>
      <c r="C108" s="29">
        <f>IFERROR(IF('Raw data'!C106&lt;&gt;"",IF(OR(UPPER(TRIM('Raw data'!C106))=UPPER(TRIM('Real results'!C104)),UPPER(TRIM('Raw data'!C106))=UPPER(TRIM('Real results'!C105)),UPPER(TRIM('Raw data'!C106))=UPPER(TRIM('Real results'!C106))),1,0),0),0)</f>
        <v>0</v>
      </c>
      <c r="E108" s="29">
        <f>IFERROR(IF('Raw data'!E106&lt;&gt;"",IF(OR(UPPER(TRIM('Raw data'!E106))=UPPER(TRIM('Real results'!C104)),UPPER(TRIM('Raw data'!E106))=UPPER(TRIM('Real results'!C105)),UPPER(TRIM('Raw data'!E106))=UPPER(TRIM('Real results'!C106))),1,0),0),0)</f>
        <v>0</v>
      </c>
      <c r="G108" s="29">
        <f>IFERROR(IF('Raw data'!G106&lt;&gt;"",IF(OR(UPPER(TRIM('Raw data'!G106))=UPPER(TRIM('Real results'!C104)),UPPER(TRIM('Raw data'!G106))=UPPER(TRIM('Real results'!C105)),UPPER(TRIM('Raw data'!G106))=UPPER(TRIM('Real results'!C106))),1,0),0),0)</f>
        <v>0</v>
      </c>
      <c r="I108" s="29">
        <f>IFERROR(IF('Raw data'!I106&lt;&gt;"",IF(OR(UPPER(TRIM('Raw data'!I106))=UPPER(TRIM('Real results'!C104)),UPPER(TRIM('Raw data'!I106))=UPPER(TRIM('Real results'!C105)),UPPER(TRIM('Raw data'!I106))=UPPER(TRIM('Real results'!C106))),1,0),0),0)</f>
        <v>0</v>
      </c>
      <c r="K108" s="29">
        <f>IFERROR(IF('Raw data'!K106&lt;&gt;"",IF(OR(UPPER(TRIM('Raw data'!K106))=UPPER(TRIM('Real results'!C104)),UPPER(TRIM('Raw data'!K106))=UPPER(TRIM('Real results'!C105)),UPPER(TRIM('Raw data'!K106))=UPPER(TRIM('Real results'!C106))),1,0),0),0)</f>
        <v>0</v>
      </c>
      <c r="M108" s="29">
        <f>IFERROR(IF('Raw data'!M106&lt;&gt;"",IF(OR(UPPER(TRIM('Raw data'!M106))=UPPER(TRIM('Real results'!C104)),UPPER(TRIM('Raw data'!M106))=UPPER(TRIM('Real results'!C105)),UPPER(TRIM('Raw data'!M106))=UPPER(TRIM('Real results'!C106))),1,0),0),0)</f>
        <v>0</v>
      </c>
      <c r="O108" s="29">
        <f>IFERROR(IF('Raw data'!O106&lt;&gt;"",IF(OR(UPPER(TRIM('Raw data'!O106))=UPPER(TRIM('Real results'!C104)),UPPER(TRIM('Raw data'!O106))=UPPER(TRIM('Real results'!C105)),UPPER(TRIM('Raw data'!O106))=UPPER(TRIM('Real results'!C106))),1,0),0),0)</f>
        <v>0</v>
      </c>
      <c r="Q108" s="29">
        <f>IFERROR(IF('Raw data'!Q106&lt;&gt;"",IF(OR(UPPER(TRIM('Raw data'!Q106))=UPPER(TRIM('Real results'!C104)),UPPER(TRIM('Raw data'!Q106))=UPPER(TRIM('Real results'!C105)),UPPER(TRIM('Raw data'!Q106))=UPPER(TRIM('Real results'!C106))),1,0),0),0)</f>
        <v>0</v>
      </c>
      <c r="S108" s="29">
        <f>IFERROR(IF('Raw data'!S106&lt;&gt;"",IF(OR(UPPER(TRIM('Raw data'!S106))=UPPER(TRIM('Real results'!C104)),UPPER(TRIM('Raw data'!S106))=UPPER(TRIM('Real results'!C105)),UPPER(TRIM('Raw data'!S106))=UPPER(TRIM('Real results'!C106))),1,0),0),0)</f>
        <v>0</v>
      </c>
      <c r="U108" s="29">
        <f>IFERROR(IF('Raw data'!U106&lt;&gt;"",IF(OR(UPPER(TRIM('Raw data'!U106))=UPPER(TRIM('Real results'!C104)),UPPER(TRIM('Raw data'!U106))=UPPER(TRIM('Real results'!C105)),UPPER(TRIM('Raw data'!U106))=UPPER(TRIM('Real results'!C106))),1,0),0),0)</f>
        <v>0</v>
      </c>
      <c r="W108" s="29">
        <f>IFERROR(IF('Raw data'!W106&lt;&gt;"",IF(OR(UPPER(TRIM('Raw data'!W106))=UPPER(TRIM('Real results'!C104)),UPPER(TRIM('Raw data'!W106))=UPPER(TRIM('Real results'!C105)),UPPER(TRIM('Raw data'!W106))=UPPER(TRIM('Real results'!C106))),1,0),0),0)</f>
        <v>0</v>
      </c>
      <c r="Y108" s="29">
        <f>IFERROR(IF('Raw data'!Y106&lt;&gt;"",IF(OR(UPPER(TRIM('Raw data'!Y106))=UPPER(TRIM('Real results'!C104)),UPPER(TRIM('Raw data'!Y106))=UPPER(TRIM('Real results'!C105)),UPPER(TRIM('Raw data'!Y106))=UPPER(TRIM('Real results'!C106))),1,0),0),0)</f>
        <v>0</v>
      </c>
      <c r="AA108" s="29">
        <f>IFERROR(IF('Raw data'!AA106&lt;&gt;"",IF(OR(UPPER(TRIM('Raw data'!AA106))=UPPER(TRIM('Real results'!C104)),UPPER(TRIM('Raw data'!AA106))=UPPER(TRIM('Real results'!C105)),UPPER(TRIM('Raw data'!AA106))=UPPER(TRIM('Real results'!C106))),1,0),0),0)</f>
        <v>0</v>
      </c>
      <c r="AC108" s="29">
        <f>IFERROR(IF('Raw data'!AC106&lt;&gt;"",IF(OR(UPPER(TRIM('Raw data'!AC106))=UPPER(TRIM('Real results'!C104)),UPPER(TRIM('Raw data'!AC106))=UPPER(TRIM('Real results'!C105)),UPPER(TRIM('Raw data'!AC106))=UPPER(TRIM('Real results'!C106))),1,0),0),0)</f>
        <v>0</v>
      </c>
      <c r="AE108" s="29">
        <f>IFERROR(IF('Raw data'!AE106&lt;&gt;"",IF(OR(UPPER(TRIM('Raw data'!AE106))=UPPER(TRIM('Real results'!C104)),UPPER(TRIM('Raw data'!AE106))=UPPER(TRIM('Real results'!C105)),UPPER(TRIM('Raw data'!AE106))=UPPER(TRIM('Real results'!C106))),1,0),0),0)</f>
        <v>0</v>
      </c>
      <c r="AG108" s="29">
        <f>IFERROR(IF('Raw data'!AG106&lt;&gt;"",IF(OR(UPPER(TRIM('Raw data'!AG106))=UPPER(TRIM('Real results'!C104)),UPPER(TRIM('Raw data'!AG106))=UPPER(TRIM('Real results'!C105)),UPPER(TRIM('Raw data'!AG106))=UPPER(TRIM('Real results'!C106))),1,0),0),0)</f>
        <v>0</v>
      </c>
      <c r="AI108" s="29">
        <f>IFERROR(IF('Raw data'!AI106&lt;&gt;"",IF(OR(UPPER(TRIM('Raw data'!AI106))=UPPER(TRIM('Real results'!C104)),UPPER(TRIM('Raw data'!AI106))=UPPER(TRIM('Real results'!C105)),UPPER(TRIM('Raw data'!AI106))=UPPER(TRIM('Real results'!C106))),1,0),0),0)</f>
        <v>0</v>
      </c>
      <c r="AK108" s="29">
        <f>IFERROR(IF('Raw data'!AK106&lt;&gt;"",IF(OR(UPPER(TRIM('Raw data'!AK106))=UPPER(TRIM('Real results'!C104)),UPPER(TRIM('Raw data'!AK106))=UPPER(TRIM('Real results'!C105)),UPPER(TRIM('Raw data'!AK106))=UPPER(TRIM('Real results'!C106))),1,0),0),0)</f>
        <v>0</v>
      </c>
      <c r="AM108" s="29">
        <f>IFERROR(IF('Raw data'!AM106&lt;&gt;"",IF(OR(UPPER(TRIM('Raw data'!AM106))=UPPER(TRIM('Real results'!C104)),UPPER(TRIM('Raw data'!AM106))=UPPER(TRIM('Real results'!C105)),UPPER(TRIM('Raw data'!AM106))=UPPER(TRIM('Real results'!C106))),1,0),0),0)</f>
        <v>0</v>
      </c>
      <c r="AO108" s="29">
        <f>IFERROR(IF('Raw data'!AO106&lt;&gt;"",IF(OR(UPPER(TRIM('Raw data'!AO106))=UPPER(TRIM('Real results'!C104)),UPPER(TRIM('Raw data'!AO106))=UPPER(TRIM('Real results'!C105)),UPPER(TRIM('Raw data'!AO106))=UPPER(TRIM('Real results'!C106))),1,0),0),0)</f>
        <v>0</v>
      </c>
      <c r="AQ108" s="29">
        <f>IFERROR(IF('Raw data'!AQ106&lt;&gt;"",IF(OR(UPPER(TRIM('Raw data'!AQ106))=UPPER(TRIM('Real results'!C104)),UPPER(TRIM('Raw data'!AQ106))=UPPER(TRIM('Real results'!C105)),UPPER(TRIM('Raw data'!AQ106))=UPPER(TRIM('Real results'!C106))),1,0),0),0)</f>
        <v>0</v>
      </c>
      <c r="AS108" s="29">
        <f>IFERROR(IF('Raw data'!AS106&lt;&gt;"",IF(OR(UPPER(TRIM('Raw data'!AS106))=UPPER(TRIM('Real results'!C104)),UPPER(TRIM('Raw data'!AS106))=UPPER(TRIM('Real results'!C105)),UPPER(TRIM('Raw data'!AS106))=UPPER(TRIM('Real results'!C106))),1,0),0),0)</f>
        <v>0</v>
      </c>
      <c r="AU108" s="29">
        <f>IFERROR(IF('Raw data'!AU106&lt;&gt;"",IF(OR(UPPER(TRIM('Raw data'!AU106))=UPPER(TRIM('Real results'!C104)),UPPER(TRIM('Raw data'!AU106))=UPPER(TRIM('Real results'!C105)),UPPER(TRIM('Raw data'!AU106))=UPPER(TRIM('Real results'!C106))),1,0),0),0)</f>
        <v>0</v>
      </c>
      <c r="AW108" s="29">
        <f>IFERROR(IF('Raw data'!AW106&lt;&gt;"",IF(OR(UPPER(TRIM('Raw data'!AW106))=UPPER(TRIM('Real results'!C104)),UPPER(TRIM('Raw data'!AW106))=UPPER(TRIM('Real results'!C105)),UPPER(TRIM('Raw data'!AW106))=UPPER(TRIM('Real results'!C106))),1,0),0),0)</f>
        <v>0</v>
      </c>
      <c r="AY108" s="29">
        <f>IFERROR(IF('Raw data'!AY106&lt;&gt;"",IF(OR(UPPER(TRIM('Raw data'!AY106))=UPPER(TRIM('Real results'!C104)),UPPER(TRIM('Raw data'!AY106))=UPPER(TRIM('Real results'!C105)),UPPER(TRIM('Raw data'!AY106))=UPPER(TRIM('Real results'!C106))),1,0),0),0)</f>
        <v>0</v>
      </c>
      <c r="BA108" s="29">
        <f>IFERROR(IF('Raw data'!BA106&lt;&gt;"",IF(OR(UPPER(TRIM('Raw data'!BA106))=UPPER(TRIM('Real results'!C104)),UPPER(TRIM('Raw data'!BA106))=UPPER(TRIM('Real results'!C105)),UPPER(TRIM('Raw data'!BA106))=UPPER(TRIM('Real results'!C106))),1,0),0),0)</f>
        <v>0</v>
      </c>
      <c r="BC108" s="29">
        <f>IFERROR(IF('Raw data'!BC106&lt;&gt;"",IF(OR(UPPER(TRIM('Raw data'!BC106))=UPPER(TRIM('Real results'!C104)),UPPER(TRIM('Raw data'!BC106))=UPPER(TRIM('Real results'!C105)),UPPER(TRIM('Raw data'!BC106))=UPPER(TRIM('Real results'!C106))),1,0),0),0)</f>
        <v>0</v>
      </c>
      <c r="BE108" s="29">
        <f>IFERROR(IF('Raw data'!BE106&lt;&gt;"",IF(OR(UPPER(TRIM('Raw data'!BE106))=UPPER(TRIM('Real results'!C104)),UPPER(TRIM('Raw data'!BE106))=UPPER(TRIM('Real results'!C105)),UPPER(TRIM('Raw data'!BE106))=UPPER(TRIM('Real results'!C106))),1,0),0),0)</f>
        <v>0</v>
      </c>
      <c r="BG108" s="29">
        <f>IFERROR(IF('Raw data'!BG106&lt;&gt;"",IF(OR(UPPER(TRIM('Raw data'!BG106))=UPPER(TRIM('Real results'!C104)),UPPER(TRIM('Raw data'!BG106))=UPPER(TRIM('Real results'!C105)),UPPER(TRIM('Raw data'!BG106))=UPPER(TRIM('Real results'!C106))),1,0),0),0)</f>
        <v>0</v>
      </c>
      <c r="BI108" s="29">
        <f>IFERROR(IF('Raw data'!BI106&lt;&gt;"",IF(OR(UPPER(TRIM('Raw data'!BI106))=UPPER(TRIM('Real results'!C104)),UPPER(TRIM('Raw data'!BI106))=UPPER(TRIM('Real results'!C105)),UPPER(TRIM('Raw data'!BI106))=UPPER(TRIM('Real results'!C106))),1,0),0),0)</f>
        <v>0</v>
      </c>
    </row>
    <row r="109" ht="18.0" customHeight="1">
      <c r="A109" s="1"/>
      <c r="B109" s="13" t="s">
        <v>390</v>
      </c>
      <c r="C109" s="29">
        <f>IFERROR(IF('Raw data'!C107&lt;&gt;"",IF(OR(UPPER(TRIM('Raw data'!C107))=UPPER(TRIM('Real results'!C107)),UPPER(TRIM('Raw data'!C107))=UPPER(TRIM('Real results'!C108)),UPPER(TRIM('Raw data'!C107))=UPPER(TRIM('Real results'!C109))),1,0)+IF(UPPER(TRIM('Raw data'!C107))=UPPER(TRIM('Real results'!C107)),2,0),0),0)</f>
        <v>0</v>
      </c>
      <c r="E109" s="29">
        <f>IFERROR(IF('Raw data'!E107&lt;&gt;"",IF(OR(UPPER(TRIM('Raw data'!E107))=UPPER(TRIM('Real results'!C107)),UPPER(TRIM('Raw data'!E107))=UPPER(TRIM('Real results'!C108)),UPPER(TRIM('Raw data'!E107))=UPPER(TRIM('Real results'!C109))),1,0)+IF(UPPER(TRIM('Raw data'!E107))=UPPER(TRIM('Real results'!C107)),2,0),0),0)</f>
        <v>0</v>
      </c>
      <c r="G109" s="29">
        <f>IFERROR(IF('Raw data'!G107&lt;&gt;"",IF(OR(UPPER(TRIM('Raw data'!G107))=UPPER(TRIM('Real results'!C107)),UPPER(TRIM('Raw data'!G107))=UPPER(TRIM('Real results'!C108)),UPPER(TRIM('Raw data'!G107))=UPPER(TRIM('Real results'!C109))),1,0)+IF(UPPER(TRIM('Raw data'!G107))=UPPER(TRIM('Real results'!C107)),2,0),0),0)</f>
        <v>0</v>
      </c>
      <c r="I109" s="29">
        <f>IFERROR(IF('Raw data'!I107&lt;&gt;"",IF(OR(UPPER(TRIM('Raw data'!I107))=UPPER(TRIM('Real results'!C107)),UPPER(TRIM('Raw data'!I107))=UPPER(TRIM('Real results'!C108)),UPPER(TRIM('Raw data'!I107))=UPPER(TRIM('Real results'!C109))),1,0)+IF(UPPER(TRIM('Raw data'!I107))=UPPER(TRIM('Real results'!C107)),2,0),0),0)</f>
        <v>0</v>
      </c>
      <c r="K109" s="29">
        <f>IFERROR(IF('Raw data'!K107&lt;&gt;"",IF(OR(UPPER(TRIM('Raw data'!K107))=UPPER(TRIM('Real results'!C107)),UPPER(TRIM('Raw data'!K107))=UPPER(TRIM('Real results'!C108)),UPPER(TRIM('Raw data'!K107))=UPPER(TRIM('Real results'!C109))),1,0)+IF(UPPER(TRIM('Raw data'!K107))=UPPER(TRIM('Real results'!C107)),2,0),0),0)</f>
        <v>0</v>
      </c>
      <c r="M109" s="29">
        <f>IFERROR(IF('Raw data'!M107&lt;&gt;"",IF(OR(UPPER(TRIM('Raw data'!M107))=UPPER(TRIM('Real results'!C107)),UPPER(TRIM('Raw data'!M107))=UPPER(TRIM('Real results'!C108)),UPPER(TRIM('Raw data'!M107))=UPPER(TRIM('Real results'!C109))),1,0)+IF(UPPER(TRIM('Raw data'!M107))=UPPER(TRIM('Real results'!C107)),2,0),0),0)</f>
        <v>0</v>
      </c>
      <c r="O109" s="29">
        <f>IFERROR(IF('Raw data'!O107&lt;&gt;"",IF(OR(UPPER(TRIM('Raw data'!O107))=UPPER(TRIM('Real results'!C107)),UPPER(TRIM('Raw data'!O107))=UPPER(TRIM('Real results'!C108)),UPPER(TRIM('Raw data'!O107))=UPPER(TRIM('Real results'!C109))),1,0)+IF(UPPER(TRIM('Raw data'!O107))=UPPER(TRIM('Real results'!C107)),2,0),0),0)</f>
        <v>0</v>
      </c>
      <c r="Q109" s="29">
        <f>IFERROR(IF('Raw data'!Q107&lt;&gt;"",IF(OR(UPPER(TRIM('Raw data'!Q107))=UPPER(TRIM('Real results'!C107)),UPPER(TRIM('Raw data'!Q107))=UPPER(TRIM('Real results'!C108)),UPPER(TRIM('Raw data'!Q107))=UPPER(TRIM('Real results'!C109))),1,0)+IF(UPPER(TRIM('Raw data'!Q107))=UPPER(TRIM('Real results'!C107)),2,0),0),0)</f>
        <v>0</v>
      </c>
      <c r="S109" s="29">
        <f>IFERROR(IF('Raw data'!S107&lt;&gt;"",IF(OR(UPPER(TRIM('Raw data'!S107))=UPPER(TRIM('Real results'!C107)),UPPER(TRIM('Raw data'!S107))=UPPER(TRIM('Real results'!C108)),UPPER(TRIM('Raw data'!S107))=UPPER(TRIM('Real results'!C109))),1,0)+IF(UPPER(TRIM('Raw data'!S107))=UPPER(TRIM('Real results'!C107)),2,0),0),0)</f>
        <v>0</v>
      </c>
      <c r="U109" s="29">
        <f>IFERROR(IF('Raw data'!U107&lt;&gt;"",IF(OR(UPPER(TRIM('Raw data'!U107))=UPPER(TRIM('Real results'!C107)),UPPER(TRIM('Raw data'!U107))=UPPER(TRIM('Real results'!C108)),UPPER(TRIM('Raw data'!U107))=UPPER(TRIM('Real results'!C109))),1,0)+IF(UPPER(TRIM('Raw data'!U107))=UPPER(TRIM('Real results'!C107)),2,0),0),0)</f>
        <v>0</v>
      </c>
      <c r="W109" s="29">
        <f>IFERROR(IF('Raw data'!W107&lt;&gt;"",IF(OR(UPPER(TRIM('Raw data'!W107))=UPPER(TRIM('Real results'!C107)),UPPER(TRIM('Raw data'!W107))=UPPER(TRIM('Real results'!C108)),UPPER(TRIM('Raw data'!W107))=UPPER(TRIM('Real results'!C109))),1,0)+IF(UPPER(TRIM('Raw data'!W107))=UPPER(TRIM('Real results'!C107)),2,0),0),0)</f>
        <v>0</v>
      </c>
      <c r="Y109" s="29">
        <f>IFERROR(IF('Raw data'!Y107&lt;&gt;"",IF(OR(UPPER(TRIM('Raw data'!Y107))=UPPER(TRIM('Real results'!C107)),UPPER(TRIM('Raw data'!Y107))=UPPER(TRIM('Real results'!C108)),UPPER(TRIM('Raw data'!Y107))=UPPER(TRIM('Real results'!C109))),1,0)+IF(UPPER(TRIM('Raw data'!Y107))=UPPER(TRIM('Real results'!C107)),2,0),0),0)</f>
        <v>0</v>
      </c>
      <c r="AA109" s="29">
        <f>IFERROR(IF('Raw data'!AA107&lt;&gt;"",IF(OR(UPPER(TRIM('Raw data'!AA107))=UPPER(TRIM('Real results'!C107)),UPPER(TRIM('Raw data'!AA107))=UPPER(TRIM('Real results'!C108)),UPPER(TRIM('Raw data'!AA107))=UPPER(TRIM('Real results'!C109))),1,0)+IF(UPPER(TRIM('Raw data'!AA107))=UPPER(TRIM('Real results'!C107)),2,0),0),0)</f>
        <v>0</v>
      </c>
      <c r="AC109" s="29">
        <f>IFERROR(IF('Raw data'!AC107&lt;&gt;"",IF(OR(UPPER(TRIM('Raw data'!AC107))=UPPER(TRIM('Real results'!C107)),UPPER(TRIM('Raw data'!AC107))=UPPER(TRIM('Real results'!C108)),UPPER(TRIM('Raw data'!AC107))=UPPER(TRIM('Real results'!C109))),1,0)+IF(UPPER(TRIM('Raw data'!AC107))=UPPER(TRIM('Real results'!C107)),2,0),0),0)</f>
        <v>0</v>
      </c>
      <c r="AE109" s="29">
        <f>IFERROR(IF('Raw data'!AE107&lt;&gt;"",IF(OR(UPPER(TRIM('Raw data'!AE107))=UPPER(TRIM('Real results'!C107)),UPPER(TRIM('Raw data'!AE107))=UPPER(TRIM('Real results'!C108)),UPPER(TRIM('Raw data'!AE107))=UPPER(TRIM('Real results'!C109))),1,0)+IF(UPPER(TRIM('Raw data'!AE107))=UPPER(TRIM('Real results'!C107)),2,0),0),0)</f>
        <v>0</v>
      </c>
      <c r="AG109" s="29">
        <f>IFERROR(IF('Raw data'!AG107&lt;&gt;"",IF(OR(UPPER(TRIM('Raw data'!AG107))=UPPER(TRIM('Real results'!C107)),UPPER(TRIM('Raw data'!AG107))=UPPER(TRIM('Real results'!C108)),UPPER(TRIM('Raw data'!AG107))=UPPER(TRIM('Real results'!C109))),1,0)+IF(UPPER(TRIM('Raw data'!AG107))=UPPER(TRIM('Real results'!C107)),2,0),0),0)</f>
        <v>0</v>
      </c>
      <c r="AI109" s="29">
        <f>IFERROR(IF('Raw data'!AI107&lt;&gt;"",IF(OR(UPPER(TRIM('Raw data'!AI107))=UPPER(TRIM('Real results'!C107)),UPPER(TRIM('Raw data'!AI107))=UPPER(TRIM('Real results'!C108)),UPPER(TRIM('Raw data'!AI107))=UPPER(TRIM('Real results'!C109))),1,0)+IF(UPPER(TRIM('Raw data'!AI107))=UPPER(TRIM('Real results'!C107)),2,0),0),0)</f>
        <v>0</v>
      </c>
      <c r="AK109" s="29">
        <f>IFERROR(IF('Raw data'!AK107&lt;&gt;"",IF(OR(UPPER(TRIM('Raw data'!AK107))=UPPER(TRIM('Real results'!C107)),UPPER(TRIM('Raw data'!AK107))=UPPER(TRIM('Real results'!C108)),UPPER(TRIM('Raw data'!AK107))=UPPER(TRIM('Real results'!C109))),1,0)+IF(UPPER(TRIM('Raw data'!AK107))=UPPER(TRIM('Real results'!C107)),2,0),0),0)</f>
        <v>0</v>
      </c>
      <c r="AM109" s="29">
        <f>IFERROR(IF('Raw data'!AM107&lt;&gt;"",IF(OR(UPPER(TRIM('Raw data'!AM107))=UPPER(TRIM('Real results'!C107)),UPPER(TRIM('Raw data'!AM107))=UPPER(TRIM('Real results'!C108)),UPPER(TRIM('Raw data'!AM107))=UPPER(TRIM('Real results'!C109))),1,0)+IF(UPPER(TRIM('Raw data'!AM107))=UPPER(TRIM('Real results'!C107)),2,0),0),0)</f>
        <v>0</v>
      </c>
      <c r="AO109" s="29">
        <f>IFERROR(IF('Raw data'!AO107&lt;&gt;"",IF(OR(UPPER(TRIM('Raw data'!AO107))=UPPER(TRIM('Real results'!C107)),UPPER(TRIM('Raw data'!AO107))=UPPER(TRIM('Real results'!C108)),UPPER(TRIM('Raw data'!AO107))=UPPER(TRIM('Real results'!C109))),1,0)+IF(UPPER(TRIM('Raw data'!AO107))=UPPER(TRIM('Real results'!C107)),2,0),0),0)</f>
        <v>0</v>
      </c>
      <c r="AQ109" s="29">
        <f>IFERROR(IF('Raw data'!AQ107&lt;&gt;"",IF(OR(UPPER(TRIM('Raw data'!AQ107))=UPPER(TRIM('Real results'!C107)),UPPER(TRIM('Raw data'!AQ107))=UPPER(TRIM('Real results'!C108)),UPPER(TRIM('Raw data'!AQ107))=UPPER(TRIM('Real results'!C109))),1,0)+IF(UPPER(TRIM('Raw data'!AQ107))=UPPER(TRIM('Real results'!C107)),2,0),0),0)</f>
        <v>0</v>
      </c>
      <c r="AS109" s="29">
        <f>IFERROR(IF('Raw data'!AS107&lt;&gt;"",IF(OR(UPPER(TRIM('Raw data'!AS107))=UPPER(TRIM('Real results'!C107)),UPPER(TRIM('Raw data'!AS107))=UPPER(TRIM('Real results'!C108)),UPPER(TRIM('Raw data'!AS107))=UPPER(TRIM('Real results'!C109))),1,0)+IF(UPPER(TRIM('Raw data'!AS107))=UPPER(TRIM('Real results'!C107)),2,0),0),0)</f>
        <v>0</v>
      </c>
      <c r="AU109" s="29">
        <f>IFERROR(IF('Raw data'!AU107&lt;&gt;"",IF(OR(UPPER(TRIM('Raw data'!AU107))=UPPER(TRIM('Real results'!C107)),UPPER(TRIM('Raw data'!AU107))=UPPER(TRIM('Real results'!C108)),UPPER(TRIM('Raw data'!AU107))=UPPER(TRIM('Real results'!C109))),1,0)+IF(UPPER(TRIM('Raw data'!AU107))=UPPER(TRIM('Real results'!C107)),2,0),0),0)</f>
        <v>0</v>
      </c>
      <c r="AW109" s="29">
        <f>IFERROR(IF('Raw data'!AW107&lt;&gt;"",IF(OR(UPPER(TRIM('Raw data'!AW107))=UPPER(TRIM('Real results'!C107)),UPPER(TRIM('Raw data'!AW107))=UPPER(TRIM('Real results'!C108)),UPPER(TRIM('Raw data'!AW107))=UPPER(TRIM('Real results'!C109))),1,0)+IF(UPPER(TRIM('Raw data'!AW107))=UPPER(TRIM('Real results'!C107)),2,0),0),0)</f>
        <v>0</v>
      </c>
      <c r="AY109" s="29">
        <f>IFERROR(IF('Raw data'!AY107&lt;&gt;"",IF(OR(UPPER(TRIM('Raw data'!AY107))=UPPER(TRIM('Real results'!C107)),UPPER(TRIM('Raw data'!AY107))=UPPER(TRIM('Real results'!C108)),UPPER(TRIM('Raw data'!AY107))=UPPER(TRIM('Real results'!C109))),1,0)+IF(UPPER(TRIM('Raw data'!AY107))=UPPER(TRIM('Real results'!C107)),2,0),0),0)</f>
        <v>0</v>
      </c>
      <c r="BA109" s="29">
        <f>IFERROR(IF('Raw data'!BA107&lt;&gt;"",IF(OR(UPPER(TRIM('Raw data'!BA107))=UPPER(TRIM('Real results'!C107)),UPPER(TRIM('Raw data'!BA107))=UPPER(TRIM('Real results'!C108)),UPPER(TRIM('Raw data'!BA107))=UPPER(TRIM('Real results'!C109))),1,0)+IF(UPPER(TRIM('Raw data'!BA107))=UPPER(TRIM('Real results'!C107)),2,0),0),0)</f>
        <v>0</v>
      </c>
      <c r="BC109" s="29">
        <f>IFERROR(IF('Raw data'!BC107&lt;&gt;"",IF(OR(UPPER(TRIM('Raw data'!BC107))=UPPER(TRIM('Real results'!C107)),UPPER(TRIM('Raw data'!BC107))=UPPER(TRIM('Real results'!C108)),UPPER(TRIM('Raw data'!BC107))=UPPER(TRIM('Real results'!C109))),1,0)+IF(UPPER(TRIM('Raw data'!BC107))=UPPER(TRIM('Real results'!C107)),2,0),0),0)</f>
        <v>0</v>
      </c>
      <c r="BE109" s="29">
        <f>IFERROR(IF('Raw data'!BE107&lt;&gt;"",IF(OR(UPPER(TRIM('Raw data'!BE107))=UPPER(TRIM('Real results'!C107)),UPPER(TRIM('Raw data'!BE107))=UPPER(TRIM('Real results'!C108)),UPPER(TRIM('Raw data'!BE107))=UPPER(TRIM('Real results'!C109))),1,0)+IF(UPPER(TRIM('Raw data'!BE107))=UPPER(TRIM('Real results'!C107)),2,0),0),0)</f>
        <v>0</v>
      </c>
      <c r="BG109" s="29">
        <f>IFERROR(IF('Raw data'!BG107&lt;&gt;"",IF(OR(UPPER(TRIM('Raw data'!BG107))=UPPER(TRIM('Real results'!C107)),UPPER(TRIM('Raw data'!BG107))=UPPER(TRIM('Real results'!C108)),UPPER(TRIM('Raw data'!BG107))=UPPER(TRIM('Real results'!C109))),1,0)+IF(UPPER(TRIM('Raw data'!BG107))=UPPER(TRIM('Real results'!C107)),2,0),0),0)</f>
        <v>0</v>
      </c>
      <c r="BI109" s="29">
        <f>IFERROR(IF('Raw data'!BI107&lt;&gt;"",IF(OR(UPPER(TRIM('Raw data'!BI107))=UPPER(TRIM('Real results'!C107)),UPPER(TRIM('Raw data'!BI107))=UPPER(TRIM('Real results'!C108)),UPPER(TRIM('Raw data'!BI107))=UPPER(TRIM('Real results'!C109))),1,0)+IF(UPPER(TRIM('Raw data'!BI107))=UPPER(TRIM('Real results'!C107)),2,0),0),0)</f>
        <v>0</v>
      </c>
    </row>
    <row r="110" ht="18.0" customHeight="1">
      <c r="A110" s="1"/>
      <c r="B110" s="13" t="s">
        <v>391</v>
      </c>
      <c r="C110" s="29">
        <f>IFERROR(IF('Raw data'!C108&lt;&gt;"",IF(OR(UPPER(TRIM('Raw data'!C108))=UPPER(TRIM('Real results'!C107)),UPPER(TRIM('Raw data'!C108))=UPPER(TRIM('Real results'!C108)),UPPER(TRIM('Raw data'!C108))=UPPER(TRIM('Real results'!C109))),1,0),0),0)</f>
        <v>0</v>
      </c>
      <c r="E110" s="29">
        <f>IFERROR(IF('Raw data'!E108&lt;&gt;"",IF(OR(UPPER(TRIM('Raw data'!E108))=UPPER(TRIM('Real results'!C107)),UPPER(TRIM('Raw data'!E108))=UPPER(TRIM('Real results'!C108)),UPPER(TRIM('Raw data'!E108))=UPPER(TRIM('Real results'!C109))),1,0),0),0)</f>
        <v>0</v>
      </c>
      <c r="G110" s="29">
        <f>IFERROR(IF('Raw data'!G108&lt;&gt;"",IF(OR(UPPER(TRIM('Raw data'!G108))=UPPER(TRIM('Real results'!C107)),UPPER(TRIM('Raw data'!G108))=UPPER(TRIM('Real results'!C108)),UPPER(TRIM('Raw data'!G108))=UPPER(TRIM('Real results'!C109))),1,0),0),0)</f>
        <v>0</v>
      </c>
      <c r="I110" s="29">
        <f>IFERROR(IF('Raw data'!I108&lt;&gt;"",IF(OR(UPPER(TRIM('Raw data'!I108))=UPPER(TRIM('Real results'!C107)),UPPER(TRIM('Raw data'!I108))=UPPER(TRIM('Real results'!C108)),UPPER(TRIM('Raw data'!I108))=UPPER(TRIM('Real results'!C109))),1,0),0),0)</f>
        <v>0</v>
      </c>
      <c r="K110" s="29">
        <f>IFERROR(IF('Raw data'!K108&lt;&gt;"",IF(OR(UPPER(TRIM('Raw data'!K108))=UPPER(TRIM('Real results'!C107)),UPPER(TRIM('Raw data'!K108))=UPPER(TRIM('Real results'!C108)),UPPER(TRIM('Raw data'!K108))=UPPER(TRIM('Real results'!C109))),1,0),0),0)</f>
        <v>0</v>
      </c>
      <c r="M110" s="29">
        <f>IFERROR(IF('Raw data'!M108&lt;&gt;"",IF(OR(UPPER(TRIM('Raw data'!M108))=UPPER(TRIM('Real results'!C107)),UPPER(TRIM('Raw data'!M108))=UPPER(TRIM('Real results'!C108)),UPPER(TRIM('Raw data'!M108))=UPPER(TRIM('Real results'!C109))),1,0),0),0)</f>
        <v>0</v>
      </c>
      <c r="O110" s="29">
        <f>IFERROR(IF('Raw data'!O108&lt;&gt;"",IF(OR(UPPER(TRIM('Raw data'!O108))=UPPER(TRIM('Real results'!C107)),UPPER(TRIM('Raw data'!O108))=UPPER(TRIM('Real results'!C108)),UPPER(TRIM('Raw data'!O108))=UPPER(TRIM('Real results'!C109))),1,0),0),0)</f>
        <v>0</v>
      </c>
      <c r="Q110" s="29">
        <f>IFERROR(IF('Raw data'!Q108&lt;&gt;"",IF(OR(UPPER(TRIM('Raw data'!Q108))=UPPER(TRIM('Real results'!C107)),UPPER(TRIM('Raw data'!Q108))=UPPER(TRIM('Real results'!C108)),UPPER(TRIM('Raw data'!Q108))=UPPER(TRIM('Real results'!C109))),1,0),0),0)</f>
        <v>0</v>
      </c>
      <c r="S110" s="29">
        <f>IFERROR(IF('Raw data'!S108&lt;&gt;"",IF(OR(UPPER(TRIM('Raw data'!S108))=UPPER(TRIM('Real results'!C107)),UPPER(TRIM('Raw data'!S108))=UPPER(TRIM('Real results'!C108)),UPPER(TRIM('Raw data'!S108))=UPPER(TRIM('Real results'!C109))),1,0),0),0)</f>
        <v>0</v>
      </c>
      <c r="U110" s="29">
        <f>IFERROR(IF('Raw data'!U108&lt;&gt;"",IF(OR(UPPER(TRIM('Raw data'!U108))=UPPER(TRIM('Real results'!C107)),UPPER(TRIM('Raw data'!U108))=UPPER(TRIM('Real results'!C108)),UPPER(TRIM('Raw data'!U108))=UPPER(TRIM('Real results'!C109))),1,0),0),0)</f>
        <v>0</v>
      </c>
      <c r="W110" s="29">
        <f>IFERROR(IF('Raw data'!W108&lt;&gt;"",IF(OR(UPPER(TRIM('Raw data'!W108))=UPPER(TRIM('Real results'!C107)),UPPER(TRIM('Raw data'!W108))=UPPER(TRIM('Real results'!C108)),UPPER(TRIM('Raw data'!W108))=UPPER(TRIM('Real results'!C109))),1,0),0),0)</f>
        <v>0</v>
      </c>
      <c r="Y110" s="29">
        <f>IFERROR(IF('Raw data'!Y108&lt;&gt;"",IF(OR(UPPER(TRIM('Raw data'!Y108))=UPPER(TRIM('Real results'!C107)),UPPER(TRIM('Raw data'!Y108))=UPPER(TRIM('Real results'!C108)),UPPER(TRIM('Raw data'!Y108))=UPPER(TRIM('Real results'!C109))),1,0),0),0)</f>
        <v>0</v>
      </c>
      <c r="AA110" s="29">
        <f>IFERROR(IF('Raw data'!AA108&lt;&gt;"",IF(OR(UPPER(TRIM('Raw data'!AA108))=UPPER(TRIM('Real results'!C107)),UPPER(TRIM('Raw data'!AA108))=UPPER(TRIM('Real results'!C108)),UPPER(TRIM('Raw data'!AA108))=UPPER(TRIM('Real results'!C109))),1,0),0),0)</f>
        <v>0</v>
      </c>
      <c r="AC110" s="29">
        <f>IFERROR(IF('Raw data'!AC108&lt;&gt;"",IF(OR(UPPER(TRIM('Raw data'!AC108))=UPPER(TRIM('Real results'!C107)),UPPER(TRIM('Raw data'!AC108))=UPPER(TRIM('Real results'!C108)),UPPER(TRIM('Raw data'!AC108))=UPPER(TRIM('Real results'!C109))),1,0),0),0)</f>
        <v>0</v>
      </c>
      <c r="AE110" s="29">
        <f>IFERROR(IF('Raw data'!AE108&lt;&gt;"",IF(OR(UPPER(TRIM('Raw data'!AE108))=UPPER(TRIM('Real results'!C107)),UPPER(TRIM('Raw data'!AE108))=UPPER(TRIM('Real results'!C108)),UPPER(TRIM('Raw data'!AE108))=UPPER(TRIM('Real results'!C109))),1,0),0),0)</f>
        <v>0</v>
      </c>
      <c r="AG110" s="29">
        <f>IFERROR(IF('Raw data'!AG108&lt;&gt;"",IF(OR(UPPER(TRIM('Raw data'!AG108))=UPPER(TRIM('Real results'!C107)),UPPER(TRIM('Raw data'!AG108))=UPPER(TRIM('Real results'!C108)),UPPER(TRIM('Raw data'!AG108))=UPPER(TRIM('Real results'!C109))),1,0),0),0)</f>
        <v>0</v>
      </c>
      <c r="AI110" s="29">
        <f>IFERROR(IF('Raw data'!AI108&lt;&gt;"",IF(OR(UPPER(TRIM('Raw data'!AI108))=UPPER(TRIM('Real results'!C107)),UPPER(TRIM('Raw data'!AI108))=UPPER(TRIM('Real results'!C108)),UPPER(TRIM('Raw data'!AI108))=UPPER(TRIM('Real results'!C109))),1,0),0),0)</f>
        <v>0</v>
      </c>
      <c r="AK110" s="29">
        <f>IFERROR(IF('Raw data'!AK108&lt;&gt;"",IF(OR(UPPER(TRIM('Raw data'!AK108))=UPPER(TRIM('Real results'!C107)),UPPER(TRIM('Raw data'!AK108))=UPPER(TRIM('Real results'!C108)),UPPER(TRIM('Raw data'!AK108))=UPPER(TRIM('Real results'!C109))),1,0),0),0)</f>
        <v>0</v>
      </c>
      <c r="AM110" s="29">
        <f>IFERROR(IF('Raw data'!AM108&lt;&gt;"",IF(OR(UPPER(TRIM('Raw data'!AM108))=UPPER(TRIM('Real results'!C107)),UPPER(TRIM('Raw data'!AM108))=UPPER(TRIM('Real results'!C108)),UPPER(TRIM('Raw data'!AM108))=UPPER(TRIM('Real results'!C109))),1,0),0),0)</f>
        <v>0</v>
      </c>
      <c r="AO110" s="29">
        <f>IFERROR(IF('Raw data'!AO108&lt;&gt;"",IF(OR(UPPER(TRIM('Raw data'!AO108))=UPPER(TRIM('Real results'!C107)),UPPER(TRIM('Raw data'!AO108))=UPPER(TRIM('Real results'!C108)),UPPER(TRIM('Raw data'!AO108))=UPPER(TRIM('Real results'!C109))),1,0),0),0)</f>
        <v>0</v>
      </c>
      <c r="AQ110" s="29">
        <f>IFERROR(IF('Raw data'!AQ108&lt;&gt;"",IF(OR(UPPER(TRIM('Raw data'!AQ108))=UPPER(TRIM('Real results'!C107)),UPPER(TRIM('Raw data'!AQ108))=UPPER(TRIM('Real results'!C108)),UPPER(TRIM('Raw data'!AQ108))=UPPER(TRIM('Real results'!C109))),1,0),0),0)</f>
        <v>0</v>
      </c>
      <c r="AS110" s="29">
        <f>IFERROR(IF('Raw data'!AS108&lt;&gt;"",IF(OR(UPPER(TRIM('Raw data'!AS108))=UPPER(TRIM('Real results'!C107)),UPPER(TRIM('Raw data'!AS108))=UPPER(TRIM('Real results'!C108)),UPPER(TRIM('Raw data'!AS108))=UPPER(TRIM('Real results'!C109))),1,0),0),0)</f>
        <v>0</v>
      </c>
      <c r="AU110" s="29">
        <f>IFERROR(IF('Raw data'!AU108&lt;&gt;"",IF(OR(UPPER(TRIM('Raw data'!AU108))=UPPER(TRIM('Real results'!C107)),UPPER(TRIM('Raw data'!AU108))=UPPER(TRIM('Real results'!C108)),UPPER(TRIM('Raw data'!AU108))=UPPER(TRIM('Real results'!C109))),1,0),0),0)</f>
        <v>0</v>
      </c>
      <c r="AW110" s="29">
        <f>IFERROR(IF('Raw data'!AW108&lt;&gt;"",IF(OR(UPPER(TRIM('Raw data'!AW108))=UPPER(TRIM('Real results'!C107)),UPPER(TRIM('Raw data'!AW108))=UPPER(TRIM('Real results'!C108)),UPPER(TRIM('Raw data'!AW108))=UPPER(TRIM('Real results'!C109))),1,0),0),0)</f>
        <v>0</v>
      </c>
      <c r="AY110" s="29">
        <f>IFERROR(IF('Raw data'!AY108&lt;&gt;"",IF(OR(UPPER(TRIM('Raw data'!AY108))=UPPER(TRIM('Real results'!C107)),UPPER(TRIM('Raw data'!AY108))=UPPER(TRIM('Real results'!C108)),UPPER(TRIM('Raw data'!AY108))=UPPER(TRIM('Real results'!C109))),1,0),0),0)</f>
        <v>0</v>
      </c>
      <c r="BA110" s="29">
        <f>IFERROR(IF('Raw data'!BA108&lt;&gt;"",IF(OR(UPPER(TRIM('Raw data'!BA108))=UPPER(TRIM('Real results'!C107)),UPPER(TRIM('Raw data'!BA108))=UPPER(TRIM('Real results'!C108)),UPPER(TRIM('Raw data'!BA108))=UPPER(TRIM('Real results'!C109))),1,0),0),0)</f>
        <v>0</v>
      </c>
      <c r="BC110" s="29">
        <f>IFERROR(IF('Raw data'!BC108&lt;&gt;"",IF(OR(UPPER(TRIM('Raw data'!BC108))=UPPER(TRIM('Real results'!C107)),UPPER(TRIM('Raw data'!BC108))=UPPER(TRIM('Real results'!C108)),UPPER(TRIM('Raw data'!BC108))=UPPER(TRIM('Real results'!C109))),1,0),0),0)</f>
        <v>0</v>
      </c>
      <c r="BE110" s="29">
        <f>IFERROR(IF('Raw data'!BE108&lt;&gt;"",IF(OR(UPPER(TRIM('Raw data'!BE108))=UPPER(TRIM('Real results'!C107)),UPPER(TRIM('Raw data'!BE108))=UPPER(TRIM('Real results'!C108)),UPPER(TRIM('Raw data'!BE108))=UPPER(TRIM('Real results'!C109))),1,0),0),0)</f>
        <v>0</v>
      </c>
      <c r="BG110" s="29">
        <f>IFERROR(IF('Raw data'!BG108&lt;&gt;"",IF(OR(UPPER(TRIM('Raw data'!BG108))=UPPER(TRIM('Real results'!C107)),UPPER(TRIM('Raw data'!BG108))=UPPER(TRIM('Real results'!C108)),UPPER(TRIM('Raw data'!BG108))=UPPER(TRIM('Real results'!C109))),1,0),0),0)</f>
        <v>0</v>
      </c>
      <c r="BI110" s="29">
        <f>IFERROR(IF('Raw data'!BI108&lt;&gt;"",IF(OR(UPPER(TRIM('Raw data'!BI108))=UPPER(TRIM('Real results'!C107)),UPPER(TRIM('Raw data'!BI108))=UPPER(TRIM('Real results'!C108)),UPPER(TRIM('Raw data'!BI108))=UPPER(TRIM('Real results'!C109))),1,0),0),0)</f>
        <v>0</v>
      </c>
    </row>
    <row r="111" ht="18.0" customHeight="1">
      <c r="A111" s="1"/>
      <c r="B111" s="13" t="s">
        <v>392</v>
      </c>
      <c r="C111" s="29">
        <f>IFERROR(IF('Raw data'!C109&lt;&gt;"",IF(OR(UPPER(TRIM('Raw data'!C109))=UPPER(TRIM('Real results'!C107)),UPPER(TRIM('Raw data'!C109))=UPPER(TRIM('Real results'!C108)),UPPER(TRIM('Raw data'!C109))=UPPER(TRIM('Real results'!C109))),1,0),0),0)</f>
        <v>0</v>
      </c>
      <c r="E111" s="29">
        <f>IFERROR(IF('Raw data'!E109&lt;&gt;"",IF(OR(UPPER(TRIM('Raw data'!E109))=UPPER(TRIM('Real results'!C107)),UPPER(TRIM('Raw data'!E109))=UPPER(TRIM('Real results'!C108)),UPPER(TRIM('Raw data'!E109))=UPPER(TRIM('Real results'!C109))),1,0),0),0)</f>
        <v>0</v>
      </c>
      <c r="G111" s="29">
        <f>IFERROR(IF('Raw data'!G109&lt;&gt;"",IF(OR(UPPER(TRIM('Raw data'!G109))=UPPER(TRIM('Real results'!C107)),UPPER(TRIM('Raw data'!G109))=UPPER(TRIM('Real results'!C108)),UPPER(TRIM('Raw data'!G109))=UPPER(TRIM('Real results'!C109))),1,0),0),0)</f>
        <v>0</v>
      </c>
      <c r="I111" s="29">
        <f>IFERROR(IF('Raw data'!I109&lt;&gt;"",IF(OR(UPPER(TRIM('Raw data'!I109))=UPPER(TRIM('Real results'!C107)),UPPER(TRIM('Raw data'!I109))=UPPER(TRIM('Real results'!C108)),UPPER(TRIM('Raw data'!I109))=UPPER(TRIM('Real results'!C109))),1,0),0),0)</f>
        <v>0</v>
      </c>
      <c r="K111" s="29">
        <f>IFERROR(IF('Raw data'!K109&lt;&gt;"",IF(OR(UPPER(TRIM('Raw data'!K109))=UPPER(TRIM('Real results'!C107)),UPPER(TRIM('Raw data'!K109))=UPPER(TRIM('Real results'!C108)),UPPER(TRIM('Raw data'!K109))=UPPER(TRIM('Real results'!C109))),1,0),0),0)</f>
        <v>0</v>
      </c>
      <c r="M111" s="29">
        <f>IFERROR(IF('Raw data'!M109&lt;&gt;"",IF(OR(UPPER(TRIM('Raw data'!M109))=UPPER(TRIM('Real results'!C107)),UPPER(TRIM('Raw data'!M109))=UPPER(TRIM('Real results'!C108)),UPPER(TRIM('Raw data'!M109))=UPPER(TRIM('Real results'!C109))),1,0),0),0)</f>
        <v>0</v>
      </c>
      <c r="O111" s="29">
        <f>IFERROR(IF('Raw data'!O109&lt;&gt;"",IF(OR(UPPER(TRIM('Raw data'!O109))=UPPER(TRIM('Real results'!C107)),UPPER(TRIM('Raw data'!O109))=UPPER(TRIM('Real results'!C108)),UPPER(TRIM('Raw data'!O109))=UPPER(TRIM('Real results'!C109))),1,0),0),0)</f>
        <v>0</v>
      </c>
      <c r="Q111" s="29">
        <f>IFERROR(IF('Raw data'!Q109&lt;&gt;"",IF(OR(UPPER(TRIM('Raw data'!Q109))=UPPER(TRIM('Real results'!C107)),UPPER(TRIM('Raw data'!Q109))=UPPER(TRIM('Real results'!C108)),UPPER(TRIM('Raw data'!Q109))=UPPER(TRIM('Real results'!C109))),1,0),0),0)</f>
        <v>0</v>
      </c>
      <c r="S111" s="29">
        <f>IFERROR(IF('Raw data'!S109&lt;&gt;"",IF(OR(UPPER(TRIM('Raw data'!S109))=UPPER(TRIM('Real results'!C107)),UPPER(TRIM('Raw data'!S109))=UPPER(TRIM('Real results'!C108)),UPPER(TRIM('Raw data'!S109))=UPPER(TRIM('Real results'!C109))),1,0),0),0)</f>
        <v>0</v>
      </c>
      <c r="U111" s="29">
        <f>IFERROR(IF('Raw data'!U109&lt;&gt;"",IF(OR(UPPER(TRIM('Raw data'!U109))=UPPER(TRIM('Real results'!C107)),UPPER(TRIM('Raw data'!U109))=UPPER(TRIM('Real results'!C108)),UPPER(TRIM('Raw data'!U109))=UPPER(TRIM('Real results'!C109))),1,0),0),0)</f>
        <v>0</v>
      </c>
      <c r="W111" s="29">
        <f>IFERROR(IF('Raw data'!W109&lt;&gt;"",IF(OR(UPPER(TRIM('Raw data'!W109))=UPPER(TRIM('Real results'!C107)),UPPER(TRIM('Raw data'!W109))=UPPER(TRIM('Real results'!C108)),UPPER(TRIM('Raw data'!W109))=UPPER(TRIM('Real results'!C109))),1,0),0),0)</f>
        <v>0</v>
      </c>
      <c r="Y111" s="29">
        <f>IFERROR(IF('Raw data'!Y109&lt;&gt;"",IF(OR(UPPER(TRIM('Raw data'!Y109))=UPPER(TRIM('Real results'!C107)),UPPER(TRIM('Raw data'!Y109))=UPPER(TRIM('Real results'!C108)),UPPER(TRIM('Raw data'!Y109))=UPPER(TRIM('Real results'!C109))),1,0),0),0)</f>
        <v>0</v>
      </c>
      <c r="AA111" s="29">
        <f>IFERROR(IF('Raw data'!AA109&lt;&gt;"",IF(OR(UPPER(TRIM('Raw data'!AA109))=UPPER(TRIM('Real results'!C107)),UPPER(TRIM('Raw data'!AA109))=UPPER(TRIM('Real results'!C108)),UPPER(TRIM('Raw data'!AA109))=UPPER(TRIM('Real results'!C109))),1,0),0),0)</f>
        <v>0</v>
      </c>
      <c r="AC111" s="29">
        <f>IFERROR(IF('Raw data'!AC109&lt;&gt;"",IF(OR(UPPER(TRIM('Raw data'!AC109))=UPPER(TRIM('Real results'!C107)),UPPER(TRIM('Raw data'!AC109))=UPPER(TRIM('Real results'!C108)),UPPER(TRIM('Raw data'!AC109))=UPPER(TRIM('Real results'!C109))),1,0),0),0)</f>
        <v>0</v>
      </c>
      <c r="AE111" s="29">
        <f>IFERROR(IF('Raw data'!AE109&lt;&gt;"",IF(OR(UPPER(TRIM('Raw data'!AE109))=UPPER(TRIM('Real results'!C107)),UPPER(TRIM('Raw data'!AE109))=UPPER(TRIM('Real results'!C108)),UPPER(TRIM('Raw data'!AE109))=UPPER(TRIM('Real results'!C109))),1,0),0),0)</f>
        <v>0</v>
      </c>
      <c r="AG111" s="29">
        <f>IFERROR(IF('Raw data'!AG109&lt;&gt;"",IF(OR(UPPER(TRIM('Raw data'!AG109))=UPPER(TRIM('Real results'!C107)),UPPER(TRIM('Raw data'!AG109))=UPPER(TRIM('Real results'!C108)),UPPER(TRIM('Raw data'!AG109))=UPPER(TRIM('Real results'!C109))),1,0),0),0)</f>
        <v>0</v>
      </c>
      <c r="AI111" s="29">
        <f>IFERROR(IF('Raw data'!AI109&lt;&gt;"",IF(OR(UPPER(TRIM('Raw data'!AI109))=UPPER(TRIM('Real results'!C107)),UPPER(TRIM('Raw data'!AI109))=UPPER(TRIM('Real results'!C108)),UPPER(TRIM('Raw data'!AI109))=UPPER(TRIM('Real results'!C109))),1,0),0),0)</f>
        <v>0</v>
      </c>
      <c r="AK111" s="29">
        <f>IFERROR(IF('Raw data'!AK109&lt;&gt;"",IF(OR(UPPER(TRIM('Raw data'!AK109))=UPPER(TRIM('Real results'!C107)),UPPER(TRIM('Raw data'!AK109))=UPPER(TRIM('Real results'!C108)),UPPER(TRIM('Raw data'!AK109))=UPPER(TRIM('Real results'!C109))),1,0),0),0)</f>
        <v>0</v>
      </c>
      <c r="AM111" s="29">
        <f>IFERROR(IF('Raw data'!AM109&lt;&gt;"",IF(OR(UPPER(TRIM('Raw data'!AM109))=UPPER(TRIM('Real results'!C107)),UPPER(TRIM('Raw data'!AM109))=UPPER(TRIM('Real results'!C108)),UPPER(TRIM('Raw data'!AM109))=UPPER(TRIM('Real results'!C109))),1,0),0),0)</f>
        <v>0</v>
      </c>
      <c r="AO111" s="29">
        <f>IFERROR(IF('Raw data'!AO109&lt;&gt;"",IF(OR(UPPER(TRIM('Raw data'!AO109))=UPPER(TRIM('Real results'!C107)),UPPER(TRIM('Raw data'!AO109))=UPPER(TRIM('Real results'!C108)),UPPER(TRIM('Raw data'!AO109))=UPPER(TRIM('Real results'!C109))),1,0),0),0)</f>
        <v>0</v>
      </c>
      <c r="AQ111" s="29">
        <f>IFERROR(IF('Raw data'!AQ109&lt;&gt;"",IF(OR(UPPER(TRIM('Raw data'!AQ109))=UPPER(TRIM('Real results'!C107)),UPPER(TRIM('Raw data'!AQ109))=UPPER(TRIM('Real results'!C108)),UPPER(TRIM('Raw data'!AQ109))=UPPER(TRIM('Real results'!C109))),1,0),0),0)</f>
        <v>0</v>
      </c>
      <c r="AS111" s="29">
        <f>IFERROR(IF('Raw data'!AS109&lt;&gt;"",IF(OR(UPPER(TRIM('Raw data'!AS109))=UPPER(TRIM('Real results'!C107)),UPPER(TRIM('Raw data'!AS109))=UPPER(TRIM('Real results'!C108)),UPPER(TRIM('Raw data'!AS109))=UPPER(TRIM('Real results'!C109))),1,0),0),0)</f>
        <v>0</v>
      </c>
      <c r="AU111" s="29">
        <f>IFERROR(IF('Raw data'!AU109&lt;&gt;"",IF(OR(UPPER(TRIM('Raw data'!AU109))=UPPER(TRIM('Real results'!C107)),UPPER(TRIM('Raw data'!AU109))=UPPER(TRIM('Real results'!C108)),UPPER(TRIM('Raw data'!AU109))=UPPER(TRIM('Real results'!C109))),1,0),0),0)</f>
        <v>0</v>
      </c>
      <c r="AW111" s="29">
        <f>IFERROR(IF('Raw data'!AW109&lt;&gt;"",IF(OR(UPPER(TRIM('Raw data'!AW109))=UPPER(TRIM('Real results'!C107)),UPPER(TRIM('Raw data'!AW109))=UPPER(TRIM('Real results'!C108)),UPPER(TRIM('Raw data'!AW109))=UPPER(TRIM('Real results'!C109))),1,0),0),0)</f>
        <v>0</v>
      </c>
      <c r="AY111" s="29">
        <f>IFERROR(IF('Raw data'!AY109&lt;&gt;"",IF(OR(UPPER(TRIM('Raw data'!AY109))=UPPER(TRIM('Real results'!C107)),UPPER(TRIM('Raw data'!AY109))=UPPER(TRIM('Real results'!C108)),UPPER(TRIM('Raw data'!AY109))=UPPER(TRIM('Real results'!C109))),1,0),0),0)</f>
        <v>0</v>
      </c>
      <c r="BA111" s="29">
        <f>IFERROR(IF('Raw data'!BA109&lt;&gt;"",IF(OR(UPPER(TRIM('Raw data'!BA109))=UPPER(TRIM('Real results'!C107)),UPPER(TRIM('Raw data'!BA109))=UPPER(TRIM('Real results'!C108)),UPPER(TRIM('Raw data'!BA109))=UPPER(TRIM('Real results'!C109))),1,0),0),0)</f>
        <v>0</v>
      </c>
      <c r="BC111" s="29">
        <f>IFERROR(IF('Raw data'!BC109&lt;&gt;"",IF(OR(UPPER(TRIM('Raw data'!BC109))=UPPER(TRIM('Real results'!C107)),UPPER(TRIM('Raw data'!BC109))=UPPER(TRIM('Real results'!C108)),UPPER(TRIM('Raw data'!BC109))=UPPER(TRIM('Real results'!C109))),1,0),0),0)</f>
        <v>0</v>
      </c>
      <c r="BE111" s="29">
        <f>IFERROR(IF('Raw data'!BE109&lt;&gt;"",IF(OR(UPPER(TRIM('Raw data'!BE109))=UPPER(TRIM('Real results'!C107)),UPPER(TRIM('Raw data'!BE109))=UPPER(TRIM('Real results'!C108)),UPPER(TRIM('Raw data'!BE109))=UPPER(TRIM('Real results'!C109))),1,0),0),0)</f>
        <v>0</v>
      </c>
      <c r="BG111" s="29">
        <f>IFERROR(IF('Raw data'!BG109&lt;&gt;"",IF(OR(UPPER(TRIM('Raw data'!BG109))=UPPER(TRIM('Real results'!C107)),UPPER(TRIM('Raw data'!BG109))=UPPER(TRIM('Real results'!C108)),UPPER(TRIM('Raw data'!BG109))=UPPER(TRIM('Real results'!C109))),1,0),0),0)</f>
        <v>0</v>
      </c>
      <c r="BI111" s="29">
        <f>IFERROR(IF('Raw data'!BI109&lt;&gt;"",IF(OR(UPPER(TRIM('Raw data'!BI109))=UPPER(TRIM('Real results'!C107)),UPPER(TRIM('Raw data'!BI109))=UPPER(TRIM('Real results'!C108)),UPPER(TRIM('Raw data'!BI109))=UPPER(TRIM('Real results'!C109))),1,0),0),0)</f>
        <v>0</v>
      </c>
    </row>
    <row r="112" ht="18.0" customHeight="1">
      <c r="A112" s="1"/>
      <c r="B112" s="13" t="s">
        <v>393</v>
      </c>
      <c r="C112" s="29">
        <f>IFERROR(IF('Raw data'!C110&lt;&gt;"",IF(OR(UPPER(TRIM('Raw data'!C110))=UPPER(TRIM('Real results'!C110)),UPPER(TRIM('Raw data'!C110))=UPPER(TRIM('Real results'!C111)),UPPER(TRIM('Raw data'!C110))=UPPER(TRIM('Real results'!C112))),1,0)+IF(UPPER(TRIM('Raw data'!C110))=UPPER(TRIM('Real results'!C110)),2,0),0),0)</f>
        <v>0</v>
      </c>
      <c r="E112" s="29">
        <f>IFERROR(IF('Raw data'!E110&lt;&gt;"",IF(OR(UPPER(TRIM('Raw data'!E110))=UPPER(TRIM('Real results'!C110)),UPPER(TRIM('Raw data'!E110))=UPPER(TRIM('Real results'!C111)),UPPER(TRIM('Raw data'!E110))=UPPER(TRIM('Real results'!C112))),1,0)+IF(UPPER(TRIM('Raw data'!E110))=UPPER(TRIM('Real results'!C110)),2,0),0),0)</f>
        <v>0</v>
      </c>
      <c r="G112" s="29">
        <f>IFERROR(IF('Raw data'!G110&lt;&gt;"",IF(OR(UPPER(TRIM('Raw data'!G110))=UPPER(TRIM('Real results'!C110)),UPPER(TRIM('Raw data'!G110))=UPPER(TRIM('Real results'!C111)),UPPER(TRIM('Raw data'!G110))=UPPER(TRIM('Real results'!C112))),1,0)+IF(UPPER(TRIM('Raw data'!G110))=UPPER(TRIM('Real results'!C110)),2,0),0),0)</f>
        <v>0</v>
      </c>
      <c r="I112" s="29">
        <f>IFERROR(IF('Raw data'!I110&lt;&gt;"",IF(OR(UPPER(TRIM('Raw data'!I110))=UPPER(TRIM('Real results'!C110)),UPPER(TRIM('Raw data'!I110))=UPPER(TRIM('Real results'!C111)),UPPER(TRIM('Raw data'!I110))=UPPER(TRIM('Real results'!C112))),1,0)+IF(UPPER(TRIM('Raw data'!I110))=UPPER(TRIM('Real results'!C110)),2,0),0),0)</f>
        <v>0</v>
      </c>
      <c r="K112" s="29">
        <f>IFERROR(IF('Raw data'!K110&lt;&gt;"",IF(OR(UPPER(TRIM('Raw data'!K110))=UPPER(TRIM('Real results'!C110)),UPPER(TRIM('Raw data'!K110))=UPPER(TRIM('Real results'!C111)),UPPER(TRIM('Raw data'!K110))=UPPER(TRIM('Real results'!C112))),1,0)+IF(UPPER(TRIM('Raw data'!K110))=UPPER(TRIM('Real results'!C110)),2,0),0),0)</f>
        <v>0</v>
      </c>
      <c r="M112" s="29">
        <f>IFERROR(IF('Raw data'!M110&lt;&gt;"",IF(OR(UPPER(TRIM('Raw data'!M110))=UPPER(TRIM('Real results'!C110)),UPPER(TRIM('Raw data'!M110))=UPPER(TRIM('Real results'!C111)),UPPER(TRIM('Raw data'!M110))=UPPER(TRIM('Real results'!C112))),1,0)+IF(UPPER(TRIM('Raw data'!M110))=UPPER(TRIM('Real results'!C110)),2,0),0),0)</f>
        <v>0</v>
      </c>
      <c r="O112" s="29">
        <f>IFERROR(IF('Raw data'!O110&lt;&gt;"",IF(OR(UPPER(TRIM('Raw data'!O110))=UPPER(TRIM('Real results'!C110)),UPPER(TRIM('Raw data'!O110))=UPPER(TRIM('Real results'!C111)),UPPER(TRIM('Raw data'!O110))=UPPER(TRIM('Real results'!C112))),1,0)+IF(UPPER(TRIM('Raw data'!O110))=UPPER(TRIM('Real results'!C110)),2,0),0),0)</f>
        <v>0</v>
      </c>
      <c r="Q112" s="29">
        <f>IFERROR(IF('Raw data'!Q110&lt;&gt;"",IF(OR(UPPER(TRIM('Raw data'!Q110))=UPPER(TRIM('Real results'!C110)),UPPER(TRIM('Raw data'!Q110))=UPPER(TRIM('Real results'!C111)),UPPER(TRIM('Raw data'!Q110))=UPPER(TRIM('Real results'!C112))),1,0)+IF(UPPER(TRIM('Raw data'!Q110))=UPPER(TRIM('Real results'!C110)),2,0),0),0)</f>
        <v>0</v>
      </c>
      <c r="S112" s="29">
        <f>IFERROR(IF('Raw data'!S110&lt;&gt;"",IF(OR(UPPER(TRIM('Raw data'!S110))=UPPER(TRIM('Real results'!C110)),UPPER(TRIM('Raw data'!S110))=UPPER(TRIM('Real results'!C111)),UPPER(TRIM('Raw data'!S110))=UPPER(TRIM('Real results'!C112))),1,0)+IF(UPPER(TRIM('Raw data'!S110))=UPPER(TRIM('Real results'!C110)),2,0),0),0)</f>
        <v>0</v>
      </c>
      <c r="U112" s="29">
        <f>IFERROR(IF('Raw data'!U110&lt;&gt;"",IF(OR(UPPER(TRIM('Raw data'!U110))=UPPER(TRIM('Real results'!C110)),UPPER(TRIM('Raw data'!U110))=UPPER(TRIM('Real results'!C111)),UPPER(TRIM('Raw data'!U110))=UPPER(TRIM('Real results'!C112))),1,0)+IF(UPPER(TRIM('Raw data'!U110))=UPPER(TRIM('Real results'!C110)),2,0),0),0)</f>
        <v>0</v>
      </c>
      <c r="W112" s="29">
        <f>IFERROR(IF('Raw data'!W110&lt;&gt;"",IF(OR(UPPER(TRIM('Raw data'!W110))=UPPER(TRIM('Real results'!C110)),UPPER(TRIM('Raw data'!W110))=UPPER(TRIM('Real results'!C111)),UPPER(TRIM('Raw data'!W110))=UPPER(TRIM('Real results'!C112))),1,0)+IF(UPPER(TRIM('Raw data'!W110))=UPPER(TRIM('Real results'!C110)),2,0),0),0)</f>
        <v>0</v>
      </c>
      <c r="Y112" s="29">
        <f>IFERROR(IF('Raw data'!Y110&lt;&gt;"",IF(OR(UPPER(TRIM('Raw data'!Y110))=UPPER(TRIM('Real results'!C110)),UPPER(TRIM('Raw data'!Y110))=UPPER(TRIM('Real results'!C111)),UPPER(TRIM('Raw data'!Y110))=UPPER(TRIM('Real results'!C112))),1,0)+IF(UPPER(TRIM('Raw data'!Y110))=UPPER(TRIM('Real results'!C110)),2,0),0),0)</f>
        <v>0</v>
      </c>
      <c r="AA112" s="29">
        <f>IFERROR(IF('Raw data'!AA110&lt;&gt;"",IF(OR(UPPER(TRIM('Raw data'!AA110))=UPPER(TRIM('Real results'!C110)),UPPER(TRIM('Raw data'!AA110))=UPPER(TRIM('Real results'!C111)),UPPER(TRIM('Raw data'!AA110))=UPPER(TRIM('Real results'!C112))),1,0)+IF(UPPER(TRIM('Raw data'!AA110))=UPPER(TRIM('Real results'!C110)),2,0),0),0)</f>
        <v>0</v>
      </c>
      <c r="AC112" s="29">
        <f>IFERROR(IF('Raw data'!AC110&lt;&gt;"",IF(OR(UPPER(TRIM('Raw data'!AC110))=UPPER(TRIM('Real results'!C110)),UPPER(TRIM('Raw data'!AC110))=UPPER(TRIM('Real results'!C111)),UPPER(TRIM('Raw data'!AC110))=UPPER(TRIM('Real results'!C112))),1,0)+IF(UPPER(TRIM('Raw data'!AC110))=UPPER(TRIM('Real results'!C110)),2,0),0),0)</f>
        <v>0</v>
      </c>
      <c r="AE112" s="29">
        <f>IFERROR(IF('Raw data'!AE110&lt;&gt;"",IF(OR(UPPER(TRIM('Raw data'!AE110))=UPPER(TRIM('Real results'!C110)),UPPER(TRIM('Raw data'!AE110))=UPPER(TRIM('Real results'!C111)),UPPER(TRIM('Raw data'!AE110))=UPPER(TRIM('Real results'!C112))),1,0)+IF(UPPER(TRIM('Raw data'!AE110))=UPPER(TRIM('Real results'!C110)),2,0),0),0)</f>
        <v>0</v>
      </c>
      <c r="AG112" s="29">
        <f>IFERROR(IF('Raw data'!AG110&lt;&gt;"",IF(OR(UPPER(TRIM('Raw data'!AG110))=UPPER(TRIM('Real results'!C110)),UPPER(TRIM('Raw data'!AG110))=UPPER(TRIM('Real results'!C111)),UPPER(TRIM('Raw data'!AG110))=UPPER(TRIM('Real results'!C112))),1,0)+IF(UPPER(TRIM('Raw data'!AG110))=UPPER(TRIM('Real results'!C110)),2,0),0),0)</f>
        <v>0</v>
      </c>
      <c r="AI112" s="29">
        <f>IFERROR(IF('Raw data'!AI110&lt;&gt;"",IF(OR(UPPER(TRIM('Raw data'!AI110))=UPPER(TRIM('Real results'!C110)),UPPER(TRIM('Raw data'!AI110))=UPPER(TRIM('Real results'!C111)),UPPER(TRIM('Raw data'!AI110))=UPPER(TRIM('Real results'!C112))),1,0)+IF(UPPER(TRIM('Raw data'!AI110))=UPPER(TRIM('Real results'!C110)),2,0),0),0)</f>
        <v>0</v>
      </c>
      <c r="AK112" s="29">
        <f>IFERROR(IF('Raw data'!AK110&lt;&gt;"",IF(OR(UPPER(TRIM('Raw data'!AK110))=UPPER(TRIM('Real results'!C110)),UPPER(TRIM('Raw data'!AK110))=UPPER(TRIM('Real results'!C111)),UPPER(TRIM('Raw data'!AK110))=UPPER(TRIM('Real results'!C112))),1,0)+IF(UPPER(TRIM('Raw data'!AK110))=UPPER(TRIM('Real results'!C110)),2,0),0),0)</f>
        <v>0</v>
      </c>
      <c r="AM112" s="29">
        <f>IFERROR(IF('Raw data'!AM110&lt;&gt;"",IF(OR(UPPER(TRIM('Raw data'!AM110))=UPPER(TRIM('Real results'!C110)),UPPER(TRIM('Raw data'!AM110))=UPPER(TRIM('Real results'!C111)),UPPER(TRIM('Raw data'!AM110))=UPPER(TRIM('Real results'!C112))),1,0)+IF(UPPER(TRIM('Raw data'!AM110))=UPPER(TRIM('Real results'!C110)),2,0),0),0)</f>
        <v>0</v>
      </c>
      <c r="AO112" s="29">
        <f>IFERROR(IF('Raw data'!AO110&lt;&gt;"",IF(OR(UPPER(TRIM('Raw data'!AO110))=UPPER(TRIM('Real results'!C110)),UPPER(TRIM('Raw data'!AO110))=UPPER(TRIM('Real results'!C111)),UPPER(TRIM('Raw data'!AO110))=UPPER(TRIM('Real results'!C112))),1,0)+IF(UPPER(TRIM('Raw data'!AO110))=UPPER(TRIM('Real results'!C110)),2,0),0),0)</f>
        <v>0</v>
      </c>
      <c r="AQ112" s="29">
        <f>IFERROR(IF('Raw data'!AQ110&lt;&gt;"",IF(OR(UPPER(TRIM('Raw data'!AQ110))=UPPER(TRIM('Real results'!C110)),UPPER(TRIM('Raw data'!AQ110))=UPPER(TRIM('Real results'!C111)),UPPER(TRIM('Raw data'!AQ110))=UPPER(TRIM('Real results'!C112))),1,0)+IF(UPPER(TRIM('Raw data'!AQ110))=UPPER(TRIM('Real results'!C110)),2,0),0),0)</f>
        <v>0</v>
      </c>
      <c r="AS112" s="29">
        <f>IFERROR(IF('Raw data'!AS110&lt;&gt;"",IF(OR(UPPER(TRIM('Raw data'!AS110))=UPPER(TRIM('Real results'!C110)),UPPER(TRIM('Raw data'!AS110))=UPPER(TRIM('Real results'!C111)),UPPER(TRIM('Raw data'!AS110))=UPPER(TRIM('Real results'!C112))),1,0)+IF(UPPER(TRIM('Raw data'!AS110))=UPPER(TRIM('Real results'!C110)),2,0),0),0)</f>
        <v>0</v>
      </c>
      <c r="AU112" s="29">
        <f>IFERROR(IF('Raw data'!AU110&lt;&gt;"",IF(OR(UPPER(TRIM('Raw data'!AU110))=UPPER(TRIM('Real results'!C110)),UPPER(TRIM('Raw data'!AU110))=UPPER(TRIM('Real results'!C111)),UPPER(TRIM('Raw data'!AU110))=UPPER(TRIM('Real results'!C112))),1,0)+IF(UPPER(TRIM('Raw data'!AU110))=UPPER(TRIM('Real results'!C110)),2,0),0),0)</f>
        <v>0</v>
      </c>
      <c r="AW112" s="29">
        <f>IFERROR(IF('Raw data'!AW110&lt;&gt;"",IF(OR(UPPER(TRIM('Raw data'!AW110))=UPPER(TRIM('Real results'!C110)),UPPER(TRIM('Raw data'!AW110))=UPPER(TRIM('Real results'!C111)),UPPER(TRIM('Raw data'!AW110))=UPPER(TRIM('Real results'!C112))),1,0)+IF(UPPER(TRIM('Raw data'!AW110))=UPPER(TRIM('Real results'!C110)),2,0),0),0)</f>
        <v>0</v>
      </c>
      <c r="AY112" s="29">
        <f>IFERROR(IF('Raw data'!AY110&lt;&gt;"",IF(OR(UPPER(TRIM('Raw data'!AY110))=UPPER(TRIM('Real results'!C110)),UPPER(TRIM('Raw data'!AY110))=UPPER(TRIM('Real results'!C111)),UPPER(TRIM('Raw data'!AY110))=UPPER(TRIM('Real results'!C112))),1,0)+IF(UPPER(TRIM('Raw data'!AY110))=UPPER(TRIM('Real results'!C110)),2,0),0),0)</f>
        <v>0</v>
      </c>
      <c r="BA112" s="29">
        <f>IFERROR(IF('Raw data'!BA110&lt;&gt;"",IF(OR(UPPER(TRIM('Raw data'!BA110))=UPPER(TRIM('Real results'!C110)),UPPER(TRIM('Raw data'!BA110))=UPPER(TRIM('Real results'!C111)),UPPER(TRIM('Raw data'!BA110))=UPPER(TRIM('Real results'!C112))),1,0)+IF(UPPER(TRIM('Raw data'!BA110))=UPPER(TRIM('Real results'!C110)),2,0),0),0)</f>
        <v>0</v>
      </c>
      <c r="BC112" s="29">
        <f>IFERROR(IF('Raw data'!BC110&lt;&gt;"",IF(OR(UPPER(TRIM('Raw data'!BC110))=UPPER(TRIM('Real results'!C110)),UPPER(TRIM('Raw data'!BC110))=UPPER(TRIM('Real results'!C111)),UPPER(TRIM('Raw data'!BC110))=UPPER(TRIM('Real results'!C112))),1,0)+IF(UPPER(TRIM('Raw data'!BC110))=UPPER(TRIM('Real results'!C110)),2,0),0),0)</f>
        <v>0</v>
      </c>
      <c r="BE112" s="29">
        <f>IFERROR(IF('Raw data'!BE110&lt;&gt;"",IF(OR(UPPER(TRIM('Raw data'!BE110))=UPPER(TRIM('Real results'!C110)),UPPER(TRIM('Raw data'!BE110))=UPPER(TRIM('Real results'!C111)),UPPER(TRIM('Raw data'!BE110))=UPPER(TRIM('Real results'!C112))),1,0)+IF(UPPER(TRIM('Raw data'!BE110))=UPPER(TRIM('Real results'!C110)),2,0),0),0)</f>
        <v>0</v>
      </c>
      <c r="BG112" s="29">
        <f>IFERROR(IF('Raw data'!BG110&lt;&gt;"",IF(OR(UPPER(TRIM('Raw data'!BG110))=UPPER(TRIM('Real results'!C110)),UPPER(TRIM('Raw data'!BG110))=UPPER(TRIM('Real results'!C111)),UPPER(TRIM('Raw data'!BG110))=UPPER(TRIM('Real results'!C112))),1,0)+IF(UPPER(TRIM('Raw data'!BG110))=UPPER(TRIM('Real results'!C110)),2,0),0),0)</f>
        <v>0</v>
      </c>
      <c r="BI112" s="29">
        <f>IFERROR(IF('Raw data'!BI110&lt;&gt;"",IF(OR(UPPER(TRIM('Raw data'!BI110))=UPPER(TRIM('Real results'!C110)),UPPER(TRIM('Raw data'!BI110))=UPPER(TRIM('Real results'!C111)),UPPER(TRIM('Raw data'!BI110))=UPPER(TRIM('Real results'!C112))),1,0)+IF(UPPER(TRIM('Raw data'!BI110))=UPPER(TRIM('Real results'!C110)),2,0),0),0)</f>
        <v>0</v>
      </c>
    </row>
    <row r="113" ht="18.0" customHeight="1">
      <c r="A113" s="1"/>
      <c r="B113" s="13" t="s">
        <v>394</v>
      </c>
      <c r="C113" s="29">
        <f>IFERROR(IF('Raw data'!C111&lt;&gt;"",IF(OR(UPPER(TRIM('Raw data'!C111))=UPPER(TRIM('Real results'!C110)),UPPER(TRIM('Raw data'!C111))=UPPER(TRIM('Real results'!C111)),UPPER(TRIM('Raw data'!C111))=UPPER(TRIM('Real results'!C112))),1,0),0),0)</f>
        <v>0</v>
      </c>
      <c r="E113" s="29">
        <f>IFERROR(IF('Raw data'!E111&lt;&gt;"",IF(OR(UPPER(TRIM('Raw data'!E111))=UPPER(TRIM('Real results'!C110)),UPPER(TRIM('Raw data'!E111))=UPPER(TRIM('Real results'!C111)),UPPER(TRIM('Raw data'!E111))=UPPER(TRIM('Real results'!C112))),1,0),0),0)</f>
        <v>0</v>
      </c>
      <c r="G113" s="29">
        <f>IFERROR(IF('Raw data'!G111&lt;&gt;"",IF(OR(UPPER(TRIM('Raw data'!G111))=UPPER(TRIM('Real results'!C110)),UPPER(TRIM('Raw data'!G111))=UPPER(TRIM('Real results'!C111)),UPPER(TRIM('Raw data'!G111))=UPPER(TRIM('Real results'!C112))),1,0),0),0)</f>
        <v>0</v>
      </c>
      <c r="I113" s="29">
        <f>IFERROR(IF('Raw data'!I111&lt;&gt;"",IF(OR(UPPER(TRIM('Raw data'!I111))=UPPER(TRIM('Real results'!C110)),UPPER(TRIM('Raw data'!I111))=UPPER(TRIM('Real results'!C111)),UPPER(TRIM('Raw data'!I111))=UPPER(TRIM('Real results'!C112))),1,0),0),0)</f>
        <v>0</v>
      </c>
      <c r="K113" s="29">
        <f>IFERROR(IF('Raw data'!K111&lt;&gt;"",IF(OR(UPPER(TRIM('Raw data'!K111))=UPPER(TRIM('Real results'!C110)),UPPER(TRIM('Raw data'!K111))=UPPER(TRIM('Real results'!C111)),UPPER(TRIM('Raw data'!K111))=UPPER(TRIM('Real results'!C112))),1,0),0),0)</f>
        <v>0</v>
      </c>
      <c r="M113" s="29">
        <f>IFERROR(IF('Raw data'!M111&lt;&gt;"",IF(OR(UPPER(TRIM('Raw data'!M111))=UPPER(TRIM('Real results'!C110)),UPPER(TRIM('Raw data'!M111))=UPPER(TRIM('Real results'!C111)),UPPER(TRIM('Raw data'!M111))=UPPER(TRIM('Real results'!C112))),1,0),0),0)</f>
        <v>0</v>
      </c>
      <c r="O113" s="29">
        <f>IFERROR(IF('Raw data'!O111&lt;&gt;"",IF(OR(UPPER(TRIM('Raw data'!O111))=UPPER(TRIM('Real results'!C110)),UPPER(TRIM('Raw data'!O111))=UPPER(TRIM('Real results'!C111)),UPPER(TRIM('Raw data'!O111))=UPPER(TRIM('Real results'!C112))),1,0),0),0)</f>
        <v>0</v>
      </c>
      <c r="Q113" s="29">
        <f>IFERROR(IF('Raw data'!Q111&lt;&gt;"",IF(OR(UPPER(TRIM('Raw data'!Q111))=UPPER(TRIM('Real results'!C110)),UPPER(TRIM('Raw data'!Q111))=UPPER(TRIM('Real results'!C111)),UPPER(TRIM('Raw data'!Q111))=UPPER(TRIM('Real results'!C112))),1,0),0),0)</f>
        <v>0</v>
      </c>
      <c r="S113" s="29">
        <f>IFERROR(IF('Raw data'!S111&lt;&gt;"",IF(OR(UPPER(TRIM('Raw data'!S111))=UPPER(TRIM('Real results'!C110)),UPPER(TRIM('Raw data'!S111))=UPPER(TRIM('Real results'!C111)),UPPER(TRIM('Raw data'!S111))=UPPER(TRIM('Real results'!C112))),1,0),0),0)</f>
        <v>0</v>
      </c>
      <c r="U113" s="29">
        <f>IFERROR(IF('Raw data'!U111&lt;&gt;"",IF(OR(UPPER(TRIM('Raw data'!U111))=UPPER(TRIM('Real results'!C110)),UPPER(TRIM('Raw data'!U111))=UPPER(TRIM('Real results'!C111)),UPPER(TRIM('Raw data'!U111))=UPPER(TRIM('Real results'!C112))),1,0),0),0)</f>
        <v>0</v>
      </c>
      <c r="W113" s="29">
        <f>IFERROR(IF('Raw data'!W111&lt;&gt;"",IF(OR(UPPER(TRIM('Raw data'!W111))=UPPER(TRIM('Real results'!C110)),UPPER(TRIM('Raw data'!W111))=UPPER(TRIM('Real results'!C111)),UPPER(TRIM('Raw data'!W111))=UPPER(TRIM('Real results'!C112))),1,0),0),0)</f>
        <v>0</v>
      </c>
      <c r="Y113" s="29">
        <f>IFERROR(IF('Raw data'!Y111&lt;&gt;"",IF(OR(UPPER(TRIM('Raw data'!Y111))=UPPER(TRIM('Real results'!C110)),UPPER(TRIM('Raw data'!Y111))=UPPER(TRIM('Real results'!C111)),UPPER(TRIM('Raw data'!Y111))=UPPER(TRIM('Real results'!C112))),1,0),0),0)</f>
        <v>0</v>
      </c>
      <c r="AA113" s="29">
        <f>IFERROR(IF('Raw data'!AA111&lt;&gt;"",IF(OR(UPPER(TRIM('Raw data'!AA111))=UPPER(TRIM('Real results'!C110)),UPPER(TRIM('Raw data'!AA111))=UPPER(TRIM('Real results'!C111)),UPPER(TRIM('Raw data'!AA111))=UPPER(TRIM('Real results'!C112))),1,0),0),0)</f>
        <v>0</v>
      </c>
      <c r="AC113" s="29">
        <f>IFERROR(IF('Raw data'!AC111&lt;&gt;"",IF(OR(UPPER(TRIM('Raw data'!AC111))=UPPER(TRIM('Real results'!C110)),UPPER(TRIM('Raw data'!AC111))=UPPER(TRIM('Real results'!C111)),UPPER(TRIM('Raw data'!AC111))=UPPER(TRIM('Real results'!C112))),1,0),0),0)</f>
        <v>0</v>
      </c>
      <c r="AE113" s="29">
        <f>IFERROR(IF('Raw data'!AE111&lt;&gt;"",IF(OR(UPPER(TRIM('Raw data'!AE111))=UPPER(TRIM('Real results'!C110)),UPPER(TRIM('Raw data'!AE111))=UPPER(TRIM('Real results'!C111)),UPPER(TRIM('Raw data'!AE111))=UPPER(TRIM('Real results'!C112))),1,0),0),0)</f>
        <v>0</v>
      </c>
      <c r="AG113" s="29">
        <f>IFERROR(IF('Raw data'!AG111&lt;&gt;"",IF(OR(UPPER(TRIM('Raw data'!AG111))=UPPER(TRIM('Real results'!C110)),UPPER(TRIM('Raw data'!AG111))=UPPER(TRIM('Real results'!C111)),UPPER(TRIM('Raw data'!AG111))=UPPER(TRIM('Real results'!C112))),1,0),0),0)</f>
        <v>0</v>
      </c>
      <c r="AI113" s="29">
        <f>IFERROR(IF('Raw data'!AI111&lt;&gt;"",IF(OR(UPPER(TRIM('Raw data'!AI111))=UPPER(TRIM('Real results'!C110)),UPPER(TRIM('Raw data'!AI111))=UPPER(TRIM('Real results'!C111)),UPPER(TRIM('Raw data'!AI111))=UPPER(TRIM('Real results'!C112))),1,0),0),0)</f>
        <v>0</v>
      </c>
      <c r="AK113" s="29">
        <f>IFERROR(IF('Raw data'!AK111&lt;&gt;"",IF(OR(UPPER(TRIM('Raw data'!AK111))=UPPER(TRIM('Real results'!C110)),UPPER(TRIM('Raw data'!AK111))=UPPER(TRIM('Real results'!C111)),UPPER(TRIM('Raw data'!AK111))=UPPER(TRIM('Real results'!C112))),1,0),0),0)</f>
        <v>0</v>
      </c>
      <c r="AM113" s="29">
        <f>IFERROR(IF('Raw data'!AM111&lt;&gt;"",IF(OR(UPPER(TRIM('Raw data'!AM111))=UPPER(TRIM('Real results'!C110)),UPPER(TRIM('Raw data'!AM111))=UPPER(TRIM('Real results'!C111)),UPPER(TRIM('Raw data'!AM111))=UPPER(TRIM('Real results'!C112))),1,0),0),0)</f>
        <v>0</v>
      </c>
      <c r="AO113" s="29">
        <f>IFERROR(IF('Raw data'!AO111&lt;&gt;"",IF(OR(UPPER(TRIM('Raw data'!AO111))=UPPER(TRIM('Real results'!C110)),UPPER(TRIM('Raw data'!AO111))=UPPER(TRIM('Real results'!C111)),UPPER(TRIM('Raw data'!AO111))=UPPER(TRIM('Real results'!C112))),1,0),0),0)</f>
        <v>0</v>
      </c>
      <c r="AQ113" s="29">
        <f>IFERROR(IF('Raw data'!AQ111&lt;&gt;"",IF(OR(UPPER(TRIM('Raw data'!AQ111))=UPPER(TRIM('Real results'!C110)),UPPER(TRIM('Raw data'!AQ111))=UPPER(TRIM('Real results'!C111)),UPPER(TRIM('Raw data'!AQ111))=UPPER(TRIM('Real results'!C112))),1,0),0),0)</f>
        <v>0</v>
      </c>
      <c r="AS113" s="29">
        <f>IFERROR(IF('Raw data'!AS111&lt;&gt;"",IF(OR(UPPER(TRIM('Raw data'!AS111))=UPPER(TRIM('Real results'!C110)),UPPER(TRIM('Raw data'!AS111))=UPPER(TRIM('Real results'!C111)),UPPER(TRIM('Raw data'!AS111))=UPPER(TRIM('Real results'!C112))),1,0),0),0)</f>
        <v>0</v>
      </c>
      <c r="AU113" s="29">
        <f>IFERROR(IF('Raw data'!AU111&lt;&gt;"",IF(OR(UPPER(TRIM('Raw data'!AU111))=UPPER(TRIM('Real results'!C110)),UPPER(TRIM('Raw data'!AU111))=UPPER(TRIM('Real results'!C111)),UPPER(TRIM('Raw data'!AU111))=UPPER(TRIM('Real results'!C112))),1,0),0),0)</f>
        <v>0</v>
      </c>
      <c r="AW113" s="29">
        <f>IFERROR(IF('Raw data'!AW111&lt;&gt;"",IF(OR(UPPER(TRIM('Raw data'!AW111))=UPPER(TRIM('Real results'!C110)),UPPER(TRIM('Raw data'!AW111))=UPPER(TRIM('Real results'!C111)),UPPER(TRIM('Raw data'!AW111))=UPPER(TRIM('Real results'!C112))),1,0),0),0)</f>
        <v>0</v>
      </c>
      <c r="AY113" s="29">
        <f>IFERROR(IF('Raw data'!AY111&lt;&gt;"",IF(OR(UPPER(TRIM('Raw data'!AY111))=UPPER(TRIM('Real results'!C110)),UPPER(TRIM('Raw data'!AY111))=UPPER(TRIM('Real results'!C111)),UPPER(TRIM('Raw data'!AY111))=UPPER(TRIM('Real results'!C112))),1,0),0),0)</f>
        <v>0</v>
      </c>
      <c r="BA113" s="29">
        <f>IFERROR(IF('Raw data'!BA111&lt;&gt;"",IF(OR(UPPER(TRIM('Raw data'!BA111))=UPPER(TRIM('Real results'!C110)),UPPER(TRIM('Raw data'!BA111))=UPPER(TRIM('Real results'!C111)),UPPER(TRIM('Raw data'!BA111))=UPPER(TRIM('Real results'!C112))),1,0),0),0)</f>
        <v>0</v>
      </c>
      <c r="BC113" s="29">
        <f>IFERROR(IF('Raw data'!BC111&lt;&gt;"",IF(OR(UPPER(TRIM('Raw data'!BC111))=UPPER(TRIM('Real results'!C110)),UPPER(TRIM('Raw data'!BC111))=UPPER(TRIM('Real results'!C111)),UPPER(TRIM('Raw data'!BC111))=UPPER(TRIM('Real results'!C112))),1,0),0),0)</f>
        <v>0</v>
      </c>
      <c r="BE113" s="29">
        <f>IFERROR(IF('Raw data'!BE111&lt;&gt;"",IF(OR(UPPER(TRIM('Raw data'!BE111))=UPPER(TRIM('Real results'!C110)),UPPER(TRIM('Raw data'!BE111))=UPPER(TRIM('Real results'!C111)),UPPER(TRIM('Raw data'!BE111))=UPPER(TRIM('Real results'!C112))),1,0),0),0)</f>
        <v>0</v>
      </c>
      <c r="BG113" s="29">
        <f>IFERROR(IF('Raw data'!BG111&lt;&gt;"",IF(OR(UPPER(TRIM('Raw data'!BG111))=UPPER(TRIM('Real results'!C110)),UPPER(TRIM('Raw data'!BG111))=UPPER(TRIM('Real results'!C111)),UPPER(TRIM('Raw data'!BG111))=UPPER(TRIM('Real results'!C112))),1,0),0),0)</f>
        <v>0</v>
      </c>
      <c r="BI113" s="29">
        <f>IFERROR(IF('Raw data'!BI111&lt;&gt;"",IF(OR(UPPER(TRIM('Raw data'!BI111))=UPPER(TRIM('Real results'!C110)),UPPER(TRIM('Raw data'!BI111))=UPPER(TRIM('Real results'!C111)),UPPER(TRIM('Raw data'!BI111))=UPPER(TRIM('Real results'!C112))),1,0),0),0)</f>
        <v>0</v>
      </c>
    </row>
    <row r="114" ht="18.0" customHeight="1">
      <c r="A114" s="1"/>
      <c r="B114" s="13" t="s">
        <v>395</v>
      </c>
      <c r="C114" s="29">
        <f>IFERROR(IF('Raw data'!C112&lt;&gt;"",IF(OR(UPPER(TRIM('Raw data'!C112))=UPPER(TRIM('Real results'!C110)),UPPER(TRIM('Raw data'!C112))=UPPER(TRIM('Real results'!C111)),UPPER(TRIM('Raw data'!C112))=UPPER(TRIM('Real results'!C112))),1,0),0),0)</f>
        <v>0</v>
      </c>
      <c r="E114" s="29">
        <f>IFERROR(IF('Raw data'!E112&lt;&gt;"",IF(OR(UPPER(TRIM('Raw data'!E112))=UPPER(TRIM('Real results'!C110)),UPPER(TRIM('Raw data'!E112))=UPPER(TRIM('Real results'!C111)),UPPER(TRIM('Raw data'!E112))=UPPER(TRIM('Real results'!C112))),1,0),0),0)</f>
        <v>0</v>
      </c>
      <c r="G114" s="29">
        <f>IFERROR(IF('Raw data'!G112&lt;&gt;"",IF(OR(UPPER(TRIM('Raw data'!G112))=UPPER(TRIM('Real results'!C110)),UPPER(TRIM('Raw data'!G112))=UPPER(TRIM('Real results'!C111)),UPPER(TRIM('Raw data'!G112))=UPPER(TRIM('Real results'!C112))),1,0),0),0)</f>
        <v>0</v>
      </c>
      <c r="I114" s="29">
        <f>IFERROR(IF('Raw data'!I112&lt;&gt;"",IF(OR(UPPER(TRIM('Raw data'!I112))=UPPER(TRIM('Real results'!C110)),UPPER(TRIM('Raw data'!I112))=UPPER(TRIM('Real results'!C111)),UPPER(TRIM('Raw data'!I112))=UPPER(TRIM('Real results'!C112))),1,0),0),0)</f>
        <v>0</v>
      </c>
      <c r="K114" s="29">
        <f>IFERROR(IF('Raw data'!K112&lt;&gt;"",IF(OR(UPPER(TRIM('Raw data'!K112))=UPPER(TRIM('Real results'!C110)),UPPER(TRIM('Raw data'!K112))=UPPER(TRIM('Real results'!C111)),UPPER(TRIM('Raw data'!K112))=UPPER(TRIM('Real results'!C112))),1,0),0),0)</f>
        <v>0</v>
      </c>
      <c r="M114" s="29">
        <f>IFERROR(IF('Raw data'!M112&lt;&gt;"",IF(OR(UPPER(TRIM('Raw data'!M112))=UPPER(TRIM('Real results'!C110)),UPPER(TRIM('Raw data'!M112))=UPPER(TRIM('Real results'!C111)),UPPER(TRIM('Raw data'!M112))=UPPER(TRIM('Real results'!C112))),1,0),0),0)</f>
        <v>0</v>
      </c>
      <c r="O114" s="29">
        <f>IFERROR(IF('Raw data'!O112&lt;&gt;"",IF(OR(UPPER(TRIM('Raw data'!O112))=UPPER(TRIM('Real results'!C110)),UPPER(TRIM('Raw data'!O112))=UPPER(TRIM('Real results'!C111)),UPPER(TRIM('Raw data'!O112))=UPPER(TRIM('Real results'!C112))),1,0),0),0)</f>
        <v>0</v>
      </c>
      <c r="Q114" s="29">
        <f>IFERROR(IF('Raw data'!Q112&lt;&gt;"",IF(OR(UPPER(TRIM('Raw data'!Q112))=UPPER(TRIM('Real results'!C110)),UPPER(TRIM('Raw data'!Q112))=UPPER(TRIM('Real results'!C111)),UPPER(TRIM('Raw data'!Q112))=UPPER(TRIM('Real results'!C112))),1,0),0),0)</f>
        <v>0</v>
      </c>
      <c r="S114" s="29">
        <f>IFERROR(IF('Raw data'!S112&lt;&gt;"",IF(OR(UPPER(TRIM('Raw data'!S112))=UPPER(TRIM('Real results'!C110)),UPPER(TRIM('Raw data'!S112))=UPPER(TRIM('Real results'!C111)),UPPER(TRIM('Raw data'!S112))=UPPER(TRIM('Real results'!C112))),1,0),0),0)</f>
        <v>0</v>
      </c>
      <c r="U114" s="29">
        <f>IFERROR(IF('Raw data'!U112&lt;&gt;"",IF(OR(UPPER(TRIM('Raw data'!U112))=UPPER(TRIM('Real results'!C110)),UPPER(TRIM('Raw data'!U112))=UPPER(TRIM('Real results'!C111)),UPPER(TRIM('Raw data'!U112))=UPPER(TRIM('Real results'!C112))),1,0),0),0)</f>
        <v>0</v>
      </c>
      <c r="W114" s="29">
        <f>IFERROR(IF('Raw data'!W112&lt;&gt;"",IF(OR(UPPER(TRIM('Raw data'!W112))=UPPER(TRIM('Real results'!C110)),UPPER(TRIM('Raw data'!W112))=UPPER(TRIM('Real results'!C111)),UPPER(TRIM('Raw data'!W112))=UPPER(TRIM('Real results'!C112))),1,0),0),0)</f>
        <v>0</v>
      </c>
      <c r="Y114" s="29">
        <f>IFERROR(IF('Raw data'!Y112&lt;&gt;"",IF(OR(UPPER(TRIM('Raw data'!Y112))=UPPER(TRIM('Real results'!C110)),UPPER(TRIM('Raw data'!Y112))=UPPER(TRIM('Real results'!C111)),UPPER(TRIM('Raw data'!Y112))=UPPER(TRIM('Real results'!C112))),1,0),0),0)</f>
        <v>0</v>
      </c>
      <c r="AA114" s="29">
        <f>IFERROR(IF('Raw data'!AA112&lt;&gt;"",IF(OR(UPPER(TRIM('Raw data'!AA112))=UPPER(TRIM('Real results'!C110)),UPPER(TRIM('Raw data'!AA112))=UPPER(TRIM('Real results'!C111)),UPPER(TRIM('Raw data'!AA112))=UPPER(TRIM('Real results'!C112))),1,0),0),0)</f>
        <v>0</v>
      </c>
      <c r="AC114" s="29">
        <f>IFERROR(IF('Raw data'!AC112&lt;&gt;"",IF(OR(UPPER(TRIM('Raw data'!AC112))=UPPER(TRIM('Real results'!C110)),UPPER(TRIM('Raw data'!AC112))=UPPER(TRIM('Real results'!C111)),UPPER(TRIM('Raw data'!AC112))=UPPER(TRIM('Real results'!C112))),1,0),0),0)</f>
        <v>0</v>
      </c>
      <c r="AE114" s="29">
        <f>IFERROR(IF('Raw data'!AE112&lt;&gt;"",IF(OR(UPPER(TRIM('Raw data'!AE112))=UPPER(TRIM('Real results'!C110)),UPPER(TRIM('Raw data'!AE112))=UPPER(TRIM('Real results'!C111)),UPPER(TRIM('Raw data'!AE112))=UPPER(TRIM('Real results'!C112))),1,0),0),0)</f>
        <v>0</v>
      </c>
      <c r="AG114" s="29">
        <f>IFERROR(IF('Raw data'!AG112&lt;&gt;"",IF(OR(UPPER(TRIM('Raw data'!AG112))=UPPER(TRIM('Real results'!C110)),UPPER(TRIM('Raw data'!AG112))=UPPER(TRIM('Real results'!C111)),UPPER(TRIM('Raw data'!AG112))=UPPER(TRIM('Real results'!C112))),1,0),0),0)</f>
        <v>0</v>
      </c>
      <c r="AI114" s="29">
        <f>IFERROR(IF('Raw data'!AI112&lt;&gt;"",IF(OR(UPPER(TRIM('Raw data'!AI112))=UPPER(TRIM('Real results'!C110)),UPPER(TRIM('Raw data'!AI112))=UPPER(TRIM('Real results'!C111)),UPPER(TRIM('Raw data'!AI112))=UPPER(TRIM('Real results'!C112))),1,0),0),0)</f>
        <v>0</v>
      </c>
      <c r="AK114" s="29">
        <f>IFERROR(IF('Raw data'!AK112&lt;&gt;"",IF(OR(UPPER(TRIM('Raw data'!AK112))=UPPER(TRIM('Real results'!C110)),UPPER(TRIM('Raw data'!AK112))=UPPER(TRIM('Real results'!C111)),UPPER(TRIM('Raw data'!AK112))=UPPER(TRIM('Real results'!C112))),1,0),0),0)</f>
        <v>0</v>
      </c>
      <c r="AM114" s="29">
        <f>IFERROR(IF('Raw data'!AM112&lt;&gt;"",IF(OR(UPPER(TRIM('Raw data'!AM112))=UPPER(TRIM('Real results'!C110)),UPPER(TRIM('Raw data'!AM112))=UPPER(TRIM('Real results'!C111)),UPPER(TRIM('Raw data'!AM112))=UPPER(TRIM('Real results'!C112))),1,0),0),0)</f>
        <v>0</v>
      </c>
      <c r="AO114" s="29">
        <f>IFERROR(IF('Raw data'!AO112&lt;&gt;"",IF(OR(UPPER(TRIM('Raw data'!AO112))=UPPER(TRIM('Real results'!C110)),UPPER(TRIM('Raw data'!AO112))=UPPER(TRIM('Real results'!C111)),UPPER(TRIM('Raw data'!AO112))=UPPER(TRIM('Real results'!C112))),1,0),0),0)</f>
        <v>0</v>
      </c>
      <c r="AQ114" s="29">
        <f>IFERROR(IF('Raw data'!AQ112&lt;&gt;"",IF(OR(UPPER(TRIM('Raw data'!AQ112))=UPPER(TRIM('Real results'!C110)),UPPER(TRIM('Raw data'!AQ112))=UPPER(TRIM('Real results'!C111)),UPPER(TRIM('Raw data'!AQ112))=UPPER(TRIM('Real results'!C112))),1,0),0),0)</f>
        <v>0</v>
      </c>
      <c r="AS114" s="29">
        <f>IFERROR(IF('Raw data'!AS112&lt;&gt;"",IF(OR(UPPER(TRIM('Raw data'!AS112))=UPPER(TRIM('Real results'!C110)),UPPER(TRIM('Raw data'!AS112))=UPPER(TRIM('Real results'!C111)),UPPER(TRIM('Raw data'!AS112))=UPPER(TRIM('Real results'!C112))),1,0),0),0)</f>
        <v>0</v>
      </c>
      <c r="AU114" s="29">
        <f>IFERROR(IF('Raw data'!AU112&lt;&gt;"",IF(OR(UPPER(TRIM('Raw data'!AU112))=UPPER(TRIM('Real results'!C110)),UPPER(TRIM('Raw data'!AU112))=UPPER(TRIM('Real results'!C111)),UPPER(TRIM('Raw data'!AU112))=UPPER(TRIM('Real results'!C112))),1,0),0),0)</f>
        <v>0</v>
      </c>
      <c r="AW114" s="29">
        <f>IFERROR(IF('Raw data'!AW112&lt;&gt;"",IF(OR(UPPER(TRIM('Raw data'!AW112))=UPPER(TRIM('Real results'!C110)),UPPER(TRIM('Raw data'!AW112))=UPPER(TRIM('Real results'!C111)),UPPER(TRIM('Raw data'!AW112))=UPPER(TRIM('Real results'!C112))),1,0),0),0)</f>
        <v>0</v>
      </c>
      <c r="AY114" s="29">
        <f>IFERROR(IF('Raw data'!AY112&lt;&gt;"",IF(OR(UPPER(TRIM('Raw data'!AY112))=UPPER(TRIM('Real results'!C110)),UPPER(TRIM('Raw data'!AY112))=UPPER(TRIM('Real results'!C111)),UPPER(TRIM('Raw data'!AY112))=UPPER(TRIM('Real results'!C112))),1,0),0),0)</f>
        <v>0</v>
      </c>
      <c r="BA114" s="29">
        <f>IFERROR(IF('Raw data'!BA112&lt;&gt;"",IF(OR(UPPER(TRIM('Raw data'!BA112))=UPPER(TRIM('Real results'!C110)),UPPER(TRIM('Raw data'!BA112))=UPPER(TRIM('Real results'!C111)),UPPER(TRIM('Raw data'!BA112))=UPPER(TRIM('Real results'!C112))),1,0),0),0)</f>
        <v>0</v>
      </c>
      <c r="BC114" s="29">
        <f>IFERROR(IF('Raw data'!BC112&lt;&gt;"",IF(OR(UPPER(TRIM('Raw data'!BC112))=UPPER(TRIM('Real results'!C110)),UPPER(TRIM('Raw data'!BC112))=UPPER(TRIM('Real results'!C111)),UPPER(TRIM('Raw data'!BC112))=UPPER(TRIM('Real results'!C112))),1,0),0),0)</f>
        <v>0</v>
      </c>
      <c r="BE114" s="29">
        <f>IFERROR(IF('Raw data'!BE112&lt;&gt;"",IF(OR(UPPER(TRIM('Raw data'!BE112))=UPPER(TRIM('Real results'!C110)),UPPER(TRIM('Raw data'!BE112))=UPPER(TRIM('Real results'!C111)),UPPER(TRIM('Raw data'!BE112))=UPPER(TRIM('Real results'!C112))),1,0),0),0)</f>
        <v>0</v>
      </c>
      <c r="BG114" s="29">
        <f>IFERROR(IF('Raw data'!BG112&lt;&gt;"",IF(OR(UPPER(TRIM('Raw data'!BG112))=UPPER(TRIM('Real results'!C110)),UPPER(TRIM('Raw data'!BG112))=UPPER(TRIM('Real results'!C111)),UPPER(TRIM('Raw data'!BG112))=UPPER(TRIM('Real results'!C112))),1,0),0),0)</f>
        <v>0</v>
      </c>
      <c r="BI114" s="29">
        <f>IFERROR(IF('Raw data'!BI112&lt;&gt;"",IF(OR(UPPER(TRIM('Raw data'!BI112))=UPPER(TRIM('Real results'!C110)),UPPER(TRIM('Raw data'!BI112))=UPPER(TRIM('Real results'!C111)),UPPER(TRIM('Raw data'!BI112))=UPPER(TRIM('Real results'!C112))),1,0),0),0)</f>
        <v>0</v>
      </c>
    </row>
    <row r="115" ht="18.0" customHeight="1">
      <c r="A115" s="1"/>
      <c r="B115" s="13" t="s">
        <v>396</v>
      </c>
      <c r="C115" s="29">
        <f>IFERROR(IF('Raw data'!C113&lt;&gt;"",IF(OR(UPPER(TRIM('Raw data'!C113))=UPPER(TRIM('Real results'!C113)),UPPER(TRIM('Raw data'!C113))=UPPER(TRIM('Real results'!C114)),UPPER(TRIM('Raw data'!C113))=UPPER(TRIM('Real results'!C115))),1,0)+IF(UPPER(TRIM('Raw data'!C113))=UPPER(TRIM('Real results'!C113)),2,0),0),0)</f>
        <v>0</v>
      </c>
      <c r="E115" s="29">
        <f>IFERROR(IF('Raw data'!E113&lt;&gt;"",IF(OR(UPPER(TRIM('Raw data'!E113))=UPPER(TRIM('Real results'!C113)),UPPER(TRIM('Raw data'!E113))=UPPER(TRIM('Real results'!C114)),UPPER(TRIM('Raw data'!E113))=UPPER(TRIM('Real results'!C115))),1,0)+IF(UPPER(TRIM('Raw data'!E113))=UPPER(TRIM('Real results'!C113)),2,0),0),0)</f>
        <v>0</v>
      </c>
      <c r="G115" s="29">
        <f>IFERROR(IF('Raw data'!G113&lt;&gt;"",IF(OR(UPPER(TRIM('Raw data'!G113))=UPPER(TRIM('Real results'!C113)),UPPER(TRIM('Raw data'!G113))=UPPER(TRIM('Real results'!C114)),UPPER(TRIM('Raw data'!G113))=UPPER(TRIM('Real results'!C115))),1,0)+IF(UPPER(TRIM('Raw data'!G113))=UPPER(TRIM('Real results'!C113)),2,0),0),0)</f>
        <v>0</v>
      </c>
      <c r="I115" s="29">
        <f>IFERROR(IF('Raw data'!I113&lt;&gt;"",IF(OR(UPPER(TRIM('Raw data'!I113))=UPPER(TRIM('Real results'!C113)),UPPER(TRIM('Raw data'!I113))=UPPER(TRIM('Real results'!C114)),UPPER(TRIM('Raw data'!I113))=UPPER(TRIM('Real results'!C115))),1,0)+IF(UPPER(TRIM('Raw data'!I113))=UPPER(TRIM('Real results'!C113)),2,0),0),0)</f>
        <v>0</v>
      </c>
      <c r="K115" s="29">
        <f>IFERROR(IF('Raw data'!K113&lt;&gt;"",IF(OR(UPPER(TRIM('Raw data'!K113))=UPPER(TRIM('Real results'!C113)),UPPER(TRIM('Raw data'!K113))=UPPER(TRIM('Real results'!C114)),UPPER(TRIM('Raw data'!K113))=UPPER(TRIM('Real results'!C115))),1,0)+IF(UPPER(TRIM('Raw data'!K113))=UPPER(TRIM('Real results'!C113)),2,0),0),0)</f>
        <v>0</v>
      </c>
      <c r="M115" s="29">
        <f>IFERROR(IF('Raw data'!M113&lt;&gt;"",IF(OR(UPPER(TRIM('Raw data'!M113))=UPPER(TRIM('Real results'!C113)),UPPER(TRIM('Raw data'!M113))=UPPER(TRIM('Real results'!C114)),UPPER(TRIM('Raw data'!M113))=UPPER(TRIM('Real results'!C115))),1,0)+IF(UPPER(TRIM('Raw data'!M113))=UPPER(TRIM('Real results'!C113)),2,0),0),0)</f>
        <v>0</v>
      </c>
      <c r="O115" s="29">
        <f>IFERROR(IF('Raw data'!O113&lt;&gt;"",IF(OR(UPPER(TRIM('Raw data'!O113))=UPPER(TRIM('Real results'!C113)),UPPER(TRIM('Raw data'!O113))=UPPER(TRIM('Real results'!C114)),UPPER(TRIM('Raw data'!O113))=UPPER(TRIM('Real results'!C115))),1,0)+IF(UPPER(TRIM('Raw data'!O113))=UPPER(TRIM('Real results'!C113)),2,0),0),0)</f>
        <v>0</v>
      </c>
      <c r="Q115" s="29">
        <f>IFERROR(IF('Raw data'!Q113&lt;&gt;"",IF(OR(UPPER(TRIM('Raw data'!Q113))=UPPER(TRIM('Real results'!C113)),UPPER(TRIM('Raw data'!Q113))=UPPER(TRIM('Real results'!C114)),UPPER(TRIM('Raw data'!Q113))=UPPER(TRIM('Real results'!C115))),1,0)+IF(UPPER(TRIM('Raw data'!Q113))=UPPER(TRIM('Real results'!C113)),2,0),0),0)</f>
        <v>0</v>
      </c>
      <c r="S115" s="29">
        <f>IFERROR(IF('Raw data'!S113&lt;&gt;"",IF(OR(UPPER(TRIM('Raw data'!S113))=UPPER(TRIM('Real results'!C113)),UPPER(TRIM('Raw data'!S113))=UPPER(TRIM('Real results'!C114)),UPPER(TRIM('Raw data'!S113))=UPPER(TRIM('Real results'!C115))),1,0)+IF(UPPER(TRIM('Raw data'!S113))=UPPER(TRIM('Real results'!C113)),2,0),0),0)</f>
        <v>0</v>
      </c>
      <c r="U115" s="29">
        <f>IFERROR(IF('Raw data'!U113&lt;&gt;"",IF(OR(UPPER(TRIM('Raw data'!U113))=UPPER(TRIM('Real results'!C113)),UPPER(TRIM('Raw data'!U113))=UPPER(TRIM('Real results'!C114)),UPPER(TRIM('Raw data'!U113))=UPPER(TRIM('Real results'!C115))),1,0)+IF(UPPER(TRIM('Raw data'!U113))=UPPER(TRIM('Real results'!C113)),2,0),0),0)</f>
        <v>0</v>
      </c>
      <c r="W115" s="29">
        <f>IFERROR(IF('Raw data'!W113&lt;&gt;"",IF(OR(UPPER(TRIM('Raw data'!W113))=UPPER(TRIM('Real results'!C113)),UPPER(TRIM('Raw data'!W113))=UPPER(TRIM('Real results'!C114)),UPPER(TRIM('Raw data'!W113))=UPPER(TRIM('Real results'!C115))),1,0)+IF(UPPER(TRIM('Raw data'!W113))=UPPER(TRIM('Real results'!C113)),2,0),0),0)</f>
        <v>0</v>
      </c>
      <c r="Y115" s="29">
        <f>IFERROR(IF('Raw data'!Y113&lt;&gt;"",IF(OR(UPPER(TRIM('Raw data'!Y113))=UPPER(TRIM('Real results'!C113)),UPPER(TRIM('Raw data'!Y113))=UPPER(TRIM('Real results'!C114)),UPPER(TRIM('Raw data'!Y113))=UPPER(TRIM('Real results'!C115))),1,0)+IF(UPPER(TRIM('Raw data'!Y113))=UPPER(TRIM('Real results'!C113)),2,0),0),0)</f>
        <v>0</v>
      </c>
      <c r="AA115" s="29">
        <f>IFERROR(IF('Raw data'!AA113&lt;&gt;"",IF(OR(UPPER(TRIM('Raw data'!AA113))=UPPER(TRIM('Real results'!C113)),UPPER(TRIM('Raw data'!AA113))=UPPER(TRIM('Real results'!C114)),UPPER(TRIM('Raw data'!AA113))=UPPER(TRIM('Real results'!C115))),1,0)+IF(UPPER(TRIM('Raw data'!AA113))=UPPER(TRIM('Real results'!C113)),2,0),0),0)</f>
        <v>0</v>
      </c>
      <c r="AC115" s="29">
        <f>IFERROR(IF('Raw data'!AC113&lt;&gt;"",IF(OR(UPPER(TRIM('Raw data'!AC113))=UPPER(TRIM('Real results'!C113)),UPPER(TRIM('Raw data'!AC113))=UPPER(TRIM('Real results'!C114)),UPPER(TRIM('Raw data'!AC113))=UPPER(TRIM('Real results'!C115))),1,0)+IF(UPPER(TRIM('Raw data'!AC113))=UPPER(TRIM('Real results'!C113)),2,0),0),0)</f>
        <v>0</v>
      </c>
      <c r="AE115" s="29">
        <f>IFERROR(IF('Raw data'!AE113&lt;&gt;"",IF(OR(UPPER(TRIM('Raw data'!AE113))=UPPER(TRIM('Real results'!C113)),UPPER(TRIM('Raw data'!AE113))=UPPER(TRIM('Real results'!C114)),UPPER(TRIM('Raw data'!AE113))=UPPER(TRIM('Real results'!C115))),1,0)+IF(UPPER(TRIM('Raw data'!AE113))=UPPER(TRIM('Real results'!C113)),2,0),0),0)</f>
        <v>0</v>
      </c>
      <c r="AG115" s="29">
        <f>IFERROR(IF('Raw data'!AG113&lt;&gt;"",IF(OR(UPPER(TRIM('Raw data'!AG113))=UPPER(TRIM('Real results'!C113)),UPPER(TRIM('Raw data'!AG113))=UPPER(TRIM('Real results'!C114)),UPPER(TRIM('Raw data'!AG113))=UPPER(TRIM('Real results'!C115))),1,0)+IF(UPPER(TRIM('Raw data'!AG113))=UPPER(TRIM('Real results'!C113)),2,0),0),0)</f>
        <v>0</v>
      </c>
      <c r="AI115" s="29">
        <f>IFERROR(IF('Raw data'!AI113&lt;&gt;"",IF(OR(UPPER(TRIM('Raw data'!AI113))=UPPER(TRIM('Real results'!C113)),UPPER(TRIM('Raw data'!AI113))=UPPER(TRIM('Real results'!C114)),UPPER(TRIM('Raw data'!AI113))=UPPER(TRIM('Real results'!C115))),1,0)+IF(UPPER(TRIM('Raw data'!AI113))=UPPER(TRIM('Real results'!C113)),2,0),0),0)</f>
        <v>0</v>
      </c>
      <c r="AK115" s="29">
        <f>IFERROR(IF('Raw data'!AK113&lt;&gt;"",IF(OR(UPPER(TRIM('Raw data'!AK113))=UPPER(TRIM('Real results'!C113)),UPPER(TRIM('Raw data'!AK113))=UPPER(TRIM('Real results'!C114)),UPPER(TRIM('Raw data'!AK113))=UPPER(TRIM('Real results'!C115))),1,0)+IF(UPPER(TRIM('Raw data'!AK113))=UPPER(TRIM('Real results'!C113)),2,0),0),0)</f>
        <v>0</v>
      </c>
      <c r="AM115" s="29">
        <f>IFERROR(IF('Raw data'!AM113&lt;&gt;"",IF(OR(UPPER(TRIM('Raw data'!AM113))=UPPER(TRIM('Real results'!C113)),UPPER(TRIM('Raw data'!AM113))=UPPER(TRIM('Real results'!C114)),UPPER(TRIM('Raw data'!AM113))=UPPER(TRIM('Real results'!C115))),1,0)+IF(UPPER(TRIM('Raw data'!AM113))=UPPER(TRIM('Real results'!C113)),2,0),0),0)</f>
        <v>0</v>
      </c>
      <c r="AO115" s="29">
        <f>IFERROR(IF('Raw data'!AO113&lt;&gt;"",IF(OR(UPPER(TRIM('Raw data'!AO113))=UPPER(TRIM('Real results'!C113)),UPPER(TRIM('Raw data'!AO113))=UPPER(TRIM('Real results'!C114)),UPPER(TRIM('Raw data'!AO113))=UPPER(TRIM('Real results'!C115))),1,0)+IF(UPPER(TRIM('Raw data'!AO113))=UPPER(TRIM('Real results'!C113)),2,0),0),0)</f>
        <v>0</v>
      </c>
      <c r="AQ115" s="29">
        <f>IFERROR(IF('Raw data'!AQ113&lt;&gt;"",IF(OR(UPPER(TRIM('Raw data'!AQ113))=UPPER(TRIM('Real results'!C113)),UPPER(TRIM('Raw data'!AQ113))=UPPER(TRIM('Real results'!C114)),UPPER(TRIM('Raw data'!AQ113))=UPPER(TRIM('Real results'!C115))),1,0)+IF(UPPER(TRIM('Raw data'!AQ113))=UPPER(TRIM('Real results'!C113)),2,0),0),0)</f>
        <v>0</v>
      </c>
      <c r="AS115" s="29">
        <f>IFERROR(IF('Raw data'!AS113&lt;&gt;"",IF(OR(UPPER(TRIM('Raw data'!AS113))=UPPER(TRIM('Real results'!C113)),UPPER(TRIM('Raw data'!AS113))=UPPER(TRIM('Real results'!C114)),UPPER(TRIM('Raw data'!AS113))=UPPER(TRIM('Real results'!C115))),1,0)+IF(UPPER(TRIM('Raw data'!AS113))=UPPER(TRIM('Real results'!C113)),2,0),0),0)</f>
        <v>0</v>
      </c>
      <c r="AU115" s="29">
        <f>IFERROR(IF('Raw data'!AU113&lt;&gt;"",IF(OR(UPPER(TRIM('Raw data'!AU113))=UPPER(TRIM('Real results'!C113)),UPPER(TRIM('Raw data'!AU113))=UPPER(TRIM('Real results'!C114)),UPPER(TRIM('Raw data'!AU113))=UPPER(TRIM('Real results'!C115))),1,0)+IF(UPPER(TRIM('Raw data'!AU113))=UPPER(TRIM('Real results'!C113)),2,0),0),0)</f>
        <v>0</v>
      </c>
      <c r="AW115" s="29">
        <f>IFERROR(IF('Raw data'!AW113&lt;&gt;"",IF(OR(UPPER(TRIM('Raw data'!AW113))=UPPER(TRIM('Real results'!C113)),UPPER(TRIM('Raw data'!AW113))=UPPER(TRIM('Real results'!C114)),UPPER(TRIM('Raw data'!AW113))=UPPER(TRIM('Real results'!C115))),1,0)+IF(UPPER(TRIM('Raw data'!AW113))=UPPER(TRIM('Real results'!C113)),2,0),0),0)</f>
        <v>0</v>
      </c>
      <c r="AY115" s="29">
        <f>IFERROR(IF('Raw data'!AY113&lt;&gt;"",IF(OR(UPPER(TRIM('Raw data'!AY113))=UPPER(TRIM('Real results'!C113)),UPPER(TRIM('Raw data'!AY113))=UPPER(TRIM('Real results'!C114)),UPPER(TRIM('Raw data'!AY113))=UPPER(TRIM('Real results'!C115))),1,0)+IF(UPPER(TRIM('Raw data'!AY113))=UPPER(TRIM('Real results'!C113)),2,0),0),0)</f>
        <v>0</v>
      </c>
      <c r="BA115" s="29">
        <f>IFERROR(IF('Raw data'!BA113&lt;&gt;"",IF(OR(UPPER(TRIM('Raw data'!BA113))=UPPER(TRIM('Real results'!C113)),UPPER(TRIM('Raw data'!BA113))=UPPER(TRIM('Real results'!C114)),UPPER(TRIM('Raw data'!BA113))=UPPER(TRIM('Real results'!C115))),1,0)+IF(UPPER(TRIM('Raw data'!BA113))=UPPER(TRIM('Real results'!C113)),2,0),0),0)</f>
        <v>0</v>
      </c>
      <c r="BC115" s="29">
        <f>IFERROR(IF('Raw data'!BC113&lt;&gt;"",IF(OR(UPPER(TRIM('Raw data'!BC113))=UPPER(TRIM('Real results'!C113)),UPPER(TRIM('Raw data'!BC113))=UPPER(TRIM('Real results'!C114)),UPPER(TRIM('Raw data'!BC113))=UPPER(TRIM('Real results'!C115))),1,0)+IF(UPPER(TRIM('Raw data'!BC113))=UPPER(TRIM('Real results'!C113)),2,0),0),0)</f>
        <v>0</v>
      </c>
      <c r="BE115" s="29">
        <f>IFERROR(IF('Raw data'!BE113&lt;&gt;"",IF(OR(UPPER(TRIM('Raw data'!BE113))=UPPER(TRIM('Real results'!C113)),UPPER(TRIM('Raw data'!BE113))=UPPER(TRIM('Real results'!C114)),UPPER(TRIM('Raw data'!BE113))=UPPER(TRIM('Real results'!C115))),1,0)+IF(UPPER(TRIM('Raw data'!BE113))=UPPER(TRIM('Real results'!C113)),2,0),0),0)</f>
        <v>0</v>
      </c>
      <c r="BG115" s="29">
        <f>IFERROR(IF('Raw data'!BG113&lt;&gt;"",IF(OR(UPPER(TRIM('Raw data'!BG113))=UPPER(TRIM('Real results'!C113)),UPPER(TRIM('Raw data'!BG113))=UPPER(TRIM('Real results'!C114)),UPPER(TRIM('Raw data'!BG113))=UPPER(TRIM('Real results'!C115))),1,0)+IF(UPPER(TRIM('Raw data'!BG113))=UPPER(TRIM('Real results'!C113)),2,0),0),0)</f>
        <v>0</v>
      </c>
      <c r="BI115" s="29">
        <f>IFERROR(IF('Raw data'!BI113&lt;&gt;"",IF(OR(UPPER(TRIM('Raw data'!BI113))=UPPER(TRIM('Real results'!C113)),UPPER(TRIM('Raw data'!BI113))=UPPER(TRIM('Real results'!C114)),UPPER(TRIM('Raw data'!BI113))=UPPER(TRIM('Real results'!C115))),1,0)+IF(UPPER(TRIM('Raw data'!BI113))=UPPER(TRIM('Real results'!C113)),2,0),0),0)</f>
        <v>0</v>
      </c>
    </row>
    <row r="116" ht="18.0" customHeight="1">
      <c r="A116" s="1"/>
      <c r="B116" s="13" t="s">
        <v>397</v>
      </c>
      <c r="C116" s="29">
        <f>IFERROR(IF('Raw data'!C114&lt;&gt;"",IF(OR(UPPER(TRIM('Raw data'!C114))=UPPER(TRIM('Real results'!C113)),UPPER(TRIM('Raw data'!C114))=UPPER(TRIM('Real results'!C114)),UPPER(TRIM('Raw data'!C114))=UPPER(TRIM('Real results'!C115))),1,0),0),0)</f>
        <v>0</v>
      </c>
      <c r="E116" s="29">
        <f>IFERROR(IF('Raw data'!E114&lt;&gt;"",IF(OR(UPPER(TRIM('Raw data'!E114))=UPPER(TRIM('Real results'!C113)),UPPER(TRIM('Raw data'!E114))=UPPER(TRIM('Real results'!C114)),UPPER(TRIM('Raw data'!E114))=UPPER(TRIM('Real results'!C115))),1,0),0),0)</f>
        <v>0</v>
      </c>
      <c r="G116" s="29">
        <f>IFERROR(IF('Raw data'!G114&lt;&gt;"",IF(OR(UPPER(TRIM('Raw data'!G114))=UPPER(TRIM('Real results'!C113)),UPPER(TRIM('Raw data'!G114))=UPPER(TRIM('Real results'!C114)),UPPER(TRIM('Raw data'!G114))=UPPER(TRIM('Real results'!C115))),1,0),0),0)</f>
        <v>0</v>
      </c>
      <c r="I116" s="29">
        <f>IFERROR(IF('Raw data'!I114&lt;&gt;"",IF(OR(UPPER(TRIM('Raw data'!I114))=UPPER(TRIM('Real results'!C113)),UPPER(TRIM('Raw data'!I114))=UPPER(TRIM('Real results'!C114)),UPPER(TRIM('Raw data'!I114))=UPPER(TRIM('Real results'!C115))),1,0),0),0)</f>
        <v>0</v>
      </c>
      <c r="K116" s="29">
        <f>IFERROR(IF('Raw data'!K114&lt;&gt;"",IF(OR(UPPER(TRIM('Raw data'!K114))=UPPER(TRIM('Real results'!C113)),UPPER(TRIM('Raw data'!K114))=UPPER(TRIM('Real results'!C114)),UPPER(TRIM('Raw data'!K114))=UPPER(TRIM('Real results'!C115))),1,0),0),0)</f>
        <v>0</v>
      </c>
      <c r="M116" s="29">
        <f>IFERROR(IF('Raw data'!M114&lt;&gt;"",IF(OR(UPPER(TRIM('Raw data'!M114))=UPPER(TRIM('Real results'!C113)),UPPER(TRIM('Raw data'!M114))=UPPER(TRIM('Real results'!C114)),UPPER(TRIM('Raw data'!M114))=UPPER(TRIM('Real results'!C115))),1,0),0),0)</f>
        <v>0</v>
      </c>
      <c r="O116" s="29">
        <f>IFERROR(IF('Raw data'!O114&lt;&gt;"",IF(OR(UPPER(TRIM('Raw data'!O114))=UPPER(TRIM('Real results'!C113)),UPPER(TRIM('Raw data'!O114))=UPPER(TRIM('Real results'!C114)),UPPER(TRIM('Raw data'!O114))=UPPER(TRIM('Real results'!C115))),1,0),0),0)</f>
        <v>0</v>
      </c>
      <c r="Q116" s="29">
        <f>IFERROR(IF('Raw data'!Q114&lt;&gt;"",IF(OR(UPPER(TRIM('Raw data'!Q114))=UPPER(TRIM('Real results'!C113)),UPPER(TRIM('Raw data'!Q114))=UPPER(TRIM('Real results'!C114)),UPPER(TRIM('Raw data'!Q114))=UPPER(TRIM('Real results'!C115))),1,0),0),0)</f>
        <v>0</v>
      </c>
      <c r="S116" s="29">
        <f>IFERROR(IF('Raw data'!S114&lt;&gt;"",IF(OR(UPPER(TRIM('Raw data'!S114))=UPPER(TRIM('Real results'!C113)),UPPER(TRIM('Raw data'!S114))=UPPER(TRIM('Real results'!C114)),UPPER(TRIM('Raw data'!S114))=UPPER(TRIM('Real results'!C115))),1,0),0),0)</f>
        <v>0</v>
      </c>
      <c r="U116" s="29">
        <f>IFERROR(IF('Raw data'!U114&lt;&gt;"",IF(OR(UPPER(TRIM('Raw data'!U114))=UPPER(TRIM('Real results'!C113)),UPPER(TRIM('Raw data'!U114))=UPPER(TRIM('Real results'!C114)),UPPER(TRIM('Raw data'!U114))=UPPER(TRIM('Real results'!C115))),1,0),0),0)</f>
        <v>0</v>
      </c>
      <c r="W116" s="29">
        <f>IFERROR(IF('Raw data'!W114&lt;&gt;"",IF(OR(UPPER(TRIM('Raw data'!W114))=UPPER(TRIM('Real results'!C113)),UPPER(TRIM('Raw data'!W114))=UPPER(TRIM('Real results'!C114)),UPPER(TRIM('Raw data'!W114))=UPPER(TRIM('Real results'!C115))),1,0),0),0)</f>
        <v>0</v>
      </c>
      <c r="Y116" s="29">
        <f>IFERROR(IF('Raw data'!Y114&lt;&gt;"",IF(OR(UPPER(TRIM('Raw data'!Y114))=UPPER(TRIM('Real results'!C113)),UPPER(TRIM('Raw data'!Y114))=UPPER(TRIM('Real results'!C114)),UPPER(TRIM('Raw data'!Y114))=UPPER(TRIM('Real results'!C115))),1,0),0),0)</f>
        <v>0</v>
      </c>
      <c r="AA116" s="29">
        <f>IFERROR(IF('Raw data'!AA114&lt;&gt;"",IF(OR(UPPER(TRIM('Raw data'!AA114))=UPPER(TRIM('Real results'!C113)),UPPER(TRIM('Raw data'!AA114))=UPPER(TRIM('Real results'!C114)),UPPER(TRIM('Raw data'!AA114))=UPPER(TRIM('Real results'!C115))),1,0),0),0)</f>
        <v>0</v>
      </c>
      <c r="AC116" s="29">
        <f>IFERROR(IF('Raw data'!AC114&lt;&gt;"",IF(OR(UPPER(TRIM('Raw data'!AC114))=UPPER(TRIM('Real results'!C113)),UPPER(TRIM('Raw data'!AC114))=UPPER(TRIM('Real results'!C114)),UPPER(TRIM('Raw data'!AC114))=UPPER(TRIM('Real results'!C115))),1,0),0),0)</f>
        <v>0</v>
      </c>
      <c r="AE116" s="29">
        <f>IFERROR(IF('Raw data'!AE114&lt;&gt;"",IF(OR(UPPER(TRIM('Raw data'!AE114))=UPPER(TRIM('Real results'!C113)),UPPER(TRIM('Raw data'!AE114))=UPPER(TRIM('Real results'!C114)),UPPER(TRIM('Raw data'!AE114))=UPPER(TRIM('Real results'!C115))),1,0),0),0)</f>
        <v>0</v>
      </c>
      <c r="AG116" s="29">
        <f>IFERROR(IF('Raw data'!AG114&lt;&gt;"",IF(OR(UPPER(TRIM('Raw data'!AG114))=UPPER(TRIM('Real results'!C113)),UPPER(TRIM('Raw data'!AG114))=UPPER(TRIM('Real results'!C114)),UPPER(TRIM('Raw data'!AG114))=UPPER(TRIM('Real results'!C115))),1,0),0),0)</f>
        <v>0</v>
      </c>
      <c r="AI116" s="29">
        <f>IFERROR(IF('Raw data'!AI114&lt;&gt;"",IF(OR(UPPER(TRIM('Raw data'!AI114))=UPPER(TRIM('Real results'!C113)),UPPER(TRIM('Raw data'!AI114))=UPPER(TRIM('Real results'!C114)),UPPER(TRIM('Raw data'!AI114))=UPPER(TRIM('Real results'!C115))),1,0),0),0)</f>
        <v>0</v>
      </c>
      <c r="AK116" s="29">
        <f>IFERROR(IF('Raw data'!AK114&lt;&gt;"",IF(OR(UPPER(TRIM('Raw data'!AK114))=UPPER(TRIM('Real results'!C113)),UPPER(TRIM('Raw data'!AK114))=UPPER(TRIM('Real results'!C114)),UPPER(TRIM('Raw data'!AK114))=UPPER(TRIM('Real results'!C115))),1,0),0),0)</f>
        <v>0</v>
      </c>
      <c r="AM116" s="29">
        <f>IFERROR(IF('Raw data'!AM114&lt;&gt;"",IF(OR(UPPER(TRIM('Raw data'!AM114))=UPPER(TRIM('Real results'!C113)),UPPER(TRIM('Raw data'!AM114))=UPPER(TRIM('Real results'!C114)),UPPER(TRIM('Raw data'!AM114))=UPPER(TRIM('Real results'!C115))),1,0),0),0)</f>
        <v>0</v>
      </c>
      <c r="AO116" s="29">
        <f>IFERROR(IF('Raw data'!AO114&lt;&gt;"",IF(OR(UPPER(TRIM('Raw data'!AO114))=UPPER(TRIM('Real results'!C113)),UPPER(TRIM('Raw data'!AO114))=UPPER(TRIM('Real results'!C114)),UPPER(TRIM('Raw data'!AO114))=UPPER(TRIM('Real results'!C115))),1,0),0),0)</f>
        <v>0</v>
      </c>
      <c r="AQ116" s="29">
        <f>IFERROR(IF('Raw data'!AQ114&lt;&gt;"",IF(OR(UPPER(TRIM('Raw data'!AQ114))=UPPER(TRIM('Real results'!C113)),UPPER(TRIM('Raw data'!AQ114))=UPPER(TRIM('Real results'!C114)),UPPER(TRIM('Raw data'!AQ114))=UPPER(TRIM('Real results'!C115))),1,0),0),0)</f>
        <v>0</v>
      </c>
      <c r="AS116" s="29">
        <f>IFERROR(IF('Raw data'!AS114&lt;&gt;"",IF(OR(UPPER(TRIM('Raw data'!AS114))=UPPER(TRIM('Real results'!C113)),UPPER(TRIM('Raw data'!AS114))=UPPER(TRIM('Real results'!C114)),UPPER(TRIM('Raw data'!AS114))=UPPER(TRIM('Real results'!C115))),1,0),0),0)</f>
        <v>0</v>
      </c>
      <c r="AU116" s="29">
        <f>IFERROR(IF('Raw data'!AU114&lt;&gt;"",IF(OR(UPPER(TRIM('Raw data'!AU114))=UPPER(TRIM('Real results'!C113)),UPPER(TRIM('Raw data'!AU114))=UPPER(TRIM('Real results'!C114)),UPPER(TRIM('Raw data'!AU114))=UPPER(TRIM('Real results'!C115))),1,0),0),0)</f>
        <v>0</v>
      </c>
      <c r="AW116" s="29">
        <f>IFERROR(IF('Raw data'!AW114&lt;&gt;"",IF(OR(UPPER(TRIM('Raw data'!AW114))=UPPER(TRIM('Real results'!C113)),UPPER(TRIM('Raw data'!AW114))=UPPER(TRIM('Real results'!C114)),UPPER(TRIM('Raw data'!AW114))=UPPER(TRIM('Real results'!C115))),1,0),0),0)</f>
        <v>0</v>
      </c>
      <c r="AY116" s="29">
        <f>IFERROR(IF('Raw data'!AY114&lt;&gt;"",IF(OR(UPPER(TRIM('Raw data'!AY114))=UPPER(TRIM('Real results'!C113)),UPPER(TRIM('Raw data'!AY114))=UPPER(TRIM('Real results'!C114)),UPPER(TRIM('Raw data'!AY114))=UPPER(TRIM('Real results'!C115))),1,0),0),0)</f>
        <v>0</v>
      </c>
      <c r="BA116" s="29">
        <f>IFERROR(IF('Raw data'!BA114&lt;&gt;"",IF(OR(UPPER(TRIM('Raw data'!BA114))=UPPER(TRIM('Real results'!C113)),UPPER(TRIM('Raw data'!BA114))=UPPER(TRIM('Real results'!C114)),UPPER(TRIM('Raw data'!BA114))=UPPER(TRIM('Real results'!C115))),1,0),0),0)</f>
        <v>0</v>
      </c>
      <c r="BC116" s="29">
        <f>IFERROR(IF('Raw data'!BC114&lt;&gt;"",IF(OR(UPPER(TRIM('Raw data'!BC114))=UPPER(TRIM('Real results'!C113)),UPPER(TRIM('Raw data'!BC114))=UPPER(TRIM('Real results'!C114)),UPPER(TRIM('Raw data'!BC114))=UPPER(TRIM('Real results'!C115))),1,0),0),0)</f>
        <v>0</v>
      </c>
      <c r="BE116" s="29">
        <f>IFERROR(IF('Raw data'!BE114&lt;&gt;"",IF(OR(UPPER(TRIM('Raw data'!BE114))=UPPER(TRIM('Real results'!C113)),UPPER(TRIM('Raw data'!BE114))=UPPER(TRIM('Real results'!C114)),UPPER(TRIM('Raw data'!BE114))=UPPER(TRIM('Real results'!C115))),1,0),0),0)</f>
        <v>0</v>
      </c>
      <c r="BG116" s="29">
        <f>IFERROR(IF('Raw data'!BG114&lt;&gt;"",IF(OR(UPPER(TRIM('Raw data'!BG114))=UPPER(TRIM('Real results'!C113)),UPPER(TRIM('Raw data'!BG114))=UPPER(TRIM('Real results'!C114)),UPPER(TRIM('Raw data'!BG114))=UPPER(TRIM('Real results'!C115))),1,0),0),0)</f>
        <v>0</v>
      </c>
      <c r="BI116" s="29">
        <f>IFERROR(IF('Raw data'!BI114&lt;&gt;"",IF(OR(UPPER(TRIM('Raw data'!BI114))=UPPER(TRIM('Real results'!C113)),UPPER(TRIM('Raw data'!BI114))=UPPER(TRIM('Real results'!C114)),UPPER(TRIM('Raw data'!BI114))=UPPER(TRIM('Real results'!C115))),1,0),0),0)</f>
        <v>0</v>
      </c>
    </row>
    <row r="117" ht="18.0" customHeight="1">
      <c r="A117" s="1"/>
      <c r="B117" s="13" t="s">
        <v>398</v>
      </c>
      <c r="C117" s="29">
        <f>IFERROR(IF('Raw data'!C115&lt;&gt;"",IF(OR(UPPER(TRIM('Raw data'!C115))=UPPER(TRIM('Real results'!C113)),UPPER(TRIM('Raw data'!C115))=UPPER(TRIM('Real results'!C114)),UPPER(TRIM('Raw data'!C115))=UPPER(TRIM('Real results'!C115))),1,0),0),0)</f>
        <v>0</v>
      </c>
      <c r="E117" s="29">
        <f>IFERROR(IF('Raw data'!E115&lt;&gt;"",IF(OR(UPPER(TRIM('Raw data'!E115))=UPPER(TRIM('Real results'!C113)),UPPER(TRIM('Raw data'!E115))=UPPER(TRIM('Real results'!C114)),UPPER(TRIM('Raw data'!E115))=UPPER(TRIM('Real results'!C115))),1,0),0),0)</f>
        <v>0</v>
      </c>
      <c r="G117" s="29">
        <f>IFERROR(IF('Raw data'!G115&lt;&gt;"",IF(OR(UPPER(TRIM('Raw data'!G115))=UPPER(TRIM('Real results'!C113)),UPPER(TRIM('Raw data'!G115))=UPPER(TRIM('Real results'!C114)),UPPER(TRIM('Raw data'!G115))=UPPER(TRIM('Real results'!C115))),1,0),0),0)</f>
        <v>0</v>
      </c>
      <c r="I117" s="29">
        <f>IFERROR(IF('Raw data'!I115&lt;&gt;"",IF(OR(UPPER(TRIM('Raw data'!I115))=UPPER(TRIM('Real results'!C113)),UPPER(TRIM('Raw data'!I115))=UPPER(TRIM('Real results'!C114)),UPPER(TRIM('Raw data'!I115))=UPPER(TRIM('Real results'!C115))),1,0),0),0)</f>
        <v>0</v>
      </c>
      <c r="K117" s="29">
        <f>IFERROR(IF('Raw data'!K115&lt;&gt;"",IF(OR(UPPER(TRIM('Raw data'!K115))=UPPER(TRIM('Real results'!C113)),UPPER(TRIM('Raw data'!K115))=UPPER(TRIM('Real results'!C114)),UPPER(TRIM('Raw data'!K115))=UPPER(TRIM('Real results'!C115))),1,0),0),0)</f>
        <v>0</v>
      </c>
      <c r="M117" s="29">
        <f>IFERROR(IF('Raw data'!M115&lt;&gt;"",IF(OR(UPPER(TRIM('Raw data'!M115))=UPPER(TRIM('Real results'!C113)),UPPER(TRIM('Raw data'!M115))=UPPER(TRIM('Real results'!C114)),UPPER(TRIM('Raw data'!M115))=UPPER(TRIM('Real results'!C115))),1,0),0),0)</f>
        <v>0</v>
      </c>
      <c r="O117" s="29">
        <f>IFERROR(IF('Raw data'!O115&lt;&gt;"",IF(OR(UPPER(TRIM('Raw data'!O115))=UPPER(TRIM('Real results'!C113)),UPPER(TRIM('Raw data'!O115))=UPPER(TRIM('Real results'!C114)),UPPER(TRIM('Raw data'!O115))=UPPER(TRIM('Real results'!C115))),1,0),0),0)</f>
        <v>0</v>
      </c>
      <c r="Q117" s="29">
        <f>IFERROR(IF('Raw data'!Q115&lt;&gt;"",IF(OR(UPPER(TRIM('Raw data'!Q115))=UPPER(TRIM('Real results'!C113)),UPPER(TRIM('Raw data'!Q115))=UPPER(TRIM('Real results'!C114)),UPPER(TRIM('Raw data'!Q115))=UPPER(TRIM('Real results'!C115))),1,0),0),0)</f>
        <v>0</v>
      </c>
      <c r="S117" s="29">
        <f>IFERROR(IF('Raw data'!S115&lt;&gt;"",IF(OR(UPPER(TRIM('Raw data'!S115))=UPPER(TRIM('Real results'!C113)),UPPER(TRIM('Raw data'!S115))=UPPER(TRIM('Real results'!C114)),UPPER(TRIM('Raw data'!S115))=UPPER(TRIM('Real results'!C115))),1,0),0),0)</f>
        <v>0</v>
      </c>
      <c r="U117" s="29">
        <f>IFERROR(IF('Raw data'!U115&lt;&gt;"",IF(OR(UPPER(TRIM('Raw data'!U115))=UPPER(TRIM('Real results'!C113)),UPPER(TRIM('Raw data'!U115))=UPPER(TRIM('Real results'!C114)),UPPER(TRIM('Raw data'!U115))=UPPER(TRIM('Real results'!C115))),1,0),0),0)</f>
        <v>0</v>
      </c>
      <c r="W117" s="29">
        <f>IFERROR(IF('Raw data'!W115&lt;&gt;"",IF(OR(UPPER(TRIM('Raw data'!W115))=UPPER(TRIM('Real results'!C113)),UPPER(TRIM('Raw data'!W115))=UPPER(TRIM('Real results'!C114)),UPPER(TRIM('Raw data'!W115))=UPPER(TRIM('Real results'!C115))),1,0),0),0)</f>
        <v>0</v>
      </c>
      <c r="Y117" s="29">
        <f>IFERROR(IF('Raw data'!Y115&lt;&gt;"",IF(OR(UPPER(TRIM('Raw data'!Y115))=UPPER(TRIM('Real results'!C113)),UPPER(TRIM('Raw data'!Y115))=UPPER(TRIM('Real results'!C114)),UPPER(TRIM('Raw data'!Y115))=UPPER(TRIM('Real results'!C115))),1,0),0),0)</f>
        <v>0</v>
      </c>
      <c r="AA117" s="29">
        <f>IFERROR(IF('Raw data'!AA115&lt;&gt;"",IF(OR(UPPER(TRIM('Raw data'!AA115))=UPPER(TRIM('Real results'!C113)),UPPER(TRIM('Raw data'!AA115))=UPPER(TRIM('Real results'!C114)),UPPER(TRIM('Raw data'!AA115))=UPPER(TRIM('Real results'!C115))),1,0),0),0)</f>
        <v>0</v>
      </c>
      <c r="AC117" s="29">
        <f>IFERROR(IF('Raw data'!AC115&lt;&gt;"",IF(OR(UPPER(TRIM('Raw data'!AC115))=UPPER(TRIM('Real results'!C113)),UPPER(TRIM('Raw data'!AC115))=UPPER(TRIM('Real results'!C114)),UPPER(TRIM('Raw data'!AC115))=UPPER(TRIM('Real results'!C115))),1,0),0),0)</f>
        <v>0</v>
      </c>
      <c r="AE117" s="29">
        <f>IFERROR(IF('Raw data'!AE115&lt;&gt;"",IF(OR(UPPER(TRIM('Raw data'!AE115))=UPPER(TRIM('Real results'!C113)),UPPER(TRIM('Raw data'!AE115))=UPPER(TRIM('Real results'!C114)),UPPER(TRIM('Raw data'!AE115))=UPPER(TRIM('Real results'!C115))),1,0),0),0)</f>
        <v>0</v>
      </c>
      <c r="AG117" s="29">
        <f>IFERROR(IF('Raw data'!AG115&lt;&gt;"",IF(OR(UPPER(TRIM('Raw data'!AG115))=UPPER(TRIM('Real results'!C113)),UPPER(TRIM('Raw data'!AG115))=UPPER(TRIM('Real results'!C114)),UPPER(TRIM('Raw data'!AG115))=UPPER(TRIM('Real results'!C115))),1,0),0),0)</f>
        <v>0</v>
      </c>
      <c r="AI117" s="29">
        <f>IFERROR(IF('Raw data'!AI115&lt;&gt;"",IF(OR(UPPER(TRIM('Raw data'!AI115))=UPPER(TRIM('Real results'!C113)),UPPER(TRIM('Raw data'!AI115))=UPPER(TRIM('Real results'!C114)),UPPER(TRIM('Raw data'!AI115))=UPPER(TRIM('Real results'!C115))),1,0),0),0)</f>
        <v>0</v>
      </c>
      <c r="AK117" s="29">
        <f>IFERROR(IF('Raw data'!AK115&lt;&gt;"",IF(OR(UPPER(TRIM('Raw data'!AK115))=UPPER(TRIM('Real results'!C113)),UPPER(TRIM('Raw data'!AK115))=UPPER(TRIM('Real results'!C114)),UPPER(TRIM('Raw data'!AK115))=UPPER(TRIM('Real results'!C115))),1,0),0),0)</f>
        <v>0</v>
      </c>
      <c r="AM117" s="29">
        <f>IFERROR(IF('Raw data'!AM115&lt;&gt;"",IF(OR(UPPER(TRIM('Raw data'!AM115))=UPPER(TRIM('Real results'!C113)),UPPER(TRIM('Raw data'!AM115))=UPPER(TRIM('Real results'!C114)),UPPER(TRIM('Raw data'!AM115))=UPPER(TRIM('Real results'!C115))),1,0),0),0)</f>
        <v>0</v>
      </c>
      <c r="AO117" s="29">
        <f>IFERROR(IF('Raw data'!AO115&lt;&gt;"",IF(OR(UPPER(TRIM('Raw data'!AO115))=UPPER(TRIM('Real results'!C113)),UPPER(TRIM('Raw data'!AO115))=UPPER(TRIM('Real results'!C114)),UPPER(TRIM('Raw data'!AO115))=UPPER(TRIM('Real results'!C115))),1,0),0),0)</f>
        <v>0</v>
      </c>
      <c r="AQ117" s="29">
        <f>IFERROR(IF('Raw data'!AQ115&lt;&gt;"",IF(OR(UPPER(TRIM('Raw data'!AQ115))=UPPER(TRIM('Real results'!C113)),UPPER(TRIM('Raw data'!AQ115))=UPPER(TRIM('Real results'!C114)),UPPER(TRIM('Raw data'!AQ115))=UPPER(TRIM('Real results'!C115))),1,0),0),0)</f>
        <v>0</v>
      </c>
      <c r="AS117" s="29">
        <f>IFERROR(IF('Raw data'!AS115&lt;&gt;"",IF(OR(UPPER(TRIM('Raw data'!AS115))=UPPER(TRIM('Real results'!C113)),UPPER(TRIM('Raw data'!AS115))=UPPER(TRIM('Real results'!C114)),UPPER(TRIM('Raw data'!AS115))=UPPER(TRIM('Real results'!C115))),1,0),0),0)</f>
        <v>0</v>
      </c>
      <c r="AU117" s="29">
        <f>IFERROR(IF('Raw data'!AU115&lt;&gt;"",IF(OR(UPPER(TRIM('Raw data'!AU115))=UPPER(TRIM('Real results'!C113)),UPPER(TRIM('Raw data'!AU115))=UPPER(TRIM('Real results'!C114)),UPPER(TRIM('Raw data'!AU115))=UPPER(TRIM('Real results'!C115))),1,0),0),0)</f>
        <v>0</v>
      </c>
      <c r="AW117" s="29">
        <f>IFERROR(IF('Raw data'!AW115&lt;&gt;"",IF(OR(UPPER(TRIM('Raw data'!AW115))=UPPER(TRIM('Real results'!C113)),UPPER(TRIM('Raw data'!AW115))=UPPER(TRIM('Real results'!C114)),UPPER(TRIM('Raw data'!AW115))=UPPER(TRIM('Real results'!C115))),1,0),0),0)</f>
        <v>0</v>
      </c>
      <c r="AY117" s="29">
        <f>IFERROR(IF('Raw data'!AY115&lt;&gt;"",IF(OR(UPPER(TRIM('Raw data'!AY115))=UPPER(TRIM('Real results'!C113)),UPPER(TRIM('Raw data'!AY115))=UPPER(TRIM('Real results'!C114)),UPPER(TRIM('Raw data'!AY115))=UPPER(TRIM('Real results'!C115))),1,0),0),0)</f>
        <v>0</v>
      </c>
      <c r="BA117" s="29">
        <f>IFERROR(IF('Raw data'!BA115&lt;&gt;"",IF(OR(UPPER(TRIM('Raw data'!BA115))=UPPER(TRIM('Real results'!C113)),UPPER(TRIM('Raw data'!BA115))=UPPER(TRIM('Real results'!C114)),UPPER(TRIM('Raw data'!BA115))=UPPER(TRIM('Real results'!C115))),1,0),0),0)</f>
        <v>0</v>
      </c>
      <c r="BC117" s="29">
        <f>IFERROR(IF('Raw data'!BC115&lt;&gt;"",IF(OR(UPPER(TRIM('Raw data'!BC115))=UPPER(TRIM('Real results'!C113)),UPPER(TRIM('Raw data'!BC115))=UPPER(TRIM('Real results'!C114)),UPPER(TRIM('Raw data'!BC115))=UPPER(TRIM('Real results'!C115))),1,0),0),0)</f>
        <v>0</v>
      </c>
      <c r="BE117" s="29">
        <f>IFERROR(IF('Raw data'!BE115&lt;&gt;"",IF(OR(UPPER(TRIM('Raw data'!BE115))=UPPER(TRIM('Real results'!C113)),UPPER(TRIM('Raw data'!BE115))=UPPER(TRIM('Real results'!C114)),UPPER(TRIM('Raw data'!BE115))=UPPER(TRIM('Real results'!C115))),1,0),0),0)</f>
        <v>0</v>
      </c>
      <c r="BG117" s="29">
        <f>IFERROR(IF('Raw data'!BG115&lt;&gt;"",IF(OR(UPPER(TRIM('Raw data'!BG115))=UPPER(TRIM('Real results'!C113)),UPPER(TRIM('Raw data'!BG115))=UPPER(TRIM('Real results'!C114)),UPPER(TRIM('Raw data'!BG115))=UPPER(TRIM('Real results'!C115))),1,0),0),0)</f>
        <v>0</v>
      </c>
      <c r="BI117" s="29">
        <f>IFERROR(IF('Raw data'!BI115&lt;&gt;"",IF(OR(UPPER(TRIM('Raw data'!BI115))=UPPER(TRIM('Real results'!C113)),UPPER(TRIM('Raw data'!BI115))=UPPER(TRIM('Real results'!C114)),UPPER(TRIM('Raw data'!BI115))=UPPER(TRIM('Real results'!C115))),1,0),0),0)</f>
        <v>0</v>
      </c>
    </row>
    <row r="118" ht="21.75" customHeight="1">
      <c r="A118" s="1"/>
      <c r="B118" s="30" t="s">
        <v>399</v>
      </c>
      <c r="C118" s="31">
        <f>SUM(C82:C117)</f>
        <v>0</v>
      </c>
      <c r="E118" s="31">
        <f>SUM(E82:E117)</f>
        <v>0</v>
      </c>
      <c r="G118" s="31">
        <f>SUM(G82:G117)</f>
        <v>0</v>
      </c>
      <c r="I118" s="31">
        <f>SUM(I82:I117)</f>
        <v>0</v>
      </c>
      <c r="K118" s="31">
        <f>SUM(K82:K117)</f>
        <v>0</v>
      </c>
      <c r="M118" s="31">
        <f>SUM(M82:M117)</f>
        <v>0</v>
      </c>
      <c r="O118" s="31">
        <f>SUM(O82:O117)</f>
        <v>0</v>
      </c>
      <c r="Q118" s="31">
        <f>SUM(Q82:Q117)</f>
        <v>0</v>
      </c>
      <c r="S118" s="31">
        <f>SUM(S82:S117)</f>
        <v>0</v>
      </c>
      <c r="U118" s="31">
        <f>SUM(U82:U117)</f>
        <v>0</v>
      </c>
      <c r="W118" s="31">
        <f>SUM(W82:W117)</f>
        <v>0</v>
      </c>
      <c r="Y118" s="31">
        <f>SUM(Y82:Y117)</f>
        <v>0</v>
      </c>
      <c r="AA118" s="31">
        <f>SUM(AA82:AA117)</f>
        <v>0</v>
      </c>
      <c r="AC118" s="31">
        <f>SUM(AC82:AC117)</f>
        <v>0</v>
      </c>
      <c r="AE118" s="31">
        <f>SUM(AE82:AE117)</f>
        <v>0</v>
      </c>
      <c r="AG118" s="31">
        <f>SUM(AG82:AG117)</f>
        <v>0</v>
      </c>
      <c r="AI118" s="31">
        <f>SUM(AI82:AI117)</f>
        <v>0</v>
      </c>
      <c r="AK118" s="31">
        <f>SUM(AK82:AK117)</f>
        <v>0</v>
      </c>
      <c r="AM118" s="31">
        <f>SUM(AM82:AM117)</f>
        <v>0</v>
      </c>
      <c r="AO118" s="31">
        <f>SUM(AO82:AO117)</f>
        <v>0</v>
      </c>
      <c r="AQ118" s="31">
        <f>SUM(AQ82:AQ117)</f>
        <v>0</v>
      </c>
      <c r="AS118" s="31">
        <f>SUM(AS82:AS117)</f>
        <v>0</v>
      </c>
      <c r="AU118" s="31">
        <f>SUM(AU82:AU117)</f>
        <v>0</v>
      </c>
      <c r="AW118" s="31">
        <f>SUM(AW82:AW117)</f>
        <v>0</v>
      </c>
      <c r="AY118" s="31">
        <f>SUM(AY82:AY117)</f>
        <v>0</v>
      </c>
      <c r="BA118" s="31">
        <f>SUM(BA82:BA117)</f>
        <v>0</v>
      </c>
      <c r="BC118" s="31">
        <f>SUM(BC82:BC117)</f>
        <v>0</v>
      </c>
      <c r="BE118" s="31">
        <f>SUM(BE82:BE117)</f>
        <v>0</v>
      </c>
      <c r="BG118" s="31">
        <f>SUM(BG82:BG117)</f>
        <v>0</v>
      </c>
      <c r="BI118" s="31">
        <f>SUM(BI82:BI117)</f>
        <v>0</v>
      </c>
    </row>
    <row r="119" ht="19.5" customHeight="1">
      <c r="A119" s="1"/>
      <c r="B119" s="28" t="s">
        <v>400</v>
      </c>
      <c r="C119" s="12"/>
      <c r="E119" s="12"/>
      <c r="G119" s="12"/>
      <c r="I119" s="12"/>
      <c r="K119" s="12"/>
      <c r="M119" s="12"/>
      <c r="O119" s="12"/>
      <c r="Q119" s="12"/>
      <c r="S119" s="12"/>
      <c r="U119" s="12"/>
      <c r="W119" s="12"/>
      <c r="Y119" s="12"/>
      <c r="AA119" s="12"/>
      <c r="AC119" s="12"/>
      <c r="AE119" s="12"/>
      <c r="AG119" s="12"/>
      <c r="AI119" s="12"/>
      <c r="AK119" s="12"/>
      <c r="AM119" s="12"/>
      <c r="AO119" s="12"/>
      <c r="AQ119" s="12"/>
      <c r="AS119" s="12"/>
      <c r="AU119" s="12"/>
      <c r="AW119" s="12"/>
      <c r="AY119" s="12"/>
      <c r="BA119" s="12"/>
      <c r="BC119" s="12"/>
      <c r="BE119" s="12"/>
      <c r="BG119" s="12"/>
      <c r="BI119" s="12"/>
    </row>
    <row r="120" ht="18.0" customHeight="1">
      <c r="A120" s="1"/>
      <c r="B120" s="13" t="s">
        <v>401</v>
      </c>
      <c r="C120" s="29">
        <f>IFERROR(IF('Raw data'!C117&lt;&gt;"",IF((IF(UPPER(TRIM('Raw data'!C117))=UPPER(TRIM('Real results'!C117)),1,0) + IF(UPPER(TRIM('Raw data'!C117))=UPPER(TRIM('Real results'!C118)),1,0) + IF(UPPER(TRIM('Raw data'!C117))=UPPER(TRIM('Real results'!C119)),1,0) + IF(UPPER(TRIM('Raw data'!C117))=UPPER(TRIM('Real results'!C120)),1,0) + IF(UPPER(TRIM('Raw data'!C117))=UPPER(TRIM('Real results'!C121)),1,0) + IF(UPPER(TRIM('Raw data'!C117))=UPPER(TRIM('Real results'!C122)),1,0) + IF(UPPER(TRIM('Raw data'!C117))=UPPER(TRIM('Real results'!C123)),1,0) + IF(UPPER(TRIM('Raw data'!C117))=UPPER(TRIM('Real results'!C124)),1,0))&gt;=1,1,0),0),0)</f>
        <v>0</v>
      </c>
      <c r="E120" s="29">
        <f>IFERROR(IF('Raw data'!E117&lt;&gt;"",IF((IF(UPPER(TRIM('Raw data'!E117))=UPPER(TRIM('Real results'!C117)),1,0) + IF(UPPER(TRIM('Raw data'!E117))=UPPER(TRIM('Real results'!C118)),1,0) + IF(UPPER(TRIM('Raw data'!E117))=UPPER(TRIM('Real results'!C119)),1,0) + IF(UPPER(TRIM('Raw data'!E117))=UPPER(TRIM('Real results'!C120)),1,0) + IF(UPPER(TRIM('Raw data'!E117))=UPPER(TRIM('Real results'!C121)),1,0) + IF(UPPER(TRIM('Raw data'!E117))=UPPER(TRIM('Real results'!C122)),1,0) + IF(UPPER(TRIM('Raw data'!E117))=UPPER(TRIM('Real results'!C123)),1,0) + IF(UPPER(TRIM('Raw data'!E117))=UPPER(TRIM('Real results'!C124)),1,0))&gt;=1,1,0),0),0)</f>
        <v>0</v>
      </c>
      <c r="G120" s="29">
        <f>IFERROR(IF('Raw data'!G117&lt;&gt;"",IF((IF(UPPER(TRIM('Raw data'!G117))=UPPER(TRIM('Real results'!C117)),1,0) + IF(UPPER(TRIM('Raw data'!G117))=UPPER(TRIM('Real results'!C118)),1,0) + IF(UPPER(TRIM('Raw data'!G117))=UPPER(TRIM('Real results'!C119)),1,0) + IF(UPPER(TRIM('Raw data'!G117))=UPPER(TRIM('Real results'!C120)),1,0) + IF(UPPER(TRIM('Raw data'!G117))=UPPER(TRIM('Real results'!C121)),1,0) + IF(UPPER(TRIM('Raw data'!G117))=UPPER(TRIM('Real results'!C122)),1,0) + IF(UPPER(TRIM('Raw data'!G117))=UPPER(TRIM('Real results'!C123)),1,0) + IF(UPPER(TRIM('Raw data'!G117))=UPPER(TRIM('Real results'!C124)),1,0))&gt;=1,1,0),0),0)</f>
        <v>0</v>
      </c>
      <c r="I120" s="29">
        <f>IFERROR(IF('Raw data'!I117&lt;&gt;"",IF((IF(UPPER(TRIM('Raw data'!I117))=UPPER(TRIM('Real results'!C117)),1,0) + IF(UPPER(TRIM('Raw data'!I117))=UPPER(TRIM('Real results'!C118)),1,0) + IF(UPPER(TRIM('Raw data'!I117))=UPPER(TRIM('Real results'!C119)),1,0) + IF(UPPER(TRIM('Raw data'!I117))=UPPER(TRIM('Real results'!C120)),1,0) + IF(UPPER(TRIM('Raw data'!I117))=UPPER(TRIM('Real results'!C121)),1,0) + IF(UPPER(TRIM('Raw data'!I117))=UPPER(TRIM('Real results'!C122)),1,0) + IF(UPPER(TRIM('Raw data'!I117))=UPPER(TRIM('Real results'!C123)),1,0) + IF(UPPER(TRIM('Raw data'!I117))=UPPER(TRIM('Real results'!C124)),1,0))&gt;=1,1,0),0),0)</f>
        <v>0</v>
      </c>
      <c r="K120" s="29">
        <f>IFERROR(IF('Raw data'!K117&lt;&gt;"",IF((IF(UPPER(TRIM('Raw data'!K117))=UPPER(TRIM('Real results'!C117)),1,0) + IF(UPPER(TRIM('Raw data'!K117))=UPPER(TRIM('Real results'!C118)),1,0) + IF(UPPER(TRIM('Raw data'!K117))=UPPER(TRIM('Real results'!C119)),1,0) + IF(UPPER(TRIM('Raw data'!K117))=UPPER(TRIM('Real results'!C120)),1,0) + IF(UPPER(TRIM('Raw data'!K117))=UPPER(TRIM('Real results'!C121)),1,0) + IF(UPPER(TRIM('Raw data'!K117))=UPPER(TRIM('Real results'!C122)),1,0) + IF(UPPER(TRIM('Raw data'!K117))=UPPER(TRIM('Real results'!C123)),1,0) + IF(UPPER(TRIM('Raw data'!K117))=UPPER(TRIM('Real results'!C124)),1,0))&gt;=1,1,0),0),0)</f>
        <v>0</v>
      </c>
      <c r="M120" s="29">
        <f>IFERROR(IF('Raw data'!M117&lt;&gt;"",IF((IF(UPPER(TRIM('Raw data'!M117))=UPPER(TRIM('Real results'!C117)),1,0) + IF(UPPER(TRIM('Raw data'!M117))=UPPER(TRIM('Real results'!C118)),1,0) + IF(UPPER(TRIM('Raw data'!M117))=UPPER(TRIM('Real results'!C119)),1,0) + IF(UPPER(TRIM('Raw data'!M117))=UPPER(TRIM('Real results'!C120)),1,0) + IF(UPPER(TRIM('Raw data'!M117))=UPPER(TRIM('Real results'!C121)),1,0) + IF(UPPER(TRIM('Raw data'!M117))=UPPER(TRIM('Real results'!C122)),1,0) + IF(UPPER(TRIM('Raw data'!M117))=UPPER(TRIM('Real results'!C123)),1,0) + IF(UPPER(TRIM('Raw data'!M117))=UPPER(TRIM('Real results'!C124)),1,0))&gt;=1,1,0),0),0)</f>
        <v>0</v>
      </c>
      <c r="O120" s="29">
        <f>IFERROR(IF('Raw data'!O117&lt;&gt;"",IF((IF(UPPER(TRIM('Raw data'!O117))=UPPER(TRIM('Real results'!C117)),1,0) + IF(UPPER(TRIM('Raw data'!O117))=UPPER(TRIM('Real results'!C118)),1,0) + IF(UPPER(TRIM('Raw data'!O117))=UPPER(TRIM('Real results'!C119)),1,0) + IF(UPPER(TRIM('Raw data'!O117))=UPPER(TRIM('Real results'!C120)),1,0) + IF(UPPER(TRIM('Raw data'!O117))=UPPER(TRIM('Real results'!C121)),1,0) + IF(UPPER(TRIM('Raw data'!O117))=UPPER(TRIM('Real results'!C122)),1,0) + IF(UPPER(TRIM('Raw data'!O117))=UPPER(TRIM('Real results'!C123)),1,0) + IF(UPPER(TRIM('Raw data'!O117))=UPPER(TRIM('Real results'!C124)),1,0))&gt;=1,1,0),0),0)</f>
        <v>0</v>
      </c>
      <c r="Q120" s="29">
        <f>IFERROR(IF('Raw data'!Q117&lt;&gt;"",IF((IF(UPPER(TRIM('Raw data'!Q117))=UPPER(TRIM('Real results'!C117)),1,0) + IF(UPPER(TRIM('Raw data'!Q117))=UPPER(TRIM('Real results'!C118)),1,0) + IF(UPPER(TRIM('Raw data'!Q117))=UPPER(TRIM('Real results'!C119)),1,0) + IF(UPPER(TRIM('Raw data'!Q117))=UPPER(TRIM('Real results'!C120)),1,0) + IF(UPPER(TRIM('Raw data'!Q117))=UPPER(TRIM('Real results'!C121)),1,0) + IF(UPPER(TRIM('Raw data'!Q117))=UPPER(TRIM('Real results'!C122)),1,0) + IF(UPPER(TRIM('Raw data'!Q117))=UPPER(TRIM('Real results'!C123)),1,0) + IF(UPPER(TRIM('Raw data'!Q117))=UPPER(TRIM('Real results'!C124)),1,0))&gt;=1,1,0),0),0)</f>
        <v>0</v>
      </c>
      <c r="S120" s="29">
        <f>IFERROR(IF('Raw data'!S117&lt;&gt;"",IF((IF(UPPER(TRIM('Raw data'!S117))=UPPER(TRIM('Real results'!C117)),1,0) + IF(UPPER(TRIM('Raw data'!S117))=UPPER(TRIM('Real results'!C118)),1,0) + IF(UPPER(TRIM('Raw data'!S117))=UPPER(TRIM('Real results'!C119)),1,0) + IF(UPPER(TRIM('Raw data'!S117))=UPPER(TRIM('Real results'!C120)),1,0) + IF(UPPER(TRIM('Raw data'!S117))=UPPER(TRIM('Real results'!C121)),1,0) + IF(UPPER(TRIM('Raw data'!S117))=UPPER(TRIM('Real results'!C122)),1,0) + IF(UPPER(TRIM('Raw data'!S117))=UPPER(TRIM('Real results'!C123)),1,0) + IF(UPPER(TRIM('Raw data'!S117))=UPPER(TRIM('Real results'!C124)),1,0))&gt;=1,1,0),0),0)</f>
        <v>0</v>
      </c>
      <c r="U120" s="29">
        <f>IFERROR(IF('Raw data'!U117&lt;&gt;"",IF((IF(UPPER(TRIM('Raw data'!U117))=UPPER(TRIM('Real results'!C117)),1,0) + IF(UPPER(TRIM('Raw data'!U117))=UPPER(TRIM('Real results'!C118)),1,0) + IF(UPPER(TRIM('Raw data'!U117))=UPPER(TRIM('Real results'!C119)),1,0) + IF(UPPER(TRIM('Raw data'!U117))=UPPER(TRIM('Real results'!C120)),1,0) + IF(UPPER(TRIM('Raw data'!U117))=UPPER(TRIM('Real results'!C121)),1,0) + IF(UPPER(TRIM('Raw data'!U117))=UPPER(TRIM('Real results'!C122)),1,0) + IF(UPPER(TRIM('Raw data'!U117))=UPPER(TRIM('Real results'!C123)),1,0) + IF(UPPER(TRIM('Raw data'!U117))=UPPER(TRIM('Real results'!C124)),1,0))&gt;=1,1,0),0),0)</f>
        <v>0</v>
      </c>
      <c r="W120" s="29">
        <f>IFERROR(IF('Raw data'!W117&lt;&gt;"",IF((IF(UPPER(TRIM('Raw data'!W117))=UPPER(TRIM('Real results'!C117)),1,0) + IF(UPPER(TRIM('Raw data'!W117))=UPPER(TRIM('Real results'!C118)),1,0) + IF(UPPER(TRIM('Raw data'!W117))=UPPER(TRIM('Real results'!C119)),1,0) + IF(UPPER(TRIM('Raw data'!W117))=UPPER(TRIM('Real results'!C120)),1,0) + IF(UPPER(TRIM('Raw data'!W117))=UPPER(TRIM('Real results'!C121)),1,0) + IF(UPPER(TRIM('Raw data'!W117))=UPPER(TRIM('Real results'!C122)),1,0) + IF(UPPER(TRIM('Raw data'!W117))=UPPER(TRIM('Real results'!C123)),1,0) + IF(UPPER(TRIM('Raw data'!W117))=UPPER(TRIM('Real results'!C124)),1,0))&gt;=1,1,0),0),0)</f>
        <v>0</v>
      </c>
      <c r="Y120" s="29">
        <f>IFERROR(IF('Raw data'!Y117&lt;&gt;"",IF((IF(UPPER(TRIM('Raw data'!Y117))=UPPER(TRIM('Real results'!C117)),1,0) + IF(UPPER(TRIM('Raw data'!Y117))=UPPER(TRIM('Real results'!C118)),1,0) + IF(UPPER(TRIM('Raw data'!Y117))=UPPER(TRIM('Real results'!C119)),1,0) + IF(UPPER(TRIM('Raw data'!Y117))=UPPER(TRIM('Real results'!C120)),1,0) + IF(UPPER(TRIM('Raw data'!Y117))=UPPER(TRIM('Real results'!C121)),1,0) + IF(UPPER(TRIM('Raw data'!Y117))=UPPER(TRIM('Real results'!C122)),1,0) + IF(UPPER(TRIM('Raw data'!Y117))=UPPER(TRIM('Real results'!C123)),1,0) + IF(UPPER(TRIM('Raw data'!Y117))=UPPER(TRIM('Real results'!C124)),1,0))&gt;=1,1,0),0),0)</f>
        <v>0</v>
      </c>
      <c r="AA120" s="29">
        <f>IFERROR(IF('Raw data'!AA117&lt;&gt;"",IF((IF(UPPER(TRIM('Raw data'!AA117))=UPPER(TRIM('Real results'!C117)),1,0) + IF(UPPER(TRIM('Raw data'!AA117))=UPPER(TRIM('Real results'!C118)),1,0) + IF(UPPER(TRIM('Raw data'!AA117))=UPPER(TRIM('Real results'!C119)),1,0) + IF(UPPER(TRIM('Raw data'!AA117))=UPPER(TRIM('Real results'!C120)),1,0) + IF(UPPER(TRIM('Raw data'!AA117))=UPPER(TRIM('Real results'!C121)),1,0) + IF(UPPER(TRIM('Raw data'!AA117))=UPPER(TRIM('Real results'!C122)),1,0) + IF(UPPER(TRIM('Raw data'!AA117))=UPPER(TRIM('Real results'!C123)),1,0) + IF(UPPER(TRIM('Raw data'!AA117))=UPPER(TRIM('Real results'!C124)),1,0))&gt;=1,1,0),0),0)</f>
        <v>0</v>
      </c>
      <c r="AC120" s="29">
        <f>IFERROR(IF('Raw data'!AC117&lt;&gt;"",IF((IF(UPPER(TRIM('Raw data'!AC117))=UPPER(TRIM('Real results'!C117)),1,0) + IF(UPPER(TRIM('Raw data'!AC117))=UPPER(TRIM('Real results'!C118)),1,0) + IF(UPPER(TRIM('Raw data'!AC117))=UPPER(TRIM('Real results'!C119)),1,0) + IF(UPPER(TRIM('Raw data'!AC117))=UPPER(TRIM('Real results'!C120)),1,0) + IF(UPPER(TRIM('Raw data'!AC117))=UPPER(TRIM('Real results'!C121)),1,0) + IF(UPPER(TRIM('Raw data'!AC117))=UPPER(TRIM('Real results'!C122)),1,0) + IF(UPPER(TRIM('Raw data'!AC117))=UPPER(TRIM('Real results'!C123)),1,0) + IF(UPPER(TRIM('Raw data'!AC117))=UPPER(TRIM('Real results'!C124)),1,0))&gt;=1,1,0),0),0)</f>
        <v>0</v>
      </c>
      <c r="AE120" s="29">
        <f>IFERROR(IF('Raw data'!AE117&lt;&gt;"",IF((IF(UPPER(TRIM('Raw data'!AE117))=UPPER(TRIM('Real results'!C117)),1,0) + IF(UPPER(TRIM('Raw data'!AE117))=UPPER(TRIM('Real results'!C118)),1,0) + IF(UPPER(TRIM('Raw data'!AE117))=UPPER(TRIM('Real results'!C119)),1,0) + IF(UPPER(TRIM('Raw data'!AE117))=UPPER(TRIM('Real results'!C120)),1,0) + IF(UPPER(TRIM('Raw data'!AE117))=UPPER(TRIM('Real results'!C121)),1,0) + IF(UPPER(TRIM('Raw data'!AE117))=UPPER(TRIM('Real results'!C122)),1,0) + IF(UPPER(TRIM('Raw data'!AE117))=UPPER(TRIM('Real results'!C123)),1,0) + IF(UPPER(TRIM('Raw data'!AE117))=UPPER(TRIM('Real results'!C124)),1,0))&gt;=1,1,0),0),0)</f>
        <v>0</v>
      </c>
      <c r="AG120" s="29">
        <f>IFERROR(IF('Raw data'!AG117&lt;&gt;"",IF((IF(UPPER(TRIM('Raw data'!AG117))=UPPER(TRIM('Real results'!C117)),1,0) + IF(UPPER(TRIM('Raw data'!AG117))=UPPER(TRIM('Real results'!C118)),1,0) + IF(UPPER(TRIM('Raw data'!AG117))=UPPER(TRIM('Real results'!C119)),1,0) + IF(UPPER(TRIM('Raw data'!AG117))=UPPER(TRIM('Real results'!C120)),1,0) + IF(UPPER(TRIM('Raw data'!AG117))=UPPER(TRIM('Real results'!C121)),1,0) + IF(UPPER(TRIM('Raw data'!AG117))=UPPER(TRIM('Real results'!C122)),1,0) + IF(UPPER(TRIM('Raw data'!AG117))=UPPER(TRIM('Real results'!C123)),1,0) + IF(UPPER(TRIM('Raw data'!AG117))=UPPER(TRIM('Real results'!C124)),1,0))&gt;=1,1,0),0),0)</f>
        <v>0</v>
      </c>
      <c r="AI120" s="29">
        <f>IFERROR(IF('Raw data'!AI117&lt;&gt;"",IF((IF(UPPER(TRIM('Raw data'!AI117))=UPPER(TRIM('Real results'!C117)),1,0) + IF(UPPER(TRIM('Raw data'!AI117))=UPPER(TRIM('Real results'!C118)),1,0) + IF(UPPER(TRIM('Raw data'!AI117))=UPPER(TRIM('Real results'!C119)),1,0) + IF(UPPER(TRIM('Raw data'!AI117))=UPPER(TRIM('Real results'!C120)),1,0) + IF(UPPER(TRIM('Raw data'!AI117))=UPPER(TRIM('Real results'!C121)),1,0) + IF(UPPER(TRIM('Raw data'!AI117))=UPPER(TRIM('Real results'!C122)),1,0) + IF(UPPER(TRIM('Raw data'!AI117))=UPPER(TRIM('Real results'!C123)),1,0) + IF(UPPER(TRIM('Raw data'!AI117))=UPPER(TRIM('Real results'!C124)),1,0))&gt;=1,1,0),0),0)</f>
        <v>0</v>
      </c>
      <c r="AK120" s="29">
        <f>IFERROR(IF('Raw data'!AK117&lt;&gt;"",IF((IF(UPPER(TRIM('Raw data'!AK117))=UPPER(TRIM('Real results'!C117)),1,0) + IF(UPPER(TRIM('Raw data'!AK117))=UPPER(TRIM('Real results'!C118)),1,0) + IF(UPPER(TRIM('Raw data'!AK117))=UPPER(TRIM('Real results'!C119)),1,0) + IF(UPPER(TRIM('Raw data'!AK117))=UPPER(TRIM('Real results'!C120)),1,0) + IF(UPPER(TRIM('Raw data'!AK117))=UPPER(TRIM('Real results'!C121)),1,0) + IF(UPPER(TRIM('Raw data'!AK117))=UPPER(TRIM('Real results'!C122)),1,0) + IF(UPPER(TRIM('Raw data'!AK117))=UPPER(TRIM('Real results'!C123)),1,0) + IF(UPPER(TRIM('Raw data'!AK117))=UPPER(TRIM('Real results'!C124)),1,0))&gt;=1,1,0),0),0)</f>
        <v>0</v>
      </c>
      <c r="AM120" s="29">
        <f>IFERROR(IF('Raw data'!AM117&lt;&gt;"",IF((IF(UPPER(TRIM('Raw data'!AM117))=UPPER(TRIM('Real results'!C117)),1,0) + IF(UPPER(TRIM('Raw data'!AM117))=UPPER(TRIM('Real results'!C118)),1,0) + IF(UPPER(TRIM('Raw data'!AM117))=UPPER(TRIM('Real results'!C119)),1,0) + IF(UPPER(TRIM('Raw data'!AM117))=UPPER(TRIM('Real results'!C120)),1,0) + IF(UPPER(TRIM('Raw data'!AM117))=UPPER(TRIM('Real results'!C121)),1,0) + IF(UPPER(TRIM('Raw data'!AM117))=UPPER(TRIM('Real results'!C122)),1,0) + IF(UPPER(TRIM('Raw data'!AM117))=UPPER(TRIM('Real results'!C123)),1,0) + IF(UPPER(TRIM('Raw data'!AM117))=UPPER(TRIM('Real results'!C124)),1,0))&gt;=1,1,0),0),0)</f>
        <v>0</v>
      </c>
      <c r="AO120" s="29">
        <f>IFERROR(IF('Raw data'!AO117&lt;&gt;"",IF((IF(UPPER(TRIM('Raw data'!AO117))=UPPER(TRIM('Real results'!C117)),1,0) + IF(UPPER(TRIM('Raw data'!AO117))=UPPER(TRIM('Real results'!C118)),1,0) + IF(UPPER(TRIM('Raw data'!AO117))=UPPER(TRIM('Real results'!C119)),1,0) + IF(UPPER(TRIM('Raw data'!AO117))=UPPER(TRIM('Real results'!C120)),1,0) + IF(UPPER(TRIM('Raw data'!AO117))=UPPER(TRIM('Real results'!C121)),1,0) + IF(UPPER(TRIM('Raw data'!AO117))=UPPER(TRIM('Real results'!C122)),1,0) + IF(UPPER(TRIM('Raw data'!AO117))=UPPER(TRIM('Real results'!C123)),1,0) + IF(UPPER(TRIM('Raw data'!AO117))=UPPER(TRIM('Real results'!C124)),1,0))&gt;=1,1,0),0),0)</f>
        <v>0</v>
      </c>
      <c r="AQ120" s="29">
        <f>IFERROR(IF('Raw data'!AQ117&lt;&gt;"",IF((IF(UPPER(TRIM('Raw data'!AQ117))=UPPER(TRIM('Real results'!C117)),1,0) + IF(UPPER(TRIM('Raw data'!AQ117))=UPPER(TRIM('Real results'!C118)),1,0) + IF(UPPER(TRIM('Raw data'!AQ117))=UPPER(TRIM('Real results'!C119)),1,0) + IF(UPPER(TRIM('Raw data'!AQ117))=UPPER(TRIM('Real results'!C120)),1,0) + IF(UPPER(TRIM('Raw data'!AQ117))=UPPER(TRIM('Real results'!C121)),1,0) + IF(UPPER(TRIM('Raw data'!AQ117))=UPPER(TRIM('Real results'!C122)),1,0) + IF(UPPER(TRIM('Raw data'!AQ117))=UPPER(TRIM('Real results'!C123)),1,0) + IF(UPPER(TRIM('Raw data'!AQ117))=UPPER(TRIM('Real results'!C124)),1,0))&gt;=1,1,0),0),0)</f>
        <v>0</v>
      </c>
      <c r="AS120" s="29">
        <f>IFERROR(IF('Raw data'!AS117&lt;&gt;"",IF((IF(UPPER(TRIM('Raw data'!AS117))=UPPER(TRIM('Real results'!C117)),1,0) + IF(UPPER(TRIM('Raw data'!AS117))=UPPER(TRIM('Real results'!C118)),1,0) + IF(UPPER(TRIM('Raw data'!AS117))=UPPER(TRIM('Real results'!C119)),1,0) + IF(UPPER(TRIM('Raw data'!AS117))=UPPER(TRIM('Real results'!C120)),1,0) + IF(UPPER(TRIM('Raw data'!AS117))=UPPER(TRIM('Real results'!C121)),1,0) + IF(UPPER(TRIM('Raw data'!AS117))=UPPER(TRIM('Real results'!C122)),1,0) + IF(UPPER(TRIM('Raw data'!AS117))=UPPER(TRIM('Real results'!C123)),1,0) + IF(UPPER(TRIM('Raw data'!AS117))=UPPER(TRIM('Real results'!C124)),1,0))&gt;=1,1,0),0),0)</f>
        <v>0</v>
      </c>
      <c r="AU120" s="29">
        <f>IFERROR(IF('Raw data'!AU117&lt;&gt;"",IF((IF(UPPER(TRIM('Raw data'!AU117))=UPPER(TRIM('Real results'!C117)),1,0) + IF(UPPER(TRIM('Raw data'!AU117))=UPPER(TRIM('Real results'!C118)),1,0) + IF(UPPER(TRIM('Raw data'!AU117))=UPPER(TRIM('Real results'!C119)),1,0) + IF(UPPER(TRIM('Raw data'!AU117))=UPPER(TRIM('Real results'!C120)),1,0) + IF(UPPER(TRIM('Raw data'!AU117))=UPPER(TRIM('Real results'!C121)),1,0) + IF(UPPER(TRIM('Raw data'!AU117))=UPPER(TRIM('Real results'!C122)),1,0) + IF(UPPER(TRIM('Raw data'!AU117))=UPPER(TRIM('Real results'!C123)),1,0) + IF(UPPER(TRIM('Raw data'!AU117))=UPPER(TRIM('Real results'!C124)),1,0))&gt;=1,1,0),0),0)</f>
        <v>0</v>
      </c>
      <c r="AW120" s="29">
        <f>IFERROR(IF('Raw data'!AW117&lt;&gt;"",IF((IF(UPPER(TRIM('Raw data'!AW117))=UPPER(TRIM('Real results'!C117)),1,0) + IF(UPPER(TRIM('Raw data'!AW117))=UPPER(TRIM('Real results'!C118)),1,0) + IF(UPPER(TRIM('Raw data'!AW117))=UPPER(TRIM('Real results'!C119)),1,0) + IF(UPPER(TRIM('Raw data'!AW117))=UPPER(TRIM('Real results'!C120)),1,0) + IF(UPPER(TRIM('Raw data'!AW117))=UPPER(TRIM('Real results'!C121)),1,0) + IF(UPPER(TRIM('Raw data'!AW117))=UPPER(TRIM('Real results'!C122)),1,0) + IF(UPPER(TRIM('Raw data'!AW117))=UPPER(TRIM('Real results'!C123)),1,0) + IF(UPPER(TRIM('Raw data'!AW117))=UPPER(TRIM('Real results'!C124)),1,0))&gt;=1,1,0),0),0)</f>
        <v>0</v>
      </c>
      <c r="AY120" s="29">
        <f>IFERROR(IF('Raw data'!AY117&lt;&gt;"",IF((IF(UPPER(TRIM('Raw data'!AY117))=UPPER(TRIM('Real results'!C117)),1,0) + IF(UPPER(TRIM('Raw data'!AY117))=UPPER(TRIM('Real results'!C118)),1,0) + IF(UPPER(TRIM('Raw data'!AY117))=UPPER(TRIM('Real results'!C119)),1,0) + IF(UPPER(TRIM('Raw data'!AY117))=UPPER(TRIM('Real results'!C120)),1,0) + IF(UPPER(TRIM('Raw data'!AY117))=UPPER(TRIM('Real results'!C121)),1,0) + IF(UPPER(TRIM('Raw data'!AY117))=UPPER(TRIM('Real results'!C122)),1,0) + IF(UPPER(TRIM('Raw data'!AY117))=UPPER(TRIM('Real results'!C123)),1,0) + IF(UPPER(TRIM('Raw data'!AY117))=UPPER(TRIM('Real results'!C124)),1,0))&gt;=1,1,0),0),0)</f>
        <v>0</v>
      </c>
      <c r="BA120" s="29">
        <f>IFERROR(IF('Raw data'!BA117&lt;&gt;"",IF((IF(UPPER(TRIM('Raw data'!BA117))=UPPER(TRIM('Real results'!C117)),1,0) + IF(UPPER(TRIM('Raw data'!BA117))=UPPER(TRIM('Real results'!C118)),1,0) + IF(UPPER(TRIM('Raw data'!BA117))=UPPER(TRIM('Real results'!C119)),1,0) + IF(UPPER(TRIM('Raw data'!BA117))=UPPER(TRIM('Real results'!C120)),1,0) + IF(UPPER(TRIM('Raw data'!BA117))=UPPER(TRIM('Real results'!C121)),1,0) + IF(UPPER(TRIM('Raw data'!BA117))=UPPER(TRIM('Real results'!C122)),1,0) + IF(UPPER(TRIM('Raw data'!BA117))=UPPER(TRIM('Real results'!C123)),1,0) + IF(UPPER(TRIM('Raw data'!BA117))=UPPER(TRIM('Real results'!C124)),1,0))&gt;=1,1,0),0),0)</f>
        <v>0</v>
      </c>
      <c r="BC120" s="29">
        <f>IFERROR(IF('Raw data'!BC117&lt;&gt;"",IF((IF(UPPER(TRIM('Raw data'!BC117))=UPPER(TRIM('Real results'!C117)),1,0) + IF(UPPER(TRIM('Raw data'!BC117))=UPPER(TRIM('Real results'!C118)),1,0) + IF(UPPER(TRIM('Raw data'!BC117))=UPPER(TRIM('Real results'!C119)),1,0) + IF(UPPER(TRIM('Raw data'!BC117))=UPPER(TRIM('Real results'!C120)),1,0) + IF(UPPER(TRIM('Raw data'!BC117))=UPPER(TRIM('Real results'!C121)),1,0) + IF(UPPER(TRIM('Raw data'!BC117))=UPPER(TRIM('Real results'!C122)),1,0) + IF(UPPER(TRIM('Raw data'!BC117))=UPPER(TRIM('Real results'!C123)),1,0) + IF(UPPER(TRIM('Raw data'!BC117))=UPPER(TRIM('Real results'!C124)),1,0))&gt;=1,1,0),0),0)</f>
        <v>0</v>
      </c>
      <c r="BE120" s="29">
        <f>IFERROR(IF('Raw data'!BE117&lt;&gt;"",IF((IF(UPPER(TRIM('Raw data'!BE117))=UPPER(TRIM('Real results'!C117)),1,0) + IF(UPPER(TRIM('Raw data'!BE117))=UPPER(TRIM('Real results'!C118)),1,0) + IF(UPPER(TRIM('Raw data'!BE117))=UPPER(TRIM('Real results'!C119)),1,0) + IF(UPPER(TRIM('Raw data'!BE117))=UPPER(TRIM('Real results'!C120)),1,0) + IF(UPPER(TRIM('Raw data'!BE117))=UPPER(TRIM('Real results'!C121)),1,0) + IF(UPPER(TRIM('Raw data'!BE117))=UPPER(TRIM('Real results'!C122)),1,0) + IF(UPPER(TRIM('Raw data'!BE117))=UPPER(TRIM('Real results'!C123)),1,0) + IF(UPPER(TRIM('Raw data'!BE117))=UPPER(TRIM('Real results'!C124)),1,0))&gt;=1,1,0),0),0)</f>
        <v>0</v>
      </c>
      <c r="BG120" s="29">
        <f>IFERROR(IF('Raw data'!BG117&lt;&gt;"",IF((IF(UPPER(TRIM('Raw data'!BG117))=UPPER(TRIM('Real results'!C117)),1,0) + IF(UPPER(TRIM('Raw data'!BG117))=UPPER(TRIM('Real results'!C118)),1,0) + IF(UPPER(TRIM('Raw data'!BG117))=UPPER(TRIM('Real results'!C119)),1,0) + IF(UPPER(TRIM('Raw data'!BG117))=UPPER(TRIM('Real results'!C120)),1,0) + IF(UPPER(TRIM('Raw data'!BG117))=UPPER(TRIM('Real results'!C121)),1,0) + IF(UPPER(TRIM('Raw data'!BG117))=UPPER(TRIM('Real results'!C122)),1,0) + IF(UPPER(TRIM('Raw data'!BG117))=UPPER(TRIM('Real results'!C123)),1,0) + IF(UPPER(TRIM('Raw data'!BG117))=UPPER(TRIM('Real results'!C124)),1,0))&gt;=1,1,0),0),0)</f>
        <v>0</v>
      </c>
      <c r="BI120" s="29">
        <f>IFERROR(IF('Raw data'!BI117&lt;&gt;"",IF((IF(UPPER(TRIM('Raw data'!BI117))=UPPER(TRIM('Real results'!C117)),1,0) + IF(UPPER(TRIM('Raw data'!BI117))=UPPER(TRIM('Real results'!C118)),1,0) + IF(UPPER(TRIM('Raw data'!BI117))=UPPER(TRIM('Real results'!C119)),1,0) + IF(UPPER(TRIM('Raw data'!BI117))=UPPER(TRIM('Real results'!C120)),1,0) + IF(UPPER(TRIM('Raw data'!BI117))=UPPER(TRIM('Real results'!C121)),1,0) + IF(UPPER(TRIM('Raw data'!BI117))=UPPER(TRIM('Real results'!C122)),1,0) + IF(UPPER(TRIM('Raw data'!BI117))=UPPER(TRIM('Real results'!C123)),1,0) + IF(UPPER(TRIM('Raw data'!BI117))=UPPER(TRIM('Real results'!C124)),1,0))&gt;=1,1,0),0),0)</f>
        <v>0</v>
      </c>
    </row>
    <row r="121" ht="18.0" customHeight="1">
      <c r="A121" s="1"/>
      <c r="B121" s="13" t="s">
        <v>402</v>
      </c>
      <c r="C121" s="29">
        <f>IFERROR(IF('Raw data'!C118&lt;&gt;"",IF((IF(UPPER(TRIM('Raw data'!C118))=UPPER(TRIM('Real results'!C117)),1,0) + IF(UPPER(TRIM('Raw data'!C118))=UPPER(TRIM('Real results'!C118)),1,0) + IF(UPPER(TRIM('Raw data'!C118))=UPPER(TRIM('Real results'!C119)),1,0) + IF(UPPER(TRIM('Raw data'!C118))=UPPER(TRIM('Real results'!C120)),1,0) + IF(UPPER(TRIM('Raw data'!C118))=UPPER(TRIM('Real results'!C121)),1,0) + IF(UPPER(TRIM('Raw data'!C118))=UPPER(TRIM('Real results'!C122)),1,0) + IF(UPPER(TRIM('Raw data'!C118))=UPPER(TRIM('Real results'!C123)),1,0) + IF(UPPER(TRIM('Raw data'!C118))=UPPER(TRIM('Real results'!C124)),1,0))&gt;=1,1,0),0),0)</f>
        <v>0</v>
      </c>
      <c r="E121" s="29">
        <f>IFERROR(IF('Raw data'!E118&lt;&gt;"",IF((IF(UPPER(TRIM('Raw data'!E118))=UPPER(TRIM('Real results'!C117)),1,0) + IF(UPPER(TRIM('Raw data'!E118))=UPPER(TRIM('Real results'!C118)),1,0) + IF(UPPER(TRIM('Raw data'!E118))=UPPER(TRIM('Real results'!C119)),1,0) + IF(UPPER(TRIM('Raw data'!E118))=UPPER(TRIM('Real results'!C120)),1,0) + IF(UPPER(TRIM('Raw data'!E118))=UPPER(TRIM('Real results'!C121)),1,0) + IF(UPPER(TRIM('Raw data'!E118))=UPPER(TRIM('Real results'!C122)),1,0) + IF(UPPER(TRIM('Raw data'!E118))=UPPER(TRIM('Real results'!C123)),1,0) + IF(UPPER(TRIM('Raw data'!E118))=UPPER(TRIM('Real results'!C124)),1,0))&gt;=1,1,0),0),0)</f>
        <v>0</v>
      </c>
      <c r="G121" s="29">
        <f>IFERROR(IF('Raw data'!G118&lt;&gt;"",IF((IF(UPPER(TRIM('Raw data'!G118))=UPPER(TRIM('Real results'!C117)),1,0) + IF(UPPER(TRIM('Raw data'!G118))=UPPER(TRIM('Real results'!C118)),1,0) + IF(UPPER(TRIM('Raw data'!G118))=UPPER(TRIM('Real results'!C119)),1,0) + IF(UPPER(TRIM('Raw data'!G118))=UPPER(TRIM('Real results'!C120)),1,0) + IF(UPPER(TRIM('Raw data'!G118))=UPPER(TRIM('Real results'!C121)),1,0) + IF(UPPER(TRIM('Raw data'!G118))=UPPER(TRIM('Real results'!C122)),1,0) + IF(UPPER(TRIM('Raw data'!G118))=UPPER(TRIM('Real results'!C123)),1,0) + IF(UPPER(TRIM('Raw data'!G118))=UPPER(TRIM('Real results'!C124)),1,0))&gt;=1,1,0),0),0)</f>
        <v>0</v>
      </c>
      <c r="I121" s="29">
        <f>IFERROR(IF('Raw data'!I118&lt;&gt;"",IF((IF(UPPER(TRIM('Raw data'!I118))=UPPER(TRIM('Real results'!C117)),1,0) + IF(UPPER(TRIM('Raw data'!I118))=UPPER(TRIM('Real results'!C118)),1,0) + IF(UPPER(TRIM('Raw data'!I118))=UPPER(TRIM('Real results'!C119)),1,0) + IF(UPPER(TRIM('Raw data'!I118))=UPPER(TRIM('Real results'!C120)),1,0) + IF(UPPER(TRIM('Raw data'!I118))=UPPER(TRIM('Real results'!C121)),1,0) + IF(UPPER(TRIM('Raw data'!I118))=UPPER(TRIM('Real results'!C122)),1,0) + IF(UPPER(TRIM('Raw data'!I118))=UPPER(TRIM('Real results'!C123)),1,0) + IF(UPPER(TRIM('Raw data'!I118))=UPPER(TRIM('Real results'!C124)),1,0))&gt;=1,1,0),0),0)</f>
        <v>0</v>
      </c>
      <c r="K121" s="29">
        <f>IFERROR(IF('Raw data'!K118&lt;&gt;"",IF((IF(UPPER(TRIM('Raw data'!K118))=UPPER(TRIM('Real results'!C117)),1,0) + IF(UPPER(TRIM('Raw data'!K118))=UPPER(TRIM('Real results'!C118)),1,0) + IF(UPPER(TRIM('Raw data'!K118))=UPPER(TRIM('Real results'!C119)),1,0) + IF(UPPER(TRIM('Raw data'!K118))=UPPER(TRIM('Real results'!C120)),1,0) + IF(UPPER(TRIM('Raw data'!K118))=UPPER(TRIM('Real results'!C121)),1,0) + IF(UPPER(TRIM('Raw data'!K118))=UPPER(TRIM('Real results'!C122)),1,0) + IF(UPPER(TRIM('Raw data'!K118))=UPPER(TRIM('Real results'!C123)),1,0) + IF(UPPER(TRIM('Raw data'!K118))=UPPER(TRIM('Real results'!C124)),1,0))&gt;=1,1,0),0),0)</f>
        <v>0</v>
      </c>
      <c r="M121" s="29">
        <f>IFERROR(IF('Raw data'!M118&lt;&gt;"",IF((IF(UPPER(TRIM('Raw data'!M118))=UPPER(TRIM('Real results'!C117)),1,0) + IF(UPPER(TRIM('Raw data'!M118))=UPPER(TRIM('Real results'!C118)),1,0) + IF(UPPER(TRIM('Raw data'!M118))=UPPER(TRIM('Real results'!C119)),1,0) + IF(UPPER(TRIM('Raw data'!M118))=UPPER(TRIM('Real results'!C120)),1,0) + IF(UPPER(TRIM('Raw data'!M118))=UPPER(TRIM('Real results'!C121)),1,0) + IF(UPPER(TRIM('Raw data'!M118))=UPPER(TRIM('Real results'!C122)),1,0) + IF(UPPER(TRIM('Raw data'!M118))=UPPER(TRIM('Real results'!C123)),1,0) + IF(UPPER(TRIM('Raw data'!M118))=UPPER(TRIM('Real results'!C124)),1,0))&gt;=1,1,0),0),0)</f>
        <v>0</v>
      </c>
      <c r="O121" s="29">
        <f>IFERROR(IF('Raw data'!O118&lt;&gt;"",IF((IF(UPPER(TRIM('Raw data'!O118))=UPPER(TRIM('Real results'!C117)),1,0) + IF(UPPER(TRIM('Raw data'!O118))=UPPER(TRIM('Real results'!C118)),1,0) + IF(UPPER(TRIM('Raw data'!O118))=UPPER(TRIM('Real results'!C119)),1,0) + IF(UPPER(TRIM('Raw data'!O118))=UPPER(TRIM('Real results'!C120)),1,0) + IF(UPPER(TRIM('Raw data'!O118))=UPPER(TRIM('Real results'!C121)),1,0) + IF(UPPER(TRIM('Raw data'!O118))=UPPER(TRIM('Real results'!C122)),1,0) + IF(UPPER(TRIM('Raw data'!O118))=UPPER(TRIM('Real results'!C123)),1,0) + IF(UPPER(TRIM('Raw data'!O118))=UPPER(TRIM('Real results'!C124)),1,0))&gt;=1,1,0),0),0)</f>
        <v>0</v>
      </c>
      <c r="Q121" s="29">
        <f>IFERROR(IF('Raw data'!Q118&lt;&gt;"",IF((IF(UPPER(TRIM('Raw data'!Q118))=UPPER(TRIM('Real results'!C117)),1,0) + IF(UPPER(TRIM('Raw data'!Q118))=UPPER(TRIM('Real results'!C118)),1,0) + IF(UPPER(TRIM('Raw data'!Q118))=UPPER(TRIM('Real results'!C119)),1,0) + IF(UPPER(TRIM('Raw data'!Q118))=UPPER(TRIM('Real results'!C120)),1,0) + IF(UPPER(TRIM('Raw data'!Q118))=UPPER(TRIM('Real results'!C121)),1,0) + IF(UPPER(TRIM('Raw data'!Q118))=UPPER(TRIM('Real results'!C122)),1,0) + IF(UPPER(TRIM('Raw data'!Q118))=UPPER(TRIM('Real results'!C123)),1,0) + IF(UPPER(TRIM('Raw data'!Q118))=UPPER(TRIM('Real results'!C124)),1,0))&gt;=1,1,0),0),0)</f>
        <v>0</v>
      </c>
      <c r="S121" s="29">
        <f>IFERROR(IF('Raw data'!S118&lt;&gt;"",IF((IF(UPPER(TRIM('Raw data'!S118))=UPPER(TRIM('Real results'!C117)),1,0) + IF(UPPER(TRIM('Raw data'!S118))=UPPER(TRIM('Real results'!C118)),1,0) + IF(UPPER(TRIM('Raw data'!S118))=UPPER(TRIM('Real results'!C119)),1,0) + IF(UPPER(TRIM('Raw data'!S118))=UPPER(TRIM('Real results'!C120)),1,0) + IF(UPPER(TRIM('Raw data'!S118))=UPPER(TRIM('Real results'!C121)),1,0) + IF(UPPER(TRIM('Raw data'!S118))=UPPER(TRIM('Real results'!C122)),1,0) + IF(UPPER(TRIM('Raw data'!S118))=UPPER(TRIM('Real results'!C123)),1,0) + IF(UPPER(TRIM('Raw data'!S118))=UPPER(TRIM('Real results'!C124)),1,0))&gt;=1,1,0),0),0)</f>
        <v>0</v>
      </c>
      <c r="U121" s="29">
        <f>IFERROR(IF('Raw data'!U118&lt;&gt;"",IF((IF(UPPER(TRIM('Raw data'!U118))=UPPER(TRIM('Real results'!C117)),1,0) + IF(UPPER(TRIM('Raw data'!U118))=UPPER(TRIM('Real results'!C118)),1,0) + IF(UPPER(TRIM('Raw data'!U118))=UPPER(TRIM('Real results'!C119)),1,0) + IF(UPPER(TRIM('Raw data'!U118))=UPPER(TRIM('Real results'!C120)),1,0) + IF(UPPER(TRIM('Raw data'!U118))=UPPER(TRIM('Real results'!C121)),1,0) + IF(UPPER(TRIM('Raw data'!U118))=UPPER(TRIM('Real results'!C122)),1,0) + IF(UPPER(TRIM('Raw data'!U118))=UPPER(TRIM('Real results'!C123)),1,0) + IF(UPPER(TRIM('Raw data'!U118))=UPPER(TRIM('Real results'!C124)),1,0))&gt;=1,1,0),0),0)</f>
        <v>0</v>
      </c>
      <c r="W121" s="29">
        <f>IFERROR(IF('Raw data'!W118&lt;&gt;"",IF((IF(UPPER(TRIM('Raw data'!W118))=UPPER(TRIM('Real results'!C117)),1,0) + IF(UPPER(TRIM('Raw data'!W118))=UPPER(TRIM('Real results'!C118)),1,0) + IF(UPPER(TRIM('Raw data'!W118))=UPPER(TRIM('Real results'!C119)),1,0) + IF(UPPER(TRIM('Raw data'!W118))=UPPER(TRIM('Real results'!C120)),1,0) + IF(UPPER(TRIM('Raw data'!W118))=UPPER(TRIM('Real results'!C121)),1,0) + IF(UPPER(TRIM('Raw data'!W118))=UPPER(TRIM('Real results'!C122)),1,0) + IF(UPPER(TRIM('Raw data'!W118))=UPPER(TRIM('Real results'!C123)),1,0) + IF(UPPER(TRIM('Raw data'!W118))=UPPER(TRIM('Real results'!C124)),1,0))&gt;=1,1,0),0),0)</f>
        <v>0</v>
      </c>
      <c r="Y121" s="29">
        <f>IFERROR(IF('Raw data'!Y118&lt;&gt;"",IF((IF(UPPER(TRIM('Raw data'!Y118))=UPPER(TRIM('Real results'!C117)),1,0) + IF(UPPER(TRIM('Raw data'!Y118))=UPPER(TRIM('Real results'!C118)),1,0) + IF(UPPER(TRIM('Raw data'!Y118))=UPPER(TRIM('Real results'!C119)),1,0) + IF(UPPER(TRIM('Raw data'!Y118))=UPPER(TRIM('Real results'!C120)),1,0) + IF(UPPER(TRIM('Raw data'!Y118))=UPPER(TRIM('Real results'!C121)),1,0) + IF(UPPER(TRIM('Raw data'!Y118))=UPPER(TRIM('Real results'!C122)),1,0) + IF(UPPER(TRIM('Raw data'!Y118))=UPPER(TRIM('Real results'!C123)),1,0) + IF(UPPER(TRIM('Raw data'!Y118))=UPPER(TRIM('Real results'!C124)),1,0))&gt;=1,1,0),0),0)</f>
        <v>0</v>
      </c>
      <c r="AA121" s="29">
        <f>IFERROR(IF('Raw data'!AA118&lt;&gt;"",IF((IF(UPPER(TRIM('Raw data'!AA118))=UPPER(TRIM('Real results'!C117)),1,0) + IF(UPPER(TRIM('Raw data'!AA118))=UPPER(TRIM('Real results'!C118)),1,0) + IF(UPPER(TRIM('Raw data'!AA118))=UPPER(TRIM('Real results'!C119)),1,0) + IF(UPPER(TRIM('Raw data'!AA118))=UPPER(TRIM('Real results'!C120)),1,0) + IF(UPPER(TRIM('Raw data'!AA118))=UPPER(TRIM('Real results'!C121)),1,0) + IF(UPPER(TRIM('Raw data'!AA118))=UPPER(TRIM('Real results'!C122)),1,0) + IF(UPPER(TRIM('Raw data'!AA118))=UPPER(TRIM('Real results'!C123)),1,0) + IF(UPPER(TRIM('Raw data'!AA118))=UPPER(TRIM('Real results'!C124)),1,0))&gt;=1,1,0),0),0)</f>
        <v>0</v>
      </c>
      <c r="AC121" s="29">
        <f>IFERROR(IF('Raw data'!AC118&lt;&gt;"",IF((IF(UPPER(TRIM('Raw data'!AC118))=UPPER(TRIM('Real results'!C117)),1,0) + IF(UPPER(TRIM('Raw data'!AC118))=UPPER(TRIM('Real results'!C118)),1,0) + IF(UPPER(TRIM('Raw data'!AC118))=UPPER(TRIM('Real results'!C119)),1,0) + IF(UPPER(TRIM('Raw data'!AC118))=UPPER(TRIM('Real results'!C120)),1,0) + IF(UPPER(TRIM('Raw data'!AC118))=UPPER(TRIM('Real results'!C121)),1,0) + IF(UPPER(TRIM('Raw data'!AC118))=UPPER(TRIM('Real results'!C122)),1,0) + IF(UPPER(TRIM('Raw data'!AC118))=UPPER(TRIM('Real results'!C123)),1,0) + IF(UPPER(TRIM('Raw data'!AC118))=UPPER(TRIM('Real results'!C124)),1,0))&gt;=1,1,0),0),0)</f>
        <v>0</v>
      </c>
      <c r="AE121" s="29">
        <f>IFERROR(IF('Raw data'!AE118&lt;&gt;"",IF((IF(UPPER(TRIM('Raw data'!AE118))=UPPER(TRIM('Real results'!C117)),1,0) + IF(UPPER(TRIM('Raw data'!AE118))=UPPER(TRIM('Real results'!C118)),1,0) + IF(UPPER(TRIM('Raw data'!AE118))=UPPER(TRIM('Real results'!C119)),1,0) + IF(UPPER(TRIM('Raw data'!AE118))=UPPER(TRIM('Real results'!C120)),1,0) + IF(UPPER(TRIM('Raw data'!AE118))=UPPER(TRIM('Real results'!C121)),1,0) + IF(UPPER(TRIM('Raw data'!AE118))=UPPER(TRIM('Real results'!C122)),1,0) + IF(UPPER(TRIM('Raw data'!AE118))=UPPER(TRIM('Real results'!C123)),1,0) + IF(UPPER(TRIM('Raw data'!AE118))=UPPER(TRIM('Real results'!C124)),1,0))&gt;=1,1,0),0),0)</f>
        <v>0</v>
      </c>
      <c r="AG121" s="29">
        <f>IFERROR(IF('Raw data'!AG118&lt;&gt;"",IF((IF(UPPER(TRIM('Raw data'!AG118))=UPPER(TRIM('Real results'!C117)),1,0) + IF(UPPER(TRIM('Raw data'!AG118))=UPPER(TRIM('Real results'!C118)),1,0) + IF(UPPER(TRIM('Raw data'!AG118))=UPPER(TRIM('Real results'!C119)),1,0) + IF(UPPER(TRIM('Raw data'!AG118))=UPPER(TRIM('Real results'!C120)),1,0) + IF(UPPER(TRIM('Raw data'!AG118))=UPPER(TRIM('Real results'!C121)),1,0) + IF(UPPER(TRIM('Raw data'!AG118))=UPPER(TRIM('Real results'!C122)),1,0) + IF(UPPER(TRIM('Raw data'!AG118))=UPPER(TRIM('Real results'!C123)),1,0) + IF(UPPER(TRIM('Raw data'!AG118))=UPPER(TRIM('Real results'!C124)),1,0))&gt;=1,1,0),0),0)</f>
        <v>0</v>
      </c>
      <c r="AI121" s="29">
        <f>IFERROR(IF('Raw data'!AI118&lt;&gt;"",IF((IF(UPPER(TRIM('Raw data'!AI118))=UPPER(TRIM('Real results'!C117)),1,0) + IF(UPPER(TRIM('Raw data'!AI118))=UPPER(TRIM('Real results'!C118)),1,0) + IF(UPPER(TRIM('Raw data'!AI118))=UPPER(TRIM('Real results'!C119)),1,0) + IF(UPPER(TRIM('Raw data'!AI118))=UPPER(TRIM('Real results'!C120)),1,0) + IF(UPPER(TRIM('Raw data'!AI118))=UPPER(TRIM('Real results'!C121)),1,0) + IF(UPPER(TRIM('Raw data'!AI118))=UPPER(TRIM('Real results'!C122)),1,0) + IF(UPPER(TRIM('Raw data'!AI118))=UPPER(TRIM('Real results'!C123)),1,0) + IF(UPPER(TRIM('Raw data'!AI118))=UPPER(TRIM('Real results'!C124)),1,0))&gt;=1,1,0),0),0)</f>
        <v>0</v>
      </c>
      <c r="AK121" s="29">
        <f>IFERROR(IF('Raw data'!AK118&lt;&gt;"",IF((IF(UPPER(TRIM('Raw data'!AK118))=UPPER(TRIM('Real results'!C117)),1,0) + IF(UPPER(TRIM('Raw data'!AK118))=UPPER(TRIM('Real results'!C118)),1,0) + IF(UPPER(TRIM('Raw data'!AK118))=UPPER(TRIM('Real results'!C119)),1,0) + IF(UPPER(TRIM('Raw data'!AK118))=UPPER(TRIM('Real results'!C120)),1,0) + IF(UPPER(TRIM('Raw data'!AK118))=UPPER(TRIM('Real results'!C121)),1,0) + IF(UPPER(TRIM('Raw data'!AK118))=UPPER(TRIM('Real results'!C122)),1,0) + IF(UPPER(TRIM('Raw data'!AK118))=UPPER(TRIM('Real results'!C123)),1,0) + IF(UPPER(TRIM('Raw data'!AK118))=UPPER(TRIM('Real results'!C124)),1,0))&gt;=1,1,0),0),0)</f>
        <v>0</v>
      </c>
      <c r="AM121" s="29">
        <f>IFERROR(IF('Raw data'!AM118&lt;&gt;"",IF((IF(UPPER(TRIM('Raw data'!AM118))=UPPER(TRIM('Real results'!C117)),1,0) + IF(UPPER(TRIM('Raw data'!AM118))=UPPER(TRIM('Real results'!C118)),1,0) + IF(UPPER(TRIM('Raw data'!AM118))=UPPER(TRIM('Real results'!C119)),1,0) + IF(UPPER(TRIM('Raw data'!AM118))=UPPER(TRIM('Real results'!C120)),1,0) + IF(UPPER(TRIM('Raw data'!AM118))=UPPER(TRIM('Real results'!C121)),1,0) + IF(UPPER(TRIM('Raw data'!AM118))=UPPER(TRIM('Real results'!C122)),1,0) + IF(UPPER(TRIM('Raw data'!AM118))=UPPER(TRIM('Real results'!C123)),1,0) + IF(UPPER(TRIM('Raw data'!AM118))=UPPER(TRIM('Real results'!C124)),1,0))&gt;=1,1,0),0),0)</f>
        <v>0</v>
      </c>
      <c r="AO121" s="29">
        <f>IFERROR(IF('Raw data'!AO118&lt;&gt;"",IF((IF(UPPER(TRIM('Raw data'!AO118))=UPPER(TRIM('Real results'!C117)),1,0) + IF(UPPER(TRIM('Raw data'!AO118))=UPPER(TRIM('Real results'!C118)),1,0) + IF(UPPER(TRIM('Raw data'!AO118))=UPPER(TRIM('Real results'!C119)),1,0) + IF(UPPER(TRIM('Raw data'!AO118))=UPPER(TRIM('Real results'!C120)),1,0) + IF(UPPER(TRIM('Raw data'!AO118))=UPPER(TRIM('Real results'!C121)),1,0) + IF(UPPER(TRIM('Raw data'!AO118))=UPPER(TRIM('Real results'!C122)),1,0) + IF(UPPER(TRIM('Raw data'!AO118))=UPPER(TRIM('Real results'!C123)),1,0) + IF(UPPER(TRIM('Raw data'!AO118))=UPPER(TRIM('Real results'!C124)),1,0))&gt;=1,1,0),0),0)</f>
        <v>0</v>
      </c>
      <c r="AQ121" s="29">
        <f>IFERROR(IF('Raw data'!AQ118&lt;&gt;"",IF((IF(UPPER(TRIM('Raw data'!AQ118))=UPPER(TRIM('Real results'!C117)),1,0) + IF(UPPER(TRIM('Raw data'!AQ118))=UPPER(TRIM('Real results'!C118)),1,0) + IF(UPPER(TRIM('Raw data'!AQ118))=UPPER(TRIM('Real results'!C119)),1,0) + IF(UPPER(TRIM('Raw data'!AQ118))=UPPER(TRIM('Real results'!C120)),1,0) + IF(UPPER(TRIM('Raw data'!AQ118))=UPPER(TRIM('Real results'!C121)),1,0) + IF(UPPER(TRIM('Raw data'!AQ118))=UPPER(TRIM('Real results'!C122)),1,0) + IF(UPPER(TRIM('Raw data'!AQ118))=UPPER(TRIM('Real results'!C123)),1,0) + IF(UPPER(TRIM('Raw data'!AQ118))=UPPER(TRIM('Real results'!C124)),1,0))&gt;=1,1,0),0),0)</f>
        <v>0</v>
      </c>
      <c r="AS121" s="29">
        <f>IFERROR(IF('Raw data'!AS118&lt;&gt;"",IF((IF(UPPER(TRIM('Raw data'!AS118))=UPPER(TRIM('Real results'!C117)),1,0) + IF(UPPER(TRIM('Raw data'!AS118))=UPPER(TRIM('Real results'!C118)),1,0) + IF(UPPER(TRIM('Raw data'!AS118))=UPPER(TRIM('Real results'!C119)),1,0) + IF(UPPER(TRIM('Raw data'!AS118))=UPPER(TRIM('Real results'!C120)),1,0) + IF(UPPER(TRIM('Raw data'!AS118))=UPPER(TRIM('Real results'!C121)),1,0) + IF(UPPER(TRIM('Raw data'!AS118))=UPPER(TRIM('Real results'!C122)),1,0) + IF(UPPER(TRIM('Raw data'!AS118))=UPPER(TRIM('Real results'!C123)),1,0) + IF(UPPER(TRIM('Raw data'!AS118))=UPPER(TRIM('Real results'!C124)),1,0))&gt;=1,1,0),0),0)</f>
        <v>0</v>
      </c>
      <c r="AU121" s="29">
        <f>IFERROR(IF('Raw data'!AU118&lt;&gt;"",IF((IF(UPPER(TRIM('Raw data'!AU118))=UPPER(TRIM('Real results'!C117)),1,0) + IF(UPPER(TRIM('Raw data'!AU118))=UPPER(TRIM('Real results'!C118)),1,0) + IF(UPPER(TRIM('Raw data'!AU118))=UPPER(TRIM('Real results'!C119)),1,0) + IF(UPPER(TRIM('Raw data'!AU118))=UPPER(TRIM('Real results'!C120)),1,0) + IF(UPPER(TRIM('Raw data'!AU118))=UPPER(TRIM('Real results'!C121)),1,0) + IF(UPPER(TRIM('Raw data'!AU118))=UPPER(TRIM('Real results'!C122)),1,0) + IF(UPPER(TRIM('Raw data'!AU118))=UPPER(TRIM('Real results'!C123)),1,0) + IF(UPPER(TRIM('Raw data'!AU118))=UPPER(TRIM('Real results'!C124)),1,0))&gt;=1,1,0),0),0)</f>
        <v>0</v>
      </c>
      <c r="AW121" s="29">
        <f>IFERROR(IF('Raw data'!AW118&lt;&gt;"",IF((IF(UPPER(TRIM('Raw data'!AW118))=UPPER(TRIM('Real results'!C117)),1,0) + IF(UPPER(TRIM('Raw data'!AW118))=UPPER(TRIM('Real results'!C118)),1,0) + IF(UPPER(TRIM('Raw data'!AW118))=UPPER(TRIM('Real results'!C119)),1,0) + IF(UPPER(TRIM('Raw data'!AW118))=UPPER(TRIM('Real results'!C120)),1,0) + IF(UPPER(TRIM('Raw data'!AW118))=UPPER(TRIM('Real results'!C121)),1,0) + IF(UPPER(TRIM('Raw data'!AW118))=UPPER(TRIM('Real results'!C122)),1,0) + IF(UPPER(TRIM('Raw data'!AW118))=UPPER(TRIM('Real results'!C123)),1,0) + IF(UPPER(TRIM('Raw data'!AW118))=UPPER(TRIM('Real results'!C124)),1,0))&gt;=1,1,0),0),0)</f>
        <v>0</v>
      </c>
      <c r="AY121" s="29">
        <f>IFERROR(IF('Raw data'!AY118&lt;&gt;"",IF((IF(UPPER(TRIM('Raw data'!AY118))=UPPER(TRIM('Real results'!C117)),1,0) + IF(UPPER(TRIM('Raw data'!AY118))=UPPER(TRIM('Real results'!C118)),1,0) + IF(UPPER(TRIM('Raw data'!AY118))=UPPER(TRIM('Real results'!C119)),1,0) + IF(UPPER(TRIM('Raw data'!AY118))=UPPER(TRIM('Real results'!C120)),1,0) + IF(UPPER(TRIM('Raw data'!AY118))=UPPER(TRIM('Real results'!C121)),1,0) + IF(UPPER(TRIM('Raw data'!AY118))=UPPER(TRIM('Real results'!C122)),1,0) + IF(UPPER(TRIM('Raw data'!AY118))=UPPER(TRIM('Real results'!C123)),1,0) + IF(UPPER(TRIM('Raw data'!AY118))=UPPER(TRIM('Real results'!C124)),1,0))&gt;=1,1,0),0),0)</f>
        <v>0</v>
      </c>
      <c r="BA121" s="29">
        <f>IFERROR(IF('Raw data'!BA118&lt;&gt;"",IF((IF(UPPER(TRIM('Raw data'!BA118))=UPPER(TRIM('Real results'!C117)),1,0) + IF(UPPER(TRIM('Raw data'!BA118))=UPPER(TRIM('Real results'!C118)),1,0) + IF(UPPER(TRIM('Raw data'!BA118))=UPPER(TRIM('Real results'!C119)),1,0) + IF(UPPER(TRIM('Raw data'!BA118))=UPPER(TRIM('Real results'!C120)),1,0) + IF(UPPER(TRIM('Raw data'!BA118))=UPPER(TRIM('Real results'!C121)),1,0) + IF(UPPER(TRIM('Raw data'!BA118))=UPPER(TRIM('Real results'!C122)),1,0) + IF(UPPER(TRIM('Raw data'!BA118))=UPPER(TRIM('Real results'!C123)),1,0) + IF(UPPER(TRIM('Raw data'!BA118))=UPPER(TRIM('Real results'!C124)),1,0))&gt;=1,1,0),0),0)</f>
        <v>0</v>
      </c>
      <c r="BC121" s="29">
        <f>IFERROR(IF('Raw data'!BC118&lt;&gt;"",IF((IF(UPPER(TRIM('Raw data'!BC118))=UPPER(TRIM('Real results'!C117)),1,0) + IF(UPPER(TRIM('Raw data'!BC118))=UPPER(TRIM('Real results'!C118)),1,0) + IF(UPPER(TRIM('Raw data'!BC118))=UPPER(TRIM('Real results'!C119)),1,0) + IF(UPPER(TRIM('Raw data'!BC118))=UPPER(TRIM('Real results'!C120)),1,0) + IF(UPPER(TRIM('Raw data'!BC118))=UPPER(TRIM('Real results'!C121)),1,0) + IF(UPPER(TRIM('Raw data'!BC118))=UPPER(TRIM('Real results'!C122)),1,0) + IF(UPPER(TRIM('Raw data'!BC118))=UPPER(TRIM('Real results'!C123)),1,0) + IF(UPPER(TRIM('Raw data'!BC118))=UPPER(TRIM('Real results'!C124)),1,0))&gt;=1,1,0),0),0)</f>
        <v>0</v>
      </c>
      <c r="BE121" s="29">
        <f>IFERROR(IF('Raw data'!BE118&lt;&gt;"",IF((IF(UPPER(TRIM('Raw data'!BE118))=UPPER(TRIM('Real results'!C117)),1,0) + IF(UPPER(TRIM('Raw data'!BE118))=UPPER(TRIM('Real results'!C118)),1,0) + IF(UPPER(TRIM('Raw data'!BE118))=UPPER(TRIM('Real results'!C119)),1,0) + IF(UPPER(TRIM('Raw data'!BE118))=UPPER(TRIM('Real results'!C120)),1,0) + IF(UPPER(TRIM('Raw data'!BE118))=UPPER(TRIM('Real results'!C121)),1,0) + IF(UPPER(TRIM('Raw data'!BE118))=UPPER(TRIM('Real results'!C122)),1,0) + IF(UPPER(TRIM('Raw data'!BE118))=UPPER(TRIM('Real results'!C123)),1,0) + IF(UPPER(TRIM('Raw data'!BE118))=UPPER(TRIM('Real results'!C124)),1,0))&gt;=1,1,0),0),0)</f>
        <v>0</v>
      </c>
      <c r="BG121" s="29">
        <f>IFERROR(IF('Raw data'!BG118&lt;&gt;"",IF((IF(UPPER(TRIM('Raw data'!BG118))=UPPER(TRIM('Real results'!C117)),1,0) + IF(UPPER(TRIM('Raw data'!BG118))=UPPER(TRIM('Real results'!C118)),1,0) + IF(UPPER(TRIM('Raw data'!BG118))=UPPER(TRIM('Real results'!C119)),1,0) + IF(UPPER(TRIM('Raw data'!BG118))=UPPER(TRIM('Real results'!C120)),1,0) + IF(UPPER(TRIM('Raw data'!BG118))=UPPER(TRIM('Real results'!C121)),1,0) + IF(UPPER(TRIM('Raw data'!BG118))=UPPER(TRIM('Real results'!C122)),1,0) + IF(UPPER(TRIM('Raw data'!BG118))=UPPER(TRIM('Real results'!C123)),1,0) + IF(UPPER(TRIM('Raw data'!BG118))=UPPER(TRIM('Real results'!C124)),1,0))&gt;=1,1,0),0),0)</f>
        <v>0</v>
      </c>
      <c r="BI121" s="29">
        <f>IFERROR(IF('Raw data'!BI118&lt;&gt;"",IF((IF(UPPER(TRIM('Raw data'!BI118))=UPPER(TRIM('Real results'!C117)),1,0) + IF(UPPER(TRIM('Raw data'!BI118))=UPPER(TRIM('Real results'!C118)),1,0) + IF(UPPER(TRIM('Raw data'!BI118))=UPPER(TRIM('Real results'!C119)),1,0) + IF(UPPER(TRIM('Raw data'!BI118))=UPPER(TRIM('Real results'!C120)),1,0) + IF(UPPER(TRIM('Raw data'!BI118))=UPPER(TRIM('Real results'!C121)),1,0) + IF(UPPER(TRIM('Raw data'!BI118))=UPPER(TRIM('Real results'!C122)),1,0) + IF(UPPER(TRIM('Raw data'!BI118))=UPPER(TRIM('Real results'!C123)),1,0) + IF(UPPER(TRIM('Raw data'!BI118))=UPPER(TRIM('Real results'!C124)),1,0))&gt;=1,1,0),0),0)</f>
        <v>0</v>
      </c>
    </row>
    <row r="122" ht="18.0" customHeight="1">
      <c r="A122" s="1"/>
      <c r="B122" s="13" t="s">
        <v>403</v>
      </c>
      <c r="C122" s="29">
        <f>IFERROR(IF('Raw data'!C119&lt;&gt;"",IF((IF(UPPER(TRIM('Raw data'!C119))=UPPER(TRIM('Real results'!C117)),1,0) + IF(UPPER(TRIM('Raw data'!C119))=UPPER(TRIM('Real results'!C118)),1,0) + IF(UPPER(TRIM('Raw data'!C119))=UPPER(TRIM('Real results'!C119)),1,0) + IF(UPPER(TRIM('Raw data'!C119))=UPPER(TRIM('Real results'!C120)),1,0) + IF(UPPER(TRIM('Raw data'!C119))=UPPER(TRIM('Real results'!C121)),1,0) + IF(UPPER(TRIM('Raw data'!C119))=UPPER(TRIM('Real results'!C122)),1,0) + IF(UPPER(TRIM('Raw data'!C119))=UPPER(TRIM('Real results'!C123)),1,0) + IF(UPPER(TRIM('Raw data'!C119))=UPPER(TRIM('Real results'!C124)),1,0))&gt;=1,1,0),0),0)</f>
        <v>0</v>
      </c>
      <c r="E122" s="29">
        <f>IFERROR(IF('Raw data'!E119&lt;&gt;"",IF((IF(UPPER(TRIM('Raw data'!E119))=UPPER(TRIM('Real results'!C117)),1,0) + IF(UPPER(TRIM('Raw data'!E119))=UPPER(TRIM('Real results'!C118)),1,0) + IF(UPPER(TRIM('Raw data'!E119))=UPPER(TRIM('Real results'!C119)),1,0) + IF(UPPER(TRIM('Raw data'!E119))=UPPER(TRIM('Real results'!C120)),1,0) + IF(UPPER(TRIM('Raw data'!E119))=UPPER(TRIM('Real results'!C121)),1,0) + IF(UPPER(TRIM('Raw data'!E119))=UPPER(TRIM('Real results'!C122)),1,0) + IF(UPPER(TRIM('Raw data'!E119))=UPPER(TRIM('Real results'!C123)),1,0) + IF(UPPER(TRIM('Raw data'!E119))=UPPER(TRIM('Real results'!C124)),1,0))&gt;=1,1,0),0),0)</f>
        <v>0</v>
      </c>
      <c r="G122" s="29">
        <f>IFERROR(IF('Raw data'!G119&lt;&gt;"",IF((IF(UPPER(TRIM('Raw data'!G119))=UPPER(TRIM('Real results'!C117)),1,0) + IF(UPPER(TRIM('Raw data'!G119))=UPPER(TRIM('Real results'!C118)),1,0) + IF(UPPER(TRIM('Raw data'!G119))=UPPER(TRIM('Real results'!C119)),1,0) + IF(UPPER(TRIM('Raw data'!G119))=UPPER(TRIM('Real results'!C120)),1,0) + IF(UPPER(TRIM('Raw data'!G119))=UPPER(TRIM('Real results'!C121)),1,0) + IF(UPPER(TRIM('Raw data'!G119))=UPPER(TRIM('Real results'!C122)),1,0) + IF(UPPER(TRIM('Raw data'!G119))=UPPER(TRIM('Real results'!C123)),1,0) + IF(UPPER(TRIM('Raw data'!G119))=UPPER(TRIM('Real results'!C124)),1,0))&gt;=1,1,0),0),0)</f>
        <v>0</v>
      </c>
      <c r="I122" s="29">
        <f>IFERROR(IF('Raw data'!I119&lt;&gt;"",IF((IF(UPPER(TRIM('Raw data'!I119))=UPPER(TRIM('Real results'!C117)),1,0) + IF(UPPER(TRIM('Raw data'!I119))=UPPER(TRIM('Real results'!C118)),1,0) + IF(UPPER(TRIM('Raw data'!I119))=UPPER(TRIM('Real results'!C119)),1,0) + IF(UPPER(TRIM('Raw data'!I119))=UPPER(TRIM('Real results'!C120)),1,0) + IF(UPPER(TRIM('Raw data'!I119))=UPPER(TRIM('Real results'!C121)),1,0) + IF(UPPER(TRIM('Raw data'!I119))=UPPER(TRIM('Real results'!C122)),1,0) + IF(UPPER(TRIM('Raw data'!I119))=UPPER(TRIM('Real results'!C123)),1,0) + IF(UPPER(TRIM('Raw data'!I119))=UPPER(TRIM('Real results'!C124)),1,0))&gt;=1,1,0),0),0)</f>
        <v>0</v>
      </c>
      <c r="K122" s="29">
        <f>IFERROR(IF('Raw data'!K119&lt;&gt;"",IF((IF(UPPER(TRIM('Raw data'!K119))=UPPER(TRIM('Real results'!C117)),1,0) + IF(UPPER(TRIM('Raw data'!K119))=UPPER(TRIM('Real results'!C118)),1,0) + IF(UPPER(TRIM('Raw data'!K119))=UPPER(TRIM('Real results'!C119)),1,0) + IF(UPPER(TRIM('Raw data'!K119))=UPPER(TRIM('Real results'!C120)),1,0) + IF(UPPER(TRIM('Raw data'!K119))=UPPER(TRIM('Real results'!C121)),1,0) + IF(UPPER(TRIM('Raw data'!K119))=UPPER(TRIM('Real results'!C122)),1,0) + IF(UPPER(TRIM('Raw data'!K119))=UPPER(TRIM('Real results'!C123)),1,0) + IF(UPPER(TRIM('Raw data'!K119))=UPPER(TRIM('Real results'!C124)),1,0))&gt;=1,1,0),0),0)</f>
        <v>0</v>
      </c>
      <c r="M122" s="29">
        <f>IFERROR(IF('Raw data'!M119&lt;&gt;"",IF((IF(UPPER(TRIM('Raw data'!M119))=UPPER(TRIM('Real results'!C117)),1,0) + IF(UPPER(TRIM('Raw data'!M119))=UPPER(TRIM('Real results'!C118)),1,0) + IF(UPPER(TRIM('Raw data'!M119))=UPPER(TRIM('Real results'!C119)),1,0) + IF(UPPER(TRIM('Raw data'!M119))=UPPER(TRIM('Real results'!C120)),1,0) + IF(UPPER(TRIM('Raw data'!M119))=UPPER(TRIM('Real results'!C121)),1,0) + IF(UPPER(TRIM('Raw data'!M119))=UPPER(TRIM('Real results'!C122)),1,0) + IF(UPPER(TRIM('Raw data'!M119))=UPPER(TRIM('Real results'!C123)),1,0) + IF(UPPER(TRIM('Raw data'!M119))=UPPER(TRIM('Real results'!C124)),1,0))&gt;=1,1,0),0),0)</f>
        <v>0</v>
      </c>
      <c r="O122" s="29">
        <f>IFERROR(IF('Raw data'!O119&lt;&gt;"",IF((IF(UPPER(TRIM('Raw data'!O119))=UPPER(TRIM('Real results'!C117)),1,0) + IF(UPPER(TRIM('Raw data'!O119))=UPPER(TRIM('Real results'!C118)),1,0) + IF(UPPER(TRIM('Raw data'!O119))=UPPER(TRIM('Real results'!C119)),1,0) + IF(UPPER(TRIM('Raw data'!O119))=UPPER(TRIM('Real results'!C120)),1,0) + IF(UPPER(TRIM('Raw data'!O119))=UPPER(TRIM('Real results'!C121)),1,0) + IF(UPPER(TRIM('Raw data'!O119))=UPPER(TRIM('Real results'!C122)),1,0) + IF(UPPER(TRIM('Raw data'!O119))=UPPER(TRIM('Real results'!C123)),1,0) + IF(UPPER(TRIM('Raw data'!O119))=UPPER(TRIM('Real results'!C124)),1,0))&gt;=1,1,0),0),0)</f>
        <v>0</v>
      </c>
      <c r="Q122" s="29">
        <f>IFERROR(IF('Raw data'!Q119&lt;&gt;"",IF((IF(UPPER(TRIM('Raw data'!Q119))=UPPER(TRIM('Real results'!C117)),1,0) + IF(UPPER(TRIM('Raw data'!Q119))=UPPER(TRIM('Real results'!C118)),1,0) + IF(UPPER(TRIM('Raw data'!Q119))=UPPER(TRIM('Real results'!C119)),1,0) + IF(UPPER(TRIM('Raw data'!Q119))=UPPER(TRIM('Real results'!C120)),1,0) + IF(UPPER(TRIM('Raw data'!Q119))=UPPER(TRIM('Real results'!C121)),1,0) + IF(UPPER(TRIM('Raw data'!Q119))=UPPER(TRIM('Real results'!C122)),1,0) + IF(UPPER(TRIM('Raw data'!Q119))=UPPER(TRIM('Real results'!C123)),1,0) + IF(UPPER(TRIM('Raw data'!Q119))=UPPER(TRIM('Real results'!C124)),1,0))&gt;=1,1,0),0),0)</f>
        <v>0</v>
      </c>
      <c r="S122" s="29">
        <f>IFERROR(IF('Raw data'!S119&lt;&gt;"",IF((IF(UPPER(TRIM('Raw data'!S119))=UPPER(TRIM('Real results'!C117)),1,0) + IF(UPPER(TRIM('Raw data'!S119))=UPPER(TRIM('Real results'!C118)),1,0) + IF(UPPER(TRIM('Raw data'!S119))=UPPER(TRIM('Real results'!C119)),1,0) + IF(UPPER(TRIM('Raw data'!S119))=UPPER(TRIM('Real results'!C120)),1,0) + IF(UPPER(TRIM('Raw data'!S119))=UPPER(TRIM('Real results'!C121)),1,0) + IF(UPPER(TRIM('Raw data'!S119))=UPPER(TRIM('Real results'!C122)),1,0) + IF(UPPER(TRIM('Raw data'!S119))=UPPER(TRIM('Real results'!C123)),1,0) + IF(UPPER(TRIM('Raw data'!S119))=UPPER(TRIM('Real results'!C124)),1,0))&gt;=1,1,0),0),0)</f>
        <v>0</v>
      </c>
      <c r="U122" s="29">
        <f>IFERROR(IF('Raw data'!U119&lt;&gt;"",IF((IF(UPPER(TRIM('Raw data'!U119))=UPPER(TRIM('Real results'!C117)),1,0) + IF(UPPER(TRIM('Raw data'!U119))=UPPER(TRIM('Real results'!C118)),1,0) + IF(UPPER(TRIM('Raw data'!U119))=UPPER(TRIM('Real results'!C119)),1,0) + IF(UPPER(TRIM('Raw data'!U119))=UPPER(TRIM('Real results'!C120)),1,0) + IF(UPPER(TRIM('Raw data'!U119))=UPPER(TRIM('Real results'!C121)),1,0) + IF(UPPER(TRIM('Raw data'!U119))=UPPER(TRIM('Real results'!C122)),1,0) + IF(UPPER(TRIM('Raw data'!U119))=UPPER(TRIM('Real results'!C123)),1,0) + IF(UPPER(TRIM('Raw data'!U119))=UPPER(TRIM('Real results'!C124)),1,0))&gt;=1,1,0),0),0)</f>
        <v>0</v>
      </c>
      <c r="W122" s="29">
        <f>IFERROR(IF('Raw data'!W119&lt;&gt;"",IF((IF(UPPER(TRIM('Raw data'!W119))=UPPER(TRIM('Real results'!C117)),1,0) + IF(UPPER(TRIM('Raw data'!W119))=UPPER(TRIM('Real results'!C118)),1,0) + IF(UPPER(TRIM('Raw data'!W119))=UPPER(TRIM('Real results'!C119)),1,0) + IF(UPPER(TRIM('Raw data'!W119))=UPPER(TRIM('Real results'!C120)),1,0) + IF(UPPER(TRIM('Raw data'!W119))=UPPER(TRIM('Real results'!C121)),1,0) + IF(UPPER(TRIM('Raw data'!W119))=UPPER(TRIM('Real results'!C122)),1,0) + IF(UPPER(TRIM('Raw data'!W119))=UPPER(TRIM('Real results'!C123)),1,0) + IF(UPPER(TRIM('Raw data'!W119))=UPPER(TRIM('Real results'!C124)),1,0))&gt;=1,1,0),0),0)</f>
        <v>0</v>
      </c>
      <c r="Y122" s="29">
        <f>IFERROR(IF('Raw data'!Y119&lt;&gt;"",IF((IF(UPPER(TRIM('Raw data'!Y119))=UPPER(TRIM('Real results'!C117)),1,0) + IF(UPPER(TRIM('Raw data'!Y119))=UPPER(TRIM('Real results'!C118)),1,0) + IF(UPPER(TRIM('Raw data'!Y119))=UPPER(TRIM('Real results'!C119)),1,0) + IF(UPPER(TRIM('Raw data'!Y119))=UPPER(TRIM('Real results'!C120)),1,0) + IF(UPPER(TRIM('Raw data'!Y119))=UPPER(TRIM('Real results'!C121)),1,0) + IF(UPPER(TRIM('Raw data'!Y119))=UPPER(TRIM('Real results'!C122)),1,0) + IF(UPPER(TRIM('Raw data'!Y119))=UPPER(TRIM('Real results'!C123)),1,0) + IF(UPPER(TRIM('Raw data'!Y119))=UPPER(TRIM('Real results'!C124)),1,0))&gt;=1,1,0),0),0)</f>
        <v>0</v>
      </c>
      <c r="AA122" s="29">
        <f>IFERROR(IF('Raw data'!AA119&lt;&gt;"",IF((IF(UPPER(TRIM('Raw data'!AA119))=UPPER(TRIM('Real results'!C117)),1,0) + IF(UPPER(TRIM('Raw data'!AA119))=UPPER(TRIM('Real results'!C118)),1,0) + IF(UPPER(TRIM('Raw data'!AA119))=UPPER(TRIM('Real results'!C119)),1,0) + IF(UPPER(TRIM('Raw data'!AA119))=UPPER(TRIM('Real results'!C120)),1,0) + IF(UPPER(TRIM('Raw data'!AA119))=UPPER(TRIM('Real results'!C121)),1,0) + IF(UPPER(TRIM('Raw data'!AA119))=UPPER(TRIM('Real results'!C122)),1,0) + IF(UPPER(TRIM('Raw data'!AA119))=UPPER(TRIM('Real results'!C123)),1,0) + IF(UPPER(TRIM('Raw data'!AA119))=UPPER(TRIM('Real results'!C124)),1,0))&gt;=1,1,0),0),0)</f>
        <v>0</v>
      </c>
      <c r="AC122" s="29">
        <f>IFERROR(IF('Raw data'!AC119&lt;&gt;"",IF((IF(UPPER(TRIM('Raw data'!AC119))=UPPER(TRIM('Real results'!C117)),1,0) + IF(UPPER(TRIM('Raw data'!AC119))=UPPER(TRIM('Real results'!C118)),1,0) + IF(UPPER(TRIM('Raw data'!AC119))=UPPER(TRIM('Real results'!C119)),1,0) + IF(UPPER(TRIM('Raw data'!AC119))=UPPER(TRIM('Real results'!C120)),1,0) + IF(UPPER(TRIM('Raw data'!AC119))=UPPER(TRIM('Real results'!C121)),1,0) + IF(UPPER(TRIM('Raw data'!AC119))=UPPER(TRIM('Real results'!C122)),1,0) + IF(UPPER(TRIM('Raw data'!AC119))=UPPER(TRIM('Real results'!C123)),1,0) + IF(UPPER(TRIM('Raw data'!AC119))=UPPER(TRIM('Real results'!C124)),1,0))&gt;=1,1,0),0),0)</f>
        <v>0</v>
      </c>
      <c r="AE122" s="29">
        <f>IFERROR(IF('Raw data'!AE119&lt;&gt;"",IF((IF(UPPER(TRIM('Raw data'!AE119))=UPPER(TRIM('Real results'!C117)),1,0) + IF(UPPER(TRIM('Raw data'!AE119))=UPPER(TRIM('Real results'!C118)),1,0) + IF(UPPER(TRIM('Raw data'!AE119))=UPPER(TRIM('Real results'!C119)),1,0) + IF(UPPER(TRIM('Raw data'!AE119))=UPPER(TRIM('Real results'!C120)),1,0) + IF(UPPER(TRIM('Raw data'!AE119))=UPPER(TRIM('Real results'!C121)),1,0) + IF(UPPER(TRIM('Raw data'!AE119))=UPPER(TRIM('Real results'!C122)),1,0) + IF(UPPER(TRIM('Raw data'!AE119))=UPPER(TRIM('Real results'!C123)),1,0) + IF(UPPER(TRIM('Raw data'!AE119))=UPPER(TRIM('Real results'!C124)),1,0))&gt;=1,1,0),0),0)</f>
        <v>0</v>
      </c>
      <c r="AG122" s="29">
        <f>IFERROR(IF('Raw data'!AG119&lt;&gt;"",IF((IF(UPPER(TRIM('Raw data'!AG119))=UPPER(TRIM('Real results'!C117)),1,0) + IF(UPPER(TRIM('Raw data'!AG119))=UPPER(TRIM('Real results'!C118)),1,0) + IF(UPPER(TRIM('Raw data'!AG119))=UPPER(TRIM('Real results'!C119)),1,0) + IF(UPPER(TRIM('Raw data'!AG119))=UPPER(TRIM('Real results'!C120)),1,0) + IF(UPPER(TRIM('Raw data'!AG119))=UPPER(TRIM('Real results'!C121)),1,0) + IF(UPPER(TRIM('Raw data'!AG119))=UPPER(TRIM('Real results'!C122)),1,0) + IF(UPPER(TRIM('Raw data'!AG119))=UPPER(TRIM('Real results'!C123)),1,0) + IF(UPPER(TRIM('Raw data'!AG119))=UPPER(TRIM('Real results'!C124)),1,0))&gt;=1,1,0),0),0)</f>
        <v>0</v>
      </c>
      <c r="AI122" s="29">
        <f>IFERROR(IF('Raw data'!AI119&lt;&gt;"",IF((IF(UPPER(TRIM('Raw data'!AI119))=UPPER(TRIM('Real results'!C117)),1,0) + IF(UPPER(TRIM('Raw data'!AI119))=UPPER(TRIM('Real results'!C118)),1,0) + IF(UPPER(TRIM('Raw data'!AI119))=UPPER(TRIM('Real results'!C119)),1,0) + IF(UPPER(TRIM('Raw data'!AI119))=UPPER(TRIM('Real results'!C120)),1,0) + IF(UPPER(TRIM('Raw data'!AI119))=UPPER(TRIM('Real results'!C121)),1,0) + IF(UPPER(TRIM('Raw data'!AI119))=UPPER(TRIM('Real results'!C122)),1,0) + IF(UPPER(TRIM('Raw data'!AI119))=UPPER(TRIM('Real results'!C123)),1,0) + IF(UPPER(TRIM('Raw data'!AI119))=UPPER(TRIM('Real results'!C124)),1,0))&gt;=1,1,0),0),0)</f>
        <v>0</v>
      </c>
      <c r="AK122" s="29">
        <f>IFERROR(IF('Raw data'!AK119&lt;&gt;"",IF((IF(UPPER(TRIM('Raw data'!AK119))=UPPER(TRIM('Real results'!C117)),1,0) + IF(UPPER(TRIM('Raw data'!AK119))=UPPER(TRIM('Real results'!C118)),1,0) + IF(UPPER(TRIM('Raw data'!AK119))=UPPER(TRIM('Real results'!C119)),1,0) + IF(UPPER(TRIM('Raw data'!AK119))=UPPER(TRIM('Real results'!C120)),1,0) + IF(UPPER(TRIM('Raw data'!AK119))=UPPER(TRIM('Real results'!C121)),1,0) + IF(UPPER(TRIM('Raw data'!AK119))=UPPER(TRIM('Real results'!C122)),1,0) + IF(UPPER(TRIM('Raw data'!AK119))=UPPER(TRIM('Real results'!C123)),1,0) + IF(UPPER(TRIM('Raw data'!AK119))=UPPER(TRIM('Real results'!C124)),1,0))&gt;=1,1,0),0),0)</f>
        <v>0</v>
      </c>
      <c r="AM122" s="29">
        <f>IFERROR(IF('Raw data'!AM119&lt;&gt;"",IF((IF(UPPER(TRIM('Raw data'!AM119))=UPPER(TRIM('Real results'!C117)),1,0) + IF(UPPER(TRIM('Raw data'!AM119))=UPPER(TRIM('Real results'!C118)),1,0) + IF(UPPER(TRIM('Raw data'!AM119))=UPPER(TRIM('Real results'!C119)),1,0) + IF(UPPER(TRIM('Raw data'!AM119))=UPPER(TRIM('Real results'!C120)),1,0) + IF(UPPER(TRIM('Raw data'!AM119))=UPPER(TRIM('Real results'!C121)),1,0) + IF(UPPER(TRIM('Raw data'!AM119))=UPPER(TRIM('Real results'!C122)),1,0) + IF(UPPER(TRIM('Raw data'!AM119))=UPPER(TRIM('Real results'!C123)),1,0) + IF(UPPER(TRIM('Raw data'!AM119))=UPPER(TRIM('Real results'!C124)),1,0))&gt;=1,1,0),0),0)</f>
        <v>0</v>
      </c>
      <c r="AO122" s="29">
        <f>IFERROR(IF('Raw data'!AO119&lt;&gt;"",IF((IF(UPPER(TRIM('Raw data'!AO119))=UPPER(TRIM('Real results'!C117)),1,0) + IF(UPPER(TRIM('Raw data'!AO119))=UPPER(TRIM('Real results'!C118)),1,0) + IF(UPPER(TRIM('Raw data'!AO119))=UPPER(TRIM('Real results'!C119)),1,0) + IF(UPPER(TRIM('Raw data'!AO119))=UPPER(TRIM('Real results'!C120)),1,0) + IF(UPPER(TRIM('Raw data'!AO119))=UPPER(TRIM('Real results'!C121)),1,0) + IF(UPPER(TRIM('Raw data'!AO119))=UPPER(TRIM('Real results'!C122)),1,0) + IF(UPPER(TRIM('Raw data'!AO119))=UPPER(TRIM('Real results'!C123)),1,0) + IF(UPPER(TRIM('Raw data'!AO119))=UPPER(TRIM('Real results'!C124)),1,0))&gt;=1,1,0),0),0)</f>
        <v>0</v>
      </c>
      <c r="AQ122" s="29">
        <f>IFERROR(IF('Raw data'!AQ119&lt;&gt;"",IF((IF(UPPER(TRIM('Raw data'!AQ119))=UPPER(TRIM('Real results'!C117)),1,0) + IF(UPPER(TRIM('Raw data'!AQ119))=UPPER(TRIM('Real results'!C118)),1,0) + IF(UPPER(TRIM('Raw data'!AQ119))=UPPER(TRIM('Real results'!C119)),1,0) + IF(UPPER(TRIM('Raw data'!AQ119))=UPPER(TRIM('Real results'!C120)),1,0) + IF(UPPER(TRIM('Raw data'!AQ119))=UPPER(TRIM('Real results'!C121)),1,0) + IF(UPPER(TRIM('Raw data'!AQ119))=UPPER(TRIM('Real results'!C122)),1,0) + IF(UPPER(TRIM('Raw data'!AQ119))=UPPER(TRIM('Real results'!C123)),1,0) + IF(UPPER(TRIM('Raw data'!AQ119))=UPPER(TRIM('Real results'!C124)),1,0))&gt;=1,1,0),0),0)</f>
        <v>0</v>
      </c>
      <c r="AS122" s="29">
        <f>IFERROR(IF('Raw data'!AS119&lt;&gt;"",IF((IF(UPPER(TRIM('Raw data'!AS119))=UPPER(TRIM('Real results'!C117)),1,0) + IF(UPPER(TRIM('Raw data'!AS119))=UPPER(TRIM('Real results'!C118)),1,0) + IF(UPPER(TRIM('Raw data'!AS119))=UPPER(TRIM('Real results'!C119)),1,0) + IF(UPPER(TRIM('Raw data'!AS119))=UPPER(TRIM('Real results'!C120)),1,0) + IF(UPPER(TRIM('Raw data'!AS119))=UPPER(TRIM('Real results'!C121)),1,0) + IF(UPPER(TRIM('Raw data'!AS119))=UPPER(TRIM('Real results'!C122)),1,0) + IF(UPPER(TRIM('Raw data'!AS119))=UPPER(TRIM('Real results'!C123)),1,0) + IF(UPPER(TRIM('Raw data'!AS119))=UPPER(TRIM('Real results'!C124)),1,0))&gt;=1,1,0),0),0)</f>
        <v>0</v>
      </c>
      <c r="AU122" s="29">
        <f>IFERROR(IF('Raw data'!AU119&lt;&gt;"",IF((IF(UPPER(TRIM('Raw data'!AU119))=UPPER(TRIM('Real results'!C117)),1,0) + IF(UPPER(TRIM('Raw data'!AU119))=UPPER(TRIM('Real results'!C118)),1,0) + IF(UPPER(TRIM('Raw data'!AU119))=UPPER(TRIM('Real results'!C119)),1,0) + IF(UPPER(TRIM('Raw data'!AU119))=UPPER(TRIM('Real results'!C120)),1,0) + IF(UPPER(TRIM('Raw data'!AU119))=UPPER(TRIM('Real results'!C121)),1,0) + IF(UPPER(TRIM('Raw data'!AU119))=UPPER(TRIM('Real results'!C122)),1,0) + IF(UPPER(TRIM('Raw data'!AU119))=UPPER(TRIM('Real results'!C123)),1,0) + IF(UPPER(TRIM('Raw data'!AU119))=UPPER(TRIM('Real results'!C124)),1,0))&gt;=1,1,0),0),0)</f>
        <v>0</v>
      </c>
      <c r="AW122" s="29">
        <f>IFERROR(IF('Raw data'!AW119&lt;&gt;"",IF((IF(UPPER(TRIM('Raw data'!AW119))=UPPER(TRIM('Real results'!C117)),1,0) + IF(UPPER(TRIM('Raw data'!AW119))=UPPER(TRIM('Real results'!C118)),1,0) + IF(UPPER(TRIM('Raw data'!AW119))=UPPER(TRIM('Real results'!C119)),1,0) + IF(UPPER(TRIM('Raw data'!AW119))=UPPER(TRIM('Real results'!C120)),1,0) + IF(UPPER(TRIM('Raw data'!AW119))=UPPER(TRIM('Real results'!C121)),1,0) + IF(UPPER(TRIM('Raw data'!AW119))=UPPER(TRIM('Real results'!C122)),1,0) + IF(UPPER(TRIM('Raw data'!AW119))=UPPER(TRIM('Real results'!C123)),1,0) + IF(UPPER(TRIM('Raw data'!AW119))=UPPER(TRIM('Real results'!C124)),1,0))&gt;=1,1,0),0),0)</f>
        <v>0</v>
      </c>
      <c r="AY122" s="29">
        <f>IFERROR(IF('Raw data'!AY119&lt;&gt;"",IF((IF(UPPER(TRIM('Raw data'!AY119))=UPPER(TRIM('Real results'!C117)),1,0) + IF(UPPER(TRIM('Raw data'!AY119))=UPPER(TRIM('Real results'!C118)),1,0) + IF(UPPER(TRIM('Raw data'!AY119))=UPPER(TRIM('Real results'!C119)),1,0) + IF(UPPER(TRIM('Raw data'!AY119))=UPPER(TRIM('Real results'!C120)),1,0) + IF(UPPER(TRIM('Raw data'!AY119))=UPPER(TRIM('Real results'!C121)),1,0) + IF(UPPER(TRIM('Raw data'!AY119))=UPPER(TRIM('Real results'!C122)),1,0) + IF(UPPER(TRIM('Raw data'!AY119))=UPPER(TRIM('Real results'!C123)),1,0) + IF(UPPER(TRIM('Raw data'!AY119))=UPPER(TRIM('Real results'!C124)),1,0))&gt;=1,1,0),0),0)</f>
        <v>0</v>
      </c>
      <c r="BA122" s="29">
        <f>IFERROR(IF('Raw data'!BA119&lt;&gt;"",IF((IF(UPPER(TRIM('Raw data'!BA119))=UPPER(TRIM('Real results'!C117)),1,0) + IF(UPPER(TRIM('Raw data'!BA119))=UPPER(TRIM('Real results'!C118)),1,0) + IF(UPPER(TRIM('Raw data'!BA119))=UPPER(TRIM('Real results'!C119)),1,0) + IF(UPPER(TRIM('Raw data'!BA119))=UPPER(TRIM('Real results'!C120)),1,0) + IF(UPPER(TRIM('Raw data'!BA119))=UPPER(TRIM('Real results'!C121)),1,0) + IF(UPPER(TRIM('Raw data'!BA119))=UPPER(TRIM('Real results'!C122)),1,0) + IF(UPPER(TRIM('Raw data'!BA119))=UPPER(TRIM('Real results'!C123)),1,0) + IF(UPPER(TRIM('Raw data'!BA119))=UPPER(TRIM('Real results'!C124)),1,0))&gt;=1,1,0),0),0)</f>
        <v>0</v>
      </c>
      <c r="BC122" s="29">
        <f>IFERROR(IF('Raw data'!BC119&lt;&gt;"",IF((IF(UPPER(TRIM('Raw data'!BC119))=UPPER(TRIM('Real results'!C117)),1,0) + IF(UPPER(TRIM('Raw data'!BC119))=UPPER(TRIM('Real results'!C118)),1,0) + IF(UPPER(TRIM('Raw data'!BC119))=UPPER(TRIM('Real results'!C119)),1,0) + IF(UPPER(TRIM('Raw data'!BC119))=UPPER(TRIM('Real results'!C120)),1,0) + IF(UPPER(TRIM('Raw data'!BC119))=UPPER(TRIM('Real results'!C121)),1,0) + IF(UPPER(TRIM('Raw data'!BC119))=UPPER(TRIM('Real results'!C122)),1,0) + IF(UPPER(TRIM('Raw data'!BC119))=UPPER(TRIM('Real results'!C123)),1,0) + IF(UPPER(TRIM('Raw data'!BC119))=UPPER(TRIM('Real results'!C124)),1,0))&gt;=1,1,0),0),0)</f>
        <v>0</v>
      </c>
      <c r="BE122" s="29">
        <f>IFERROR(IF('Raw data'!BE119&lt;&gt;"",IF((IF(UPPER(TRIM('Raw data'!BE119))=UPPER(TRIM('Real results'!C117)),1,0) + IF(UPPER(TRIM('Raw data'!BE119))=UPPER(TRIM('Real results'!C118)),1,0) + IF(UPPER(TRIM('Raw data'!BE119))=UPPER(TRIM('Real results'!C119)),1,0) + IF(UPPER(TRIM('Raw data'!BE119))=UPPER(TRIM('Real results'!C120)),1,0) + IF(UPPER(TRIM('Raw data'!BE119))=UPPER(TRIM('Real results'!C121)),1,0) + IF(UPPER(TRIM('Raw data'!BE119))=UPPER(TRIM('Real results'!C122)),1,0) + IF(UPPER(TRIM('Raw data'!BE119))=UPPER(TRIM('Real results'!C123)),1,0) + IF(UPPER(TRIM('Raw data'!BE119))=UPPER(TRIM('Real results'!C124)),1,0))&gt;=1,1,0),0),0)</f>
        <v>0</v>
      </c>
      <c r="BG122" s="29">
        <f>IFERROR(IF('Raw data'!BG119&lt;&gt;"",IF((IF(UPPER(TRIM('Raw data'!BG119))=UPPER(TRIM('Real results'!C117)),1,0) + IF(UPPER(TRIM('Raw data'!BG119))=UPPER(TRIM('Real results'!C118)),1,0) + IF(UPPER(TRIM('Raw data'!BG119))=UPPER(TRIM('Real results'!C119)),1,0) + IF(UPPER(TRIM('Raw data'!BG119))=UPPER(TRIM('Real results'!C120)),1,0) + IF(UPPER(TRIM('Raw data'!BG119))=UPPER(TRIM('Real results'!C121)),1,0) + IF(UPPER(TRIM('Raw data'!BG119))=UPPER(TRIM('Real results'!C122)),1,0) + IF(UPPER(TRIM('Raw data'!BG119))=UPPER(TRIM('Real results'!C123)),1,0) + IF(UPPER(TRIM('Raw data'!BG119))=UPPER(TRIM('Real results'!C124)),1,0))&gt;=1,1,0),0),0)</f>
        <v>0</v>
      </c>
      <c r="BI122" s="29">
        <f>IFERROR(IF('Raw data'!BI119&lt;&gt;"",IF((IF(UPPER(TRIM('Raw data'!BI119))=UPPER(TRIM('Real results'!C117)),1,0) + IF(UPPER(TRIM('Raw data'!BI119))=UPPER(TRIM('Real results'!C118)),1,0) + IF(UPPER(TRIM('Raw data'!BI119))=UPPER(TRIM('Real results'!C119)),1,0) + IF(UPPER(TRIM('Raw data'!BI119))=UPPER(TRIM('Real results'!C120)),1,0) + IF(UPPER(TRIM('Raw data'!BI119))=UPPER(TRIM('Real results'!C121)),1,0) + IF(UPPER(TRIM('Raw data'!BI119))=UPPER(TRIM('Real results'!C122)),1,0) + IF(UPPER(TRIM('Raw data'!BI119))=UPPER(TRIM('Real results'!C123)),1,0) + IF(UPPER(TRIM('Raw data'!BI119))=UPPER(TRIM('Real results'!C124)),1,0))&gt;=1,1,0),0),0)</f>
        <v>0</v>
      </c>
    </row>
    <row r="123" ht="18.0" customHeight="1">
      <c r="A123" s="1"/>
      <c r="B123" s="13" t="s">
        <v>404</v>
      </c>
      <c r="C123" s="29">
        <f>IFERROR(IF('Raw data'!C120&lt;&gt;"",IF((IF(UPPER(TRIM('Raw data'!C120))=UPPER(TRIM('Real results'!C117)),1,0) + IF(UPPER(TRIM('Raw data'!C120))=UPPER(TRIM('Real results'!C118)),1,0) + IF(UPPER(TRIM('Raw data'!C120))=UPPER(TRIM('Real results'!C119)),1,0) + IF(UPPER(TRIM('Raw data'!C120))=UPPER(TRIM('Real results'!C120)),1,0) + IF(UPPER(TRIM('Raw data'!C120))=UPPER(TRIM('Real results'!C121)),1,0) + IF(UPPER(TRIM('Raw data'!C120))=UPPER(TRIM('Real results'!C122)),1,0) + IF(UPPER(TRIM('Raw data'!C120))=UPPER(TRIM('Real results'!C123)),1,0) + IF(UPPER(TRIM('Raw data'!C120))=UPPER(TRIM('Real results'!C124)),1,0))&gt;=1,1,0),0),0)</f>
        <v>0</v>
      </c>
      <c r="E123" s="29">
        <f>IFERROR(IF('Raw data'!E120&lt;&gt;"",IF((IF(UPPER(TRIM('Raw data'!E120))=UPPER(TRIM('Real results'!C117)),1,0) + IF(UPPER(TRIM('Raw data'!E120))=UPPER(TRIM('Real results'!C118)),1,0) + IF(UPPER(TRIM('Raw data'!E120))=UPPER(TRIM('Real results'!C119)),1,0) + IF(UPPER(TRIM('Raw data'!E120))=UPPER(TRIM('Real results'!C120)),1,0) + IF(UPPER(TRIM('Raw data'!E120))=UPPER(TRIM('Real results'!C121)),1,0) + IF(UPPER(TRIM('Raw data'!E120))=UPPER(TRIM('Real results'!C122)),1,0) + IF(UPPER(TRIM('Raw data'!E120))=UPPER(TRIM('Real results'!C123)),1,0) + IF(UPPER(TRIM('Raw data'!E120))=UPPER(TRIM('Real results'!C124)),1,0))&gt;=1,1,0),0),0)</f>
        <v>0</v>
      </c>
      <c r="G123" s="29">
        <f>IFERROR(IF('Raw data'!G120&lt;&gt;"",IF((IF(UPPER(TRIM('Raw data'!G120))=UPPER(TRIM('Real results'!C117)),1,0) + IF(UPPER(TRIM('Raw data'!G120))=UPPER(TRIM('Real results'!C118)),1,0) + IF(UPPER(TRIM('Raw data'!G120))=UPPER(TRIM('Real results'!C119)),1,0) + IF(UPPER(TRIM('Raw data'!G120))=UPPER(TRIM('Real results'!C120)),1,0) + IF(UPPER(TRIM('Raw data'!G120))=UPPER(TRIM('Real results'!C121)),1,0) + IF(UPPER(TRIM('Raw data'!G120))=UPPER(TRIM('Real results'!C122)),1,0) + IF(UPPER(TRIM('Raw data'!G120))=UPPER(TRIM('Real results'!C123)),1,0) + IF(UPPER(TRIM('Raw data'!G120))=UPPER(TRIM('Real results'!C124)),1,0))&gt;=1,1,0),0),0)</f>
        <v>0</v>
      </c>
      <c r="I123" s="29">
        <f>IFERROR(IF('Raw data'!I120&lt;&gt;"",IF((IF(UPPER(TRIM('Raw data'!I120))=UPPER(TRIM('Real results'!C117)),1,0) + IF(UPPER(TRIM('Raw data'!I120))=UPPER(TRIM('Real results'!C118)),1,0) + IF(UPPER(TRIM('Raw data'!I120))=UPPER(TRIM('Real results'!C119)),1,0) + IF(UPPER(TRIM('Raw data'!I120))=UPPER(TRIM('Real results'!C120)),1,0) + IF(UPPER(TRIM('Raw data'!I120))=UPPER(TRIM('Real results'!C121)),1,0) + IF(UPPER(TRIM('Raw data'!I120))=UPPER(TRIM('Real results'!C122)),1,0) + IF(UPPER(TRIM('Raw data'!I120))=UPPER(TRIM('Real results'!C123)),1,0) + IF(UPPER(TRIM('Raw data'!I120))=UPPER(TRIM('Real results'!C124)),1,0))&gt;=1,1,0),0),0)</f>
        <v>0</v>
      </c>
      <c r="K123" s="29">
        <f>IFERROR(IF('Raw data'!K120&lt;&gt;"",IF((IF(UPPER(TRIM('Raw data'!K120))=UPPER(TRIM('Real results'!C117)),1,0) + IF(UPPER(TRIM('Raw data'!K120))=UPPER(TRIM('Real results'!C118)),1,0) + IF(UPPER(TRIM('Raw data'!K120))=UPPER(TRIM('Real results'!C119)),1,0) + IF(UPPER(TRIM('Raw data'!K120))=UPPER(TRIM('Real results'!C120)),1,0) + IF(UPPER(TRIM('Raw data'!K120))=UPPER(TRIM('Real results'!C121)),1,0) + IF(UPPER(TRIM('Raw data'!K120))=UPPER(TRIM('Real results'!C122)),1,0) + IF(UPPER(TRIM('Raw data'!K120))=UPPER(TRIM('Real results'!C123)),1,0) + IF(UPPER(TRIM('Raw data'!K120))=UPPER(TRIM('Real results'!C124)),1,0))&gt;=1,1,0),0),0)</f>
        <v>0</v>
      </c>
      <c r="M123" s="29">
        <f>IFERROR(IF('Raw data'!M120&lt;&gt;"",IF((IF(UPPER(TRIM('Raw data'!M120))=UPPER(TRIM('Real results'!C117)),1,0) + IF(UPPER(TRIM('Raw data'!M120))=UPPER(TRIM('Real results'!C118)),1,0) + IF(UPPER(TRIM('Raw data'!M120))=UPPER(TRIM('Real results'!C119)),1,0) + IF(UPPER(TRIM('Raw data'!M120))=UPPER(TRIM('Real results'!C120)),1,0) + IF(UPPER(TRIM('Raw data'!M120))=UPPER(TRIM('Real results'!C121)),1,0) + IF(UPPER(TRIM('Raw data'!M120))=UPPER(TRIM('Real results'!C122)),1,0) + IF(UPPER(TRIM('Raw data'!M120))=UPPER(TRIM('Real results'!C123)),1,0) + IF(UPPER(TRIM('Raw data'!M120))=UPPER(TRIM('Real results'!C124)),1,0))&gt;=1,1,0),0),0)</f>
        <v>0</v>
      </c>
      <c r="O123" s="29">
        <f>IFERROR(IF('Raw data'!O120&lt;&gt;"",IF((IF(UPPER(TRIM('Raw data'!O120))=UPPER(TRIM('Real results'!C117)),1,0) + IF(UPPER(TRIM('Raw data'!O120))=UPPER(TRIM('Real results'!C118)),1,0) + IF(UPPER(TRIM('Raw data'!O120))=UPPER(TRIM('Real results'!C119)),1,0) + IF(UPPER(TRIM('Raw data'!O120))=UPPER(TRIM('Real results'!C120)),1,0) + IF(UPPER(TRIM('Raw data'!O120))=UPPER(TRIM('Real results'!C121)),1,0) + IF(UPPER(TRIM('Raw data'!O120))=UPPER(TRIM('Real results'!C122)),1,0) + IF(UPPER(TRIM('Raw data'!O120))=UPPER(TRIM('Real results'!C123)),1,0) + IF(UPPER(TRIM('Raw data'!O120))=UPPER(TRIM('Real results'!C124)),1,0))&gt;=1,1,0),0),0)</f>
        <v>0</v>
      </c>
      <c r="Q123" s="29">
        <f>IFERROR(IF('Raw data'!Q120&lt;&gt;"",IF((IF(UPPER(TRIM('Raw data'!Q120))=UPPER(TRIM('Real results'!C117)),1,0) + IF(UPPER(TRIM('Raw data'!Q120))=UPPER(TRIM('Real results'!C118)),1,0) + IF(UPPER(TRIM('Raw data'!Q120))=UPPER(TRIM('Real results'!C119)),1,0) + IF(UPPER(TRIM('Raw data'!Q120))=UPPER(TRIM('Real results'!C120)),1,0) + IF(UPPER(TRIM('Raw data'!Q120))=UPPER(TRIM('Real results'!C121)),1,0) + IF(UPPER(TRIM('Raw data'!Q120))=UPPER(TRIM('Real results'!C122)),1,0) + IF(UPPER(TRIM('Raw data'!Q120))=UPPER(TRIM('Real results'!C123)),1,0) + IF(UPPER(TRIM('Raw data'!Q120))=UPPER(TRIM('Real results'!C124)),1,0))&gt;=1,1,0),0),0)</f>
        <v>0</v>
      </c>
      <c r="S123" s="29">
        <f>IFERROR(IF('Raw data'!S120&lt;&gt;"",IF((IF(UPPER(TRIM('Raw data'!S120))=UPPER(TRIM('Real results'!C117)),1,0) + IF(UPPER(TRIM('Raw data'!S120))=UPPER(TRIM('Real results'!C118)),1,0) + IF(UPPER(TRIM('Raw data'!S120))=UPPER(TRIM('Real results'!C119)),1,0) + IF(UPPER(TRIM('Raw data'!S120))=UPPER(TRIM('Real results'!C120)),1,0) + IF(UPPER(TRIM('Raw data'!S120))=UPPER(TRIM('Real results'!C121)),1,0) + IF(UPPER(TRIM('Raw data'!S120))=UPPER(TRIM('Real results'!C122)),1,0) + IF(UPPER(TRIM('Raw data'!S120))=UPPER(TRIM('Real results'!C123)),1,0) + IF(UPPER(TRIM('Raw data'!S120))=UPPER(TRIM('Real results'!C124)),1,0))&gt;=1,1,0),0),0)</f>
        <v>0</v>
      </c>
      <c r="U123" s="29">
        <f>IFERROR(IF('Raw data'!U120&lt;&gt;"",IF((IF(UPPER(TRIM('Raw data'!U120))=UPPER(TRIM('Real results'!C117)),1,0) + IF(UPPER(TRIM('Raw data'!U120))=UPPER(TRIM('Real results'!C118)),1,0) + IF(UPPER(TRIM('Raw data'!U120))=UPPER(TRIM('Real results'!C119)),1,0) + IF(UPPER(TRIM('Raw data'!U120))=UPPER(TRIM('Real results'!C120)),1,0) + IF(UPPER(TRIM('Raw data'!U120))=UPPER(TRIM('Real results'!C121)),1,0) + IF(UPPER(TRIM('Raw data'!U120))=UPPER(TRIM('Real results'!C122)),1,0) + IF(UPPER(TRIM('Raw data'!U120))=UPPER(TRIM('Real results'!C123)),1,0) + IF(UPPER(TRIM('Raw data'!U120))=UPPER(TRIM('Real results'!C124)),1,0))&gt;=1,1,0),0),0)</f>
        <v>0</v>
      </c>
      <c r="W123" s="29">
        <f>IFERROR(IF('Raw data'!W120&lt;&gt;"",IF((IF(UPPER(TRIM('Raw data'!W120))=UPPER(TRIM('Real results'!C117)),1,0) + IF(UPPER(TRIM('Raw data'!W120))=UPPER(TRIM('Real results'!C118)),1,0) + IF(UPPER(TRIM('Raw data'!W120))=UPPER(TRIM('Real results'!C119)),1,0) + IF(UPPER(TRIM('Raw data'!W120))=UPPER(TRIM('Real results'!C120)),1,0) + IF(UPPER(TRIM('Raw data'!W120))=UPPER(TRIM('Real results'!C121)),1,0) + IF(UPPER(TRIM('Raw data'!W120))=UPPER(TRIM('Real results'!C122)),1,0) + IF(UPPER(TRIM('Raw data'!W120))=UPPER(TRIM('Real results'!C123)),1,0) + IF(UPPER(TRIM('Raw data'!W120))=UPPER(TRIM('Real results'!C124)),1,0))&gt;=1,1,0),0),0)</f>
        <v>0</v>
      </c>
      <c r="Y123" s="29">
        <f>IFERROR(IF('Raw data'!Y120&lt;&gt;"",IF((IF(UPPER(TRIM('Raw data'!Y120))=UPPER(TRIM('Real results'!C117)),1,0) + IF(UPPER(TRIM('Raw data'!Y120))=UPPER(TRIM('Real results'!C118)),1,0) + IF(UPPER(TRIM('Raw data'!Y120))=UPPER(TRIM('Real results'!C119)),1,0) + IF(UPPER(TRIM('Raw data'!Y120))=UPPER(TRIM('Real results'!C120)),1,0) + IF(UPPER(TRIM('Raw data'!Y120))=UPPER(TRIM('Real results'!C121)),1,0) + IF(UPPER(TRIM('Raw data'!Y120))=UPPER(TRIM('Real results'!C122)),1,0) + IF(UPPER(TRIM('Raw data'!Y120))=UPPER(TRIM('Real results'!C123)),1,0) + IF(UPPER(TRIM('Raw data'!Y120))=UPPER(TRIM('Real results'!C124)),1,0))&gt;=1,1,0),0),0)</f>
        <v>0</v>
      </c>
      <c r="AA123" s="29">
        <f>IFERROR(IF('Raw data'!AA120&lt;&gt;"",IF((IF(UPPER(TRIM('Raw data'!AA120))=UPPER(TRIM('Real results'!C117)),1,0) + IF(UPPER(TRIM('Raw data'!AA120))=UPPER(TRIM('Real results'!C118)),1,0) + IF(UPPER(TRIM('Raw data'!AA120))=UPPER(TRIM('Real results'!C119)),1,0) + IF(UPPER(TRIM('Raw data'!AA120))=UPPER(TRIM('Real results'!C120)),1,0) + IF(UPPER(TRIM('Raw data'!AA120))=UPPER(TRIM('Real results'!C121)),1,0) + IF(UPPER(TRIM('Raw data'!AA120))=UPPER(TRIM('Real results'!C122)),1,0) + IF(UPPER(TRIM('Raw data'!AA120))=UPPER(TRIM('Real results'!C123)),1,0) + IF(UPPER(TRIM('Raw data'!AA120))=UPPER(TRIM('Real results'!C124)),1,0))&gt;=1,1,0),0),0)</f>
        <v>0</v>
      </c>
      <c r="AC123" s="29">
        <f>IFERROR(IF('Raw data'!AC120&lt;&gt;"",IF((IF(UPPER(TRIM('Raw data'!AC120))=UPPER(TRIM('Real results'!C117)),1,0) + IF(UPPER(TRIM('Raw data'!AC120))=UPPER(TRIM('Real results'!C118)),1,0) + IF(UPPER(TRIM('Raw data'!AC120))=UPPER(TRIM('Real results'!C119)),1,0) + IF(UPPER(TRIM('Raw data'!AC120))=UPPER(TRIM('Real results'!C120)),1,0) + IF(UPPER(TRIM('Raw data'!AC120))=UPPER(TRIM('Real results'!C121)),1,0) + IF(UPPER(TRIM('Raw data'!AC120))=UPPER(TRIM('Real results'!C122)),1,0) + IF(UPPER(TRIM('Raw data'!AC120))=UPPER(TRIM('Real results'!C123)),1,0) + IF(UPPER(TRIM('Raw data'!AC120))=UPPER(TRIM('Real results'!C124)),1,0))&gt;=1,1,0),0),0)</f>
        <v>0</v>
      </c>
      <c r="AE123" s="29">
        <f>IFERROR(IF('Raw data'!AE120&lt;&gt;"",IF((IF(UPPER(TRIM('Raw data'!AE120))=UPPER(TRIM('Real results'!C117)),1,0) + IF(UPPER(TRIM('Raw data'!AE120))=UPPER(TRIM('Real results'!C118)),1,0) + IF(UPPER(TRIM('Raw data'!AE120))=UPPER(TRIM('Real results'!C119)),1,0) + IF(UPPER(TRIM('Raw data'!AE120))=UPPER(TRIM('Real results'!C120)),1,0) + IF(UPPER(TRIM('Raw data'!AE120))=UPPER(TRIM('Real results'!C121)),1,0) + IF(UPPER(TRIM('Raw data'!AE120))=UPPER(TRIM('Real results'!C122)),1,0) + IF(UPPER(TRIM('Raw data'!AE120))=UPPER(TRIM('Real results'!C123)),1,0) + IF(UPPER(TRIM('Raw data'!AE120))=UPPER(TRIM('Real results'!C124)),1,0))&gt;=1,1,0),0),0)</f>
        <v>0</v>
      </c>
      <c r="AG123" s="29">
        <f>IFERROR(IF('Raw data'!AG120&lt;&gt;"",IF((IF(UPPER(TRIM('Raw data'!AG120))=UPPER(TRIM('Real results'!C117)),1,0) + IF(UPPER(TRIM('Raw data'!AG120))=UPPER(TRIM('Real results'!C118)),1,0) + IF(UPPER(TRIM('Raw data'!AG120))=UPPER(TRIM('Real results'!C119)),1,0) + IF(UPPER(TRIM('Raw data'!AG120))=UPPER(TRIM('Real results'!C120)),1,0) + IF(UPPER(TRIM('Raw data'!AG120))=UPPER(TRIM('Real results'!C121)),1,0) + IF(UPPER(TRIM('Raw data'!AG120))=UPPER(TRIM('Real results'!C122)),1,0) + IF(UPPER(TRIM('Raw data'!AG120))=UPPER(TRIM('Real results'!C123)),1,0) + IF(UPPER(TRIM('Raw data'!AG120))=UPPER(TRIM('Real results'!C124)),1,0))&gt;=1,1,0),0),0)</f>
        <v>0</v>
      </c>
      <c r="AI123" s="29">
        <f>IFERROR(IF('Raw data'!AI120&lt;&gt;"",IF((IF(UPPER(TRIM('Raw data'!AI120))=UPPER(TRIM('Real results'!C117)),1,0) + IF(UPPER(TRIM('Raw data'!AI120))=UPPER(TRIM('Real results'!C118)),1,0) + IF(UPPER(TRIM('Raw data'!AI120))=UPPER(TRIM('Real results'!C119)),1,0) + IF(UPPER(TRIM('Raw data'!AI120))=UPPER(TRIM('Real results'!C120)),1,0) + IF(UPPER(TRIM('Raw data'!AI120))=UPPER(TRIM('Real results'!C121)),1,0) + IF(UPPER(TRIM('Raw data'!AI120))=UPPER(TRIM('Real results'!C122)),1,0) + IF(UPPER(TRIM('Raw data'!AI120))=UPPER(TRIM('Real results'!C123)),1,0) + IF(UPPER(TRIM('Raw data'!AI120))=UPPER(TRIM('Real results'!C124)),1,0))&gt;=1,1,0),0),0)</f>
        <v>0</v>
      </c>
      <c r="AK123" s="29">
        <f>IFERROR(IF('Raw data'!AK120&lt;&gt;"",IF((IF(UPPER(TRIM('Raw data'!AK120))=UPPER(TRIM('Real results'!C117)),1,0) + IF(UPPER(TRIM('Raw data'!AK120))=UPPER(TRIM('Real results'!C118)),1,0) + IF(UPPER(TRIM('Raw data'!AK120))=UPPER(TRIM('Real results'!C119)),1,0) + IF(UPPER(TRIM('Raw data'!AK120))=UPPER(TRIM('Real results'!C120)),1,0) + IF(UPPER(TRIM('Raw data'!AK120))=UPPER(TRIM('Real results'!C121)),1,0) + IF(UPPER(TRIM('Raw data'!AK120))=UPPER(TRIM('Real results'!C122)),1,0) + IF(UPPER(TRIM('Raw data'!AK120))=UPPER(TRIM('Real results'!C123)),1,0) + IF(UPPER(TRIM('Raw data'!AK120))=UPPER(TRIM('Real results'!C124)),1,0))&gt;=1,1,0),0),0)</f>
        <v>0</v>
      </c>
      <c r="AM123" s="29">
        <f>IFERROR(IF('Raw data'!AM120&lt;&gt;"",IF((IF(UPPER(TRIM('Raw data'!AM120))=UPPER(TRIM('Real results'!C117)),1,0) + IF(UPPER(TRIM('Raw data'!AM120))=UPPER(TRIM('Real results'!C118)),1,0) + IF(UPPER(TRIM('Raw data'!AM120))=UPPER(TRIM('Real results'!C119)),1,0) + IF(UPPER(TRIM('Raw data'!AM120))=UPPER(TRIM('Real results'!C120)),1,0) + IF(UPPER(TRIM('Raw data'!AM120))=UPPER(TRIM('Real results'!C121)),1,0) + IF(UPPER(TRIM('Raw data'!AM120))=UPPER(TRIM('Real results'!C122)),1,0) + IF(UPPER(TRIM('Raw data'!AM120))=UPPER(TRIM('Real results'!C123)),1,0) + IF(UPPER(TRIM('Raw data'!AM120))=UPPER(TRIM('Real results'!C124)),1,0))&gt;=1,1,0),0),0)</f>
        <v>0</v>
      </c>
      <c r="AO123" s="29">
        <f>IFERROR(IF('Raw data'!AO120&lt;&gt;"",IF((IF(UPPER(TRIM('Raw data'!AO120))=UPPER(TRIM('Real results'!C117)),1,0) + IF(UPPER(TRIM('Raw data'!AO120))=UPPER(TRIM('Real results'!C118)),1,0) + IF(UPPER(TRIM('Raw data'!AO120))=UPPER(TRIM('Real results'!C119)),1,0) + IF(UPPER(TRIM('Raw data'!AO120))=UPPER(TRIM('Real results'!C120)),1,0) + IF(UPPER(TRIM('Raw data'!AO120))=UPPER(TRIM('Real results'!C121)),1,0) + IF(UPPER(TRIM('Raw data'!AO120))=UPPER(TRIM('Real results'!C122)),1,0) + IF(UPPER(TRIM('Raw data'!AO120))=UPPER(TRIM('Real results'!C123)),1,0) + IF(UPPER(TRIM('Raw data'!AO120))=UPPER(TRIM('Real results'!C124)),1,0))&gt;=1,1,0),0),0)</f>
        <v>0</v>
      </c>
      <c r="AQ123" s="29">
        <f>IFERROR(IF('Raw data'!AQ120&lt;&gt;"",IF((IF(UPPER(TRIM('Raw data'!AQ120))=UPPER(TRIM('Real results'!C117)),1,0) + IF(UPPER(TRIM('Raw data'!AQ120))=UPPER(TRIM('Real results'!C118)),1,0) + IF(UPPER(TRIM('Raw data'!AQ120))=UPPER(TRIM('Real results'!C119)),1,0) + IF(UPPER(TRIM('Raw data'!AQ120))=UPPER(TRIM('Real results'!C120)),1,0) + IF(UPPER(TRIM('Raw data'!AQ120))=UPPER(TRIM('Real results'!C121)),1,0) + IF(UPPER(TRIM('Raw data'!AQ120))=UPPER(TRIM('Real results'!C122)),1,0) + IF(UPPER(TRIM('Raw data'!AQ120))=UPPER(TRIM('Real results'!C123)),1,0) + IF(UPPER(TRIM('Raw data'!AQ120))=UPPER(TRIM('Real results'!C124)),1,0))&gt;=1,1,0),0),0)</f>
        <v>0</v>
      </c>
      <c r="AS123" s="29">
        <f>IFERROR(IF('Raw data'!AS120&lt;&gt;"",IF((IF(UPPER(TRIM('Raw data'!AS120))=UPPER(TRIM('Real results'!C117)),1,0) + IF(UPPER(TRIM('Raw data'!AS120))=UPPER(TRIM('Real results'!C118)),1,0) + IF(UPPER(TRIM('Raw data'!AS120))=UPPER(TRIM('Real results'!C119)),1,0) + IF(UPPER(TRIM('Raw data'!AS120))=UPPER(TRIM('Real results'!C120)),1,0) + IF(UPPER(TRIM('Raw data'!AS120))=UPPER(TRIM('Real results'!C121)),1,0) + IF(UPPER(TRIM('Raw data'!AS120))=UPPER(TRIM('Real results'!C122)),1,0) + IF(UPPER(TRIM('Raw data'!AS120))=UPPER(TRIM('Real results'!C123)),1,0) + IF(UPPER(TRIM('Raw data'!AS120))=UPPER(TRIM('Real results'!C124)),1,0))&gt;=1,1,0),0),0)</f>
        <v>0</v>
      </c>
      <c r="AU123" s="29">
        <f>IFERROR(IF('Raw data'!AU120&lt;&gt;"",IF((IF(UPPER(TRIM('Raw data'!AU120))=UPPER(TRIM('Real results'!C117)),1,0) + IF(UPPER(TRIM('Raw data'!AU120))=UPPER(TRIM('Real results'!C118)),1,0) + IF(UPPER(TRIM('Raw data'!AU120))=UPPER(TRIM('Real results'!C119)),1,0) + IF(UPPER(TRIM('Raw data'!AU120))=UPPER(TRIM('Real results'!C120)),1,0) + IF(UPPER(TRIM('Raw data'!AU120))=UPPER(TRIM('Real results'!C121)),1,0) + IF(UPPER(TRIM('Raw data'!AU120))=UPPER(TRIM('Real results'!C122)),1,0) + IF(UPPER(TRIM('Raw data'!AU120))=UPPER(TRIM('Real results'!C123)),1,0) + IF(UPPER(TRIM('Raw data'!AU120))=UPPER(TRIM('Real results'!C124)),1,0))&gt;=1,1,0),0),0)</f>
        <v>0</v>
      </c>
      <c r="AW123" s="29">
        <f>IFERROR(IF('Raw data'!AW120&lt;&gt;"",IF((IF(UPPER(TRIM('Raw data'!AW120))=UPPER(TRIM('Real results'!C117)),1,0) + IF(UPPER(TRIM('Raw data'!AW120))=UPPER(TRIM('Real results'!C118)),1,0) + IF(UPPER(TRIM('Raw data'!AW120))=UPPER(TRIM('Real results'!C119)),1,0) + IF(UPPER(TRIM('Raw data'!AW120))=UPPER(TRIM('Real results'!C120)),1,0) + IF(UPPER(TRIM('Raw data'!AW120))=UPPER(TRIM('Real results'!C121)),1,0) + IF(UPPER(TRIM('Raw data'!AW120))=UPPER(TRIM('Real results'!C122)),1,0) + IF(UPPER(TRIM('Raw data'!AW120))=UPPER(TRIM('Real results'!C123)),1,0) + IF(UPPER(TRIM('Raw data'!AW120))=UPPER(TRIM('Real results'!C124)),1,0))&gt;=1,1,0),0),0)</f>
        <v>0</v>
      </c>
      <c r="AY123" s="29">
        <f>IFERROR(IF('Raw data'!AY120&lt;&gt;"",IF((IF(UPPER(TRIM('Raw data'!AY120))=UPPER(TRIM('Real results'!C117)),1,0) + IF(UPPER(TRIM('Raw data'!AY120))=UPPER(TRIM('Real results'!C118)),1,0) + IF(UPPER(TRIM('Raw data'!AY120))=UPPER(TRIM('Real results'!C119)),1,0) + IF(UPPER(TRIM('Raw data'!AY120))=UPPER(TRIM('Real results'!C120)),1,0) + IF(UPPER(TRIM('Raw data'!AY120))=UPPER(TRIM('Real results'!C121)),1,0) + IF(UPPER(TRIM('Raw data'!AY120))=UPPER(TRIM('Real results'!C122)),1,0) + IF(UPPER(TRIM('Raw data'!AY120))=UPPER(TRIM('Real results'!C123)),1,0) + IF(UPPER(TRIM('Raw data'!AY120))=UPPER(TRIM('Real results'!C124)),1,0))&gt;=1,1,0),0),0)</f>
        <v>0</v>
      </c>
      <c r="BA123" s="29">
        <f>IFERROR(IF('Raw data'!BA120&lt;&gt;"",IF((IF(UPPER(TRIM('Raw data'!BA120))=UPPER(TRIM('Real results'!C117)),1,0) + IF(UPPER(TRIM('Raw data'!BA120))=UPPER(TRIM('Real results'!C118)),1,0) + IF(UPPER(TRIM('Raw data'!BA120))=UPPER(TRIM('Real results'!C119)),1,0) + IF(UPPER(TRIM('Raw data'!BA120))=UPPER(TRIM('Real results'!C120)),1,0) + IF(UPPER(TRIM('Raw data'!BA120))=UPPER(TRIM('Real results'!C121)),1,0) + IF(UPPER(TRIM('Raw data'!BA120))=UPPER(TRIM('Real results'!C122)),1,0) + IF(UPPER(TRIM('Raw data'!BA120))=UPPER(TRIM('Real results'!C123)),1,0) + IF(UPPER(TRIM('Raw data'!BA120))=UPPER(TRIM('Real results'!C124)),1,0))&gt;=1,1,0),0),0)</f>
        <v>0</v>
      </c>
      <c r="BC123" s="29">
        <f>IFERROR(IF('Raw data'!BC120&lt;&gt;"",IF((IF(UPPER(TRIM('Raw data'!BC120))=UPPER(TRIM('Real results'!C117)),1,0) + IF(UPPER(TRIM('Raw data'!BC120))=UPPER(TRIM('Real results'!C118)),1,0) + IF(UPPER(TRIM('Raw data'!BC120))=UPPER(TRIM('Real results'!C119)),1,0) + IF(UPPER(TRIM('Raw data'!BC120))=UPPER(TRIM('Real results'!C120)),1,0) + IF(UPPER(TRIM('Raw data'!BC120))=UPPER(TRIM('Real results'!C121)),1,0) + IF(UPPER(TRIM('Raw data'!BC120))=UPPER(TRIM('Real results'!C122)),1,0) + IF(UPPER(TRIM('Raw data'!BC120))=UPPER(TRIM('Real results'!C123)),1,0) + IF(UPPER(TRIM('Raw data'!BC120))=UPPER(TRIM('Real results'!C124)),1,0))&gt;=1,1,0),0),0)</f>
        <v>0</v>
      </c>
      <c r="BE123" s="29">
        <f>IFERROR(IF('Raw data'!BE120&lt;&gt;"",IF((IF(UPPER(TRIM('Raw data'!BE120))=UPPER(TRIM('Real results'!C117)),1,0) + IF(UPPER(TRIM('Raw data'!BE120))=UPPER(TRIM('Real results'!C118)),1,0) + IF(UPPER(TRIM('Raw data'!BE120))=UPPER(TRIM('Real results'!C119)),1,0) + IF(UPPER(TRIM('Raw data'!BE120))=UPPER(TRIM('Real results'!C120)),1,0) + IF(UPPER(TRIM('Raw data'!BE120))=UPPER(TRIM('Real results'!C121)),1,0) + IF(UPPER(TRIM('Raw data'!BE120))=UPPER(TRIM('Real results'!C122)),1,0) + IF(UPPER(TRIM('Raw data'!BE120))=UPPER(TRIM('Real results'!C123)),1,0) + IF(UPPER(TRIM('Raw data'!BE120))=UPPER(TRIM('Real results'!C124)),1,0))&gt;=1,1,0),0),0)</f>
        <v>0</v>
      </c>
      <c r="BG123" s="29">
        <f>IFERROR(IF('Raw data'!BG120&lt;&gt;"",IF((IF(UPPER(TRIM('Raw data'!BG120))=UPPER(TRIM('Real results'!C117)),1,0) + IF(UPPER(TRIM('Raw data'!BG120))=UPPER(TRIM('Real results'!C118)),1,0) + IF(UPPER(TRIM('Raw data'!BG120))=UPPER(TRIM('Real results'!C119)),1,0) + IF(UPPER(TRIM('Raw data'!BG120))=UPPER(TRIM('Real results'!C120)),1,0) + IF(UPPER(TRIM('Raw data'!BG120))=UPPER(TRIM('Real results'!C121)),1,0) + IF(UPPER(TRIM('Raw data'!BG120))=UPPER(TRIM('Real results'!C122)),1,0) + IF(UPPER(TRIM('Raw data'!BG120))=UPPER(TRIM('Real results'!C123)),1,0) + IF(UPPER(TRIM('Raw data'!BG120))=UPPER(TRIM('Real results'!C124)),1,0))&gt;=1,1,0),0),0)</f>
        <v>0</v>
      </c>
      <c r="BI123" s="29">
        <f>IFERROR(IF('Raw data'!BI120&lt;&gt;"",IF((IF(UPPER(TRIM('Raw data'!BI120))=UPPER(TRIM('Real results'!C117)),1,0) + IF(UPPER(TRIM('Raw data'!BI120))=UPPER(TRIM('Real results'!C118)),1,0) + IF(UPPER(TRIM('Raw data'!BI120))=UPPER(TRIM('Real results'!C119)),1,0) + IF(UPPER(TRIM('Raw data'!BI120))=UPPER(TRIM('Real results'!C120)),1,0) + IF(UPPER(TRIM('Raw data'!BI120))=UPPER(TRIM('Real results'!C121)),1,0) + IF(UPPER(TRIM('Raw data'!BI120))=UPPER(TRIM('Real results'!C122)),1,0) + IF(UPPER(TRIM('Raw data'!BI120))=UPPER(TRIM('Real results'!C123)),1,0) + IF(UPPER(TRIM('Raw data'!BI120))=UPPER(TRIM('Real results'!C124)),1,0))&gt;=1,1,0),0),0)</f>
        <v>0</v>
      </c>
    </row>
    <row r="124" ht="18.0" customHeight="1">
      <c r="A124" s="1"/>
      <c r="B124" s="13" t="s">
        <v>405</v>
      </c>
      <c r="C124" s="29">
        <f>IFERROR(IF('Raw data'!C121&lt;&gt;"",IF((IF(UPPER(TRIM('Raw data'!C121))=UPPER(TRIM('Real results'!C117)),1,0) + IF(UPPER(TRIM('Raw data'!C121))=UPPER(TRIM('Real results'!C118)),1,0) + IF(UPPER(TRIM('Raw data'!C121))=UPPER(TRIM('Real results'!C119)),1,0) + IF(UPPER(TRIM('Raw data'!C121))=UPPER(TRIM('Real results'!C120)),1,0) + IF(UPPER(TRIM('Raw data'!C121))=UPPER(TRIM('Real results'!C121)),1,0) + IF(UPPER(TRIM('Raw data'!C121))=UPPER(TRIM('Real results'!C122)),1,0) + IF(UPPER(TRIM('Raw data'!C121))=UPPER(TRIM('Real results'!C123)),1,0) + IF(UPPER(TRIM('Raw data'!C121))=UPPER(TRIM('Real results'!C124)),1,0))&gt;=1,1,0),0),0)</f>
        <v>0</v>
      </c>
      <c r="E124" s="29">
        <f>IFERROR(IF('Raw data'!E121&lt;&gt;"",IF((IF(UPPER(TRIM('Raw data'!E121))=UPPER(TRIM('Real results'!C117)),1,0) + IF(UPPER(TRIM('Raw data'!E121))=UPPER(TRIM('Real results'!C118)),1,0) + IF(UPPER(TRIM('Raw data'!E121))=UPPER(TRIM('Real results'!C119)),1,0) + IF(UPPER(TRIM('Raw data'!E121))=UPPER(TRIM('Real results'!C120)),1,0) + IF(UPPER(TRIM('Raw data'!E121))=UPPER(TRIM('Real results'!C121)),1,0) + IF(UPPER(TRIM('Raw data'!E121))=UPPER(TRIM('Real results'!C122)),1,0) + IF(UPPER(TRIM('Raw data'!E121))=UPPER(TRIM('Real results'!C123)),1,0) + IF(UPPER(TRIM('Raw data'!E121))=UPPER(TRIM('Real results'!C124)),1,0))&gt;=1,1,0),0),0)</f>
        <v>0</v>
      </c>
      <c r="G124" s="29">
        <f>IFERROR(IF('Raw data'!G121&lt;&gt;"",IF((IF(UPPER(TRIM('Raw data'!G121))=UPPER(TRIM('Real results'!C117)),1,0) + IF(UPPER(TRIM('Raw data'!G121))=UPPER(TRIM('Real results'!C118)),1,0) + IF(UPPER(TRIM('Raw data'!G121))=UPPER(TRIM('Real results'!C119)),1,0) + IF(UPPER(TRIM('Raw data'!G121))=UPPER(TRIM('Real results'!C120)),1,0) + IF(UPPER(TRIM('Raw data'!G121))=UPPER(TRIM('Real results'!C121)),1,0) + IF(UPPER(TRIM('Raw data'!G121))=UPPER(TRIM('Real results'!C122)),1,0) + IF(UPPER(TRIM('Raw data'!G121))=UPPER(TRIM('Real results'!C123)),1,0) + IF(UPPER(TRIM('Raw data'!G121))=UPPER(TRIM('Real results'!C124)),1,0))&gt;=1,1,0),0),0)</f>
        <v>0</v>
      </c>
      <c r="I124" s="29">
        <f>IFERROR(IF('Raw data'!I121&lt;&gt;"",IF((IF(UPPER(TRIM('Raw data'!I121))=UPPER(TRIM('Real results'!C117)),1,0) + IF(UPPER(TRIM('Raw data'!I121))=UPPER(TRIM('Real results'!C118)),1,0) + IF(UPPER(TRIM('Raw data'!I121))=UPPER(TRIM('Real results'!C119)),1,0) + IF(UPPER(TRIM('Raw data'!I121))=UPPER(TRIM('Real results'!C120)),1,0) + IF(UPPER(TRIM('Raw data'!I121))=UPPER(TRIM('Real results'!C121)),1,0) + IF(UPPER(TRIM('Raw data'!I121))=UPPER(TRIM('Real results'!C122)),1,0) + IF(UPPER(TRIM('Raw data'!I121))=UPPER(TRIM('Real results'!C123)),1,0) + IF(UPPER(TRIM('Raw data'!I121))=UPPER(TRIM('Real results'!C124)),1,0))&gt;=1,1,0),0),0)</f>
        <v>0</v>
      </c>
      <c r="K124" s="29">
        <f>IFERROR(IF('Raw data'!K121&lt;&gt;"",IF((IF(UPPER(TRIM('Raw data'!K121))=UPPER(TRIM('Real results'!C117)),1,0) + IF(UPPER(TRIM('Raw data'!K121))=UPPER(TRIM('Real results'!C118)),1,0) + IF(UPPER(TRIM('Raw data'!K121))=UPPER(TRIM('Real results'!C119)),1,0) + IF(UPPER(TRIM('Raw data'!K121))=UPPER(TRIM('Real results'!C120)),1,0) + IF(UPPER(TRIM('Raw data'!K121))=UPPER(TRIM('Real results'!C121)),1,0) + IF(UPPER(TRIM('Raw data'!K121))=UPPER(TRIM('Real results'!C122)),1,0) + IF(UPPER(TRIM('Raw data'!K121))=UPPER(TRIM('Real results'!C123)),1,0) + IF(UPPER(TRIM('Raw data'!K121))=UPPER(TRIM('Real results'!C124)),1,0))&gt;=1,1,0),0),0)</f>
        <v>0</v>
      </c>
      <c r="M124" s="29">
        <f>IFERROR(IF('Raw data'!M121&lt;&gt;"",IF((IF(UPPER(TRIM('Raw data'!M121))=UPPER(TRIM('Real results'!C117)),1,0) + IF(UPPER(TRIM('Raw data'!M121))=UPPER(TRIM('Real results'!C118)),1,0) + IF(UPPER(TRIM('Raw data'!M121))=UPPER(TRIM('Real results'!C119)),1,0) + IF(UPPER(TRIM('Raw data'!M121))=UPPER(TRIM('Real results'!C120)),1,0) + IF(UPPER(TRIM('Raw data'!M121))=UPPER(TRIM('Real results'!C121)),1,0) + IF(UPPER(TRIM('Raw data'!M121))=UPPER(TRIM('Real results'!C122)),1,0) + IF(UPPER(TRIM('Raw data'!M121))=UPPER(TRIM('Real results'!C123)),1,0) + IF(UPPER(TRIM('Raw data'!M121))=UPPER(TRIM('Real results'!C124)),1,0))&gt;=1,1,0),0),0)</f>
        <v>0</v>
      </c>
      <c r="O124" s="29">
        <f>IFERROR(IF('Raw data'!O121&lt;&gt;"",IF((IF(UPPER(TRIM('Raw data'!O121))=UPPER(TRIM('Real results'!C117)),1,0) + IF(UPPER(TRIM('Raw data'!O121))=UPPER(TRIM('Real results'!C118)),1,0) + IF(UPPER(TRIM('Raw data'!O121))=UPPER(TRIM('Real results'!C119)),1,0) + IF(UPPER(TRIM('Raw data'!O121))=UPPER(TRIM('Real results'!C120)),1,0) + IF(UPPER(TRIM('Raw data'!O121))=UPPER(TRIM('Real results'!C121)),1,0) + IF(UPPER(TRIM('Raw data'!O121))=UPPER(TRIM('Real results'!C122)),1,0) + IF(UPPER(TRIM('Raw data'!O121))=UPPER(TRIM('Real results'!C123)),1,0) + IF(UPPER(TRIM('Raw data'!O121))=UPPER(TRIM('Real results'!C124)),1,0))&gt;=1,1,0),0),0)</f>
        <v>0</v>
      </c>
      <c r="Q124" s="29">
        <f>IFERROR(IF('Raw data'!Q121&lt;&gt;"",IF((IF(UPPER(TRIM('Raw data'!Q121))=UPPER(TRIM('Real results'!C117)),1,0) + IF(UPPER(TRIM('Raw data'!Q121))=UPPER(TRIM('Real results'!C118)),1,0) + IF(UPPER(TRIM('Raw data'!Q121))=UPPER(TRIM('Real results'!C119)),1,0) + IF(UPPER(TRIM('Raw data'!Q121))=UPPER(TRIM('Real results'!C120)),1,0) + IF(UPPER(TRIM('Raw data'!Q121))=UPPER(TRIM('Real results'!C121)),1,0) + IF(UPPER(TRIM('Raw data'!Q121))=UPPER(TRIM('Real results'!C122)),1,0) + IF(UPPER(TRIM('Raw data'!Q121))=UPPER(TRIM('Real results'!C123)),1,0) + IF(UPPER(TRIM('Raw data'!Q121))=UPPER(TRIM('Real results'!C124)),1,0))&gt;=1,1,0),0),0)</f>
        <v>0</v>
      </c>
      <c r="S124" s="29">
        <f>IFERROR(IF('Raw data'!S121&lt;&gt;"",IF((IF(UPPER(TRIM('Raw data'!S121))=UPPER(TRIM('Real results'!C117)),1,0) + IF(UPPER(TRIM('Raw data'!S121))=UPPER(TRIM('Real results'!C118)),1,0) + IF(UPPER(TRIM('Raw data'!S121))=UPPER(TRIM('Real results'!C119)),1,0) + IF(UPPER(TRIM('Raw data'!S121))=UPPER(TRIM('Real results'!C120)),1,0) + IF(UPPER(TRIM('Raw data'!S121))=UPPER(TRIM('Real results'!C121)),1,0) + IF(UPPER(TRIM('Raw data'!S121))=UPPER(TRIM('Real results'!C122)),1,0) + IF(UPPER(TRIM('Raw data'!S121))=UPPER(TRIM('Real results'!C123)),1,0) + IF(UPPER(TRIM('Raw data'!S121))=UPPER(TRIM('Real results'!C124)),1,0))&gt;=1,1,0),0),0)</f>
        <v>0</v>
      </c>
      <c r="U124" s="29">
        <f>IFERROR(IF('Raw data'!U121&lt;&gt;"",IF((IF(UPPER(TRIM('Raw data'!U121))=UPPER(TRIM('Real results'!C117)),1,0) + IF(UPPER(TRIM('Raw data'!U121))=UPPER(TRIM('Real results'!C118)),1,0) + IF(UPPER(TRIM('Raw data'!U121))=UPPER(TRIM('Real results'!C119)),1,0) + IF(UPPER(TRIM('Raw data'!U121))=UPPER(TRIM('Real results'!C120)),1,0) + IF(UPPER(TRIM('Raw data'!U121))=UPPER(TRIM('Real results'!C121)),1,0) + IF(UPPER(TRIM('Raw data'!U121))=UPPER(TRIM('Real results'!C122)),1,0) + IF(UPPER(TRIM('Raw data'!U121))=UPPER(TRIM('Real results'!C123)),1,0) + IF(UPPER(TRIM('Raw data'!U121))=UPPER(TRIM('Real results'!C124)),1,0))&gt;=1,1,0),0),0)</f>
        <v>0</v>
      </c>
      <c r="W124" s="29">
        <f>IFERROR(IF('Raw data'!W121&lt;&gt;"",IF((IF(UPPER(TRIM('Raw data'!W121))=UPPER(TRIM('Real results'!C117)),1,0) + IF(UPPER(TRIM('Raw data'!W121))=UPPER(TRIM('Real results'!C118)),1,0) + IF(UPPER(TRIM('Raw data'!W121))=UPPER(TRIM('Real results'!C119)),1,0) + IF(UPPER(TRIM('Raw data'!W121))=UPPER(TRIM('Real results'!C120)),1,0) + IF(UPPER(TRIM('Raw data'!W121))=UPPER(TRIM('Real results'!C121)),1,0) + IF(UPPER(TRIM('Raw data'!W121))=UPPER(TRIM('Real results'!C122)),1,0) + IF(UPPER(TRIM('Raw data'!W121))=UPPER(TRIM('Real results'!C123)),1,0) + IF(UPPER(TRIM('Raw data'!W121))=UPPER(TRIM('Real results'!C124)),1,0))&gt;=1,1,0),0),0)</f>
        <v>0</v>
      </c>
      <c r="Y124" s="29">
        <f>IFERROR(IF('Raw data'!Y121&lt;&gt;"",IF((IF(UPPER(TRIM('Raw data'!Y121))=UPPER(TRIM('Real results'!C117)),1,0) + IF(UPPER(TRIM('Raw data'!Y121))=UPPER(TRIM('Real results'!C118)),1,0) + IF(UPPER(TRIM('Raw data'!Y121))=UPPER(TRIM('Real results'!C119)),1,0) + IF(UPPER(TRIM('Raw data'!Y121))=UPPER(TRIM('Real results'!C120)),1,0) + IF(UPPER(TRIM('Raw data'!Y121))=UPPER(TRIM('Real results'!C121)),1,0) + IF(UPPER(TRIM('Raw data'!Y121))=UPPER(TRIM('Real results'!C122)),1,0) + IF(UPPER(TRIM('Raw data'!Y121))=UPPER(TRIM('Real results'!C123)),1,0) + IF(UPPER(TRIM('Raw data'!Y121))=UPPER(TRIM('Real results'!C124)),1,0))&gt;=1,1,0),0),0)</f>
        <v>0</v>
      </c>
      <c r="AA124" s="29">
        <f>IFERROR(IF('Raw data'!AA121&lt;&gt;"",IF((IF(UPPER(TRIM('Raw data'!AA121))=UPPER(TRIM('Real results'!C117)),1,0) + IF(UPPER(TRIM('Raw data'!AA121))=UPPER(TRIM('Real results'!C118)),1,0) + IF(UPPER(TRIM('Raw data'!AA121))=UPPER(TRIM('Real results'!C119)),1,0) + IF(UPPER(TRIM('Raw data'!AA121))=UPPER(TRIM('Real results'!C120)),1,0) + IF(UPPER(TRIM('Raw data'!AA121))=UPPER(TRIM('Real results'!C121)),1,0) + IF(UPPER(TRIM('Raw data'!AA121))=UPPER(TRIM('Real results'!C122)),1,0) + IF(UPPER(TRIM('Raw data'!AA121))=UPPER(TRIM('Real results'!C123)),1,0) + IF(UPPER(TRIM('Raw data'!AA121))=UPPER(TRIM('Real results'!C124)),1,0))&gt;=1,1,0),0),0)</f>
        <v>0</v>
      </c>
      <c r="AC124" s="29">
        <f>IFERROR(IF('Raw data'!AC121&lt;&gt;"",IF((IF(UPPER(TRIM('Raw data'!AC121))=UPPER(TRIM('Real results'!C117)),1,0) + IF(UPPER(TRIM('Raw data'!AC121))=UPPER(TRIM('Real results'!C118)),1,0) + IF(UPPER(TRIM('Raw data'!AC121))=UPPER(TRIM('Real results'!C119)),1,0) + IF(UPPER(TRIM('Raw data'!AC121))=UPPER(TRIM('Real results'!C120)),1,0) + IF(UPPER(TRIM('Raw data'!AC121))=UPPER(TRIM('Real results'!C121)),1,0) + IF(UPPER(TRIM('Raw data'!AC121))=UPPER(TRIM('Real results'!C122)),1,0) + IF(UPPER(TRIM('Raw data'!AC121))=UPPER(TRIM('Real results'!C123)),1,0) + IF(UPPER(TRIM('Raw data'!AC121))=UPPER(TRIM('Real results'!C124)),1,0))&gt;=1,1,0),0),0)</f>
        <v>0</v>
      </c>
      <c r="AE124" s="29">
        <f>IFERROR(IF('Raw data'!AE121&lt;&gt;"",IF((IF(UPPER(TRIM('Raw data'!AE121))=UPPER(TRIM('Real results'!C117)),1,0) + IF(UPPER(TRIM('Raw data'!AE121))=UPPER(TRIM('Real results'!C118)),1,0) + IF(UPPER(TRIM('Raw data'!AE121))=UPPER(TRIM('Real results'!C119)),1,0) + IF(UPPER(TRIM('Raw data'!AE121))=UPPER(TRIM('Real results'!C120)),1,0) + IF(UPPER(TRIM('Raw data'!AE121))=UPPER(TRIM('Real results'!C121)),1,0) + IF(UPPER(TRIM('Raw data'!AE121))=UPPER(TRIM('Real results'!C122)),1,0) + IF(UPPER(TRIM('Raw data'!AE121))=UPPER(TRIM('Real results'!C123)),1,0) + IF(UPPER(TRIM('Raw data'!AE121))=UPPER(TRIM('Real results'!C124)),1,0))&gt;=1,1,0),0),0)</f>
        <v>0</v>
      </c>
      <c r="AG124" s="29">
        <f>IFERROR(IF('Raw data'!AG121&lt;&gt;"",IF((IF(UPPER(TRIM('Raw data'!AG121))=UPPER(TRIM('Real results'!C117)),1,0) + IF(UPPER(TRIM('Raw data'!AG121))=UPPER(TRIM('Real results'!C118)),1,0) + IF(UPPER(TRIM('Raw data'!AG121))=UPPER(TRIM('Real results'!C119)),1,0) + IF(UPPER(TRIM('Raw data'!AG121))=UPPER(TRIM('Real results'!C120)),1,0) + IF(UPPER(TRIM('Raw data'!AG121))=UPPER(TRIM('Real results'!C121)),1,0) + IF(UPPER(TRIM('Raw data'!AG121))=UPPER(TRIM('Real results'!C122)),1,0) + IF(UPPER(TRIM('Raw data'!AG121))=UPPER(TRIM('Real results'!C123)),1,0) + IF(UPPER(TRIM('Raw data'!AG121))=UPPER(TRIM('Real results'!C124)),1,0))&gt;=1,1,0),0),0)</f>
        <v>0</v>
      </c>
      <c r="AI124" s="29">
        <f>IFERROR(IF('Raw data'!AI121&lt;&gt;"",IF((IF(UPPER(TRIM('Raw data'!AI121))=UPPER(TRIM('Real results'!C117)),1,0) + IF(UPPER(TRIM('Raw data'!AI121))=UPPER(TRIM('Real results'!C118)),1,0) + IF(UPPER(TRIM('Raw data'!AI121))=UPPER(TRIM('Real results'!C119)),1,0) + IF(UPPER(TRIM('Raw data'!AI121))=UPPER(TRIM('Real results'!C120)),1,0) + IF(UPPER(TRIM('Raw data'!AI121))=UPPER(TRIM('Real results'!C121)),1,0) + IF(UPPER(TRIM('Raw data'!AI121))=UPPER(TRIM('Real results'!C122)),1,0) + IF(UPPER(TRIM('Raw data'!AI121))=UPPER(TRIM('Real results'!C123)),1,0) + IF(UPPER(TRIM('Raw data'!AI121))=UPPER(TRIM('Real results'!C124)),1,0))&gt;=1,1,0),0),0)</f>
        <v>0</v>
      </c>
      <c r="AK124" s="29">
        <f>IFERROR(IF('Raw data'!AK121&lt;&gt;"",IF((IF(UPPER(TRIM('Raw data'!AK121))=UPPER(TRIM('Real results'!C117)),1,0) + IF(UPPER(TRIM('Raw data'!AK121))=UPPER(TRIM('Real results'!C118)),1,0) + IF(UPPER(TRIM('Raw data'!AK121))=UPPER(TRIM('Real results'!C119)),1,0) + IF(UPPER(TRIM('Raw data'!AK121))=UPPER(TRIM('Real results'!C120)),1,0) + IF(UPPER(TRIM('Raw data'!AK121))=UPPER(TRIM('Real results'!C121)),1,0) + IF(UPPER(TRIM('Raw data'!AK121))=UPPER(TRIM('Real results'!C122)),1,0) + IF(UPPER(TRIM('Raw data'!AK121))=UPPER(TRIM('Real results'!C123)),1,0) + IF(UPPER(TRIM('Raw data'!AK121))=UPPER(TRIM('Real results'!C124)),1,0))&gt;=1,1,0),0),0)</f>
        <v>0</v>
      </c>
      <c r="AM124" s="29">
        <f>IFERROR(IF('Raw data'!AM121&lt;&gt;"",IF((IF(UPPER(TRIM('Raw data'!AM121))=UPPER(TRIM('Real results'!C117)),1,0) + IF(UPPER(TRIM('Raw data'!AM121))=UPPER(TRIM('Real results'!C118)),1,0) + IF(UPPER(TRIM('Raw data'!AM121))=UPPER(TRIM('Real results'!C119)),1,0) + IF(UPPER(TRIM('Raw data'!AM121))=UPPER(TRIM('Real results'!C120)),1,0) + IF(UPPER(TRIM('Raw data'!AM121))=UPPER(TRIM('Real results'!C121)),1,0) + IF(UPPER(TRIM('Raw data'!AM121))=UPPER(TRIM('Real results'!C122)),1,0) + IF(UPPER(TRIM('Raw data'!AM121))=UPPER(TRIM('Real results'!C123)),1,0) + IF(UPPER(TRIM('Raw data'!AM121))=UPPER(TRIM('Real results'!C124)),1,0))&gt;=1,1,0),0),0)</f>
        <v>0</v>
      </c>
      <c r="AO124" s="29">
        <f>IFERROR(IF('Raw data'!AO121&lt;&gt;"",IF((IF(UPPER(TRIM('Raw data'!AO121))=UPPER(TRIM('Real results'!C117)),1,0) + IF(UPPER(TRIM('Raw data'!AO121))=UPPER(TRIM('Real results'!C118)),1,0) + IF(UPPER(TRIM('Raw data'!AO121))=UPPER(TRIM('Real results'!C119)),1,0) + IF(UPPER(TRIM('Raw data'!AO121))=UPPER(TRIM('Real results'!C120)),1,0) + IF(UPPER(TRIM('Raw data'!AO121))=UPPER(TRIM('Real results'!C121)),1,0) + IF(UPPER(TRIM('Raw data'!AO121))=UPPER(TRIM('Real results'!C122)),1,0) + IF(UPPER(TRIM('Raw data'!AO121))=UPPER(TRIM('Real results'!C123)),1,0) + IF(UPPER(TRIM('Raw data'!AO121))=UPPER(TRIM('Real results'!C124)),1,0))&gt;=1,1,0),0),0)</f>
        <v>0</v>
      </c>
      <c r="AQ124" s="29">
        <f>IFERROR(IF('Raw data'!AQ121&lt;&gt;"",IF((IF(UPPER(TRIM('Raw data'!AQ121))=UPPER(TRIM('Real results'!C117)),1,0) + IF(UPPER(TRIM('Raw data'!AQ121))=UPPER(TRIM('Real results'!C118)),1,0) + IF(UPPER(TRIM('Raw data'!AQ121))=UPPER(TRIM('Real results'!C119)),1,0) + IF(UPPER(TRIM('Raw data'!AQ121))=UPPER(TRIM('Real results'!C120)),1,0) + IF(UPPER(TRIM('Raw data'!AQ121))=UPPER(TRIM('Real results'!C121)),1,0) + IF(UPPER(TRIM('Raw data'!AQ121))=UPPER(TRIM('Real results'!C122)),1,0) + IF(UPPER(TRIM('Raw data'!AQ121))=UPPER(TRIM('Real results'!C123)),1,0) + IF(UPPER(TRIM('Raw data'!AQ121))=UPPER(TRIM('Real results'!C124)),1,0))&gt;=1,1,0),0),0)</f>
        <v>0</v>
      </c>
      <c r="AS124" s="29">
        <f>IFERROR(IF('Raw data'!AS121&lt;&gt;"",IF((IF(UPPER(TRIM('Raw data'!AS121))=UPPER(TRIM('Real results'!C117)),1,0) + IF(UPPER(TRIM('Raw data'!AS121))=UPPER(TRIM('Real results'!C118)),1,0) + IF(UPPER(TRIM('Raw data'!AS121))=UPPER(TRIM('Real results'!C119)),1,0) + IF(UPPER(TRIM('Raw data'!AS121))=UPPER(TRIM('Real results'!C120)),1,0) + IF(UPPER(TRIM('Raw data'!AS121))=UPPER(TRIM('Real results'!C121)),1,0) + IF(UPPER(TRIM('Raw data'!AS121))=UPPER(TRIM('Real results'!C122)),1,0) + IF(UPPER(TRIM('Raw data'!AS121))=UPPER(TRIM('Real results'!C123)),1,0) + IF(UPPER(TRIM('Raw data'!AS121))=UPPER(TRIM('Real results'!C124)),1,0))&gt;=1,1,0),0),0)</f>
        <v>0</v>
      </c>
      <c r="AU124" s="29">
        <f>IFERROR(IF('Raw data'!AU121&lt;&gt;"",IF((IF(UPPER(TRIM('Raw data'!AU121))=UPPER(TRIM('Real results'!C117)),1,0) + IF(UPPER(TRIM('Raw data'!AU121))=UPPER(TRIM('Real results'!C118)),1,0) + IF(UPPER(TRIM('Raw data'!AU121))=UPPER(TRIM('Real results'!C119)),1,0) + IF(UPPER(TRIM('Raw data'!AU121))=UPPER(TRIM('Real results'!C120)),1,0) + IF(UPPER(TRIM('Raw data'!AU121))=UPPER(TRIM('Real results'!C121)),1,0) + IF(UPPER(TRIM('Raw data'!AU121))=UPPER(TRIM('Real results'!C122)),1,0) + IF(UPPER(TRIM('Raw data'!AU121))=UPPER(TRIM('Real results'!C123)),1,0) + IF(UPPER(TRIM('Raw data'!AU121))=UPPER(TRIM('Real results'!C124)),1,0))&gt;=1,1,0),0),0)</f>
        <v>0</v>
      </c>
      <c r="AW124" s="29">
        <f>IFERROR(IF('Raw data'!AW121&lt;&gt;"",IF((IF(UPPER(TRIM('Raw data'!AW121))=UPPER(TRIM('Real results'!C117)),1,0) + IF(UPPER(TRIM('Raw data'!AW121))=UPPER(TRIM('Real results'!C118)),1,0) + IF(UPPER(TRIM('Raw data'!AW121))=UPPER(TRIM('Real results'!C119)),1,0) + IF(UPPER(TRIM('Raw data'!AW121))=UPPER(TRIM('Real results'!C120)),1,0) + IF(UPPER(TRIM('Raw data'!AW121))=UPPER(TRIM('Real results'!C121)),1,0) + IF(UPPER(TRIM('Raw data'!AW121))=UPPER(TRIM('Real results'!C122)),1,0) + IF(UPPER(TRIM('Raw data'!AW121))=UPPER(TRIM('Real results'!C123)),1,0) + IF(UPPER(TRIM('Raw data'!AW121))=UPPER(TRIM('Real results'!C124)),1,0))&gt;=1,1,0),0),0)</f>
        <v>0</v>
      </c>
      <c r="AY124" s="29">
        <f>IFERROR(IF('Raw data'!AY121&lt;&gt;"",IF((IF(UPPER(TRIM('Raw data'!AY121))=UPPER(TRIM('Real results'!C117)),1,0) + IF(UPPER(TRIM('Raw data'!AY121))=UPPER(TRIM('Real results'!C118)),1,0) + IF(UPPER(TRIM('Raw data'!AY121))=UPPER(TRIM('Real results'!C119)),1,0) + IF(UPPER(TRIM('Raw data'!AY121))=UPPER(TRIM('Real results'!C120)),1,0) + IF(UPPER(TRIM('Raw data'!AY121))=UPPER(TRIM('Real results'!C121)),1,0) + IF(UPPER(TRIM('Raw data'!AY121))=UPPER(TRIM('Real results'!C122)),1,0) + IF(UPPER(TRIM('Raw data'!AY121))=UPPER(TRIM('Real results'!C123)),1,0) + IF(UPPER(TRIM('Raw data'!AY121))=UPPER(TRIM('Real results'!C124)),1,0))&gt;=1,1,0),0),0)</f>
        <v>0</v>
      </c>
      <c r="BA124" s="29">
        <f>IFERROR(IF('Raw data'!BA121&lt;&gt;"",IF((IF(UPPER(TRIM('Raw data'!BA121))=UPPER(TRIM('Real results'!C117)),1,0) + IF(UPPER(TRIM('Raw data'!BA121))=UPPER(TRIM('Real results'!C118)),1,0) + IF(UPPER(TRIM('Raw data'!BA121))=UPPER(TRIM('Real results'!C119)),1,0) + IF(UPPER(TRIM('Raw data'!BA121))=UPPER(TRIM('Real results'!C120)),1,0) + IF(UPPER(TRIM('Raw data'!BA121))=UPPER(TRIM('Real results'!C121)),1,0) + IF(UPPER(TRIM('Raw data'!BA121))=UPPER(TRIM('Real results'!C122)),1,0) + IF(UPPER(TRIM('Raw data'!BA121))=UPPER(TRIM('Real results'!C123)),1,0) + IF(UPPER(TRIM('Raw data'!BA121))=UPPER(TRIM('Real results'!C124)),1,0))&gt;=1,1,0),0),0)</f>
        <v>0</v>
      </c>
      <c r="BC124" s="29">
        <f>IFERROR(IF('Raw data'!BC121&lt;&gt;"",IF((IF(UPPER(TRIM('Raw data'!BC121))=UPPER(TRIM('Real results'!C117)),1,0) + IF(UPPER(TRIM('Raw data'!BC121))=UPPER(TRIM('Real results'!C118)),1,0) + IF(UPPER(TRIM('Raw data'!BC121))=UPPER(TRIM('Real results'!C119)),1,0) + IF(UPPER(TRIM('Raw data'!BC121))=UPPER(TRIM('Real results'!C120)),1,0) + IF(UPPER(TRIM('Raw data'!BC121))=UPPER(TRIM('Real results'!C121)),1,0) + IF(UPPER(TRIM('Raw data'!BC121))=UPPER(TRIM('Real results'!C122)),1,0) + IF(UPPER(TRIM('Raw data'!BC121))=UPPER(TRIM('Real results'!C123)),1,0) + IF(UPPER(TRIM('Raw data'!BC121))=UPPER(TRIM('Real results'!C124)),1,0))&gt;=1,1,0),0),0)</f>
        <v>0</v>
      </c>
      <c r="BE124" s="29">
        <f>IFERROR(IF('Raw data'!BE121&lt;&gt;"",IF((IF(UPPER(TRIM('Raw data'!BE121))=UPPER(TRIM('Real results'!C117)),1,0) + IF(UPPER(TRIM('Raw data'!BE121))=UPPER(TRIM('Real results'!C118)),1,0) + IF(UPPER(TRIM('Raw data'!BE121))=UPPER(TRIM('Real results'!C119)),1,0) + IF(UPPER(TRIM('Raw data'!BE121))=UPPER(TRIM('Real results'!C120)),1,0) + IF(UPPER(TRIM('Raw data'!BE121))=UPPER(TRIM('Real results'!C121)),1,0) + IF(UPPER(TRIM('Raw data'!BE121))=UPPER(TRIM('Real results'!C122)),1,0) + IF(UPPER(TRIM('Raw data'!BE121))=UPPER(TRIM('Real results'!C123)),1,0) + IF(UPPER(TRIM('Raw data'!BE121))=UPPER(TRIM('Real results'!C124)),1,0))&gt;=1,1,0),0),0)</f>
        <v>0</v>
      </c>
      <c r="BG124" s="29">
        <f>IFERROR(IF('Raw data'!BG121&lt;&gt;"",IF((IF(UPPER(TRIM('Raw data'!BG121))=UPPER(TRIM('Real results'!C117)),1,0) + IF(UPPER(TRIM('Raw data'!BG121))=UPPER(TRIM('Real results'!C118)),1,0) + IF(UPPER(TRIM('Raw data'!BG121))=UPPER(TRIM('Real results'!C119)),1,0) + IF(UPPER(TRIM('Raw data'!BG121))=UPPER(TRIM('Real results'!C120)),1,0) + IF(UPPER(TRIM('Raw data'!BG121))=UPPER(TRIM('Real results'!C121)),1,0) + IF(UPPER(TRIM('Raw data'!BG121))=UPPER(TRIM('Real results'!C122)),1,0) + IF(UPPER(TRIM('Raw data'!BG121))=UPPER(TRIM('Real results'!C123)),1,0) + IF(UPPER(TRIM('Raw data'!BG121))=UPPER(TRIM('Real results'!C124)),1,0))&gt;=1,1,0),0),0)</f>
        <v>0</v>
      </c>
      <c r="BI124" s="29">
        <f>IFERROR(IF('Raw data'!BI121&lt;&gt;"",IF((IF(UPPER(TRIM('Raw data'!BI121))=UPPER(TRIM('Real results'!C117)),1,0) + IF(UPPER(TRIM('Raw data'!BI121))=UPPER(TRIM('Real results'!C118)),1,0) + IF(UPPER(TRIM('Raw data'!BI121))=UPPER(TRIM('Real results'!C119)),1,0) + IF(UPPER(TRIM('Raw data'!BI121))=UPPER(TRIM('Real results'!C120)),1,0) + IF(UPPER(TRIM('Raw data'!BI121))=UPPER(TRIM('Real results'!C121)),1,0) + IF(UPPER(TRIM('Raw data'!BI121))=UPPER(TRIM('Real results'!C122)),1,0) + IF(UPPER(TRIM('Raw data'!BI121))=UPPER(TRIM('Real results'!C123)),1,0) + IF(UPPER(TRIM('Raw data'!BI121))=UPPER(TRIM('Real results'!C124)),1,0))&gt;=1,1,0),0),0)</f>
        <v>0</v>
      </c>
    </row>
    <row r="125" ht="18.0" customHeight="1">
      <c r="A125" s="1"/>
      <c r="B125" s="13" t="s">
        <v>406</v>
      </c>
      <c r="C125" s="29">
        <f>IFERROR(IF('Raw data'!C122&lt;&gt;"",IF((IF(UPPER(TRIM('Raw data'!C122))=UPPER(TRIM('Real results'!C117)),1,0) + IF(UPPER(TRIM('Raw data'!C122))=UPPER(TRIM('Real results'!C118)),1,0) + IF(UPPER(TRIM('Raw data'!C122))=UPPER(TRIM('Real results'!C119)),1,0) + IF(UPPER(TRIM('Raw data'!C122))=UPPER(TRIM('Real results'!C120)),1,0) + IF(UPPER(TRIM('Raw data'!C122))=UPPER(TRIM('Real results'!C121)),1,0) + IF(UPPER(TRIM('Raw data'!C122))=UPPER(TRIM('Real results'!C122)),1,0) + IF(UPPER(TRIM('Raw data'!C122))=UPPER(TRIM('Real results'!C123)),1,0) + IF(UPPER(TRIM('Raw data'!C122))=UPPER(TRIM('Real results'!C124)),1,0))&gt;=1,1,0),0),0)</f>
        <v>0</v>
      </c>
      <c r="E125" s="29">
        <f>IFERROR(IF('Raw data'!E122&lt;&gt;"",IF((IF(UPPER(TRIM('Raw data'!E122))=UPPER(TRIM('Real results'!C117)),1,0) + IF(UPPER(TRIM('Raw data'!E122))=UPPER(TRIM('Real results'!C118)),1,0) + IF(UPPER(TRIM('Raw data'!E122))=UPPER(TRIM('Real results'!C119)),1,0) + IF(UPPER(TRIM('Raw data'!E122))=UPPER(TRIM('Real results'!C120)),1,0) + IF(UPPER(TRIM('Raw data'!E122))=UPPER(TRIM('Real results'!C121)),1,0) + IF(UPPER(TRIM('Raw data'!E122))=UPPER(TRIM('Real results'!C122)),1,0) + IF(UPPER(TRIM('Raw data'!E122))=UPPER(TRIM('Real results'!C123)),1,0) + IF(UPPER(TRIM('Raw data'!E122))=UPPER(TRIM('Real results'!C124)),1,0))&gt;=1,1,0),0),0)</f>
        <v>0</v>
      </c>
      <c r="G125" s="29">
        <f>IFERROR(IF('Raw data'!G122&lt;&gt;"",IF((IF(UPPER(TRIM('Raw data'!G122))=UPPER(TRIM('Real results'!C117)),1,0) + IF(UPPER(TRIM('Raw data'!G122))=UPPER(TRIM('Real results'!C118)),1,0) + IF(UPPER(TRIM('Raw data'!G122))=UPPER(TRIM('Real results'!C119)),1,0) + IF(UPPER(TRIM('Raw data'!G122))=UPPER(TRIM('Real results'!C120)),1,0) + IF(UPPER(TRIM('Raw data'!G122))=UPPER(TRIM('Real results'!C121)),1,0) + IF(UPPER(TRIM('Raw data'!G122))=UPPER(TRIM('Real results'!C122)),1,0) + IF(UPPER(TRIM('Raw data'!G122))=UPPER(TRIM('Real results'!C123)),1,0) + IF(UPPER(TRIM('Raw data'!G122))=UPPER(TRIM('Real results'!C124)),1,0))&gt;=1,1,0),0),0)</f>
        <v>0</v>
      </c>
      <c r="I125" s="29">
        <f>IFERROR(IF('Raw data'!I122&lt;&gt;"",IF((IF(UPPER(TRIM('Raw data'!I122))=UPPER(TRIM('Real results'!C117)),1,0) + IF(UPPER(TRIM('Raw data'!I122))=UPPER(TRIM('Real results'!C118)),1,0) + IF(UPPER(TRIM('Raw data'!I122))=UPPER(TRIM('Real results'!C119)),1,0) + IF(UPPER(TRIM('Raw data'!I122))=UPPER(TRIM('Real results'!C120)),1,0) + IF(UPPER(TRIM('Raw data'!I122))=UPPER(TRIM('Real results'!C121)),1,0) + IF(UPPER(TRIM('Raw data'!I122))=UPPER(TRIM('Real results'!C122)),1,0) + IF(UPPER(TRIM('Raw data'!I122))=UPPER(TRIM('Real results'!C123)),1,0) + IF(UPPER(TRIM('Raw data'!I122))=UPPER(TRIM('Real results'!C124)),1,0))&gt;=1,1,0),0),0)</f>
        <v>0</v>
      </c>
      <c r="K125" s="29">
        <f>IFERROR(IF('Raw data'!K122&lt;&gt;"",IF((IF(UPPER(TRIM('Raw data'!K122))=UPPER(TRIM('Real results'!C117)),1,0) + IF(UPPER(TRIM('Raw data'!K122))=UPPER(TRIM('Real results'!C118)),1,0) + IF(UPPER(TRIM('Raw data'!K122))=UPPER(TRIM('Real results'!C119)),1,0) + IF(UPPER(TRIM('Raw data'!K122))=UPPER(TRIM('Real results'!C120)),1,0) + IF(UPPER(TRIM('Raw data'!K122))=UPPER(TRIM('Real results'!C121)),1,0) + IF(UPPER(TRIM('Raw data'!K122))=UPPER(TRIM('Real results'!C122)),1,0) + IF(UPPER(TRIM('Raw data'!K122))=UPPER(TRIM('Real results'!C123)),1,0) + IF(UPPER(TRIM('Raw data'!K122))=UPPER(TRIM('Real results'!C124)),1,0))&gt;=1,1,0),0),0)</f>
        <v>0</v>
      </c>
      <c r="M125" s="29">
        <f>IFERROR(IF('Raw data'!M122&lt;&gt;"",IF((IF(UPPER(TRIM('Raw data'!M122))=UPPER(TRIM('Real results'!C117)),1,0) + IF(UPPER(TRIM('Raw data'!M122))=UPPER(TRIM('Real results'!C118)),1,0) + IF(UPPER(TRIM('Raw data'!M122))=UPPER(TRIM('Real results'!C119)),1,0) + IF(UPPER(TRIM('Raw data'!M122))=UPPER(TRIM('Real results'!C120)),1,0) + IF(UPPER(TRIM('Raw data'!M122))=UPPER(TRIM('Real results'!C121)),1,0) + IF(UPPER(TRIM('Raw data'!M122))=UPPER(TRIM('Real results'!C122)),1,0) + IF(UPPER(TRIM('Raw data'!M122))=UPPER(TRIM('Real results'!C123)),1,0) + IF(UPPER(TRIM('Raw data'!M122))=UPPER(TRIM('Real results'!C124)),1,0))&gt;=1,1,0),0),0)</f>
        <v>0</v>
      </c>
      <c r="O125" s="29">
        <f>IFERROR(IF('Raw data'!O122&lt;&gt;"",IF((IF(UPPER(TRIM('Raw data'!O122))=UPPER(TRIM('Real results'!C117)),1,0) + IF(UPPER(TRIM('Raw data'!O122))=UPPER(TRIM('Real results'!C118)),1,0) + IF(UPPER(TRIM('Raw data'!O122))=UPPER(TRIM('Real results'!C119)),1,0) + IF(UPPER(TRIM('Raw data'!O122))=UPPER(TRIM('Real results'!C120)),1,0) + IF(UPPER(TRIM('Raw data'!O122))=UPPER(TRIM('Real results'!C121)),1,0) + IF(UPPER(TRIM('Raw data'!O122))=UPPER(TRIM('Real results'!C122)),1,0) + IF(UPPER(TRIM('Raw data'!O122))=UPPER(TRIM('Real results'!C123)),1,0) + IF(UPPER(TRIM('Raw data'!O122))=UPPER(TRIM('Real results'!C124)),1,0))&gt;=1,1,0),0),0)</f>
        <v>0</v>
      </c>
      <c r="Q125" s="29">
        <f>IFERROR(IF('Raw data'!Q122&lt;&gt;"",IF((IF(UPPER(TRIM('Raw data'!Q122))=UPPER(TRIM('Real results'!C117)),1,0) + IF(UPPER(TRIM('Raw data'!Q122))=UPPER(TRIM('Real results'!C118)),1,0) + IF(UPPER(TRIM('Raw data'!Q122))=UPPER(TRIM('Real results'!C119)),1,0) + IF(UPPER(TRIM('Raw data'!Q122))=UPPER(TRIM('Real results'!C120)),1,0) + IF(UPPER(TRIM('Raw data'!Q122))=UPPER(TRIM('Real results'!C121)),1,0) + IF(UPPER(TRIM('Raw data'!Q122))=UPPER(TRIM('Real results'!C122)),1,0) + IF(UPPER(TRIM('Raw data'!Q122))=UPPER(TRIM('Real results'!C123)),1,0) + IF(UPPER(TRIM('Raw data'!Q122))=UPPER(TRIM('Real results'!C124)),1,0))&gt;=1,1,0),0),0)</f>
        <v>0</v>
      </c>
      <c r="S125" s="29">
        <f>IFERROR(IF('Raw data'!S122&lt;&gt;"",IF((IF(UPPER(TRIM('Raw data'!S122))=UPPER(TRIM('Real results'!C117)),1,0) + IF(UPPER(TRIM('Raw data'!S122))=UPPER(TRIM('Real results'!C118)),1,0) + IF(UPPER(TRIM('Raw data'!S122))=UPPER(TRIM('Real results'!C119)),1,0) + IF(UPPER(TRIM('Raw data'!S122))=UPPER(TRIM('Real results'!C120)),1,0) + IF(UPPER(TRIM('Raw data'!S122))=UPPER(TRIM('Real results'!C121)),1,0) + IF(UPPER(TRIM('Raw data'!S122))=UPPER(TRIM('Real results'!C122)),1,0) + IF(UPPER(TRIM('Raw data'!S122))=UPPER(TRIM('Real results'!C123)),1,0) + IF(UPPER(TRIM('Raw data'!S122))=UPPER(TRIM('Real results'!C124)),1,0))&gt;=1,1,0),0),0)</f>
        <v>0</v>
      </c>
      <c r="U125" s="29">
        <f>IFERROR(IF('Raw data'!U122&lt;&gt;"",IF((IF(UPPER(TRIM('Raw data'!U122))=UPPER(TRIM('Real results'!C117)),1,0) + IF(UPPER(TRIM('Raw data'!U122))=UPPER(TRIM('Real results'!C118)),1,0) + IF(UPPER(TRIM('Raw data'!U122))=UPPER(TRIM('Real results'!C119)),1,0) + IF(UPPER(TRIM('Raw data'!U122))=UPPER(TRIM('Real results'!C120)),1,0) + IF(UPPER(TRIM('Raw data'!U122))=UPPER(TRIM('Real results'!C121)),1,0) + IF(UPPER(TRIM('Raw data'!U122))=UPPER(TRIM('Real results'!C122)),1,0) + IF(UPPER(TRIM('Raw data'!U122))=UPPER(TRIM('Real results'!C123)),1,0) + IF(UPPER(TRIM('Raw data'!U122))=UPPER(TRIM('Real results'!C124)),1,0))&gt;=1,1,0),0),0)</f>
        <v>0</v>
      </c>
      <c r="W125" s="29">
        <f>IFERROR(IF('Raw data'!W122&lt;&gt;"",IF((IF(UPPER(TRIM('Raw data'!W122))=UPPER(TRIM('Real results'!C117)),1,0) + IF(UPPER(TRIM('Raw data'!W122))=UPPER(TRIM('Real results'!C118)),1,0) + IF(UPPER(TRIM('Raw data'!W122))=UPPER(TRIM('Real results'!C119)),1,0) + IF(UPPER(TRIM('Raw data'!W122))=UPPER(TRIM('Real results'!C120)),1,0) + IF(UPPER(TRIM('Raw data'!W122))=UPPER(TRIM('Real results'!C121)),1,0) + IF(UPPER(TRIM('Raw data'!W122))=UPPER(TRIM('Real results'!C122)),1,0) + IF(UPPER(TRIM('Raw data'!W122))=UPPER(TRIM('Real results'!C123)),1,0) + IF(UPPER(TRIM('Raw data'!W122))=UPPER(TRIM('Real results'!C124)),1,0))&gt;=1,1,0),0),0)</f>
        <v>0</v>
      </c>
      <c r="Y125" s="29">
        <f>IFERROR(IF('Raw data'!Y122&lt;&gt;"",IF((IF(UPPER(TRIM('Raw data'!Y122))=UPPER(TRIM('Real results'!C117)),1,0) + IF(UPPER(TRIM('Raw data'!Y122))=UPPER(TRIM('Real results'!C118)),1,0) + IF(UPPER(TRIM('Raw data'!Y122))=UPPER(TRIM('Real results'!C119)),1,0) + IF(UPPER(TRIM('Raw data'!Y122))=UPPER(TRIM('Real results'!C120)),1,0) + IF(UPPER(TRIM('Raw data'!Y122))=UPPER(TRIM('Real results'!C121)),1,0) + IF(UPPER(TRIM('Raw data'!Y122))=UPPER(TRIM('Real results'!C122)),1,0) + IF(UPPER(TRIM('Raw data'!Y122))=UPPER(TRIM('Real results'!C123)),1,0) + IF(UPPER(TRIM('Raw data'!Y122))=UPPER(TRIM('Real results'!C124)),1,0))&gt;=1,1,0),0),0)</f>
        <v>0</v>
      </c>
      <c r="AA125" s="29">
        <f>IFERROR(IF('Raw data'!AA122&lt;&gt;"",IF((IF(UPPER(TRIM('Raw data'!AA122))=UPPER(TRIM('Real results'!C117)),1,0) + IF(UPPER(TRIM('Raw data'!AA122))=UPPER(TRIM('Real results'!C118)),1,0) + IF(UPPER(TRIM('Raw data'!AA122))=UPPER(TRIM('Real results'!C119)),1,0) + IF(UPPER(TRIM('Raw data'!AA122))=UPPER(TRIM('Real results'!C120)),1,0) + IF(UPPER(TRIM('Raw data'!AA122))=UPPER(TRIM('Real results'!C121)),1,0) + IF(UPPER(TRIM('Raw data'!AA122))=UPPER(TRIM('Real results'!C122)),1,0) + IF(UPPER(TRIM('Raw data'!AA122))=UPPER(TRIM('Real results'!C123)),1,0) + IF(UPPER(TRIM('Raw data'!AA122))=UPPER(TRIM('Real results'!C124)),1,0))&gt;=1,1,0),0),0)</f>
        <v>0</v>
      </c>
      <c r="AC125" s="29">
        <f>IFERROR(IF('Raw data'!AC122&lt;&gt;"",IF((IF(UPPER(TRIM('Raw data'!AC122))=UPPER(TRIM('Real results'!C117)),1,0) + IF(UPPER(TRIM('Raw data'!AC122))=UPPER(TRIM('Real results'!C118)),1,0) + IF(UPPER(TRIM('Raw data'!AC122))=UPPER(TRIM('Real results'!C119)),1,0) + IF(UPPER(TRIM('Raw data'!AC122))=UPPER(TRIM('Real results'!C120)),1,0) + IF(UPPER(TRIM('Raw data'!AC122))=UPPER(TRIM('Real results'!C121)),1,0) + IF(UPPER(TRIM('Raw data'!AC122))=UPPER(TRIM('Real results'!C122)),1,0) + IF(UPPER(TRIM('Raw data'!AC122))=UPPER(TRIM('Real results'!C123)),1,0) + IF(UPPER(TRIM('Raw data'!AC122))=UPPER(TRIM('Real results'!C124)),1,0))&gt;=1,1,0),0),0)</f>
        <v>0</v>
      </c>
      <c r="AE125" s="29">
        <f>IFERROR(IF('Raw data'!AE122&lt;&gt;"",IF((IF(UPPER(TRIM('Raw data'!AE122))=UPPER(TRIM('Real results'!C117)),1,0) + IF(UPPER(TRIM('Raw data'!AE122))=UPPER(TRIM('Real results'!C118)),1,0) + IF(UPPER(TRIM('Raw data'!AE122))=UPPER(TRIM('Real results'!C119)),1,0) + IF(UPPER(TRIM('Raw data'!AE122))=UPPER(TRIM('Real results'!C120)),1,0) + IF(UPPER(TRIM('Raw data'!AE122))=UPPER(TRIM('Real results'!C121)),1,0) + IF(UPPER(TRIM('Raw data'!AE122))=UPPER(TRIM('Real results'!C122)),1,0) + IF(UPPER(TRIM('Raw data'!AE122))=UPPER(TRIM('Real results'!C123)),1,0) + IF(UPPER(TRIM('Raw data'!AE122))=UPPER(TRIM('Real results'!C124)),1,0))&gt;=1,1,0),0),0)</f>
        <v>0</v>
      </c>
      <c r="AG125" s="29">
        <f>IFERROR(IF('Raw data'!AG122&lt;&gt;"",IF((IF(UPPER(TRIM('Raw data'!AG122))=UPPER(TRIM('Real results'!C117)),1,0) + IF(UPPER(TRIM('Raw data'!AG122))=UPPER(TRIM('Real results'!C118)),1,0) + IF(UPPER(TRIM('Raw data'!AG122))=UPPER(TRIM('Real results'!C119)),1,0) + IF(UPPER(TRIM('Raw data'!AG122))=UPPER(TRIM('Real results'!C120)),1,0) + IF(UPPER(TRIM('Raw data'!AG122))=UPPER(TRIM('Real results'!C121)),1,0) + IF(UPPER(TRIM('Raw data'!AG122))=UPPER(TRIM('Real results'!C122)),1,0) + IF(UPPER(TRIM('Raw data'!AG122))=UPPER(TRIM('Real results'!C123)),1,0) + IF(UPPER(TRIM('Raw data'!AG122))=UPPER(TRIM('Real results'!C124)),1,0))&gt;=1,1,0),0),0)</f>
        <v>0</v>
      </c>
      <c r="AI125" s="29">
        <f>IFERROR(IF('Raw data'!AI122&lt;&gt;"",IF((IF(UPPER(TRIM('Raw data'!AI122))=UPPER(TRIM('Real results'!C117)),1,0) + IF(UPPER(TRIM('Raw data'!AI122))=UPPER(TRIM('Real results'!C118)),1,0) + IF(UPPER(TRIM('Raw data'!AI122))=UPPER(TRIM('Real results'!C119)),1,0) + IF(UPPER(TRIM('Raw data'!AI122))=UPPER(TRIM('Real results'!C120)),1,0) + IF(UPPER(TRIM('Raw data'!AI122))=UPPER(TRIM('Real results'!C121)),1,0) + IF(UPPER(TRIM('Raw data'!AI122))=UPPER(TRIM('Real results'!C122)),1,0) + IF(UPPER(TRIM('Raw data'!AI122))=UPPER(TRIM('Real results'!C123)),1,0) + IF(UPPER(TRIM('Raw data'!AI122))=UPPER(TRIM('Real results'!C124)),1,0))&gt;=1,1,0),0),0)</f>
        <v>0</v>
      </c>
      <c r="AK125" s="29">
        <f>IFERROR(IF('Raw data'!AK122&lt;&gt;"",IF((IF(UPPER(TRIM('Raw data'!AK122))=UPPER(TRIM('Real results'!C117)),1,0) + IF(UPPER(TRIM('Raw data'!AK122))=UPPER(TRIM('Real results'!C118)),1,0) + IF(UPPER(TRIM('Raw data'!AK122))=UPPER(TRIM('Real results'!C119)),1,0) + IF(UPPER(TRIM('Raw data'!AK122))=UPPER(TRIM('Real results'!C120)),1,0) + IF(UPPER(TRIM('Raw data'!AK122))=UPPER(TRIM('Real results'!C121)),1,0) + IF(UPPER(TRIM('Raw data'!AK122))=UPPER(TRIM('Real results'!C122)),1,0) + IF(UPPER(TRIM('Raw data'!AK122))=UPPER(TRIM('Real results'!C123)),1,0) + IF(UPPER(TRIM('Raw data'!AK122))=UPPER(TRIM('Real results'!C124)),1,0))&gt;=1,1,0),0),0)</f>
        <v>0</v>
      </c>
      <c r="AM125" s="29">
        <f>IFERROR(IF('Raw data'!AM122&lt;&gt;"",IF((IF(UPPER(TRIM('Raw data'!AM122))=UPPER(TRIM('Real results'!C117)),1,0) + IF(UPPER(TRIM('Raw data'!AM122))=UPPER(TRIM('Real results'!C118)),1,0) + IF(UPPER(TRIM('Raw data'!AM122))=UPPER(TRIM('Real results'!C119)),1,0) + IF(UPPER(TRIM('Raw data'!AM122))=UPPER(TRIM('Real results'!C120)),1,0) + IF(UPPER(TRIM('Raw data'!AM122))=UPPER(TRIM('Real results'!C121)),1,0) + IF(UPPER(TRIM('Raw data'!AM122))=UPPER(TRIM('Real results'!C122)),1,0) + IF(UPPER(TRIM('Raw data'!AM122))=UPPER(TRIM('Real results'!C123)),1,0) + IF(UPPER(TRIM('Raw data'!AM122))=UPPER(TRIM('Real results'!C124)),1,0))&gt;=1,1,0),0),0)</f>
        <v>0</v>
      </c>
      <c r="AO125" s="29">
        <f>IFERROR(IF('Raw data'!AO122&lt;&gt;"",IF((IF(UPPER(TRIM('Raw data'!AO122))=UPPER(TRIM('Real results'!C117)),1,0) + IF(UPPER(TRIM('Raw data'!AO122))=UPPER(TRIM('Real results'!C118)),1,0) + IF(UPPER(TRIM('Raw data'!AO122))=UPPER(TRIM('Real results'!C119)),1,0) + IF(UPPER(TRIM('Raw data'!AO122))=UPPER(TRIM('Real results'!C120)),1,0) + IF(UPPER(TRIM('Raw data'!AO122))=UPPER(TRIM('Real results'!C121)),1,0) + IF(UPPER(TRIM('Raw data'!AO122))=UPPER(TRIM('Real results'!C122)),1,0) + IF(UPPER(TRIM('Raw data'!AO122))=UPPER(TRIM('Real results'!C123)),1,0) + IF(UPPER(TRIM('Raw data'!AO122))=UPPER(TRIM('Real results'!C124)),1,0))&gt;=1,1,0),0),0)</f>
        <v>0</v>
      </c>
      <c r="AQ125" s="29">
        <f>IFERROR(IF('Raw data'!AQ122&lt;&gt;"",IF((IF(UPPER(TRIM('Raw data'!AQ122))=UPPER(TRIM('Real results'!C117)),1,0) + IF(UPPER(TRIM('Raw data'!AQ122))=UPPER(TRIM('Real results'!C118)),1,0) + IF(UPPER(TRIM('Raw data'!AQ122))=UPPER(TRIM('Real results'!C119)),1,0) + IF(UPPER(TRIM('Raw data'!AQ122))=UPPER(TRIM('Real results'!C120)),1,0) + IF(UPPER(TRIM('Raw data'!AQ122))=UPPER(TRIM('Real results'!C121)),1,0) + IF(UPPER(TRIM('Raw data'!AQ122))=UPPER(TRIM('Real results'!C122)),1,0) + IF(UPPER(TRIM('Raw data'!AQ122))=UPPER(TRIM('Real results'!C123)),1,0) + IF(UPPER(TRIM('Raw data'!AQ122))=UPPER(TRIM('Real results'!C124)),1,0))&gt;=1,1,0),0),0)</f>
        <v>0</v>
      </c>
      <c r="AS125" s="29">
        <f>IFERROR(IF('Raw data'!AS122&lt;&gt;"",IF((IF(UPPER(TRIM('Raw data'!AS122))=UPPER(TRIM('Real results'!C117)),1,0) + IF(UPPER(TRIM('Raw data'!AS122))=UPPER(TRIM('Real results'!C118)),1,0) + IF(UPPER(TRIM('Raw data'!AS122))=UPPER(TRIM('Real results'!C119)),1,0) + IF(UPPER(TRIM('Raw data'!AS122))=UPPER(TRIM('Real results'!C120)),1,0) + IF(UPPER(TRIM('Raw data'!AS122))=UPPER(TRIM('Real results'!C121)),1,0) + IF(UPPER(TRIM('Raw data'!AS122))=UPPER(TRIM('Real results'!C122)),1,0) + IF(UPPER(TRIM('Raw data'!AS122))=UPPER(TRIM('Real results'!C123)),1,0) + IF(UPPER(TRIM('Raw data'!AS122))=UPPER(TRIM('Real results'!C124)),1,0))&gt;=1,1,0),0),0)</f>
        <v>0</v>
      </c>
      <c r="AU125" s="29">
        <f>IFERROR(IF('Raw data'!AU122&lt;&gt;"",IF((IF(UPPER(TRIM('Raw data'!AU122))=UPPER(TRIM('Real results'!C117)),1,0) + IF(UPPER(TRIM('Raw data'!AU122))=UPPER(TRIM('Real results'!C118)),1,0) + IF(UPPER(TRIM('Raw data'!AU122))=UPPER(TRIM('Real results'!C119)),1,0) + IF(UPPER(TRIM('Raw data'!AU122))=UPPER(TRIM('Real results'!C120)),1,0) + IF(UPPER(TRIM('Raw data'!AU122))=UPPER(TRIM('Real results'!C121)),1,0) + IF(UPPER(TRIM('Raw data'!AU122))=UPPER(TRIM('Real results'!C122)),1,0) + IF(UPPER(TRIM('Raw data'!AU122))=UPPER(TRIM('Real results'!C123)),1,0) + IF(UPPER(TRIM('Raw data'!AU122))=UPPER(TRIM('Real results'!C124)),1,0))&gt;=1,1,0),0),0)</f>
        <v>0</v>
      </c>
      <c r="AW125" s="29">
        <f>IFERROR(IF('Raw data'!AW122&lt;&gt;"",IF((IF(UPPER(TRIM('Raw data'!AW122))=UPPER(TRIM('Real results'!C117)),1,0) + IF(UPPER(TRIM('Raw data'!AW122))=UPPER(TRIM('Real results'!C118)),1,0) + IF(UPPER(TRIM('Raw data'!AW122))=UPPER(TRIM('Real results'!C119)),1,0) + IF(UPPER(TRIM('Raw data'!AW122))=UPPER(TRIM('Real results'!C120)),1,0) + IF(UPPER(TRIM('Raw data'!AW122))=UPPER(TRIM('Real results'!C121)),1,0) + IF(UPPER(TRIM('Raw data'!AW122))=UPPER(TRIM('Real results'!C122)),1,0) + IF(UPPER(TRIM('Raw data'!AW122))=UPPER(TRIM('Real results'!C123)),1,0) + IF(UPPER(TRIM('Raw data'!AW122))=UPPER(TRIM('Real results'!C124)),1,0))&gt;=1,1,0),0),0)</f>
        <v>0</v>
      </c>
      <c r="AY125" s="29">
        <f>IFERROR(IF('Raw data'!AY122&lt;&gt;"",IF((IF(UPPER(TRIM('Raw data'!AY122))=UPPER(TRIM('Real results'!C117)),1,0) + IF(UPPER(TRIM('Raw data'!AY122))=UPPER(TRIM('Real results'!C118)),1,0) + IF(UPPER(TRIM('Raw data'!AY122))=UPPER(TRIM('Real results'!C119)),1,0) + IF(UPPER(TRIM('Raw data'!AY122))=UPPER(TRIM('Real results'!C120)),1,0) + IF(UPPER(TRIM('Raw data'!AY122))=UPPER(TRIM('Real results'!C121)),1,0) + IF(UPPER(TRIM('Raw data'!AY122))=UPPER(TRIM('Real results'!C122)),1,0) + IF(UPPER(TRIM('Raw data'!AY122))=UPPER(TRIM('Real results'!C123)),1,0) + IF(UPPER(TRIM('Raw data'!AY122))=UPPER(TRIM('Real results'!C124)),1,0))&gt;=1,1,0),0),0)</f>
        <v>0</v>
      </c>
      <c r="BA125" s="29">
        <f>IFERROR(IF('Raw data'!BA122&lt;&gt;"",IF((IF(UPPER(TRIM('Raw data'!BA122))=UPPER(TRIM('Real results'!C117)),1,0) + IF(UPPER(TRIM('Raw data'!BA122))=UPPER(TRIM('Real results'!C118)),1,0) + IF(UPPER(TRIM('Raw data'!BA122))=UPPER(TRIM('Real results'!C119)),1,0) + IF(UPPER(TRIM('Raw data'!BA122))=UPPER(TRIM('Real results'!C120)),1,0) + IF(UPPER(TRIM('Raw data'!BA122))=UPPER(TRIM('Real results'!C121)),1,0) + IF(UPPER(TRIM('Raw data'!BA122))=UPPER(TRIM('Real results'!C122)),1,0) + IF(UPPER(TRIM('Raw data'!BA122))=UPPER(TRIM('Real results'!C123)),1,0) + IF(UPPER(TRIM('Raw data'!BA122))=UPPER(TRIM('Real results'!C124)),1,0))&gt;=1,1,0),0),0)</f>
        <v>0</v>
      </c>
      <c r="BC125" s="29">
        <f>IFERROR(IF('Raw data'!BC122&lt;&gt;"",IF((IF(UPPER(TRIM('Raw data'!BC122))=UPPER(TRIM('Real results'!C117)),1,0) + IF(UPPER(TRIM('Raw data'!BC122))=UPPER(TRIM('Real results'!C118)),1,0) + IF(UPPER(TRIM('Raw data'!BC122))=UPPER(TRIM('Real results'!C119)),1,0) + IF(UPPER(TRIM('Raw data'!BC122))=UPPER(TRIM('Real results'!C120)),1,0) + IF(UPPER(TRIM('Raw data'!BC122))=UPPER(TRIM('Real results'!C121)),1,0) + IF(UPPER(TRIM('Raw data'!BC122))=UPPER(TRIM('Real results'!C122)),1,0) + IF(UPPER(TRIM('Raw data'!BC122))=UPPER(TRIM('Real results'!C123)),1,0) + IF(UPPER(TRIM('Raw data'!BC122))=UPPER(TRIM('Real results'!C124)),1,0))&gt;=1,1,0),0),0)</f>
        <v>0</v>
      </c>
      <c r="BE125" s="29">
        <f>IFERROR(IF('Raw data'!BE122&lt;&gt;"",IF((IF(UPPER(TRIM('Raw data'!BE122))=UPPER(TRIM('Real results'!C117)),1,0) + IF(UPPER(TRIM('Raw data'!BE122))=UPPER(TRIM('Real results'!C118)),1,0) + IF(UPPER(TRIM('Raw data'!BE122))=UPPER(TRIM('Real results'!C119)),1,0) + IF(UPPER(TRIM('Raw data'!BE122))=UPPER(TRIM('Real results'!C120)),1,0) + IF(UPPER(TRIM('Raw data'!BE122))=UPPER(TRIM('Real results'!C121)),1,0) + IF(UPPER(TRIM('Raw data'!BE122))=UPPER(TRIM('Real results'!C122)),1,0) + IF(UPPER(TRIM('Raw data'!BE122))=UPPER(TRIM('Real results'!C123)),1,0) + IF(UPPER(TRIM('Raw data'!BE122))=UPPER(TRIM('Real results'!C124)),1,0))&gt;=1,1,0),0),0)</f>
        <v>0</v>
      </c>
      <c r="BG125" s="29">
        <f>IFERROR(IF('Raw data'!BG122&lt;&gt;"",IF((IF(UPPER(TRIM('Raw data'!BG122))=UPPER(TRIM('Real results'!C117)),1,0) + IF(UPPER(TRIM('Raw data'!BG122))=UPPER(TRIM('Real results'!C118)),1,0) + IF(UPPER(TRIM('Raw data'!BG122))=UPPER(TRIM('Real results'!C119)),1,0) + IF(UPPER(TRIM('Raw data'!BG122))=UPPER(TRIM('Real results'!C120)),1,0) + IF(UPPER(TRIM('Raw data'!BG122))=UPPER(TRIM('Real results'!C121)),1,0) + IF(UPPER(TRIM('Raw data'!BG122))=UPPER(TRIM('Real results'!C122)),1,0) + IF(UPPER(TRIM('Raw data'!BG122))=UPPER(TRIM('Real results'!C123)),1,0) + IF(UPPER(TRIM('Raw data'!BG122))=UPPER(TRIM('Real results'!C124)),1,0))&gt;=1,1,0),0),0)</f>
        <v>0</v>
      </c>
      <c r="BI125" s="29">
        <f>IFERROR(IF('Raw data'!BI122&lt;&gt;"",IF((IF(UPPER(TRIM('Raw data'!BI122))=UPPER(TRIM('Real results'!C117)),1,0) + IF(UPPER(TRIM('Raw data'!BI122))=UPPER(TRIM('Real results'!C118)),1,0) + IF(UPPER(TRIM('Raw data'!BI122))=UPPER(TRIM('Real results'!C119)),1,0) + IF(UPPER(TRIM('Raw data'!BI122))=UPPER(TRIM('Real results'!C120)),1,0) + IF(UPPER(TRIM('Raw data'!BI122))=UPPER(TRIM('Real results'!C121)),1,0) + IF(UPPER(TRIM('Raw data'!BI122))=UPPER(TRIM('Real results'!C122)),1,0) + IF(UPPER(TRIM('Raw data'!BI122))=UPPER(TRIM('Real results'!C123)),1,0) + IF(UPPER(TRIM('Raw data'!BI122))=UPPER(TRIM('Real results'!C124)),1,0))&gt;=1,1,0),0),0)</f>
        <v>0</v>
      </c>
    </row>
    <row r="126" ht="18.0" customHeight="1">
      <c r="A126" s="1"/>
      <c r="B126" s="13" t="s">
        <v>407</v>
      </c>
      <c r="C126" s="29">
        <f>IFERROR(IF('Raw data'!C123&lt;&gt;"",IF((IF(UPPER(TRIM('Raw data'!C123))=UPPER(TRIM('Real results'!C117)),1,0) + IF(UPPER(TRIM('Raw data'!C123))=UPPER(TRIM('Real results'!C118)),1,0) + IF(UPPER(TRIM('Raw data'!C123))=UPPER(TRIM('Real results'!C119)),1,0) + IF(UPPER(TRIM('Raw data'!C123))=UPPER(TRIM('Real results'!C120)),1,0) + IF(UPPER(TRIM('Raw data'!C123))=UPPER(TRIM('Real results'!C121)),1,0) + IF(UPPER(TRIM('Raw data'!C123))=UPPER(TRIM('Real results'!C122)),1,0) + IF(UPPER(TRIM('Raw data'!C123))=UPPER(TRIM('Real results'!C123)),1,0) + IF(UPPER(TRIM('Raw data'!C123))=UPPER(TRIM('Real results'!C124)),1,0))&gt;=1,1,0),0),0)</f>
        <v>0</v>
      </c>
      <c r="E126" s="29">
        <f>IFERROR(IF('Raw data'!E123&lt;&gt;"",IF((IF(UPPER(TRIM('Raw data'!E123))=UPPER(TRIM('Real results'!C117)),1,0) + IF(UPPER(TRIM('Raw data'!E123))=UPPER(TRIM('Real results'!C118)),1,0) + IF(UPPER(TRIM('Raw data'!E123))=UPPER(TRIM('Real results'!C119)),1,0) + IF(UPPER(TRIM('Raw data'!E123))=UPPER(TRIM('Real results'!C120)),1,0) + IF(UPPER(TRIM('Raw data'!E123))=UPPER(TRIM('Real results'!C121)),1,0) + IF(UPPER(TRIM('Raw data'!E123))=UPPER(TRIM('Real results'!C122)),1,0) + IF(UPPER(TRIM('Raw data'!E123))=UPPER(TRIM('Real results'!C123)),1,0) + IF(UPPER(TRIM('Raw data'!E123))=UPPER(TRIM('Real results'!C124)),1,0))&gt;=1,1,0),0),0)</f>
        <v>0</v>
      </c>
      <c r="G126" s="29">
        <f>IFERROR(IF('Raw data'!G123&lt;&gt;"",IF((IF(UPPER(TRIM('Raw data'!G123))=UPPER(TRIM('Real results'!C117)),1,0) + IF(UPPER(TRIM('Raw data'!G123))=UPPER(TRIM('Real results'!C118)),1,0) + IF(UPPER(TRIM('Raw data'!G123))=UPPER(TRIM('Real results'!C119)),1,0) + IF(UPPER(TRIM('Raw data'!G123))=UPPER(TRIM('Real results'!C120)),1,0) + IF(UPPER(TRIM('Raw data'!G123))=UPPER(TRIM('Real results'!C121)),1,0) + IF(UPPER(TRIM('Raw data'!G123))=UPPER(TRIM('Real results'!C122)),1,0) + IF(UPPER(TRIM('Raw data'!G123))=UPPER(TRIM('Real results'!C123)),1,0) + IF(UPPER(TRIM('Raw data'!G123))=UPPER(TRIM('Real results'!C124)),1,0))&gt;=1,1,0),0),0)</f>
        <v>0</v>
      </c>
      <c r="I126" s="29">
        <f>IFERROR(IF('Raw data'!I123&lt;&gt;"",IF((IF(UPPER(TRIM('Raw data'!I123))=UPPER(TRIM('Real results'!C117)),1,0) + IF(UPPER(TRIM('Raw data'!I123))=UPPER(TRIM('Real results'!C118)),1,0) + IF(UPPER(TRIM('Raw data'!I123))=UPPER(TRIM('Real results'!C119)),1,0) + IF(UPPER(TRIM('Raw data'!I123))=UPPER(TRIM('Real results'!C120)),1,0) + IF(UPPER(TRIM('Raw data'!I123))=UPPER(TRIM('Real results'!C121)),1,0) + IF(UPPER(TRIM('Raw data'!I123))=UPPER(TRIM('Real results'!C122)),1,0) + IF(UPPER(TRIM('Raw data'!I123))=UPPER(TRIM('Real results'!C123)),1,0) + IF(UPPER(TRIM('Raw data'!I123))=UPPER(TRIM('Real results'!C124)),1,0))&gt;=1,1,0),0),0)</f>
        <v>0</v>
      </c>
      <c r="K126" s="29">
        <f>IFERROR(IF('Raw data'!K123&lt;&gt;"",IF((IF(UPPER(TRIM('Raw data'!K123))=UPPER(TRIM('Real results'!C117)),1,0) + IF(UPPER(TRIM('Raw data'!K123))=UPPER(TRIM('Real results'!C118)),1,0) + IF(UPPER(TRIM('Raw data'!K123))=UPPER(TRIM('Real results'!C119)),1,0) + IF(UPPER(TRIM('Raw data'!K123))=UPPER(TRIM('Real results'!C120)),1,0) + IF(UPPER(TRIM('Raw data'!K123))=UPPER(TRIM('Real results'!C121)),1,0) + IF(UPPER(TRIM('Raw data'!K123))=UPPER(TRIM('Real results'!C122)),1,0) + IF(UPPER(TRIM('Raw data'!K123))=UPPER(TRIM('Real results'!C123)),1,0) + IF(UPPER(TRIM('Raw data'!K123))=UPPER(TRIM('Real results'!C124)),1,0))&gt;=1,1,0),0),0)</f>
        <v>0</v>
      </c>
      <c r="M126" s="29">
        <f>IFERROR(IF('Raw data'!M123&lt;&gt;"",IF((IF(UPPER(TRIM('Raw data'!M123))=UPPER(TRIM('Real results'!C117)),1,0) + IF(UPPER(TRIM('Raw data'!M123))=UPPER(TRIM('Real results'!C118)),1,0) + IF(UPPER(TRIM('Raw data'!M123))=UPPER(TRIM('Real results'!C119)),1,0) + IF(UPPER(TRIM('Raw data'!M123))=UPPER(TRIM('Real results'!C120)),1,0) + IF(UPPER(TRIM('Raw data'!M123))=UPPER(TRIM('Real results'!C121)),1,0) + IF(UPPER(TRIM('Raw data'!M123))=UPPER(TRIM('Real results'!C122)),1,0) + IF(UPPER(TRIM('Raw data'!M123))=UPPER(TRIM('Real results'!C123)),1,0) + IF(UPPER(TRIM('Raw data'!M123))=UPPER(TRIM('Real results'!C124)),1,0))&gt;=1,1,0),0),0)</f>
        <v>0</v>
      </c>
      <c r="O126" s="29">
        <f>IFERROR(IF('Raw data'!O123&lt;&gt;"",IF((IF(UPPER(TRIM('Raw data'!O123))=UPPER(TRIM('Real results'!C117)),1,0) + IF(UPPER(TRIM('Raw data'!O123))=UPPER(TRIM('Real results'!C118)),1,0) + IF(UPPER(TRIM('Raw data'!O123))=UPPER(TRIM('Real results'!C119)),1,0) + IF(UPPER(TRIM('Raw data'!O123))=UPPER(TRIM('Real results'!C120)),1,0) + IF(UPPER(TRIM('Raw data'!O123))=UPPER(TRIM('Real results'!C121)),1,0) + IF(UPPER(TRIM('Raw data'!O123))=UPPER(TRIM('Real results'!C122)),1,0) + IF(UPPER(TRIM('Raw data'!O123))=UPPER(TRIM('Real results'!C123)),1,0) + IF(UPPER(TRIM('Raw data'!O123))=UPPER(TRIM('Real results'!C124)),1,0))&gt;=1,1,0),0),0)</f>
        <v>0</v>
      </c>
      <c r="Q126" s="29">
        <f>IFERROR(IF('Raw data'!Q123&lt;&gt;"",IF((IF(UPPER(TRIM('Raw data'!Q123))=UPPER(TRIM('Real results'!C117)),1,0) + IF(UPPER(TRIM('Raw data'!Q123))=UPPER(TRIM('Real results'!C118)),1,0) + IF(UPPER(TRIM('Raw data'!Q123))=UPPER(TRIM('Real results'!C119)),1,0) + IF(UPPER(TRIM('Raw data'!Q123))=UPPER(TRIM('Real results'!C120)),1,0) + IF(UPPER(TRIM('Raw data'!Q123))=UPPER(TRIM('Real results'!C121)),1,0) + IF(UPPER(TRIM('Raw data'!Q123))=UPPER(TRIM('Real results'!C122)),1,0) + IF(UPPER(TRIM('Raw data'!Q123))=UPPER(TRIM('Real results'!C123)),1,0) + IF(UPPER(TRIM('Raw data'!Q123))=UPPER(TRIM('Real results'!C124)),1,0))&gt;=1,1,0),0),0)</f>
        <v>0</v>
      </c>
      <c r="S126" s="29">
        <f>IFERROR(IF('Raw data'!S123&lt;&gt;"",IF((IF(UPPER(TRIM('Raw data'!S123))=UPPER(TRIM('Real results'!C117)),1,0) + IF(UPPER(TRIM('Raw data'!S123))=UPPER(TRIM('Real results'!C118)),1,0) + IF(UPPER(TRIM('Raw data'!S123))=UPPER(TRIM('Real results'!C119)),1,0) + IF(UPPER(TRIM('Raw data'!S123))=UPPER(TRIM('Real results'!C120)),1,0) + IF(UPPER(TRIM('Raw data'!S123))=UPPER(TRIM('Real results'!C121)),1,0) + IF(UPPER(TRIM('Raw data'!S123))=UPPER(TRIM('Real results'!C122)),1,0) + IF(UPPER(TRIM('Raw data'!S123))=UPPER(TRIM('Real results'!C123)),1,0) + IF(UPPER(TRIM('Raw data'!S123))=UPPER(TRIM('Real results'!C124)),1,0))&gt;=1,1,0),0),0)</f>
        <v>0</v>
      </c>
      <c r="U126" s="29">
        <f>IFERROR(IF('Raw data'!U123&lt;&gt;"",IF((IF(UPPER(TRIM('Raw data'!U123))=UPPER(TRIM('Real results'!C117)),1,0) + IF(UPPER(TRIM('Raw data'!U123))=UPPER(TRIM('Real results'!C118)),1,0) + IF(UPPER(TRIM('Raw data'!U123))=UPPER(TRIM('Real results'!C119)),1,0) + IF(UPPER(TRIM('Raw data'!U123))=UPPER(TRIM('Real results'!C120)),1,0) + IF(UPPER(TRIM('Raw data'!U123))=UPPER(TRIM('Real results'!C121)),1,0) + IF(UPPER(TRIM('Raw data'!U123))=UPPER(TRIM('Real results'!C122)),1,0) + IF(UPPER(TRIM('Raw data'!U123))=UPPER(TRIM('Real results'!C123)),1,0) + IF(UPPER(TRIM('Raw data'!U123))=UPPER(TRIM('Real results'!C124)),1,0))&gt;=1,1,0),0),0)</f>
        <v>0</v>
      </c>
      <c r="W126" s="29">
        <f>IFERROR(IF('Raw data'!W123&lt;&gt;"",IF((IF(UPPER(TRIM('Raw data'!W123))=UPPER(TRIM('Real results'!C117)),1,0) + IF(UPPER(TRIM('Raw data'!W123))=UPPER(TRIM('Real results'!C118)),1,0) + IF(UPPER(TRIM('Raw data'!W123))=UPPER(TRIM('Real results'!C119)),1,0) + IF(UPPER(TRIM('Raw data'!W123))=UPPER(TRIM('Real results'!C120)),1,0) + IF(UPPER(TRIM('Raw data'!W123))=UPPER(TRIM('Real results'!C121)),1,0) + IF(UPPER(TRIM('Raw data'!W123))=UPPER(TRIM('Real results'!C122)),1,0) + IF(UPPER(TRIM('Raw data'!W123))=UPPER(TRIM('Real results'!C123)),1,0) + IF(UPPER(TRIM('Raw data'!W123))=UPPER(TRIM('Real results'!C124)),1,0))&gt;=1,1,0),0),0)</f>
        <v>0</v>
      </c>
      <c r="Y126" s="29">
        <f>IFERROR(IF('Raw data'!Y123&lt;&gt;"",IF((IF(UPPER(TRIM('Raw data'!Y123))=UPPER(TRIM('Real results'!C117)),1,0) + IF(UPPER(TRIM('Raw data'!Y123))=UPPER(TRIM('Real results'!C118)),1,0) + IF(UPPER(TRIM('Raw data'!Y123))=UPPER(TRIM('Real results'!C119)),1,0) + IF(UPPER(TRIM('Raw data'!Y123))=UPPER(TRIM('Real results'!C120)),1,0) + IF(UPPER(TRIM('Raw data'!Y123))=UPPER(TRIM('Real results'!C121)),1,0) + IF(UPPER(TRIM('Raw data'!Y123))=UPPER(TRIM('Real results'!C122)),1,0) + IF(UPPER(TRIM('Raw data'!Y123))=UPPER(TRIM('Real results'!C123)),1,0) + IF(UPPER(TRIM('Raw data'!Y123))=UPPER(TRIM('Real results'!C124)),1,0))&gt;=1,1,0),0),0)</f>
        <v>0</v>
      </c>
      <c r="AA126" s="29">
        <f>IFERROR(IF('Raw data'!AA123&lt;&gt;"",IF((IF(UPPER(TRIM('Raw data'!AA123))=UPPER(TRIM('Real results'!C117)),1,0) + IF(UPPER(TRIM('Raw data'!AA123))=UPPER(TRIM('Real results'!C118)),1,0) + IF(UPPER(TRIM('Raw data'!AA123))=UPPER(TRIM('Real results'!C119)),1,0) + IF(UPPER(TRIM('Raw data'!AA123))=UPPER(TRIM('Real results'!C120)),1,0) + IF(UPPER(TRIM('Raw data'!AA123))=UPPER(TRIM('Real results'!C121)),1,0) + IF(UPPER(TRIM('Raw data'!AA123))=UPPER(TRIM('Real results'!C122)),1,0) + IF(UPPER(TRIM('Raw data'!AA123))=UPPER(TRIM('Real results'!C123)),1,0) + IF(UPPER(TRIM('Raw data'!AA123))=UPPER(TRIM('Real results'!C124)),1,0))&gt;=1,1,0),0),0)</f>
        <v>0</v>
      </c>
      <c r="AC126" s="29">
        <f>IFERROR(IF('Raw data'!AC123&lt;&gt;"",IF((IF(UPPER(TRIM('Raw data'!AC123))=UPPER(TRIM('Real results'!C117)),1,0) + IF(UPPER(TRIM('Raw data'!AC123))=UPPER(TRIM('Real results'!C118)),1,0) + IF(UPPER(TRIM('Raw data'!AC123))=UPPER(TRIM('Real results'!C119)),1,0) + IF(UPPER(TRIM('Raw data'!AC123))=UPPER(TRIM('Real results'!C120)),1,0) + IF(UPPER(TRIM('Raw data'!AC123))=UPPER(TRIM('Real results'!C121)),1,0) + IF(UPPER(TRIM('Raw data'!AC123))=UPPER(TRIM('Real results'!C122)),1,0) + IF(UPPER(TRIM('Raw data'!AC123))=UPPER(TRIM('Real results'!C123)),1,0) + IF(UPPER(TRIM('Raw data'!AC123))=UPPER(TRIM('Real results'!C124)),1,0))&gt;=1,1,0),0),0)</f>
        <v>0</v>
      </c>
      <c r="AE126" s="29">
        <f>IFERROR(IF('Raw data'!AE123&lt;&gt;"",IF((IF(UPPER(TRIM('Raw data'!AE123))=UPPER(TRIM('Real results'!C117)),1,0) + IF(UPPER(TRIM('Raw data'!AE123))=UPPER(TRIM('Real results'!C118)),1,0) + IF(UPPER(TRIM('Raw data'!AE123))=UPPER(TRIM('Real results'!C119)),1,0) + IF(UPPER(TRIM('Raw data'!AE123))=UPPER(TRIM('Real results'!C120)),1,0) + IF(UPPER(TRIM('Raw data'!AE123))=UPPER(TRIM('Real results'!C121)),1,0) + IF(UPPER(TRIM('Raw data'!AE123))=UPPER(TRIM('Real results'!C122)),1,0) + IF(UPPER(TRIM('Raw data'!AE123))=UPPER(TRIM('Real results'!C123)),1,0) + IF(UPPER(TRIM('Raw data'!AE123))=UPPER(TRIM('Real results'!C124)),1,0))&gt;=1,1,0),0),0)</f>
        <v>0</v>
      </c>
      <c r="AG126" s="29">
        <f>IFERROR(IF('Raw data'!AG123&lt;&gt;"",IF((IF(UPPER(TRIM('Raw data'!AG123))=UPPER(TRIM('Real results'!C117)),1,0) + IF(UPPER(TRIM('Raw data'!AG123))=UPPER(TRIM('Real results'!C118)),1,0) + IF(UPPER(TRIM('Raw data'!AG123))=UPPER(TRIM('Real results'!C119)),1,0) + IF(UPPER(TRIM('Raw data'!AG123))=UPPER(TRIM('Real results'!C120)),1,0) + IF(UPPER(TRIM('Raw data'!AG123))=UPPER(TRIM('Real results'!C121)),1,0) + IF(UPPER(TRIM('Raw data'!AG123))=UPPER(TRIM('Real results'!C122)),1,0) + IF(UPPER(TRIM('Raw data'!AG123))=UPPER(TRIM('Real results'!C123)),1,0) + IF(UPPER(TRIM('Raw data'!AG123))=UPPER(TRIM('Real results'!C124)),1,0))&gt;=1,1,0),0),0)</f>
        <v>0</v>
      </c>
      <c r="AI126" s="29">
        <f>IFERROR(IF('Raw data'!AI123&lt;&gt;"",IF((IF(UPPER(TRIM('Raw data'!AI123))=UPPER(TRIM('Real results'!C117)),1,0) + IF(UPPER(TRIM('Raw data'!AI123))=UPPER(TRIM('Real results'!C118)),1,0) + IF(UPPER(TRIM('Raw data'!AI123))=UPPER(TRIM('Real results'!C119)),1,0) + IF(UPPER(TRIM('Raw data'!AI123))=UPPER(TRIM('Real results'!C120)),1,0) + IF(UPPER(TRIM('Raw data'!AI123))=UPPER(TRIM('Real results'!C121)),1,0) + IF(UPPER(TRIM('Raw data'!AI123))=UPPER(TRIM('Real results'!C122)),1,0) + IF(UPPER(TRIM('Raw data'!AI123))=UPPER(TRIM('Real results'!C123)),1,0) + IF(UPPER(TRIM('Raw data'!AI123))=UPPER(TRIM('Real results'!C124)),1,0))&gt;=1,1,0),0),0)</f>
        <v>0</v>
      </c>
      <c r="AK126" s="29">
        <f>IFERROR(IF('Raw data'!AK123&lt;&gt;"",IF((IF(UPPER(TRIM('Raw data'!AK123))=UPPER(TRIM('Real results'!C117)),1,0) + IF(UPPER(TRIM('Raw data'!AK123))=UPPER(TRIM('Real results'!C118)),1,0) + IF(UPPER(TRIM('Raw data'!AK123))=UPPER(TRIM('Real results'!C119)),1,0) + IF(UPPER(TRIM('Raw data'!AK123))=UPPER(TRIM('Real results'!C120)),1,0) + IF(UPPER(TRIM('Raw data'!AK123))=UPPER(TRIM('Real results'!C121)),1,0) + IF(UPPER(TRIM('Raw data'!AK123))=UPPER(TRIM('Real results'!C122)),1,0) + IF(UPPER(TRIM('Raw data'!AK123))=UPPER(TRIM('Real results'!C123)),1,0) + IF(UPPER(TRIM('Raw data'!AK123))=UPPER(TRIM('Real results'!C124)),1,0))&gt;=1,1,0),0),0)</f>
        <v>0</v>
      </c>
      <c r="AM126" s="29">
        <f>IFERROR(IF('Raw data'!AM123&lt;&gt;"",IF((IF(UPPER(TRIM('Raw data'!AM123))=UPPER(TRIM('Real results'!C117)),1,0) + IF(UPPER(TRIM('Raw data'!AM123))=UPPER(TRIM('Real results'!C118)),1,0) + IF(UPPER(TRIM('Raw data'!AM123))=UPPER(TRIM('Real results'!C119)),1,0) + IF(UPPER(TRIM('Raw data'!AM123))=UPPER(TRIM('Real results'!C120)),1,0) + IF(UPPER(TRIM('Raw data'!AM123))=UPPER(TRIM('Real results'!C121)),1,0) + IF(UPPER(TRIM('Raw data'!AM123))=UPPER(TRIM('Real results'!C122)),1,0) + IF(UPPER(TRIM('Raw data'!AM123))=UPPER(TRIM('Real results'!C123)),1,0) + IF(UPPER(TRIM('Raw data'!AM123))=UPPER(TRIM('Real results'!C124)),1,0))&gt;=1,1,0),0),0)</f>
        <v>0</v>
      </c>
      <c r="AO126" s="29">
        <f>IFERROR(IF('Raw data'!AO123&lt;&gt;"",IF((IF(UPPER(TRIM('Raw data'!AO123))=UPPER(TRIM('Real results'!C117)),1,0) + IF(UPPER(TRIM('Raw data'!AO123))=UPPER(TRIM('Real results'!C118)),1,0) + IF(UPPER(TRIM('Raw data'!AO123))=UPPER(TRIM('Real results'!C119)),1,0) + IF(UPPER(TRIM('Raw data'!AO123))=UPPER(TRIM('Real results'!C120)),1,0) + IF(UPPER(TRIM('Raw data'!AO123))=UPPER(TRIM('Real results'!C121)),1,0) + IF(UPPER(TRIM('Raw data'!AO123))=UPPER(TRIM('Real results'!C122)),1,0) + IF(UPPER(TRIM('Raw data'!AO123))=UPPER(TRIM('Real results'!C123)),1,0) + IF(UPPER(TRIM('Raw data'!AO123))=UPPER(TRIM('Real results'!C124)),1,0))&gt;=1,1,0),0),0)</f>
        <v>0</v>
      </c>
      <c r="AQ126" s="29">
        <f>IFERROR(IF('Raw data'!AQ123&lt;&gt;"",IF((IF(UPPER(TRIM('Raw data'!AQ123))=UPPER(TRIM('Real results'!C117)),1,0) + IF(UPPER(TRIM('Raw data'!AQ123))=UPPER(TRIM('Real results'!C118)),1,0) + IF(UPPER(TRIM('Raw data'!AQ123))=UPPER(TRIM('Real results'!C119)),1,0) + IF(UPPER(TRIM('Raw data'!AQ123))=UPPER(TRIM('Real results'!C120)),1,0) + IF(UPPER(TRIM('Raw data'!AQ123))=UPPER(TRIM('Real results'!C121)),1,0) + IF(UPPER(TRIM('Raw data'!AQ123))=UPPER(TRIM('Real results'!C122)),1,0) + IF(UPPER(TRIM('Raw data'!AQ123))=UPPER(TRIM('Real results'!C123)),1,0) + IF(UPPER(TRIM('Raw data'!AQ123))=UPPER(TRIM('Real results'!C124)),1,0))&gt;=1,1,0),0),0)</f>
        <v>0</v>
      </c>
      <c r="AS126" s="29">
        <f>IFERROR(IF('Raw data'!AS123&lt;&gt;"",IF((IF(UPPER(TRIM('Raw data'!AS123))=UPPER(TRIM('Real results'!C117)),1,0) + IF(UPPER(TRIM('Raw data'!AS123))=UPPER(TRIM('Real results'!C118)),1,0) + IF(UPPER(TRIM('Raw data'!AS123))=UPPER(TRIM('Real results'!C119)),1,0) + IF(UPPER(TRIM('Raw data'!AS123))=UPPER(TRIM('Real results'!C120)),1,0) + IF(UPPER(TRIM('Raw data'!AS123))=UPPER(TRIM('Real results'!C121)),1,0) + IF(UPPER(TRIM('Raw data'!AS123))=UPPER(TRIM('Real results'!C122)),1,0) + IF(UPPER(TRIM('Raw data'!AS123))=UPPER(TRIM('Real results'!C123)),1,0) + IF(UPPER(TRIM('Raw data'!AS123))=UPPER(TRIM('Real results'!C124)),1,0))&gt;=1,1,0),0),0)</f>
        <v>0</v>
      </c>
      <c r="AU126" s="29">
        <f>IFERROR(IF('Raw data'!AU123&lt;&gt;"",IF((IF(UPPER(TRIM('Raw data'!AU123))=UPPER(TRIM('Real results'!C117)),1,0) + IF(UPPER(TRIM('Raw data'!AU123))=UPPER(TRIM('Real results'!C118)),1,0) + IF(UPPER(TRIM('Raw data'!AU123))=UPPER(TRIM('Real results'!C119)),1,0) + IF(UPPER(TRIM('Raw data'!AU123))=UPPER(TRIM('Real results'!C120)),1,0) + IF(UPPER(TRIM('Raw data'!AU123))=UPPER(TRIM('Real results'!C121)),1,0) + IF(UPPER(TRIM('Raw data'!AU123))=UPPER(TRIM('Real results'!C122)),1,0) + IF(UPPER(TRIM('Raw data'!AU123))=UPPER(TRIM('Real results'!C123)),1,0) + IF(UPPER(TRIM('Raw data'!AU123))=UPPER(TRIM('Real results'!C124)),1,0))&gt;=1,1,0),0),0)</f>
        <v>0</v>
      </c>
      <c r="AW126" s="29">
        <f>IFERROR(IF('Raw data'!AW123&lt;&gt;"",IF((IF(UPPER(TRIM('Raw data'!AW123))=UPPER(TRIM('Real results'!C117)),1,0) + IF(UPPER(TRIM('Raw data'!AW123))=UPPER(TRIM('Real results'!C118)),1,0) + IF(UPPER(TRIM('Raw data'!AW123))=UPPER(TRIM('Real results'!C119)),1,0) + IF(UPPER(TRIM('Raw data'!AW123))=UPPER(TRIM('Real results'!C120)),1,0) + IF(UPPER(TRIM('Raw data'!AW123))=UPPER(TRIM('Real results'!C121)),1,0) + IF(UPPER(TRIM('Raw data'!AW123))=UPPER(TRIM('Real results'!C122)),1,0) + IF(UPPER(TRIM('Raw data'!AW123))=UPPER(TRIM('Real results'!C123)),1,0) + IF(UPPER(TRIM('Raw data'!AW123))=UPPER(TRIM('Real results'!C124)),1,0))&gt;=1,1,0),0),0)</f>
        <v>0</v>
      </c>
      <c r="AY126" s="29">
        <f>IFERROR(IF('Raw data'!AY123&lt;&gt;"",IF((IF(UPPER(TRIM('Raw data'!AY123))=UPPER(TRIM('Real results'!C117)),1,0) + IF(UPPER(TRIM('Raw data'!AY123))=UPPER(TRIM('Real results'!C118)),1,0) + IF(UPPER(TRIM('Raw data'!AY123))=UPPER(TRIM('Real results'!C119)),1,0) + IF(UPPER(TRIM('Raw data'!AY123))=UPPER(TRIM('Real results'!C120)),1,0) + IF(UPPER(TRIM('Raw data'!AY123))=UPPER(TRIM('Real results'!C121)),1,0) + IF(UPPER(TRIM('Raw data'!AY123))=UPPER(TRIM('Real results'!C122)),1,0) + IF(UPPER(TRIM('Raw data'!AY123))=UPPER(TRIM('Real results'!C123)),1,0) + IF(UPPER(TRIM('Raw data'!AY123))=UPPER(TRIM('Real results'!C124)),1,0))&gt;=1,1,0),0),0)</f>
        <v>0</v>
      </c>
      <c r="BA126" s="29">
        <f>IFERROR(IF('Raw data'!BA123&lt;&gt;"",IF((IF(UPPER(TRIM('Raw data'!BA123))=UPPER(TRIM('Real results'!C117)),1,0) + IF(UPPER(TRIM('Raw data'!BA123))=UPPER(TRIM('Real results'!C118)),1,0) + IF(UPPER(TRIM('Raw data'!BA123))=UPPER(TRIM('Real results'!C119)),1,0) + IF(UPPER(TRIM('Raw data'!BA123))=UPPER(TRIM('Real results'!C120)),1,0) + IF(UPPER(TRIM('Raw data'!BA123))=UPPER(TRIM('Real results'!C121)),1,0) + IF(UPPER(TRIM('Raw data'!BA123))=UPPER(TRIM('Real results'!C122)),1,0) + IF(UPPER(TRIM('Raw data'!BA123))=UPPER(TRIM('Real results'!C123)),1,0) + IF(UPPER(TRIM('Raw data'!BA123))=UPPER(TRIM('Real results'!C124)),1,0))&gt;=1,1,0),0),0)</f>
        <v>0</v>
      </c>
      <c r="BC126" s="29">
        <f>IFERROR(IF('Raw data'!BC123&lt;&gt;"",IF((IF(UPPER(TRIM('Raw data'!BC123))=UPPER(TRIM('Real results'!C117)),1,0) + IF(UPPER(TRIM('Raw data'!BC123))=UPPER(TRIM('Real results'!C118)),1,0) + IF(UPPER(TRIM('Raw data'!BC123))=UPPER(TRIM('Real results'!C119)),1,0) + IF(UPPER(TRIM('Raw data'!BC123))=UPPER(TRIM('Real results'!C120)),1,0) + IF(UPPER(TRIM('Raw data'!BC123))=UPPER(TRIM('Real results'!C121)),1,0) + IF(UPPER(TRIM('Raw data'!BC123))=UPPER(TRIM('Real results'!C122)),1,0) + IF(UPPER(TRIM('Raw data'!BC123))=UPPER(TRIM('Real results'!C123)),1,0) + IF(UPPER(TRIM('Raw data'!BC123))=UPPER(TRIM('Real results'!C124)),1,0))&gt;=1,1,0),0),0)</f>
        <v>0</v>
      </c>
      <c r="BE126" s="29">
        <f>IFERROR(IF('Raw data'!BE123&lt;&gt;"",IF((IF(UPPER(TRIM('Raw data'!BE123))=UPPER(TRIM('Real results'!C117)),1,0) + IF(UPPER(TRIM('Raw data'!BE123))=UPPER(TRIM('Real results'!C118)),1,0) + IF(UPPER(TRIM('Raw data'!BE123))=UPPER(TRIM('Real results'!C119)),1,0) + IF(UPPER(TRIM('Raw data'!BE123))=UPPER(TRIM('Real results'!C120)),1,0) + IF(UPPER(TRIM('Raw data'!BE123))=UPPER(TRIM('Real results'!C121)),1,0) + IF(UPPER(TRIM('Raw data'!BE123))=UPPER(TRIM('Real results'!C122)),1,0) + IF(UPPER(TRIM('Raw data'!BE123))=UPPER(TRIM('Real results'!C123)),1,0) + IF(UPPER(TRIM('Raw data'!BE123))=UPPER(TRIM('Real results'!C124)),1,0))&gt;=1,1,0),0),0)</f>
        <v>0</v>
      </c>
      <c r="BG126" s="29">
        <f>IFERROR(IF('Raw data'!BG123&lt;&gt;"",IF((IF(UPPER(TRIM('Raw data'!BG123))=UPPER(TRIM('Real results'!C117)),1,0) + IF(UPPER(TRIM('Raw data'!BG123))=UPPER(TRIM('Real results'!C118)),1,0) + IF(UPPER(TRIM('Raw data'!BG123))=UPPER(TRIM('Real results'!C119)),1,0) + IF(UPPER(TRIM('Raw data'!BG123))=UPPER(TRIM('Real results'!C120)),1,0) + IF(UPPER(TRIM('Raw data'!BG123))=UPPER(TRIM('Real results'!C121)),1,0) + IF(UPPER(TRIM('Raw data'!BG123))=UPPER(TRIM('Real results'!C122)),1,0) + IF(UPPER(TRIM('Raw data'!BG123))=UPPER(TRIM('Real results'!C123)),1,0) + IF(UPPER(TRIM('Raw data'!BG123))=UPPER(TRIM('Real results'!C124)),1,0))&gt;=1,1,0),0),0)</f>
        <v>0</v>
      </c>
      <c r="BI126" s="29">
        <f>IFERROR(IF('Raw data'!BI123&lt;&gt;"",IF((IF(UPPER(TRIM('Raw data'!BI123))=UPPER(TRIM('Real results'!C117)),1,0) + IF(UPPER(TRIM('Raw data'!BI123))=UPPER(TRIM('Real results'!C118)),1,0) + IF(UPPER(TRIM('Raw data'!BI123))=UPPER(TRIM('Real results'!C119)),1,0) + IF(UPPER(TRIM('Raw data'!BI123))=UPPER(TRIM('Real results'!C120)),1,0) + IF(UPPER(TRIM('Raw data'!BI123))=UPPER(TRIM('Real results'!C121)),1,0) + IF(UPPER(TRIM('Raw data'!BI123))=UPPER(TRIM('Real results'!C122)),1,0) + IF(UPPER(TRIM('Raw data'!BI123))=UPPER(TRIM('Real results'!C123)),1,0) + IF(UPPER(TRIM('Raw data'!BI123))=UPPER(TRIM('Real results'!C124)),1,0))&gt;=1,1,0),0),0)</f>
        <v>0</v>
      </c>
    </row>
    <row r="127" ht="18.0" customHeight="1">
      <c r="A127" s="1"/>
      <c r="B127" s="13" t="s">
        <v>408</v>
      </c>
      <c r="C127" s="29">
        <f>IFERROR(IF('Raw data'!C124&lt;&gt;"",IF((IF(UPPER(TRIM('Raw data'!C124))=UPPER(TRIM('Real results'!C117)),1,0) + IF(UPPER(TRIM('Raw data'!C124))=UPPER(TRIM('Real results'!C118)),1,0) + IF(UPPER(TRIM('Raw data'!C124))=UPPER(TRIM('Real results'!C119)),1,0) + IF(UPPER(TRIM('Raw data'!C124))=UPPER(TRIM('Real results'!C120)),1,0) + IF(UPPER(TRIM('Raw data'!C124))=UPPER(TRIM('Real results'!C121)),1,0) + IF(UPPER(TRIM('Raw data'!C124))=UPPER(TRIM('Real results'!C122)),1,0) + IF(UPPER(TRIM('Raw data'!C124))=UPPER(TRIM('Real results'!C123)),1,0) + IF(UPPER(TRIM('Raw data'!C124))=UPPER(TRIM('Real results'!C124)),1,0))&gt;=1,1,0),0),0)</f>
        <v>0</v>
      </c>
      <c r="E127" s="29">
        <f>IFERROR(IF('Raw data'!E124&lt;&gt;"",IF((IF(UPPER(TRIM('Raw data'!E124))=UPPER(TRIM('Real results'!C117)),1,0) + IF(UPPER(TRIM('Raw data'!E124))=UPPER(TRIM('Real results'!C118)),1,0) + IF(UPPER(TRIM('Raw data'!E124))=UPPER(TRIM('Real results'!C119)),1,0) + IF(UPPER(TRIM('Raw data'!E124))=UPPER(TRIM('Real results'!C120)),1,0) + IF(UPPER(TRIM('Raw data'!E124))=UPPER(TRIM('Real results'!C121)),1,0) + IF(UPPER(TRIM('Raw data'!E124))=UPPER(TRIM('Real results'!C122)),1,0) + IF(UPPER(TRIM('Raw data'!E124))=UPPER(TRIM('Real results'!C123)),1,0) + IF(UPPER(TRIM('Raw data'!E124))=UPPER(TRIM('Real results'!C124)),1,0))&gt;=1,1,0),0),0)</f>
        <v>0</v>
      </c>
      <c r="G127" s="29">
        <f>IFERROR(IF('Raw data'!G124&lt;&gt;"",IF((IF(UPPER(TRIM('Raw data'!G124))=UPPER(TRIM('Real results'!C117)),1,0) + IF(UPPER(TRIM('Raw data'!G124))=UPPER(TRIM('Real results'!C118)),1,0) + IF(UPPER(TRIM('Raw data'!G124))=UPPER(TRIM('Real results'!C119)),1,0) + IF(UPPER(TRIM('Raw data'!G124))=UPPER(TRIM('Real results'!C120)),1,0) + IF(UPPER(TRIM('Raw data'!G124))=UPPER(TRIM('Real results'!C121)),1,0) + IF(UPPER(TRIM('Raw data'!G124))=UPPER(TRIM('Real results'!C122)),1,0) + IF(UPPER(TRIM('Raw data'!G124))=UPPER(TRIM('Real results'!C123)),1,0) + IF(UPPER(TRIM('Raw data'!G124))=UPPER(TRIM('Real results'!C124)),1,0))&gt;=1,1,0),0),0)</f>
        <v>0</v>
      </c>
      <c r="I127" s="29">
        <f>IFERROR(IF('Raw data'!I124&lt;&gt;"",IF((IF(UPPER(TRIM('Raw data'!I124))=UPPER(TRIM('Real results'!C117)),1,0) + IF(UPPER(TRIM('Raw data'!I124))=UPPER(TRIM('Real results'!C118)),1,0) + IF(UPPER(TRIM('Raw data'!I124))=UPPER(TRIM('Real results'!C119)),1,0) + IF(UPPER(TRIM('Raw data'!I124))=UPPER(TRIM('Real results'!C120)),1,0) + IF(UPPER(TRIM('Raw data'!I124))=UPPER(TRIM('Real results'!C121)),1,0) + IF(UPPER(TRIM('Raw data'!I124))=UPPER(TRIM('Real results'!C122)),1,0) + IF(UPPER(TRIM('Raw data'!I124))=UPPER(TRIM('Real results'!C123)),1,0) + IF(UPPER(TRIM('Raw data'!I124))=UPPER(TRIM('Real results'!C124)),1,0))&gt;=1,1,0),0),0)</f>
        <v>0</v>
      </c>
      <c r="K127" s="29">
        <f>IFERROR(IF('Raw data'!K124&lt;&gt;"",IF((IF(UPPER(TRIM('Raw data'!K124))=UPPER(TRIM('Real results'!C117)),1,0) + IF(UPPER(TRIM('Raw data'!K124))=UPPER(TRIM('Real results'!C118)),1,0) + IF(UPPER(TRIM('Raw data'!K124))=UPPER(TRIM('Real results'!C119)),1,0) + IF(UPPER(TRIM('Raw data'!K124))=UPPER(TRIM('Real results'!C120)),1,0) + IF(UPPER(TRIM('Raw data'!K124))=UPPER(TRIM('Real results'!C121)),1,0) + IF(UPPER(TRIM('Raw data'!K124))=UPPER(TRIM('Real results'!C122)),1,0) + IF(UPPER(TRIM('Raw data'!K124))=UPPER(TRIM('Real results'!C123)),1,0) + IF(UPPER(TRIM('Raw data'!K124))=UPPER(TRIM('Real results'!C124)),1,0))&gt;=1,1,0),0),0)</f>
        <v>0</v>
      </c>
      <c r="M127" s="29">
        <f>IFERROR(IF('Raw data'!M124&lt;&gt;"",IF((IF(UPPER(TRIM('Raw data'!M124))=UPPER(TRIM('Real results'!C117)),1,0) + IF(UPPER(TRIM('Raw data'!M124))=UPPER(TRIM('Real results'!C118)),1,0) + IF(UPPER(TRIM('Raw data'!M124))=UPPER(TRIM('Real results'!C119)),1,0) + IF(UPPER(TRIM('Raw data'!M124))=UPPER(TRIM('Real results'!C120)),1,0) + IF(UPPER(TRIM('Raw data'!M124))=UPPER(TRIM('Real results'!C121)),1,0) + IF(UPPER(TRIM('Raw data'!M124))=UPPER(TRIM('Real results'!C122)),1,0) + IF(UPPER(TRIM('Raw data'!M124))=UPPER(TRIM('Real results'!C123)),1,0) + IF(UPPER(TRIM('Raw data'!M124))=UPPER(TRIM('Real results'!C124)),1,0))&gt;=1,1,0),0),0)</f>
        <v>0</v>
      </c>
      <c r="O127" s="29">
        <f>IFERROR(IF('Raw data'!O124&lt;&gt;"",IF((IF(UPPER(TRIM('Raw data'!O124))=UPPER(TRIM('Real results'!C117)),1,0) + IF(UPPER(TRIM('Raw data'!O124))=UPPER(TRIM('Real results'!C118)),1,0) + IF(UPPER(TRIM('Raw data'!O124))=UPPER(TRIM('Real results'!C119)),1,0) + IF(UPPER(TRIM('Raw data'!O124))=UPPER(TRIM('Real results'!C120)),1,0) + IF(UPPER(TRIM('Raw data'!O124))=UPPER(TRIM('Real results'!C121)),1,0) + IF(UPPER(TRIM('Raw data'!O124))=UPPER(TRIM('Real results'!C122)),1,0) + IF(UPPER(TRIM('Raw data'!O124))=UPPER(TRIM('Real results'!C123)),1,0) + IF(UPPER(TRIM('Raw data'!O124))=UPPER(TRIM('Real results'!C124)),1,0))&gt;=1,1,0),0),0)</f>
        <v>0</v>
      </c>
      <c r="Q127" s="29">
        <f>IFERROR(IF('Raw data'!Q124&lt;&gt;"",IF((IF(UPPER(TRIM('Raw data'!Q124))=UPPER(TRIM('Real results'!C117)),1,0) + IF(UPPER(TRIM('Raw data'!Q124))=UPPER(TRIM('Real results'!C118)),1,0) + IF(UPPER(TRIM('Raw data'!Q124))=UPPER(TRIM('Real results'!C119)),1,0) + IF(UPPER(TRIM('Raw data'!Q124))=UPPER(TRIM('Real results'!C120)),1,0) + IF(UPPER(TRIM('Raw data'!Q124))=UPPER(TRIM('Real results'!C121)),1,0) + IF(UPPER(TRIM('Raw data'!Q124))=UPPER(TRIM('Real results'!C122)),1,0) + IF(UPPER(TRIM('Raw data'!Q124))=UPPER(TRIM('Real results'!C123)),1,0) + IF(UPPER(TRIM('Raw data'!Q124))=UPPER(TRIM('Real results'!C124)),1,0))&gt;=1,1,0),0),0)</f>
        <v>0</v>
      </c>
      <c r="S127" s="29">
        <f>IFERROR(IF('Raw data'!S124&lt;&gt;"",IF((IF(UPPER(TRIM('Raw data'!S124))=UPPER(TRIM('Real results'!C117)),1,0) + IF(UPPER(TRIM('Raw data'!S124))=UPPER(TRIM('Real results'!C118)),1,0) + IF(UPPER(TRIM('Raw data'!S124))=UPPER(TRIM('Real results'!C119)),1,0) + IF(UPPER(TRIM('Raw data'!S124))=UPPER(TRIM('Real results'!C120)),1,0) + IF(UPPER(TRIM('Raw data'!S124))=UPPER(TRIM('Real results'!C121)),1,0) + IF(UPPER(TRIM('Raw data'!S124))=UPPER(TRIM('Real results'!C122)),1,0) + IF(UPPER(TRIM('Raw data'!S124))=UPPER(TRIM('Real results'!C123)),1,0) + IF(UPPER(TRIM('Raw data'!S124))=UPPER(TRIM('Real results'!C124)),1,0))&gt;=1,1,0),0),0)</f>
        <v>0</v>
      </c>
      <c r="U127" s="29">
        <f>IFERROR(IF('Raw data'!U124&lt;&gt;"",IF((IF(UPPER(TRIM('Raw data'!U124))=UPPER(TRIM('Real results'!C117)),1,0) + IF(UPPER(TRIM('Raw data'!U124))=UPPER(TRIM('Real results'!C118)),1,0) + IF(UPPER(TRIM('Raw data'!U124))=UPPER(TRIM('Real results'!C119)),1,0) + IF(UPPER(TRIM('Raw data'!U124))=UPPER(TRIM('Real results'!C120)),1,0) + IF(UPPER(TRIM('Raw data'!U124))=UPPER(TRIM('Real results'!C121)),1,0) + IF(UPPER(TRIM('Raw data'!U124))=UPPER(TRIM('Real results'!C122)),1,0) + IF(UPPER(TRIM('Raw data'!U124))=UPPER(TRIM('Real results'!C123)),1,0) + IF(UPPER(TRIM('Raw data'!U124))=UPPER(TRIM('Real results'!C124)),1,0))&gt;=1,1,0),0),0)</f>
        <v>0</v>
      </c>
      <c r="W127" s="29">
        <f>IFERROR(IF('Raw data'!W124&lt;&gt;"",IF((IF(UPPER(TRIM('Raw data'!W124))=UPPER(TRIM('Real results'!C117)),1,0) + IF(UPPER(TRIM('Raw data'!W124))=UPPER(TRIM('Real results'!C118)),1,0) + IF(UPPER(TRIM('Raw data'!W124))=UPPER(TRIM('Real results'!C119)),1,0) + IF(UPPER(TRIM('Raw data'!W124))=UPPER(TRIM('Real results'!C120)),1,0) + IF(UPPER(TRIM('Raw data'!W124))=UPPER(TRIM('Real results'!C121)),1,0) + IF(UPPER(TRIM('Raw data'!W124))=UPPER(TRIM('Real results'!C122)),1,0) + IF(UPPER(TRIM('Raw data'!W124))=UPPER(TRIM('Real results'!C123)),1,0) + IF(UPPER(TRIM('Raw data'!W124))=UPPER(TRIM('Real results'!C124)),1,0))&gt;=1,1,0),0),0)</f>
        <v>0</v>
      </c>
      <c r="Y127" s="29">
        <f>IFERROR(IF('Raw data'!Y124&lt;&gt;"",IF((IF(UPPER(TRIM('Raw data'!Y124))=UPPER(TRIM('Real results'!C117)),1,0) + IF(UPPER(TRIM('Raw data'!Y124))=UPPER(TRIM('Real results'!C118)),1,0) + IF(UPPER(TRIM('Raw data'!Y124))=UPPER(TRIM('Real results'!C119)),1,0) + IF(UPPER(TRIM('Raw data'!Y124))=UPPER(TRIM('Real results'!C120)),1,0) + IF(UPPER(TRIM('Raw data'!Y124))=UPPER(TRIM('Real results'!C121)),1,0) + IF(UPPER(TRIM('Raw data'!Y124))=UPPER(TRIM('Real results'!C122)),1,0) + IF(UPPER(TRIM('Raw data'!Y124))=UPPER(TRIM('Real results'!C123)),1,0) + IF(UPPER(TRIM('Raw data'!Y124))=UPPER(TRIM('Real results'!C124)),1,0))&gt;=1,1,0),0),0)</f>
        <v>0</v>
      </c>
      <c r="AA127" s="29">
        <f>IFERROR(IF('Raw data'!AA124&lt;&gt;"",IF((IF(UPPER(TRIM('Raw data'!AA124))=UPPER(TRIM('Real results'!C117)),1,0) + IF(UPPER(TRIM('Raw data'!AA124))=UPPER(TRIM('Real results'!C118)),1,0) + IF(UPPER(TRIM('Raw data'!AA124))=UPPER(TRIM('Real results'!C119)),1,0) + IF(UPPER(TRIM('Raw data'!AA124))=UPPER(TRIM('Real results'!C120)),1,0) + IF(UPPER(TRIM('Raw data'!AA124))=UPPER(TRIM('Real results'!C121)),1,0) + IF(UPPER(TRIM('Raw data'!AA124))=UPPER(TRIM('Real results'!C122)),1,0) + IF(UPPER(TRIM('Raw data'!AA124))=UPPER(TRIM('Real results'!C123)),1,0) + IF(UPPER(TRIM('Raw data'!AA124))=UPPER(TRIM('Real results'!C124)),1,0))&gt;=1,1,0),0),0)</f>
        <v>0</v>
      </c>
      <c r="AC127" s="29">
        <f>IFERROR(IF('Raw data'!AC124&lt;&gt;"",IF((IF(UPPER(TRIM('Raw data'!AC124))=UPPER(TRIM('Real results'!C117)),1,0) + IF(UPPER(TRIM('Raw data'!AC124))=UPPER(TRIM('Real results'!C118)),1,0) + IF(UPPER(TRIM('Raw data'!AC124))=UPPER(TRIM('Real results'!C119)),1,0) + IF(UPPER(TRIM('Raw data'!AC124))=UPPER(TRIM('Real results'!C120)),1,0) + IF(UPPER(TRIM('Raw data'!AC124))=UPPER(TRIM('Real results'!C121)),1,0) + IF(UPPER(TRIM('Raw data'!AC124))=UPPER(TRIM('Real results'!C122)),1,0) + IF(UPPER(TRIM('Raw data'!AC124))=UPPER(TRIM('Real results'!C123)),1,0) + IF(UPPER(TRIM('Raw data'!AC124))=UPPER(TRIM('Real results'!C124)),1,0))&gt;=1,1,0),0),0)</f>
        <v>0</v>
      </c>
      <c r="AE127" s="29">
        <f>IFERROR(IF('Raw data'!AE124&lt;&gt;"",IF((IF(UPPER(TRIM('Raw data'!AE124))=UPPER(TRIM('Real results'!C117)),1,0) + IF(UPPER(TRIM('Raw data'!AE124))=UPPER(TRIM('Real results'!C118)),1,0) + IF(UPPER(TRIM('Raw data'!AE124))=UPPER(TRIM('Real results'!C119)),1,0) + IF(UPPER(TRIM('Raw data'!AE124))=UPPER(TRIM('Real results'!C120)),1,0) + IF(UPPER(TRIM('Raw data'!AE124))=UPPER(TRIM('Real results'!C121)),1,0) + IF(UPPER(TRIM('Raw data'!AE124))=UPPER(TRIM('Real results'!C122)),1,0) + IF(UPPER(TRIM('Raw data'!AE124))=UPPER(TRIM('Real results'!C123)),1,0) + IF(UPPER(TRIM('Raw data'!AE124))=UPPER(TRIM('Real results'!C124)),1,0))&gt;=1,1,0),0),0)</f>
        <v>0</v>
      </c>
      <c r="AG127" s="29">
        <f>IFERROR(IF('Raw data'!AG124&lt;&gt;"",IF((IF(UPPER(TRIM('Raw data'!AG124))=UPPER(TRIM('Real results'!C117)),1,0) + IF(UPPER(TRIM('Raw data'!AG124))=UPPER(TRIM('Real results'!C118)),1,0) + IF(UPPER(TRIM('Raw data'!AG124))=UPPER(TRIM('Real results'!C119)),1,0) + IF(UPPER(TRIM('Raw data'!AG124))=UPPER(TRIM('Real results'!C120)),1,0) + IF(UPPER(TRIM('Raw data'!AG124))=UPPER(TRIM('Real results'!C121)),1,0) + IF(UPPER(TRIM('Raw data'!AG124))=UPPER(TRIM('Real results'!C122)),1,0) + IF(UPPER(TRIM('Raw data'!AG124))=UPPER(TRIM('Real results'!C123)),1,0) + IF(UPPER(TRIM('Raw data'!AG124))=UPPER(TRIM('Real results'!C124)),1,0))&gt;=1,1,0),0),0)</f>
        <v>0</v>
      </c>
      <c r="AI127" s="29">
        <f>IFERROR(IF('Raw data'!AI124&lt;&gt;"",IF((IF(UPPER(TRIM('Raw data'!AI124))=UPPER(TRIM('Real results'!C117)),1,0) + IF(UPPER(TRIM('Raw data'!AI124))=UPPER(TRIM('Real results'!C118)),1,0) + IF(UPPER(TRIM('Raw data'!AI124))=UPPER(TRIM('Real results'!C119)),1,0) + IF(UPPER(TRIM('Raw data'!AI124))=UPPER(TRIM('Real results'!C120)),1,0) + IF(UPPER(TRIM('Raw data'!AI124))=UPPER(TRIM('Real results'!C121)),1,0) + IF(UPPER(TRIM('Raw data'!AI124))=UPPER(TRIM('Real results'!C122)),1,0) + IF(UPPER(TRIM('Raw data'!AI124))=UPPER(TRIM('Real results'!C123)),1,0) + IF(UPPER(TRIM('Raw data'!AI124))=UPPER(TRIM('Real results'!C124)),1,0))&gt;=1,1,0),0),0)</f>
        <v>0</v>
      </c>
      <c r="AK127" s="29">
        <f>IFERROR(IF('Raw data'!AK124&lt;&gt;"",IF((IF(UPPER(TRIM('Raw data'!AK124))=UPPER(TRIM('Real results'!C117)),1,0) + IF(UPPER(TRIM('Raw data'!AK124))=UPPER(TRIM('Real results'!C118)),1,0) + IF(UPPER(TRIM('Raw data'!AK124))=UPPER(TRIM('Real results'!C119)),1,0) + IF(UPPER(TRIM('Raw data'!AK124))=UPPER(TRIM('Real results'!C120)),1,0) + IF(UPPER(TRIM('Raw data'!AK124))=UPPER(TRIM('Real results'!C121)),1,0) + IF(UPPER(TRIM('Raw data'!AK124))=UPPER(TRIM('Real results'!C122)),1,0) + IF(UPPER(TRIM('Raw data'!AK124))=UPPER(TRIM('Real results'!C123)),1,0) + IF(UPPER(TRIM('Raw data'!AK124))=UPPER(TRIM('Real results'!C124)),1,0))&gt;=1,1,0),0),0)</f>
        <v>0</v>
      </c>
      <c r="AM127" s="29">
        <f>IFERROR(IF('Raw data'!AM124&lt;&gt;"",IF((IF(UPPER(TRIM('Raw data'!AM124))=UPPER(TRIM('Real results'!C117)),1,0) + IF(UPPER(TRIM('Raw data'!AM124))=UPPER(TRIM('Real results'!C118)),1,0) + IF(UPPER(TRIM('Raw data'!AM124))=UPPER(TRIM('Real results'!C119)),1,0) + IF(UPPER(TRIM('Raw data'!AM124))=UPPER(TRIM('Real results'!C120)),1,0) + IF(UPPER(TRIM('Raw data'!AM124))=UPPER(TRIM('Real results'!C121)),1,0) + IF(UPPER(TRIM('Raw data'!AM124))=UPPER(TRIM('Real results'!C122)),1,0) + IF(UPPER(TRIM('Raw data'!AM124))=UPPER(TRIM('Real results'!C123)),1,0) + IF(UPPER(TRIM('Raw data'!AM124))=UPPER(TRIM('Real results'!C124)),1,0))&gt;=1,1,0),0),0)</f>
        <v>0</v>
      </c>
      <c r="AO127" s="29">
        <f>IFERROR(IF('Raw data'!AO124&lt;&gt;"",IF((IF(UPPER(TRIM('Raw data'!AO124))=UPPER(TRIM('Real results'!C117)),1,0) + IF(UPPER(TRIM('Raw data'!AO124))=UPPER(TRIM('Real results'!C118)),1,0) + IF(UPPER(TRIM('Raw data'!AO124))=UPPER(TRIM('Real results'!C119)),1,0) + IF(UPPER(TRIM('Raw data'!AO124))=UPPER(TRIM('Real results'!C120)),1,0) + IF(UPPER(TRIM('Raw data'!AO124))=UPPER(TRIM('Real results'!C121)),1,0) + IF(UPPER(TRIM('Raw data'!AO124))=UPPER(TRIM('Real results'!C122)),1,0) + IF(UPPER(TRIM('Raw data'!AO124))=UPPER(TRIM('Real results'!C123)),1,0) + IF(UPPER(TRIM('Raw data'!AO124))=UPPER(TRIM('Real results'!C124)),1,0))&gt;=1,1,0),0),0)</f>
        <v>0</v>
      </c>
      <c r="AQ127" s="29">
        <f>IFERROR(IF('Raw data'!AQ124&lt;&gt;"",IF((IF(UPPER(TRIM('Raw data'!AQ124))=UPPER(TRIM('Real results'!C117)),1,0) + IF(UPPER(TRIM('Raw data'!AQ124))=UPPER(TRIM('Real results'!C118)),1,0) + IF(UPPER(TRIM('Raw data'!AQ124))=UPPER(TRIM('Real results'!C119)),1,0) + IF(UPPER(TRIM('Raw data'!AQ124))=UPPER(TRIM('Real results'!C120)),1,0) + IF(UPPER(TRIM('Raw data'!AQ124))=UPPER(TRIM('Real results'!C121)),1,0) + IF(UPPER(TRIM('Raw data'!AQ124))=UPPER(TRIM('Real results'!C122)),1,0) + IF(UPPER(TRIM('Raw data'!AQ124))=UPPER(TRIM('Real results'!C123)),1,0) + IF(UPPER(TRIM('Raw data'!AQ124))=UPPER(TRIM('Real results'!C124)),1,0))&gt;=1,1,0),0),0)</f>
        <v>0</v>
      </c>
      <c r="AS127" s="29">
        <f>IFERROR(IF('Raw data'!AS124&lt;&gt;"",IF((IF(UPPER(TRIM('Raw data'!AS124))=UPPER(TRIM('Real results'!C117)),1,0) + IF(UPPER(TRIM('Raw data'!AS124))=UPPER(TRIM('Real results'!C118)),1,0) + IF(UPPER(TRIM('Raw data'!AS124))=UPPER(TRIM('Real results'!C119)),1,0) + IF(UPPER(TRIM('Raw data'!AS124))=UPPER(TRIM('Real results'!C120)),1,0) + IF(UPPER(TRIM('Raw data'!AS124))=UPPER(TRIM('Real results'!C121)),1,0) + IF(UPPER(TRIM('Raw data'!AS124))=UPPER(TRIM('Real results'!C122)),1,0) + IF(UPPER(TRIM('Raw data'!AS124))=UPPER(TRIM('Real results'!C123)),1,0) + IF(UPPER(TRIM('Raw data'!AS124))=UPPER(TRIM('Real results'!C124)),1,0))&gt;=1,1,0),0),0)</f>
        <v>0</v>
      </c>
      <c r="AU127" s="29">
        <f>IFERROR(IF('Raw data'!AU124&lt;&gt;"",IF((IF(UPPER(TRIM('Raw data'!AU124))=UPPER(TRIM('Real results'!C117)),1,0) + IF(UPPER(TRIM('Raw data'!AU124))=UPPER(TRIM('Real results'!C118)),1,0) + IF(UPPER(TRIM('Raw data'!AU124))=UPPER(TRIM('Real results'!C119)),1,0) + IF(UPPER(TRIM('Raw data'!AU124))=UPPER(TRIM('Real results'!C120)),1,0) + IF(UPPER(TRIM('Raw data'!AU124))=UPPER(TRIM('Real results'!C121)),1,0) + IF(UPPER(TRIM('Raw data'!AU124))=UPPER(TRIM('Real results'!C122)),1,0) + IF(UPPER(TRIM('Raw data'!AU124))=UPPER(TRIM('Real results'!C123)),1,0) + IF(UPPER(TRIM('Raw data'!AU124))=UPPER(TRIM('Real results'!C124)),1,0))&gt;=1,1,0),0),0)</f>
        <v>0</v>
      </c>
      <c r="AW127" s="29">
        <f>IFERROR(IF('Raw data'!AW124&lt;&gt;"",IF((IF(UPPER(TRIM('Raw data'!AW124))=UPPER(TRIM('Real results'!C117)),1,0) + IF(UPPER(TRIM('Raw data'!AW124))=UPPER(TRIM('Real results'!C118)),1,0) + IF(UPPER(TRIM('Raw data'!AW124))=UPPER(TRIM('Real results'!C119)),1,0) + IF(UPPER(TRIM('Raw data'!AW124))=UPPER(TRIM('Real results'!C120)),1,0) + IF(UPPER(TRIM('Raw data'!AW124))=UPPER(TRIM('Real results'!C121)),1,0) + IF(UPPER(TRIM('Raw data'!AW124))=UPPER(TRIM('Real results'!C122)),1,0) + IF(UPPER(TRIM('Raw data'!AW124))=UPPER(TRIM('Real results'!C123)),1,0) + IF(UPPER(TRIM('Raw data'!AW124))=UPPER(TRIM('Real results'!C124)),1,0))&gt;=1,1,0),0),0)</f>
        <v>0</v>
      </c>
      <c r="AY127" s="29">
        <f>IFERROR(IF('Raw data'!AY124&lt;&gt;"",IF((IF(UPPER(TRIM('Raw data'!AY124))=UPPER(TRIM('Real results'!C117)),1,0) + IF(UPPER(TRIM('Raw data'!AY124))=UPPER(TRIM('Real results'!C118)),1,0) + IF(UPPER(TRIM('Raw data'!AY124))=UPPER(TRIM('Real results'!C119)),1,0) + IF(UPPER(TRIM('Raw data'!AY124))=UPPER(TRIM('Real results'!C120)),1,0) + IF(UPPER(TRIM('Raw data'!AY124))=UPPER(TRIM('Real results'!C121)),1,0) + IF(UPPER(TRIM('Raw data'!AY124))=UPPER(TRIM('Real results'!C122)),1,0) + IF(UPPER(TRIM('Raw data'!AY124))=UPPER(TRIM('Real results'!C123)),1,0) + IF(UPPER(TRIM('Raw data'!AY124))=UPPER(TRIM('Real results'!C124)),1,0))&gt;=1,1,0),0),0)</f>
        <v>0</v>
      </c>
      <c r="BA127" s="29">
        <f>IFERROR(IF('Raw data'!BA124&lt;&gt;"",IF((IF(UPPER(TRIM('Raw data'!BA124))=UPPER(TRIM('Real results'!C117)),1,0) + IF(UPPER(TRIM('Raw data'!BA124))=UPPER(TRIM('Real results'!C118)),1,0) + IF(UPPER(TRIM('Raw data'!BA124))=UPPER(TRIM('Real results'!C119)),1,0) + IF(UPPER(TRIM('Raw data'!BA124))=UPPER(TRIM('Real results'!C120)),1,0) + IF(UPPER(TRIM('Raw data'!BA124))=UPPER(TRIM('Real results'!C121)),1,0) + IF(UPPER(TRIM('Raw data'!BA124))=UPPER(TRIM('Real results'!C122)),1,0) + IF(UPPER(TRIM('Raw data'!BA124))=UPPER(TRIM('Real results'!C123)),1,0) + IF(UPPER(TRIM('Raw data'!BA124))=UPPER(TRIM('Real results'!C124)),1,0))&gt;=1,1,0),0),0)</f>
        <v>0</v>
      </c>
      <c r="BC127" s="29">
        <f>IFERROR(IF('Raw data'!BC124&lt;&gt;"",IF((IF(UPPER(TRIM('Raw data'!BC124))=UPPER(TRIM('Real results'!C117)),1,0) + IF(UPPER(TRIM('Raw data'!BC124))=UPPER(TRIM('Real results'!C118)),1,0) + IF(UPPER(TRIM('Raw data'!BC124))=UPPER(TRIM('Real results'!C119)),1,0) + IF(UPPER(TRIM('Raw data'!BC124))=UPPER(TRIM('Real results'!C120)),1,0) + IF(UPPER(TRIM('Raw data'!BC124))=UPPER(TRIM('Real results'!C121)),1,0) + IF(UPPER(TRIM('Raw data'!BC124))=UPPER(TRIM('Real results'!C122)),1,0) + IF(UPPER(TRIM('Raw data'!BC124))=UPPER(TRIM('Real results'!C123)),1,0) + IF(UPPER(TRIM('Raw data'!BC124))=UPPER(TRIM('Real results'!C124)),1,0))&gt;=1,1,0),0),0)</f>
        <v>0</v>
      </c>
      <c r="BE127" s="29">
        <f>IFERROR(IF('Raw data'!BE124&lt;&gt;"",IF((IF(UPPER(TRIM('Raw data'!BE124))=UPPER(TRIM('Real results'!C117)),1,0) + IF(UPPER(TRIM('Raw data'!BE124))=UPPER(TRIM('Real results'!C118)),1,0) + IF(UPPER(TRIM('Raw data'!BE124))=UPPER(TRIM('Real results'!C119)),1,0) + IF(UPPER(TRIM('Raw data'!BE124))=UPPER(TRIM('Real results'!C120)),1,0) + IF(UPPER(TRIM('Raw data'!BE124))=UPPER(TRIM('Real results'!C121)),1,0) + IF(UPPER(TRIM('Raw data'!BE124))=UPPER(TRIM('Real results'!C122)),1,0) + IF(UPPER(TRIM('Raw data'!BE124))=UPPER(TRIM('Real results'!C123)),1,0) + IF(UPPER(TRIM('Raw data'!BE124))=UPPER(TRIM('Real results'!C124)),1,0))&gt;=1,1,0),0),0)</f>
        <v>0</v>
      </c>
      <c r="BG127" s="29">
        <f>IFERROR(IF('Raw data'!BG124&lt;&gt;"",IF((IF(UPPER(TRIM('Raw data'!BG124))=UPPER(TRIM('Real results'!C117)),1,0) + IF(UPPER(TRIM('Raw data'!BG124))=UPPER(TRIM('Real results'!C118)),1,0) + IF(UPPER(TRIM('Raw data'!BG124))=UPPER(TRIM('Real results'!C119)),1,0) + IF(UPPER(TRIM('Raw data'!BG124))=UPPER(TRIM('Real results'!C120)),1,0) + IF(UPPER(TRIM('Raw data'!BG124))=UPPER(TRIM('Real results'!C121)),1,0) + IF(UPPER(TRIM('Raw data'!BG124))=UPPER(TRIM('Real results'!C122)),1,0) + IF(UPPER(TRIM('Raw data'!BG124))=UPPER(TRIM('Real results'!C123)),1,0) + IF(UPPER(TRIM('Raw data'!BG124))=UPPER(TRIM('Real results'!C124)),1,0))&gt;=1,1,0),0),0)</f>
        <v>0</v>
      </c>
      <c r="BI127" s="29">
        <f>IFERROR(IF('Raw data'!BI124&lt;&gt;"",IF((IF(UPPER(TRIM('Raw data'!BI124))=UPPER(TRIM('Real results'!C117)),1,0) + IF(UPPER(TRIM('Raw data'!BI124))=UPPER(TRIM('Real results'!C118)),1,0) + IF(UPPER(TRIM('Raw data'!BI124))=UPPER(TRIM('Real results'!C119)),1,0) + IF(UPPER(TRIM('Raw data'!BI124))=UPPER(TRIM('Real results'!C120)),1,0) + IF(UPPER(TRIM('Raw data'!BI124))=UPPER(TRIM('Real results'!C121)),1,0) + IF(UPPER(TRIM('Raw data'!BI124))=UPPER(TRIM('Real results'!C122)),1,0) + IF(UPPER(TRIM('Raw data'!BI124))=UPPER(TRIM('Real results'!C123)),1,0) + IF(UPPER(TRIM('Raw data'!BI124))=UPPER(TRIM('Real results'!C124)),1,0))&gt;=1,1,0),0),0)</f>
        <v>0</v>
      </c>
    </row>
    <row r="128" ht="21.75" customHeight="1">
      <c r="A128" s="1"/>
      <c r="B128" s="30" t="s">
        <v>409</v>
      </c>
      <c r="C128" s="31">
        <f>SUM(C120:C127)</f>
        <v>0</v>
      </c>
      <c r="E128" s="31">
        <f>SUM(E120:E127)</f>
        <v>0</v>
      </c>
      <c r="G128" s="31">
        <f>SUM(G120:G127)</f>
        <v>0</v>
      </c>
      <c r="I128" s="31">
        <f>SUM(I120:I127)</f>
        <v>0</v>
      </c>
      <c r="K128" s="31">
        <f>SUM(K120:K127)</f>
        <v>0</v>
      </c>
      <c r="M128" s="31">
        <f>SUM(M120:M127)</f>
        <v>0</v>
      </c>
      <c r="O128" s="31">
        <f>SUM(O120:O127)</f>
        <v>0</v>
      </c>
      <c r="Q128" s="31">
        <f>SUM(Q120:Q127)</f>
        <v>0</v>
      </c>
      <c r="S128" s="31">
        <f>SUM(S120:S127)</f>
        <v>0</v>
      </c>
      <c r="U128" s="31">
        <f>SUM(U120:U127)</f>
        <v>0</v>
      </c>
      <c r="W128" s="31">
        <f>SUM(W120:W127)</f>
        <v>0</v>
      </c>
      <c r="Y128" s="31">
        <f>SUM(Y120:Y127)</f>
        <v>0</v>
      </c>
      <c r="AA128" s="31">
        <f>SUM(AA120:AA127)</f>
        <v>0</v>
      </c>
      <c r="AC128" s="31">
        <f>SUM(AC120:AC127)</f>
        <v>0</v>
      </c>
      <c r="AE128" s="31">
        <f>SUM(AE120:AE127)</f>
        <v>0</v>
      </c>
      <c r="AG128" s="31">
        <f>SUM(AG120:AG127)</f>
        <v>0</v>
      </c>
      <c r="AI128" s="31">
        <f>SUM(AI120:AI127)</f>
        <v>0</v>
      </c>
      <c r="AK128" s="31">
        <f>SUM(AK120:AK127)</f>
        <v>0</v>
      </c>
      <c r="AM128" s="31">
        <f>SUM(AM120:AM127)</f>
        <v>0</v>
      </c>
      <c r="AO128" s="31">
        <f>SUM(AO120:AO127)</f>
        <v>0</v>
      </c>
      <c r="AQ128" s="31">
        <f>SUM(AQ120:AQ127)</f>
        <v>0</v>
      </c>
      <c r="AS128" s="31">
        <f>SUM(AS120:AS127)</f>
        <v>0</v>
      </c>
      <c r="AU128" s="31">
        <f>SUM(AU120:AU127)</f>
        <v>0</v>
      </c>
      <c r="AW128" s="31">
        <f>SUM(AW120:AW127)</f>
        <v>0</v>
      </c>
      <c r="AY128" s="31">
        <f>SUM(AY120:AY127)</f>
        <v>0</v>
      </c>
      <c r="BA128" s="31">
        <f>SUM(BA120:BA127)</f>
        <v>0</v>
      </c>
      <c r="BC128" s="31">
        <f>SUM(BC120:BC127)</f>
        <v>0</v>
      </c>
      <c r="BE128" s="31">
        <f>SUM(BE120:BE127)</f>
        <v>0</v>
      </c>
      <c r="BG128" s="31">
        <f>SUM(BG120:BG127)</f>
        <v>0</v>
      </c>
      <c r="BI128" s="31">
        <f>SUM(BI120:BI127)</f>
        <v>0</v>
      </c>
    </row>
    <row r="129" ht="19.5" customHeight="1">
      <c r="A129" s="1"/>
      <c r="B129" s="28" t="s">
        <v>410</v>
      </c>
      <c r="C129" s="12"/>
      <c r="E129" s="12"/>
      <c r="G129" s="12"/>
      <c r="I129" s="12"/>
      <c r="K129" s="12"/>
      <c r="M129" s="12"/>
      <c r="O129" s="12"/>
      <c r="Q129" s="12"/>
      <c r="S129" s="12"/>
      <c r="U129" s="12"/>
      <c r="W129" s="12"/>
      <c r="Y129" s="12"/>
      <c r="AA129" s="12"/>
      <c r="AC129" s="12"/>
      <c r="AE129" s="12"/>
      <c r="AG129" s="12"/>
      <c r="AI129" s="12"/>
      <c r="AK129" s="12"/>
      <c r="AM129" s="12"/>
      <c r="AO129" s="12"/>
      <c r="AQ129" s="12"/>
      <c r="AS129" s="12"/>
      <c r="AU129" s="12"/>
      <c r="AW129" s="12"/>
      <c r="AY129" s="12"/>
      <c r="BA129" s="12"/>
      <c r="BC129" s="12"/>
      <c r="BE129" s="12"/>
      <c r="BG129" s="12"/>
      <c r="BI129" s="12"/>
    </row>
    <row r="130" ht="18.0" customHeight="1">
      <c r="A130" s="1"/>
      <c r="B130" s="13" t="s">
        <v>411</v>
      </c>
      <c r="C130" s="29">
        <f>IFERROR(IF(AND(ISNUMBER('Real results'!C126),ISNUMBER('Real results'!D126),ISNUMBER('Raw data'!C126),ISNUMBER('Raw data'!D126)),IF(SIGN('Raw data'!C126-'Raw data'!D126)=SIGN('Real results'!C126-'Real results'!D126),3+IF(AND('Raw data'!C126='Real results'!C126,'Raw data'!D126='Real results'!D126),2,0),0),0),0)</f>
        <v>0</v>
      </c>
      <c r="E130" s="29">
        <f>IFERROR(IF(AND(ISNUMBER('Real results'!C126),ISNUMBER('Real results'!D126),ISNUMBER('Raw data'!E126),ISNUMBER('Raw data'!F126)),IF(SIGN('Raw data'!E126-'Raw data'!F126)=SIGN('Real results'!C126-'Real results'!D126),3+IF(AND('Raw data'!E126='Real results'!C126,'Raw data'!F126='Real results'!D126),2,0),0),0),0)</f>
        <v>0</v>
      </c>
      <c r="G130" s="29">
        <f>IFERROR(IF(AND(ISNUMBER('Real results'!C126),ISNUMBER('Real results'!D126),ISNUMBER('Raw data'!G126),ISNUMBER('Raw data'!H126)),IF(SIGN('Raw data'!G126-'Raw data'!H126)=SIGN('Real results'!C126-'Real results'!D126),3+IF(AND('Raw data'!G126='Real results'!C126,'Raw data'!H126='Real results'!D126),2,0),0),0),0)</f>
        <v>0</v>
      </c>
      <c r="I130" s="29">
        <f>IFERROR(IF(AND(ISNUMBER('Real results'!C126),ISNUMBER('Real results'!D126),ISNUMBER('Raw data'!I126),ISNUMBER('Raw data'!J126)),IF(SIGN('Raw data'!I126-'Raw data'!J126)=SIGN('Real results'!C126-'Real results'!D126),3+IF(AND('Raw data'!I126='Real results'!C126,'Raw data'!J126='Real results'!D126),2,0),0),0),0)</f>
        <v>0</v>
      </c>
      <c r="K130" s="29">
        <f>IFERROR(IF(AND(ISNUMBER('Real results'!C126),ISNUMBER('Real results'!D126),ISNUMBER('Raw data'!K126),ISNUMBER('Raw data'!L126)),IF(SIGN('Raw data'!K126-'Raw data'!L126)=SIGN('Real results'!C126-'Real results'!D126),3+IF(AND('Raw data'!K126='Real results'!C126,'Raw data'!L126='Real results'!D126),2,0),0),0),0)</f>
        <v>0</v>
      </c>
      <c r="M130" s="29">
        <f>IFERROR(IF(AND(ISNUMBER('Real results'!C126),ISNUMBER('Real results'!D126),ISNUMBER('Raw data'!M126),ISNUMBER('Raw data'!N126)),IF(SIGN('Raw data'!M126-'Raw data'!N126)=SIGN('Real results'!C126-'Real results'!D126),3+IF(AND('Raw data'!M126='Real results'!C126,'Raw data'!N126='Real results'!D126),2,0),0),0),0)</f>
        <v>0</v>
      </c>
      <c r="O130" s="29">
        <f>IFERROR(IF(AND(ISNUMBER('Real results'!C126),ISNUMBER('Real results'!D126),ISNUMBER('Raw data'!O126),ISNUMBER('Raw data'!P126)),IF(SIGN('Raw data'!O126-'Raw data'!P126)=SIGN('Real results'!C126-'Real results'!D126),3+IF(AND('Raw data'!O126='Real results'!C126,'Raw data'!P126='Real results'!D126),2,0),0),0),0)</f>
        <v>0</v>
      </c>
      <c r="Q130" s="29">
        <f>IFERROR(IF(AND(ISNUMBER('Real results'!C126),ISNUMBER('Real results'!D126),ISNUMBER('Raw data'!Q126),ISNUMBER('Raw data'!R126)),IF(SIGN('Raw data'!Q126-'Raw data'!R126)=SIGN('Real results'!C126-'Real results'!D126),3+IF(AND('Raw data'!Q126='Real results'!C126,'Raw data'!R126='Real results'!D126),2,0),0),0),0)</f>
        <v>0</v>
      </c>
      <c r="S130" s="29">
        <f>IFERROR(IF(AND(ISNUMBER('Real results'!C126),ISNUMBER('Real results'!D126),ISNUMBER('Raw data'!S126),ISNUMBER('Raw data'!T126)),IF(SIGN('Raw data'!S126-'Raw data'!T126)=SIGN('Real results'!C126-'Real results'!D126),3+IF(AND('Raw data'!S126='Real results'!C126,'Raw data'!T126='Real results'!D126),2,0),0),0),0)</f>
        <v>0</v>
      </c>
      <c r="U130" s="29">
        <f>IFERROR(IF(AND(ISNUMBER('Real results'!C126),ISNUMBER('Real results'!D126),ISNUMBER('Raw data'!U126),ISNUMBER('Raw data'!V126)),IF(SIGN('Raw data'!U126-'Raw data'!V126)=SIGN('Real results'!C126-'Real results'!D126),3+IF(AND('Raw data'!U126='Real results'!C126,'Raw data'!V126='Real results'!D126),2,0),0),0),0)</f>
        <v>0</v>
      </c>
      <c r="W130" s="29">
        <f>IFERROR(IF(AND(ISNUMBER('Real results'!C126),ISNUMBER('Real results'!D126),ISNUMBER('Raw data'!W126),ISNUMBER('Raw data'!X126)),IF(SIGN('Raw data'!W126-'Raw data'!X126)=SIGN('Real results'!C126-'Real results'!D126),3+IF(AND('Raw data'!W126='Real results'!C126,'Raw data'!X126='Real results'!D126),2,0),0),0),0)</f>
        <v>0</v>
      </c>
      <c r="Y130" s="29">
        <f>IFERROR(IF(AND(ISNUMBER('Real results'!C126),ISNUMBER('Real results'!D126),ISNUMBER('Raw data'!Y126),ISNUMBER('Raw data'!Z126)),IF(SIGN('Raw data'!Y126-'Raw data'!Z126)=SIGN('Real results'!C126-'Real results'!D126),3+IF(AND('Raw data'!Y126='Real results'!C126,'Raw data'!Z126='Real results'!D126),2,0),0),0),0)</f>
        <v>0</v>
      </c>
      <c r="AA130" s="29">
        <f>IFERROR(IF(AND(ISNUMBER('Real results'!C126),ISNUMBER('Real results'!D126),ISNUMBER('Raw data'!AA126),ISNUMBER('Raw data'!AB126)),IF(SIGN('Raw data'!AA126-'Raw data'!AB126)=SIGN('Real results'!C126-'Real results'!D126),3+IF(AND('Raw data'!AA126='Real results'!C126,'Raw data'!AB126='Real results'!D126),2,0),0),0),0)</f>
        <v>0</v>
      </c>
      <c r="AC130" s="29">
        <f>IFERROR(IF(AND(ISNUMBER('Real results'!C126),ISNUMBER('Real results'!D126),ISNUMBER('Raw data'!AC126),ISNUMBER('Raw data'!AD126)),IF(SIGN('Raw data'!AC126-'Raw data'!AD126)=SIGN('Real results'!C126-'Real results'!D126),3+IF(AND('Raw data'!AC126='Real results'!C126,'Raw data'!AD126='Real results'!D126),2,0),0),0),0)</f>
        <v>0</v>
      </c>
      <c r="AE130" s="29">
        <f>IFERROR(IF(AND(ISNUMBER('Real results'!C126),ISNUMBER('Real results'!D126),ISNUMBER('Raw data'!AE126),ISNUMBER('Raw data'!AF126)),IF(SIGN('Raw data'!AE126-'Raw data'!AF126)=SIGN('Real results'!C126-'Real results'!D126),3+IF(AND('Raw data'!AE126='Real results'!C126,'Raw data'!AF126='Real results'!D126),2,0),0),0),0)</f>
        <v>0</v>
      </c>
      <c r="AG130" s="29">
        <f>IFERROR(IF(AND(ISNUMBER('Real results'!C126),ISNUMBER('Real results'!D126),ISNUMBER('Raw data'!AG126),ISNUMBER('Raw data'!AH126)),IF(SIGN('Raw data'!AG126-'Raw data'!AH126)=SIGN('Real results'!C126-'Real results'!D126),3+IF(AND('Raw data'!AG126='Real results'!C126,'Raw data'!AH126='Real results'!D126),2,0),0),0),0)</f>
        <v>0</v>
      </c>
      <c r="AI130" s="29">
        <f>IFERROR(IF(AND(ISNUMBER('Real results'!C126),ISNUMBER('Real results'!D126),ISNUMBER('Raw data'!AI126),ISNUMBER('Raw data'!AJ126)),IF(SIGN('Raw data'!AI126-'Raw data'!AJ126)=SIGN('Real results'!C126-'Real results'!D126),3+IF(AND('Raw data'!AI126='Real results'!C126,'Raw data'!AJ126='Real results'!D126),2,0),0),0),0)</f>
        <v>0</v>
      </c>
      <c r="AK130" s="29">
        <f>IFERROR(IF(AND(ISNUMBER('Real results'!C126),ISNUMBER('Real results'!D126),ISNUMBER('Raw data'!AK126),ISNUMBER('Raw data'!AL126)),IF(SIGN('Raw data'!AK126-'Raw data'!AL126)=SIGN('Real results'!C126-'Real results'!D126),3+IF(AND('Raw data'!AK126='Real results'!C126,'Raw data'!AL126='Real results'!D126),2,0),0),0),0)</f>
        <v>0</v>
      </c>
      <c r="AM130" s="29">
        <f>IFERROR(IF(AND(ISNUMBER('Real results'!C126),ISNUMBER('Real results'!D126),ISNUMBER('Raw data'!AM126),ISNUMBER('Raw data'!AN126)),IF(SIGN('Raw data'!AM126-'Raw data'!AN126)=SIGN('Real results'!C126-'Real results'!D126),3+IF(AND('Raw data'!AM126='Real results'!C126,'Raw data'!AN126='Real results'!D126),2,0),0),0),0)</f>
        <v>0</v>
      </c>
      <c r="AO130" s="29">
        <f>IFERROR(IF(AND(ISNUMBER('Real results'!C126),ISNUMBER('Real results'!D126),ISNUMBER('Raw data'!AO126),ISNUMBER('Raw data'!AP126)),IF(SIGN('Raw data'!AO126-'Raw data'!AP126)=SIGN('Real results'!C126-'Real results'!D126),3+IF(AND('Raw data'!AO126='Real results'!C126,'Raw data'!AP126='Real results'!D126),2,0),0),0),0)</f>
        <v>0</v>
      </c>
      <c r="AQ130" s="29">
        <f>IFERROR(IF(AND(ISNUMBER('Real results'!C126),ISNUMBER('Real results'!D126),ISNUMBER('Raw data'!AQ126),ISNUMBER('Raw data'!AR126)),IF(SIGN('Raw data'!AQ126-'Raw data'!AR126)=SIGN('Real results'!C126-'Real results'!D126),3+IF(AND('Raw data'!AQ126='Real results'!C126,'Raw data'!AR126='Real results'!D126),2,0),0),0),0)</f>
        <v>0</v>
      </c>
      <c r="AS130" s="29">
        <f>IFERROR(IF(AND(ISNUMBER('Real results'!C126),ISNUMBER('Real results'!D126),ISNUMBER('Raw data'!AS126),ISNUMBER('Raw data'!AT126)),IF(SIGN('Raw data'!AS126-'Raw data'!AT126)=SIGN('Real results'!C126-'Real results'!D126),3+IF(AND('Raw data'!AS126='Real results'!C126,'Raw data'!AT126='Real results'!D126),2,0),0),0),0)</f>
        <v>0</v>
      </c>
      <c r="AU130" s="29">
        <f>IFERROR(IF(AND(ISNUMBER('Real results'!C126),ISNUMBER('Real results'!D126),ISNUMBER('Raw data'!AU126),ISNUMBER('Raw data'!AV126)),IF(SIGN('Raw data'!AU126-'Raw data'!AV126)=SIGN('Real results'!C126-'Real results'!D126),3+IF(AND('Raw data'!AU126='Real results'!C126,'Raw data'!AV126='Real results'!D126),2,0),0),0),0)</f>
        <v>0</v>
      </c>
      <c r="AW130" s="29">
        <f>IFERROR(IF(AND(ISNUMBER('Real results'!C126),ISNUMBER('Real results'!D126),ISNUMBER('Raw data'!AW126),ISNUMBER('Raw data'!AX126)),IF(SIGN('Raw data'!AW126-'Raw data'!AX126)=SIGN('Real results'!C126-'Real results'!D126),3+IF(AND('Raw data'!AW126='Real results'!C126,'Raw data'!AX126='Real results'!D126),2,0),0),0),0)</f>
        <v>0</v>
      </c>
      <c r="AY130" s="29">
        <f>IFERROR(IF(AND(ISNUMBER('Real results'!C126),ISNUMBER('Real results'!D126),ISNUMBER('Raw data'!AY126),ISNUMBER('Raw data'!AZ126)),IF(SIGN('Raw data'!AY126-'Raw data'!AZ126)=SIGN('Real results'!C126-'Real results'!D126),3+IF(AND('Raw data'!AY126='Real results'!C126,'Raw data'!AZ126='Real results'!D126),2,0),0),0),0)</f>
        <v>0</v>
      </c>
      <c r="BA130" s="29">
        <f>IFERROR(IF(AND(ISNUMBER('Real results'!C126),ISNUMBER('Real results'!D126),ISNUMBER('Raw data'!BA126),ISNUMBER('Raw data'!BB126)),IF(SIGN('Raw data'!BA126-'Raw data'!BB126)=SIGN('Real results'!C126-'Real results'!D126),3+IF(AND('Raw data'!BA126='Real results'!C126,'Raw data'!BB126='Real results'!D126),2,0),0),0),0)</f>
        <v>0</v>
      </c>
      <c r="BC130" s="29">
        <f>IFERROR(IF(AND(ISNUMBER('Real results'!C126),ISNUMBER('Real results'!D126),ISNUMBER('Raw data'!BC126),ISNUMBER('Raw data'!BD126)),IF(SIGN('Raw data'!BC126-'Raw data'!BD126)=SIGN('Real results'!C126-'Real results'!D126),3+IF(AND('Raw data'!BC126='Real results'!C126,'Raw data'!BD126='Real results'!D126),2,0),0),0),0)</f>
        <v>0</v>
      </c>
      <c r="BE130" s="29">
        <f>IFERROR(IF(AND(ISNUMBER('Real results'!C126),ISNUMBER('Real results'!D126),ISNUMBER('Raw data'!BE126),ISNUMBER('Raw data'!BF126)),IF(SIGN('Raw data'!BE126-'Raw data'!BF126)=SIGN('Real results'!C126-'Real results'!D126),3+IF(AND('Raw data'!BE126='Real results'!C126,'Raw data'!BF126='Real results'!D126),2,0),0),0),0)</f>
        <v>0</v>
      </c>
      <c r="BG130" s="29">
        <f>IFERROR(IF(AND(ISNUMBER('Real results'!C126),ISNUMBER('Real results'!D126),ISNUMBER('Raw data'!BG126),ISNUMBER('Raw data'!BH126)),IF(SIGN('Raw data'!BG126-'Raw data'!BH126)=SIGN('Real results'!C126-'Real results'!D126),3+IF(AND('Raw data'!BG126='Real results'!C126,'Raw data'!BH126='Real results'!D126),2,0),0),0),0)</f>
        <v>0</v>
      </c>
      <c r="BI130" s="29">
        <f>IFERROR(IF(AND(ISNUMBER('Real results'!C126),ISNUMBER('Real results'!D126),ISNUMBER('Raw data'!BI126),ISNUMBER('Raw data'!BJ126)),IF(SIGN('Raw data'!BI126-'Raw data'!BJ126)=SIGN('Real results'!C126-'Real results'!D126),3+IF(AND('Raw data'!BI126='Real results'!C126,'Raw data'!BJ126='Real results'!D126),2,0),0),0),0)</f>
        <v>0</v>
      </c>
    </row>
    <row r="131" ht="18.0" customHeight="1">
      <c r="A131" s="1"/>
      <c r="B131" s="13" t="s">
        <v>412</v>
      </c>
      <c r="C131" s="29">
        <f>IFERROR(IF(AND('Real results'!C127&lt;&gt;"",'Raw data'!C127&lt;&gt;"",UPPER(TRIM('Real results'!C127))=UPPER(TRIM('Raw data'!C127))),1,0),0)</f>
        <v>0</v>
      </c>
      <c r="E131" s="29">
        <f>IFERROR(IF(AND('Real results'!C127&lt;&gt;"",'Raw data'!E127&lt;&gt;"",UPPER(TRIM('Real results'!C127))=UPPER(TRIM('Raw data'!E127))),1,0),0)</f>
        <v>0</v>
      </c>
      <c r="G131" s="29">
        <f>IFERROR(IF(AND('Real results'!C127&lt;&gt;"",'Raw data'!G127&lt;&gt;"",UPPER(TRIM('Real results'!C127))=UPPER(TRIM('Raw data'!G127))),1,0),0)</f>
        <v>0</v>
      </c>
      <c r="I131" s="29">
        <f>IFERROR(IF(AND('Real results'!C127&lt;&gt;"",'Raw data'!I127&lt;&gt;"",UPPER(TRIM('Real results'!C127))=UPPER(TRIM('Raw data'!I127))),1,0),0)</f>
        <v>0</v>
      </c>
      <c r="K131" s="29">
        <f>IFERROR(IF(AND('Real results'!C127&lt;&gt;"",'Raw data'!K127&lt;&gt;"",UPPER(TRIM('Real results'!C127))=UPPER(TRIM('Raw data'!K127))),1,0),0)</f>
        <v>0</v>
      </c>
      <c r="M131" s="29">
        <f>IFERROR(IF(AND('Real results'!C127&lt;&gt;"",'Raw data'!M127&lt;&gt;"",UPPER(TRIM('Real results'!C127))=UPPER(TRIM('Raw data'!M127))),1,0),0)</f>
        <v>0</v>
      </c>
      <c r="O131" s="29">
        <f>IFERROR(IF(AND('Real results'!C127&lt;&gt;"",'Raw data'!O127&lt;&gt;"",UPPER(TRIM('Real results'!C127))=UPPER(TRIM('Raw data'!O127))),1,0),0)</f>
        <v>0</v>
      </c>
      <c r="Q131" s="29">
        <f>IFERROR(IF(AND('Real results'!C127&lt;&gt;"",'Raw data'!Q127&lt;&gt;"",UPPER(TRIM('Real results'!C127))=UPPER(TRIM('Raw data'!Q127))),1,0),0)</f>
        <v>0</v>
      </c>
      <c r="S131" s="29">
        <f>IFERROR(IF(AND('Real results'!C127&lt;&gt;"",'Raw data'!S127&lt;&gt;"",UPPER(TRIM('Real results'!C127))=UPPER(TRIM('Raw data'!S127))),1,0),0)</f>
        <v>0</v>
      </c>
      <c r="U131" s="29">
        <f>IFERROR(IF(AND('Real results'!C127&lt;&gt;"",'Raw data'!U127&lt;&gt;"",UPPER(TRIM('Real results'!C127))=UPPER(TRIM('Raw data'!U127))),1,0),0)</f>
        <v>0</v>
      </c>
      <c r="W131" s="29">
        <f>IFERROR(IF(AND('Real results'!C127&lt;&gt;"",'Raw data'!W127&lt;&gt;"",UPPER(TRIM('Real results'!C127))=UPPER(TRIM('Raw data'!W127))),1,0),0)</f>
        <v>0</v>
      </c>
      <c r="Y131" s="29">
        <f>IFERROR(IF(AND('Real results'!C127&lt;&gt;"",'Raw data'!Y127&lt;&gt;"",UPPER(TRIM('Real results'!C127))=UPPER(TRIM('Raw data'!Y127))),1,0),0)</f>
        <v>0</v>
      </c>
      <c r="AA131" s="29">
        <f>IFERROR(IF(AND('Real results'!C127&lt;&gt;"",'Raw data'!AA127&lt;&gt;"",UPPER(TRIM('Real results'!C127))=UPPER(TRIM('Raw data'!AA127))),1,0),0)</f>
        <v>0</v>
      </c>
      <c r="AC131" s="29">
        <f>IFERROR(IF(AND('Real results'!C127&lt;&gt;"",'Raw data'!AC127&lt;&gt;"",UPPER(TRIM('Real results'!C127))=UPPER(TRIM('Raw data'!AC127))),1,0),0)</f>
        <v>0</v>
      </c>
      <c r="AE131" s="29">
        <f>IFERROR(IF(AND('Real results'!C127&lt;&gt;"",'Raw data'!AE127&lt;&gt;"",UPPER(TRIM('Real results'!C127))=UPPER(TRIM('Raw data'!AE127))),1,0),0)</f>
        <v>0</v>
      </c>
      <c r="AG131" s="29">
        <f>IFERROR(IF(AND('Real results'!C127&lt;&gt;"",'Raw data'!AG127&lt;&gt;"",UPPER(TRIM('Real results'!C127))=UPPER(TRIM('Raw data'!AG127))),1,0),0)</f>
        <v>0</v>
      </c>
      <c r="AI131" s="29">
        <f>IFERROR(IF(AND('Real results'!C127&lt;&gt;"",'Raw data'!AI127&lt;&gt;"",UPPER(TRIM('Real results'!C127))=UPPER(TRIM('Raw data'!AI127))),1,0),0)</f>
        <v>0</v>
      </c>
      <c r="AK131" s="29">
        <f>IFERROR(IF(AND('Real results'!C127&lt;&gt;"",'Raw data'!AK127&lt;&gt;"",UPPER(TRIM('Real results'!C127))=UPPER(TRIM('Raw data'!AK127))),1,0),0)</f>
        <v>0</v>
      </c>
      <c r="AM131" s="29">
        <f>IFERROR(IF(AND('Real results'!C127&lt;&gt;"",'Raw data'!AM127&lt;&gt;"",UPPER(TRIM('Real results'!C127))=UPPER(TRIM('Raw data'!AM127))),1,0),0)</f>
        <v>0</v>
      </c>
      <c r="AO131" s="29">
        <f>IFERROR(IF(AND('Real results'!C127&lt;&gt;"",'Raw data'!AO127&lt;&gt;"",UPPER(TRIM('Real results'!C127))=UPPER(TRIM('Raw data'!AO127))),1,0),0)</f>
        <v>0</v>
      </c>
      <c r="AQ131" s="29">
        <f>IFERROR(IF(AND('Real results'!C127&lt;&gt;"",'Raw data'!AQ127&lt;&gt;"",UPPER(TRIM('Real results'!C127))=UPPER(TRIM('Raw data'!AQ127))),1,0),0)</f>
        <v>0</v>
      </c>
      <c r="AS131" s="29">
        <f>IFERROR(IF(AND('Real results'!C127&lt;&gt;"",'Raw data'!AS127&lt;&gt;"",UPPER(TRIM('Real results'!C127))=UPPER(TRIM('Raw data'!AS127))),1,0),0)</f>
        <v>0</v>
      </c>
      <c r="AU131" s="29">
        <f>IFERROR(IF(AND('Real results'!C127&lt;&gt;"",'Raw data'!AU127&lt;&gt;"",UPPER(TRIM('Real results'!C127))=UPPER(TRIM('Raw data'!AU127))),1,0),0)</f>
        <v>0</v>
      </c>
      <c r="AW131" s="29">
        <f>IFERROR(IF(AND('Real results'!C127&lt;&gt;"",'Raw data'!AW127&lt;&gt;"",UPPER(TRIM('Real results'!C127))=UPPER(TRIM('Raw data'!AW127))),1,0),0)</f>
        <v>0</v>
      </c>
      <c r="AY131" s="29">
        <f>IFERROR(IF(AND('Real results'!C127&lt;&gt;"",'Raw data'!AY127&lt;&gt;"",UPPER(TRIM('Real results'!C127))=UPPER(TRIM('Raw data'!AY127))),1,0),0)</f>
        <v>0</v>
      </c>
      <c r="BA131" s="29">
        <f>IFERROR(IF(AND('Real results'!C127&lt;&gt;"",'Raw data'!BA127&lt;&gt;"",UPPER(TRIM('Real results'!C127))=UPPER(TRIM('Raw data'!BA127))),1,0),0)</f>
        <v>0</v>
      </c>
      <c r="BC131" s="29">
        <f>IFERROR(IF(AND('Real results'!C127&lt;&gt;"",'Raw data'!BC127&lt;&gt;"",UPPER(TRIM('Real results'!C127))=UPPER(TRIM('Raw data'!BC127))),1,0),0)</f>
        <v>0</v>
      </c>
      <c r="BE131" s="29">
        <f>IFERROR(IF(AND('Real results'!C127&lt;&gt;"",'Raw data'!BE127&lt;&gt;"",UPPER(TRIM('Real results'!C127))=UPPER(TRIM('Raw data'!BE127))),1,0),0)</f>
        <v>0</v>
      </c>
      <c r="BG131" s="29">
        <f>IFERROR(IF(AND('Real results'!C127&lt;&gt;"",'Raw data'!BG127&lt;&gt;"",UPPER(TRIM('Real results'!C127))=UPPER(TRIM('Raw data'!BG127))),1,0),0)</f>
        <v>0</v>
      </c>
      <c r="BI131" s="29">
        <f>IFERROR(IF(AND('Real results'!C127&lt;&gt;"",'Raw data'!BI127&lt;&gt;"",UPPER(TRIM('Real results'!C127))=UPPER(TRIM('Raw data'!BI127))),1,0),0)</f>
        <v>0</v>
      </c>
    </row>
    <row r="132" ht="18.0" customHeight="1">
      <c r="A132" s="1"/>
      <c r="B132" s="13" t="s">
        <v>413</v>
      </c>
      <c r="C132" s="29">
        <f>IFERROR(IF(AND('Real results'!C128&lt;&gt;"",'Raw data'!C128&lt;&gt;"",UPPER(TRIM('Real results'!C128))=UPPER(TRIM('Raw data'!C128))),1,0),0)</f>
        <v>0</v>
      </c>
      <c r="E132" s="29">
        <f>IFERROR(IF(AND('Real results'!C128&lt;&gt;"",'Raw data'!E128&lt;&gt;"",UPPER(TRIM('Real results'!C128))=UPPER(TRIM('Raw data'!E128))),1,0),0)</f>
        <v>0</v>
      </c>
      <c r="G132" s="29">
        <f>IFERROR(IF(AND('Real results'!C128&lt;&gt;"",'Raw data'!G128&lt;&gt;"",UPPER(TRIM('Real results'!C128))=UPPER(TRIM('Raw data'!G128))),1,0),0)</f>
        <v>0</v>
      </c>
      <c r="I132" s="29">
        <f>IFERROR(IF(AND('Real results'!C128&lt;&gt;"",'Raw data'!I128&lt;&gt;"",UPPER(TRIM('Real results'!C128))=UPPER(TRIM('Raw data'!I128))),1,0),0)</f>
        <v>0</v>
      </c>
      <c r="K132" s="29">
        <f>IFERROR(IF(AND('Real results'!C128&lt;&gt;"",'Raw data'!K128&lt;&gt;"",UPPER(TRIM('Real results'!C128))=UPPER(TRIM('Raw data'!K128))),1,0),0)</f>
        <v>0</v>
      </c>
      <c r="M132" s="29">
        <f>IFERROR(IF(AND('Real results'!C128&lt;&gt;"",'Raw data'!M128&lt;&gt;"",UPPER(TRIM('Real results'!C128))=UPPER(TRIM('Raw data'!M128))),1,0),0)</f>
        <v>0</v>
      </c>
      <c r="O132" s="29">
        <f>IFERROR(IF(AND('Real results'!C128&lt;&gt;"",'Raw data'!O128&lt;&gt;"",UPPER(TRIM('Real results'!C128))=UPPER(TRIM('Raw data'!O128))),1,0),0)</f>
        <v>0</v>
      </c>
      <c r="Q132" s="29">
        <f>IFERROR(IF(AND('Real results'!C128&lt;&gt;"",'Raw data'!Q128&lt;&gt;"",UPPER(TRIM('Real results'!C128))=UPPER(TRIM('Raw data'!Q128))),1,0),0)</f>
        <v>0</v>
      </c>
      <c r="S132" s="29">
        <f>IFERROR(IF(AND('Real results'!C128&lt;&gt;"",'Raw data'!S128&lt;&gt;"",UPPER(TRIM('Real results'!C128))=UPPER(TRIM('Raw data'!S128))),1,0),0)</f>
        <v>0</v>
      </c>
      <c r="U132" s="29">
        <f>IFERROR(IF(AND('Real results'!C128&lt;&gt;"",'Raw data'!U128&lt;&gt;"",UPPER(TRIM('Real results'!C128))=UPPER(TRIM('Raw data'!U128))),1,0),0)</f>
        <v>0</v>
      </c>
      <c r="W132" s="29">
        <f>IFERROR(IF(AND('Real results'!C128&lt;&gt;"",'Raw data'!W128&lt;&gt;"",UPPER(TRIM('Real results'!C128))=UPPER(TRIM('Raw data'!W128))),1,0),0)</f>
        <v>0</v>
      </c>
      <c r="Y132" s="29">
        <f>IFERROR(IF(AND('Real results'!C128&lt;&gt;"",'Raw data'!Y128&lt;&gt;"",UPPER(TRIM('Real results'!C128))=UPPER(TRIM('Raw data'!Y128))),1,0),0)</f>
        <v>0</v>
      </c>
      <c r="AA132" s="29">
        <f>IFERROR(IF(AND('Real results'!C128&lt;&gt;"",'Raw data'!AA128&lt;&gt;"",UPPER(TRIM('Real results'!C128))=UPPER(TRIM('Raw data'!AA128))),1,0),0)</f>
        <v>0</v>
      </c>
      <c r="AC132" s="29">
        <f>IFERROR(IF(AND('Real results'!C128&lt;&gt;"",'Raw data'!AC128&lt;&gt;"",UPPER(TRIM('Real results'!C128))=UPPER(TRIM('Raw data'!AC128))),1,0),0)</f>
        <v>0</v>
      </c>
      <c r="AE132" s="29">
        <f>IFERROR(IF(AND('Real results'!C128&lt;&gt;"",'Raw data'!AE128&lt;&gt;"",UPPER(TRIM('Real results'!C128))=UPPER(TRIM('Raw data'!AE128))),1,0),0)</f>
        <v>0</v>
      </c>
      <c r="AG132" s="29">
        <f>IFERROR(IF(AND('Real results'!C128&lt;&gt;"",'Raw data'!AG128&lt;&gt;"",UPPER(TRIM('Real results'!C128))=UPPER(TRIM('Raw data'!AG128))),1,0),0)</f>
        <v>0</v>
      </c>
      <c r="AI132" s="29">
        <f>IFERROR(IF(AND('Real results'!C128&lt;&gt;"",'Raw data'!AI128&lt;&gt;"",UPPER(TRIM('Real results'!C128))=UPPER(TRIM('Raw data'!AI128))),1,0),0)</f>
        <v>0</v>
      </c>
      <c r="AK132" s="29">
        <f>IFERROR(IF(AND('Real results'!C128&lt;&gt;"",'Raw data'!AK128&lt;&gt;"",UPPER(TRIM('Real results'!C128))=UPPER(TRIM('Raw data'!AK128))),1,0),0)</f>
        <v>0</v>
      </c>
      <c r="AM132" s="29">
        <f>IFERROR(IF(AND('Real results'!C128&lt;&gt;"",'Raw data'!AM128&lt;&gt;"",UPPER(TRIM('Real results'!C128))=UPPER(TRIM('Raw data'!AM128))),1,0),0)</f>
        <v>0</v>
      </c>
      <c r="AO132" s="29">
        <f>IFERROR(IF(AND('Real results'!C128&lt;&gt;"",'Raw data'!AO128&lt;&gt;"",UPPER(TRIM('Real results'!C128))=UPPER(TRIM('Raw data'!AO128))),1,0),0)</f>
        <v>0</v>
      </c>
      <c r="AQ132" s="29">
        <f>IFERROR(IF(AND('Real results'!C128&lt;&gt;"",'Raw data'!AQ128&lt;&gt;"",UPPER(TRIM('Real results'!C128))=UPPER(TRIM('Raw data'!AQ128))),1,0),0)</f>
        <v>0</v>
      </c>
      <c r="AS132" s="29">
        <f>IFERROR(IF(AND('Real results'!C128&lt;&gt;"",'Raw data'!AS128&lt;&gt;"",UPPER(TRIM('Real results'!C128))=UPPER(TRIM('Raw data'!AS128))),1,0),0)</f>
        <v>0</v>
      </c>
      <c r="AU132" s="29">
        <f>IFERROR(IF(AND('Real results'!C128&lt;&gt;"",'Raw data'!AU128&lt;&gt;"",UPPER(TRIM('Real results'!C128))=UPPER(TRIM('Raw data'!AU128))),1,0),0)</f>
        <v>0</v>
      </c>
      <c r="AW132" s="29">
        <f>IFERROR(IF(AND('Real results'!C128&lt;&gt;"",'Raw data'!AW128&lt;&gt;"",UPPER(TRIM('Real results'!C128))=UPPER(TRIM('Raw data'!AW128))),1,0),0)</f>
        <v>0</v>
      </c>
      <c r="AY132" s="29">
        <f>IFERROR(IF(AND('Real results'!C128&lt;&gt;"",'Raw data'!AY128&lt;&gt;"",UPPER(TRIM('Real results'!C128))=UPPER(TRIM('Raw data'!AY128))),1,0),0)</f>
        <v>0</v>
      </c>
      <c r="BA132" s="29">
        <f>IFERROR(IF(AND('Real results'!C128&lt;&gt;"",'Raw data'!BA128&lt;&gt;"",UPPER(TRIM('Real results'!C128))=UPPER(TRIM('Raw data'!BA128))),1,0),0)</f>
        <v>0</v>
      </c>
      <c r="BC132" s="29">
        <f>IFERROR(IF(AND('Real results'!C128&lt;&gt;"",'Raw data'!BC128&lt;&gt;"",UPPER(TRIM('Real results'!C128))=UPPER(TRIM('Raw data'!BC128))),1,0),0)</f>
        <v>0</v>
      </c>
      <c r="BE132" s="29">
        <f>IFERROR(IF(AND('Real results'!C128&lt;&gt;"",'Raw data'!BE128&lt;&gt;"",UPPER(TRIM('Real results'!C128))=UPPER(TRIM('Raw data'!BE128))),1,0),0)</f>
        <v>0</v>
      </c>
      <c r="BG132" s="29">
        <f>IFERROR(IF(AND('Real results'!C128&lt;&gt;"",'Raw data'!BG128&lt;&gt;"",UPPER(TRIM('Real results'!C128))=UPPER(TRIM('Raw data'!BG128))),1,0),0)</f>
        <v>0</v>
      </c>
      <c r="BI132" s="29">
        <f>IFERROR(IF(AND('Real results'!C128&lt;&gt;"",'Raw data'!BI128&lt;&gt;"",UPPER(TRIM('Real results'!C128))=UPPER(TRIM('Raw data'!BI128))),1,0),0)</f>
        <v>0</v>
      </c>
    </row>
    <row r="133" ht="18.0" customHeight="1">
      <c r="A133" s="1"/>
      <c r="B133" s="13" t="s">
        <v>414</v>
      </c>
      <c r="C133" s="29">
        <f>IFERROR(IF(AND(ISNUMBER('Real results'!C129),ISNUMBER('Real results'!D129),ISNUMBER('Raw data'!C129),ISNUMBER('Raw data'!D129)),IF(SIGN('Raw data'!C129-'Raw data'!D129)=SIGN('Real results'!C129-'Real results'!D129),3+IF(AND('Raw data'!C129='Real results'!C129,'Raw data'!D129='Real results'!D129),2,0),0),0),0)</f>
        <v>0</v>
      </c>
      <c r="E133" s="29">
        <f>IFERROR(IF(AND(ISNUMBER('Real results'!C129),ISNUMBER('Real results'!D129),ISNUMBER('Raw data'!E129),ISNUMBER('Raw data'!F129)),IF(SIGN('Raw data'!E129-'Raw data'!F129)=SIGN('Real results'!C129-'Real results'!D129),3+IF(AND('Raw data'!E129='Real results'!C129,'Raw data'!F129='Real results'!D129),2,0),0),0),0)</f>
        <v>0</v>
      </c>
      <c r="G133" s="29">
        <f>IFERROR(IF(AND(ISNUMBER('Real results'!C129),ISNUMBER('Real results'!D129),ISNUMBER('Raw data'!G129),ISNUMBER('Raw data'!H129)),IF(SIGN('Raw data'!G129-'Raw data'!H129)=SIGN('Real results'!C129-'Real results'!D129),3+IF(AND('Raw data'!G129='Real results'!C129,'Raw data'!H129='Real results'!D129),2,0),0),0),0)</f>
        <v>0</v>
      </c>
      <c r="I133" s="29">
        <f>IFERROR(IF(AND(ISNUMBER('Real results'!C129),ISNUMBER('Real results'!D129),ISNUMBER('Raw data'!I129),ISNUMBER('Raw data'!J129)),IF(SIGN('Raw data'!I129-'Raw data'!J129)=SIGN('Real results'!C129-'Real results'!D129),3+IF(AND('Raw data'!I129='Real results'!C129,'Raw data'!J129='Real results'!D129),2,0),0),0),0)</f>
        <v>0</v>
      </c>
      <c r="K133" s="29">
        <f>IFERROR(IF(AND(ISNUMBER('Real results'!C129),ISNUMBER('Real results'!D129),ISNUMBER('Raw data'!K129),ISNUMBER('Raw data'!L129)),IF(SIGN('Raw data'!K129-'Raw data'!L129)=SIGN('Real results'!C129-'Real results'!D129),3+IF(AND('Raw data'!K129='Real results'!C129,'Raw data'!L129='Real results'!D129),2,0),0),0),0)</f>
        <v>0</v>
      </c>
      <c r="M133" s="29">
        <f>IFERROR(IF(AND(ISNUMBER('Real results'!C129),ISNUMBER('Real results'!D129),ISNUMBER('Raw data'!M129),ISNUMBER('Raw data'!N129)),IF(SIGN('Raw data'!M129-'Raw data'!N129)=SIGN('Real results'!C129-'Real results'!D129),3+IF(AND('Raw data'!M129='Real results'!C129,'Raw data'!N129='Real results'!D129),2,0),0),0),0)</f>
        <v>0</v>
      </c>
      <c r="O133" s="29">
        <f>IFERROR(IF(AND(ISNUMBER('Real results'!C129),ISNUMBER('Real results'!D129),ISNUMBER('Raw data'!O129),ISNUMBER('Raw data'!P129)),IF(SIGN('Raw data'!O129-'Raw data'!P129)=SIGN('Real results'!C129-'Real results'!D129),3+IF(AND('Raw data'!O129='Real results'!C129,'Raw data'!P129='Real results'!D129),2,0),0),0),0)</f>
        <v>0</v>
      </c>
      <c r="Q133" s="29">
        <f>IFERROR(IF(AND(ISNUMBER('Real results'!C129),ISNUMBER('Real results'!D129),ISNUMBER('Raw data'!Q129),ISNUMBER('Raw data'!R129)),IF(SIGN('Raw data'!Q129-'Raw data'!R129)=SIGN('Real results'!C129-'Real results'!D129),3+IF(AND('Raw data'!Q129='Real results'!C129,'Raw data'!R129='Real results'!D129),2,0),0),0),0)</f>
        <v>0</v>
      </c>
      <c r="S133" s="29">
        <f>IFERROR(IF(AND(ISNUMBER('Real results'!C129),ISNUMBER('Real results'!D129),ISNUMBER('Raw data'!S129),ISNUMBER('Raw data'!T129)),IF(SIGN('Raw data'!S129-'Raw data'!T129)=SIGN('Real results'!C129-'Real results'!D129),3+IF(AND('Raw data'!S129='Real results'!C129,'Raw data'!T129='Real results'!D129),2,0),0),0),0)</f>
        <v>0</v>
      </c>
      <c r="U133" s="29">
        <f>IFERROR(IF(AND(ISNUMBER('Real results'!C129),ISNUMBER('Real results'!D129),ISNUMBER('Raw data'!U129),ISNUMBER('Raw data'!V129)),IF(SIGN('Raw data'!U129-'Raw data'!V129)=SIGN('Real results'!C129-'Real results'!D129),3+IF(AND('Raw data'!U129='Real results'!C129,'Raw data'!V129='Real results'!D129),2,0),0),0),0)</f>
        <v>0</v>
      </c>
      <c r="W133" s="29">
        <f>IFERROR(IF(AND(ISNUMBER('Real results'!C129),ISNUMBER('Real results'!D129),ISNUMBER('Raw data'!W129),ISNUMBER('Raw data'!X129)),IF(SIGN('Raw data'!W129-'Raw data'!X129)=SIGN('Real results'!C129-'Real results'!D129),3+IF(AND('Raw data'!W129='Real results'!C129,'Raw data'!X129='Real results'!D129),2,0),0),0),0)</f>
        <v>0</v>
      </c>
      <c r="Y133" s="29">
        <f>IFERROR(IF(AND(ISNUMBER('Real results'!C129),ISNUMBER('Real results'!D129),ISNUMBER('Raw data'!Y129),ISNUMBER('Raw data'!Z129)),IF(SIGN('Raw data'!Y129-'Raw data'!Z129)=SIGN('Real results'!C129-'Real results'!D129),3+IF(AND('Raw data'!Y129='Real results'!C129,'Raw data'!Z129='Real results'!D129),2,0),0),0),0)</f>
        <v>0</v>
      </c>
      <c r="AA133" s="29">
        <f>IFERROR(IF(AND(ISNUMBER('Real results'!C129),ISNUMBER('Real results'!D129),ISNUMBER('Raw data'!AA129),ISNUMBER('Raw data'!AB129)),IF(SIGN('Raw data'!AA129-'Raw data'!AB129)=SIGN('Real results'!C129-'Real results'!D129),3+IF(AND('Raw data'!AA129='Real results'!C129,'Raw data'!AB129='Real results'!D129),2,0),0),0),0)</f>
        <v>0</v>
      </c>
      <c r="AC133" s="29">
        <f>IFERROR(IF(AND(ISNUMBER('Real results'!C129),ISNUMBER('Real results'!D129),ISNUMBER('Raw data'!AC129),ISNUMBER('Raw data'!AD129)),IF(SIGN('Raw data'!AC129-'Raw data'!AD129)=SIGN('Real results'!C129-'Real results'!D129),3+IF(AND('Raw data'!AC129='Real results'!C129,'Raw data'!AD129='Real results'!D129),2,0),0),0),0)</f>
        <v>0</v>
      </c>
      <c r="AE133" s="29">
        <f>IFERROR(IF(AND(ISNUMBER('Real results'!C129),ISNUMBER('Real results'!D129),ISNUMBER('Raw data'!AE129),ISNUMBER('Raw data'!AF129)),IF(SIGN('Raw data'!AE129-'Raw data'!AF129)=SIGN('Real results'!C129-'Real results'!D129),3+IF(AND('Raw data'!AE129='Real results'!C129,'Raw data'!AF129='Real results'!D129),2,0),0),0),0)</f>
        <v>0</v>
      </c>
      <c r="AG133" s="29">
        <f>IFERROR(IF(AND(ISNUMBER('Real results'!C129),ISNUMBER('Real results'!D129),ISNUMBER('Raw data'!AG129),ISNUMBER('Raw data'!AH129)),IF(SIGN('Raw data'!AG129-'Raw data'!AH129)=SIGN('Real results'!C129-'Real results'!D129),3+IF(AND('Raw data'!AG129='Real results'!C129,'Raw data'!AH129='Real results'!D129),2,0),0),0),0)</f>
        <v>0</v>
      </c>
      <c r="AI133" s="29">
        <f>IFERROR(IF(AND(ISNUMBER('Real results'!C129),ISNUMBER('Real results'!D129),ISNUMBER('Raw data'!AI129),ISNUMBER('Raw data'!AJ129)),IF(SIGN('Raw data'!AI129-'Raw data'!AJ129)=SIGN('Real results'!C129-'Real results'!D129),3+IF(AND('Raw data'!AI129='Real results'!C129,'Raw data'!AJ129='Real results'!D129),2,0),0),0),0)</f>
        <v>0</v>
      </c>
      <c r="AK133" s="29">
        <f>IFERROR(IF(AND(ISNUMBER('Real results'!C129),ISNUMBER('Real results'!D129),ISNUMBER('Raw data'!AK129),ISNUMBER('Raw data'!AL129)),IF(SIGN('Raw data'!AK129-'Raw data'!AL129)=SIGN('Real results'!C129-'Real results'!D129),3+IF(AND('Raw data'!AK129='Real results'!C129,'Raw data'!AL129='Real results'!D129),2,0),0),0),0)</f>
        <v>0</v>
      </c>
      <c r="AM133" s="29">
        <f>IFERROR(IF(AND(ISNUMBER('Real results'!C129),ISNUMBER('Real results'!D129),ISNUMBER('Raw data'!AM129),ISNUMBER('Raw data'!AN129)),IF(SIGN('Raw data'!AM129-'Raw data'!AN129)=SIGN('Real results'!C129-'Real results'!D129),3+IF(AND('Raw data'!AM129='Real results'!C129,'Raw data'!AN129='Real results'!D129),2,0),0),0),0)</f>
        <v>0</v>
      </c>
      <c r="AO133" s="29">
        <f>IFERROR(IF(AND(ISNUMBER('Real results'!C129),ISNUMBER('Real results'!D129),ISNUMBER('Raw data'!AO129),ISNUMBER('Raw data'!AP129)),IF(SIGN('Raw data'!AO129-'Raw data'!AP129)=SIGN('Real results'!C129-'Real results'!D129),3+IF(AND('Raw data'!AO129='Real results'!C129,'Raw data'!AP129='Real results'!D129),2,0),0),0),0)</f>
        <v>0</v>
      </c>
      <c r="AQ133" s="29">
        <f>IFERROR(IF(AND(ISNUMBER('Real results'!C129),ISNUMBER('Real results'!D129),ISNUMBER('Raw data'!AQ129),ISNUMBER('Raw data'!AR129)),IF(SIGN('Raw data'!AQ129-'Raw data'!AR129)=SIGN('Real results'!C129-'Real results'!D129),3+IF(AND('Raw data'!AQ129='Real results'!C129,'Raw data'!AR129='Real results'!D129),2,0),0),0),0)</f>
        <v>0</v>
      </c>
      <c r="AS133" s="29">
        <f>IFERROR(IF(AND(ISNUMBER('Real results'!C129),ISNUMBER('Real results'!D129),ISNUMBER('Raw data'!AS129),ISNUMBER('Raw data'!AT129)),IF(SIGN('Raw data'!AS129-'Raw data'!AT129)=SIGN('Real results'!C129-'Real results'!D129),3+IF(AND('Raw data'!AS129='Real results'!C129,'Raw data'!AT129='Real results'!D129),2,0),0),0),0)</f>
        <v>0</v>
      </c>
      <c r="AU133" s="29">
        <f>IFERROR(IF(AND(ISNUMBER('Real results'!C129),ISNUMBER('Real results'!D129),ISNUMBER('Raw data'!AU129),ISNUMBER('Raw data'!AV129)),IF(SIGN('Raw data'!AU129-'Raw data'!AV129)=SIGN('Real results'!C129-'Real results'!D129),3+IF(AND('Raw data'!AU129='Real results'!C129,'Raw data'!AV129='Real results'!D129),2,0),0),0),0)</f>
        <v>0</v>
      </c>
      <c r="AW133" s="29">
        <f>IFERROR(IF(AND(ISNUMBER('Real results'!C129),ISNUMBER('Real results'!D129),ISNUMBER('Raw data'!AW129),ISNUMBER('Raw data'!AX129)),IF(SIGN('Raw data'!AW129-'Raw data'!AX129)=SIGN('Real results'!C129-'Real results'!D129),3+IF(AND('Raw data'!AW129='Real results'!C129,'Raw data'!AX129='Real results'!D129),2,0),0),0),0)</f>
        <v>0</v>
      </c>
      <c r="AY133" s="29">
        <f>IFERROR(IF(AND(ISNUMBER('Real results'!C129),ISNUMBER('Real results'!D129),ISNUMBER('Raw data'!AY129),ISNUMBER('Raw data'!AZ129)),IF(SIGN('Raw data'!AY129-'Raw data'!AZ129)=SIGN('Real results'!C129-'Real results'!D129),3+IF(AND('Raw data'!AY129='Real results'!C129,'Raw data'!AZ129='Real results'!D129),2,0),0),0),0)</f>
        <v>0</v>
      </c>
      <c r="BA133" s="29">
        <f>IFERROR(IF(AND(ISNUMBER('Real results'!C129),ISNUMBER('Real results'!D129),ISNUMBER('Raw data'!BA129),ISNUMBER('Raw data'!BB129)),IF(SIGN('Raw data'!BA129-'Raw data'!BB129)=SIGN('Real results'!C129-'Real results'!D129),3+IF(AND('Raw data'!BA129='Real results'!C129,'Raw data'!BB129='Real results'!D129),2,0),0),0),0)</f>
        <v>0</v>
      </c>
      <c r="BC133" s="29">
        <f>IFERROR(IF(AND(ISNUMBER('Real results'!C129),ISNUMBER('Real results'!D129),ISNUMBER('Raw data'!BC129),ISNUMBER('Raw data'!BD129)),IF(SIGN('Raw data'!BC129-'Raw data'!BD129)=SIGN('Real results'!C129-'Real results'!D129),3+IF(AND('Raw data'!BC129='Real results'!C129,'Raw data'!BD129='Real results'!D129),2,0),0),0),0)</f>
        <v>0</v>
      </c>
      <c r="BE133" s="29">
        <f>IFERROR(IF(AND(ISNUMBER('Real results'!C129),ISNUMBER('Real results'!D129),ISNUMBER('Raw data'!BE129),ISNUMBER('Raw data'!BF129)),IF(SIGN('Raw data'!BE129-'Raw data'!BF129)=SIGN('Real results'!C129-'Real results'!D129),3+IF(AND('Raw data'!BE129='Real results'!C129,'Raw data'!BF129='Real results'!D129),2,0),0),0),0)</f>
        <v>0</v>
      </c>
      <c r="BG133" s="29">
        <f>IFERROR(IF(AND(ISNUMBER('Real results'!C129),ISNUMBER('Real results'!D129),ISNUMBER('Raw data'!BG129),ISNUMBER('Raw data'!BH129)),IF(SIGN('Raw data'!BG129-'Raw data'!BH129)=SIGN('Real results'!C129-'Real results'!D129),3+IF(AND('Raw data'!BG129='Real results'!C129,'Raw data'!BH129='Real results'!D129),2,0),0),0),0)</f>
        <v>0</v>
      </c>
      <c r="BI133" s="29">
        <f>IFERROR(IF(AND(ISNUMBER('Real results'!C129),ISNUMBER('Real results'!D129),ISNUMBER('Raw data'!BI129),ISNUMBER('Raw data'!BJ129)),IF(SIGN('Raw data'!BI129-'Raw data'!BJ129)=SIGN('Real results'!C129-'Real results'!D129),3+IF(AND('Raw data'!BI129='Real results'!C129,'Raw data'!BJ129='Real results'!D129),2,0),0),0),0)</f>
        <v>0</v>
      </c>
    </row>
    <row r="134" ht="18.0" customHeight="1">
      <c r="A134" s="1"/>
      <c r="B134" s="13" t="s">
        <v>415</v>
      </c>
      <c r="C134" s="29">
        <f>IFERROR(IF(AND('Real results'!C130&lt;&gt;"",'Raw data'!C130&lt;&gt;"",UPPER(TRIM('Real results'!C130))=UPPER(TRIM('Raw data'!C130))),1,0),0)</f>
        <v>0</v>
      </c>
      <c r="E134" s="29">
        <f>IFERROR(IF(AND('Real results'!C130&lt;&gt;"",'Raw data'!E130&lt;&gt;"",UPPER(TRIM('Real results'!C130))=UPPER(TRIM('Raw data'!E130))),1,0),0)</f>
        <v>0</v>
      </c>
      <c r="G134" s="29">
        <f>IFERROR(IF(AND('Real results'!C130&lt;&gt;"",'Raw data'!G130&lt;&gt;"",UPPER(TRIM('Real results'!C130))=UPPER(TRIM('Raw data'!G130))),1,0),0)</f>
        <v>0</v>
      </c>
      <c r="I134" s="29">
        <f>IFERROR(IF(AND('Real results'!C130&lt;&gt;"",'Raw data'!I130&lt;&gt;"",UPPER(TRIM('Real results'!C130))=UPPER(TRIM('Raw data'!I130))),1,0),0)</f>
        <v>0</v>
      </c>
      <c r="K134" s="29">
        <f>IFERROR(IF(AND('Real results'!C130&lt;&gt;"",'Raw data'!K130&lt;&gt;"",UPPER(TRIM('Real results'!C130))=UPPER(TRIM('Raw data'!K130))),1,0),0)</f>
        <v>0</v>
      </c>
      <c r="M134" s="29">
        <f>IFERROR(IF(AND('Real results'!C130&lt;&gt;"",'Raw data'!M130&lt;&gt;"",UPPER(TRIM('Real results'!C130))=UPPER(TRIM('Raw data'!M130))),1,0),0)</f>
        <v>0</v>
      </c>
      <c r="O134" s="29">
        <f>IFERROR(IF(AND('Real results'!C130&lt;&gt;"",'Raw data'!O130&lt;&gt;"",UPPER(TRIM('Real results'!C130))=UPPER(TRIM('Raw data'!O130))),1,0),0)</f>
        <v>0</v>
      </c>
      <c r="Q134" s="29">
        <f>IFERROR(IF(AND('Real results'!C130&lt;&gt;"",'Raw data'!Q130&lt;&gt;"",UPPER(TRIM('Real results'!C130))=UPPER(TRIM('Raw data'!Q130))),1,0),0)</f>
        <v>0</v>
      </c>
      <c r="S134" s="29">
        <f>IFERROR(IF(AND('Real results'!C130&lt;&gt;"",'Raw data'!S130&lt;&gt;"",UPPER(TRIM('Real results'!C130))=UPPER(TRIM('Raw data'!S130))),1,0),0)</f>
        <v>0</v>
      </c>
      <c r="U134" s="29">
        <f>IFERROR(IF(AND('Real results'!C130&lt;&gt;"",'Raw data'!U130&lt;&gt;"",UPPER(TRIM('Real results'!C130))=UPPER(TRIM('Raw data'!U130))),1,0),0)</f>
        <v>0</v>
      </c>
      <c r="W134" s="29">
        <f>IFERROR(IF(AND('Real results'!C130&lt;&gt;"",'Raw data'!W130&lt;&gt;"",UPPER(TRIM('Real results'!C130))=UPPER(TRIM('Raw data'!W130))),1,0),0)</f>
        <v>0</v>
      </c>
      <c r="Y134" s="29">
        <f>IFERROR(IF(AND('Real results'!C130&lt;&gt;"",'Raw data'!Y130&lt;&gt;"",UPPER(TRIM('Real results'!C130))=UPPER(TRIM('Raw data'!Y130))),1,0),0)</f>
        <v>0</v>
      </c>
      <c r="AA134" s="29">
        <f>IFERROR(IF(AND('Real results'!C130&lt;&gt;"",'Raw data'!AA130&lt;&gt;"",UPPER(TRIM('Real results'!C130))=UPPER(TRIM('Raw data'!AA130))),1,0),0)</f>
        <v>0</v>
      </c>
      <c r="AC134" s="29">
        <f>IFERROR(IF(AND('Real results'!C130&lt;&gt;"",'Raw data'!AC130&lt;&gt;"",UPPER(TRIM('Real results'!C130))=UPPER(TRIM('Raw data'!AC130))),1,0),0)</f>
        <v>0</v>
      </c>
      <c r="AE134" s="29">
        <f>IFERROR(IF(AND('Real results'!C130&lt;&gt;"",'Raw data'!AE130&lt;&gt;"",UPPER(TRIM('Real results'!C130))=UPPER(TRIM('Raw data'!AE130))),1,0),0)</f>
        <v>0</v>
      </c>
      <c r="AG134" s="29">
        <f>IFERROR(IF(AND('Real results'!C130&lt;&gt;"",'Raw data'!AG130&lt;&gt;"",UPPER(TRIM('Real results'!C130))=UPPER(TRIM('Raw data'!AG130))),1,0),0)</f>
        <v>0</v>
      </c>
      <c r="AI134" s="29">
        <f>IFERROR(IF(AND('Real results'!C130&lt;&gt;"",'Raw data'!AI130&lt;&gt;"",UPPER(TRIM('Real results'!C130))=UPPER(TRIM('Raw data'!AI130))),1,0),0)</f>
        <v>0</v>
      </c>
      <c r="AK134" s="29">
        <f>IFERROR(IF(AND('Real results'!C130&lt;&gt;"",'Raw data'!AK130&lt;&gt;"",UPPER(TRIM('Real results'!C130))=UPPER(TRIM('Raw data'!AK130))),1,0),0)</f>
        <v>0</v>
      </c>
      <c r="AM134" s="29">
        <f>IFERROR(IF(AND('Real results'!C130&lt;&gt;"",'Raw data'!AM130&lt;&gt;"",UPPER(TRIM('Real results'!C130))=UPPER(TRIM('Raw data'!AM130))),1,0),0)</f>
        <v>0</v>
      </c>
      <c r="AO134" s="29">
        <f>IFERROR(IF(AND('Real results'!C130&lt;&gt;"",'Raw data'!AO130&lt;&gt;"",UPPER(TRIM('Real results'!C130))=UPPER(TRIM('Raw data'!AO130))),1,0),0)</f>
        <v>0</v>
      </c>
      <c r="AQ134" s="29">
        <f>IFERROR(IF(AND('Real results'!C130&lt;&gt;"",'Raw data'!AQ130&lt;&gt;"",UPPER(TRIM('Real results'!C130))=UPPER(TRIM('Raw data'!AQ130))),1,0),0)</f>
        <v>0</v>
      </c>
      <c r="AS134" s="29">
        <f>IFERROR(IF(AND('Real results'!C130&lt;&gt;"",'Raw data'!AS130&lt;&gt;"",UPPER(TRIM('Real results'!C130))=UPPER(TRIM('Raw data'!AS130))),1,0),0)</f>
        <v>0</v>
      </c>
      <c r="AU134" s="29">
        <f>IFERROR(IF(AND('Real results'!C130&lt;&gt;"",'Raw data'!AU130&lt;&gt;"",UPPER(TRIM('Real results'!C130))=UPPER(TRIM('Raw data'!AU130))),1,0),0)</f>
        <v>0</v>
      </c>
      <c r="AW134" s="29">
        <f>IFERROR(IF(AND('Real results'!C130&lt;&gt;"",'Raw data'!AW130&lt;&gt;"",UPPER(TRIM('Real results'!C130))=UPPER(TRIM('Raw data'!AW130))),1,0),0)</f>
        <v>0</v>
      </c>
      <c r="AY134" s="29">
        <f>IFERROR(IF(AND('Real results'!C130&lt;&gt;"",'Raw data'!AY130&lt;&gt;"",UPPER(TRIM('Real results'!C130))=UPPER(TRIM('Raw data'!AY130))),1,0),0)</f>
        <v>0</v>
      </c>
      <c r="BA134" s="29">
        <f>IFERROR(IF(AND('Real results'!C130&lt;&gt;"",'Raw data'!BA130&lt;&gt;"",UPPER(TRIM('Real results'!C130))=UPPER(TRIM('Raw data'!BA130))),1,0),0)</f>
        <v>0</v>
      </c>
      <c r="BC134" s="29">
        <f>IFERROR(IF(AND('Real results'!C130&lt;&gt;"",'Raw data'!BC130&lt;&gt;"",UPPER(TRIM('Real results'!C130))=UPPER(TRIM('Raw data'!BC130))),1,0),0)</f>
        <v>0</v>
      </c>
      <c r="BE134" s="29">
        <f>IFERROR(IF(AND('Real results'!C130&lt;&gt;"",'Raw data'!BE130&lt;&gt;"",UPPER(TRIM('Real results'!C130))=UPPER(TRIM('Raw data'!BE130))),1,0),0)</f>
        <v>0</v>
      </c>
      <c r="BG134" s="29">
        <f>IFERROR(IF(AND('Real results'!C130&lt;&gt;"",'Raw data'!BG130&lt;&gt;"",UPPER(TRIM('Real results'!C130))=UPPER(TRIM('Raw data'!BG130))),1,0),0)</f>
        <v>0</v>
      </c>
      <c r="BI134" s="29">
        <f>IFERROR(IF(AND('Real results'!C130&lt;&gt;"",'Raw data'!BI130&lt;&gt;"",UPPER(TRIM('Real results'!C130))=UPPER(TRIM('Raw data'!BI130))),1,0),0)</f>
        <v>0</v>
      </c>
    </row>
    <row r="135" ht="18.0" customHeight="1">
      <c r="A135" s="1"/>
      <c r="B135" s="13" t="s">
        <v>416</v>
      </c>
      <c r="C135" s="29">
        <f>IFERROR(IF(AND('Real results'!C131&lt;&gt;"",'Raw data'!C131&lt;&gt;"",UPPER(TRIM('Real results'!C131))=UPPER(TRIM('Raw data'!C131))),1,0),0)</f>
        <v>0</v>
      </c>
      <c r="E135" s="29">
        <f>IFERROR(IF(AND('Real results'!C131&lt;&gt;"",'Raw data'!E131&lt;&gt;"",UPPER(TRIM('Real results'!C131))=UPPER(TRIM('Raw data'!E131))),1,0),0)</f>
        <v>0</v>
      </c>
      <c r="G135" s="29">
        <f>IFERROR(IF(AND('Real results'!C131&lt;&gt;"",'Raw data'!G131&lt;&gt;"",UPPER(TRIM('Real results'!C131))=UPPER(TRIM('Raw data'!G131))),1,0),0)</f>
        <v>0</v>
      </c>
      <c r="I135" s="29">
        <f>IFERROR(IF(AND('Real results'!C131&lt;&gt;"",'Raw data'!I131&lt;&gt;"",UPPER(TRIM('Real results'!C131))=UPPER(TRIM('Raw data'!I131))),1,0),0)</f>
        <v>0</v>
      </c>
      <c r="K135" s="29">
        <f>IFERROR(IF(AND('Real results'!C131&lt;&gt;"",'Raw data'!K131&lt;&gt;"",UPPER(TRIM('Real results'!C131))=UPPER(TRIM('Raw data'!K131))),1,0),0)</f>
        <v>0</v>
      </c>
      <c r="M135" s="29">
        <f>IFERROR(IF(AND('Real results'!C131&lt;&gt;"",'Raw data'!M131&lt;&gt;"",UPPER(TRIM('Real results'!C131))=UPPER(TRIM('Raw data'!M131))),1,0),0)</f>
        <v>0</v>
      </c>
      <c r="O135" s="29">
        <f>IFERROR(IF(AND('Real results'!C131&lt;&gt;"",'Raw data'!O131&lt;&gt;"",UPPER(TRIM('Real results'!C131))=UPPER(TRIM('Raw data'!O131))),1,0),0)</f>
        <v>0</v>
      </c>
      <c r="Q135" s="29">
        <f>IFERROR(IF(AND('Real results'!C131&lt;&gt;"",'Raw data'!Q131&lt;&gt;"",UPPER(TRIM('Real results'!C131))=UPPER(TRIM('Raw data'!Q131))),1,0),0)</f>
        <v>0</v>
      </c>
      <c r="S135" s="29">
        <f>IFERROR(IF(AND('Real results'!C131&lt;&gt;"",'Raw data'!S131&lt;&gt;"",UPPER(TRIM('Real results'!C131))=UPPER(TRIM('Raw data'!S131))),1,0),0)</f>
        <v>0</v>
      </c>
      <c r="U135" s="29">
        <f>IFERROR(IF(AND('Real results'!C131&lt;&gt;"",'Raw data'!U131&lt;&gt;"",UPPER(TRIM('Real results'!C131))=UPPER(TRIM('Raw data'!U131))),1,0),0)</f>
        <v>0</v>
      </c>
      <c r="W135" s="29">
        <f>IFERROR(IF(AND('Real results'!C131&lt;&gt;"",'Raw data'!W131&lt;&gt;"",UPPER(TRIM('Real results'!C131))=UPPER(TRIM('Raw data'!W131))),1,0),0)</f>
        <v>0</v>
      </c>
      <c r="Y135" s="29">
        <f>IFERROR(IF(AND('Real results'!C131&lt;&gt;"",'Raw data'!Y131&lt;&gt;"",UPPER(TRIM('Real results'!C131))=UPPER(TRIM('Raw data'!Y131))),1,0),0)</f>
        <v>0</v>
      </c>
      <c r="AA135" s="29">
        <f>IFERROR(IF(AND('Real results'!C131&lt;&gt;"",'Raw data'!AA131&lt;&gt;"",UPPER(TRIM('Real results'!C131))=UPPER(TRIM('Raw data'!AA131))),1,0),0)</f>
        <v>0</v>
      </c>
      <c r="AC135" s="29">
        <f>IFERROR(IF(AND('Real results'!C131&lt;&gt;"",'Raw data'!AC131&lt;&gt;"",UPPER(TRIM('Real results'!C131))=UPPER(TRIM('Raw data'!AC131))),1,0),0)</f>
        <v>0</v>
      </c>
      <c r="AE135" s="29">
        <f>IFERROR(IF(AND('Real results'!C131&lt;&gt;"",'Raw data'!AE131&lt;&gt;"",UPPER(TRIM('Real results'!C131))=UPPER(TRIM('Raw data'!AE131))),1,0),0)</f>
        <v>0</v>
      </c>
      <c r="AG135" s="29">
        <f>IFERROR(IF(AND('Real results'!C131&lt;&gt;"",'Raw data'!AG131&lt;&gt;"",UPPER(TRIM('Real results'!C131))=UPPER(TRIM('Raw data'!AG131))),1,0),0)</f>
        <v>0</v>
      </c>
      <c r="AI135" s="29">
        <f>IFERROR(IF(AND('Real results'!C131&lt;&gt;"",'Raw data'!AI131&lt;&gt;"",UPPER(TRIM('Real results'!C131))=UPPER(TRIM('Raw data'!AI131))),1,0),0)</f>
        <v>0</v>
      </c>
      <c r="AK135" s="29">
        <f>IFERROR(IF(AND('Real results'!C131&lt;&gt;"",'Raw data'!AK131&lt;&gt;"",UPPER(TRIM('Real results'!C131))=UPPER(TRIM('Raw data'!AK131))),1,0),0)</f>
        <v>0</v>
      </c>
      <c r="AM135" s="29">
        <f>IFERROR(IF(AND('Real results'!C131&lt;&gt;"",'Raw data'!AM131&lt;&gt;"",UPPER(TRIM('Real results'!C131))=UPPER(TRIM('Raw data'!AM131))),1,0),0)</f>
        <v>0</v>
      </c>
      <c r="AO135" s="29">
        <f>IFERROR(IF(AND('Real results'!C131&lt;&gt;"",'Raw data'!AO131&lt;&gt;"",UPPER(TRIM('Real results'!C131))=UPPER(TRIM('Raw data'!AO131))),1,0),0)</f>
        <v>0</v>
      </c>
      <c r="AQ135" s="29">
        <f>IFERROR(IF(AND('Real results'!C131&lt;&gt;"",'Raw data'!AQ131&lt;&gt;"",UPPER(TRIM('Real results'!C131))=UPPER(TRIM('Raw data'!AQ131))),1,0),0)</f>
        <v>0</v>
      </c>
      <c r="AS135" s="29">
        <f>IFERROR(IF(AND('Real results'!C131&lt;&gt;"",'Raw data'!AS131&lt;&gt;"",UPPER(TRIM('Real results'!C131))=UPPER(TRIM('Raw data'!AS131))),1,0),0)</f>
        <v>0</v>
      </c>
      <c r="AU135" s="29">
        <f>IFERROR(IF(AND('Real results'!C131&lt;&gt;"",'Raw data'!AU131&lt;&gt;"",UPPER(TRIM('Real results'!C131))=UPPER(TRIM('Raw data'!AU131))),1,0),0)</f>
        <v>0</v>
      </c>
      <c r="AW135" s="29">
        <f>IFERROR(IF(AND('Real results'!C131&lt;&gt;"",'Raw data'!AW131&lt;&gt;"",UPPER(TRIM('Real results'!C131))=UPPER(TRIM('Raw data'!AW131))),1,0),0)</f>
        <v>0</v>
      </c>
      <c r="AY135" s="29">
        <f>IFERROR(IF(AND('Real results'!C131&lt;&gt;"",'Raw data'!AY131&lt;&gt;"",UPPER(TRIM('Real results'!C131))=UPPER(TRIM('Raw data'!AY131))),1,0),0)</f>
        <v>0</v>
      </c>
      <c r="BA135" s="29">
        <f>IFERROR(IF(AND('Real results'!C131&lt;&gt;"",'Raw data'!BA131&lt;&gt;"",UPPER(TRIM('Real results'!C131))=UPPER(TRIM('Raw data'!BA131))),1,0),0)</f>
        <v>0</v>
      </c>
      <c r="BC135" s="29">
        <f>IFERROR(IF(AND('Real results'!C131&lt;&gt;"",'Raw data'!BC131&lt;&gt;"",UPPER(TRIM('Real results'!C131))=UPPER(TRIM('Raw data'!BC131))),1,0),0)</f>
        <v>0</v>
      </c>
      <c r="BE135" s="29">
        <f>IFERROR(IF(AND('Real results'!C131&lt;&gt;"",'Raw data'!BE131&lt;&gt;"",UPPER(TRIM('Real results'!C131))=UPPER(TRIM('Raw data'!BE131))),1,0),0)</f>
        <v>0</v>
      </c>
      <c r="BG135" s="29">
        <f>IFERROR(IF(AND('Real results'!C131&lt;&gt;"",'Raw data'!BG131&lt;&gt;"",UPPER(TRIM('Real results'!C131))=UPPER(TRIM('Raw data'!BG131))),1,0),0)</f>
        <v>0</v>
      </c>
      <c r="BI135" s="29">
        <f>IFERROR(IF(AND('Real results'!C131&lt;&gt;"",'Raw data'!BI131&lt;&gt;"",UPPER(TRIM('Real results'!C131))=UPPER(TRIM('Raw data'!BI131))),1,0),0)</f>
        <v>0</v>
      </c>
    </row>
    <row r="136" ht="18.0" customHeight="1">
      <c r="A136" s="1"/>
      <c r="B136" s="13" t="s">
        <v>417</v>
      </c>
      <c r="C136" s="29">
        <f>IFERROR(IF(AND(ISNUMBER('Real results'!C132),ISNUMBER('Real results'!D132),ISNUMBER('Raw data'!C132),ISNUMBER('Raw data'!D132)),IF(SIGN('Raw data'!C132-'Raw data'!D132)=SIGN('Real results'!C132-'Real results'!D132),3+IF(AND('Raw data'!C132='Real results'!C132,'Raw data'!D132='Real results'!D132),2,0),0),0),0)</f>
        <v>0</v>
      </c>
      <c r="E136" s="29">
        <f>IFERROR(IF(AND(ISNUMBER('Real results'!C132),ISNUMBER('Real results'!D132),ISNUMBER('Raw data'!E132),ISNUMBER('Raw data'!F132)),IF(SIGN('Raw data'!E132-'Raw data'!F132)=SIGN('Real results'!C132-'Real results'!D132),3+IF(AND('Raw data'!E132='Real results'!C132,'Raw data'!F132='Real results'!D132),2,0),0),0),0)</f>
        <v>0</v>
      </c>
      <c r="G136" s="29">
        <f>IFERROR(IF(AND(ISNUMBER('Real results'!C132),ISNUMBER('Real results'!D132),ISNUMBER('Raw data'!G132),ISNUMBER('Raw data'!H132)),IF(SIGN('Raw data'!G132-'Raw data'!H132)=SIGN('Real results'!C132-'Real results'!D132),3+IF(AND('Raw data'!G132='Real results'!C132,'Raw data'!H132='Real results'!D132),2,0),0),0),0)</f>
        <v>0</v>
      </c>
      <c r="I136" s="29">
        <f>IFERROR(IF(AND(ISNUMBER('Real results'!C132),ISNUMBER('Real results'!D132),ISNUMBER('Raw data'!I132),ISNUMBER('Raw data'!J132)),IF(SIGN('Raw data'!I132-'Raw data'!J132)=SIGN('Real results'!C132-'Real results'!D132),3+IF(AND('Raw data'!I132='Real results'!C132,'Raw data'!J132='Real results'!D132),2,0),0),0),0)</f>
        <v>0</v>
      </c>
      <c r="K136" s="29">
        <f>IFERROR(IF(AND(ISNUMBER('Real results'!C132),ISNUMBER('Real results'!D132),ISNUMBER('Raw data'!K132),ISNUMBER('Raw data'!L132)),IF(SIGN('Raw data'!K132-'Raw data'!L132)=SIGN('Real results'!C132-'Real results'!D132),3+IF(AND('Raw data'!K132='Real results'!C132,'Raw data'!L132='Real results'!D132),2,0),0),0),0)</f>
        <v>0</v>
      </c>
      <c r="M136" s="29">
        <f>IFERROR(IF(AND(ISNUMBER('Real results'!C132),ISNUMBER('Real results'!D132),ISNUMBER('Raw data'!M132),ISNUMBER('Raw data'!N132)),IF(SIGN('Raw data'!M132-'Raw data'!N132)=SIGN('Real results'!C132-'Real results'!D132),3+IF(AND('Raw data'!M132='Real results'!C132,'Raw data'!N132='Real results'!D132),2,0),0),0),0)</f>
        <v>0</v>
      </c>
      <c r="O136" s="29">
        <f>IFERROR(IF(AND(ISNUMBER('Real results'!C132),ISNUMBER('Real results'!D132),ISNUMBER('Raw data'!O132),ISNUMBER('Raw data'!P132)),IF(SIGN('Raw data'!O132-'Raw data'!P132)=SIGN('Real results'!C132-'Real results'!D132),3+IF(AND('Raw data'!O132='Real results'!C132,'Raw data'!P132='Real results'!D132),2,0),0),0),0)</f>
        <v>0</v>
      </c>
      <c r="Q136" s="29">
        <f>IFERROR(IF(AND(ISNUMBER('Real results'!C132),ISNUMBER('Real results'!D132),ISNUMBER('Raw data'!Q132),ISNUMBER('Raw data'!R132)),IF(SIGN('Raw data'!Q132-'Raw data'!R132)=SIGN('Real results'!C132-'Real results'!D132),3+IF(AND('Raw data'!Q132='Real results'!C132,'Raw data'!R132='Real results'!D132),2,0),0),0),0)</f>
        <v>0</v>
      </c>
      <c r="S136" s="29">
        <f>IFERROR(IF(AND(ISNUMBER('Real results'!C132),ISNUMBER('Real results'!D132),ISNUMBER('Raw data'!S132),ISNUMBER('Raw data'!T132)),IF(SIGN('Raw data'!S132-'Raw data'!T132)=SIGN('Real results'!C132-'Real results'!D132),3+IF(AND('Raw data'!S132='Real results'!C132,'Raw data'!T132='Real results'!D132),2,0),0),0),0)</f>
        <v>0</v>
      </c>
      <c r="U136" s="29">
        <f>IFERROR(IF(AND(ISNUMBER('Real results'!C132),ISNUMBER('Real results'!D132),ISNUMBER('Raw data'!U132),ISNUMBER('Raw data'!V132)),IF(SIGN('Raw data'!U132-'Raw data'!V132)=SIGN('Real results'!C132-'Real results'!D132),3+IF(AND('Raw data'!U132='Real results'!C132,'Raw data'!V132='Real results'!D132),2,0),0),0),0)</f>
        <v>0</v>
      </c>
      <c r="W136" s="29">
        <f>IFERROR(IF(AND(ISNUMBER('Real results'!C132),ISNUMBER('Real results'!D132),ISNUMBER('Raw data'!W132),ISNUMBER('Raw data'!X132)),IF(SIGN('Raw data'!W132-'Raw data'!X132)=SIGN('Real results'!C132-'Real results'!D132),3+IF(AND('Raw data'!W132='Real results'!C132,'Raw data'!X132='Real results'!D132),2,0),0),0),0)</f>
        <v>0</v>
      </c>
      <c r="Y136" s="29">
        <f>IFERROR(IF(AND(ISNUMBER('Real results'!C132),ISNUMBER('Real results'!D132),ISNUMBER('Raw data'!Y132),ISNUMBER('Raw data'!Z132)),IF(SIGN('Raw data'!Y132-'Raw data'!Z132)=SIGN('Real results'!C132-'Real results'!D132),3+IF(AND('Raw data'!Y132='Real results'!C132,'Raw data'!Z132='Real results'!D132),2,0),0),0),0)</f>
        <v>0</v>
      </c>
      <c r="AA136" s="29">
        <f>IFERROR(IF(AND(ISNUMBER('Real results'!C132),ISNUMBER('Real results'!D132),ISNUMBER('Raw data'!AA132),ISNUMBER('Raw data'!AB132)),IF(SIGN('Raw data'!AA132-'Raw data'!AB132)=SIGN('Real results'!C132-'Real results'!D132),3+IF(AND('Raw data'!AA132='Real results'!C132,'Raw data'!AB132='Real results'!D132),2,0),0),0),0)</f>
        <v>0</v>
      </c>
      <c r="AC136" s="29">
        <f>IFERROR(IF(AND(ISNUMBER('Real results'!C132),ISNUMBER('Real results'!D132),ISNUMBER('Raw data'!AC132),ISNUMBER('Raw data'!AD132)),IF(SIGN('Raw data'!AC132-'Raw data'!AD132)=SIGN('Real results'!C132-'Real results'!D132),3+IF(AND('Raw data'!AC132='Real results'!C132,'Raw data'!AD132='Real results'!D132),2,0),0),0),0)</f>
        <v>0</v>
      </c>
      <c r="AE136" s="29">
        <f>IFERROR(IF(AND(ISNUMBER('Real results'!C132),ISNUMBER('Real results'!D132),ISNUMBER('Raw data'!AE132),ISNUMBER('Raw data'!AF132)),IF(SIGN('Raw data'!AE132-'Raw data'!AF132)=SIGN('Real results'!C132-'Real results'!D132),3+IF(AND('Raw data'!AE132='Real results'!C132,'Raw data'!AF132='Real results'!D132),2,0),0),0),0)</f>
        <v>0</v>
      </c>
      <c r="AG136" s="29">
        <f>IFERROR(IF(AND(ISNUMBER('Real results'!C132),ISNUMBER('Real results'!D132),ISNUMBER('Raw data'!AG132),ISNUMBER('Raw data'!AH132)),IF(SIGN('Raw data'!AG132-'Raw data'!AH132)=SIGN('Real results'!C132-'Real results'!D132),3+IF(AND('Raw data'!AG132='Real results'!C132,'Raw data'!AH132='Real results'!D132),2,0),0),0),0)</f>
        <v>0</v>
      </c>
      <c r="AI136" s="29">
        <f>IFERROR(IF(AND(ISNUMBER('Real results'!C132),ISNUMBER('Real results'!D132),ISNUMBER('Raw data'!AI132),ISNUMBER('Raw data'!AJ132)),IF(SIGN('Raw data'!AI132-'Raw data'!AJ132)=SIGN('Real results'!C132-'Real results'!D132),3+IF(AND('Raw data'!AI132='Real results'!C132,'Raw data'!AJ132='Real results'!D132),2,0),0),0),0)</f>
        <v>0</v>
      </c>
      <c r="AK136" s="29">
        <f>IFERROR(IF(AND(ISNUMBER('Real results'!C132),ISNUMBER('Real results'!D132),ISNUMBER('Raw data'!AK132),ISNUMBER('Raw data'!AL132)),IF(SIGN('Raw data'!AK132-'Raw data'!AL132)=SIGN('Real results'!C132-'Real results'!D132),3+IF(AND('Raw data'!AK132='Real results'!C132,'Raw data'!AL132='Real results'!D132),2,0),0),0),0)</f>
        <v>0</v>
      </c>
      <c r="AM136" s="29">
        <f>IFERROR(IF(AND(ISNUMBER('Real results'!C132),ISNUMBER('Real results'!D132),ISNUMBER('Raw data'!AM132),ISNUMBER('Raw data'!AN132)),IF(SIGN('Raw data'!AM132-'Raw data'!AN132)=SIGN('Real results'!C132-'Real results'!D132),3+IF(AND('Raw data'!AM132='Real results'!C132,'Raw data'!AN132='Real results'!D132),2,0),0),0),0)</f>
        <v>0</v>
      </c>
      <c r="AO136" s="29">
        <f>IFERROR(IF(AND(ISNUMBER('Real results'!C132),ISNUMBER('Real results'!D132),ISNUMBER('Raw data'!AO132),ISNUMBER('Raw data'!AP132)),IF(SIGN('Raw data'!AO132-'Raw data'!AP132)=SIGN('Real results'!C132-'Real results'!D132),3+IF(AND('Raw data'!AO132='Real results'!C132,'Raw data'!AP132='Real results'!D132),2,0),0),0),0)</f>
        <v>0</v>
      </c>
      <c r="AQ136" s="29">
        <f>IFERROR(IF(AND(ISNUMBER('Real results'!C132),ISNUMBER('Real results'!D132),ISNUMBER('Raw data'!AQ132),ISNUMBER('Raw data'!AR132)),IF(SIGN('Raw data'!AQ132-'Raw data'!AR132)=SIGN('Real results'!C132-'Real results'!D132),3+IF(AND('Raw data'!AQ132='Real results'!C132,'Raw data'!AR132='Real results'!D132),2,0),0),0),0)</f>
        <v>0</v>
      </c>
      <c r="AS136" s="29">
        <f>IFERROR(IF(AND(ISNUMBER('Real results'!C132),ISNUMBER('Real results'!D132),ISNUMBER('Raw data'!AS132),ISNUMBER('Raw data'!AT132)),IF(SIGN('Raw data'!AS132-'Raw data'!AT132)=SIGN('Real results'!C132-'Real results'!D132),3+IF(AND('Raw data'!AS132='Real results'!C132,'Raw data'!AT132='Real results'!D132),2,0),0),0),0)</f>
        <v>0</v>
      </c>
      <c r="AU136" s="29">
        <f>IFERROR(IF(AND(ISNUMBER('Real results'!C132),ISNUMBER('Real results'!D132),ISNUMBER('Raw data'!AU132),ISNUMBER('Raw data'!AV132)),IF(SIGN('Raw data'!AU132-'Raw data'!AV132)=SIGN('Real results'!C132-'Real results'!D132),3+IF(AND('Raw data'!AU132='Real results'!C132,'Raw data'!AV132='Real results'!D132),2,0),0),0),0)</f>
        <v>0</v>
      </c>
      <c r="AW136" s="29">
        <f>IFERROR(IF(AND(ISNUMBER('Real results'!C132),ISNUMBER('Real results'!D132),ISNUMBER('Raw data'!AW132),ISNUMBER('Raw data'!AX132)),IF(SIGN('Raw data'!AW132-'Raw data'!AX132)=SIGN('Real results'!C132-'Real results'!D132),3+IF(AND('Raw data'!AW132='Real results'!C132,'Raw data'!AX132='Real results'!D132),2,0),0),0),0)</f>
        <v>0</v>
      </c>
      <c r="AY136" s="29">
        <f>IFERROR(IF(AND(ISNUMBER('Real results'!C132),ISNUMBER('Real results'!D132),ISNUMBER('Raw data'!AY132),ISNUMBER('Raw data'!AZ132)),IF(SIGN('Raw data'!AY132-'Raw data'!AZ132)=SIGN('Real results'!C132-'Real results'!D132),3+IF(AND('Raw data'!AY132='Real results'!C132,'Raw data'!AZ132='Real results'!D132),2,0),0),0),0)</f>
        <v>0</v>
      </c>
      <c r="BA136" s="29">
        <f>IFERROR(IF(AND(ISNUMBER('Real results'!C132),ISNUMBER('Real results'!D132),ISNUMBER('Raw data'!BA132),ISNUMBER('Raw data'!BB132)),IF(SIGN('Raw data'!BA132-'Raw data'!BB132)=SIGN('Real results'!C132-'Real results'!D132),3+IF(AND('Raw data'!BA132='Real results'!C132,'Raw data'!BB132='Real results'!D132),2,0),0),0),0)</f>
        <v>0</v>
      </c>
      <c r="BC136" s="29">
        <f>IFERROR(IF(AND(ISNUMBER('Real results'!C132),ISNUMBER('Real results'!D132),ISNUMBER('Raw data'!BC132),ISNUMBER('Raw data'!BD132)),IF(SIGN('Raw data'!BC132-'Raw data'!BD132)=SIGN('Real results'!C132-'Real results'!D132),3+IF(AND('Raw data'!BC132='Real results'!C132,'Raw data'!BD132='Real results'!D132),2,0),0),0),0)</f>
        <v>0</v>
      </c>
      <c r="BE136" s="29">
        <f>IFERROR(IF(AND(ISNUMBER('Real results'!C132),ISNUMBER('Real results'!D132),ISNUMBER('Raw data'!BE132),ISNUMBER('Raw data'!BF132)),IF(SIGN('Raw data'!BE132-'Raw data'!BF132)=SIGN('Real results'!C132-'Real results'!D132),3+IF(AND('Raw data'!BE132='Real results'!C132,'Raw data'!BF132='Real results'!D132),2,0),0),0),0)</f>
        <v>0</v>
      </c>
      <c r="BG136" s="29">
        <f>IFERROR(IF(AND(ISNUMBER('Real results'!C132),ISNUMBER('Real results'!D132),ISNUMBER('Raw data'!BG132),ISNUMBER('Raw data'!BH132)),IF(SIGN('Raw data'!BG132-'Raw data'!BH132)=SIGN('Real results'!C132-'Real results'!D132),3+IF(AND('Raw data'!BG132='Real results'!C132,'Raw data'!BH132='Real results'!D132),2,0),0),0),0)</f>
        <v>0</v>
      </c>
      <c r="BI136" s="29">
        <f>IFERROR(IF(AND(ISNUMBER('Real results'!C132),ISNUMBER('Real results'!D132),ISNUMBER('Raw data'!BI132),ISNUMBER('Raw data'!BJ132)),IF(SIGN('Raw data'!BI132-'Raw data'!BJ132)=SIGN('Real results'!C132-'Real results'!D132),3+IF(AND('Raw data'!BI132='Real results'!C132,'Raw data'!BJ132='Real results'!D132),2,0),0),0),0)</f>
        <v>0</v>
      </c>
    </row>
    <row r="137" ht="18.0" customHeight="1">
      <c r="A137" s="1"/>
      <c r="B137" s="13" t="s">
        <v>418</v>
      </c>
      <c r="C137" s="29">
        <f>IFERROR(IF(AND('Real results'!C133&lt;&gt;"",'Raw data'!C133&lt;&gt;"",UPPER(TRIM('Real results'!C133))=UPPER(TRIM('Raw data'!C133))),1,0),0)</f>
        <v>0</v>
      </c>
      <c r="E137" s="29">
        <f>IFERROR(IF(AND('Real results'!C133&lt;&gt;"",'Raw data'!E133&lt;&gt;"",UPPER(TRIM('Real results'!C133))=UPPER(TRIM('Raw data'!E133))),1,0),0)</f>
        <v>0</v>
      </c>
      <c r="G137" s="29">
        <f>IFERROR(IF(AND('Real results'!C133&lt;&gt;"",'Raw data'!G133&lt;&gt;"",UPPER(TRIM('Real results'!C133))=UPPER(TRIM('Raw data'!G133))),1,0),0)</f>
        <v>0</v>
      </c>
      <c r="I137" s="29">
        <f>IFERROR(IF(AND('Real results'!C133&lt;&gt;"",'Raw data'!I133&lt;&gt;"",UPPER(TRIM('Real results'!C133))=UPPER(TRIM('Raw data'!I133))),1,0),0)</f>
        <v>0</v>
      </c>
      <c r="K137" s="29">
        <f>IFERROR(IF(AND('Real results'!C133&lt;&gt;"",'Raw data'!K133&lt;&gt;"",UPPER(TRIM('Real results'!C133))=UPPER(TRIM('Raw data'!K133))),1,0),0)</f>
        <v>0</v>
      </c>
      <c r="M137" s="29">
        <f>IFERROR(IF(AND('Real results'!C133&lt;&gt;"",'Raw data'!M133&lt;&gt;"",UPPER(TRIM('Real results'!C133))=UPPER(TRIM('Raw data'!M133))),1,0),0)</f>
        <v>0</v>
      </c>
      <c r="O137" s="29">
        <f>IFERROR(IF(AND('Real results'!C133&lt;&gt;"",'Raw data'!O133&lt;&gt;"",UPPER(TRIM('Real results'!C133))=UPPER(TRIM('Raw data'!O133))),1,0),0)</f>
        <v>0</v>
      </c>
      <c r="Q137" s="29">
        <f>IFERROR(IF(AND('Real results'!C133&lt;&gt;"",'Raw data'!Q133&lt;&gt;"",UPPER(TRIM('Real results'!C133))=UPPER(TRIM('Raw data'!Q133))),1,0),0)</f>
        <v>0</v>
      </c>
      <c r="S137" s="29">
        <f>IFERROR(IF(AND('Real results'!C133&lt;&gt;"",'Raw data'!S133&lt;&gt;"",UPPER(TRIM('Real results'!C133))=UPPER(TRIM('Raw data'!S133))),1,0),0)</f>
        <v>0</v>
      </c>
      <c r="U137" s="29">
        <f>IFERROR(IF(AND('Real results'!C133&lt;&gt;"",'Raw data'!U133&lt;&gt;"",UPPER(TRIM('Real results'!C133))=UPPER(TRIM('Raw data'!U133))),1,0),0)</f>
        <v>0</v>
      </c>
      <c r="W137" s="29">
        <f>IFERROR(IF(AND('Real results'!C133&lt;&gt;"",'Raw data'!W133&lt;&gt;"",UPPER(TRIM('Real results'!C133))=UPPER(TRIM('Raw data'!W133))),1,0),0)</f>
        <v>0</v>
      </c>
      <c r="Y137" s="29">
        <f>IFERROR(IF(AND('Real results'!C133&lt;&gt;"",'Raw data'!Y133&lt;&gt;"",UPPER(TRIM('Real results'!C133))=UPPER(TRIM('Raw data'!Y133))),1,0),0)</f>
        <v>0</v>
      </c>
      <c r="AA137" s="29">
        <f>IFERROR(IF(AND('Real results'!C133&lt;&gt;"",'Raw data'!AA133&lt;&gt;"",UPPER(TRIM('Real results'!C133))=UPPER(TRIM('Raw data'!AA133))),1,0),0)</f>
        <v>0</v>
      </c>
      <c r="AC137" s="29">
        <f>IFERROR(IF(AND('Real results'!C133&lt;&gt;"",'Raw data'!AC133&lt;&gt;"",UPPER(TRIM('Real results'!C133))=UPPER(TRIM('Raw data'!AC133))),1,0),0)</f>
        <v>0</v>
      </c>
      <c r="AE137" s="29">
        <f>IFERROR(IF(AND('Real results'!C133&lt;&gt;"",'Raw data'!AE133&lt;&gt;"",UPPER(TRIM('Real results'!C133))=UPPER(TRIM('Raw data'!AE133))),1,0),0)</f>
        <v>0</v>
      </c>
      <c r="AG137" s="29">
        <f>IFERROR(IF(AND('Real results'!C133&lt;&gt;"",'Raw data'!AG133&lt;&gt;"",UPPER(TRIM('Real results'!C133))=UPPER(TRIM('Raw data'!AG133))),1,0),0)</f>
        <v>0</v>
      </c>
      <c r="AI137" s="29">
        <f>IFERROR(IF(AND('Real results'!C133&lt;&gt;"",'Raw data'!AI133&lt;&gt;"",UPPER(TRIM('Real results'!C133))=UPPER(TRIM('Raw data'!AI133))),1,0),0)</f>
        <v>0</v>
      </c>
      <c r="AK137" s="29">
        <f>IFERROR(IF(AND('Real results'!C133&lt;&gt;"",'Raw data'!AK133&lt;&gt;"",UPPER(TRIM('Real results'!C133))=UPPER(TRIM('Raw data'!AK133))),1,0),0)</f>
        <v>0</v>
      </c>
      <c r="AM137" s="29">
        <f>IFERROR(IF(AND('Real results'!C133&lt;&gt;"",'Raw data'!AM133&lt;&gt;"",UPPER(TRIM('Real results'!C133))=UPPER(TRIM('Raw data'!AM133))),1,0),0)</f>
        <v>0</v>
      </c>
      <c r="AO137" s="29">
        <f>IFERROR(IF(AND('Real results'!C133&lt;&gt;"",'Raw data'!AO133&lt;&gt;"",UPPER(TRIM('Real results'!C133))=UPPER(TRIM('Raw data'!AO133))),1,0),0)</f>
        <v>0</v>
      </c>
      <c r="AQ137" s="29">
        <f>IFERROR(IF(AND('Real results'!C133&lt;&gt;"",'Raw data'!AQ133&lt;&gt;"",UPPER(TRIM('Real results'!C133))=UPPER(TRIM('Raw data'!AQ133))),1,0),0)</f>
        <v>0</v>
      </c>
      <c r="AS137" s="29">
        <f>IFERROR(IF(AND('Real results'!C133&lt;&gt;"",'Raw data'!AS133&lt;&gt;"",UPPER(TRIM('Real results'!C133))=UPPER(TRIM('Raw data'!AS133))),1,0),0)</f>
        <v>0</v>
      </c>
      <c r="AU137" s="29">
        <f>IFERROR(IF(AND('Real results'!C133&lt;&gt;"",'Raw data'!AU133&lt;&gt;"",UPPER(TRIM('Real results'!C133))=UPPER(TRIM('Raw data'!AU133))),1,0),0)</f>
        <v>0</v>
      </c>
      <c r="AW137" s="29">
        <f>IFERROR(IF(AND('Real results'!C133&lt;&gt;"",'Raw data'!AW133&lt;&gt;"",UPPER(TRIM('Real results'!C133))=UPPER(TRIM('Raw data'!AW133))),1,0),0)</f>
        <v>0</v>
      </c>
      <c r="AY137" s="29">
        <f>IFERROR(IF(AND('Real results'!C133&lt;&gt;"",'Raw data'!AY133&lt;&gt;"",UPPER(TRIM('Real results'!C133))=UPPER(TRIM('Raw data'!AY133))),1,0),0)</f>
        <v>0</v>
      </c>
      <c r="BA137" s="29">
        <f>IFERROR(IF(AND('Real results'!C133&lt;&gt;"",'Raw data'!BA133&lt;&gt;"",UPPER(TRIM('Real results'!C133))=UPPER(TRIM('Raw data'!BA133))),1,0),0)</f>
        <v>0</v>
      </c>
      <c r="BC137" s="29">
        <f>IFERROR(IF(AND('Real results'!C133&lt;&gt;"",'Raw data'!BC133&lt;&gt;"",UPPER(TRIM('Real results'!C133))=UPPER(TRIM('Raw data'!BC133))),1,0),0)</f>
        <v>0</v>
      </c>
      <c r="BE137" s="29">
        <f>IFERROR(IF(AND('Real results'!C133&lt;&gt;"",'Raw data'!BE133&lt;&gt;"",UPPER(TRIM('Real results'!C133))=UPPER(TRIM('Raw data'!BE133))),1,0),0)</f>
        <v>0</v>
      </c>
      <c r="BG137" s="29">
        <f>IFERROR(IF(AND('Real results'!C133&lt;&gt;"",'Raw data'!BG133&lt;&gt;"",UPPER(TRIM('Real results'!C133))=UPPER(TRIM('Raw data'!BG133))),1,0),0)</f>
        <v>0</v>
      </c>
      <c r="BI137" s="29">
        <f>IFERROR(IF(AND('Real results'!C133&lt;&gt;"",'Raw data'!BI133&lt;&gt;"",UPPER(TRIM('Real results'!C133))=UPPER(TRIM('Raw data'!BI133))),1,0),0)</f>
        <v>0</v>
      </c>
    </row>
    <row r="138" ht="18.0" customHeight="1">
      <c r="A138" s="1"/>
      <c r="B138" s="13" t="s">
        <v>419</v>
      </c>
      <c r="C138" s="29">
        <f>IFERROR(IF(AND('Real results'!C134&lt;&gt;"",'Raw data'!C134&lt;&gt;"",UPPER(TRIM('Real results'!C134))=UPPER(TRIM('Raw data'!C134))),1,0),0)</f>
        <v>0</v>
      </c>
      <c r="E138" s="29">
        <f>IFERROR(IF(AND('Real results'!C134&lt;&gt;"",'Raw data'!E134&lt;&gt;"",UPPER(TRIM('Real results'!C134))=UPPER(TRIM('Raw data'!E134))),1,0),0)</f>
        <v>0</v>
      </c>
      <c r="G138" s="29">
        <f>IFERROR(IF(AND('Real results'!C134&lt;&gt;"",'Raw data'!G134&lt;&gt;"",UPPER(TRIM('Real results'!C134))=UPPER(TRIM('Raw data'!G134))),1,0),0)</f>
        <v>0</v>
      </c>
      <c r="I138" s="29">
        <f>IFERROR(IF(AND('Real results'!C134&lt;&gt;"",'Raw data'!I134&lt;&gt;"",UPPER(TRIM('Real results'!C134))=UPPER(TRIM('Raw data'!I134))),1,0),0)</f>
        <v>0</v>
      </c>
      <c r="K138" s="29">
        <f>IFERROR(IF(AND('Real results'!C134&lt;&gt;"",'Raw data'!K134&lt;&gt;"",UPPER(TRIM('Real results'!C134))=UPPER(TRIM('Raw data'!K134))),1,0),0)</f>
        <v>0</v>
      </c>
      <c r="M138" s="29">
        <f>IFERROR(IF(AND('Real results'!C134&lt;&gt;"",'Raw data'!M134&lt;&gt;"",UPPER(TRIM('Real results'!C134))=UPPER(TRIM('Raw data'!M134))),1,0),0)</f>
        <v>0</v>
      </c>
      <c r="O138" s="29">
        <f>IFERROR(IF(AND('Real results'!C134&lt;&gt;"",'Raw data'!O134&lt;&gt;"",UPPER(TRIM('Real results'!C134))=UPPER(TRIM('Raw data'!O134))),1,0),0)</f>
        <v>0</v>
      </c>
      <c r="Q138" s="29">
        <f>IFERROR(IF(AND('Real results'!C134&lt;&gt;"",'Raw data'!Q134&lt;&gt;"",UPPER(TRIM('Real results'!C134))=UPPER(TRIM('Raw data'!Q134))),1,0),0)</f>
        <v>0</v>
      </c>
      <c r="S138" s="29">
        <f>IFERROR(IF(AND('Real results'!C134&lt;&gt;"",'Raw data'!S134&lt;&gt;"",UPPER(TRIM('Real results'!C134))=UPPER(TRIM('Raw data'!S134))),1,0),0)</f>
        <v>0</v>
      </c>
      <c r="U138" s="29">
        <f>IFERROR(IF(AND('Real results'!C134&lt;&gt;"",'Raw data'!U134&lt;&gt;"",UPPER(TRIM('Real results'!C134))=UPPER(TRIM('Raw data'!U134))),1,0),0)</f>
        <v>0</v>
      </c>
      <c r="W138" s="29">
        <f>IFERROR(IF(AND('Real results'!C134&lt;&gt;"",'Raw data'!W134&lt;&gt;"",UPPER(TRIM('Real results'!C134))=UPPER(TRIM('Raw data'!W134))),1,0),0)</f>
        <v>0</v>
      </c>
      <c r="Y138" s="29">
        <f>IFERROR(IF(AND('Real results'!C134&lt;&gt;"",'Raw data'!Y134&lt;&gt;"",UPPER(TRIM('Real results'!C134))=UPPER(TRIM('Raw data'!Y134))),1,0),0)</f>
        <v>0</v>
      </c>
      <c r="AA138" s="29">
        <f>IFERROR(IF(AND('Real results'!C134&lt;&gt;"",'Raw data'!AA134&lt;&gt;"",UPPER(TRIM('Real results'!C134))=UPPER(TRIM('Raw data'!AA134))),1,0),0)</f>
        <v>0</v>
      </c>
      <c r="AC138" s="29">
        <f>IFERROR(IF(AND('Real results'!C134&lt;&gt;"",'Raw data'!AC134&lt;&gt;"",UPPER(TRIM('Real results'!C134))=UPPER(TRIM('Raw data'!AC134))),1,0),0)</f>
        <v>0</v>
      </c>
      <c r="AE138" s="29">
        <f>IFERROR(IF(AND('Real results'!C134&lt;&gt;"",'Raw data'!AE134&lt;&gt;"",UPPER(TRIM('Real results'!C134))=UPPER(TRIM('Raw data'!AE134))),1,0),0)</f>
        <v>0</v>
      </c>
      <c r="AG138" s="29">
        <f>IFERROR(IF(AND('Real results'!C134&lt;&gt;"",'Raw data'!AG134&lt;&gt;"",UPPER(TRIM('Real results'!C134))=UPPER(TRIM('Raw data'!AG134))),1,0),0)</f>
        <v>0</v>
      </c>
      <c r="AI138" s="29">
        <f>IFERROR(IF(AND('Real results'!C134&lt;&gt;"",'Raw data'!AI134&lt;&gt;"",UPPER(TRIM('Real results'!C134))=UPPER(TRIM('Raw data'!AI134))),1,0),0)</f>
        <v>0</v>
      </c>
      <c r="AK138" s="29">
        <f>IFERROR(IF(AND('Real results'!C134&lt;&gt;"",'Raw data'!AK134&lt;&gt;"",UPPER(TRIM('Real results'!C134))=UPPER(TRIM('Raw data'!AK134))),1,0),0)</f>
        <v>0</v>
      </c>
      <c r="AM138" s="29">
        <f>IFERROR(IF(AND('Real results'!C134&lt;&gt;"",'Raw data'!AM134&lt;&gt;"",UPPER(TRIM('Real results'!C134))=UPPER(TRIM('Raw data'!AM134))),1,0),0)</f>
        <v>0</v>
      </c>
      <c r="AO138" s="29">
        <f>IFERROR(IF(AND('Real results'!C134&lt;&gt;"",'Raw data'!AO134&lt;&gt;"",UPPER(TRIM('Real results'!C134))=UPPER(TRIM('Raw data'!AO134))),1,0),0)</f>
        <v>0</v>
      </c>
      <c r="AQ138" s="29">
        <f>IFERROR(IF(AND('Real results'!C134&lt;&gt;"",'Raw data'!AQ134&lt;&gt;"",UPPER(TRIM('Real results'!C134))=UPPER(TRIM('Raw data'!AQ134))),1,0),0)</f>
        <v>0</v>
      </c>
      <c r="AS138" s="29">
        <f>IFERROR(IF(AND('Real results'!C134&lt;&gt;"",'Raw data'!AS134&lt;&gt;"",UPPER(TRIM('Real results'!C134))=UPPER(TRIM('Raw data'!AS134))),1,0),0)</f>
        <v>0</v>
      </c>
      <c r="AU138" s="29">
        <f>IFERROR(IF(AND('Real results'!C134&lt;&gt;"",'Raw data'!AU134&lt;&gt;"",UPPER(TRIM('Real results'!C134))=UPPER(TRIM('Raw data'!AU134))),1,0),0)</f>
        <v>0</v>
      </c>
      <c r="AW138" s="29">
        <f>IFERROR(IF(AND('Real results'!C134&lt;&gt;"",'Raw data'!AW134&lt;&gt;"",UPPER(TRIM('Real results'!C134))=UPPER(TRIM('Raw data'!AW134))),1,0),0)</f>
        <v>0</v>
      </c>
      <c r="AY138" s="29">
        <f>IFERROR(IF(AND('Real results'!C134&lt;&gt;"",'Raw data'!AY134&lt;&gt;"",UPPER(TRIM('Real results'!C134))=UPPER(TRIM('Raw data'!AY134))),1,0),0)</f>
        <v>0</v>
      </c>
      <c r="BA138" s="29">
        <f>IFERROR(IF(AND('Real results'!C134&lt;&gt;"",'Raw data'!BA134&lt;&gt;"",UPPER(TRIM('Real results'!C134))=UPPER(TRIM('Raw data'!BA134))),1,0),0)</f>
        <v>0</v>
      </c>
      <c r="BC138" s="29">
        <f>IFERROR(IF(AND('Real results'!C134&lt;&gt;"",'Raw data'!BC134&lt;&gt;"",UPPER(TRIM('Real results'!C134))=UPPER(TRIM('Raw data'!BC134))),1,0),0)</f>
        <v>0</v>
      </c>
      <c r="BE138" s="29">
        <f>IFERROR(IF(AND('Real results'!C134&lt;&gt;"",'Raw data'!BE134&lt;&gt;"",UPPER(TRIM('Real results'!C134))=UPPER(TRIM('Raw data'!BE134))),1,0),0)</f>
        <v>0</v>
      </c>
      <c r="BG138" s="29">
        <f>IFERROR(IF(AND('Real results'!C134&lt;&gt;"",'Raw data'!BG134&lt;&gt;"",UPPER(TRIM('Real results'!C134))=UPPER(TRIM('Raw data'!BG134))),1,0),0)</f>
        <v>0</v>
      </c>
      <c r="BI138" s="29">
        <f>IFERROR(IF(AND('Real results'!C134&lt;&gt;"",'Raw data'!BI134&lt;&gt;"",UPPER(TRIM('Real results'!C134))=UPPER(TRIM('Raw data'!BI134))),1,0),0)</f>
        <v>0</v>
      </c>
    </row>
    <row r="139" ht="18.0" customHeight="1">
      <c r="A139" s="1"/>
      <c r="B139" s="13" t="s">
        <v>420</v>
      </c>
      <c r="C139" s="29">
        <f>IFERROR(IF(AND(ISNUMBER('Real results'!C135),ISNUMBER('Real results'!D135),ISNUMBER('Raw data'!C135),ISNUMBER('Raw data'!D135)),IF(SIGN('Raw data'!C135-'Raw data'!D135)=SIGN('Real results'!C135-'Real results'!D135),3+IF(AND('Raw data'!C135='Real results'!C135,'Raw data'!D135='Real results'!D135),2,0),0),0),0)</f>
        <v>0</v>
      </c>
      <c r="E139" s="29">
        <f>IFERROR(IF(AND(ISNUMBER('Real results'!C135),ISNUMBER('Real results'!D135),ISNUMBER('Raw data'!E135),ISNUMBER('Raw data'!F135)),IF(SIGN('Raw data'!E135-'Raw data'!F135)=SIGN('Real results'!C135-'Real results'!D135),3+IF(AND('Raw data'!E135='Real results'!C135,'Raw data'!F135='Real results'!D135),2,0),0),0),0)</f>
        <v>0</v>
      </c>
      <c r="G139" s="29">
        <f>IFERROR(IF(AND(ISNUMBER('Real results'!C135),ISNUMBER('Real results'!D135),ISNUMBER('Raw data'!G135),ISNUMBER('Raw data'!H135)),IF(SIGN('Raw data'!G135-'Raw data'!H135)=SIGN('Real results'!C135-'Real results'!D135),3+IF(AND('Raw data'!G135='Real results'!C135,'Raw data'!H135='Real results'!D135),2,0),0),0),0)</f>
        <v>0</v>
      </c>
      <c r="I139" s="29">
        <f>IFERROR(IF(AND(ISNUMBER('Real results'!C135),ISNUMBER('Real results'!D135),ISNUMBER('Raw data'!I135),ISNUMBER('Raw data'!J135)),IF(SIGN('Raw data'!I135-'Raw data'!J135)=SIGN('Real results'!C135-'Real results'!D135),3+IF(AND('Raw data'!I135='Real results'!C135,'Raw data'!J135='Real results'!D135),2,0),0),0),0)</f>
        <v>0</v>
      </c>
      <c r="K139" s="29">
        <f>IFERROR(IF(AND(ISNUMBER('Real results'!C135),ISNUMBER('Real results'!D135),ISNUMBER('Raw data'!K135),ISNUMBER('Raw data'!L135)),IF(SIGN('Raw data'!K135-'Raw data'!L135)=SIGN('Real results'!C135-'Real results'!D135),3+IF(AND('Raw data'!K135='Real results'!C135,'Raw data'!L135='Real results'!D135),2,0),0),0),0)</f>
        <v>0</v>
      </c>
      <c r="M139" s="29">
        <f>IFERROR(IF(AND(ISNUMBER('Real results'!C135),ISNUMBER('Real results'!D135),ISNUMBER('Raw data'!M135),ISNUMBER('Raw data'!N135)),IF(SIGN('Raw data'!M135-'Raw data'!N135)=SIGN('Real results'!C135-'Real results'!D135),3+IF(AND('Raw data'!M135='Real results'!C135,'Raw data'!N135='Real results'!D135),2,0),0),0),0)</f>
        <v>0</v>
      </c>
      <c r="O139" s="29">
        <f>IFERROR(IF(AND(ISNUMBER('Real results'!C135),ISNUMBER('Real results'!D135),ISNUMBER('Raw data'!O135),ISNUMBER('Raw data'!P135)),IF(SIGN('Raw data'!O135-'Raw data'!P135)=SIGN('Real results'!C135-'Real results'!D135),3+IF(AND('Raw data'!O135='Real results'!C135,'Raw data'!P135='Real results'!D135),2,0),0),0),0)</f>
        <v>0</v>
      </c>
      <c r="Q139" s="29">
        <f>IFERROR(IF(AND(ISNUMBER('Real results'!C135),ISNUMBER('Real results'!D135),ISNUMBER('Raw data'!Q135),ISNUMBER('Raw data'!R135)),IF(SIGN('Raw data'!Q135-'Raw data'!R135)=SIGN('Real results'!C135-'Real results'!D135),3+IF(AND('Raw data'!Q135='Real results'!C135,'Raw data'!R135='Real results'!D135),2,0),0),0),0)</f>
        <v>0</v>
      </c>
      <c r="S139" s="29">
        <f>IFERROR(IF(AND(ISNUMBER('Real results'!C135),ISNUMBER('Real results'!D135),ISNUMBER('Raw data'!S135),ISNUMBER('Raw data'!T135)),IF(SIGN('Raw data'!S135-'Raw data'!T135)=SIGN('Real results'!C135-'Real results'!D135),3+IF(AND('Raw data'!S135='Real results'!C135,'Raw data'!T135='Real results'!D135),2,0),0),0),0)</f>
        <v>0</v>
      </c>
      <c r="U139" s="29">
        <f>IFERROR(IF(AND(ISNUMBER('Real results'!C135),ISNUMBER('Real results'!D135),ISNUMBER('Raw data'!U135),ISNUMBER('Raw data'!V135)),IF(SIGN('Raw data'!U135-'Raw data'!V135)=SIGN('Real results'!C135-'Real results'!D135),3+IF(AND('Raw data'!U135='Real results'!C135,'Raw data'!V135='Real results'!D135),2,0),0),0),0)</f>
        <v>0</v>
      </c>
      <c r="W139" s="29">
        <f>IFERROR(IF(AND(ISNUMBER('Real results'!C135),ISNUMBER('Real results'!D135),ISNUMBER('Raw data'!W135),ISNUMBER('Raw data'!X135)),IF(SIGN('Raw data'!W135-'Raw data'!X135)=SIGN('Real results'!C135-'Real results'!D135),3+IF(AND('Raw data'!W135='Real results'!C135,'Raw data'!X135='Real results'!D135),2,0),0),0),0)</f>
        <v>0</v>
      </c>
      <c r="Y139" s="29">
        <f>IFERROR(IF(AND(ISNUMBER('Real results'!C135),ISNUMBER('Real results'!D135),ISNUMBER('Raw data'!Y135),ISNUMBER('Raw data'!Z135)),IF(SIGN('Raw data'!Y135-'Raw data'!Z135)=SIGN('Real results'!C135-'Real results'!D135),3+IF(AND('Raw data'!Y135='Real results'!C135,'Raw data'!Z135='Real results'!D135),2,0),0),0),0)</f>
        <v>0</v>
      </c>
      <c r="AA139" s="29">
        <f>IFERROR(IF(AND(ISNUMBER('Real results'!C135),ISNUMBER('Real results'!D135),ISNUMBER('Raw data'!AA135),ISNUMBER('Raw data'!AB135)),IF(SIGN('Raw data'!AA135-'Raw data'!AB135)=SIGN('Real results'!C135-'Real results'!D135),3+IF(AND('Raw data'!AA135='Real results'!C135,'Raw data'!AB135='Real results'!D135),2,0),0),0),0)</f>
        <v>0</v>
      </c>
      <c r="AC139" s="29">
        <f>IFERROR(IF(AND(ISNUMBER('Real results'!C135),ISNUMBER('Real results'!D135),ISNUMBER('Raw data'!AC135),ISNUMBER('Raw data'!AD135)),IF(SIGN('Raw data'!AC135-'Raw data'!AD135)=SIGN('Real results'!C135-'Real results'!D135),3+IF(AND('Raw data'!AC135='Real results'!C135,'Raw data'!AD135='Real results'!D135),2,0),0),0),0)</f>
        <v>0</v>
      </c>
      <c r="AE139" s="29">
        <f>IFERROR(IF(AND(ISNUMBER('Real results'!C135),ISNUMBER('Real results'!D135),ISNUMBER('Raw data'!AE135),ISNUMBER('Raw data'!AF135)),IF(SIGN('Raw data'!AE135-'Raw data'!AF135)=SIGN('Real results'!C135-'Real results'!D135),3+IF(AND('Raw data'!AE135='Real results'!C135,'Raw data'!AF135='Real results'!D135),2,0),0),0),0)</f>
        <v>0</v>
      </c>
      <c r="AG139" s="29">
        <f>IFERROR(IF(AND(ISNUMBER('Real results'!C135),ISNUMBER('Real results'!D135),ISNUMBER('Raw data'!AG135),ISNUMBER('Raw data'!AH135)),IF(SIGN('Raw data'!AG135-'Raw data'!AH135)=SIGN('Real results'!C135-'Real results'!D135),3+IF(AND('Raw data'!AG135='Real results'!C135,'Raw data'!AH135='Real results'!D135),2,0),0),0),0)</f>
        <v>0</v>
      </c>
      <c r="AI139" s="29">
        <f>IFERROR(IF(AND(ISNUMBER('Real results'!C135),ISNUMBER('Real results'!D135),ISNUMBER('Raw data'!AI135),ISNUMBER('Raw data'!AJ135)),IF(SIGN('Raw data'!AI135-'Raw data'!AJ135)=SIGN('Real results'!C135-'Real results'!D135),3+IF(AND('Raw data'!AI135='Real results'!C135,'Raw data'!AJ135='Real results'!D135),2,0),0),0),0)</f>
        <v>0</v>
      </c>
      <c r="AK139" s="29">
        <f>IFERROR(IF(AND(ISNUMBER('Real results'!C135),ISNUMBER('Real results'!D135),ISNUMBER('Raw data'!AK135),ISNUMBER('Raw data'!AL135)),IF(SIGN('Raw data'!AK135-'Raw data'!AL135)=SIGN('Real results'!C135-'Real results'!D135),3+IF(AND('Raw data'!AK135='Real results'!C135,'Raw data'!AL135='Real results'!D135),2,0),0),0),0)</f>
        <v>0</v>
      </c>
      <c r="AM139" s="29">
        <f>IFERROR(IF(AND(ISNUMBER('Real results'!C135),ISNUMBER('Real results'!D135),ISNUMBER('Raw data'!AM135),ISNUMBER('Raw data'!AN135)),IF(SIGN('Raw data'!AM135-'Raw data'!AN135)=SIGN('Real results'!C135-'Real results'!D135),3+IF(AND('Raw data'!AM135='Real results'!C135,'Raw data'!AN135='Real results'!D135),2,0),0),0),0)</f>
        <v>0</v>
      </c>
      <c r="AO139" s="29">
        <f>IFERROR(IF(AND(ISNUMBER('Real results'!C135),ISNUMBER('Real results'!D135),ISNUMBER('Raw data'!AO135),ISNUMBER('Raw data'!AP135)),IF(SIGN('Raw data'!AO135-'Raw data'!AP135)=SIGN('Real results'!C135-'Real results'!D135),3+IF(AND('Raw data'!AO135='Real results'!C135,'Raw data'!AP135='Real results'!D135),2,0),0),0),0)</f>
        <v>0</v>
      </c>
      <c r="AQ139" s="29">
        <f>IFERROR(IF(AND(ISNUMBER('Real results'!C135),ISNUMBER('Real results'!D135),ISNUMBER('Raw data'!AQ135),ISNUMBER('Raw data'!AR135)),IF(SIGN('Raw data'!AQ135-'Raw data'!AR135)=SIGN('Real results'!C135-'Real results'!D135),3+IF(AND('Raw data'!AQ135='Real results'!C135,'Raw data'!AR135='Real results'!D135),2,0),0),0),0)</f>
        <v>0</v>
      </c>
      <c r="AS139" s="29">
        <f>IFERROR(IF(AND(ISNUMBER('Real results'!C135),ISNUMBER('Real results'!D135),ISNUMBER('Raw data'!AS135),ISNUMBER('Raw data'!AT135)),IF(SIGN('Raw data'!AS135-'Raw data'!AT135)=SIGN('Real results'!C135-'Real results'!D135),3+IF(AND('Raw data'!AS135='Real results'!C135,'Raw data'!AT135='Real results'!D135),2,0),0),0),0)</f>
        <v>0</v>
      </c>
      <c r="AU139" s="29">
        <f>IFERROR(IF(AND(ISNUMBER('Real results'!C135),ISNUMBER('Real results'!D135),ISNUMBER('Raw data'!AU135),ISNUMBER('Raw data'!AV135)),IF(SIGN('Raw data'!AU135-'Raw data'!AV135)=SIGN('Real results'!C135-'Real results'!D135),3+IF(AND('Raw data'!AU135='Real results'!C135,'Raw data'!AV135='Real results'!D135),2,0),0),0),0)</f>
        <v>0</v>
      </c>
      <c r="AW139" s="29">
        <f>IFERROR(IF(AND(ISNUMBER('Real results'!C135),ISNUMBER('Real results'!D135),ISNUMBER('Raw data'!AW135),ISNUMBER('Raw data'!AX135)),IF(SIGN('Raw data'!AW135-'Raw data'!AX135)=SIGN('Real results'!C135-'Real results'!D135),3+IF(AND('Raw data'!AW135='Real results'!C135,'Raw data'!AX135='Real results'!D135),2,0),0),0),0)</f>
        <v>0</v>
      </c>
      <c r="AY139" s="29">
        <f>IFERROR(IF(AND(ISNUMBER('Real results'!C135),ISNUMBER('Real results'!D135),ISNUMBER('Raw data'!AY135),ISNUMBER('Raw data'!AZ135)),IF(SIGN('Raw data'!AY135-'Raw data'!AZ135)=SIGN('Real results'!C135-'Real results'!D135),3+IF(AND('Raw data'!AY135='Real results'!C135,'Raw data'!AZ135='Real results'!D135),2,0),0),0),0)</f>
        <v>0</v>
      </c>
      <c r="BA139" s="29">
        <f>IFERROR(IF(AND(ISNUMBER('Real results'!C135),ISNUMBER('Real results'!D135),ISNUMBER('Raw data'!BA135),ISNUMBER('Raw data'!BB135)),IF(SIGN('Raw data'!BA135-'Raw data'!BB135)=SIGN('Real results'!C135-'Real results'!D135),3+IF(AND('Raw data'!BA135='Real results'!C135,'Raw data'!BB135='Real results'!D135),2,0),0),0),0)</f>
        <v>0</v>
      </c>
      <c r="BC139" s="29">
        <f>IFERROR(IF(AND(ISNUMBER('Real results'!C135),ISNUMBER('Real results'!D135),ISNUMBER('Raw data'!BC135),ISNUMBER('Raw data'!BD135)),IF(SIGN('Raw data'!BC135-'Raw data'!BD135)=SIGN('Real results'!C135-'Real results'!D135),3+IF(AND('Raw data'!BC135='Real results'!C135,'Raw data'!BD135='Real results'!D135),2,0),0),0),0)</f>
        <v>0</v>
      </c>
      <c r="BE139" s="29">
        <f>IFERROR(IF(AND(ISNUMBER('Real results'!C135),ISNUMBER('Real results'!D135),ISNUMBER('Raw data'!BE135),ISNUMBER('Raw data'!BF135)),IF(SIGN('Raw data'!BE135-'Raw data'!BF135)=SIGN('Real results'!C135-'Real results'!D135),3+IF(AND('Raw data'!BE135='Real results'!C135,'Raw data'!BF135='Real results'!D135),2,0),0),0),0)</f>
        <v>0</v>
      </c>
      <c r="BG139" s="29">
        <f>IFERROR(IF(AND(ISNUMBER('Real results'!C135),ISNUMBER('Real results'!D135),ISNUMBER('Raw data'!BG135),ISNUMBER('Raw data'!BH135)),IF(SIGN('Raw data'!BG135-'Raw data'!BH135)=SIGN('Real results'!C135-'Real results'!D135),3+IF(AND('Raw data'!BG135='Real results'!C135,'Raw data'!BH135='Real results'!D135),2,0),0),0),0)</f>
        <v>0</v>
      </c>
      <c r="BI139" s="29">
        <f>IFERROR(IF(AND(ISNUMBER('Real results'!C135),ISNUMBER('Real results'!D135),ISNUMBER('Raw data'!BI135),ISNUMBER('Raw data'!BJ135)),IF(SIGN('Raw data'!BI135-'Raw data'!BJ135)=SIGN('Real results'!C135-'Real results'!D135),3+IF(AND('Raw data'!BI135='Real results'!C135,'Raw data'!BJ135='Real results'!D135),2,0),0),0),0)</f>
        <v>0</v>
      </c>
    </row>
    <row r="140" ht="18.0" customHeight="1">
      <c r="A140" s="1"/>
      <c r="B140" s="13" t="s">
        <v>421</v>
      </c>
      <c r="C140" s="29">
        <f>IFERROR(IF(AND('Real results'!C136&lt;&gt;"",'Raw data'!C136&lt;&gt;"",UPPER(TRIM('Real results'!C136))=UPPER(TRIM('Raw data'!C136))),1,0),0)</f>
        <v>0</v>
      </c>
      <c r="E140" s="29">
        <f>IFERROR(IF(AND('Real results'!C136&lt;&gt;"",'Raw data'!E136&lt;&gt;"",UPPER(TRIM('Real results'!C136))=UPPER(TRIM('Raw data'!E136))),1,0),0)</f>
        <v>0</v>
      </c>
      <c r="G140" s="29">
        <f>IFERROR(IF(AND('Real results'!C136&lt;&gt;"",'Raw data'!G136&lt;&gt;"",UPPER(TRIM('Real results'!C136))=UPPER(TRIM('Raw data'!G136))),1,0),0)</f>
        <v>0</v>
      </c>
      <c r="I140" s="29">
        <f>IFERROR(IF(AND('Real results'!C136&lt;&gt;"",'Raw data'!I136&lt;&gt;"",UPPER(TRIM('Real results'!C136))=UPPER(TRIM('Raw data'!I136))),1,0),0)</f>
        <v>0</v>
      </c>
      <c r="K140" s="29">
        <f>IFERROR(IF(AND('Real results'!C136&lt;&gt;"",'Raw data'!K136&lt;&gt;"",UPPER(TRIM('Real results'!C136))=UPPER(TRIM('Raw data'!K136))),1,0),0)</f>
        <v>0</v>
      </c>
      <c r="M140" s="29">
        <f>IFERROR(IF(AND('Real results'!C136&lt;&gt;"",'Raw data'!M136&lt;&gt;"",UPPER(TRIM('Real results'!C136))=UPPER(TRIM('Raw data'!M136))),1,0),0)</f>
        <v>0</v>
      </c>
      <c r="O140" s="29">
        <f>IFERROR(IF(AND('Real results'!C136&lt;&gt;"",'Raw data'!O136&lt;&gt;"",UPPER(TRIM('Real results'!C136))=UPPER(TRIM('Raw data'!O136))),1,0),0)</f>
        <v>0</v>
      </c>
      <c r="Q140" s="29">
        <f>IFERROR(IF(AND('Real results'!C136&lt;&gt;"",'Raw data'!Q136&lt;&gt;"",UPPER(TRIM('Real results'!C136))=UPPER(TRIM('Raw data'!Q136))),1,0),0)</f>
        <v>0</v>
      </c>
      <c r="S140" s="29">
        <f>IFERROR(IF(AND('Real results'!C136&lt;&gt;"",'Raw data'!S136&lt;&gt;"",UPPER(TRIM('Real results'!C136))=UPPER(TRIM('Raw data'!S136))),1,0),0)</f>
        <v>0</v>
      </c>
      <c r="U140" s="29">
        <f>IFERROR(IF(AND('Real results'!C136&lt;&gt;"",'Raw data'!U136&lt;&gt;"",UPPER(TRIM('Real results'!C136))=UPPER(TRIM('Raw data'!U136))),1,0),0)</f>
        <v>0</v>
      </c>
      <c r="W140" s="29">
        <f>IFERROR(IF(AND('Real results'!C136&lt;&gt;"",'Raw data'!W136&lt;&gt;"",UPPER(TRIM('Real results'!C136))=UPPER(TRIM('Raw data'!W136))),1,0),0)</f>
        <v>0</v>
      </c>
      <c r="Y140" s="29">
        <f>IFERROR(IF(AND('Real results'!C136&lt;&gt;"",'Raw data'!Y136&lt;&gt;"",UPPER(TRIM('Real results'!C136))=UPPER(TRIM('Raw data'!Y136))),1,0),0)</f>
        <v>0</v>
      </c>
      <c r="AA140" s="29">
        <f>IFERROR(IF(AND('Real results'!C136&lt;&gt;"",'Raw data'!AA136&lt;&gt;"",UPPER(TRIM('Real results'!C136))=UPPER(TRIM('Raw data'!AA136))),1,0),0)</f>
        <v>0</v>
      </c>
      <c r="AC140" s="29">
        <f>IFERROR(IF(AND('Real results'!C136&lt;&gt;"",'Raw data'!AC136&lt;&gt;"",UPPER(TRIM('Real results'!C136))=UPPER(TRIM('Raw data'!AC136))),1,0),0)</f>
        <v>0</v>
      </c>
      <c r="AE140" s="29">
        <f>IFERROR(IF(AND('Real results'!C136&lt;&gt;"",'Raw data'!AE136&lt;&gt;"",UPPER(TRIM('Real results'!C136))=UPPER(TRIM('Raw data'!AE136))),1,0),0)</f>
        <v>0</v>
      </c>
      <c r="AG140" s="29">
        <f>IFERROR(IF(AND('Real results'!C136&lt;&gt;"",'Raw data'!AG136&lt;&gt;"",UPPER(TRIM('Real results'!C136))=UPPER(TRIM('Raw data'!AG136))),1,0),0)</f>
        <v>0</v>
      </c>
      <c r="AI140" s="29">
        <f>IFERROR(IF(AND('Real results'!C136&lt;&gt;"",'Raw data'!AI136&lt;&gt;"",UPPER(TRIM('Real results'!C136))=UPPER(TRIM('Raw data'!AI136))),1,0),0)</f>
        <v>0</v>
      </c>
      <c r="AK140" s="29">
        <f>IFERROR(IF(AND('Real results'!C136&lt;&gt;"",'Raw data'!AK136&lt;&gt;"",UPPER(TRIM('Real results'!C136))=UPPER(TRIM('Raw data'!AK136))),1,0),0)</f>
        <v>0</v>
      </c>
      <c r="AM140" s="29">
        <f>IFERROR(IF(AND('Real results'!C136&lt;&gt;"",'Raw data'!AM136&lt;&gt;"",UPPER(TRIM('Real results'!C136))=UPPER(TRIM('Raw data'!AM136))),1,0),0)</f>
        <v>0</v>
      </c>
      <c r="AO140" s="29">
        <f>IFERROR(IF(AND('Real results'!C136&lt;&gt;"",'Raw data'!AO136&lt;&gt;"",UPPER(TRIM('Real results'!C136))=UPPER(TRIM('Raw data'!AO136))),1,0),0)</f>
        <v>0</v>
      </c>
      <c r="AQ140" s="29">
        <f>IFERROR(IF(AND('Real results'!C136&lt;&gt;"",'Raw data'!AQ136&lt;&gt;"",UPPER(TRIM('Real results'!C136))=UPPER(TRIM('Raw data'!AQ136))),1,0),0)</f>
        <v>0</v>
      </c>
      <c r="AS140" s="29">
        <f>IFERROR(IF(AND('Real results'!C136&lt;&gt;"",'Raw data'!AS136&lt;&gt;"",UPPER(TRIM('Real results'!C136))=UPPER(TRIM('Raw data'!AS136))),1,0),0)</f>
        <v>0</v>
      </c>
      <c r="AU140" s="29">
        <f>IFERROR(IF(AND('Real results'!C136&lt;&gt;"",'Raw data'!AU136&lt;&gt;"",UPPER(TRIM('Real results'!C136))=UPPER(TRIM('Raw data'!AU136))),1,0),0)</f>
        <v>0</v>
      </c>
      <c r="AW140" s="29">
        <f>IFERROR(IF(AND('Real results'!C136&lt;&gt;"",'Raw data'!AW136&lt;&gt;"",UPPER(TRIM('Real results'!C136))=UPPER(TRIM('Raw data'!AW136))),1,0),0)</f>
        <v>0</v>
      </c>
      <c r="AY140" s="29">
        <f>IFERROR(IF(AND('Real results'!C136&lt;&gt;"",'Raw data'!AY136&lt;&gt;"",UPPER(TRIM('Real results'!C136))=UPPER(TRIM('Raw data'!AY136))),1,0),0)</f>
        <v>0</v>
      </c>
      <c r="BA140" s="29">
        <f>IFERROR(IF(AND('Real results'!C136&lt;&gt;"",'Raw data'!BA136&lt;&gt;"",UPPER(TRIM('Real results'!C136))=UPPER(TRIM('Raw data'!BA136))),1,0),0)</f>
        <v>0</v>
      </c>
      <c r="BC140" s="29">
        <f>IFERROR(IF(AND('Real results'!C136&lt;&gt;"",'Raw data'!BC136&lt;&gt;"",UPPER(TRIM('Real results'!C136))=UPPER(TRIM('Raw data'!BC136))),1,0),0)</f>
        <v>0</v>
      </c>
      <c r="BE140" s="29">
        <f>IFERROR(IF(AND('Real results'!C136&lt;&gt;"",'Raw data'!BE136&lt;&gt;"",UPPER(TRIM('Real results'!C136))=UPPER(TRIM('Raw data'!BE136))),1,0),0)</f>
        <v>0</v>
      </c>
      <c r="BG140" s="29">
        <f>IFERROR(IF(AND('Real results'!C136&lt;&gt;"",'Raw data'!BG136&lt;&gt;"",UPPER(TRIM('Real results'!C136))=UPPER(TRIM('Raw data'!BG136))),1,0),0)</f>
        <v>0</v>
      </c>
      <c r="BI140" s="29">
        <f>IFERROR(IF(AND('Real results'!C136&lt;&gt;"",'Raw data'!BI136&lt;&gt;"",UPPER(TRIM('Real results'!C136))=UPPER(TRIM('Raw data'!BI136))),1,0),0)</f>
        <v>0</v>
      </c>
    </row>
    <row r="141" ht="18.0" customHeight="1">
      <c r="A141" s="1"/>
      <c r="B141" s="13" t="s">
        <v>422</v>
      </c>
      <c r="C141" s="29">
        <f>IFERROR(IF(AND('Real results'!C137&lt;&gt;"",'Raw data'!C137&lt;&gt;"",UPPER(TRIM('Real results'!C137))=UPPER(TRIM('Raw data'!C137))),1,0),0)</f>
        <v>0</v>
      </c>
      <c r="E141" s="29">
        <f>IFERROR(IF(AND('Real results'!C137&lt;&gt;"",'Raw data'!E137&lt;&gt;"",UPPER(TRIM('Real results'!C137))=UPPER(TRIM('Raw data'!E137))),1,0),0)</f>
        <v>0</v>
      </c>
      <c r="G141" s="29">
        <f>IFERROR(IF(AND('Real results'!C137&lt;&gt;"",'Raw data'!G137&lt;&gt;"",UPPER(TRIM('Real results'!C137))=UPPER(TRIM('Raw data'!G137))),1,0),0)</f>
        <v>0</v>
      </c>
      <c r="I141" s="29">
        <f>IFERROR(IF(AND('Real results'!C137&lt;&gt;"",'Raw data'!I137&lt;&gt;"",UPPER(TRIM('Real results'!C137))=UPPER(TRIM('Raw data'!I137))),1,0),0)</f>
        <v>0</v>
      </c>
      <c r="K141" s="29">
        <f>IFERROR(IF(AND('Real results'!C137&lt;&gt;"",'Raw data'!K137&lt;&gt;"",UPPER(TRIM('Real results'!C137))=UPPER(TRIM('Raw data'!K137))),1,0),0)</f>
        <v>0</v>
      </c>
      <c r="M141" s="29">
        <f>IFERROR(IF(AND('Real results'!C137&lt;&gt;"",'Raw data'!M137&lt;&gt;"",UPPER(TRIM('Real results'!C137))=UPPER(TRIM('Raw data'!M137))),1,0),0)</f>
        <v>0</v>
      </c>
      <c r="O141" s="29">
        <f>IFERROR(IF(AND('Real results'!C137&lt;&gt;"",'Raw data'!O137&lt;&gt;"",UPPER(TRIM('Real results'!C137))=UPPER(TRIM('Raw data'!O137))),1,0),0)</f>
        <v>0</v>
      </c>
      <c r="Q141" s="29">
        <f>IFERROR(IF(AND('Real results'!C137&lt;&gt;"",'Raw data'!Q137&lt;&gt;"",UPPER(TRIM('Real results'!C137))=UPPER(TRIM('Raw data'!Q137))),1,0),0)</f>
        <v>0</v>
      </c>
      <c r="S141" s="29">
        <f>IFERROR(IF(AND('Real results'!C137&lt;&gt;"",'Raw data'!S137&lt;&gt;"",UPPER(TRIM('Real results'!C137))=UPPER(TRIM('Raw data'!S137))),1,0),0)</f>
        <v>0</v>
      </c>
      <c r="U141" s="29">
        <f>IFERROR(IF(AND('Real results'!C137&lt;&gt;"",'Raw data'!U137&lt;&gt;"",UPPER(TRIM('Real results'!C137))=UPPER(TRIM('Raw data'!U137))),1,0),0)</f>
        <v>0</v>
      </c>
      <c r="W141" s="29">
        <f>IFERROR(IF(AND('Real results'!C137&lt;&gt;"",'Raw data'!W137&lt;&gt;"",UPPER(TRIM('Real results'!C137))=UPPER(TRIM('Raw data'!W137))),1,0),0)</f>
        <v>0</v>
      </c>
      <c r="Y141" s="29">
        <f>IFERROR(IF(AND('Real results'!C137&lt;&gt;"",'Raw data'!Y137&lt;&gt;"",UPPER(TRIM('Real results'!C137))=UPPER(TRIM('Raw data'!Y137))),1,0),0)</f>
        <v>0</v>
      </c>
      <c r="AA141" s="29">
        <f>IFERROR(IF(AND('Real results'!C137&lt;&gt;"",'Raw data'!AA137&lt;&gt;"",UPPER(TRIM('Real results'!C137))=UPPER(TRIM('Raw data'!AA137))),1,0),0)</f>
        <v>0</v>
      </c>
      <c r="AC141" s="29">
        <f>IFERROR(IF(AND('Real results'!C137&lt;&gt;"",'Raw data'!AC137&lt;&gt;"",UPPER(TRIM('Real results'!C137))=UPPER(TRIM('Raw data'!AC137))),1,0),0)</f>
        <v>0</v>
      </c>
      <c r="AE141" s="29">
        <f>IFERROR(IF(AND('Real results'!C137&lt;&gt;"",'Raw data'!AE137&lt;&gt;"",UPPER(TRIM('Real results'!C137))=UPPER(TRIM('Raw data'!AE137))),1,0),0)</f>
        <v>0</v>
      </c>
      <c r="AG141" s="29">
        <f>IFERROR(IF(AND('Real results'!C137&lt;&gt;"",'Raw data'!AG137&lt;&gt;"",UPPER(TRIM('Real results'!C137))=UPPER(TRIM('Raw data'!AG137))),1,0),0)</f>
        <v>0</v>
      </c>
      <c r="AI141" s="29">
        <f>IFERROR(IF(AND('Real results'!C137&lt;&gt;"",'Raw data'!AI137&lt;&gt;"",UPPER(TRIM('Real results'!C137))=UPPER(TRIM('Raw data'!AI137))),1,0),0)</f>
        <v>0</v>
      </c>
      <c r="AK141" s="29">
        <f>IFERROR(IF(AND('Real results'!C137&lt;&gt;"",'Raw data'!AK137&lt;&gt;"",UPPER(TRIM('Real results'!C137))=UPPER(TRIM('Raw data'!AK137))),1,0),0)</f>
        <v>0</v>
      </c>
      <c r="AM141" s="29">
        <f>IFERROR(IF(AND('Real results'!C137&lt;&gt;"",'Raw data'!AM137&lt;&gt;"",UPPER(TRIM('Real results'!C137))=UPPER(TRIM('Raw data'!AM137))),1,0),0)</f>
        <v>0</v>
      </c>
      <c r="AO141" s="29">
        <f>IFERROR(IF(AND('Real results'!C137&lt;&gt;"",'Raw data'!AO137&lt;&gt;"",UPPER(TRIM('Real results'!C137))=UPPER(TRIM('Raw data'!AO137))),1,0),0)</f>
        <v>0</v>
      </c>
      <c r="AQ141" s="29">
        <f>IFERROR(IF(AND('Real results'!C137&lt;&gt;"",'Raw data'!AQ137&lt;&gt;"",UPPER(TRIM('Real results'!C137))=UPPER(TRIM('Raw data'!AQ137))),1,0),0)</f>
        <v>0</v>
      </c>
      <c r="AS141" s="29">
        <f>IFERROR(IF(AND('Real results'!C137&lt;&gt;"",'Raw data'!AS137&lt;&gt;"",UPPER(TRIM('Real results'!C137))=UPPER(TRIM('Raw data'!AS137))),1,0),0)</f>
        <v>0</v>
      </c>
      <c r="AU141" s="29">
        <f>IFERROR(IF(AND('Real results'!C137&lt;&gt;"",'Raw data'!AU137&lt;&gt;"",UPPER(TRIM('Real results'!C137))=UPPER(TRIM('Raw data'!AU137))),1,0),0)</f>
        <v>0</v>
      </c>
      <c r="AW141" s="29">
        <f>IFERROR(IF(AND('Real results'!C137&lt;&gt;"",'Raw data'!AW137&lt;&gt;"",UPPER(TRIM('Real results'!C137))=UPPER(TRIM('Raw data'!AW137))),1,0),0)</f>
        <v>0</v>
      </c>
      <c r="AY141" s="29">
        <f>IFERROR(IF(AND('Real results'!C137&lt;&gt;"",'Raw data'!AY137&lt;&gt;"",UPPER(TRIM('Real results'!C137))=UPPER(TRIM('Raw data'!AY137))),1,0),0)</f>
        <v>0</v>
      </c>
      <c r="BA141" s="29">
        <f>IFERROR(IF(AND('Real results'!C137&lt;&gt;"",'Raw data'!BA137&lt;&gt;"",UPPER(TRIM('Real results'!C137))=UPPER(TRIM('Raw data'!BA137))),1,0),0)</f>
        <v>0</v>
      </c>
      <c r="BC141" s="29">
        <f>IFERROR(IF(AND('Real results'!C137&lt;&gt;"",'Raw data'!BC137&lt;&gt;"",UPPER(TRIM('Real results'!C137))=UPPER(TRIM('Raw data'!BC137))),1,0),0)</f>
        <v>0</v>
      </c>
      <c r="BE141" s="29">
        <f>IFERROR(IF(AND('Real results'!C137&lt;&gt;"",'Raw data'!BE137&lt;&gt;"",UPPER(TRIM('Real results'!C137))=UPPER(TRIM('Raw data'!BE137))),1,0),0)</f>
        <v>0</v>
      </c>
      <c r="BG141" s="29">
        <f>IFERROR(IF(AND('Real results'!C137&lt;&gt;"",'Raw data'!BG137&lt;&gt;"",UPPER(TRIM('Real results'!C137))=UPPER(TRIM('Raw data'!BG137))),1,0),0)</f>
        <v>0</v>
      </c>
      <c r="BI141" s="29">
        <f>IFERROR(IF(AND('Real results'!C137&lt;&gt;"",'Raw data'!BI137&lt;&gt;"",UPPER(TRIM('Real results'!C137))=UPPER(TRIM('Raw data'!BI137))),1,0),0)</f>
        <v>0</v>
      </c>
    </row>
    <row r="142" ht="18.0" customHeight="1">
      <c r="A142" s="1"/>
      <c r="B142" s="13" t="s">
        <v>423</v>
      </c>
      <c r="C142" s="29">
        <f>IFERROR(IF(AND(ISNUMBER('Real results'!C138),ISNUMBER('Real results'!D138),ISNUMBER('Raw data'!C138),ISNUMBER('Raw data'!D138)),IF(SIGN('Raw data'!C138-'Raw data'!D138)=SIGN('Real results'!C138-'Real results'!D138),3+IF(AND('Raw data'!C138='Real results'!C138,'Raw data'!D138='Real results'!D138),2,0),0),0),0)</f>
        <v>0</v>
      </c>
      <c r="E142" s="29">
        <f>IFERROR(IF(AND(ISNUMBER('Real results'!C138),ISNUMBER('Real results'!D138),ISNUMBER('Raw data'!E138),ISNUMBER('Raw data'!F138)),IF(SIGN('Raw data'!E138-'Raw data'!F138)=SIGN('Real results'!C138-'Real results'!D138),3+IF(AND('Raw data'!E138='Real results'!C138,'Raw data'!F138='Real results'!D138),2,0),0),0),0)</f>
        <v>0</v>
      </c>
      <c r="G142" s="29">
        <f>IFERROR(IF(AND(ISNUMBER('Real results'!C138),ISNUMBER('Real results'!D138),ISNUMBER('Raw data'!G138),ISNUMBER('Raw data'!H138)),IF(SIGN('Raw data'!G138-'Raw data'!H138)=SIGN('Real results'!C138-'Real results'!D138),3+IF(AND('Raw data'!G138='Real results'!C138,'Raw data'!H138='Real results'!D138),2,0),0),0),0)</f>
        <v>0</v>
      </c>
      <c r="I142" s="29">
        <f>IFERROR(IF(AND(ISNUMBER('Real results'!C138),ISNUMBER('Real results'!D138),ISNUMBER('Raw data'!I138),ISNUMBER('Raw data'!J138)),IF(SIGN('Raw data'!I138-'Raw data'!J138)=SIGN('Real results'!C138-'Real results'!D138),3+IF(AND('Raw data'!I138='Real results'!C138,'Raw data'!J138='Real results'!D138),2,0),0),0),0)</f>
        <v>0</v>
      </c>
      <c r="K142" s="29">
        <f>IFERROR(IF(AND(ISNUMBER('Real results'!C138),ISNUMBER('Real results'!D138),ISNUMBER('Raw data'!K138),ISNUMBER('Raw data'!L138)),IF(SIGN('Raw data'!K138-'Raw data'!L138)=SIGN('Real results'!C138-'Real results'!D138),3+IF(AND('Raw data'!K138='Real results'!C138,'Raw data'!L138='Real results'!D138),2,0),0),0),0)</f>
        <v>0</v>
      </c>
      <c r="M142" s="29">
        <f>IFERROR(IF(AND(ISNUMBER('Real results'!C138),ISNUMBER('Real results'!D138),ISNUMBER('Raw data'!M138),ISNUMBER('Raw data'!N138)),IF(SIGN('Raw data'!M138-'Raw data'!N138)=SIGN('Real results'!C138-'Real results'!D138),3+IF(AND('Raw data'!M138='Real results'!C138,'Raw data'!N138='Real results'!D138),2,0),0),0),0)</f>
        <v>0</v>
      </c>
      <c r="O142" s="29">
        <f>IFERROR(IF(AND(ISNUMBER('Real results'!C138),ISNUMBER('Real results'!D138),ISNUMBER('Raw data'!O138),ISNUMBER('Raw data'!P138)),IF(SIGN('Raw data'!O138-'Raw data'!P138)=SIGN('Real results'!C138-'Real results'!D138),3+IF(AND('Raw data'!O138='Real results'!C138,'Raw data'!P138='Real results'!D138),2,0),0),0),0)</f>
        <v>0</v>
      </c>
      <c r="Q142" s="29">
        <f>IFERROR(IF(AND(ISNUMBER('Real results'!C138),ISNUMBER('Real results'!D138),ISNUMBER('Raw data'!Q138),ISNUMBER('Raw data'!R138)),IF(SIGN('Raw data'!Q138-'Raw data'!R138)=SIGN('Real results'!C138-'Real results'!D138),3+IF(AND('Raw data'!Q138='Real results'!C138,'Raw data'!R138='Real results'!D138),2,0),0),0),0)</f>
        <v>0</v>
      </c>
      <c r="S142" s="29">
        <f>IFERROR(IF(AND(ISNUMBER('Real results'!C138),ISNUMBER('Real results'!D138),ISNUMBER('Raw data'!S138),ISNUMBER('Raw data'!T138)),IF(SIGN('Raw data'!S138-'Raw data'!T138)=SIGN('Real results'!C138-'Real results'!D138),3+IF(AND('Raw data'!S138='Real results'!C138,'Raw data'!T138='Real results'!D138),2,0),0),0),0)</f>
        <v>0</v>
      </c>
      <c r="U142" s="29">
        <f>IFERROR(IF(AND(ISNUMBER('Real results'!C138),ISNUMBER('Real results'!D138),ISNUMBER('Raw data'!U138),ISNUMBER('Raw data'!V138)),IF(SIGN('Raw data'!U138-'Raw data'!V138)=SIGN('Real results'!C138-'Real results'!D138),3+IF(AND('Raw data'!U138='Real results'!C138,'Raw data'!V138='Real results'!D138),2,0),0),0),0)</f>
        <v>0</v>
      </c>
      <c r="W142" s="29">
        <f>IFERROR(IF(AND(ISNUMBER('Real results'!C138),ISNUMBER('Real results'!D138),ISNUMBER('Raw data'!W138),ISNUMBER('Raw data'!X138)),IF(SIGN('Raw data'!W138-'Raw data'!X138)=SIGN('Real results'!C138-'Real results'!D138),3+IF(AND('Raw data'!W138='Real results'!C138,'Raw data'!X138='Real results'!D138),2,0),0),0),0)</f>
        <v>0</v>
      </c>
      <c r="Y142" s="29">
        <f>IFERROR(IF(AND(ISNUMBER('Real results'!C138),ISNUMBER('Real results'!D138),ISNUMBER('Raw data'!Y138),ISNUMBER('Raw data'!Z138)),IF(SIGN('Raw data'!Y138-'Raw data'!Z138)=SIGN('Real results'!C138-'Real results'!D138),3+IF(AND('Raw data'!Y138='Real results'!C138,'Raw data'!Z138='Real results'!D138),2,0),0),0),0)</f>
        <v>0</v>
      </c>
      <c r="AA142" s="29">
        <f>IFERROR(IF(AND(ISNUMBER('Real results'!C138),ISNUMBER('Real results'!D138),ISNUMBER('Raw data'!AA138),ISNUMBER('Raw data'!AB138)),IF(SIGN('Raw data'!AA138-'Raw data'!AB138)=SIGN('Real results'!C138-'Real results'!D138),3+IF(AND('Raw data'!AA138='Real results'!C138,'Raw data'!AB138='Real results'!D138),2,0),0),0),0)</f>
        <v>0</v>
      </c>
      <c r="AC142" s="29">
        <f>IFERROR(IF(AND(ISNUMBER('Real results'!C138),ISNUMBER('Real results'!D138),ISNUMBER('Raw data'!AC138),ISNUMBER('Raw data'!AD138)),IF(SIGN('Raw data'!AC138-'Raw data'!AD138)=SIGN('Real results'!C138-'Real results'!D138),3+IF(AND('Raw data'!AC138='Real results'!C138,'Raw data'!AD138='Real results'!D138),2,0),0),0),0)</f>
        <v>0</v>
      </c>
      <c r="AE142" s="29">
        <f>IFERROR(IF(AND(ISNUMBER('Real results'!C138),ISNUMBER('Real results'!D138),ISNUMBER('Raw data'!AE138),ISNUMBER('Raw data'!AF138)),IF(SIGN('Raw data'!AE138-'Raw data'!AF138)=SIGN('Real results'!C138-'Real results'!D138),3+IF(AND('Raw data'!AE138='Real results'!C138,'Raw data'!AF138='Real results'!D138),2,0),0),0),0)</f>
        <v>0</v>
      </c>
      <c r="AG142" s="29">
        <f>IFERROR(IF(AND(ISNUMBER('Real results'!C138),ISNUMBER('Real results'!D138),ISNUMBER('Raw data'!AG138),ISNUMBER('Raw data'!AH138)),IF(SIGN('Raw data'!AG138-'Raw data'!AH138)=SIGN('Real results'!C138-'Real results'!D138),3+IF(AND('Raw data'!AG138='Real results'!C138,'Raw data'!AH138='Real results'!D138),2,0),0),0),0)</f>
        <v>0</v>
      </c>
      <c r="AI142" s="29">
        <f>IFERROR(IF(AND(ISNUMBER('Real results'!C138),ISNUMBER('Real results'!D138),ISNUMBER('Raw data'!AI138),ISNUMBER('Raw data'!AJ138)),IF(SIGN('Raw data'!AI138-'Raw data'!AJ138)=SIGN('Real results'!C138-'Real results'!D138),3+IF(AND('Raw data'!AI138='Real results'!C138,'Raw data'!AJ138='Real results'!D138),2,0),0),0),0)</f>
        <v>0</v>
      </c>
      <c r="AK142" s="29">
        <f>IFERROR(IF(AND(ISNUMBER('Real results'!C138),ISNUMBER('Real results'!D138),ISNUMBER('Raw data'!AK138),ISNUMBER('Raw data'!AL138)),IF(SIGN('Raw data'!AK138-'Raw data'!AL138)=SIGN('Real results'!C138-'Real results'!D138),3+IF(AND('Raw data'!AK138='Real results'!C138,'Raw data'!AL138='Real results'!D138),2,0),0),0),0)</f>
        <v>0</v>
      </c>
      <c r="AM142" s="29">
        <f>IFERROR(IF(AND(ISNUMBER('Real results'!C138),ISNUMBER('Real results'!D138),ISNUMBER('Raw data'!AM138),ISNUMBER('Raw data'!AN138)),IF(SIGN('Raw data'!AM138-'Raw data'!AN138)=SIGN('Real results'!C138-'Real results'!D138),3+IF(AND('Raw data'!AM138='Real results'!C138,'Raw data'!AN138='Real results'!D138),2,0),0),0),0)</f>
        <v>0</v>
      </c>
      <c r="AO142" s="29">
        <f>IFERROR(IF(AND(ISNUMBER('Real results'!C138),ISNUMBER('Real results'!D138),ISNUMBER('Raw data'!AO138),ISNUMBER('Raw data'!AP138)),IF(SIGN('Raw data'!AO138-'Raw data'!AP138)=SIGN('Real results'!C138-'Real results'!D138),3+IF(AND('Raw data'!AO138='Real results'!C138,'Raw data'!AP138='Real results'!D138),2,0),0),0),0)</f>
        <v>0</v>
      </c>
      <c r="AQ142" s="29">
        <f>IFERROR(IF(AND(ISNUMBER('Real results'!C138),ISNUMBER('Real results'!D138),ISNUMBER('Raw data'!AQ138),ISNUMBER('Raw data'!AR138)),IF(SIGN('Raw data'!AQ138-'Raw data'!AR138)=SIGN('Real results'!C138-'Real results'!D138),3+IF(AND('Raw data'!AQ138='Real results'!C138,'Raw data'!AR138='Real results'!D138),2,0),0),0),0)</f>
        <v>0</v>
      </c>
      <c r="AS142" s="29">
        <f>IFERROR(IF(AND(ISNUMBER('Real results'!C138),ISNUMBER('Real results'!D138),ISNUMBER('Raw data'!AS138),ISNUMBER('Raw data'!AT138)),IF(SIGN('Raw data'!AS138-'Raw data'!AT138)=SIGN('Real results'!C138-'Real results'!D138),3+IF(AND('Raw data'!AS138='Real results'!C138,'Raw data'!AT138='Real results'!D138),2,0),0),0),0)</f>
        <v>0</v>
      </c>
      <c r="AU142" s="29">
        <f>IFERROR(IF(AND(ISNUMBER('Real results'!C138),ISNUMBER('Real results'!D138),ISNUMBER('Raw data'!AU138),ISNUMBER('Raw data'!AV138)),IF(SIGN('Raw data'!AU138-'Raw data'!AV138)=SIGN('Real results'!C138-'Real results'!D138),3+IF(AND('Raw data'!AU138='Real results'!C138,'Raw data'!AV138='Real results'!D138),2,0),0),0),0)</f>
        <v>0</v>
      </c>
      <c r="AW142" s="29">
        <f>IFERROR(IF(AND(ISNUMBER('Real results'!C138),ISNUMBER('Real results'!D138),ISNUMBER('Raw data'!AW138),ISNUMBER('Raw data'!AX138)),IF(SIGN('Raw data'!AW138-'Raw data'!AX138)=SIGN('Real results'!C138-'Real results'!D138),3+IF(AND('Raw data'!AW138='Real results'!C138,'Raw data'!AX138='Real results'!D138),2,0),0),0),0)</f>
        <v>0</v>
      </c>
      <c r="AY142" s="29">
        <f>IFERROR(IF(AND(ISNUMBER('Real results'!C138),ISNUMBER('Real results'!D138),ISNUMBER('Raw data'!AY138),ISNUMBER('Raw data'!AZ138)),IF(SIGN('Raw data'!AY138-'Raw data'!AZ138)=SIGN('Real results'!C138-'Real results'!D138),3+IF(AND('Raw data'!AY138='Real results'!C138,'Raw data'!AZ138='Real results'!D138),2,0),0),0),0)</f>
        <v>0</v>
      </c>
      <c r="BA142" s="29">
        <f>IFERROR(IF(AND(ISNUMBER('Real results'!C138),ISNUMBER('Real results'!D138),ISNUMBER('Raw data'!BA138),ISNUMBER('Raw data'!BB138)),IF(SIGN('Raw data'!BA138-'Raw data'!BB138)=SIGN('Real results'!C138-'Real results'!D138),3+IF(AND('Raw data'!BA138='Real results'!C138,'Raw data'!BB138='Real results'!D138),2,0),0),0),0)</f>
        <v>0</v>
      </c>
      <c r="BC142" s="29">
        <f>IFERROR(IF(AND(ISNUMBER('Real results'!C138),ISNUMBER('Real results'!D138),ISNUMBER('Raw data'!BC138),ISNUMBER('Raw data'!BD138)),IF(SIGN('Raw data'!BC138-'Raw data'!BD138)=SIGN('Real results'!C138-'Real results'!D138),3+IF(AND('Raw data'!BC138='Real results'!C138,'Raw data'!BD138='Real results'!D138),2,0),0),0),0)</f>
        <v>0</v>
      </c>
      <c r="BE142" s="29">
        <f>IFERROR(IF(AND(ISNUMBER('Real results'!C138),ISNUMBER('Real results'!D138),ISNUMBER('Raw data'!BE138),ISNUMBER('Raw data'!BF138)),IF(SIGN('Raw data'!BE138-'Raw data'!BF138)=SIGN('Real results'!C138-'Real results'!D138),3+IF(AND('Raw data'!BE138='Real results'!C138,'Raw data'!BF138='Real results'!D138),2,0),0),0),0)</f>
        <v>0</v>
      </c>
      <c r="BG142" s="29">
        <f>IFERROR(IF(AND(ISNUMBER('Real results'!C138),ISNUMBER('Real results'!D138),ISNUMBER('Raw data'!BG138),ISNUMBER('Raw data'!BH138)),IF(SIGN('Raw data'!BG138-'Raw data'!BH138)=SIGN('Real results'!C138-'Real results'!D138),3+IF(AND('Raw data'!BG138='Real results'!C138,'Raw data'!BH138='Real results'!D138),2,0),0),0),0)</f>
        <v>0</v>
      </c>
      <c r="BI142" s="29">
        <f>IFERROR(IF(AND(ISNUMBER('Real results'!C138),ISNUMBER('Real results'!D138),ISNUMBER('Raw data'!BI138),ISNUMBER('Raw data'!BJ138)),IF(SIGN('Raw data'!BI138-'Raw data'!BJ138)=SIGN('Real results'!C138-'Real results'!D138),3+IF(AND('Raw data'!BI138='Real results'!C138,'Raw data'!BJ138='Real results'!D138),2,0),0),0),0)</f>
        <v>0</v>
      </c>
    </row>
    <row r="143" ht="18.0" customHeight="1">
      <c r="A143" s="1"/>
      <c r="B143" s="13" t="s">
        <v>424</v>
      </c>
      <c r="C143" s="29">
        <f>IFERROR(IF(AND('Real results'!C139&lt;&gt;"",'Raw data'!C139&lt;&gt;"",UPPER(TRIM('Real results'!C139))=UPPER(TRIM('Raw data'!C139))),1,0),0)</f>
        <v>0</v>
      </c>
      <c r="E143" s="29">
        <f>IFERROR(IF(AND('Real results'!C139&lt;&gt;"",'Raw data'!E139&lt;&gt;"",UPPER(TRIM('Real results'!C139))=UPPER(TRIM('Raw data'!E139))),1,0),0)</f>
        <v>0</v>
      </c>
      <c r="G143" s="29">
        <f>IFERROR(IF(AND('Real results'!C139&lt;&gt;"",'Raw data'!G139&lt;&gt;"",UPPER(TRIM('Real results'!C139))=UPPER(TRIM('Raw data'!G139))),1,0),0)</f>
        <v>0</v>
      </c>
      <c r="I143" s="29">
        <f>IFERROR(IF(AND('Real results'!C139&lt;&gt;"",'Raw data'!I139&lt;&gt;"",UPPER(TRIM('Real results'!C139))=UPPER(TRIM('Raw data'!I139))),1,0),0)</f>
        <v>0</v>
      </c>
      <c r="K143" s="29">
        <f>IFERROR(IF(AND('Real results'!C139&lt;&gt;"",'Raw data'!K139&lt;&gt;"",UPPER(TRIM('Real results'!C139))=UPPER(TRIM('Raw data'!K139))),1,0),0)</f>
        <v>0</v>
      </c>
      <c r="M143" s="29">
        <f>IFERROR(IF(AND('Real results'!C139&lt;&gt;"",'Raw data'!M139&lt;&gt;"",UPPER(TRIM('Real results'!C139))=UPPER(TRIM('Raw data'!M139))),1,0),0)</f>
        <v>0</v>
      </c>
      <c r="O143" s="29">
        <f>IFERROR(IF(AND('Real results'!C139&lt;&gt;"",'Raw data'!O139&lt;&gt;"",UPPER(TRIM('Real results'!C139))=UPPER(TRIM('Raw data'!O139))),1,0),0)</f>
        <v>0</v>
      </c>
      <c r="Q143" s="29">
        <f>IFERROR(IF(AND('Real results'!C139&lt;&gt;"",'Raw data'!Q139&lt;&gt;"",UPPER(TRIM('Real results'!C139))=UPPER(TRIM('Raw data'!Q139))),1,0),0)</f>
        <v>0</v>
      </c>
      <c r="S143" s="29">
        <f>IFERROR(IF(AND('Real results'!C139&lt;&gt;"",'Raw data'!S139&lt;&gt;"",UPPER(TRIM('Real results'!C139))=UPPER(TRIM('Raw data'!S139))),1,0),0)</f>
        <v>0</v>
      </c>
      <c r="U143" s="29">
        <f>IFERROR(IF(AND('Real results'!C139&lt;&gt;"",'Raw data'!U139&lt;&gt;"",UPPER(TRIM('Real results'!C139))=UPPER(TRIM('Raw data'!U139))),1,0),0)</f>
        <v>0</v>
      </c>
      <c r="W143" s="29">
        <f>IFERROR(IF(AND('Real results'!C139&lt;&gt;"",'Raw data'!W139&lt;&gt;"",UPPER(TRIM('Real results'!C139))=UPPER(TRIM('Raw data'!W139))),1,0),0)</f>
        <v>0</v>
      </c>
      <c r="Y143" s="29">
        <f>IFERROR(IF(AND('Real results'!C139&lt;&gt;"",'Raw data'!Y139&lt;&gt;"",UPPER(TRIM('Real results'!C139))=UPPER(TRIM('Raw data'!Y139))),1,0),0)</f>
        <v>0</v>
      </c>
      <c r="AA143" s="29">
        <f>IFERROR(IF(AND('Real results'!C139&lt;&gt;"",'Raw data'!AA139&lt;&gt;"",UPPER(TRIM('Real results'!C139))=UPPER(TRIM('Raw data'!AA139))),1,0),0)</f>
        <v>0</v>
      </c>
      <c r="AC143" s="29">
        <f>IFERROR(IF(AND('Real results'!C139&lt;&gt;"",'Raw data'!AC139&lt;&gt;"",UPPER(TRIM('Real results'!C139))=UPPER(TRIM('Raw data'!AC139))),1,0),0)</f>
        <v>0</v>
      </c>
      <c r="AE143" s="29">
        <f>IFERROR(IF(AND('Real results'!C139&lt;&gt;"",'Raw data'!AE139&lt;&gt;"",UPPER(TRIM('Real results'!C139))=UPPER(TRIM('Raw data'!AE139))),1,0),0)</f>
        <v>0</v>
      </c>
      <c r="AG143" s="29">
        <f>IFERROR(IF(AND('Real results'!C139&lt;&gt;"",'Raw data'!AG139&lt;&gt;"",UPPER(TRIM('Real results'!C139))=UPPER(TRIM('Raw data'!AG139))),1,0),0)</f>
        <v>0</v>
      </c>
      <c r="AI143" s="29">
        <f>IFERROR(IF(AND('Real results'!C139&lt;&gt;"",'Raw data'!AI139&lt;&gt;"",UPPER(TRIM('Real results'!C139))=UPPER(TRIM('Raw data'!AI139))),1,0),0)</f>
        <v>0</v>
      </c>
      <c r="AK143" s="29">
        <f>IFERROR(IF(AND('Real results'!C139&lt;&gt;"",'Raw data'!AK139&lt;&gt;"",UPPER(TRIM('Real results'!C139))=UPPER(TRIM('Raw data'!AK139))),1,0),0)</f>
        <v>0</v>
      </c>
      <c r="AM143" s="29">
        <f>IFERROR(IF(AND('Real results'!C139&lt;&gt;"",'Raw data'!AM139&lt;&gt;"",UPPER(TRIM('Real results'!C139))=UPPER(TRIM('Raw data'!AM139))),1,0),0)</f>
        <v>0</v>
      </c>
      <c r="AO143" s="29">
        <f>IFERROR(IF(AND('Real results'!C139&lt;&gt;"",'Raw data'!AO139&lt;&gt;"",UPPER(TRIM('Real results'!C139))=UPPER(TRIM('Raw data'!AO139))),1,0),0)</f>
        <v>0</v>
      </c>
      <c r="AQ143" s="29">
        <f>IFERROR(IF(AND('Real results'!C139&lt;&gt;"",'Raw data'!AQ139&lt;&gt;"",UPPER(TRIM('Real results'!C139))=UPPER(TRIM('Raw data'!AQ139))),1,0),0)</f>
        <v>0</v>
      </c>
      <c r="AS143" s="29">
        <f>IFERROR(IF(AND('Real results'!C139&lt;&gt;"",'Raw data'!AS139&lt;&gt;"",UPPER(TRIM('Real results'!C139))=UPPER(TRIM('Raw data'!AS139))),1,0),0)</f>
        <v>0</v>
      </c>
      <c r="AU143" s="29">
        <f>IFERROR(IF(AND('Real results'!C139&lt;&gt;"",'Raw data'!AU139&lt;&gt;"",UPPER(TRIM('Real results'!C139))=UPPER(TRIM('Raw data'!AU139))),1,0),0)</f>
        <v>0</v>
      </c>
      <c r="AW143" s="29">
        <f>IFERROR(IF(AND('Real results'!C139&lt;&gt;"",'Raw data'!AW139&lt;&gt;"",UPPER(TRIM('Real results'!C139))=UPPER(TRIM('Raw data'!AW139))),1,0),0)</f>
        <v>0</v>
      </c>
      <c r="AY143" s="29">
        <f>IFERROR(IF(AND('Real results'!C139&lt;&gt;"",'Raw data'!AY139&lt;&gt;"",UPPER(TRIM('Real results'!C139))=UPPER(TRIM('Raw data'!AY139))),1,0),0)</f>
        <v>0</v>
      </c>
      <c r="BA143" s="29">
        <f>IFERROR(IF(AND('Real results'!C139&lt;&gt;"",'Raw data'!BA139&lt;&gt;"",UPPER(TRIM('Real results'!C139))=UPPER(TRIM('Raw data'!BA139))),1,0),0)</f>
        <v>0</v>
      </c>
      <c r="BC143" s="29">
        <f>IFERROR(IF(AND('Real results'!C139&lt;&gt;"",'Raw data'!BC139&lt;&gt;"",UPPER(TRIM('Real results'!C139))=UPPER(TRIM('Raw data'!BC139))),1,0),0)</f>
        <v>0</v>
      </c>
      <c r="BE143" s="29">
        <f>IFERROR(IF(AND('Real results'!C139&lt;&gt;"",'Raw data'!BE139&lt;&gt;"",UPPER(TRIM('Real results'!C139))=UPPER(TRIM('Raw data'!BE139))),1,0),0)</f>
        <v>0</v>
      </c>
      <c r="BG143" s="29">
        <f>IFERROR(IF(AND('Real results'!C139&lt;&gt;"",'Raw data'!BG139&lt;&gt;"",UPPER(TRIM('Real results'!C139))=UPPER(TRIM('Raw data'!BG139))),1,0),0)</f>
        <v>0</v>
      </c>
      <c r="BI143" s="29">
        <f>IFERROR(IF(AND('Real results'!C139&lt;&gt;"",'Raw data'!BI139&lt;&gt;"",UPPER(TRIM('Real results'!C139))=UPPER(TRIM('Raw data'!BI139))),1,0),0)</f>
        <v>0</v>
      </c>
    </row>
    <row r="144" ht="18.0" customHeight="1">
      <c r="A144" s="1"/>
      <c r="B144" s="13" t="s">
        <v>425</v>
      </c>
      <c r="C144" s="29">
        <f>IFERROR(IF(AND('Real results'!C140&lt;&gt;"",'Raw data'!C140&lt;&gt;"",UPPER(TRIM('Real results'!C140))=UPPER(TRIM('Raw data'!C140))),1,0),0)</f>
        <v>0</v>
      </c>
      <c r="E144" s="29">
        <f>IFERROR(IF(AND('Real results'!C140&lt;&gt;"",'Raw data'!E140&lt;&gt;"",UPPER(TRIM('Real results'!C140))=UPPER(TRIM('Raw data'!E140))),1,0),0)</f>
        <v>0</v>
      </c>
      <c r="G144" s="29">
        <f>IFERROR(IF(AND('Real results'!C140&lt;&gt;"",'Raw data'!G140&lt;&gt;"",UPPER(TRIM('Real results'!C140))=UPPER(TRIM('Raw data'!G140))),1,0),0)</f>
        <v>0</v>
      </c>
      <c r="I144" s="29">
        <f>IFERROR(IF(AND('Real results'!C140&lt;&gt;"",'Raw data'!I140&lt;&gt;"",UPPER(TRIM('Real results'!C140))=UPPER(TRIM('Raw data'!I140))),1,0),0)</f>
        <v>0</v>
      </c>
      <c r="K144" s="29">
        <f>IFERROR(IF(AND('Real results'!C140&lt;&gt;"",'Raw data'!K140&lt;&gt;"",UPPER(TRIM('Real results'!C140))=UPPER(TRIM('Raw data'!K140))),1,0),0)</f>
        <v>0</v>
      </c>
      <c r="M144" s="29">
        <f>IFERROR(IF(AND('Real results'!C140&lt;&gt;"",'Raw data'!M140&lt;&gt;"",UPPER(TRIM('Real results'!C140))=UPPER(TRIM('Raw data'!M140))),1,0),0)</f>
        <v>0</v>
      </c>
      <c r="O144" s="29">
        <f>IFERROR(IF(AND('Real results'!C140&lt;&gt;"",'Raw data'!O140&lt;&gt;"",UPPER(TRIM('Real results'!C140))=UPPER(TRIM('Raw data'!O140))),1,0),0)</f>
        <v>0</v>
      </c>
      <c r="Q144" s="29">
        <f>IFERROR(IF(AND('Real results'!C140&lt;&gt;"",'Raw data'!Q140&lt;&gt;"",UPPER(TRIM('Real results'!C140))=UPPER(TRIM('Raw data'!Q140))),1,0),0)</f>
        <v>0</v>
      </c>
      <c r="S144" s="29">
        <f>IFERROR(IF(AND('Real results'!C140&lt;&gt;"",'Raw data'!S140&lt;&gt;"",UPPER(TRIM('Real results'!C140))=UPPER(TRIM('Raw data'!S140))),1,0),0)</f>
        <v>0</v>
      </c>
      <c r="U144" s="29">
        <f>IFERROR(IF(AND('Real results'!C140&lt;&gt;"",'Raw data'!U140&lt;&gt;"",UPPER(TRIM('Real results'!C140))=UPPER(TRIM('Raw data'!U140))),1,0),0)</f>
        <v>0</v>
      </c>
      <c r="W144" s="29">
        <f>IFERROR(IF(AND('Real results'!C140&lt;&gt;"",'Raw data'!W140&lt;&gt;"",UPPER(TRIM('Real results'!C140))=UPPER(TRIM('Raw data'!W140))),1,0),0)</f>
        <v>0</v>
      </c>
      <c r="Y144" s="29">
        <f>IFERROR(IF(AND('Real results'!C140&lt;&gt;"",'Raw data'!Y140&lt;&gt;"",UPPER(TRIM('Real results'!C140))=UPPER(TRIM('Raw data'!Y140))),1,0),0)</f>
        <v>0</v>
      </c>
      <c r="AA144" s="29">
        <f>IFERROR(IF(AND('Real results'!C140&lt;&gt;"",'Raw data'!AA140&lt;&gt;"",UPPER(TRIM('Real results'!C140))=UPPER(TRIM('Raw data'!AA140))),1,0),0)</f>
        <v>0</v>
      </c>
      <c r="AC144" s="29">
        <f>IFERROR(IF(AND('Real results'!C140&lt;&gt;"",'Raw data'!AC140&lt;&gt;"",UPPER(TRIM('Real results'!C140))=UPPER(TRIM('Raw data'!AC140))),1,0),0)</f>
        <v>0</v>
      </c>
      <c r="AE144" s="29">
        <f>IFERROR(IF(AND('Real results'!C140&lt;&gt;"",'Raw data'!AE140&lt;&gt;"",UPPER(TRIM('Real results'!C140))=UPPER(TRIM('Raw data'!AE140))),1,0),0)</f>
        <v>0</v>
      </c>
      <c r="AG144" s="29">
        <f>IFERROR(IF(AND('Real results'!C140&lt;&gt;"",'Raw data'!AG140&lt;&gt;"",UPPER(TRIM('Real results'!C140))=UPPER(TRIM('Raw data'!AG140))),1,0),0)</f>
        <v>0</v>
      </c>
      <c r="AI144" s="29">
        <f>IFERROR(IF(AND('Real results'!C140&lt;&gt;"",'Raw data'!AI140&lt;&gt;"",UPPER(TRIM('Real results'!C140))=UPPER(TRIM('Raw data'!AI140))),1,0),0)</f>
        <v>0</v>
      </c>
      <c r="AK144" s="29">
        <f>IFERROR(IF(AND('Real results'!C140&lt;&gt;"",'Raw data'!AK140&lt;&gt;"",UPPER(TRIM('Real results'!C140))=UPPER(TRIM('Raw data'!AK140))),1,0),0)</f>
        <v>0</v>
      </c>
      <c r="AM144" s="29">
        <f>IFERROR(IF(AND('Real results'!C140&lt;&gt;"",'Raw data'!AM140&lt;&gt;"",UPPER(TRIM('Real results'!C140))=UPPER(TRIM('Raw data'!AM140))),1,0),0)</f>
        <v>0</v>
      </c>
      <c r="AO144" s="29">
        <f>IFERROR(IF(AND('Real results'!C140&lt;&gt;"",'Raw data'!AO140&lt;&gt;"",UPPER(TRIM('Real results'!C140))=UPPER(TRIM('Raw data'!AO140))),1,0),0)</f>
        <v>0</v>
      </c>
      <c r="AQ144" s="29">
        <f>IFERROR(IF(AND('Real results'!C140&lt;&gt;"",'Raw data'!AQ140&lt;&gt;"",UPPER(TRIM('Real results'!C140))=UPPER(TRIM('Raw data'!AQ140))),1,0),0)</f>
        <v>0</v>
      </c>
      <c r="AS144" s="29">
        <f>IFERROR(IF(AND('Real results'!C140&lt;&gt;"",'Raw data'!AS140&lt;&gt;"",UPPER(TRIM('Real results'!C140))=UPPER(TRIM('Raw data'!AS140))),1,0),0)</f>
        <v>0</v>
      </c>
      <c r="AU144" s="29">
        <f>IFERROR(IF(AND('Real results'!C140&lt;&gt;"",'Raw data'!AU140&lt;&gt;"",UPPER(TRIM('Real results'!C140))=UPPER(TRIM('Raw data'!AU140))),1,0),0)</f>
        <v>0</v>
      </c>
      <c r="AW144" s="29">
        <f>IFERROR(IF(AND('Real results'!C140&lt;&gt;"",'Raw data'!AW140&lt;&gt;"",UPPER(TRIM('Real results'!C140))=UPPER(TRIM('Raw data'!AW140))),1,0),0)</f>
        <v>0</v>
      </c>
      <c r="AY144" s="29">
        <f>IFERROR(IF(AND('Real results'!C140&lt;&gt;"",'Raw data'!AY140&lt;&gt;"",UPPER(TRIM('Real results'!C140))=UPPER(TRIM('Raw data'!AY140))),1,0),0)</f>
        <v>0</v>
      </c>
      <c r="BA144" s="29">
        <f>IFERROR(IF(AND('Real results'!C140&lt;&gt;"",'Raw data'!BA140&lt;&gt;"",UPPER(TRIM('Real results'!C140))=UPPER(TRIM('Raw data'!BA140))),1,0),0)</f>
        <v>0</v>
      </c>
      <c r="BC144" s="29">
        <f>IFERROR(IF(AND('Real results'!C140&lt;&gt;"",'Raw data'!BC140&lt;&gt;"",UPPER(TRIM('Real results'!C140))=UPPER(TRIM('Raw data'!BC140))),1,0),0)</f>
        <v>0</v>
      </c>
      <c r="BE144" s="29">
        <f>IFERROR(IF(AND('Real results'!C140&lt;&gt;"",'Raw data'!BE140&lt;&gt;"",UPPER(TRIM('Real results'!C140))=UPPER(TRIM('Raw data'!BE140))),1,0),0)</f>
        <v>0</v>
      </c>
      <c r="BG144" s="29">
        <f>IFERROR(IF(AND('Real results'!C140&lt;&gt;"",'Raw data'!BG140&lt;&gt;"",UPPER(TRIM('Real results'!C140))=UPPER(TRIM('Raw data'!BG140))),1,0),0)</f>
        <v>0</v>
      </c>
      <c r="BI144" s="29">
        <f>IFERROR(IF(AND('Real results'!C140&lt;&gt;"",'Raw data'!BI140&lt;&gt;"",UPPER(TRIM('Real results'!C140))=UPPER(TRIM('Raw data'!BI140))),1,0),0)</f>
        <v>0</v>
      </c>
    </row>
    <row r="145" ht="18.0" customHeight="1">
      <c r="A145" s="1"/>
      <c r="B145" s="13" t="s">
        <v>426</v>
      </c>
      <c r="C145" s="29">
        <f>IFERROR(IF(AND(ISNUMBER('Real results'!C141),ISNUMBER('Real results'!D141),ISNUMBER('Raw data'!C141),ISNUMBER('Raw data'!D141)),IF(SIGN('Raw data'!C141-'Raw data'!D141)=SIGN('Real results'!C141-'Real results'!D141),3+IF(AND('Raw data'!C141='Real results'!C141,'Raw data'!D141='Real results'!D141),2,0),0),0),0)</f>
        <v>0</v>
      </c>
      <c r="E145" s="29">
        <f>IFERROR(IF(AND(ISNUMBER('Real results'!C141),ISNUMBER('Real results'!D141),ISNUMBER('Raw data'!E141),ISNUMBER('Raw data'!F141)),IF(SIGN('Raw data'!E141-'Raw data'!F141)=SIGN('Real results'!C141-'Real results'!D141),3+IF(AND('Raw data'!E141='Real results'!C141,'Raw data'!F141='Real results'!D141),2,0),0),0),0)</f>
        <v>0</v>
      </c>
      <c r="G145" s="29">
        <f>IFERROR(IF(AND(ISNUMBER('Real results'!C141),ISNUMBER('Real results'!D141),ISNUMBER('Raw data'!G141),ISNUMBER('Raw data'!H141)),IF(SIGN('Raw data'!G141-'Raw data'!H141)=SIGN('Real results'!C141-'Real results'!D141),3+IF(AND('Raw data'!G141='Real results'!C141,'Raw data'!H141='Real results'!D141),2,0),0),0),0)</f>
        <v>0</v>
      </c>
      <c r="I145" s="29">
        <f>IFERROR(IF(AND(ISNUMBER('Real results'!C141),ISNUMBER('Real results'!D141),ISNUMBER('Raw data'!I141),ISNUMBER('Raw data'!J141)),IF(SIGN('Raw data'!I141-'Raw data'!J141)=SIGN('Real results'!C141-'Real results'!D141),3+IF(AND('Raw data'!I141='Real results'!C141,'Raw data'!J141='Real results'!D141),2,0),0),0),0)</f>
        <v>0</v>
      </c>
      <c r="K145" s="29">
        <f>IFERROR(IF(AND(ISNUMBER('Real results'!C141),ISNUMBER('Real results'!D141),ISNUMBER('Raw data'!K141),ISNUMBER('Raw data'!L141)),IF(SIGN('Raw data'!K141-'Raw data'!L141)=SIGN('Real results'!C141-'Real results'!D141),3+IF(AND('Raw data'!K141='Real results'!C141,'Raw data'!L141='Real results'!D141),2,0),0),0),0)</f>
        <v>0</v>
      </c>
      <c r="M145" s="29">
        <f>IFERROR(IF(AND(ISNUMBER('Real results'!C141),ISNUMBER('Real results'!D141),ISNUMBER('Raw data'!M141),ISNUMBER('Raw data'!N141)),IF(SIGN('Raw data'!M141-'Raw data'!N141)=SIGN('Real results'!C141-'Real results'!D141),3+IF(AND('Raw data'!M141='Real results'!C141,'Raw data'!N141='Real results'!D141),2,0),0),0),0)</f>
        <v>0</v>
      </c>
      <c r="O145" s="29">
        <f>IFERROR(IF(AND(ISNUMBER('Real results'!C141),ISNUMBER('Real results'!D141),ISNUMBER('Raw data'!O141),ISNUMBER('Raw data'!P141)),IF(SIGN('Raw data'!O141-'Raw data'!P141)=SIGN('Real results'!C141-'Real results'!D141),3+IF(AND('Raw data'!O141='Real results'!C141,'Raw data'!P141='Real results'!D141),2,0),0),0),0)</f>
        <v>0</v>
      </c>
      <c r="Q145" s="29">
        <f>IFERROR(IF(AND(ISNUMBER('Real results'!C141),ISNUMBER('Real results'!D141),ISNUMBER('Raw data'!Q141),ISNUMBER('Raw data'!R141)),IF(SIGN('Raw data'!Q141-'Raw data'!R141)=SIGN('Real results'!C141-'Real results'!D141),3+IF(AND('Raw data'!Q141='Real results'!C141,'Raw data'!R141='Real results'!D141),2,0),0),0),0)</f>
        <v>0</v>
      </c>
      <c r="S145" s="29">
        <f>IFERROR(IF(AND(ISNUMBER('Real results'!C141),ISNUMBER('Real results'!D141),ISNUMBER('Raw data'!S141),ISNUMBER('Raw data'!T141)),IF(SIGN('Raw data'!S141-'Raw data'!T141)=SIGN('Real results'!C141-'Real results'!D141),3+IF(AND('Raw data'!S141='Real results'!C141,'Raw data'!T141='Real results'!D141),2,0),0),0),0)</f>
        <v>0</v>
      </c>
      <c r="U145" s="29">
        <f>IFERROR(IF(AND(ISNUMBER('Real results'!C141),ISNUMBER('Real results'!D141),ISNUMBER('Raw data'!U141),ISNUMBER('Raw data'!V141)),IF(SIGN('Raw data'!U141-'Raw data'!V141)=SIGN('Real results'!C141-'Real results'!D141),3+IF(AND('Raw data'!U141='Real results'!C141,'Raw data'!V141='Real results'!D141),2,0),0),0),0)</f>
        <v>0</v>
      </c>
      <c r="W145" s="29">
        <f>IFERROR(IF(AND(ISNUMBER('Real results'!C141),ISNUMBER('Real results'!D141),ISNUMBER('Raw data'!W141),ISNUMBER('Raw data'!X141)),IF(SIGN('Raw data'!W141-'Raw data'!X141)=SIGN('Real results'!C141-'Real results'!D141),3+IF(AND('Raw data'!W141='Real results'!C141,'Raw data'!X141='Real results'!D141),2,0),0),0),0)</f>
        <v>0</v>
      </c>
      <c r="Y145" s="29">
        <f>IFERROR(IF(AND(ISNUMBER('Real results'!C141),ISNUMBER('Real results'!D141),ISNUMBER('Raw data'!Y141),ISNUMBER('Raw data'!Z141)),IF(SIGN('Raw data'!Y141-'Raw data'!Z141)=SIGN('Real results'!C141-'Real results'!D141),3+IF(AND('Raw data'!Y141='Real results'!C141,'Raw data'!Z141='Real results'!D141),2,0),0),0),0)</f>
        <v>0</v>
      </c>
      <c r="AA145" s="29">
        <f>IFERROR(IF(AND(ISNUMBER('Real results'!C141),ISNUMBER('Real results'!D141),ISNUMBER('Raw data'!AA141),ISNUMBER('Raw data'!AB141)),IF(SIGN('Raw data'!AA141-'Raw data'!AB141)=SIGN('Real results'!C141-'Real results'!D141),3+IF(AND('Raw data'!AA141='Real results'!C141,'Raw data'!AB141='Real results'!D141),2,0),0),0),0)</f>
        <v>0</v>
      </c>
      <c r="AC145" s="29">
        <f>IFERROR(IF(AND(ISNUMBER('Real results'!C141),ISNUMBER('Real results'!D141),ISNUMBER('Raw data'!AC141),ISNUMBER('Raw data'!AD141)),IF(SIGN('Raw data'!AC141-'Raw data'!AD141)=SIGN('Real results'!C141-'Real results'!D141),3+IF(AND('Raw data'!AC141='Real results'!C141,'Raw data'!AD141='Real results'!D141),2,0),0),0),0)</f>
        <v>0</v>
      </c>
      <c r="AE145" s="29">
        <f>IFERROR(IF(AND(ISNUMBER('Real results'!C141),ISNUMBER('Real results'!D141),ISNUMBER('Raw data'!AE141),ISNUMBER('Raw data'!AF141)),IF(SIGN('Raw data'!AE141-'Raw data'!AF141)=SIGN('Real results'!C141-'Real results'!D141),3+IF(AND('Raw data'!AE141='Real results'!C141,'Raw data'!AF141='Real results'!D141),2,0),0),0),0)</f>
        <v>0</v>
      </c>
      <c r="AG145" s="29">
        <f>IFERROR(IF(AND(ISNUMBER('Real results'!C141),ISNUMBER('Real results'!D141),ISNUMBER('Raw data'!AG141),ISNUMBER('Raw data'!AH141)),IF(SIGN('Raw data'!AG141-'Raw data'!AH141)=SIGN('Real results'!C141-'Real results'!D141),3+IF(AND('Raw data'!AG141='Real results'!C141,'Raw data'!AH141='Real results'!D141),2,0),0),0),0)</f>
        <v>0</v>
      </c>
      <c r="AI145" s="29">
        <f>IFERROR(IF(AND(ISNUMBER('Real results'!C141),ISNUMBER('Real results'!D141),ISNUMBER('Raw data'!AI141),ISNUMBER('Raw data'!AJ141)),IF(SIGN('Raw data'!AI141-'Raw data'!AJ141)=SIGN('Real results'!C141-'Real results'!D141),3+IF(AND('Raw data'!AI141='Real results'!C141,'Raw data'!AJ141='Real results'!D141),2,0),0),0),0)</f>
        <v>0</v>
      </c>
      <c r="AK145" s="29">
        <f>IFERROR(IF(AND(ISNUMBER('Real results'!C141),ISNUMBER('Real results'!D141),ISNUMBER('Raw data'!AK141),ISNUMBER('Raw data'!AL141)),IF(SIGN('Raw data'!AK141-'Raw data'!AL141)=SIGN('Real results'!C141-'Real results'!D141),3+IF(AND('Raw data'!AK141='Real results'!C141,'Raw data'!AL141='Real results'!D141),2,0),0),0),0)</f>
        <v>0</v>
      </c>
      <c r="AM145" s="29">
        <f>IFERROR(IF(AND(ISNUMBER('Real results'!C141),ISNUMBER('Real results'!D141),ISNUMBER('Raw data'!AM141),ISNUMBER('Raw data'!AN141)),IF(SIGN('Raw data'!AM141-'Raw data'!AN141)=SIGN('Real results'!C141-'Real results'!D141),3+IF(AND('Raw data'!AM141='Real results'!C141,'Raw data'!AN141='Real results'!D141),2,0),0),0),0)</f>
        <v>0</v>
      </c>
      <c r="AO145" s="29">
        <f>IFERROR(IF(AND(ISNUMBER('Real results'!C141),ISNUMBER('Real results'!D141),ISNUMBER('Raw data'!AO141),ISNUMBER('Raw data'!AP141)),IF(SIGN('Raw data'!AO141-'Raw data'!AP141)=SIGN('Real results'!C141-'Real results'!D141),3+IF(AND('Raw data'!AO141='Real results'!C141,'Raw data'!AP141='Real results'!D141),2,0),0),0),0)</f>
        <v>0</v>
      </c>
      <c r="AQ145" s="29">
        <f>IFERROR(IF(AND(ISNUMBER('Real results'!C141),ISNUMBER('Real results'!D141),ISNUMBER('Raw data'!AQ141),ISNUMBER('Raw data'!AR141)),IF(SIGN('Raw data'!AQ141-'Raw data'!AR141)=SIGN('Real results'!C141-'Real results'!D141),3+IF(AND('Raw data'!AQ141='Real results'!C141,'Raw data'!AR141='Real results'!D141),2,0),0),0),0)</f>
        <v>0</v>
      </c>
      <c r="AS145" s="29">
        <f>IFERROR(IF(AND(ISNUMBER('Real results'!C141),ISNUMBER('Real results'!D141),ISNUMBER('Raw data'!AS141),ISNUMBER('Raw data'!AT141)),IF(SIGN('Raw data'!AS141-'Raw data'!AT141)=SIGN('Real results'!C141-'Real results'!D141),3+IF(AND('Raw data'!AS141='Real results'!C141,'Raw data'!AT141='Real results'!D141),2,0),0),0),0)</f>
        <v>0</v>
      </c>
      <c r="AU145" s="29">
        <f>IFERROR(IF(AND(ISNUMBER('Real results'!C141),ISNUMBER('Real results'!D141),ISNUMBER('Raw data'!AU141),ISNUMBER('Raw data'!AV141)),IF(SIGN('Raw data'!AU141-'Raw data'!AV141)=SIGN('Real results'!C141-'Real results'!D141),3+IF(AND('Raw data'!AU141='Real results'!C141,'Raw data'!AV141='Real results'!D141),2,0),0),0),0)</f>
        <v>0</v>
      </c>
      <c r="AW145" s="29">
        <f>IFERROR(IF(AND(ISNUMBER('Real results'!C141),ISNUMBER('Real results'!D141),ISNUMBER('Raw data'!AW141),ISNUMBER('Raw data'!AX141)),IF(SIGN('Raw data'!AW141-'Raw data'!AX141)=SIGN('Real results'!C141-'Real results'!D141),3+IF(AND('Raw data'!AW141='Real results'!C141,'Raw data'!AX141='Real results'!D141),2,0),0),0),0)</f>
        <v>0</v>
      </c>
      <c r="AY145" s="29">
        <f>IFERROR(IF(AND(ISNUMBER('Real results'!C141),ISNUMBER('Real results'!D141),ISNUMBER('Raw data'!AY141),ISNUMBER('Raw data'!AZ141)),IF(SIGN('Raw data'!AY141-'Raw data'!AZ141)=SIGN('Real results'!C141-'Real results'!D141),3+IF(AND('Raw data'!AY141='Real results'!C141,'Raw data'!AZ141='Real results'!D141),2,0),0),0),0)</f>
        <v>0</v>
      </c>
      <c r="BA145" s="29">
        <f>IFERROR(IF(AND(ISNUMBER('Real results'!C141),ISNUMBER('Real results'!D141),ISNUMBER('Raw data'!BA141),ISNUMBER('Raw data'!BB141)),IF(SIGN('Raw data'!BA141-'Raw data'!BB141)=SIGN('Real results'!C141-'Real results'!D141),3+IF(AND('Raw data'!BA141='Real results'!C141,'Raw data'!BB141='Real results'!D141),2,0),0),0),0)</f>
        <v>0</v>
      </c>
      <c r="BC145" s="29">
        <f>IFERROR(IF(AND(ISNUMBER('Real results'!C141),ISNUMBER('Real results'!D141),ISNUMBER('Raw data'!BC141),ISNUMBER('Raw data'!BD141)),IF(SIGN('Raw data'!BC141-'Raw data'!BD141)=SIGN('Real results'!C141-'Real results'!D141),3+IF(AND('Raw data'!BC141='Real results'!C141,'Raw data'!BD141='Real results'!D141),2,0),0),0),0)</f>
        <v>0</v>
      </c>
      <c r="BE145" s="29">
        <f>IFERROR(IF(AND(ISNUMBER('Real results'!C141),ISNUMBER('Real results'!D141),ISNUMBER('Raw data'!BE141),ISNUMBER('Raw data'!BF141)),IF(SIGN('Raw data'!BE141-'Raw data'!BF141)=SIGN('Real results'!C141-'Real results'!D141),3+IF(AND('Raw data'!BE141='Real results'!C141,'Raw data'!BF141='Real results'!D141),2,0),0),0),0)</f>
        <v>0</v>
      </c>
      <c r="BG145" s="29">
        <f>IFERROR(IF(AND(ISNUMBER('Real results'!C141),ISNUMBER('Real results'!D141),ISNUMBER('Raw data'!BG141),ISNUMBER('Raw data'!BH141)),IF(SIGN('Raw data'!BG141-'Raw data'!BH141)=SIGN('Real results'!C141-'Real results'!D141),3+IF(AND('Raw data'!BG141='Real results'!C141,'Raw data'!BH141='Real results'!D141),2,0),0),0),0)</f>
        <v>0</v>
      </c>
      <c r="BI145" s="29">
        <f>IFERROR(IF(AND(ISNUMBER('Real results'!C141),ISNUMBER('Real results'!D141),ISNUMBER('Raw data'!BI141),ISNUMBER('Raw data'!BJ141)),IF(SIGN('Raw data'!BI141-'Raw data'!BJ141)=SIGN('Real results'!C141-'Real results'!D141),3+IF(AND('Raw data'!BI141='Real results'!C141,'Raw data'!BJ141='Real results'!D141),2,0),0),0),0)</f>
        <v>0</v>
      </c>
    </row>
    <row r="146" ht="18.0" customHeight="1">
      <c r="A146" s="1"/>
      <c r="B146" s="13" t="s">
        <v>427</v>
      </c>
      <c r="C146" s="29">
        <f>IFERROR(IF(AND('Real results'!C142&lt;&gt;"",'Raw data'!C142&lt;&gt;"",UPPER(TRIM('Real results'!C142))=UPPER(TRIM('Raw data'!C142))),1,0),0)</f>
        <v>0</v>
      </c>
      <c r="E146" s="29">
        <f>IFERROR(IF(AND('Real results'!C142&lt;&gt;"",'Raw data'!E142&lt;&gt;"",UPPER(TRIM('Real results'!C142))=UPPER(TRIM('Raw data'!E142))),1,0),0)</f>
        <v>0</v>
      </c>
      <c r="G146" s="29">
        <f>IFERROR(IF(AND('Real results'!C142&lt;&gt;"",'Raw data'!G142&lt;&gt;"",UPPER(TRIM('Real results'!C142))=UPPER(TRIM('Raw data'!G142))),1,0),0)</f>
        <v>0</v>
      </c>
      <c r="I146" s="29">
        <f>IFERROR(IF(AND('Real results'!C142&lt;&gt;"",'Raw data'!I142&lt;&gt;"",UPPER(TRIM('Real results'!C142))=UPPER(TRIM('Raw data'!I142))),1,0),0)</f>
        <v>0</v>
      </c>
      <c r="K146" s="29">
        <f>IFERROR(IF(AND('Real results'!C142&lt;&gt;"",'Raw data'!K142&lt;&gt;"",UPPER(TRIM('Real results'!C142))=UPPER(TRIM('Raw data'!K142))),1,0),0)</f>
        <v>0</v>
      </c>
      <c r="M146" s="29">
        <f>IFERROR(IF(AND('Real results'!C142&lt;&gt;"",'Raw data'!M142&lt;&gt;"",UPPER(TRIM('Real results'!C142))=UPPER(TRIM('Raw data'!M142))),1,0),0)</f>
        <v>0</v>
      </c>
      <c r="O146" s="29">
        <f>IFERROR(IF(AND('Real results'!C142&lt;&gt;"",'Raw data'!O142&lt;&gt;"",UPPER(TRIM('Real results'!C142))=UPPER(TRIM('Raw data'!O142))),1,0),0)</f>
        <v>0</v>
      </c>
      <c r="Q146" s="29">
        <f>IFERROR(IF(AND('Real results'!C142&lt;&gt;"",'Raw data'!Q142&lt;&gt;"",UPPER(TRIM('Real results'!C142))=UPPER(TRIM('Raw data'!Q142))),1,0),0)</f>
        <v>0</v>
      </c>
      <c r="S146" s="29">
        <f>IFERROR(IF(AND('Real results'!C142&lt;&gt;"",'Raw data'!S142&lt;&gt;"",UPPER(TRIM('Real results'!C142))=UPPER(TRIM('Raw data'!S142))),1,0),0)</f>
        <v>0</v>
      </c>
      <c r="U146" s="29">
        <f>IFERROR(IF(AND('Real results'!C142&lt;&gt;"",'Raw data'!U142&lt;&gt;"",UPPER(TRIM('Real results'!C142))=UPPER(TRIM('Raw data'!U142))),1,0),0)</f>
        <v>0</v>
      </c>
      <c r="W146" s="29">
        <f>IFERROR(IF(AND('Real results'!C142&lt;&gt;"",'Raw data'!W142&lt;&gt;"",UPPER(TRIM('Real results'!C142))=UPPER(TRIM('Raw data'!W142))),1,0),0)</f>
        <v>0</v>
      </c>
      <c r="Y146" s="29">
        <f>IFERROR(IF(AND('Real results'!C142&lt;&gt;"",'Raw data'!Y142&lt;&gt;"",UPPER(TRIM('Real results'!C142))=UPPER(TRIM('Raw data'!Y142))),1,0),0)</f>
        <v>0</v>
      </c>
      <c r="AA146" s="29">
        <f>IFERROR(IF(AND('Real results'!C142&lt;&gt;"",'Raw data'!AA142&lt;&gt;"",UPPER(TRIM('Real results'!C142))=UPPER(TRIM('Raw data'!AA142))),1,0),0)</f>
        <v>0</v>
      </c>
      <c r="AC146" s="29">
        <f>IFERROR(IF(AND('Real results'!C142&lt;&gt;"",'Raw data'!AC142&lt;&gt;"",UPPER(TRIM('Real results'!C142))=UPPER(TRIM('Raw data'!AC142))),1,0),0)</f>
        <v>0</v>
      </c>
      <c r="AE146" s="29">
        <f>IFERROR(IF(AND('Real results'!C142&lt;&gt;"",'Raw data'!AE142&lt;&gt;"",UPPER(TRIM('Real results'!C142))=UPPER(TRIM('Raw data'!AE142))),1,0),0)</f>
        <v>0</v>
      </c>
      <c r="AG146" s="29">
        <f>IFERROR(IF(AND('Real results'!C142&lt;&gt;"",'Raw data'!AG142&lt;&gt;"",UPPER(TRIM('Real results'!C142))=UPPER(TRIM('Raw data'!AG142))),1,0),0)</f>
        <v>0</v>
      </c>
      <c r="AI146" s="29">
        <f>IFERROR(IF(AND('Real results'!C142&lt;&gt;"",'Raw data'!AI142&lt;&gt;"",UPPER(TRIM('Real results'!C142))=UPPER(TRIM('Raw data'!AI142))),1,0),0)</f>
        <v>0</v>
      </c>
      <c r="AK146" s="29">
        <f>IFERROR(IF(AND('Real results'!C142&lt;&gt;"",'Raw data'!AK142&lt;&gt;"",UPPER(TRIM('Real results'!C142))=UPPER(TRIM('Raw data'!AK142))),1,0),0)</f>
        <v>0</v>
      </c>
      <c r="AM146" s="29">
        <f>IFERROR(IF(AND('Real results'!C142&lt;&gt;"",'Raw data'!AM142&lt;&gt;"",UPPER(TRIM('Real results'!C142))=UPPER(TRIM('Raw data'!AM142))),1,0),0)</f>
        <v>0</v>
      </c>
      <c r="AO146" s="29">
        <f>IFERROR(IF(AND('Real results'!C142&lt;&gt;"",'Raw data'!AO142&lt;&gt;"",UPPER(TRIM('Real results'!C142))=UPPER(TRIM('Raw data'!AO142))),1,0),0)</f>
        <v>0</v>
      </c>
      <c r="AQ146" s="29">
        <f>IFERROR(IF(AND('Real results'!C142&lt;&gt;"",'Raw data'!AQ142&lt;&gt;"",UPPER(TRIM('Real results'!C142))=UPPER(TRIM('Raw data'!AQ142))),1,0),0)</f>
        <v>0</v>
      </c>
      <c r="AS146" s="29">
        <f>IFERROR(IF(AND('Real results'!C142&lt;&gt;"",'Raw data'!AS142&lt;&gt;"",UPPER(TRIM('Real results'!C142))=UPPER(TRIM('Raw data'!AS142))),1,0),0)</f>
        <v>0</v>
      </c>
      <c r="AU146" s="29">
        <f>IFERROR(IF(AND('Real results'!C142&lt;&gt;"",'Raw data'!AU142&lt;&gt;"",UPPER(TRIM('Real results'!C142))=UPPER(TRIM('Raw data'!AU142))),1,0),0)</f>
        <v>0</v>
      </c>
      <c r="AW146" s="29">
        <f>IFERROR(IF(AND('Real results'!C142&lt;&gt;"",'Raw data'!AW142&lt;&gt;"",UPPER(TRIM('Real results'!C142))=UPPER(TRIM('Raw data'!AW142))),1,0),0)</f>
        <v>0</v>
      </c>
      <c r="AY146" s="29">
        <f>IFERROR(IF(AND('Real results'!C142&lt;&gt;"",'Raw data'!AY142&lt;&gt;"",UPPER(TRIM('Real results'!C142))=UPPER(TRIM('Raw data'!AY142))),1,0),0)</f>
        <v>0</v>
      </c>
      <c r="BA146" s="29">
        <f>IFERROR(IF(AND('Real results'!C142&lt;&gt;"",'Raw data'!BA142&lt;&gt;"",UPPER(TRIM('Real results'!C142))=UPPER(TRIM('Raw data'!BA142))),1,0),0)</f>
        <v>0</v>
      </c>
      <c r="BC146" s="29">
        <f>IFERROR(IF(AND('Real results'!C142&lt;&gt;"",'Raw data'!BC142&lt;&gt;"",UPPER(TRIM('Real results'!C142))=UPPER(TRIM('Raw data'!BC142))),1,0),0)</f>
        <v>0</v>
      </c>
      <c r="BE146" s="29">
        <f>IFERROR(IF(AND('Real results'!C142&lt;&gt;"",'Raw data'!BE142&lt;&gt;"",UPPER(TRIM('Real results'!C142))=UPPER(TRIM('Raw data'!BE142))),1,0),0)</f>
        <v>0</v>
      </c>
      <c r="BG146" s="29">
        <f>IFERROR(IF(AND('Real results'!C142&lt;&gt;"",'Raw data'!BG142&lt;&gt;"",UPPER(TRIM('Real results'!C142))=UPPER(TRIM('Raw data'!BG142))),1,0),0)</f>
        <v>0</v>
      </c>
      <c r="BI146" s="29">
        <f>IFERROR(IF(AND('Real results'!C142&lt;&gt;"",'Raw data'!BI142&lt;&gt;"",UPPER(TRIM('Real results'!C142))=UPPER(TRIM('Raw data'!BI142))),1,0),0)</f>
        <v>0</v>
      </c>
    </row>
    <row r="147" ht="18.0" customHeight="1">
      <c r="A147" s="1"/>
      <c r="B147" s="13" t="s">
        <v>428</v>
      </c>
      <c r="C147" s="29">
        <f>IFERROR(IF(AND('Real results'!C143&lt;&gt;"",'Raw data'!C143&lt;&gt;"",UPPER(TRIM('Real results'!C143))=UPPER(TRIM('Raw data'!C143))),1,0),0)</f>
        <v>0</v>
      </c>
      <c r="E147" s="29">
        <f>IFERROR(IF(AND('Real results'!C143&lt;&gt;"",'Raw data'!E143&lt;&gt;"",UPPER(TRIM('Real results'!C143))=UPPER(TRIM('Raw data'!E143))),1,0),0)</f>
        <v>0</v>
      </c>
      <c r="G147" s="29">
        <f>IFERROR(IF(AND('Real results'!C143&lt;&gt;"",'Raw data'!G143&lt;&gt;"",UPPER(TRIM('Real results'!C143))=UPPER(TRIM('Raw data'!G143))),1,0),0)</f>
        <v>0</v>
      </c>
      <c r="I147" s="29">
        <f>IFERROR(IF(AND('Real results'!C143&lt;&gt;"",'Raw data'!I143&lt;&gt;"",UPPER(TRIM('Real results'!C143))=UPPER(TRIM('Raw data'!I143))),1,0),0)</f>
        <v>0</v>
      </c>
      <c r="K147" s="29">
        <f>IFERROR(IF(AND('Real results'!C143&lt;&gt;"",'Raw data'!K143&lt;&gt;"",UPPER(TRIM('Real results'!C143))=UPPER(TRIM('Raw data'!K143))),1,0),0)</f>
        <v>0</v>
      </c>
      <c r="M147" s="29">
        <f>IFERROR(IF(AND('Real results'!C143&lt;&gt;"",'Raw data'!M143&lt;&gt;"",UPPER(TRIM('Real results'!C143))=UPPER(TRIM('Raw data'!M143))),1,0),0)</f>
        <v>0</v>
      </c>
      <c r="O147" s="29">
        <f>IFERROR(IF(AND('Real results'!C143&lt;&gt;"",'Raw data'!O143&lt;&gt;"",UPPER(TRIM('Real results'!C143))=UPPER(TRIM('Raw data'!O143))),1,0),0)</f>
        <v>0</v>
      </c>
      <c r="Q147" s="29">
        <f>IFERROR(IF(AND('Real results'!C143&lt;&gt;"",'Raw data'!Q143&lt;&gt;"",UPPER(TRIM('Real results'!C143))=UPPER(TRIM('Raw data'!Q143))),1,0),0)</f>
        <v>0</v>
      </c>
      <c r="S147" s="29">
        <f>IFERROR(IF(AND('Real results'!C143&lt;&gt;"",'Raw data'!S143&lt;&gt;"",UPPER(TRIM('Real results'!C143))=UPPER(TRIM('Raw data'!S143))),1,0),0)</f>
        <v>0</v>
      </c>
      <c r="U147" s="29">
        <f>IFERROR(IF(AND('Real results'!C143&lt;&gt;"",'Raw data'!U143&lt;&gt;"",UPPER(TRIM('Real results'!C143))=UPPER(TRIM('Raw data'!U143))),1,0),0)</f>
        <v>0</v>
      </c>
      <c r="W147" s="29">
        <f>IFERROR(IF(AND('Real results'!C143&lt;&gt;"",'Raw data'!W143&lt;&gt;"",UPPER(TRIM('Real results'!C143))=UPPER(TRIM('Raw data'!W143))),1,0),0)</f>
        <v>0</v>
      </c>
      <c r="Y147" s="29">
        <f>IFERROR(IF(AND('Real results'!C143&lt;&gt;"",'Raw data'!Y143&lt;&gt;"",UPPER(TRIM('Real results'!C143))=UPPER(TRIM('Raw data'!Y143))),1,0),0)</f>
        <v>0</v>
      </c>
      <c r="AA147" s="29">
        <f>IFERROR(IF(AND('Real results'!C143&lt;&gt;"",'Raw data'!AA143&lt;&gt;"",UPPER(TRIM('Real results'!C143))=UPPER(TRIM('Raw data'!AA143))),1,0),0)</f>
        <v>0</v>
      </c>
      <c r="AC147" s="29">
        <f>IFERROR(IF(AND('Real results'!C143&lt;&gt;"",'Raw data'!AC143&lt;&gt;"",UPPER(TRIM('Real results'!C143))=UPPER(TRIM('Raw data'!AC143))),1,0),0)</f>
        <v>0</v>
      </c>
      <c r="AE147" s="29">
        <f>IFERROR(IF(AND('Real results'!C143&lt;&gt;"",'Raw data'!AE143&lt;&gt;"",UPPER(TRIM('Real results'!C143))=UPPER(TRIM('Raw data'!AE143))),1,0),0)</f>
        <v>0</v>
      </c>
      <c r="AG147" s="29">
        <f>IFERROR(IF(AND('Real results'!C143&lt;&gt;"",'Raw data'!AG143&lt;&gt;"",UPPER(TRIM('Real results'!C143))=UPPER(TRIM('Raw data'!AG143))),1,0),0)</f>
        <v>0</v>
      </c>
      <c r="AI147" s="29">
        <f>IFERROR(IF(AND('Real results'!C143&lt;&gt;"",'Raw data'!AI143&lt;&gt;"",UPPER(TRIM('Real results'!C143))=UPPER(TRIM('Raw data'!AI143))),1,0),0)</f>
        <v>0</v>
      </c>
      <c r="AK147" s="29">
        <f>IFERROR(IF(AND('Real results'!C143&lt;&gt;"",'Raw data'!AK143&lt;&gt;"",UPPER(TRIM('Real results'!C143))=UPPER(TRIM('Raw data'!AK143))),1,0),0)</f>
        <v>0</v>
      </c>
      <c r="AM147" s="29">
        <f>IFERROR(IF(AND('Real results'!C143&lt;&gt;"",'Raw data'!AM143&lt;&gt;"",UPPER(TRIM('Real results'!C143))=UPPER(TRIM('Raw data'!AM143))),1,0),0)</f>
        <v>0</v>
      </c>
      <c r="AO147" s="29">
        <f>IFERROR(IF(AND('Real results'!C143&lt;&gt;"",'Raw data'!AO143&lt;&gt;"",UPPER(TRIM('Real results'!C143))=UPPER(TRIM('Raw data'!AO143))),1,0),0)</f>
        <v>0</v>
      </c>
      <c r="AQ147" s="29">
        <f>IFERROR(IF(AND('Real results'!C143&lt;&gt;"",'Raw data'!AQ143&lt;&gt;"",UPPER(TRIM('Real results'!C143))=UPPER(TRIM('Raw data'!AQ143))),1,0),0)</f>
        <v>0</v>
      </c>
      <c r="AS147" s="29">
        <f>IFERROR(IF(AND('Real results'!C143&lt;&gt;"",'Raw data'!AS143&lt;&gt;"",UPPER(TRIM('Real results'!C143))=UPPER(TRIM('Raw data'!AS143))),1,0),0)</f>
        <v>0</v>
      </c>
      <c r="AU147" s="29">
        <f>IFERROR(IF(AND('Real results'!C143&lt;&gt;"",'Raw data'!AU143&lt;&gt;"",UPPER(TRIM('Real results'!C143))=UPPER(TRIM('Raw data'!AU143))),1,0),0)</f>
        <v>0</v>
      </c>
      <c r="AW147" s="29">
        <f>IFERROR(IF(AND('Real results'!C143&lt;&gt;"",'Raw data'!AW143&lt;&gt;"",UPPER(TRIM('Real results'!C143))=UPPER(TRIM('Raw data'!AW143))),1,0),0)</f>
        <v>0</v>
      </c>
      <c r="AY147" s="29">
        <f>IFERROR(IF(AND('Real results'!C143&lt;&gt;"",'Raw data'!AY143&lt;&gt;"",UPPER(TRIM('Real results'!C143))=UPPER(TRIM('Raw data'!AY143))),1,0),0)</f>
        <v>0</v>
      </c>
      <c r="BA147" s="29">
        <f>IFERROR(IF(AND('Real results'!C143&lt;&gt;"",'Raw data'!BA143&lt;&gt;"",UPPER(TRIM('Real results'!C143))=UPPER(TRIM('Raw data'!BA143))),1,0),0)</f>
        <v>0</v>
      </c>
      <c r="BC147" s="29">
        <f>IFERROR(IF(AND('Real results'!C143&lt;&gt;"",'Raw data'!BC143&lt;&gt;"",UPPER(TRIM('Real results'!C143))=UPPER(TRIM('Raw data'!BC143))),1,0),0)</f>
        <v>0</v>
      </c>
      <c r="BE147" s="29">
        <f>IFERROR(IF(AND('Real results'!C143&lt;&gt;"",'Raw data'!BE143&lt;&gt;"",UPPER(TRIM('Real results'!C143))=UPPER(TRIM('Raw data'!BE143))),1,0),0)</f>
        <v>0</v>
      </c>
      <c r="BG147" s="29">
        <f>IFERROR(IF(AND('Real results'!C143&lt;&gt;"",'Raw data'!BG143&lt;&gt;"",UPPER(TRIM('Real results'!C143))=UPPER(TRIM('Raw data'!BG143))),1,0),0)</f>
        <v>0</v>
      </c>
      <c r="BI147" s="29">
        <f>IFERROR(IF(AND('Real results'!C143&lt;&gt;"",'Raw data'!BI143&lt;&gt;"",UPPER(TRIM('Real results'!C143))=UPPER(TRIM('Raw data'!BI143))),1,0),0)</f>
        <v>0</v>
      </c>
    </row>
    <row r="148" ht="18.0" customHeight="1">
      <c r="A148" s="1"/>
      <c r="B148" s="13" t="s">
        <v>429</v>
      </c>
      <c r="C148" s="29">
        <f>IFERROR(IF(AND(ISNUMBER('Real results'!C144),ISNUMBER('Real results'!D144),ISNUMBER('Raw data'!C144),ISNUMBER('Raw data'!D144)),IF(SIGN('Raw data'!C144-'Raw data'!D144)=SIGN('Real results'!C144-'Real results'!D144),3+IF(AND('Raw data'!C144='Real results'!C144,'Raw data'!D144='Real results'!D144),2,0),0),0),0)</f>
        <v>0</v>
      </c>
      <c r="E148" s="29">
        <f>IFERROR(IF(AND(ISNUMBER('Real results'!C144),ISNUMBER('Real results'!D144),ISNUMBER('Raw data'!E144),ISNUMBER('Raw data'!F144)),IF(SIGN('Raw data'!E144-'Raw data'!F144)=SIGN('Real results'!C144-'Real results'!D144),3+IF(AND('Raw data'!E144='Real results'!C144,'Raw data'!F144='Real results'!D144),2,0),0),0),0)</f>
        <v>0</v>
      </c>
      <c r="G148" s="29">
        <f>IFERROR(IF(AND(ISNUMBER('Real results'!C144),ISNUMBER('Real results'!D144),ISNUMBER('Raw data'!G144),ISNUMBER('Raw data'!H144)),IF(SIGN('Raw data'!G144-'Raw data'!H144)=SIGN('Real results'!C144-'Real results'!D144),3+IF(AND('Raw data'!G144='Real results'!C144,'Raw data'!H144='Real results'!D144),2,0),0),0),0)</f>
        <v>0</v>
      </c>
      <c r="I148" s="29">
        <f>IFERROR(IF(AND(ISNUMBER('Real results'!C144),ISNUMBER('Real results'!D144),ISNUMBER('Raw data'!I144),ISNUMBER('Raw data'!J144)),IF(SIGN('Raw data'!I144-'Raw data'!J144)=SIGN('Real results'!C144-'Real results'!D144),3+IF(AND('Raw data'!I144='Real results'!C144,'Raw data'!J144='Real results'!D144),2,0),0),0),0)</f>
        <v>0</v>
      </c>
      <c r="K148" s="29">
        <f>IFERROR(IF(AND(ISNUMBER('Real results'!C144),ISNUMBER('Real results'!D144),ISNUMBER('Raw data'!K144),ISNUMBER('Raw data'!L144)),IF(SIGN('Raw data'!K144-'Raw data'!L144)=SIGN('Real results'!C144-'Real results'!D144),3+IF(AND('Raw data'!K144='Real results'!C144,'Raw data'!L144='Real results'!D144),2,0),0),0),0)</f>
        <v>0</v>
      </c>
      <c r="M148" s="29">
        <f>IFERROR(IF(AND(ISNUMBER('Real results'!C144),ISNUMBER('Real results'!D144),ISNUMBER('Raw data'!M144),ISNUMBER('Raw data'!N144)),IF(SIGN('Raw data'!M144-'Raw data'!N144)=SIGN('Real results'!C144-'Real results'!D144),3+IF(AND('Raw data'!M144='Real results'!C144,'Raw data'!N144='Real results'!D144),2,0),0),0),0)</f>
        <v>0</v>
      </c>
      <c r="O148" s="29">
        <f>IFERROR(IF(AND(ISNUMBER('Real results'!C144),ISNUMBER('Real results'!D144),ISNUMBER('Raw data'!O144),ISNUMBER('Raw data'!P144)),IF(SIGN('Raw data'!O144-'Raw data'!P144)=SIGN('Real results'!C144-'Real results'!D144),3+IF(AND('Raw data'!O144='Real results'!C144,'Raw data'!P144='Real results'!D144),2,0),0),0),0)</f>
        <v>0</v>
      </c>
      <c r="Q148" s="29">
        <f>IFERROR(IF(AND(ISNUMBER('Real results'!C144),ISNUMBER('Real results'!D144),ISNUMBER('Raw data'!Q144),ISNUMBER('Raw data'!R144)),IF(SIGN('Raw data'!Q144-'Raw data'!R144)=SIGN('Real results'!C144-'Real results'!D144),3+IF(AND('Raw data'!Q144='Real results'!C144,'Raw data'!R144='Real results'!D144),2,0),0),0),0)</f>
        <v>0</v>
      </c>
      <c r="S148" s="29">
        <f>IFERROR(IF(AND(ISNUMBER('Real results'!C144),ISNUMBER('Real results'!D144),ISNUMBER('Raw data'!S144),ISNUMBER('Raw data'!T144)),IF(SIGN('Raw data'!S144-'Raw data'!T144)=SIGN('Real results'!C144-'Real results'!D144),3+IF(AND('Raw data'!S144='Real results'!C144,'Raw data'!T144='Real results'!D144),2,0),0),0),0)</f>
        <v>0</v>
      </c>
      <c r="U148" s="29">
        <f>IFERROR(IF(AND(ISNUMBER('Real results'!C144),ISNUMBER('Real results'!D144),ISNUMBER('Raw data'!U144),ISNUMBER('Raw data'!V144)),IF(SIGN('Raw data'!U144-'Raw data'!V144)=SIGN('Real results'!C144-'Real results'!D144),3+IF(AND('Raw data'!U144='Real results'!C144,'Raw data'!V144='Real results'!D144),2,0),0),0),0)</f>
        <v>0</v>
      </c>
      <c r="W148" s="29">
        <f>IFERROR(IF(AND(ISNUMBER('Real results'!C144),ISNUMBER('Real results'!D144),ISNUMBER('Raw data'!W144),ISNUMBER('Raw data'!X144)),IF(SIGN('Raw data'!W144-'Raw data'!X144)=SIGN('Real results'!C144-'Real results'!D144),3+IF(AND('Raw data'!W144='Real results'!C144,'Raw data'!X144='Real results'!D144),2,0),0),0),0)</f>
        <v>0</v>
      </c>
      <c r="Y148" s="29">
        <f>IFERROR(IF(AND(ISNUMBER('Real results'!C144),ISNUMBER('Real results'!D144),ISNUMBER('Raw data'!Y144),ISNUMBER('Raw data'!Z144)),IF(SIGN('Raw data'!Y144-'Raw data'!Z144)=SIGN('Real results'!C144-'Real results'!D144),3+IF(AND('Raw data'!Y144='Real results'!C144,'Raw data'!Z144='Real results'!D144),2,0),0),0),0)</f>
        <v>0</v>
      </c>
      <c r="AA148" s="29">
        <f>IFERROR(IF(AND(ISNUMBER('Real results'!C144),ISNUMBER('Real results'!D144),ISNUMBER('Raw data'!AA144),ISNUMBER('Raw data'!AB144)),IF(SIGN('Raw data'!AA144-'Raw data'!AB144)=SIGN('Real results'!C144-'Real results'!D144),3+IF(AND('Raw data'!AA144='Real results'!C144,'Raw data'!AB144='Real results'!D144),2,0),0),0),0)</f>
        <v>0</v>
      </c>
      <c r="AC148" s="29">
        <f>IFERROR(IF(AND(ISNUMBER('Real results'!C144),ISNUMBER('Real results'!D144),ISNUMBER('Raw data'!AC144),ISNUMBER('Raw data'!AD144)),IF(SIGN('Raw data'!AC144-'Raw data'!AD144)=SIGN('Real results'!C144-'Real results'!D144),3+IF(AND('Raw data'!AC144='Real results'!C144,'Raw data'!AD144='Real results'!D144),2,0),0),0),0)</f>
        <v>0</v>
      </c>
      <c r="AE148" s="29">
        <f>IFERROR(IF(AND(ISNUMBER('Real results'!C144),ISNUMBER('Real results'!D144),ISNUMBER('Raw data'!AE144),ISNUMBER('Raw data'!AF144)),IF(SIGN('Raw data'!AE144-'Raw data'!AF144)=SIGN('Real results'!C144-'Real results'!D144),3+IF(AND('Raw data'!AE144='Real results'!C144,'Raw data'!AF144='Real results'!D144),2,0),0),0),0)</f>
        <v>0</v>
      </c>
      <c r="AG148" s="29">
        <f>IFERROR(IF(AND(ISNUMBER('Real results'!C144),ISNUMBER('Real results'!D144),ISNUMBER('Raw data'!AG144),ISNUMBER('Raw data'!AH144)),IF(SIGN('Raw data'!AG144-'Raw data'!AH144)=SIGN('Real results'!C144-'Real results'!D144),3+IF(AND('Raw data'!AG144='Real results'!C144,'Raw data'!AH144='Real results'!D144),2,0),0),0),0)</f>
        <v>0</v>
      </c>
      <c r="AI148" s="29">
        <f>IFERROR(IF(AND(ISNUMBER('Real results'!C144),ISNUMBER('Real results'!D144),ISNUMBER('Raw data'!AI144),ISNUMBER('Raw data'!AJ144)),IF(SIGN('Raw data'!AI144-'Raw data'!AJ144)=SIGN('Real results'!C144-'Real results'!D144),3+IF(AND('Raw data'!AI144='Real results'!C144,'Raw data'!AJ144='Real results'!D144),2,0),0),0),0)</f>
        <v>0</v>
      </c>
      <c r="AK148" s="29">
        <f>IFERROR(IF(AND(ISNUMBER('Real results'!C144),ISNUMBER('Real results'!D144),ISNUMBER('Raw data'!AK144),ISNUMBER('Raw data'!AL144)),IF(SIGN('Raw data'!AK144-'Raw data'!AL144)=SIGN('Real results'!C144-'Real results'!D144),3+IF(AND('Raw data'!AK144='Real results'!C144,'Raw data'!AL144='Real results'!D144),2,0),0),0),0)</f>
        <v>0</v>
      </c>
      <c r="AM148" s="29">
        <f>IFERROR(IF(AND(ISNUMBER('Real results'!C144),ISNUMBER('Real results'!D144),ISNUMBER('Raw data'!AM144),ISNUMBER('Raw data'!AN144)),IF(SIGN('Raw data'!AM144-'Raw data'!AN144)=SIGN('Real results'!C144-'Real results'!D144),3+IF(AND('Raw data'!AM144='Real results'!C144,'Raw data'!AN144='Real results'!D144),2,0),0),0),0)</f>
        <v>0</v>
      </c>
      <c r="AO148" s="29">
        <f>IFERROR(IF(AND(ISNUMBER('Real results'!C144),ISNUMBER('Real results'!D144),ISNUMBER('Raw data'!AO144),ISNUMBER('Raw data'!AP144)),IF(SIGN('Raw data'!AO144-'Raw data'!AP144)=SIGN('Real results'!C144-'Real results'!D144),3+IF(AND('Raw data'!AO144='Real results'!C144,'Raw data'!AP144='Real results'!D144),2,0),0),0),0)</f>
        <v>0</v>
      </c>
      <c r="AQ148" s="29">
        <f>IFERROR(IF(AND(ISNUMBER('Real results'!C144),ISNUMBER('Real results'!D144),ISNUMBER('Raw data'!AQ144),ISNUMBER('Raw data'!AR144)),IF(SIGN('Raw data'!AQ144-'Raw data'!AR144)=SIGN('Real results'!C144-'Real results'!D144),3+IF(AND('Raw data'!AQ144='Real results'!C144,'Raw data'!AR144='Real results'!D144),2,0),0),0),0)</f>
        <v>0</v>
      </c>
      <c r="AS148" s="29">
        <f>IFERROR(IF(AND(ISNUMBER('Real results'!C144),ISNUMBER('Real results'!D144),ISNUMBER('Raw data'!AS144),ISNUMBER('Raw data'!AT144)),IF(SIGN('Raw data'!AS144-'Raw data'!AT144)=SIGN('Real results'!C144-'Real results'!D144),3+IF(AND('Raw data'!AS144='Real results'!C144,'Raw data'!AT144='Real results'!D144),2,0),0),0),0)</f>
        <v>0</v>
      </c>
      <c r="AU148" s="29">
        <f>IFERROR(IF(AND(ISNUMBER('Real results'!C144),ISNUMBER('Real results'!D144),ISNUMBER('Raw data'!AU144),ISNUMBER('Raw data'!AV144)),IF(SIGN('Raw data'!AU144-'Raw data'!AV144)=SIGN('Real results'!C144-'Real results'!D144),3+IF(AND('Raw data'!AU144='Real results'!C144,'Raw data'!AV144='Real results'!D144),2,0),0),0),0)</f>
        <v>0</v>
      </c>
      <c r="AW148" s="29">
        <f>IFERROR(IF(AND(ISNUMBER('Real results'!C144),ISNUMBER('Real results'!D144),ISNUMBER('Raw data'!AW144),ISNUMBER('Raw data'!AX144)),IF(SIGN('Raw data'!AW144-'Raw data'!AX144)=SIGN('Real results'!C144-'Real results'!D144),3+IF(AND('Raw data'!AW144='Real results'!C144,'Raw data'!AX144='Real results'!D144),2,0),0),0),0)</f>
        <v>0</v>
      </c>
      <c r="AY148" s="29">
        <f>IFERROR(IF(AND(ISNUMBER('Real results'!C144),ISNUMBER('Real results'!D144),ISNUMBER('Raw data'!AY144),ISNUMBER('Raw data'!AZ144)),IF(SIGN('Raw data'!AY144-'Raw data'!AZ144)=SIGN('Real results'!C144-'Real results'!D144),3+IF(AND('Raw data'!AY144='Real results'!C144,'Raw data'!AZ144='Real results'!D144),2,0),0),0),0)</f>
        <v>0</v>
      </c>
      <c r="BA148" s="29">
        <f>IFERROR(IF(AND(ISNUMBER('Real results'!C144),ISNUMBER('Real results'!D144),ISNUMBER('Raw data'!BA144),ISNUMBER('Raw data'!BB144)),IF(SIGN('Raw data'!BA144-'Raw data'!BB144)=SIGN('Real results'!C144-'Real results'!D144),3+IF(AND('Raw data'!BA144='Real results'!C144,'Raw data'!BB144='Real results'!D144),2,0),0),0),0)</f>
        <v>0</v>
      </c>
      <c r="BC148" s="29">
        <f>IFERROR(IF(AND(ISNUMBER('Real results'!C144),ISNUMBER('Real results'!D144),ISNUMBER('Raw data'!BC144),ISNUMBER('Raw data'!BD144)),IF(SIGN('Raw data'!BC144-'Raw data'!BD144)=SIGN('Real results'!C144-'Real results'!D144),3+IF(AND('Raw data'!BC144='Real results'!C144,'Raw data'!BD144='Real results'!D144),2,0),0),0),0)</f>
        <v>0</v>
      </c>
      <c r="BE148" s="29">
        <f>IFERROR(IF(AND(ISNUMBER('Real results'!C144),ISNUMBER('Real results'!D144),ISNUMBER('Raw data'!BE144),ISNUMBER('Raw data'!BF144)),IF(SIGN('Raw data'!BE144-'Raw data'!BF144)=SIGN('Real results'!C144-'Real results'!D144),3+IF(AND('Raw data'!BE144='Real results'!C144,'Raw data'!BF144='Real results'!D144),2,0),0),0),0)</f>
        <v>0</v>
      </c>
      <c r="BG148" s="29">
        <f>IFERROR(IF(AND(ISNUMBER('Real results'!C144),ISNUMBER('Real results'!D144),ISNUMBER('Raw data'!BG144),ISNUMBER('Raw data'!BH144)),IF(SIGN('Raw data'!BG144-'Raw data'!BH144)=SIGN('Real results'!C144-'Real results'!D144),3+IF(AND('Raw data'!BG144='Real results'!C144,'Raw data'!BH144='Real results'!D144),2,0),0),0),0)</f>
        <v>0</v>
      </c>
      <c r="BI148" s="29">
        <f>IFERROR(IF(AND(ISNUMBER('Real results'!C144),ISNUMBER('Real results'!D144),ISNUMBER('Raw data'!BI144),ISNUMBER('Raw data'!BJ144)),IF(SIGN('Raw data'!BI144-'Raw data'!BJ144)=SIGN('Real results'!C144-'Real results'!D144),3+IF(AND('Raw data'!BI144='Real results'!C144,'Raw data'!BJ144='Real results'!D144),2,0),0),0),0)</f>
        <v>0</v>
      </c>
    </row>
    <row r="149" ht="18.0" customHeight="1">
      <c r="A149" s="1"/>
      <c r="B149" s="13" t="s">
        <v>430</v>
      </c>
      <c r="C149" s="29">
        <f>IFERROR(IF(AND('Real results'!C145&lt;&gt;"",'Raw data'!C145&lt;&gt;"",UPPER(TRIM('Real results'!C145))=UPPER(TRIM('Raw data'!C145))),1,0),0)</f>
        <v>0</v>
      </c>
      <c r="E149" s="29">
        <f>IFERROR(IF(AND('Real results'!C145&lt;&gt;"",'Raw data'!E145&lt;&gt;"",UPPER(TRIM('Real results'!C145))=UPPER(TRIM('Raw data'!E145))),1,0),0)</f>
        <v>0</v>
      </c>
      <c r="G149" s="29">
        <f>IFERROR(IF(AND('Real results'!C145&lt;&gt;"",'Raw data'!G145&lt;&gt;"",UPPER(TRIM('Real results'!C145))=UPPER(TRIM('Raw data'!G145))),1,0),0)</f>
        <v>0</v>
      </c>
      <c r="I149" s="29">
        <f>IFERROR(IF(AND('Real results'!C145&lt;&gt;"",'Raw data'!I145&lt;&gt;"",UPPER(TRIM('Real results'!C145))=UPPER(TRIM('Raw data'!I145))),1,0),0)</f>
        <v>0</v>
      </c>
      <c r="K149" s="29">
        <f>IFERROR(IF(AND('Real results'!C145&lt;&gt;"",'Raw data'!K145&lt;&gt;"",UPPER(TRIM('Real results'!C145))=UPPER(TRIM('Raw data'!K145))),1,0),0)</f>
        <v>0</v>
      </c>
      <c r="M149" s="29">
        <f>IFERROR(IF(AND('Real results'!C145&lt;&gt;"",'Raw data'!M145&lt;&gt;"",UPPER(TRIM('Real results'!C145))=UPPER(TRIM('Raw data'!M145))),1,0),0)</f>
        <v>0</v>
      </c>
      <c r="O149" s="29">
        <f>IFERROR(IF(AND('Real results'!C145&lt;&gt;"",'Raw data'!O145&lt;&gt;"",UPPER(TRIM('Real results'!C145))=UPPER(TRIM('Raw data'!O145))),1,0),0)</f>
        <v>0</v>
      </c>
      <c r="Q149" s="29">
        <f>IFERROR(IF(AND('Real results'!C145&lt;&gt;"",'Raw data'!Q145&lt;&gt;"",UPPER(TRIM('Real results'!C145))=UPPER(TRIM('Raw data'!Q145))),1,0),0)</f>
        <v>0</v>
      </c>
      <c r="S149" s="29">
        <f>IFERROR(IF(AND('Real results'!C145&lt;&gt;"",'Raw data'!S145&lt;&gt;"",UPPER(TRIM('Real results'!C145))=UPPER(TRIM('Raw data'!S145))),1,0),0)</f>
        <v>0</v>
      </c>
      <c r="U149" s="29">
        <f>IFERROR(IF(AND('Real results'!C145&lt;&gt;"",'Raw data'!U145&lt;&gt;"",UPPER(TRIM('Real results'!C145))=UPPER(TRIM('Raw data'!U145))),1,0),0)</f>
        <v>0</v>
      </c>
      <c r="W149" s="29">
        <f>IFERROR(IF(AND('Real results'!C145&lt;&gt;"",'Raw data'!W145&lt;&gt;"",UPPER(TRIM('Real results'!C145))=UPPER(TRIM('Raw data'!W145))),1,0),0)</f>
        <v>0</v>
      </c>
      <c r="Y149" s="29">
        <f>IFERROR(IF(AND('Real results'!C145&lt;&gt;"",'Raw data'!Y145&lt;&gt;"",UPPER(TRIM('Real results'!C145))=UPPER(TRIM('Raw data'!Y145))),1,0),0)</f>
        <v>0</v>
      </c>
      <c r="AA149" s="29">
        <f>IFERROR(IF(AND('Real results'!C145&lt;&gt;"",'Raw data'!AA145&lt;&gt;"",UPPER(TRIM('Real results'!C145))=UPPER(TRIM('Raw data'!AA145))),1,0),0)</f>
        <v>0</v>
      </c>
      <c r="AC149" s="29">
        <f>IFERROR(IF(AND('Real results'!C145&lt;&gt;"",'Raw data'!AC145&lt;&gt;"",UPPER(TRIM('Real results'!C145))=UPPER(TRIM('Raw data'!AC145))),1,0),0)</f>
        <v>0</v>
      </c>
      <c r="AE149" s="29">
        <f>IFERROR(IF(AND('Real results'!C145&lt;&gt;"",'Raw data'!AE145&lt;&gt;"",UPPER(TRIM('Real results'!C145))=UPPER(TRIM('Raw data'!AE145))),1,0),0)</f>
        <v>0</v>
      </c>
      <c r="AG149" s="29">
        <f>IFERROR(IF(AND('Real results'!C145&lt;&gt;"",'Raw data'!AG145&lt;&gt;"",UPPER(TRIM('Real results'!C145))=UPPER(TRIM('Raw data'!AG145))),1,0),0)</f>
        <v>0</v>
      </c>
      <c r="AI149" s="29">
        <f>IFERROR(IF(AND('Real results'!C145&lt;&gt;"",'Raw data'!AI145&lt;&gt;"",UPPER(TRIM('Real results'!C145))=UPPER(TRIM('Raw data'!AI145))),1,0),0)</f>
        <v>0</v>
      </c>
      <c r="AK149" s="29">
        <f>IFERROR(IF(AND('Real results'!C145&lt;&gt;"",'Raw data'!AK145&lt;&gt;"",UPPER(TRIM('Real results'!C145))=UPPER(TRIM('Raw data'!AK145))),1,0),0)</f>
        <v>0</v>
      </c>
      <c r="AM149" s="29">
        <f>IFERROR(IF(AND('Real results'!C145&lt;&gt;"",'Raw data'!AM145&lt;&gt;"",UPPER(TRIM('Real results'!C145))=UPPER(TRIM('Raw data'!AM145))),1,0),0)</f>
        <v>0</v>
      </c>
      <c r="AO149" s="29">
        <f>IFERROR(IF(AND('Real results'!C145&lt;&gt;"",'Raw data'!AO145&lt;&gt;"",UPPER(TRIM('Real results'!C145))=UPPER(TRIM('Raw data'!AO145))),1,0),0)</f>
        <v>0</v>
      </c>
      <c r="AQ149" s="29">
        <f>IFERROR(IF(AND('Real results'!C145&lt;&gt;"",'Raw data'!AQ145&lt;&gt;"",UPPER(TRIM('Real results'!C145))=UPPER(TRIM('Raw data'!AQ145))),1,0),0)</f>
        <v>0</v>
      </c>
      <c r="AS149" s="29">
        <f>IFERROR(IF(AND('Real results'!C145&lt;&gt;"",'Raw data'!AS145&lt;&gt;"",UPPER(TRIM('Real results'!C145))=UPPER(TRIM('Raw data'!AS145))),1,0),0)</f>
        <v>0</v>
      </c>
      <c r="AU149" s="29">
        <f>IFERROR(IF(AND('Real results'!C145&lt;&gt;"",'Raw data'!AU145&lt;&gt;"",UPPER(TRIM('Real results'!C145))=UPPER(TRIM('Raw data'!AU145))),1,0),0)</f>
        <v>0</v>
      </c>
      <c r="AW149" s="29">
        <f>IFERROR(IF(AND('Real results'!C145&lt;&gt;"",'Raw data'!AW145&lt;&gt;"",UPPER(TRIM('Real results'!C145))=UPPER(TRIM('Raw data'!AW145))),1,0),0)</f>
        <v>0</v>
      </c>
      <c r="AY149" s="29">
        <f>IFERROR(IF(AND('Real results'!C145&lt;&gt;"",'Raw data'!AY145&lt;&gt;"",UPPER(TRIM('Real results'!C145))=UPPER(TRIM('Raw data'!AY145))),1,0),0)</f>
        <v>0</v>
      </c>
      <c r="BA149" s="29">
        <f>IFERROR(IF(AND('Real results'!C145&lt;&gt;"",'Raw data'!BA145&lt;&gt;"",UPPER(TRIM('Real results'!C145))=UPPER(TRIM('Raw data'!BA145))),1,0),0)</f>
        <v>0</v>
      </c>
      <c r="BC149" s="29">
        <f>IFERROR(IF(AND('Real results'!C145&lt;&gt;"",'Raw data'!BC145&lt;&gt;"",UPPER(TRIM('Real results'!C145))=UPPER(TRIM('Raw data'!BC145))),1,0),0)</f>
        <v>0</v>
      </c>
      <c r="BE149" s="29">
        <f>IFERROR(IF(AND('Real results'!C145&lt;&gt;"",'Raw data'!BE145&lt;&gt;"",UPPER(TRIM('Real results'!C145))=UPPER(TRIM('Raw data'!BE145))),1,0),0)</f>
        <v>0</v>
      </c>
      <c r="BG149" s="29">
        <f>IFERROR(IF(AND('Real results'!C145&lt;&gt;"",'Raw data'!BG145&lt;&gt;"",UPPER(TRIM('Real results'!C145))=UPPER(TRIM('Raw data'!BG145))),1,0),0)</f>
        <v>0</v>
      </c>
      <c r="BI149" s="29">
        <f>IFERROR(IF(AND('Real results'!C145&lt;&gt;"",'Raw data'!BI145&lt;&gt;"",UPPER(TRIM('Real results'!C145))=UPPER(TRIM('Raw data'!BI145))),1,0),0)</f>
        <v>0</v>
      </c>
    </row>
    <row r="150" ht="18.0" customHeight="1">
      <c r="A150" s="1"/>
      <c r="B150" s="13" t="s">
        <v>431</v>
      </c>
      <c r="C150" s="29">
        <f>IFERROR(IF(AND('Real results'!C146&lt;&gt;"",'Raw data'!C146&lt;&gt;"",UPPER(TRIM('Real results'!C146))=UPPER(TRIM('Raw data'!C146))),1,0),0)</f>
        <v>0</v>
      </c>
      <c r="E150" s="29">
        <f>IFERROR(IF(AND('Real results'!C146&lt;&gt;"",'Raw data'!E146&lt;&gt;"",UPPER(TRIM('Real results'!C146))=UPPER(TRIM('Raw data'!E146))),1,0),0)</f>
        <v>0</v>
      </c>
      <c r="G150" s="29">
        <f>IFERROR(IF(AND('Real results'!C146&lt;&gt;"",'Raw data'!G146&lt;&gt;"",UPPER(TRIM('Real results'!C146))=UPPER(TRIM('Raw data'!G146))),1,0),0)</f>
        <v>0</v>
      </c>
      <c r="I150" s="29">
        <f>IFERROR(IF(AND('Real results'!C146&lt;&gt;"",'Raw data'!I146&lt;&gt;"",UPPER(TRIM('Real results'!C146))=UPPER(TRIM('Raw data'!I146))),1,0),0)</f>
        <v>0</v>
      </c>
      <c r="K150" s="29">
        <f>IFERROR(IF(AND('Real results'!C146&lt;&gt;"",'Raw data'!K146&lt;&gt;"",UPPER(TRIM('Real results'!C146))=UPPER(TRIM('Raw data'!K146))),1,0),0)</f>
        <v>0</v>
      </c>
      <c r="M150" s="29">
        <f>IFERROR(IF(AND('Real results'!C146&lt;&gt;"",'Raw data'!M146&lt;&gt;"",UPPER(TRIM('Real results'!C146))=UPPER(TRIM('Raw data'!M146))),1,0),0)</f>
        <v>0</v>
      </c>
      <c r="O150" s="29">
        <f>IFERROR(IF(AND('Real results'!C146&lt;&gt;"",'Raw data'!O146&lt;&gt;"",UPPER(TRIM('Real results'!C146))=UPPER(TRIM('Raw data'!O146))),1,0),0)</f>
        <v>0</v>
      </c>
      <c r="Q150" s="29">
        <f>IFERROR(IF(AND('Real results'!C146&lt;&gt;"",'Raw data'!Q146&lt;&gt;"",UPPER(TRIM('Real results'!C146))=UPPER(TRIM('Raw data'!Q146))),1,0),0)</f>
        <v>0</v>
      </c>
      <c r="S150" s="29">
        <f>IFERROR(IF(AND('Real results'!C146&lt;&gt;"",'Raw data'!S146&lt;&gt;"",UPPER(TRIM('Real results'!C146))=UPPER(TRIM('Raw data'!S146))),1,0),0)</f>
        <v>0</v>
      </c>
      <c r="U150" s="29">
        <f>IFERROR(IF(AND('Real results'!C146&lt;&gt;"",'Raw data'!U146&lt;&gt;"",UPPER(TRIM('Real results'!C146))=UPPER(TRIM('Raw data'!U146))),1,0),0)</f>
        <v>0</v>
      </c>
      <c r="W150" s="29">
        <f>IFERROR(IF(AND('Real results'!C146&lt;&gt;"",'Raw data'!W146&lt;&gt;"",UPPER(TRIM('Real results'!C146))=UPPER(TRIM('Raw data'!W146))),1,0),0)</f>
        <v>0</v>
      </c>
      <c r="Y150" s="29">
        <f>IFERROR(IF(AND('Real results'!C146&lt;&gt;"",'Raw data'!Y146&lt;&gt;"",UPPER(TRIM('Real results'!C146))=UPPER(TRIM('Raw data'!Y146))),1,0),0)</f>
        <v>0</v>
      </c>
      <c r="AA150" s="29">
        <f>IFERROR(IF(AND('Real results'!C146&lt;&gt;"",'Raw data'!AA146&lt;&gt;"",UPPER(TRIM('Real results'!C146))=UPPER(TRIM('Raw data'!AA146))),1,0),0)</f>
        <v>0</v>
      </c>
      <c r="AC150" s="29">
        <f>IFERROR(IF(AND('Real results'!C146&lt;&gt;"",'Raw data'!AC146&lt;&gt;"",UPPER(TRIM('Real results'!C146))=UPPER(TRIM('Raw data'!AC146))),1,0),0)</f>
        <v>0</v>
      </c>
      <c r="AE150" s="29">
        <f>IFERROR(IF(AND('Real results'!C146&lt;&gt;"",'Raw data'!AE146&lt;&gt;"",UPPER(TRIM('Real results'!C146))=UPPER(TRIM('Raw data'!AE146))),1,0),0)</f>
        <v>0</v>
      </c>
      <c r="AG150" s="29">
        <f>IFERROR(IF(AND('Real results'!C146&lt;&gt;"",'Raw data'!AG146&lt;&gt;"",UPPER(TRIM('Real results'!C146))=UPPER(TRIM('Raw data'!AG146))),1,0),0)</f>
        <v>0</v>
      </c>
      <c r="AI150" s="29">
        <f>IFERROR(IF(AND('Real results'!C146&lt;&gt;"",'Raw data'!AI146&lt;&gt;"",UPPER(TRIM('Real results'!C146))=UPPER(TRIM('Raw data'!AI146))),1,0),0)</f>
        <v>0</v>
      </c>
      <c r="AK150" s="29">
        <f>IFERROR(IF(AND('Real results'!C146&lt;&gt;"",'Raw data'!AK146&lt;&gt;"",UPPER(TRIM('Real results'!C146))=UPPER(TRIM('Raw data'!AK146))),1,0),0)</f>
        <v>0</v>
      </c>
      <c r="AM150" s="29">
        <f>IFERROR(IF(AND('Real results'!C146&lt;&gt;"",'Raw data'!AM146&lt;&gt;"",UPPER(TRIM('Real results'!C146))=UPPER(TRIM('Raw data'!AM146))),1,0),0)</f>
        <v>0</v>
      </c>
      <c r="AO150" s="29">
        <f>IFERROR(IF(AND('Real results'!C146&lt;&gt;"",'Raw data'!AO146&lt;&gt;"",UPPER(TRIM('Real results'!C146))=UPPER(TRIM('Raw data'!AO146))),1,0),0)</f>
        <v>0</v>
      </c>
      <c r="AQ150" s="29">
        <f>IFERROR(IF(AND('Real results'!C146&lt;&gt;"",'Raw data'!AQ146&lt;&gt;"",UPPER(TRIM('Real results'!C146))=UPPER(TRIM('Raw data'!AQ146))),1,0),0)</f>
        <v>0</v>
      </c>
      <c r="AS150" s="29">
        <f>IFERROR(IF(AND('Real results'!C146&lt;&gt;"",'Raw data'!AS146&lt;&gt;"",UPPER(TRIM('Real results'!C146))=UPPER(TRIM('Raw data'!AS146))),1,0),0)</f>
        <v>0</v>
      </c>
      <c r="AU150" s="29">
        <f>IFERROR(IF(AND('Real results'!C146&lt;&gt;"",'Raw data'!AU146&lt;&gt;"",UPPER(TRIM('Real results'!C146))=UPPER(TRIM('Raw data'!AU146))),1,0),0)</f>
        <v>0</v>
      </c>
      <c r="AW150" s="29">
        <f>IFERROR(IF(AND('Real results'!C146&lt;&gt;"",'Raw data'!AW146&lt;&gt;"",UPPER(TRIM('Real results'!C146))=UPPER(TRIM('Raw data'!AW146))),1,0),0)</f>
        <v>0</v>
      </c>
      <c r="AY150" s="29">
        <f>IFERROR(IF(AND('Real results'!C146&lt;&gt;"",'Raw data'!AY146&lt;&gt;"",UPPER(TRIM('Real results'!C146))=UPPER(TRIM('Raw data'!AY146))),1,0),0)</f>
        <v>0</v>
      </c>
      <c r="BA150" s="29">
        <f>IFERROR(IF(AND('Real results'!C146&lt;&gt;"",'Raw data'!BA146&lt;&gt;"",UPPER(TRIM('Real results'!C146))=UPPER(TRIM('Raw data'!BA146))),1,0),0)</f>
        <v>0</v>
      </c>
      <c r="BC150" s="29">
        <f>IFERROR(IF(AND('Real results'!C146&lt;&gt;"",'Raw data'!BC146&lt;&gt;"",UPPER(TRIM('Real results'!C146))=UPPER(TRIM('Raw data'!BC146))),1,0),0)</f>
        <v>0</v>
      </c>
      <c r="BE150" s="29">
        <f>IFERROR(IF(AND('Real results'!C146&lt;&gt;"",'Raw data'!BE146&lt;&gt;"",UPPER(TRIM('Real results'!C146))=UPPER(TRIM('Raw data'!BE146))),1,0),0)</f>
        <v>0</v>
      </c>
      <c r="BG150" s="29">
        <f>IFERROR(IF(AND('Real results'!C146&lt;&gt;"",'Raw data'!BG146&lt;&gt;"",UPPER(TRIM('Real results'!C146))=UPPER(TRIM('Raw data'!BG146))),1,0),0)</f>
        <v>0</v>
      </c>
      <c r="BI150" s="29">
        <f>IFERROR(IF(AND('Real results'!C146&lt;&gt;"",'Raw data'!BI146&lt;&gt;"",UPPER(TRIM('Real results'!C146))=UPPER(TRIM('Raw data'!BI146))),1,0),0)</f>
        <v>0</v>
      </c>
    </row>
    <row r="151" ht="18.0" customHeight="1">
      <c r="A151" s="1"/>
      <c r="B151" s="13" t="s">
        <v>432</v>
      </c>
      <c r="C151" s="29">
        <f>IFERROR(IF(AND(ISNUMBER('Real results'!C147),ISNUMBER('Real results'!D147),ISNUMBER('Raw data'!C147),ISNUMBER('Raw data'!D147)),IF(SIGN('Raw data'!C147-'Raw data'!D147)=SIGN('Real results'!C147-'Real results'!D147),3+IF(AND('Raw data'!C147='Real results'!C147,'Raw data'!D147='Real results'!D147),2,0),0),0),0)</f>
        <v>0</v>
      </c>
      <c r="E151" s="29">
        <f>IFERROR(IF(AND(ISNUMBER('Real results'!C147),ISNUMBER('Real results'!D147),ISNUMBER('Raw data'!E147),ISNUMBER('Raw data'!F147)),IF(SIGN('Raw data'!E147-'Raw data'!F147)=SIGN('Real results'!C147-'Real results'!D147),3+IF(AND('Raw data'!E147='Real results'!C147,'Raw data'!F147='Real results'!D147),2,0),0),0),0)</f>
        <v>0</v>
      </c>
      <c r="G151" s="29">
        <f>IFERROR(IF(AND(ISNUMBER('Real results'!C147),ISNUMBER('Real results'!D147),ISNUMBER('Raw data'!G147),ISNUMBER('Raw data'!H147)),IF(SIGN('Raw data'!G147-'Raw data'!H147)=SIGN('Real results'!C147-'Real results'!D147),3+IF(AND('Raw data'!G147='Real results'!C147,'Raw data'!H147='Real results'!D147),2,0),0),0),0)</f>
        <v>0</v>
      </c>
      <c r="I151" s="29">
        <f>IFERROR(IF(AND(ISNUMBER('Real results'!C147),ISNUMBER('Real results'!D147),ISNUMBER('Raw data'!I147),ISNUMBER('Raw data'!J147)),IF(SIGN('Raw data'!I147-'Raw data'!J147)=SIGN('Real results'!C147-'Real results'!D147),3+IF(AND('Raw data'!I147='Real results'!C147,'Raw data'!J147='Real results'!D147),2,0),0),0),0)</f>
        <v>0</v>
      </c>
      <c r="K151" s="29">
        <f>IFERROR(IF(AND(ISNUMBER('Real results'!C147),ISNUMBER('Real results'!D147),ISNUMBER('Raw data'!K147),ISNUMBER('Raw data'!L147)),IF(SIGN('Raw data'!K147-'Raw data'!L147)=SIGN('Real results'!C147-'Real results'!D147),3+IF(AND('Raw data'!K147='Real results'!C147,'Raw data'!L147='Real results'!D147),2,0),0),0),0)</f>
        <v>0</v>
      </c>
      <c r="M151" s="29">
        <f>IFERROR(IF(AND(ISNUMBER('Real results'!C147),ISNUMBER('Real results'!D147),ISNUMBER('Raw data'!M147),ISNUMBER('Raw data'!N147)),IF(SIGN('Raw data'!M147-'Raw data'!N147)=SIGN('Real results'!C147-'Real results'!D147),3+IF(AND('Raw data'!M147='Real results'!C147,'Raw data'!N147='Real results'!D147),2,0),0),0),0)</f>
        <v>0</v>
      </c>
      <c r="O151" s="29">
        <f>IFERROR(IF(AND(ISNUMBER('Real results'!C147),ISNUMBER('Real results'!D147),ISNUMBER('Raw data'!O147),ISNUMBER('Raw data'!P147)),IF(SIGN('Raw data'!O147-'Raw data'!P147)=SIGN('Real results'!C147-'Real results'!D147),3+IF(AND('Raw data'!O147='Real results'!C147,'Raw data'!P147='Real results'!D147),2,0),0),0),0)</f>
        <v>0</v>
      </c>
      <c r="Q151" s="29">
        <f>IFERROR(IF(AND(ISNUMBER('Real results'!C147),ISNUMBER('Real results'!D147),ISNUMBER('Raw data'!Q147),ISNUMBER('Raw data'!R147)),IF(SIGN('Raw data'!Q147-'Raw data'!R147)=SIGN('Real results'!C147-'Real results'!D147),3+IF(AND('Raw data'!Q147='Real results'!C147,'Raw data'!R147='Real results'!D147),2,0),0),0),0)</f>
        <v>0</v>
      </c>
      <c r="S151" s="29">
        <f>IFERROR(IF(AND(ISNUMBER('Real results'!C147),ISNUMBER('Real results'!D147),ISNUMBER('Raw data'!S147),ISNUMBER('Raw data'!T147)),IF(SIGN('Raw data'!S147-'Raw data'!T147)=SIGN('Real results'!C147-'Real results'!D147),3+IF(AND('Raw data'!S147='Real results'!C147,'Raw data'!T147='Real results'!D147),2,0),0),0),0)</f>
        <v>0</v>
      </c>
      <c r="U151" s="29">
        <f>IFERROR(IF(AND(ISNUMBER('Real results'!C147),ISNUMBER('Real results'!D147),ISNUMBER('Raw data'!U147),ISNUMBER('Raw data'!V147)),IF(SIGN('Raw data'!U147-'Raw data'!V147)=SIGN('Real results'!C147-'Real results'!D147),3+IF(AND('Raw data'!U147='Real results'!C147,'Raw data'!V147='Real results'!D147),2,0),0),0),0)</f>
        <v>0</v>
      </c>
      <c r="W151" s="29">
        <f>IFERROR(IF(AND(ISNUMBER('Real results'!C147),ISNUMBER('Real results'!D147),ISNUMBER('Raw data'!W147),ISNUMBER('Raw data'!X147)),IF(SIGN('Raw data'!W147-'Raw data'!X147)=SIGN('Real results'!C147-'Real results'!D147),3+IF(AND('Raw data'!W147='Real results'!C147,'Raw data'!X147='Real results'!D147),2,0),0),0),0)</f>
        <v>0</v>
      </c>
      <c r="Y151" s="29">
        <f>IFERROR(IF(AND(ISNUMBER('Real results'!C147),ISNUMBER('Real results'!D147),ISNUMBER('Raw data'!Y147),ISNUMBER('Raw data'!Z147)),IF(SIGN('Raw data'!Y147-'Raw data'!Z147)=SIGN('Real results'!C147-'Real results'!D147),3+IF(AND('Raw data'!Y147='Real results'!C147,'Raw data'!Z147='Real results'!D147),2,0),0),0),0)</f>
        <v>0</v>
      </c>
      <c r="AA151" s="29">
        <f>IFERROR(IF(AND(ISNUMBER('Real results'!C147),ISNUMBER('Real results'!D147),ISNUMBER('Raw data'!AA147),ISNUMBER('Raw data'!AB147)),IF(SIGN('Raw data'!AA147-'Raw data'!AB147)=SIGN('Real results'!C147-'Real results'!D147),3+IF(AND('Raw data'!AA147='Real results'!C147,'Raw data'!AB147='Real results'!D147),2,0),0),0),0)</f>
        <v>0</v>
      </c>
      <c r="AC151" s="29">
        <f>IFERROR(IF(AND(ISNUMBER('Real results'!C147),ISNUMBER('Real results'!D147),ISNUMBER('Raw data'!AC147),ISNUMBER('Raw data'!AD147)),IF(SIGN('Raw data'!AC147-'Raw data'!AD147)=SIGN('Real results'!C147-'Real results'!D147),3+IF(AND('Raw data'!AC147='Real results'!C147,'Raw data'!AD147='Real results'!D147),2,0),0),0),0)</f>
        <v>0</v>
      </c>
      <c r="AE151" s="29">
        <f>IFERROR(IF(AND(ISNUMBER('Real results'!C147),ISNUMBER('Real results'!D147),ISNUMBER('Raw data'!AE147),ISNUMBER('Raw data'!AF147)),IF(SIGN('Raw data'!AE147-'Raw data'!AF147)=SIGN('Real results'!C147-'Real results'!D147),3+IF(AND('Raw data'!AE147='Real results'!C147,'Raw data'!AF147='Real results'!D147),2,0),0),0),0)</f>
        <v>0</v>
      </c>
      <c r="AG151" s="29">
        <f>IFERROR(IF(AND(ISNUMBER('Real results'!C147),ISNUMBER('Real results'!D147),ISNUMBER('Raw data'!AG147),ISNUMBER('Raw data'!AH147)),IF(SIGN('Raw data'!AG147-'Raw data'!AH147)=SIGN('Real results'!C147-'Real results'!D147),3+IF(AND('Raw data'!AG147='Real results'!C147,'Raw data'!AH147='Real results'!D147),2,0),0),0),0)</f>
        <v>0</v>
      </c>
      <c r="AI151" s="29">
        <f>IFERROR(IF(AND(ISNUMBER('Real results'!C147),ISNUMBER('Real results'!D147),ISNUMBER('Raw data'!AI147),ISNUMBER('Raw data'!AJ147)),IF(SIGN('Raw data'!AI147-'Raw data'!AJ147)=SIGN('Real results'!C147-'Real results'!D147),3+IF(AND('Raw data'!AI147='Real results'!C147,'Raw data'!AJ147='Real results'!D147),2,0),0),0),0)</f>
        <v>0</v>
      </c>
      <c r="AK151" s="29">
        <f>IFERROR(IF(AND(ISNUMBER('Real results'!C147),ISNUMBER('Real results'!D147),ISNUMBER('Raw data'!AK147),ISNUMBER('Raw data'!AL147)),IF(SIGN('Raw data'!AK147-'Raw data'!AL147)=SIGN('Real results'!C147-'Real results'!D147),3+IF(AND('Raw data'!AK147='Real results'!C147,'Raw data'!AL147='Real results'!D147),2,0),0),0),0)</f>
        <v>0</v>
      </c>
      <c r="AM151" s="29">
        <f>IFERROR(IF(AND(ISNUMBER('Real results'!C147),ISNUMBER('Real results'!D147),ISNUMBER('Raw data'!AM147),ISNUMBER('Raw data'!AN147)),IF(SIGN('Raw data'!AM147-'Raw data'!AN147)=SIGN('Real results'!C147-'Real results'!D147),3+IF(AND('Raw data'!AM147='Real results'!C147,'Raw data'!AN147='Real results'!D147),2,0),0),0),0)</f>
        <v>0</v>
      </c>
      <c r="AO151" s="29">
        <f>IFERROR(IF(AND(ISNUMBER('Real results'!C147),ISNUMBER('Real results'!D147),ISNUMBER('Raw data'!AO147),ISNUMBER('Raw data'!AP147)),IF(SIGN('Raw data'!AO147-'Raw data'!AP147)=SIGN('Real results'!C147-'Real results'!D147),3+IF(AND('Raw data'!AO147='Real results'!C147,'Raw data'!AP147='Real results'!D147),2,0),0),0),0)</f>
        <v>0</v>
      </c>
      <c r="AQ151" s="29">
        <f>IFERROR(IF(AND(ISNUMBER('Real results'!C147),ISNUMBER('Real results'!D147),ISNUMBER('Raw data'!AQ147),ISNUMBER('Raw data'!AR147)),IF(SIGN('Raw data'!AQ147-'Raw data'!AR147)=SIGN('Real results'!C147-'Real results'!D147),3+IF(AND('Raw data'!AQ147='Real results'!C147,'Raw data'!AR147='Real results'!D147),2,0),0),0),0)</f>
        <v>0</v>
      </c>
      <c r="AS151" s="29">
        <f>IFERROR(IF(AND(ISNUMBER('Real results'!C147),ISNUMBER('Real results'!D147),ISNUMBER('Raw data'!AS147),ISNUMBER('Raw data'!AT147)),IF(SIGN('Raw data'!AS147-'Raw data'!AT147)=SIGN('Real results'!C147-'Real results'!D147),3+IF(AND('Raw data'!AS147='Real results'!C147,'Raw data'!AT147='Real results'!D147),2,0),0),0),0)</f>
        <v>0</v>
      </c>
      <c r="AU151" s="29">
        <f>IFERROR(IF(AND(ISNUMBER('Real results'!C147),ISNUMBER('Real results'!D147),ISNUMBER('Raw data'!AU147),ISNUMBER('Raw data'!AV147)),IF(SIGN('Raw data'!AU147-'Raw data'!AV147)=SIGN('Real results'!C147-'Real results'!D147),3+IF(AND('Raw data'!AU147='Real results'!C147,'Raw data'!AV147='Real results'!D147),2,0),0),0),0)</f>
        <v>0</v>
      </c>
      <c r="AW151" s="29">
        <f>IFERROR(IF(AND(ISNUMBER('Real results'!C147),ISNUMBER('Real results'!D147),ISNUMBER('Raw data'!AW147),ISNUMBER('Raw data'!AX147)),IF(SIGN('Raw data'!AW147-'Raw data'!AX147)=SIGN('Real results'!C147-'Real results'!D147),3+IF(AND('Raw data'!AW147='Real results'!C147,'Raw data'!AX147='Real results'!D147),2,0),0),0),0)</f>
        <v>0</v>
      </c>
      <c r="AY151" s="29">
        <f>IFERROR(IF(AND(ISNUMBER('Real results'!C147),ISNUMBER('Real results'!D147),ISNUMBER('Raw data'!AY147),ISNUMBER('Raw data'!AZ147)),IF(SIGN('Raw data'!AY147-'Raw data'!AZ147)=SIGN('Real results'!C147-'Real results'!D147),3+IF(AND('Raw data'!AY147='Real results'!C147,'Raw data'!AZ147='Real results'!D147),2,0),0),0),0)</f>
        <v>0</v>
      </c>
      <c r="BA151" s="29">
        <f>IFERROR(IF(AND(ISNUMBER('Real results'!C147),ISNUMBER('Real results'!D147),ISNUMBER('Raw data'!BA147),ISNUMBER('Raw data'!BB147)),IF(SIGN('Raw data'!BA147-'Raw data'!BB147)=SIGN('Real results'!C147-'Real results'!D147),3+IF(AND('Raw data'!BA147='Real results'!C147,'Raw data'!BB147='Real results'!D147),2,0),0),0),0)</f>
        <v>0</v>
      </c>
      <c r="BC151" s="29">
        <f>IFERROR(IF(AND(ISNUMBER('Real results'!C147),ISNUMBER('Real results'!D147),ISNUMBER('Raw data'!BC147),ISNUMBER('Raw data'!BD147)),IF(SIGN('Raw data'!BC147-'Raw data'!BD147)=SIGN('Real results'!C147-'Real results'!D147),3+IF(AND('Raw data'!BC147='Real results'!C147,'Raw data'!BD147='Real results'!D147),2,0),0),0),0)</f>
        <v>0</v>
      </c>
      <c r="BE151" s="29">
        <f>IFERROR(IF(AND(ISNUMBER('Real results'!C147),ISNUMBER('Real results'!D147),ISNUMBER('Raw data'!BE147),ISNUMBER('Raw data'!BF147)),IF(SIGN('Raw data'!BE147-'Raw data'!BF147)=SIGN('Real results'!C147-'Real results'!D147),3+IF(AND('Raw data'!BE147='Real results'!C147,'Raw data'!BF147='Real results'!D147),2,0),0),0),0)</f>
        <v>0</v>
      </c>
      <c r="BG151" s="29">
        <f>IFERROR(IF(AND(ISNUMBER('Real results'!C147),ISNUMBER('Real results'!D147),ISNUMBER('Raw data'!BG147),ISNUMBER('Raw data'!BH147)),IF(SIGN('Raw data'!BG147-'Raw data'!BH147)=SIGN('Real results'!C147-'Real results'!D147),3+IF(AND('Raw data'!BG147='Real results'!C147,'Raw data'!BH147='Real results'!D147),2,0),0),0),0)</f>
        <v>0</v>
      </c>
      <c r="BI151" s="29">
        <f>IFERROR(IF(AND(ISNUMBER('Real results'!C147),ISNUMBER('Real results'!D147),ISNUMBER('Raw data'!BI147),ISNUMBER('Raw data'!BJ147)),IF(SIGN('Raw data'!BI147-'Raw data'!BJ147)=SIGN('Real results'!C147-'Real results'!D147),3+IF(AND('Raw data'!BI147='Real results'!C147,'Raw data'!BJ147='Real results'!D147),2,0),0),0),0)</f>
        <v>0</v>
      </c>
    </row>
    <row r="152" ht="18.0" customHeight="1">
      <c r="A152" s="1"/>
      <c r="B152" s="13" t="s">
        <v>433</v>
      </c>
      <c r="C152" s="29">
        <f>IFERROR(IF(AND('Real results'!C148&lt;&gt;"",'Raw data'!C148&lt;&gt;"",UPPER(TRIM('Real results'!C148))=UPPER(TRIM('Raw data'!C148))),1,0),0)</f>
        <v>0</v>
      </c>
      <c r="E152" s="29">
        <f>IFERROR(IF(AND('Real results'!C148&lt;&gt;"",'Raw data'!E148&lt;&gt;"",UPPER(TRIM('Real results'!C148))=UPPER(TRIM('Raw data'!E148))),1,0),0)</f>
        <v>0</v>
      </c>
      <c r="G152" s="29">
        <f>IFERROR(IF(AND('Real results'!C148&lt;&gt;"",'Raw data'!G148&lt;&gt;"",UPPER(TRIM('Real results'!C148))=UPPER(TRIM('Raw data'!G148))),1,0),0)</f>
        <v>0</v>
      </c>
      <c r="I152" s="29">
        <f>IFERROR(IF(AND('Real results'!C148&lt;&gt;"",'Raw data'!I148&lt;&gt;"",UPPER(TRIM('Real results'!C148))=UPPER(TRIM('Raw data'!I148))),1,0),0)</f>
        <v>0</v>
      </c>
      <c r="K152" s="29">
        <f>IFERROR(IF(AND('Real results'!C148&lt;&gt;"",'Raw data'!K148&lt;&gt;"",UPPER(TRIM('Real results'!C148))=UPPER(TRIM('Raw data'!K148))),1,0),0)</f>
        <v>0</v>
      </c>
      <c r="M152" s="29">
        <f>IFERROR(IF(AND('Real results'!C148&lt;&gt;"",'Raw data'!M148&lt;&gt;"",UPPER(TRIM('Real results'!C148))=UPPER(TRIM('Raw data'!M148))),1,0),0)</f>
        <v>0</v>
      </c>
      <c r="O152" s="29">
        <f>IFERROR(IF(AND('Real results'!C148&lt;&gt;"",'Raw data'!O148&lt;&gt;"",UPPER(TRIM('Real results'!C148))=UPPER(TRIM('Raw data'!O148))),1,0),0)</f>
        <v>0</v>
      </c>
      <c r="Q152" s="29">
        <f>IFERROR(IF(AND('Real results'!C148&lt;&gt;"",'Raw data'!Q148&lt;&gt;"",UPPER(TRIM('Real results'!C148))=UPPER(TRIM('Raw data'!Q148))),1,0),0)</f>
        <v>0</v>
      </c>
      <c r="S152" s="29">
        <f>IFERROR(IF(AND('Real results'!C148&lt;&gt;"",'Raw data'!S148&lt;&gt;"",UPPER(TRIM('Real results'!C148))=UPPER(TRIM('Raw data'!S148))),1,0),0)</f>
        <v>0</v>
      </c>
      <c r="U152" s="29">
        <f>IFERROR(IF(AND('Real results'!C148&lt;&gt;"",'Raw data'!U148&lt;&gt;"",UPPER(TRIM('Real results'!C148))=UPPER(TRIM('Raw data'!U148))),1,0),0)</f>
        <v>0</v>
      </c>
      <c r="W152" s="29">
        <f>IFERROR(IF(AND('Real results'!C148&lt;&gt;"",'Raw data'!W148&lt;&gt;"",UPPER(TRIM('Real results'!C148))=UPPER(TRIM('Raw data'!W148))),1,0),0)</f>
        <v>0</v>
      </c>
      <c r="Y152" s="29">
        <f>IFERROR(IF(AND('Real results'!C148&lt;&gt;"",'Raw data'!Y148&lt;&gt;"",UPPER(TRIM('Real results'!C148))=UPPER(TRIM('Raw data'!Y148))),1,0),0)</f>
        <v>0</v>
      </c>
      <c r="AA152" s="29">
        <f>IFERROR(IF(AND('Real results'!C148&lt;&gt;"",'Raw data'!AA148&lt;&gt;"",UPPER(TRIM('Real results'!C148))=UPPER(TRIM('Raw data'!AA148))),1,0),0)</f>
        <v>0</v>
      </c>
      <c r="AC152" s="29">
        <f>IFERROR(IF(AND('Real results'!C148&lt;&gt;"",'Raw data'!AC148&lt;&gt;"",UPPER(TRIM('Real results'!C148))=UPPER(TRIM('Raw data'!AC148))),1,0),0)</f>
        <v>0</v>
      </c>
      <c r="AE152" s="29">
        <f>IFERROR(IF(AND('Real results'!C148&lt;&gt;"",'Raw data'!AE148&lt;&gt;"",UPPER(TRIM('Real results'!C148))=UPPER(TRIM('Raw data'!AE148))),1,0),0)</f>
        <v>0</v>
      </c>
      <c r="AG152" s="29">
        <f>IFERROR(IF(AND('Real results'!C148&lt;&gt;"",'Raw data'!AG148&lt;&gt;"",UPPER(TRIM('Real results'!C148))=UPPER(TRIM('Raw data'!AG148))),1,0),0)</f>
        <v>0</v>
      </c>
      <c r="AI152" s="29">
        <f>IFERROR(IF(AND('Real results'!C148&lt;&gt;"",'Raw data'!AI148&lt;&gt;"",UPPER(TRIM('Real results'!C148))=UPPER(TRIM('Raw data'!AI148))),1,0),0)</f>
        <v>0</v>
      </c>
      <c r="AK152" s="29">
        <f>IFERROR(IF(AND('Real results'!C148&lt;&gt;"",'Raw data'!AK148&lt;&gt;"",UPPER(TRIM('Real results'!C148))=UPPER(TRIM('Raw data'!AK148))),1,0),0)</f>
        <v>0</v>
      </c>
      <c r="AM152" s="29">
        <f>IFERROR(IF(AND('Real results'!C148&lt;&gt;"",'Raw data'!AM148&lt;&gt;"",UPPER(TRIM('Real results'!C148))=UPPER(TRIM('Raw data'!AM148))),1,0),0)</f>
        <v>0</v>
      </c>
      <c r="AO152" s="29">
        <f>IFERROR(IF(AND('Real results'!C148&lt;&gt;"",'Raw data'!AO148&lt;&gt;"",UPPER(TRIM('Real results'!C148))=UPPER(TRIM('Raw data'!AO148))),1,0),0)</f>
        <v>0</v>
      </c>
      <c r="AQ152" s="29">
        <f>IFERROR(IF(AND('Real results'!C148&lt;&gt;"",'Raw data'!AQ148&lt;&gt;"",UPPER(TRIM('Real results'!C148))=UPPER(TRIM('Raw data'!AQ148))),1,0),0)</f>
        <v>0</v>
      </c>
      <c r="AS152" s="29">
        <f>IFERROR(IF(AND('Real results'!C148&lt;&gt;"",'Raw data'!AS148&lt;&gt;"",UPPER(TRIM('Real results'!C148))=UPPER(TRIM('Raw data'!AS148))),1,0),0)</f>
        <v>0</v>
      </c>
      <c r="AU152" s="29">
        <f>IFERROR(IF(AND('Real results'!C148&lt;&gt;"",'Raw data'!AU148&lt;&gt;"",UPPER(TRIM('Real results'!C148))=UPPER(TRIM('Raw data'!AU148))),1,0),0)</f>
        <v>0</v>
      </c>
      <c r="AW152" s="29">
        <f>IFERROR(IF(AND('Real results'!C148&lt;&gt;"",'Raw data'!AW148&lt;&gt;"",UPPER(TRIM('Real results'!C148))=UPPER(TRIM('Raw data'!AW148))),1,0),0)</f>
        <v>0</v>
      </c>
      <c r="AY152" s="29">
        <f>IFERROR(IF(AND('Real results'!C148&lt;&gt;"",'Raw data'!AY148&lt;&gt;"",UPPER(TRIM('Real results'!C148))=UPPER(TRIM('Raw data'!AY148))),1,0),0)</f>
        <v>0</v>
      </c>
      <c r="BA152" s="29">
        <f>IFERROR(IF(AND('Real results'!C148&lt;&gt;"",'Raw data'!BA148&lt;&gt;"",UPPER(TRIM('Real results'!C148))=UPPER(TRIM('Raw data'!BA148))),1,0),0)</f>
        <v>0</v>
      </c>
      <c r="BC152" s="29">
        <f>IFERROR(IF(AND('Real results'!C148&lt;&gt;"",'Raw data'!BC148&lt;&gt;"",UPPER(TRIM('Real results'!C148))=UPPER(TRIM('Raw data'!BC148))),1,0),0)</f>
        <v>0</v>
      </c>
      <c r="BE152" s="29">
        <f>IFERROR(IF(AND('Real results'!C148&lt;&gt;"",'Raw data'!BE148&lt;&gt;"",UPPER(TRIM('Real results'!C148))=UPPER(TRIM('Raw data'!BE148))),1,0),0)</f>
        <v>0</v>
      </c>
      <c r="BG152" s="29">
        <f>IFERROR(IF(AND('Real results'!C148&lt;&gt;"",'Raw data'!BG148&lt;&gt;"",UPPER(TRIM('Real results'!C148))=UPPER(TRIM('Raw data'!BG148))),1,0),0)</f>
        <v>0</v>
      </c>
      <c r="BI152" s="29">
        <f>IFERROR(IF(AND('Real results'!C148&lt;&gt;"",'Raw data'!BI148&lt;&gt;"",UPPER(TRIM('Real results'!C148))=UPPER(TRIM('Raw data'!BI148))),1,0),0)</f>
        <v>0</v>
      </c>
    </row>
    <row r="153" ht="18.0" customHeight="1">
      <c r="A153" s="1"/>
      <c r="B153" s="13" t="s">
        <v>434</v>
      </c>
      <c r="C153" s="29">
        <f>IFERROR(IF(AND('Real results'!C149&lt;&gt;"",'Raw data'!C149&lt;&gt;"",UPPER(TRIM('Real results'!C149))=UPPER(TRIM('Raw data'!C149))),1,0),0)</f>
        <v>0</v>
      </c>
      <c r="E153" s="29">
        <f>IFERROR(IF(AND('Real results'!C149&lt;&gt;"",'Raw data'!E149&lt;&gt;"",UPPER(TRIM('Real results'!C149))=UPPER(TRIM('Raw data'!E149))),1,0),0)</f>
        <v>0</v>
      </c>
      <c r="G153" s="29">
        <f>IFERROR(IF(AND('Real results'!C149&lt;&gt;"",'Raw data'!G149&lt;&gt;"",UPPER(TRIM('Real results'!C149))=UPPER(TRIM('Raw data'!G149))),1,0),0)</f>
        <v>0</v>
      </c>
      <c r="I153" s="29">
        <f>IFERROR(IF(AND('Real results'!C149&lt;&gt;"",'Raw data'!I149&lt;&gt;"",UPPER(TRIM('Real results'!C149))=UPPER(TRIM('Raw data'!I149))),1,0),0)</f>
        <v>0</v>
      </c>
      <c r="K153" s="29">
        <f>IFERROR(IF(AND('Real results'!C149&lt;&gt;"",'Raw data'!K149&lt;&gt;"",UPPER(TRIM('Real results'!C149))=UPPER(TRIM('Raw data'!K149))),1,0),0)</f>
        <v>0</v>
      </c>
      <c r="M153" s="29">
        <f>IFERROR(IF(AND('Real results'!C149&lt;&gt;"",'Raw data'!M149&lt;&gt;"",UPPER(TRIM('Real results'!C149))=UPPER(TRIM('Raw data'!M149))),1,0),0)</f>
        <v>0</v>
      </c>
      <c r="O153" s="29">
        <f>IFERROR(IF(AND('Real results'!C149&lt;&gt;"",'Raw data'!O149&lt;&gt;"",UPPER(TRIM('Real results'!C149))=UPPER(TRIM('Raw data'!O149))),1,0),0)</f>
        <v>0</v>
      </c>
      <c r="Q153" s="29">
        <f>IFERROR(IF(AND('Real results'!C149&lt;&gt;"",'Raw data'!Q149&lt;&gt;"",UPPER(TRIM('Real results'!C149))=UPPER(TRIM('Raw data'!Q149))),1,0),0)</f>
        <v>0</v>
      </c>
      <c r="S153" s="29">
        <f>IFERROR(IF(AND('Real results'!C149&lt;&gt;"",'Raw data'!S149&lt;&gt;"",UPPER(TRIM('Real results'!C149))=UPPER(TRIM('Raw data'!S149))),1,0),0)</f>
        <v>0</v>
      </c>
      <c r="U153" s="29">
        <f>IFERROR(IF(AND('Real results'!C149&lt;&gt;"",'Raw data'!U149&lt;&gt;"",UPPER(TRIM('Real results'!C149))=UPPER(TRIM('Raw data'!U149))),1,0),0)</f>
        <v>0</v>
      </c>
      <c r="W153" s="29">
        <f>IFERROR(IF(AND('Real results'!C149&lt;&gt;"",'Raw data'!W149&lt;&gt;"",UPPER(TRIM('Real results'!C149))=UPPER(TRIM('Raw data'!W149))),1,0),0)</f>
        <v>0</v>
      </c>
      <c r="Y153" s="29">
        <f>IFERROR(IF(AND('Real results'!C149&lt;&gt;"",'Raw data'!Y149&lt;&gt;"",UPPER(TRIM('Real results'!C149))=UPPER(TRIM('Raw data'!Y149))),1,0),0)</f>
        <v>0</v>
      </c>
      <c r="AA153" s="29">
        <f>IFERROR(IF(AND('Real results'!C149&lt;&gt;"",'Raw data'!AA149&lt;&gt;"",UPPER(TRIM('Real results'!C149))=UPPER(TRIM('Raw data'!AA149))),1,0),0)</f>
        <v>0</v>
      </c>
      <c r="AC153" s="29">
        <f>IFERROR(IF(AND('Real results'!C149&lt;&gt;"",'Raw data'!AC149&lt;&gt;"",UPPER(TRIM('Real results'!C149))=UPPER(TRIM('Raw data'!AC149))),1,0),0)</f>
        <v>0</v>
      </c>
      <c r="AE153" s="29">
        <f>IFERROR(IF(AND('Real results'!C149&lt;&gt;"",'Raw data'!AE149&lt;&gt;"",UPPER(TRIM('Real results'!C149))=UPPER(TRIM('Raw data'!AE149))),1,0),0)</f>
        <v>0</v>
      </c>
      <c r="AG153" s="29">
        <f>IFERROR(IF(AND('Real results'!C149&lt;&gt;"",'Raw data'!AG149&lt;&gt;"",UPPER(TRIM('Real results'!C149))=UPPER(TRIM('Raw data'!AG149))),1,0),0)</f>
        <v>0</v>
      </c>
      <c r="AI153" s="29">
        <f>IFERROR(IF(AND('Real results'!C149&lt;&gt;"",'Raw data'!AI149&lt;&gt;"",UPPER(TRIM('Real results'!C149))=UPPER(TRIM('Raw data'!AI149))),1,0),0)</f>
        <v>0</v>
      </c>
      <c r="AK153" s="29">
        <f>IFERROR(IF(AND('Real results'!C149&lt;&gt;"",'Raw data'!AK149&lt;&gt;"",UPPER(TRIM('Real results'!C149))=UPPER(TRIM('Raw data'!AK149))),1,0),0)</f>
        <v>0</v>
      </c>
      <c r="AM153" s="29">
        <f>IFERROR(IF(AND('Real results'!C149&lt;&gt;"",'Raw data'!AM149&lt;&gt;"",UPPER(TRIM('Real results'!C149))=UPPER(TRIM('Raw data'!AM149))),1,0),0)</f>
        <v>0</v>
      </c>
      <c r="AO153" s="29">
        <f>IFERROR(IF(AND('Real results'!C149&lt;&gt;"",'Raw data'!AO149&lt;&gt;"",UPPER(TRIM('Real results'!C149))=UPPER(TRIM('Raw data'!AO149))),1,0),0)</f>
        <v>0</v>
      </c>
      <c r="AQ153" s="29">
        <f>IFERROR(IF(AND('Real results'!C149&lt;&gt;"",'Raw data'!AQ149&lt;&gt;"",UPPER(TRIM('Real results'!C149))=UPPER(TRIM('Raw data'!AQ149))),1,0),0)</f>
        <v>0</v>
      </c>
      <c r="AS153" s="29">
        <f>IFERROR(IF(AND('Real results'!C149&lt;&gt;"",'Raw data'!AS149&lt;&gt;"",UPPER(TRIM('Real results'!C149))=UPPER(TRIM('Raw data'!AS149))),1,0),0)</f>
        <v>0</v>
      </c>
      <c r="AU153" s="29">
        <f>IFERROR(IF(AND('Real results'!C149&lt;&gt;"",'Raw data'!AU149&lt;&gt;"",UPPER(TRIM('Real results'!C149))=UPPER(TRIM('Raw data'!AU149))),1,0),0)</f>
        <v>0</v>
      </c>
      <c r="AW153" s="29">
        <f>IFERROR(IF(AND('Real results'!C149&lt;&gt;"",'Raw data'!AW149&lt;&gt;"",UPPER(TRIM('Real results'!C149))=UPPER(TRIM('Raw data'!AW149))),1,0),0)</f>
        <v>0</v>
      </c>
      <c r="AY153" s="29">
        <f>IFERROR(IF(AND('Real results'!C149&lt;&gt;"",'Raw data'!AY149&lt;&gt;"",UPPER(TRIM('Real results'!C149))=UPPER(TRIM('Raw data'!AY149))),1,0),0)</f>
        <v>0</v>
      </c>
      <c r="BA153" s="29">
        <f>IFERROR(IF(AND('Real results'!C149&lt;&gt;"",'Raw data'!BA149&lt;&gt;"",UPPER(TRIM('Real results'!C149))=UPPER(TRIM('Raw data'!BA149))),1,0),0)</f>
        <v>0</v>
      </c>
      <c r="BC153" s="29">
        <f>IFERROR(IF(AND('Real results'!C149&lt;&gt;"",'Raw data'!BC149&lt;&gt;"",UPPER(TRIM('Real results'!C149))=UPPER(TRIM('Raw data'!BC149))),1,0),0)</f>
        <v>0</v>
      </c>
      <c r="BE153" s="29">
        <f>IFERROR(IF(AND('Real results'!C149&lt;&gt;"",'Raw data'!BE149&lt;&gt;"",UPPER(TRIM('Real results'!C149))=UPPER(TRIM('Raw data'!BE149))),1,0),0)</f>
        <v>0</v>
      </c>
      <c r="BG153" s="29">
        <f>IFERROR(IF(AND('Real results'!C149&lt;&gt;"",'Raw data'!BG149&lt;&gt;"",UPPER(TRIM('Real results'!C149))=UPPER(TRIM('Raw data'!BG149))),1,0),0)</f>
        <v>0</v>
      </c>
      <c r="BI153" s="29">
        <f>IFERROR(IF(AND('Real results'!C149&lt;&gt;"",'Raw data'!BI149&lt;&gt;"",UPPER(TRIM('Real results'!C149))=UPPER(TRIM('Raw data'!BI149))),1,0),0)</f>
        <v>0</v>
      </c>
    </row>
    <row r="154" ht="18.0" customHeight="1">
      <c r="A154" s="1"/>
      <c r="B154" s="13" t="s">
        <v>435</v>
      </c>
      <c r="C154" s="29">
        <f>IFERROR(IF(AND(ISNUMBER('Real results'!C150),ISNUMBER('Real results'!D150),ISNUMBER('Raw data'!C150),ISNUMBER('Raw data'!D150)),IF(SIGN('Raw data'!C150-'Raw data'!D150)=SIGN('Real results'!C150-'Real results'!D150),3+IF(AND('Raw data'!C150='Real results'!C150,'Raw data'!D150='Real results'!D150),2,0),0),0),0)</f>
        <v>0</v>
      </c>
      <c r="E154" s="29">
        <f>IFERROR(IF(AND(ISNUMBER('Real results'!C150),ISNUMBER('Real results'!D150),ISNUMBER('Raw data'!E150),ISNUMBER('Raw data'!F150)),IF(SIGN('Raw data'!E150-'Raw data'!F150)=SIGN('Real results'!C150-'Real results'!D150),3+IF(AND('Raw data'!E150='Real results'!C150,'Raw data'!F150='Real results'!D150),2,0),0),0),0)</f>
        <v>0</v>
      </c>
      <c r="G154" s="29">
        <f>IFERROR(IF(AND(ISNUMBER('Real results'!C150),ISNUMBER('Real results'!D150),ISNUMBER('Raw data'!G150),ISNUMBER('Raw data'!H150)),IF(SIGN('Raw data'!G150-'Raw data'!H150)=SIGN('Real results'!C150-'Real results'!D150),3+IF(AND('Raw data'!G150='Real results'!C150,'Raw data'!H150='Real results'!D150),2,0),0),0),0)</f>
        <v>0</v>
      </c>
      <c r="I154" s="29">
        <f>IFERROR(IF(AND(ISNUMBER('Real results'!C150),ISNUMBER('Real results'!D150),ISNUMBER('Raw data'!I150),ISNUMBER('Raw data'!J150)),IF(SIGN('Raw data'!I150-'Raw data'!J150)=SIGN('Real results'!C150-'Real results'!D150),3+IF(AND('Raw data'!I150='Real results'!C150,'Raw data'!J150='Real results'!D150),2,0),0),0),0)</f>
        <v>0</v>
      </c>
      <c r="K154" s="29">
        <f>IFERROR(IF(AND(ISNUMBER('Real results'!C150),ISNUMBER('Real results'!D150),ISNUMBER('Raw data'!K150),ISNUMBER('Raw data'!L150)),IF(SIGN('Raw data'!K150-'Raw data'!L150)=SIGN('Real results'!C150-'Real results'!D150),3+IF(AND('Raw data'!K150='Real results'!C150,'Raw data'!L150='Real results'!D150),2,0),0),0),0)</f>
        <v>0</v>
      </c>
      <c r="M154" s="29">
        <f>IFERROR(IF(AND(ISNUMBER('Real results'!C150),ISNUMBER('Real results'!D150),ISNUMBER('Raw data'!M150),ISNUMBER('Raw data'!N150)),IF(SIGN('Raw data'!M150-'Raw data'!N150)=SIGN('Real results'!C150-'Real results'!D150),3+IF(AND('Raw data'!M150='Real results'!C150,'Raw data'!N150='Real results'!D150),2,0),0),0),0)</f>
        <v>0</v>
      </c>
      <c r="O154" s="29">
        <f>IFERROR(IF(AND(ISNUMBER('Real results'!C150),ISNUMBER('Real results'!D150),ISNUMBER('Raw data'!O150),ISNUMBER('Raw data'!P150)),IF(SIGN('Raw data'!O150-'Raw data'!P150)=SIGN('Real results'!C150-'Real results'!D150),3+IF(AND('Raw data'!O150='Real results'!C150,'Raw data'!P150='Real results'!D150),2,0),0),0),0)</f>
        <v>0</v>
      </c>
      <c r="Q154" s="29">
        <f>IFERROR(IF(AND(ISNUMBER('Real results'!C150),ISNUMBER('Real results'!D150),ISNUMBER('Raw data'!Q150),ISNUMBER('Raw data'!R150)),IF(SIGN('Raw data'!Q150-'Raw data'!R150)=SIGN('Real results'!C150-'Real results'!D150),3+IF(AND('Raw data'!Q150='Real results'!C150,'Raw data'!R150='Real results'!D150),2,0),0),0),0)</f>
        <v>0</v>
      </c>
      <c r="S154" s="29">
        <f>IFERROR(IF(AND(ISNUMBER('Real results'!C150),ISNUMBER('Real results'!D150),ISNUMBER('Raw data'!S150),ISNUMBER('Raw data'!T150)),IF(SIGN('Raw data'!S150-'Raw data'!T150)=SIGN('Real results'!C150-'Real results'!D150),3+IF(AND('Raw data'!S150='Real results'!C150,'Raw data'!T150='Real results'!D150),2,0),0),0),0)</f>
        <v>0</v>
      </c>
      <c r="U154" s="29">
        <f>IFERROR(IF(AND(ISNUMBER('Real results'!C150),ISNUMBER('Real results'!D150),ISNUMBER('Raw data'!U150),ISNUMBER('Raw data'!V150)),IF(SIGN('Raw data'!U150-'Raw data'!V150)=SIGN('Real results'!C150-'Real results'!D150),3+IF(AND('Raw data'!U150='Real results'!C150,'Raw data'!V150='Real results'!D150),2,0),0),0),0)</f>
        <v>0</v>
      </c>
      <c r="W154" s="29">
        <f>IFERROR(IF(AND(ISNUMBER('Real results'!C150),ISNUMBER('Real results'!D150),ISNUMBER('Raw data'!W150),ISNUMBER('Raw data'!X150)),IF(SIGN('Raw data'!W150-'Raw data'!X150)=SIGN('Real results'!C150-'Real results'!D150),3+IF(AND('Raw data'!W150='Real results'!C150,'Raw data'!X150='Real results'!D150),2,0),0),0),0)</f>
        <v>0</v>
      </c>
      <c r="Y154" s="29">
        <f>IFERROR(IF(AND(ISNUMBER('Real results'!C150),ISNUMBER('Real results'!D150),ISNUMBER('Raw data'!Y150),ISNUMBER('Raw data'!Z150)),IF(SIGN('Raw data'!Y150-'Raw data'!Z150)=SIGN('Real results'!C150-'Real results'!D150),3+IF(AND('Raw data'!Y150='Real results'!C150,'Raw data'!Z150='Real results'!D150),2,0),0),0),0)</f>
        <v>0</v>
      </c>
      <c r="AA154" s="29">
        <f>IFERROR(IF(AND(ISNUMBER('Real results'!C150),ISNUMBER('Real results'!D150),ISNUMBER('Raw data'!AA150),ISNUMBER('Raw data'!AB150)),IF(SIGN('Raw data'!AA150-'Raw data'!AB150)=SIGN('Real results'!C150-'Real results'!D150),3+IF(AND('Raw data'!AA150='Real results'!C150,'Raw data'!AB150='Real results'!D150),2,0),0),0),0)</f>
        <v>0</v>
      </c>
      <c r="AC154" s="29">
        <f>IFERROR(IF(AND(ISNUMBER('Real results'!C150),ISNUMBER('Real results'!D150),ISNUMBER('Raw data'!AC150),ISNUMBER('Raw data'!AD150)),IF(SIGN('Raw data'!AC150-'Raw data'!AD150)=SIGN('Real results'!C150-'Real results'!D150),3+IF(AND('Raw data'!AC150='Real results'!C150,'Raw data'!AD150='Real results'!D150),2,0),0),0),0)</f>
        <v>0</v>
      </c>
      <c r="AE154" s="29">
        <f>IFERROR(IF(AND(ISNUMBER('Real results'!C150),ISNUMBER('Real results'!D150),ISNUMBER('Raw data'!AE150),ISNUMBER('Raw data'!AF150)),IF(SIGN('Raw data'!AE150-'Raw data'!AF150)=SIGN('Real results'!C150-'Real results'!D150),3+IF(AND('Raw data'!AE150='Real results'!C150,'Raw data'!AF150='Real results'!D150),2,0),0),0),0)</f>
        <v>0</v>
      </c>
      <c r="AG154" s="29">
        <f>IFERROR(IF(AND(ISNUMBER('Real results'!C150),ISNUMBER('Real results'!D150),ISNUMBER('Raw data'!AG150),ISNUMBER('Raw data'!AH150)),IF(SIGN('Raw data'!AG150-'Raw data'!AH150)=SIGN('Real results'!C150-'Real results'!D150),3+IF(AND('Raw data'!AG150='Real results'!C150,'Raw data'!AH150='Real results'!D150),2,0),0),0),0)</f>
        <v>0</v>
      </c>
      <c r="AI154" s="29">
        <f>IFERROR(IF(AND(ISNUMBER('Real results'!C150),ISNUMBER('Real results'!D150),ISNUMBER('Raw data'!AI150),ISNUMBER('Raw data'!AJ150)),IF(SIGN('Raw data'!AI150-'Raw data'!AJ150)=SIGN('Real results'!C150-'Real results'!D150),3+IF(AND('Raw data'!AI150='Real results'!C150,'Raw data'!AJ150='Real results'!D150),2,0),0),0),0)</f>
        <v>0</v>
      </c>
      <c r="AK154" s="29">
        <f>IFERROR(IF(AND(ISNUMBER('Real results'!C150),ISNUMBER('Real results'!D150),ISNUMBER('Raw data'!AK150),ISNUMBER('Raw data'!AL150)),IF(SIGN('Raw data'!AK150-'Raw data'!AL150)=SIGN('Real results'!C150-'Real results'!D150),3+IF(AND('Raw data'!AK150='Real results'!C150,'Raw data'!AL150='Real results'!D150),2,0),0),0),0)</f>
        <v>0</v>
      </c>
      <c r="AM154" s="29">
        <f>IFERROR(IF(AND(ISNUMBER('Real results'!C150),ISNUMBER('Real results'!D150),ISNUMBER('Raw data'!AM150),ISNUMBER('Raw data'!AN150)),IF(SIGN('Raw data'!AM150-'Raw data'!AN150)=SIGN('Real results'!C150-'Real results'!D150),3+IF(AND('Raw data'!AM150='Real results'!C150,'Raw data'!AN150='Real results'!D150),2,0),0),0),0)</f>
        <v>0</v>
      </c>
      <c r="AO154" s="29">
        <f>IFERROR(IF(AND(ISNUMBER('Real results'!C150),ISNUMBER('Real results'!D150),ISNUMBER('Raw data'!AO150),ISNUMBER('Raw data'!AP150)),IF(SIGN('Raw data'!AO150-'Raw data'!AP150)=SIGN('Real results'!C150-'Real results'!D150),3+IF(AND('Raw data'!AO150='Real results'!C150,'Raw data'!AP150='Real results'!D150),2,0),0),0),0)</f>
        <v>0</v>
      </c>
      <c r="AQ154" s="29">
        <f>IFERROR(IF(AND(ISNUMBER('Real results'!C150),ISNUMBER('Real results'!D150),ISNUMBER('Raw data'!AQ150),ISNUMBER('Raw data'!AR150)),IF(SIGN('Raw data'!AQ150-'Raw data'!AR150)=SIGN('Real results'!C150-'Real results'!D150),3+IF(AND('Raw data'!AQ150='Real results'!C150,'Raw data'!AR150='Real results'!D150),2,0),0),0),0)</f>
        <v>0</v>
      </c>
      <c r="AS154" s="29">
        <f>IFERROR(IF(AND(ISNUMBER('Real results'!C150),ISNUMBER('Real results'!D150),ISNUMBER('Raw data'!AS150),ISNUMBER('Raw data'!AT150)),IF(SIGN('Raw data'!AS150-'Raw data'!AT150)=SIGN('Real results'!C150-'Real results'!D150),3+IF(AND('Raw data'!AS150='Real results'!C150,'Raw data'!AT150='Real results'!D150),2,0),0),0),0)</f>
        <v>0</v>
      </c>
      <c r="AU154" s="29">
        <f>IFERROR(IF(AND(ISNUMBER('Real results'!C150),ISNUMBER('Real results'!D150),ISNUMBER('Raw data'!AU150),ISNUMBER('Raw data'!AV150)),IF(SIGN('Raw data'!AU150-'Raw data'!AV150)=SIGN('Real results'!C150-'Real results'!D150),3+IF(AND('Raw data'!AU150='Real results'!C150,'Raw data'!AV150='Real results'!D150),2,0),0),0),0)</f>
        <v>0</v>
      </c>
      <c r="AW154" s="29">
        <f>IFERROR(IF(AND(ISNUMBER('Real results'!C150),ISNUMBER('Real results'!D150),ISNUMBER('Raw data'!AW150),ISNUMBER('Raw data'!AX150)),IF(SIGN('Raw data'!AW150-'Raw data'!AX150)=SIGN('Real results'!C150-'Real results'!D150),3+IF(AND('Raw data'!AW150='Real results'!C150,'Raw data'!AX150='Real results'!D150),2,0),0),0),0)</f>
        <v>0</v>
      </c>
      <c r="AY154" s="29">
        <f>IFERROR(IF(AND(ISNUMBER('Real results'!C150),ISNUMBER('Real results'!D150),ISNUMBER('Raw data'!AY150),ISNUMBER('Raw data'!AZ150)),IF(SIGN('Raw data'!AY150-'Raw data'!AZ150)=SIGN('Real results'!C150-'Real results'!D150),3+IF(AND('Raw data'!AY150='Real results'!C150,'Raw data'!AZ150='Real results'!D150),2,0),0),0),0)</f>
        <v>0</v>
      </c>
      <c r="BA154" s="29">
        <f>IFERROR(IF(AND(ISNUMBER('Real results'!C150),ISNUMBER('Real results'!D150),ISNUMBER('Raw data'!BA150),ISNUMBER('Raw data'!BB150)),IF(SIGN('Raw data'!BA150-'Raw data'!BB150)=SIGN('Real results'!C150-'Real results'!D150),3+IF(AND('Raw data'!BA150='Real results'!C150,'Raw data'!BB150='Real results'!D150),2,0),0),0),0)</f>
        <v>0</v>
      </c>
      <c r="BC154" s="29">
        <f>IFERROR(IF(AND(ISNUMBER('Real results'!C150),ISNUMBER('Real results'!D150),ISNUMBER('Raw data'!BC150),ISNUMBER('Raw data'!BD150)),IF(SIGN('Raw data'!BC150-'Raw data'!BD150)=SIGN('Real results'!C150-'Real results'!D150),3+IF(AND('Raw data'!BC150='Real results'!C150,'Raw data'!BD150='Real results'!D150),2,0),0),0),0)</f>
        <v>0</v>
      </c>
      <c r="BE154" s="29">
        <f>IFERROR(IF(AND(ISNUMBER('Real results'!C150),ISNUMBER('Real results'!D150),ISNUMBER('Raw data'!BE150),ISNUMBER('Raw data'!BF150)),IF(SIGN('Raw data'!BE150-'Raw data'!BF150)=SIGN('Real results'!C150-'Real results'!D150),3+IF(AND('Raw data'!BE150='Real results'!C150,'Raw data'!BF150='Real results'!D150),2,0),0),0),0)</f>
        <v>0</v>
      </c>
      <c r="BG154" s="29">
        <f>IFERROR(IF(AND(ISNUMBER('Real results'!C150),ISNUMBER('Real results'!D150),ISNUMBER('Raw data'!BG150),ISNUMBER('Raw data'!BH150)),IF(SIGN('Raw data'!BG150-'Raw data'!BH150)=SIGN('Real results'!C150-'Real results'!D150),3+IF(AND('Raw data'!BG150='Real results'!C150,'Raw data'!BH150='Real results'!D150),2,0),0),0),0)</f>
        <v>0</v>
      </c>
      <c r="BI154" s="29">
        <f>IFERROR(IF(AND(ISNUMBER('Real results'!C150),ISNUMBER('Real results'!D150),ISNUMBER('Raw data'!BI150),ISNUMBER('Raw data'!BJ150)),IF(SIGN('Raw data'!BI150-'Raw data'!BJ150)=SIGN('Real results'!C150-'Real results'!D150),3+IF(AND('Raw data'!BI150='Real results'!C150,'Raw data'!BJ150='Real results'!D150),2,0),0),0),0)</f>
        <v>0</v>
      </c>
    </row>
    <row r="155" ht="18.0" customHeight="1">
      <c r="A155" s="1"/>
      <c r="B155" s="13" t="s">
        <v>436</v>
      </c>
      <c r="C155" s="29">
        <f>IFERROR(IF(AND('Real results'!C151&lt;&gt;"",'Raw data'!C151&lt;&gt;"",UPPER(TRIM('Real results'!C151))=UPPER(TRIM('Raw data'!C151))),1,0),0)</f>
        <v>0</v>
      </c>
      <c r="E155" s="29">
        <f>IFERROR(IF(AND('Real results'!C151&lt;&gt;"",'Raw data'!E151&lt;&gt;"",UPPER(TRIM('Real results'!C151))=UPPER(TRIM('Raw data'!E151))),1,0),0)</f>
        <v>0</v>
      </c>
      <c r="G155" s="29">
        <f>IFERROR(IF(AND('Real results'!C151&lt;&gt;"",'Raw data'!G151&lt;&gt;"",UPPER(TRIM('Real results'!C151))=UPPER(TRIM('Raw data'!G151))),1,0),0)</f>
        <v>0</v>
      </c>
      <c r="I155" s="29">
        <f>IFERROR(IF(AND('Real results'!C151&lt;&gt;"",'Raw data'!I151&lt;&gt;"",UPPER(TRIM('Real results'!C151))=UPPER(TRIM('Raw data'!I151))),1,0),0)</f>
        <v>0</v>
      </c>
      <c r="K155" s="29">
        <f>IFERROR(IF(AND('Real results'!C151&lt;&gt;"",'Raw data'!K151&lt;&gt;"",UPPER(TRIM('Real results'!C151))=UPPER(TRIM('Raw data'!K151))),1,0),0)</f>
        <v>0</v>
      </c>
      <c r="M155" s="29">
        <f>IFERROR(IF(AND('Real results'!C151&lt;&gt;"",'Raw data'!M151&lt;&gt;"",UPPER(TRIM('Real results'!C151))=UPPER(TRIM('Raw data'!M151))),1,0),0)</f>
        <v>0</v>
      </c>
      <c r="O155" s="29">
        <f>IFERROR(IF(AND('Real results'!C151&lt;&gt;"",'Raw data'!O151&lt;&gt;"",UPPER(TRIM('Real results'!C151))=UPPER(TRIM('Raw data'!O151))),1,0),0)</f>
        <v>0</v>
      </c>
      <c r="Q155" s="29">
        <f>IFERROR(IF(AND('Real results'!C151&lt;&gt;"",'Raw data'!Q151&lt;&gt;"",UPPER(TRIM('Real results'!C151))=UPPER(TRIM('Raw data'!Q151))),1,0),0)</f>
        <v>0</v>
      </c>
      <c r="S155" s="29">
        <f>IFERROR(IF(AND('Real results'!C151&lt;&gt;"",'Raw data'!S151&lt;&gt;"",UPPER(TRIM('Real results'!C151))=UPPER(TRIM('Raw data'!S151))),1,0),0)</f>
        <v>0</v>
      </c>
      <c r="U155" s="29">
        <f>IFERROR(IF(AND('Real results'!C151&lt;&gt;"",'Raw data'!U151&lt;&gt;"",UPPER(TRIM('Real results'!C151))=UPPER(TRIM('Raw data'!U151))),1,0),0)</f>
        <v>0</v>
      </c>
      <c r="W155" s="29">
        <f>IFERROR(IF(AND('Real results'!C151&lt;&gt;"",'Raw data'!W151&lt;&gt;"",UPPER(TRIM('Real results'!C151))=UPPER(TRIM('Raw data'!W151))),1,0),0)</f>
        <v>0</v>
      </c>
      <c r="Y155" s="29">
        <f>IFERROR(IF(AND('Real results'!C151&lt;&gt;"",'Raw data'!Y151&lt;&gt;"",UPPER(TRIM('Real results'!C151))=UPPER(TRIM('Raw data'!Y151))),1,0),0)</f>
        <v>0</v>
      </c>
      <c r="AA155" s="29">
        <f>IFERROR(IF(AND('Real results'!C151&lt;&gt;"",'Raw data'!AA151&lt;&gt;"",UPPER(TRIM('Real results'!C151))=UPPER(TRIM('Raw data'!AA151))),1,0),0)</f>
        <v>0</v>
      </c>
      <c r="AC155" s="29">
        <f>IFERROR(IF(AND('Real results'!C151&lt;&gt;"",'Raw data'!AC151&lt;&gt;"",UPPER(TRIM('Real results'!C151))=UPPER(TRIM('Raw data'!AC151))),1,0),0)</f>
        <v>0</v>
      </c>
      <c r="AE155" s="29">
        <f>IFERROR(IF(AND('Real results'!C151&lt;&gt;"",'Raw data'!AE151&lt;&gt;"",UPPER(TRIM('Real results'!C151))=UPPER(TRIM('Raw data'!AE151))),1,0),0)</f>
        <v>0</v>
      </c>
      <c r="AG155" s="29">
        <f>IFERROR(IF(AND('Real results'!C151&lt;&gt;"",'Raw data'!AG151&lt;&gt;"",UPPER(TRIM('Real results'!C151))=UPPER(TRIM('Raw data'!AG151))),1,0),0)</f>
        <v>0</v>
      </c>
      <c r="AI155" s="29">
        <f>IFERROR(IF(AND('Real results'!C151&lt;&gt;"",'Raw data'!AI151&lt;&gt;"",UPPER(TRIM('Real results'!C151))=UPPER(TRIM('Raw data'!AI151))),1,0),0)</f>
        <v>0</v>
      </c>
      <c r="AK155" s="29">
        <f>IFERROR(IF(AND('Real results'!C151&lt;&gt;"",'Raw data'!AK151&lt;&gt;"",UPPER(TRIM('Real results'!C151))=UPPER(TRIM('Raw data'!AK151))),1,0),0)</f>
        <v>0</v>
      </c>
      <c r="AM155" s="29">
        <f>IFERROR(IF(AND('Real results'!C151&lt;&gt;"",'Raw data'!AM151&lt;&gt;"",UPPER(TRIM('Real results'!C151))=UPPER(TRIM('Raw data'!AM151))),1,0),0)</f>
        <v>0</v>
      </c>
      <c r="AO155" s="29">
        <f>IFERROR(IF(AND('Real results'!C151&lt;&gt;"",'Raw data'!AO151&lt;&gt;"",UPPER(TRIM('Real results'!C151))=UPPER(TRIM('Raw data'!AO151))),1,0),0)</f>
        <v>0</v>
      </c>
      <c r="AQ155" s="29">
        <f>IFERROR(IF(AND('Real results'!C151&lt;&gt;"",'Raw data'!AQ151&lt;&gt;"",UPPER(TRIM('Real results'!C151))=UPPER(TRIM('Raw data'!AQ151))),1,0),0)</f>
        <v>0</v>
      </c>
      <c r="AS155" s="29">
        <f>IFERROR(IF(AND('Real results'!C151&lt;&gt;"",'Raw data'!AS151&lt;&gt;"",UPPER(TRIM('Real results'!C151))=UPPER(TRIM('Raw data'!AS151))),1,0),0)</f>
        <v>0</v>
      </c>
      <c r="AU155" s="29">
        <f>IFERROR(IF(AND('Real results'!C151&lt;&gt;"",'Raw data'!AU151&lt;&gt;"",UPPER(TRIM('Real results'!C151))=UPPER(TRIM('Raw data'!AU151))),1,0),0)</f>
        <v>0</v>
      </c>
      <c r="AW155" s="29">
        <f>IFERROR(IF(AND('Real results'!C151&lt;&gt;"",'Raw data'!AW151&lt;&gt;"",UPPER(TRIM('Real results'!C151))=UPPER(TRIM('Raw data'!AW151))),1,0),0)</f>
        <v>0</v>
      </c>
      <c r="AY155" s="29">
        <f>IFERROR(IF(AND('Real results'!C151&lt;&gt;"",'Raw data'!AY151&lt;&gt;"",UPPER(TRIM('Real results'!C151))=UPPER(TRIM('Raw data'!AY151))),1,0),0)</f>
        <v>0</v>
      </c>
      <c r="BA155" s="29">
        <f>IFERROR(IF(AND('Real results'!C151&lt;&gt;"",'Raw data'!BA151&lt;&gt;"",UPPER(TRIM('Real results'!C151))=UPPER(TRIM('Raw data'!BA151))),1,0),0)</f>
        <v>0</v>
      </c>
      <c r="BC155" s="29">
        <f>IFERROR(IF(AND('Real results'!C151&lt;&gt;"",'Raw data'!BC151&lt;&gt;"",UPPER(TRIM('Real results'!C151))=UPPER(TRIM('Raw data'!BC151))),1,0),0)</f>
        <v>0</v>
      </c>
      <c r="BE155" s="29">
        <f>IFERROR(IF(AND('Real results'!C151&lt;&gt;"",'Raw data'!BE151&lt;&gt;"",UPPER(TRIM('Real results'!C151))=UPPER(TRIM('Raw data'!BE151))),1,0),0)</f>
        <v>0</v>
      </c>
      <c r="BG155" s="29">
        <f>IFERROR(IF(AND('Real results'!C151&lt;&gt;"",'Raw data'!BG151&lt;&gt;"",UPPER(TRIM('Real results'!C151))=UPPER(TRIM('Raw data'!BG151))),1,0),0)</f>
        <v>0</v>
      </c>
      <c r="BI155" s="29">
        <f>IFERROR(IF(AND('Real results'!C151&lt;&gt;"",'Raw data'!BI151&lt;&gt;"",UPPER(TRIM('Real results'!C151))=UPPER(TRIM('Raw data'!BI151))),1,0),0)</f>
        <v>0</v>
      </c>
    </row>
    <row r="156" ht="18.0" customHeight="1">
      <c r="A156" s="1"/>
      <c r="B156" s="13" t="s">
        <v>437</v>
      </c>
      <c r="C156" s="29">
        <f>IFERROR(IF(AND('Real results'!C152&lt;&gt;"",'Raw data'!C152&lt;&gt;"",UPPER(TRIM('Real results'!C152))=UPPER(TRIM('Raw data'!C152))),1,0),0)</f>
        <v>0</v>
      </c>
      <c r="E156" s="29">
        <f>IFERROR(IF(AND('Real results'!C152&lt;&gt;"",'Raw data'!E152&lt;&gt;"",UPPER(TRIM('Real results'!C152))=UPPER(TRIM('Raw data'!E152))),1,0),0)</f>
        <v>0</v>
      </c>
      <c r="G156" s="29">
        <f>IFERROR(IF(AND('Real results'!C152&lt;&gt;"",'Raw data'!G152&lt;&gt;"",UPPER(TRIM('Real results'!C152))=UPPER(TRIM('Raw data'!G152))),1,0),0)</f>
        <v>0</v>
      </c>
      <c r="I156" s="29">
        <f>IFERROR(IF(AND('Real results'!C152&lt;&gt;"",'Raw data'!I152&lt;&gt;"",UPPER(TRIM('Real results'!C152))=UPPER(TRIM('Raw data'!I152))),1,0),0)</f>
        <v>0</v>
      </c>
      <c r="K156" s="29">
        <f>IFERROR(IF(AND('Real results'!C152&lt;&gt;"",'Raw data'!K152&lt;&gt;"",UPPER(TRIM('Real results'!C152))=UPPER(TRIM('Raw data'!K152))),1,0),0)</f>
        <v>0</v>
      </c>
      <c r="M156" s="29">
        <f>IFERROR(IF(AND('Real results'!C152&lt;&gt;"",'Raw data'!M152&lt;&gt;"",UPPER(TRIM('Real results'!C152))=UPPER(TRIM('Raw data'!M152))),1,0),0)</f>
        <v>0</v>
      </c>
      <c r="O156" s="29">
        <f>IFERROR(IF(AND('Real results'!C152&lt;&gt;"",'Raw data'!O152&lt;&gt;"",UPPER(TRIM('Real results'!C152))=UPPER(TRIM('Raw data'!O152))),1,0),0)</f>
        <v>0</v>
      </c>
      <c r="Q156" s="29">
        <f>IFERROR(IF(AND('Real results'!C152&lt;&gt;"",'Raw data'!Q152&lt;&gt;"",UPPER(TRIM('Real results'!C152))=UPPER(TRIM('Raw data'!Q152))),1,0),0)</f>
        <v>0</v>
      </c>
      <c r="S156" s="29">
        <f>IFERROR(IF(AND('Real results'!C152&lt;&gt;"",'Raw data'!S152&lt;&gt;"",UPPER(TRIM('Real results'!C152))=UPPER(TRIM('Raw data'!S152))),1,0),0)</f>
        <v>0</v>
      </c>
      <c r="U156" s="29">
        <f>IFERROR(IF(AND('Real results'!C152&lt;&gt;"",'Raw data'!U152&lt;&gt;"",UPPER(TRIM('Real results'!C152))=UPPER(TRIM('Raw data'!U152))),1,0),0)</f>
        <v>0</v>
      </c>
      <c r="W156" s="29">
        <f>IFERROR(IF(AND('Real results'!C152&lt;&gt;"",'Raw data'!W152&lt;&gt;"",UPPER(TRIM('Real results'!C152))=UPPER(TRIM('Raw data'!W152))),1,0),0)</f>
        <v>0</v>
      </c>
      <c r="Y156" s="29">
        <f>IFERROR(IF(AND('Real results'!C152&lt;&gt;"",'Raw data'!Y152&lt;&gt;"",UPPER(TRIM('Real results'!C152))=UPPER(TRIM('Raw data'!Y152))),1,0),0)</f>
        <v>0</v>
      </c>
      <c r="AA156" s="29">
        <f>IFERROR(IF(AND('Real results'!C152&lt;&gt;"",'Raw data'!AA152&lt;&gt;"",UPPER(TRIM('Real results'!C152))=UPPER(TRIM('Raw data'!AA152))),1,0),0)</f>
        <v>0</v>
      </c>
      <c r="AC156" s="29">
        <f>IFERROR(IF(AND('Real results'!C152&lt;&gt;"",'Raw data'!AC152&lt;&gt;"",UPPER(TRIM('Real results'!C152))=UPPER(TRIM('Raw data'!AC152))),1,0),0)</f>
        <v>0</v>
      </c>
      <c r="AE156" s="29">
        <f>IFERROR(IF(AND('Real results'!C152&lt;&gt;"",'Raw data'!AE152&lt;&gt;"",UPPER(TRIM('Real results'!C152))=UPPER(TRIM('Raw data'!AE152))),1,0),0)</f>
        <v>0</v>
      </c>
      <c r="AG156" s="29">
        <f>IFERROR(IF(AND('Real results'!C152&lt;&gt;"",'Raw data'!AG152&lt;&gt;"",UPPER(TRIM('Real results'!C152))=UPPER(TRIM('Raw data'!AG152))),1,0),0)</f>
        <v>0</v>
      </c>
      <c r="AI156" s="29">
        <f>IFERROR(IF(AND('Real results'!C152&lt;&gt;"",'Raw data'!AI152&lt;&gt;"",UPPER(TRIM('Real results'!C152))=UPPER(TRIM('Raw data'!AI152))),1,0),0)</f>
        <v>0</v>
      </c>
      <c r="AK156" s="29">
        <f>IFERROR(IF(AND('Real results'!C152&lt;&gt;"",'Raw data'!AK152&lt;&gt;"",UPPER(TRIM('Real results'!C152))=UPPER(TRIM('Raw data'!AK152))),1,0),0)</f>
        <v>0</v>
      </c>
      <c r="AM156" s="29">
        <f>IFERROR(IF(AND('Real results'!C152&lt;&gt;"",'Raw data'!AM152&lt;&gt;"",UPPER(TRIM('Real results'!C152))=UPPER(TRIM('Raw data'!AM152))),1,0),0)</f>
        <v>0</v>
      </c>
      <c r="AO156" s="29">
        <f>IFERROR(IF(AND('Real results'!C152&lt;&gt;"",'Raw data'!AO152&lt;&gt;"",UPPER(TRIM('Real results'!C152))=UPPER(TRIM('Raw data'!AO152))),1,0),0)</f>
        <v>0</v>
      </c>
      <c r="AQ156" s="29">
        <f>IFERROR(IF(AND('Real results'!C152&lt;&gt;"",'Raw data'!AQ152&lt;&gt;"",UPPER(TRIM('Real results'!C152))=UPPER(TRIM('Raw data'!AQ152))),1,0),0)</f>
        <v>0</v>
      </c>
      <c r="AS156" s="29">
        <f>IFERROR(IF(AND('Real results'!C152&lt;&gt;"",'Raw data'!AS152&lt;&gt;"",UPPER(TRIM('Real results'!C152))=UPPER(TRIM('Raw data'!AS152))),1,0),0)</f>
        <v>0</v>
      </c>
      <c r="AU156" s="29">
        <f>IFERROR(IF(AND('Real results'!C152&lt;&gt;"",'Raw data'!AU152&lt;&gt;"",UPPER(TRIM('Real results'!C152))=UPPER(TRIM('Raw data'!AU152))),1,0),0)</f>
        <v>0</v>
      </c>
      <c r="AW156" s="29">
        <f>IFERROR(IF(AND('Real results'!C152&lt;&gt;"",'Raw data'!AW152&lt;&gt;"",UPPER(TRIM('Real results'!C152))=UPPER(TRIM('Raw data'!AW152))),1,0),0)</f>
        <v>0</v>
      </c>
      <c r="AY156" s="29">
        <f>IFERROR(IF(AND('Real results'!C152&lt;&gt;"",'Raw data'!AY152&lt;&gt;"",UPPER(TRIM('Real results'!C152))=UPPER(TRIM('Raw data'!AY152))),1,0),0)</f>
        <v>0</v>
      </c>
      <c r="BA156" s="29">
        <f>IFERROR(IF(AND('Real results'!C152&lt;&gt;"",'Raw data'!BA152&lt;&gt;"",UPPER(TRIM('Real results'!C152))=UPPER(TRIM('Raw data'!BA152))),1,0),0)</f>
        <v>0</v>
      </c>
      <c r="BC156" s="29">
        <f>IFERROR(IF(AND('Real results'!C152&lt;&gt;"",'Raw data'!BC152&lt;&gt;"",UPPER(TRIM('Real results'!C152))=UPPER(TRIM('Raw data'!BC152))),1,0),0)</f>
        <v>0</v>
      </c>
      <c r="BE156" s="29">
        <f>IFERROR(IF(AND('Real results'!C152&lt;&gt;"",'Raw data'!BE152&lt;&gt;"",UPPER(TRIM('Real results'!C152))=UPPER(TRIM('Raw data'!BE152))),1,0),0)</f>
        <v>0</v>
      </c>
      <c r="BG156" s="29">
        <f>IFERROR(IF(AND('Real results'!C152&lt;&gt;"",'Raw data'!BG152&lt;&gt;"",UPPER(TRIM('Real results'!C152))=UPPER(TRIM('Raw data'!BG152))),1,0),0)</f>
        <v>0</v>
      </c>
      <c r="BI156" s="29">
        <f>IFERROR(IF(AND('Real results'!C152&lt;&gt;"",'Raw data'!BI152&lt;&gt;"",UPPER(TRIM('Real results'!C152))=UPPER(TRIM('Raw data'!BI152))),1,0),0)</f>
        <v>0</v>
      </c>
    </row>
    <row r="157" ht="18.0" customHeight="1">
      <c r="A157" s="1"/>
      <c r="B157" s="13" t="s">
        <v>438</v>
      </c>
      <c r="C157" s="29">
        <f>IFERROR(IF(AND(ISNUMBER('Real results'!C153),ISNUMBER('Real results'!D153),ISNUMBER('Raw data'!C153),ISNUMBER('Raw data'!D153)),IF(SIGN('Raw data'!C153-'Raw data'!D153)=SIGN('Real results'!C153-'Real results'!D153),3+IF(AND('Raw data'!C153='Real results'!C153,'Raw data'!D153='Real results'!D153),2,0),0),0),0)</f>
        <v>0</v>
      </c>
      <c r="E157" s="29">
        <f>IFERROR(IF(AND(ISNUMBER('Real results'!C153),ISNUMBER('Real results'!D153),ISNUMBER('Raw data'!E153),ISNUMBER('Raw data'!F153)),IF(SIGN('Raw data'!E153-'Raw data'!F153)=SIGN('Real results'!C153-'Real results'!D153),3+IF(AND('Raw data'!E153='Real results'!C153,'Raw data'!F153='Real results'!D153),2,0),0),0),0)</f>
        <v>0</v>
      </c>
      <c r="G157" s="29">
        <f>IFERROR(IF(AND(ISNUMBER('Real results'!C153),ISNUMBER('Real results'!D153),ISNUMBER('Raw data'!G153),ISNUMBER('Raw data'!H153)),IF(SIGN('Raw data'!G153-'Raw data'!H153)=SIGN('Real results'!C153-'Real results'!D153),3+IF(AND('Raw data'!G153='Real results'!C153,'Raw data'!H153='Real results'!D153),2,0),0),0),0)</f>
        <v>0</v>
      </c>
      <c r="I157" s="29">
        <f>IFERROR(IF(AND(ISNUMBER('Real results'!C153),ISNUMBER('Real results'!D153),ISNUMBER('Raw data'!I153),ISNUMBER('Raw data'!J153)),IF(SIGN('Raw data'!I153-'Raw data'!J153)=SIGN('Real results'!C153-'Real results'!D153),3+IF(AND('Raw data'!I153='Real results'!C153,'Raw data'!J153='Real results'!D153),2,0),0),0),0)</f>
        <v>0</v>
      </c>
      <c r="K157" s="29">
        <f>IFERROR(IF(AND(ISNUMBER('Real results'!C153),ISNUMBER('Real results'!D153),ISNUMBER('Raw data'!K153),ISNUMBER('Raw data'!L153)),IF(SIGN('Raw data'!K153-'Raw data'!L153)=SIGN('Real results'!C153-'Real results'!D153),3+IF(AND('Raw data'!K153='Real results'!C153,'Raw data'!L153='Real results'!D153),2,0),0),0),0)</f>
        <v>0</v>
      </c>
      <c r="M157" s="29">
        <f>IFERROR(IF(AND(ISNUMBER('Real results'!C153),ISNUMBER('Real results'!D153),ISNUMBER('Raw data'!M153),ISNUMBER('Raw data'!N153)),IF(SIGN('Raw data'!M153-'Raw data'!N153)=SIGN('Real results'!C153-'Real results'!D153),3+IF(AND('Raw data'!M153='Real results'!C153,'Raw data'!N153='Real results'!D153),2,0),0),0),0)</f>
        <v>0</v>
      </c>
      <c r="O157" s="29">
        <f>IFERROR(IF(AND(ISNUMBER('Real results'!C153),ISNUMBER('Real results'!D153),ISNUMBER('Raw data'!O153),ISNUMBER('Raw data'!P153)),IF(SIGN('Raw data'!O153-'Raw data'!P153)=SIGN('Real results'!C153-'Real results'!D153),3+IF(AND('Raw data'!O153='Real results'!C153,'Raw data'!P153='Real results'!D153),2,0),0),0),0)</f>
        <v>0</v>
      </c>
      <c r="Q157" s="29">
        <f>IFERROR(IF(AND(ISNUMBER('Real results'!C153),ISNUMBER('Real results'!D153),ISNUMBER('Raw data'!Q153),ISNUMBER('Raw data'!R153)),IF(SIGN('Raw data'!Q153-'Raw data'!R153)=SIGN('Real results'!C153-'Real results'!D153),3+IF(AND('Raw data'!Q153='Real results'!C153,'Raw data'!R153='Real results'!D153),2,0),0),0),0)</f>
        <v>0</v>
      </c>
      <c r="S157" s="29">
        <f>IFERROR(IF(AND(ISNUMBER('Real results'!C153),ISNUMBER('Real results'!D153),ISNUMBER('Raw data'!S153),ISNUMBER('Raw data'!T153)),IF(SIGN('Raw data'!S153-'Raw data'!T153)=SIGN('Real results'!C153-'Real results'!D153),3+IF(AND('Raw data'!S153='Real results'!C153,'Raw data'!T153='Real results'!D153),2,0),0),0),0)</f>
        <v>0</v>
      </c>
      <c r="U157" s="29">
        <f>IFERROR(IF(AND(ISNUMBER('Real results'!C153),ISNUMBER('Real results'!D153),ISNUMBER('Raw data'!U153),ISNUMBER('Raw data'!V153)),IF(SIGN('Raw data'!U153-'Raw data'!V153)=SIGN('Real results'!C153-'Real results'!D153),3+IF(AND('Raw data'!U153='Real results'!C153,'Raw data'!V153='Real results'!D153),2,0),0),0),0)</f>
        <v>0</v>
      </c>
      <c r="W157" s="29">
        <f>IFERROR(IF(AND(ISNUMBER('Real results'!C153),ISNUMBER('Real results'!D153),ISNUMBER('Raw data'!W153),ISNUMBER('Raw data'!X153)),IF(SIGN('Raw data'!W153-'Raw data'!X153)=SIGN('Real results'!C153-'Real results'!D153),3+IF(AND('Raw data'!W153='Real results'!C153,'Raw data'!X153='Real results'!D153),2,0),0),0),0)</f>
        <v>0</v>
      </c>
      <c r="Y157" s="29">
        <f>IFERROR(IF(AND(ISNUMBER('Real results'!C153),ISNUMBER('Real results'!D153),ISNUMBER('Raw data'!Y153),ISNUMBER('Raw data'!Z153)),IF(SIGN('Raw data'!Y153-'Raw data'!Z153)=SIGN('Real results'!C153-'Real results'!D153),3+IF(AND('Raw data'!Y153='Real results'!C153,'Raw data'!Z153='Real results'!D153),2,0),0),0),0)</f>
        <v>0</v>
      </c>
      <c r="AA157" s="29">
        <f>IFERROR(IF(AND(ISNUMBER('Real results'!C153),ISNUMBER('Real results'!D153),ISNUMBER('Raw data'!AA153),ISNUMBER('Raw data'!AB153)),IF(SIGN('Raw data'!AA153-'Raw data'!AB153)=SIGN('Real results'!C153-'Real results'!D153),3+IF(AND('Raw data'!AA153='Real results'!C153,'Raw data'!AB153='Real results'!D153),2,0),0),0),0)</f>
        <v>0</v>
      </c>
      <c r="AC157" s="29">
        <f>IFERROR(IF(AND(ISNUMBER('Real results'!C153),ISNUMBER('Real results'!D153),ISNUMBER('Raw data'!AC153),ISNUMBER('Raw data'!AD153)),IF(SIGN('Raw data'!AC153-'Raw data'!AD153)=SIGN('Real results'!C153-'Real results'!D153),3+IF(AND('Raw data'!AC153='Real results'!C153,'Raw data'!AD153='Real results'!D153),2,0),0),0),0)</f>
        <v>0</v>
      </c>
      <c r="AE157" s="29">
        <f>IFERROR(IF(AND(ISNUMBER('Real results'!C153),ISNUMBER('Real results'!D153),ISNUMBER('Raw data'!AE153),ISNUMBER('Raw data'!AF153)),IF(SIGN('Raw data'!AE153-'Raw data'!AF153)=SIGN('Real results'!C153-'Real results'!D153),3+IF(AND('Raw data'!AE153='Real results'!C153,'Raw data'!AF153='Real results'!D153),2,0),0),0),0)</f>
        <v>0</v>
      </c>
      <c r="AG157" s="29">
        <f>IFERROR(IF(AND(ISNUMBER('Real results'!C153),ISNUMBER('Real results'!D153),ISNUMBER('Raw data'!AG153),ISNUMBER('Raw data'!AH153)),IF(SIGN('Raw data'!AG153-'Raw data'!AH153)=SIGN('Real results'!C153-'Real results'!D153),3+IF(AND('Raw data'!AG153='Real results'!C153,'Raw data'!AH153='Real results'!D153),2,0),0),0),0)</f>
        <v>0</v>
      </c>
      <c r="AI157" s="29">
        <f>IFERROR(IF(AND(ISNUMBER('Real results'!C153),ISNUMBER('Real results'!D153),ISNUMBER('Raw data'!AI153),ISNUMBER('Raw data'!AJ153)),IF(SIGN('Raw data'!AI153-'Raw data'!AJ153)=SIGN('Real results'!C153-'Real results'!D153),3+IF(AND('Raw data'!AI153='Real results'!C153,'Raw data'!AJ153='Real results'!D153),2,0),0),0),0)</f>
        <v>0</v>
      </c>
      <c r="AK157" s="29">
        <f>IFERROR(IF(AND(ISNUMBER('Real results'!C153),ISNUMBER('Real results'!D153),ISNUMBER('Raw data'!AK153),ISNUMBER('Raw data'!AL153)),IF(SIGN('Raw data'!AK153-'Raw data'!AL153)=SIGN('Real results'!C153-'Real results'!D153),3+IF(AND('Raw data'!AK153='Real results'!C153,'Raw data'!AL153='Real results'!D153),2,0),0),0),0)</f>
        <v>0</v>
      </c>
      <c r="AM157" s="29">
        <f>IFERROR(IF(AND(ISNUMBER('Real results'!C153),ISNUMBER('Real results'!D153),ISNUMBER('Raw data'!AM153),ISNUMBER('Raw data'!AN153)),IF(SIGN('Raw data'!AM153-'Raw data'!AN153)=SIGN('Real results'!C153-'Real results'!D153),3+IF(AND('Raw data'!AM153='Real results'!C153,'Raw data'!AN153='Real results'!D153),2,0),0),0),0)</f>
        <v>0</v>
      </c>
      <c r="AO157" s="29">
        <f>IFERROR(IF(AND(ISNUMBER('Real results'!C153),ISNUMBER('Real results'!D153),ISNUMBER('Raw data'!AO153),ISNUMBER('Raw data'!AP153)),IF(SIGN('Raw data'!AO153-'Raw data'!AP153)=SIGN('Real results'!C153-'Real results'!D153),3+IF(AND('Raw data'!AO153='Real results'!C153,'Raw data'!AP153='Real results'!D153),2,0),0),0),0)</f>
        <v>0</v>
      </c>
      <c r="AQ157" s="29">
        <f>IFERROR(IF(AND(ISNUMBER('Real results'!C153),ISNUMBER('Real results'!D153),ISNUMBER('Raw data'!AQ153),ISNUMBER('Raw data'!AR153)),IF(SIGN('Raw data'!AQ153-'Raw data'!AR153)=SIGN('Real results'!C153-'Real results'!D153),3+IF(AND('Raw data'!AQ153='Real results'!C153,'Raw data'!AR153='Real results'!D153),2,0),0),0),0)</f>
        <v>0</v>
      </c>
      <c r="AS157" s="29">
        <f>IFERROR(IF(AND(ISNUMBER('Real results'!C153),ISNUMBER('Real results'!D153),ISNUMBER('Raw data'!AS153),ISNUMBER('Raw data'!AT153)),IF(SIGN('Raw data'!AS153-'Raw data'!AT153)=SIGN('Real results'!C153-'Real results'!D153),3+IF(AND('Raw data'!AS153='Real results'!C153,'Raw data'!AT153='Real results'!D153),2,0),0),0),0)</f>
        <v>0</v>
      </c>
      <c r="AU157" s="29">
        <f>IFERROR(IF(AND(ISNUMBER('Real results'!C153),ISNUMBER('Real results'!D153),ISNUMBER('Raw data'!AU153),ISNUMBER('Raw data'!AV153)),IF(SIGN('Raw data'!AU153-'Raw data'!AV153)=SIGN('Real results'!C153-'Real results'!D153),3+IF(AND('Raw data'!AU153='Real results'!C153,'Raw data'!AV153='Real results'!D153),2,0),0),0),0)</f>
        <v>0</v>
      </c>
      <c r="AW157" s="29">
        <f>IFERROR(IF(AND(ISNUMBER('Real results'!C153),ISNUMBER('Real results'!D153),ISNUMBER('Raw data'!AW153),ISNUMBER('Raw data'!AX153)),IF(SIGN('Raw data'!AW153-'Raw data'!AX153)=SIGN('Real results'!C153-'Real results'!D153),3+IF(AND('Raw data'!AW153='Real results'!C153,'Raw data'!AX153='Real results'!D153),2,0),0),0),0)</f>
        <v>0</v>
      </c>
      <c r="AY157" s="29">
        <f>IFERROR(IF(AND(ISNUMBER('Real results'!C153),ISNUMBER('Real results'!D153),ISNUMBER('Raw data'!AY153),ISNUMBER('Raw data'!AZ153)),IF(SIGN('Raw data'!AY153-'Raw data'!AZ153)=SIGN('Real results'!C153-'Real results'!D153),3+IF(AND('Raw data'!AY153='Real results'!C153,'Raw data'!AZ153='Real results'!D153),2,0),0),0),0)</f>
        <v>0</v>
      </c>
      <c r="BA157" s="29">
        <f>IFERROR(IF(AND(ISNUMBER('Real results'!C153),ISNUMBER('Real results'!D153),ISNUMBER('Raw data'!BA153),ISNUMBER('Raw data'!BB153)),IF(SIGN('Raw data'!BA153-'Raw data'!BB153)=SIGN('Real results'!C153-'Real results'!D153),3+IF(AND('Raw data'!BA153='Real results'!C153,'Raw data'!BB153='Real results'!D153),2,0),0),0),0)</f>
        <v>0</v>
      </c>
      <c r="BC157" s="29">
        <f>IFERROR(IF(AND(ISNUMBER('Real results'!C153),ISNUMBER('Real results'!D153),ISNUMBER('Raw data'!BC153),ISNUMBER('Raw data'!BD153)),IF(SIGN('Raw data'!BC153-'Raw data'!BD153)=SIGN('Real results'!C153-'Real results'!D153),3+IF(AND('Raw data'!BC153='Real results'!C153,'Raw data'!BD153='Real results'!D153),2,0),0),0),0)</f>
        <v>0</v>
      </c>
      <c r="BE157" s="29">
        <f>IFERROR(IF(AND(ISNUMBER('Real results'!C153),ISNUMBER('Real results'!D153),ISNUMBER('Raw data'!BE153),ISNUMBER('Raw data'!BF153)),IF(SIGN('Raw data'!BE153-'Raw data'!BF153)=SIGN('Real results'!C153-'Real results'!D153),3+IF(AND('Raw data'!BE153='Real results'!C153,'Raw data'!BF153='Real results'!D153),2,0),0),0),0)</f>
        <v>0</v>
      </c>
      <c r="BG157" s="29">
        <f>IFERROR(IF(AND(ISNUMBER('Real results'!C153),ISNUMBER('Real results'!D153),ISNUMBER('Raw data'!BG153),ISNUMBER('Raw data'!BH153)),IF(SIGN('Raw data'!BG153-'Raw data'!BH153)=SIGN('Real results'!C153-'Real results'!D153),3+IF(AND('Raw data'!BG153='Real results'!C153,'Raw data'!BH153='Real results'!D153),2,0),0),0),0)</f>
        <v>0</v>
      </c>
      <c r="BI157" s="29">
        <f>IFERROR(IF(AND(ISNUMBER('Real results'!C153),ISNUMBER('Real results'!D153),ISNUMBER('Raw data'!BI153),ISNUMBER('Raw data'!BJ153)),IF(SIGN('Raw data'!BI153-'Raw data'!BJ153)=SIGN('Real results'!C153-'Real results'!D153),3+IF(AND('Raw data'!BI153='Real results'!C153,'Raw data'!BJ153='Real results'!D153),2,0),0),0),0)</f>
        <v>0</v>
      </c>
    </row>
    <row r="158" ht="18.0" customHeight="1">
      <c r="A158" s="1"/>
      <c r="B158" s="13" t="s">
        <v>439</v>
      </c>
      <c r="C158" s="29">
        <f>IFERROR(IF(AND('Real results'!C154&lt;&gt;"",'Raw data'!C154&lt;&gt;"",UPPER(TRIM('Real results'!C154))=UPPER(TRIM('Raw data'!C154))),1,0),0)</f>
        <v>0</v>
      </c>
      <c r="E158" s="29">
        <f>IFERROR(IF(AND('Real results'!C154&lt;&gt;"",'Raw data'!E154&lt;&gt;"",UPPER(TRIM('Real results'!C154))=UPPER(TRIM('Raw data'!E154))),1,0),0)</f>
        <v>0</v>
      </c>
      <c r="G158" s="29">
        <f>IFERROR(IF(AND('Real results'!C154&lt;&gt;"",'Raw data'!G154&lt;&gt;"",UPPER(TRIM('Real results'!C154))=UPPER(TRIM('Raw data'!G154))),1,0),0)</f>
        <v>0</v>
      </c>
      <c r="I158" s="29">
        <f>IFERROR(IF(AND('Real results'!C154&lt;&gt;"",'Raw data'!I154&lt;&gt;"",UPPER(TRIM('Real results'!C154))=UPPER(TRIM('Raw data'!I154))),1,0),0)</f>
        <v>0</v>
      </c>
      <c r="K158" s="29">
        <f>IFERROR(IF(AND('Real results'!C154&lt;&gt;"",'Raw data'!K154&lt;&gt;"",UPPER(TRIM('Real results'!C154))=UPPER(TRIM('Raw data'!K154))),1,0),0)</f>
        <v>0</v>
      </c>
      <c r="M158" s="29">
        <f>IFERROR(IF(AND('Real results'!C154&lt;&gt;"",'Raw data'!M154&lt;&gt;"",UPPER(TRIM('Real results'!C154))=UPPER(TRIM('Raw data'!M154))),1,0),0)</f>
        <v>0</v>
      </c>
      <c r="O158" s="29">
        <f>IFERROR(IF(AND('Real results'!C154&lt;&gt;"",'Raw data'!O154&lt;&gt;"",UPPER(TRIM('Real results'!C154))=UPPER(TRIM('Raw data'!O154))),1,0),0)</f>
        <v>0</v>
      </c>
      <c r="Q158" s="29">
        <f>IFERROR(IF(AND('Real results'!C154&lt;&gt;"",'Raw data'!Q154&lt;&gt;"",UPPER(TRIM('Real results'!C154))=UPPER(TRIM('Raw data'!Q154))),1,0),0)</f>
        <v>0</v>
      </c>
      <c r="S158" s="29">
        <f>IFERROR(IF(AND('Real results'!C154&lt;&gt;"",'Raw data'!S154&lt;&gt;"",UPPER(TRIM('Real results'!C154))=UPPER(TRIM('Raw data'!S154))),1,0),0)</f>
        <v>0</v>
      </c>
      <c r="U158" s="29">
        <f>IFERROR(IF(AND('Real results'!C154&lt;&gt;"",'Raw data'!U154&lt;&gt;"",UPPER(TRIM('Real results'!C154))=UPPER(TRIM('Raw data'!U154))),1,0),0)</f>
        <v>0</v>
      </c>
      <c r="W158" s="29">
        <f>IFERROR(IF(AND('Real results'!C154&lt;&gt;"",'Raw data'!W154&lt;&gt;"",UPPER(TRIM('Real results'!C154))=UPPER(TRIM('Raw data'!W154))),1,0),0)</f>
        <v>0</v>
      </c>
      <c r="Y158" s="29">
        <f>IFERROR(IF(AND('Real results'!C154&lt;&gt;"",'Raw data'!Y154&lt;&gt;"",UPPER(TRIM('Real results'!C154))=UPPER(TRIM('Raw data'!Y154))),1,0),0)</f>
        <v>0</v>
      </c>
      <c r="AA158" s="29">
        <f>IFERROR(IF(AND('Real results'!C154&lt;&gt;"",'Raw data'!AA154&lt;&gt;"",UPPER(TRIM('Real results'!C154))=UPPER(TRIM('Raw data'!AA154))),1,0),0)</f>
        <v>0</v>
      </c>
      <c r="AC158" s="29">
        <f>IFERROR(IF(AND('Real results'!C154&lt;&gt;"",'Raw data'!AC154&lt;&gt;"",UPPER(TRIM('Real results'!C154))=UPPER(TRIM('Raw data'!AC154))),1,0),0)</f>
        <v>0</v>
      </c>
      <c r="AE158" s="29">
        <f>IFERROR(IF(AND('Real results'!C154&lt;&gt;"",'Raw data'!AE154&lt;&gt;"",UPPER(TRIM('Real results'!C154))=UPPER(TRIM('Raw data'!AE154))),1,0),0)</f>
        <v>0</v>
      </c>
      <c r="AG158" s="29">
        <f>IFERROR(IF(AND('Real results'!C154&lt;&gt;"",'Raw data'!AG154&lt;&gt;"",UPPER(TRIM('Real results'!C154))=UPPER(TRIM('Raw data'!AG154))),1,0),0)</f>
        <v>0</v>
      </c>
      <c r="AI158" s="29">
        <f>IFERROR(IF(AND('Real results'!C154&lt;&gt;"",'Raw data'!AI154&lt;&gt;"",UPPER(TRIM('Real results'!C154))=UPPER(TRIM('Raw data'!AI154))),1,0),0)</f>
        <v>0</v>
      </c>
      <c r="AK158" s="29">
        <f>IFERROR(IF(AND('Real results'!C154&lt;&gt;"",'Raw data'!AK154&lt;&gt;"",UPPER(TRIM('Real results'!C154))=UPPER(TRIM('Raw data'!AK154))),1,0),0)</f>
        <v>0</v>
      </c>
      <c r="AM158" s="29">
        <f>IFERROR(IF(AND('Real results'!C154&lt;&gt;"",'Raw data'!AM154&lt;&gt;"",UPPER(TRIM('Real results'!C154))=UPPER(TRIM('Raw data'!AM154))),1,0),0)</f>
        <v>0</v>
      </c>
      <c r="AO158" s="29">
        <f>IFERROR(IF(AND('Real results'!C154&lt;&gt;"",'Raw data'!AO154&lt;&gt;"",UPPER(TRIM('Real results'!C154))=UPPER(TRIM('Raw data'!AO154))),1,0),0)</f>
        <v>0</v>
      </c>
      <c r="AQ158" s="29">
        <f>IFERROR(IF(AND('Real results'!C154&lt;&gt;"",'Raw data'!AQ154&lt;&gt;"",UPPER(TRIM('Real results'!C154))=UPPER(TRIM('Raw data'!AQ154))),1,0),0)</f>
        <v>0</v>
      </c>
      <c r="AS158" s="29">
        <f>IFERROR(IF(AND('Real results'!C154&lt;&gt;"",'Raw data'!AS154&lt;&gt;"",UPPER(TRIM('Real results'!C154))=UPPER(TRIM('Raw data'!AS154))),1,0),0)</f>
        <v>0</v>
      </c>
      <c r="AU158" s="29">
        <f>IFERROR(IF(AND('Real results'!C154&lt;&gt;"",'Raw data'!AU154&lt;&gt;"",UPPER(TRIM('Real results'!C154))=UPPER(TRIM('Raw data'!AU154))),1,0),0)</f>
        <v>0</v>
      </c>
      <c r="AW158" s="29">
        <f>IFERROR(IF(AND('Real results'!C154&lt;&gt;"",'Raw data'!AW154&lt;&gt;"",UPPER(TRIM('Real results'!C154))=UPPER(TRIM('Raw data'!AW154))),1,0),0)</f>
        <v>0</v>
      </c>
      <c r="AY158" s="29">
        <f>IFERROR(IF(AND('Real results'!C154&lt;&gt;"",'Raw data'!AY154&lt;&gt;"",UPPER(TRIM('Real results'!C154))=UPPER(TRIM('Raw data'!AY154))),1,0),0)</f>
        <v>0</v>
      </c>
      <c r="BA158" s="29">
        <f>IFERROR(IF(AND('Real results'!C154&lt;&gt;"",'Raw data'!BA154&lt;&gt;"",UPPER(TRIM('Real results'!C154))=UPPER(TRIM('Raw data'!BA154))),1,0),0)</f>
        <v>0</v>
      </c>
      <c r="BC158" s="29">
        <f>IFERROR(IF(AND('Real results'!C154&lt;&gt;"",'Raw data'!BC154&lt;&gt;"",UPPER(TRIM('Real results'!C154))=UPPER(TRIM('Raw data'!BC154))),1,0),0)</f>
        <v>0</v>
      </c>
      <c r="BE158" s="29">
        <f>IFERROR(IF(AND('Real results'!C154&lt;&gt;"",'Raw data'!BE154&lt;&gt;"",UPPER(TRIM('Real results'!C154))=UPPER(TRIM('Raw data'!BE154))),1,0),0)</f>
        <v>0</v>
      </c>
      <c r="BG158" s="29">
        <f>IFERROR(IF(AND('Real results'!C154&lt;&gt;"",'Raw data'!BG154&lt;&gt;"",UPPER(TRIM('Real results'!C154))=UPPER(TRIM('Raw data'!BG154))),1,0),0)</f>
        <v>0</v>
      </c>
      <c r="BI158" s="29">
        <f>IFERROR(IF(AND('Real results'!C154&lt;&gt;"",'Raw data'!BI154&lt;&gt;"",UPPER(TRIM('Real results'!C154))=UPPER(TRIM('Raw data'!BI154))),1,0),0)</f>
        <v>0</v>
      </c>
    </row>
    <row r="159" ht="18.0" customHeight="1">
      <c r="A159" s="1"/>
      <c r="B159" s="13" t="s">
        <v>440</v>
      </c>
      <c r="C159" s="29">
        <f>IFERROR(IF(AND('Real results'!C155&lt;&gt;"",'Raw data'!C155&lt;&gt;"",UPPER(TRIM('Real results'!C155))=UPPER(TRIM('Raw data'!C155))),1,0),0)</f>
        <v>0</v>
      </c>
      <c r="E159" s="29">
        <f>IFERROR(IF(AND('Real results'!C155&lt;&gt;"",'Raw data'!E155&lt;&gt;"",UPPER(TRIM('Real results'!C155))=UPPER(TRIM('Raw data'!E155))),1,0),0)</f>
        <v>0</v>
      </c>
      <c r="G159" s="29">
        <f>IFERROR(IF(AND('Real results'!C155&lt;&gt;"",'Raw data'!G155&lt;&gt;"",UPPER(TRIM('Real results'!C155))=UPPER(TRIM('Raw data'!G155))),1,0),0)</f>
        <v>0</v>
      </c>
      <c r="I159" s="29">
        <f>IFERROR(IF(AND('Real results'!C155&lt;&gt;"",'Raw data'!I155&lt;&gt;"",UPPER(TRIM('Real results'!C155))=UPPER(TRIM('Raw data'!I155))),1,0),0)</f>
        <v>0</v>
      </c>
      <c r="K159" s="29">
        <f>IFERROR(IF(AND('Real results'!C155&lt;&gt;"",'Raw data'!K155&lt;&gt;"",UPPER(TRIM('Real results'!C155))=UPPER(TRIM('Raw data'!K155))),1,0),0)</f>
        <v>0</v>
      </c>
      <c r="M159" s="29">
        <f>IFERROR(IF(AND('Real results'!C155&lt;&gt;"",'Raw data'!M155&lt;&gt;"",UPPER(TRIM('Real results'!C155))=UPPER(TRIM('Raw data'!M155))),1,0),0)</f>
        <v>0</v>
      </c>
      <c r="O159" s="29">
        <f>IFERROR(IF(AND('Real results'!C155&lt;&gt;"",'Raw data'!O155&lt;&gt;"",UPPER(TRIM('Real results'!C155))=UPPER(TRIM('Raw data'!O155))),1,0),0)</f>
        <v>0</v>
      </c>
      <c r="Q159" s="29">
        <f>IFERROR(IF(AND('Real results'!C155&lt;&gt;"",'Raw data'!Q155&lt;&gt;"",UPPER(TRIM('Real results'!C155))=UPPER(TRIM('Raw data'!Q155))),1,0),0)</f>
        <v>0</v>
      </c>
      <c r="S159" s="29">
        <f>IFERROR(IF(AND('Real results'!C155&lt;&gt;"",'Raw data'!S155&lt;&gt;"",UPPER(TRIM('Real results'!C155))=UPPER(TRIM('Raw data'!S155))),1,0),0)</f>
        <v>0</v>
      </c>
      <c r="U159" s="29">
        <f>IFERROR(IF(AND('Real results'!C155&lt;&gt;"",'Raw data'!U155&lt;&gt;"",UPPER(TRIM('Real results'!C155))=UPPER(TRIM('Raw data'!U155))),1,0),0)</f>
        <v>0</v>
      </c>
      <c r="W159" s="29">
        <f>IFERROR(IF(AND('Real results'!C155&lt;&gt;"",'Raw data'!W155&lt;&gt;"",UPPER(TRIM('Real results'!C155))=UPPER(TRIM('Raw data'!W155))),1,0),0)</f>
        <v>0</v>
      </c>
      <c r="Y159" s="29">
        <f>IFERROR(IF(AND('Real results'!C155&lt;&gt;"",'Raw data'!Y155&lt;&gt;"",UPPER(TRIM('Real results'!C155))=UPPER(TRIM('Raw data'!Y155))),1,0),0)</f>
        <v>0</v>
      </c>
      <c r="AA159" s="29">
        <f>IFERROR(IF(AND('Real results'!C155&lt;&gt;"",'Raw data'!AA155&lt;&gt;"",UPPER(TRIM('Real results'!C155))=UPPER(TRIM('Raw data'!AA155))),1,0),0)</f>
        <v>0</v>
      </c>
      <c r="AC159" s="29">
        <f>IFERROR(IF(AND('Real results'!C155&lt;&gt;"",'Raw data'!AC155&lt;&gt;"",UPPER(TRIM('Real results'!C155))=UPPER(TRIM('Raw data'!AC155))),1,0),0)</f>
        <v>0</v>
      </c>
      <c r="AE159" s="29">
        <f>IFERROR(IF(AND('Real results'!C155&lt;&gt;"",'Raw data'!AE155&lt;&gt;"",UPPER(TRIM('Real results'!C155))=UPPER(TRIM('Raw data'!AE155))),1,0),0)</f>
        <v>0</v>
      </c>
      <c r="AG159" s="29">
        <f>IFERROR(IF(AND('Real results'!C155&lt;&gt;"",'Raw data'!AG155&lt;&gt;"",UPPER(TRIM('Real results'!C155))=UPPER(TRIM('Raw data'!AG155))),1,0),0)</f>
        <v>0</v>
      </c>
      <c r="AI159" s="29">
        <f>IFERROR(IF(AND('Real results'!C155&lt;&gt;"",'Raw data'!AI155&lt;&gt;"",UPPER(TRIM('Real results'!C155))=UPPER(TRIM('Raw data'!AI155))),1,0),0)</f>
        <v>0</v>
      </c>
      <c r="AK159" s="29">
        <f>IFERROR(IF(AND('Real results'!C155&lt;&gt;"",'Raw data'!AK155&lt;&gt;"",UPPER(TRIM('Real results'!C155))=UPPER(TRIM('Raw data'!AK155))),1,0),0)</f>
        <v>0</v>
      </c>
      <c r="AM159" s="29">
        <f>IFERROR(IF(AND('Real results'!C155&lt;&gt;"",'Raw data'!AM155&lt;&gt;"",UPPER(TRIM('Real results'!C155))=UPPER(TRIM('Raw data'!AM155))),1,0),0)</f>
        <v>0</v>
      </c>
      <c r="AO159" s="29">
        <f>IFERROR(IF(AND('Real results'!C155&lt;&gt;"",'Raw data'!AO155&lt;&gt;"",UPPER(TRIM('Real results'!C155))=UPPER(TRIM('Raw data'!AO155))),1,0),0)</f>
        <v>0</v>
      </c>
      <c r="AQ159" s="29">
        <f>IFERROR(IF(AND('Real results'!C155&lt;&gt;"",'Raw data'!AQ155&lt;&gt;"",UPPER(TRIM('Real results'!C155))=UPPER(TRIM('Raw data'!AQ155))),1,0),0)</f>
        <v>0</v>
      </c>
      <c r="AS159" s="29">
        <f>IFERROR(IF(AND('Real results'!C155&lt;&gt;"",'Raw data'!AS155&lt;&gt;"",UPPER(TRIM('Real results'!C155))=UPPER(TRIM('Raw data'!AS155))),1,0),0)</f>
        <v>0</v>
      </c>
      <c r="AU159" s="29">
        <f>IFERROR(IF(AND('Real results'!C155&lt;&gt;"",'Raw data'!AU155&lt;&gt;"",UPPER(TRIM('Real results'!C155))=UPPER(TRIM('Raw data'!AU155))),1,0),0)</f>
        <v>0</v>
      </c>
      <c r="AW159" s="29">
        <f>IFERROR(IF(AND('Real results'!C155&lt;&gt;"",'Raw data'!AW155&lt;&gt;"",UPPER(TRIM('Real results'!C155))=UPPER(TRIM('Raw data'!AW155))),1,0),0)</f>
        <v>0</v>
      </c>
      <c r="AY159" s="29">
        <f>IFERROR(IF(AND('Real results'!C155&lt;&gt;"",'Raw data'!AY155&lt;&gt;"",UPPER(TRIM('Real results'!C155))=UPPER(TRIM('Raw data'!AY155))),1,0),0)</f>
        <v>0</v>
      </c>
      <c r="BA159" s="29">
        <f>IFERROR(IF(AND('Real results'!C155&lt;&gt;"",'Raw data'!BA155&lt;&gt;"",UPPER(TRIM('Real results'!C155))=UPPER(TRIM('Raw data'!BA155))),1,0),0)</f>
        <v>0</v>
      </c>
      <c r="BC159" s="29">
        <f>IFERROR(IF(AND('Real results'!C155&lt;&gt;"",'Raw data'!BC155&lt;&gt;"",UPPER(TRIM('Real results'!C155))=UPPER(TRIM('Raw data'!BC155))),1,0),0)</f>
        <v>0</v>
      </c>
      <c r="BE159" s="29">
        <f>IFERROR(IF(AND('Real results'!C155&lt;&gt;"",'Raw data'!BE155&lt;&gt;"",UPPER(TRIM('Real results'!C155))=UPPER(TRIM('Raw data'!BE155))),1,0),0)</f>
        <v>0</v>
      </c>
      <c r="BG159" s="29">
        <f>IFERROR(IF(AND('Real results'!C155&lt;&gt;"",'Raw data'!BG155&lt;&gt;"",UPPER(TRIM('Real results'!C155))=UPPER(TRIM('Raw data'!BG155))),1,0),0)</f>
        <v>0</v>
      </c>
      <c r="BI159" s="29">
        <f>IFERROR(IF(AND('Real results'!C155&lt;&gt;"",'Raw data'!BI155&lt;&gt;"",UPPER(TRIM('Real results'!C155))=UPPER(TRIM('Raw data'!BI155))),1,0),0)</f>
        <v>0</v>
      </c>
    </row>
    <row r="160" ht="18.0" customHeight="1">
      <c r="A160" s="1"/>
      <c r="B160" s="13" t="s">
        <v>441</v>
      </c>
      <c r="C160" s="29">
        <f>IFERROR(IF(AND(ISNUMBER('Real results'!C156),ISNUMBER('Real results'!D156),ISNUMBER('Raw data'!C156),ISNUMBER('Raw data'!D156)),IF(SIGN('Raw data'!C156-'Raw data'!D156)=SIGN('Real results'!C156-'Real results'!D156),3+IF(AND('Raw data'!C156='Real results'!C156,'Raw data'!D156='Real results'!D156),2,0),0),0),0)</f>
        <v>0</v>
      </c>
      <c r="E160" s="29">
        <f>IFERROR(IF(AND(ISNUMBER('Real results'!C156),ISNUMBER('Real results'!D156),ISNUMBER('Raw data'!E156),ISNUMBER('Raw data'!F156)),IF(SIGN('Raw data'!E156-'Raw data'!F156)=SIGN('Real results'!C156-'Real results'!D156),3+IF(AND('Raw data'!E156='Real results'!C156,'Raw data'!F156='Real results'!D156),2,0),0),0),0)</f>
        <v>0</v>
      </c>
      <c r="G160" s="29">
        <f>IFERROR(IF(AND(ISNUMBER('Real results'!C156),ISNUMBER('Real results'!D156),ISNUMBER('Raw data'!G156),ISNUMBER('Raw data'!H156)),IF(SIGN('Raw data'!G156-'Raw data'!H156)=SIGN('Real results'!C156-'Real results'!D156),3+IF(AND('Raw data'!G156='Real results'!C156,'Raw data'!H156='Real results'!D156),2,0),0),0),0)</f>
        <v>0</v>
      </c>
      <c r="I160" s="29">
        <f>IFERROR(IF(AND(ISNUMBER('Real results'!C156),ISNUMBER('Real results'!D156),ISNUMBER('Raw data'!I156),ISNUMBER('Raw data'!J156)),IF(SIGN('Raw data'!I156-'Raw data'!J156)=SIGN('Real results'!C156-'Real results'!D156),3+IF(AND('Raw data'!I156='Real results'!C156,'Raw data'!J156='Real results'!D156),2,0),0),0),0)</f>
        <v>0</v>
      </c>
      <c r="K160" s="29">
        <f>IFERROR(IF(AND(ISNUMBER('Real results'!C156),ISNUMBER('Real results'!D156),ISNUMBER('Raw data'!K156),ISNUMBER('Raw data'!L156)),IF(SIGN('Raw data'!K156-'Raw data'!L156)=SIGN('Real results'!C156-'Real results'!D156),3+IF(AND('Raw data'!K156='Real results'!C156,'Raw data'!L156='Real results'!D156),2,0),0),0),0)</f>
        <v>0</v>
      </c>
      <c r="M160" s="29">
        <f>IFERROR(IF(AND(ISNUMBER('Real results'!C156),ISNUMBER('Real results'!D156),ISNUMBER('Raw data'!M156),ISNUMBER('Raw data'!N156)),IF(SIGN('Raw data'!M156-'Raw data'!N156)=SIGN('Real results'!C156-'Real results'!D156),3+IF(AND('Raw data'!M156='Real results'!C156,'Raw data'!N156='Real results'!D156),2,0),0),0),0)</f>
        <v>0</v>
      </c>
      <c r="O160" s="29">
        <f>IFERROR(IF(AND(ISNUMBER('Real results'!C156),ISNUMBER('Real results'!D156),ISNUMBER('Raw data'!O156),ISNUMBER('Raw data'!P156)),IF(SIGN('Raw data'!O156-'Raw data'!P156)=SIGN('Real results'!C156-'Real results'!D156),3+IF(AND('Raw data'!O156='Real results'!C156,'Raw data'!P156='Real results'!D156),2,0),0),0),0)</f>
        <v>0</v>
      </c>
      <c r="Q160" s="29">
        <f>IFERROR(IF(AND(ISNUMBER('Real results'!C156),ISNUMBER('Real results'!D156),ISNUMBER('Raw data'!Q156),ISNUMBER('Raw data'!R156)),IF(SIGN('Raw data'!Q156-'Raw data'!R156)=SIGN('Real results'!C156-'Real results'!D156),3+IF(AND('Raw data'!Q156='Real results'!C156,'Raw data'!R156='Real results'!D156),2,0),0),0),0)</f>
        <v>0</v>
      </c>
      <c r="S160" s="29">
        <f>IFERROR(IF(AND(ISNUMBER('Real results'!C156),ISNUMBER('Real results'!D156),ISNUMBER('Raw data'!S156),ISNUMBER('Raw data'!T156)),IF(SIGN('Raw data'!S156-'Raw data'!T156)=SIGN('Real results'!C156-'Real results'!D156),3+IF(AND('Raw data'!S156='Real results'!C156,'Raw data'!T156='Real results'!D156),2,0),0),0),0)</f>
        <v>0</v>
      </c>
      <c r="U160" s="29">
        <f>IFERROR(IF(AND(ISNUMBER('Real results'!C156),ISNUMBER('Real results'!D156),ISNUMBER('Raw data'!U156),ISNUMBER('Raw data'!V156)),IF(SIGN('Raw data'!U156-'Raw data'!V156)=SIGN('Real results'!C156-'Real results'!D156),3+IF(AND('Raw data'!U156='Real results'!C156,'Raw data'!V156='Real results'!D156),2,0),0),0),0)</f>
        <v>0</v>
      </c>
      <c r="W160" s="29">
        <f>IFERROR(IF(AND(ISNUMBER('Real results'!C156),ISNUMBER('Real results'!D156),ISNUMBER('Raw data'!W156),ISNUMBER('Raw data'!X156)),IF(SIGN('Raw data'!W156-'Raw data'!X156)=SIGN('Real results'!C156-'Real results'!D156),3+IF(AND('Raw data'!W156='Real results'!C156,'Raw data'!X156='Real results'!D156),2,0),0),0),0)</f>
        <v>0</v>
      </c>
      <c r="Y160" s="29">
        <f>IFERROR(IF(AND(ISNUMBER('Real results'!C156),ISNUMBER('Real results'!D156),ISNUMBER('Raw data'!Y156),ISNUMBER('Raw data'!Z156)),IF(SIGN('Raw data'!Y156-'Raw data'!Z156)=SIGN('Real results'!C156-'Real results'!D156),3+IF(AND('Raw data'!Y156='Real results'!C156,'Raw data'!Z156='Real results'!D156),2,0),0),0),0)</f>
        <v>0</v>
      </c>
      <c r="AA160" s="29">
        <f>IFERROR(IF(AND(ISNUMBER('Real results'!C156),ISNUMBER('Real results'!D156),ISNUMBER('Raw data'!AA156),ISNUMBER('Raw data'!AB156)),IF(SIGN('Raw data'!AA156-'Raw data'!AB156)=SIGN('Real results'!C156-'Real results'!D156),3+IF(AND('Raw data'!AA156='Real results'!C156,'Raw data'!AB156='Real results'!D156),2,0),0),0),0)</f>
        <v>0</v>
      </c>
      <c r="AC160" s="29">
        <f>IFERROR(IF(AND(ISNUMBER('Real results'!C156),ISNUMBER('Real results'!D156),ISNUMBER('Raw data'!AC156),ISNUMBER('Raw data'!AD156)),IF(SIGN('Raw data'!AC156-'Raw data'!AD156)=SIGN('Real results'!C156-'Real results'!D156),3+IF(AND('Raw data'!AC156='Real results'!C156,'Raw data'!AD156='Real results'!D156),2,0),0),0),0)</f>
        <v>0</v>
      </c>
      <c r="AE160" s="29">
        <f>IFERROR(IF(AND(ISNUMBER('Real results'!C156),ISNUMBER('Real results'!D156),ISNUMBER('Raw data'!AE156),ISNUMBER('Raw data'!AF156)),IF(SIGN('Raw data'!AE156-'Raw data'!AF156)=SIGN('Real results'!C156-'Real results'!D156),3+IF(AND('Raw data'!AE156='Real results'!C156,'Raw data'!AF156='Real results'!D156),2,0),0),0),0)</f>
        <v>0</v>
      </c>
      <c r="AG160" s="29">
        <f>IFERROR(IF(AND(ISNUMBER('Real results'!C156),ISNUMBER('Real results'!D156),ISNUMBER('Raw data'!AG156),ISNUMBER('Raw data'!AH156)),IF(SIGN('Raw data'!AG156-'Raw data'!AH156)=SIGN('Real results'!C156-'Real results'!D156),3+IF(AND('Raw data'!AG156='Real results'!C156,'Raw data'!AH156='Real results'!D156),2,0),0),0),0)</f>
        <v>0</v>
      </c>
      <c r="AI160" s="29">
        <f>IFERROR(IF(AND(ISNUMBER('Real results'!C156),ISNUMBER('Real results'!D156),ISNUMBER('Raw data'!AI156),ISNUMBER('Raw data'!AJ156)),IF(SIGN('Raw data'!AI156-'Raw data'!AJ156)=SIGN('Real results'!C156-'Real results'!D156),3+IF(AND('Raw data'!AI156='Real results'!C156,'Raw data'!AJ156='Real results'!D156),2,0),0),0),0)</f>
        <v>0</v>
      </c>
      <c r="AK160" s="29">
        <f>IFERROR(IF(AND(ISNUMBER('Real results'!C156),ISNUMBER('Real results'!D156),ISNUMBER('Raw data'!AK156),ISNUMBER('Raw data'!AL156)),IF(SIGN('Raw data'!AK156-'Raw data'!AL156)=SIGN('Real results'!C156-'Real results'!D156),3+IF(AND('Raw data'!AK156='Real results'!C156,'Raw data'!AL156='Real results'!D156),2,0),0),0),0)</f>
        <v>0</v>
      </c>
      <c r="AM160" s="29">
        <f>IFERROR(IF(AND(ISNUMBER('Real results'!C156),ISNUMBER('Real results'!D156),ISNUMBER('Raw data'!AM156),ISNUMBER('Raw data'!AN156)),IF(SIGN('Raw data'!AM156-'Raw data'!AN156)=SIGN('Real results'!C156-'Real results'!D156),3+IF(AND('Raw data'!AM156='Real results'!C156,'Raw data'!AN156='Real results'!D156),2,0),0),0),0)</f>
        <v>0</v>
      </c>
      <c r="AO160" s="29">
        <f>IFERROR(IF(AND(ISNUMBER('Real results'!C156),ISNUMBER('Real results'!D156),ISNUMBER('Raw data'!AO156),ISNUMBER('Raw data'!AP156)),IF(SIGN('Raw data'!AO156-'Raw data'!AP156)=SIGN('Real results'!C156-'Real results'!D156),3+IF(AND('Raw data'!AO156='Real results'!C156,'Raw data'!AP156='Real results'!D156),2,0),0),0),0)</f>
        <v>0</v>
      </c>
      <c r="AQ160" s="29">
        <f>IFERROR(IF(AND(ISNUMBER('Real results'!C156),ISNUMBER('Real results'!D156),ISNUMBER('Raw data'!AQ156),ISNUMBER('Raw data'!AR156)),IF(SIGN('Raw data'!AQ156-'Raw data'!AR156)=SIGN('Real results'!C156-'Real results'!D156),3+IF(AND('Raw data'!AQ156='Real results'!C156,'Raw data'!AR156='Real results'!D156),2,0),0),0),0)</f>
        <v>0</v>
      </c>
      <c r="AS160" s="29">
        <f>IFERROR(IF(AND(ISNUMBER('Real results'!C156),ISNUMBER('Real results'!D156),ISNUMBER('Raw data'!AS156),ISNUMBER('Raw data'!AT156)),IF(SIGN('Raw data'!AS156-'Raw data'!AT156)=SIGN('Real results'!C156-'Real results'!D156),3+IF(AND('Raw data'!AS156='Real results'!C156,'Raw data'!AT156='Real results'!D156),2,0),0),0),0)</f>
        <v>0</v>
      </c>
      <c r="AU160" s="29">
        <f>IFERROR(IF(AND(ISNUMBER('Real results'!C156),ISNUMBER('Real results'!D156),ISNUMBER('Raw data'!AU156),ISNUMBER('Raw data'!AV156)),IF(SIGN('Raw data'!AU156-'Raw data'!AV156)=SIGN('Real results'!C156-'Real results'!D156),3+IF(AND('Raw data'!AU156='Real results'!C156,'Raw data'!AV156='Real results'!D156),2,0),0),0),0)</f>
        <v>0</v>
      </c>
      <c r="AW160" s="29">
        <f>IFERROR(IF(AND(ISNUMBER('Real results'!C156),ISNUMBER('Real results'!D156),ISNUMBER('Raw data'!AW156),ISNUMBER('Raw data'!AX156)),IF(SIGN('Raw data'!AW156-'Raw data'!AX156)=SIGN('Real results'!C156-'Real results'!D156),3+IF(AND('Raw data'!AW156='Real results'!C156,'Raw data'!AX156='Real results'!D156),2,0),0),0),0)</f>
        <v>0</v>
      </c>
      <c r="AY160" s="29">
        <f>IFERROR(IF(AND(ISNUMBER('Real results'!C156),ISNUMBER('Real results'!D156),ISNUMBER('Raw data'!AY156),ISNUMBER('Raw data'!AZ156)),IF(SIGN('Raw data'!AY156-'Raw data'!AZ156)=SIGN('Real results'!C156-'Real results'!D156),3+IF(AND('Raw data'!AY156='Real results'!C156,'Raw data'!AZ156='Real results'!D156),2,0),0),0),0)</f>
        <v>0</v>
      </c>
      <c r="BA160" s="29">
        <f>IFERROR(IF(AND(ISNUMBER('Real results'!C156),ISNUMBER('Real results'!D156),ISNUMBER('Raw data'!BA156),ISNUMBER('Raw data'!BB156)),IF(SIGN('Raw data'!BA156-'Raw data'!BB156)=SIGN('Real results'!C156-'Real results'!D156),3+IF(AND('Raw data'!BA156='Real results'!C156,'Raw data'!BB156='Real results'!D156),2,0),0),0),0)</f>
        <v>0</v>
      </c>
      <c r="BC160" s="29">
        <f>IFERROR(IF(AND(ISNUMBER('Real results'!C156),ISNUMBER('Real results'!D156),ISNUMBER('Raw data'!BC156),ISNUMBER('Raw data'!BD156)),IF(SIGN('Raw data'!BC156-'Raw data'!BD156)=SIGN('Real results'!C156-'Real results'!D156),3+IF(AND('Raw data'!BC156='Real results'!C156,'Raw data'!BD156='Real results'!D156),2,0),0),0),0)</f>
        <v>0</v>
      </c>
      <c r="BE160" s="29">
        <f>IFERROR(IF(AND(ISNUMBER('Real results'!C156),ISNUMBER('Real results'!D156),ISNUMBER('Raw data'!BE156),ISNUMBER('Raw data'!BF156)),IF(SIGN('Raw data'!BE156-'Raw data'!BF156)=SIGN('Real results'!C156-'Real results'!D156),3+IF(AND('Raw data'!BE156='Real results'!C156,'Raw data'!BF156='Real results'!D156),2,0),0),0),0)</f>
        <v>0</v>
      </c>
      <c r="BG160" s="29">
        <f>IFERROR(IF(AND(ISNUMBER('Real results'!C156),ISNUMBER('Real results'!D156),ISNUMBER('Raw data'!BG156),ISNUMBER('Raw data'!BH156)),IF(SIGN('Raw data'!BG156-'Raw data'!BH156)=SIGN('Real results'!C156-'Real results'!D156),3+IF(AND('Raw data'!BG156='Real results'!C156,'Raw data'!BH156='Real results'!D156),2,0),0),0),0)</f>
        <v>0</v>
      </c>
      <c r="BI160" s="29">
        <f>IFERROR(IF(AND(ISNUMBER('Real results'!C156),ISNUMBER('Real results'!D156),ISNUMBER('Raw data'!BI156),ISNUMBER('Raw data'!BJ156)),IF(SIGN('Raw data'!BI156-'Raw data'!BJ156)=SIGN('Real results'!C156-'Real results'!D156),3+IF(AND('Raw data'!BI156='Real results'!C156,'Raw data'!BJ156='Real results'!D156),2,0),0),0),0)</f>
        <v>0</v>
      </c>
    </row>
    <row r="161" ht="18.0" customHeight="1">
      <c r="A161" s="1"/>
      <c r="B161" s="13" t="s">
        <v>442</v>
      </c>
      <c r="C161" s="29">
        <f>IFERROR(IF(AND('Real results'!C157&lt;&gt;"",'Raw data'!C157&lt;&gt;"",UPPER(TRIM('Real results'!C157))=UPPER(TRIM('Raw data'!C157))),1,0),0)</f>
        <v>0</v>
      </c>
      <c r="E161" s="29">
        <f>IFERROR(IF(AND('Real results'!C157&lt;&gt;"",'Raw data'!E157&lt;&gt;"",UPPER(TRIM('Real results'!C157))=UPPER(TRIM('Raw data'!E157))),1,0),0)</f>
        <v>0</v>
      </c>
      <c r="G161" s="29">
        <f>IFERROR(IF(AND('Real results'!C157&lt;&gt;"",'Raw data'!G157&lt;&gt;"",UPPER(TRIM('Real results'!C157))=UPPER(TRIM('Raw data'!G157))),1,0),0)</f>
        <v>0</v>
      </c>
      <c r="I161" s="29">
        <f>IFERROR(IF(AND('Real results'!C157&lt;&gt;"",'Raw data'!I157&lt;&gt;"",UPPER(TRIM('Real results'!C157))=UPPER(TRIM('Raw data'!I157))),1,0),0)</f>
        <v>0</v>
      </c>
      <c r="K161" s="29">
        <f>IFERROR(IF(AND('Real results'!C157&lt;&gt;"",'Raw data'!K157&lt;&gt;"",UPPER(TRIM('Real results'!C157))=UPPER(TRIM('Raw data'!K157))),1,0),0)</f>
        <v>0</v>
      </c>
      <c r="M161" s="29">
        <f>IFERROR(IF(AND('Real results'!C157&lt;&gt;"",'Raw data'!M157&lt;&gt;"",UPPER(TRIM('Real results'!C157))=UPPER(TRIM('Raw data'!M157))),1,0),0)</f>
        <v>0</v>
      </c>
      <c r="O161" s="29">
        <f>IFERROR(IF(AND('Real results'!C157&lt;&gt;"",'Raw data'!O157&lt;&gt;"",UPPER(TRIM('Real results'!C157))=UPPER(TRIM('Raw data'!O157))),1,0),0)</f>
        <v>0</v>
      </c>
      <c r="Q161" s="29">
        <f>IFERROR(IF(AND('Real results'!C157&lt;&gt;"",'Raw data'!Q157&lt;&gt;"",UPPER(TRIM('Real results'!C157))=UPPER(TRIM('Raw data'!Q157))),1,0),0)</f>
        <v>0</v>
      </c>
      <c r="S161" s="29">
        <f>IFERROR(IF(AND('Real results'!C157&lt;&gt;"",'Raw data'!S157&lt;&gt;"",UPPER(TRIM('Real results'!C157))=UPPER(TRIM('Raw data'!S157))),1,0),0)</f>
        <v>0</v>
      </c>
      <c r="U161" s="29">
        <f>IFERROR(IF(AND('Real results'!C157&lt;&gt;"",'Raw data'!U157&lt;&gt;"",UPPER(TRIM('Real results'!C157))=UPPER(TRIM('Raw data'!U157))),1,0),0)</f>
        <v>0</v>
      </c>
      <c r="W161" s="29">
        <f>IFERROR(IF(AND('Real results'!C157&lt;&gt;"",'Raw data'!W157&lt;&gt;"",UPPER(TRIM('Real results'!C157))=UPPER(TRIM('Raw data'!W157))),1,0),0)</f>
        <v>0</v>
      </c>
      <c r="Y161" s="29">
        <f>IFERROR(IF(AND('Real results'!C157&lt;&gt;"",'Raw data'!Y157&lt;&gt;"",UPPER(TRIM('Real results'!C157))=UPPER(TRIM('Raw data'!Y157))),1,0),0)</f>
        <v>0</v>
      </c>
      <c r="AA161" s="29">
        <f>IFERROR(IF(AND('Real results'!C157&lt;&gt;"",'Raw data'!AA157&lt;&gt;"",UPPER(TRIM('Real results'!C157))=UPPER(TRIM('Raw data'!AA157))),1,0),0)</f>
        <v>0</v>
      </c>
      <c r="AC161" s="29">
        <f>IFERROR(IF(AND('Real results'!C157&lt;&gt;"",'Raw data'!AC157&lt;&gt;"",UPPER(TRIM('Real results'!C157))=UPPER(TRIM('Raw data'!AC157))),1,0),0)</f>
        <v>0</v>
      </c>
      <c r="AE161" s="29">
        <f>IFERROR(IF(AND('Real results'!C157&lt;&gt;"",'Raw data'!AE157&lt;&gt;"",UPPER(TRIM('Real results'!C157))=UPPER(TRIM('Raw data'!AE157))),1,0),0)</f>
        <v>0</v>
      </c>
      <c r="AG161" s="29">
        <f>IFERROR(IF(AND('Real results'!C157&lt;&gt;"",'Raw data'!AG157&lt;&gt;"",UPPER(TRIM('Real results'!C157))=UPPER(TRIM('Raw data'!AG157))),1,0),0)</f>
        <v>0</v>
      </c>
      <c r="AI161" s="29">
        <f>IFERROR(IF(AND('Real results'!C157&lt;&gt;"",'Raw data'!AI157&lt;&gt;"",UPPER(TRIM('Real results'!C157))=UPPER(TRIM('Raw data'!AI157))),1,0),0)</f>
        <v>0</v>
      </c>
      <c r="AK161" s="29">
        <f>IFERROR(IF(AND('Real results'!C157&lt;&gt;"",'Raw data'!AK157&lt;&gt;"",UPPER(TRIM('Real results'!C157))=UPPER(TRIM('Raw data'!AK157))),1,0),0)</f>
        <v>0</v>
      </c>
      <c r="AM161" s="29">
        <f>IFERROR(IF(AND('Real results'!C157&lt;&gt;"",'Raw data'!AM157&lt;&gt;"",UPPER(TRIM('Real results'!C157))=UPPER(TRIM('Raw data'!AM157))),1,0),0)</f>
        <v>0</v>
      </c>
      <c r="AO161" s="29">
        <f>IFERROR(IF(AND('Real results'!C157&lt;&gt;"",'Raw data'!AO157&lt;&gt;"",UPPER(TRIM('Real results'!C157))=UPPER(TRIM('Raw data'!AO157))),1,0),0)</f>
        <v>0</v>
      </c>
      <c r="AQ161" s="29">
        <f>IFERROR(IF(AND('Real results'!C157&lt;&gt;"",'Raw data'!AQ157&lt;&gt;"",UPPER(TRIM('Real results'!C157))=UPPER(TRIM('Raw data'!AQ157))),1,0),0)</f>
        <v>0</v>
      </c>
      <c r="AS161" s="29">
        <f>IFERROR(IF(AND('Real results'!C157&lt;&gt;"",'Raw data'!AS157&lt;&gt;"",UPPER(TRIM('Real results'!C157))=UPPER(TRIM('Raw data'!AS157))),1,0),0)</f>
        <v>0</v>
      </c>
      <c r="AU161" s="29">
        <f>IFERROR(IF(AND('Real results'!C157&lt;&gt;"",'Raw data'!AU157&lt;&gt;"",UPPER(TRIM('Real results'!C157))=UPPER(TRIM('Raw data'!AU157))),1,0),0)</f>
        <v>0</v>
      </c>
      <c r="AW161" s="29">
        <f>IFERROR(IF(AND('Real results'!C157&lt;&gt;"",'Raw data'!AW157&lt;&gt;"",UPPER(TRIM('Real results'!C157))=UPPER(TRIM('Raw data'!AW157))),1,0),0)</f>
        <v>0</v>
      </c>
      <c r="AY161" s="29">
        <f>IFERROR(IF(AND('Real results'!C157&lt;&gt;"",'Raw data'!AY157&lt;&gt;"",UPPER(TRIM('Real results'!C157))=UPPER(TRIM('Raw data'!AY157))),1,0),0)</f>
        <v>0</v>
      </c>
      <c r="BA161" s="29">
        <f>IFERROR(IF(AND('Real results'!C157&lt;&gt;"",'Raw data'!BA157&lt;&gt;"",UPPER(TRIM('Real results'!C157))=UPPER(TRIM('Raw data'!BA157))),1,0),0)</f>
        <v>0</v>
      </c>
      <c r="BC161" s="29">
        <f>IFERROR(IF(AND('Real results'!C157&lt;&gt;"",'Raw data'!BC157&lt;&gt;"",UPPER(TRIM('Real results'!C157))=UPPER(TRIM('Raw data'!BC157))),1,0),0)</f>
        <v>0</v>
      </c>
      <c r="BE161" s="29">
        <f>IFERROR(IF(AND('Real results'!C157&lt;&gt;"",'Raw data'!BE157&lt;&gt;"",UPPER(TRIM('Real results'!C157))=UPPER(TRIM('Raw data'!BE157))),1,0),0)</f>
        <v>0</v>
      </c>
      <c r="BG161" s="29">
        <f>IFERROR(IF(AND('Real results'!C157&lt;&gt;"",'Raw data'!BG157&lt;&gt;"",UPPER(TRIM('Real results'!C157))=UPPER(TRIM('Raw data'!BG157))),1,0),0)</f>
        <v>0</v>
      </c>
      <c r="BI161" s="29">
        <f>IFERROR(IF(AND('Real results'!C157&lt;&gt;"",'Raw data'!BI157&lt;&gt;"",UPPER(TRIM('Real results'!C157))=UPPER(TRIM('Raw data'!BI157))),1,0),0)</f>
        <v>0</v>
      </c>
    </row>
    <row r="162" ht="18.0" customHeight="1">
      <c r="A162" s="1"/>
      <c r="B162" s="13" t="s">
        <v>443</v>
      </c>
      <c r="C162" s="29">
        <f>IFERROR(IF(AND('Real results'!C158&lt;&gt;"",'Raw data'!C158&lt;&gt;"",UPPER(TRIM('Real results'!C158))=UPPER(TRIM('Raw data'!C158))),1,0),0)</f>
        <v>0</v>
      </c>
      <c r="E162" s="29">
        <f>IFERROR(IF(AND('Real results'!C158&lt;&gt;"",'Raw data'!E158&lt;&gt;"",UPPER(TRIM('Real results'!C158))=UPPER(TRIM('Raw data'!E158))),1,0),0)</f>
        <v>0</v>
      </c>
      <c r="G162" s="29">
        <f>IFERROR(IF(AND('Real results'!C158&lt;&gt;"",'Raw data'!G158&lt;&gt;"",UPPER(TRIM('Real results'!C158))=UPPER(TRIM('Raw data'!G158))),1,0),0)</f>
        <v>0</v>
      </c>
      <c r="I162" s="29">
        <f>IFERROR(IF(AND('Real results'!C158&lt;&gt;"",'Raw data'!I158&lt;&gt;"",UPPER(TRIM('Real results'!C158))=UPPER(TRIM('Raw data'!I158))),1,0),0)</f>
        <v>0</v>
      </c>
      <c r="K162" s="29">
        <f>IFERROR(IF(AND('Real results'!C158&lt;&gt;"",'Raw data'!K158&lt;&gt;"",UPPER(TRIM('Real results'!C158))=UPPER(TRIM('Raw data'!K158))),1,0),0)</f>
        <v>0</v>
      </c>
      <c r="M162" s="29">
        <f>IFERROR(IF(AND('Real results'!C158&lt;&gt;"",'Raw data'!M158&lt;&gt;"",UPPER(TRIM('Real results'!C158))=UPPER(TRIM('Raw data'!M158))),1,0),0)</f>
        <v>0</v>
      </c>
      <c r="O162" s="29">
        <f>IFERROR(IF(AND('Real results'!C158&lt;&gt;"",'Raw data'!O158&lt;&gt;"",UPPER(TRIM('Real results'!C158))=UPPER(TRIM('Raw data'!O158))),1,0),0)</f>
        <v>0</v>
      </c>
      <c r="Q162" s="29">
        <f>IFERROR(IF(AND('Real results'!C158&lt;&gt;"",'Raw data'!Q158&lt;&gt;"",UPPER(TRIM('Real results'!C158))=UPPER(TRIM('Raw data'!Q158))),1,0),0)</f>
        <v>0</v>
      </c>
      <c r="S162" s="29">
        <f>IFERROR(IF(AND('Real results'!C158&lt;&gt;"",'Raw data'!S158&lt;&gt;"",UPPER(TRIM('Real results'!C158))=UPPER(TRIM('Raw data'!S158))),1,0),0)</f>
        <v>0</v>
      </c>
      <c r="U162" s="29">
        <f>IFERROR(IF(AND('Real results'!C158&lt;&gt;"",'Raw data'!U158&lt;&gt;"",UPPER(TRIM('Real results'!C158))=UPPER(TRIM('Raw data'!U158))),1,0),0)</f>
        <v>0</v>
      </c>
      <c r="W162" s="29">
        <f>IFERROR(IF(AND('Real results'!C158&lt;&gt;"",'Raw data'!W158&lt;&gt;"",UPPER(TRIM('Real results'!C158))=UPPER(TRIM('Raw data'!W158))),1,0),0)</f>
        <v>0</v>
      </c>
      <c r="Y162" s="29">
        <f>IFERROR(IF(AND('Real results'!C158&lt;&gt;"",'Raw data'!Y158&lt;&gt;"",UPPER(TRIM('Real results'!C158))=UPPER(TRIM('Raw data'!Y158))),1,0),0)</f>
        <v>0</v>
      </c>
      <c r="AA162" s="29">
        <f>IFERROR(IF(AND('Real results'!C158&lt;&gt;"",'Raw data'!AA158&lt;&gt;"",UPPER(TRIM('Real results'!C158))=UPPER(TRIM('Raw data'!AA158))),1,0),0)</f>
        <v>0</v>
      </c>
      <c r="AC162" s="29">
        <f>IFERROR(IF(AND('Real results'!C158&lt;&gt;"",'Raw data'!AC158&lt;&gt;"",UPPER(TRIM('Real results'!C158))=UPPER(TRIM('Raw data'!AC158))),1,0),0)</f>
        <v>0</v>
      </c>
      <c r="AE162" s="29">
        <f>IFERROR(IF(AND('Real results'!C158&lt;&gt;"",'Raw data'!AE158&lt;&gt;"",UPPER(TRIM('Real results'!C158))=UPPER(TRIM('Raw data'!AE158))),1,0),0)</f>
        <v>0</v>
      </c>
      <c r="AG162" s="29">
        <f>IFERROR(IF(AND('Real results'!C158&lt;&gt;"",'Raw data'!AG158&lt;&gt;"",UPPER(TRIM('Real results'!C158))=UPPER(TRIM('Raw data'!AG158))),1,0),0)</f>
        <v>0</v>
      </c>
      <c r="AI162" s="29">
        <f>IFERROR(IF(AND('Real results'!C158&lt;&gt;"",'Raw data'!AI158&lt;&gt;"",UPPER(TRIM('Real results'!C158))=UPPER(TRIM('Raw data'!AI158))),1,0),0)</f>
        <v>0</v>
      </c>
      <c r="AK162" s="29">
        <f>IFERROR(IF(AND('Real results'!C158&lt;&gt;"",'Raw data'!AK158&lt;&gt;"",UPPER(TRIM('Real results'!C158))=UPPER(TRIM('Raw data'!AK158))),1,0),0)</f>
        <v>0</v>
      </c>
      <c r="AM162" s="29">
        <f>IFERROR(IF(AND('Real results'!C158&lt;&gt;"",'Raw data'!AM158&lt;&gt;"",UPPER(TRIM('Real results'!C158))=UPPER(TRIM('Raw data'!AM158))),1,0),0)</f>
        <v>0</v>
      </c>
      <c r="AO162" s="29">
        <f>IFERROR(IF(AND('Real results'!C158&lt;&gt;"",'Raw data'!AO158&lt;&gt;"",UPPER(TRIM('Real results'!C158))=UPPER(TRIM('Raw data'!AO158))),1,0),0)</f>
        <v>0</v>
      </c>
      <c r="AQ162" s="29">
        <f>IFERROR(IF(AND('Real results'!C158&lt;&gt;"",'Raw data'!AQ158&lt;&gt;"",UPPER(TRIM('Real results'!C158))=UPPER(TRIM('Raw data'!AQ158))),1,0),0)</f>
        <v>0</v>
      </c>
      <c r="AS162" s="29">
        <f>IFERROR(IF(AND('Real results'!C158&lt;&gt;"",'Raw data'!AS158&lt;&gt;"",UPPER(TRIM('Real results'!C158))=UPPER(TRIM('Raw data'!AS158))),1,0),0)</f>
        <v>0</v>
      </c>
      <c r="AU162" s="29">
        <f>IFERROR(IF(AND('Real results'!C158&lt;&gt;"",'Raw data'!AU158&lt;&gt;"",UPPER(TRIM('Real results'!C158))=UPPER(TRIM('Raw data'!AU158))),1,0),0)</f>
        <v>0</v>
      </c>
      <c r="AW162" s="29">
        <f>IFERROR(IF(AND('Real results'!C158&lt;&gt;"",'Raw data'!AW158&lt;&gt;"",UPPER(TRIM('Real results'!C158))=UPPER(TRIM('Raw data'!AW158))),1,0),0)</f>
        <v>0</v>
      </c>
      <c r="AY162" s="29">
        <f>IFERROR(IF(AND('Real results'!C158&lt;&gt;"",'Raw data'!AY158&lt;&gt;"",UPPER(TRIM('Real results'!C158))=UPPER(TRIM('Raw data'!AY158))),1,0),0)</f>
        <v>0</v>
      </c>
      <c r="BA162" s="29">
        <f>IFERROR(IF(AND('Real results'!C158&lt;&gt;"",'Raw data'!BA158&lt;&gt;"",UPPER(TRIM('Real results'!C158))=UPPER(TRIM('Raw data'!BA158))),1,0),0)</f>
        <v>0</v>
      </c>
      <c r="BC162" s="29">
        <f>IFERROR(IF(AND('Real results'!C158&lt;&gt;"",'Raw data'!BC158&lt;&gt;"",UPPER(TRIM('Real results'!C158))=UPPER(TRIM('Raw data'!BC158))),1,0),0)</f>
        <v>0</v>
      </c>
      <c r="BE162" s="29">
        <f>IFERROR(IF(AND('Real results'!C158&lt;&gt;"",'Raw data'!BE158&lt;&gt;"",UPPER(TRIM('Real results'!C158))=UPPER(TRIM('Raw data'!BE158))),1,0),0)</f>
        <v>0</v>
      </c>
      <c r="BG162" s="29">
        <f>IFERROR(IF(AND('Real results'!C158&lt;&gt;"",'Raw data'!BG158&lt;&gt;"",UPPER(TRIM('Real results'!C158))=UPPER(TRIM('Raw data'!BG158))),1,0),0)</f>
        <v>0</v>
      </c>
      <c r="BI162" s="29">
        <f>IFERROR(IF(AND('Real results'!C158&lt;&gt;"",'Raw data'!BI158&lt;&gt;"",UPPER(TRIM('Real results'!C158))=UPPER(TRIM('Raw data'!BI158))),1,0),0)</f>
        <v>0</v>
      </c>
    </row>
    <row r="163" ht="18.0" customHeight="1">
      <c r="A163" s="1"/>
      <c r="B163" s="13" t="s">
        <v>444</v>
      </c>
      <c r="C163" s="29">
        <f>IFERROR(IF(AND(ISNUMBER('Real results'!C159),ISNUMBER('Real results'!D159),ISNUMBER('Raw data'!C159),ISNUMBER('Raw data'!D159)),IF(SIGN('Raw data'!C159-'Raw data'!D159)=SIGN('Real results'!C159-'Real results'!D159),3+IF(AND('Raw data'!C159='Real results'!C159,'Raw data'!D159='Real results'!D159),2,0),0),0),0)</f>
        <v>0</v>
      </c>
      <c r="E163" s="29">
        <f>IFERROR(IF(AND(ISNUMBER('Real results'!C159),ISNUMBER('Real results'!D159),ISNUMBER('Raw data'!E159),ISNUMBER('Raw data'!F159)),IF(SIGN('Raw data'!E159-'Raw data'!F159)=SIGN('Real results'!C159-'Real results'!D159),3+IF(AND('Raw data'!E159='Real results'!C159,'Raw data'!F159='Real results'!D159),2,0),0),0),0)</f>
        <v>0</v>
      </c>
      <c r="G163" s="29">
        <f>IFERROR(IF(AND(ISNUMBER('Real results'!C159),ISNUMBER('Real results'!D159),ISNUMBER('Raw data'!G159),ISNUMBER('Raw data'!H159)),IF(SIGN('Raw data'!G159-'Raw data'!H159)=SIGN('Real results'!C159-'Real results'!D159),3+IF(AND('Raw data'!G159='Real results'!C159,'Raw data'!H159='Real results'!D159),2,0),0),0),0)</f>
        <v>0</v>
      </c>
      <c r="I163" s="29">
        <f>IFERROR(IF(AND(ISNUMBER('Real results'!C159),ISNUMBER('Real results'!D159),ISNUMBER('Raw data'!I159),ISNUMBER('Raw data'!J159)),IF(SIGN('Raw data'!I159-'Raw data'!J159)=SIGN('Real results'!C159-'Real results'!D159),3+IF(AND('Raw data'!I159='Real results'!C159,'Raw data'!J159='Real results'!D159),2,0),0),0),0)</f>
        <v>0</v>
      </c>
      <c r="K163" s="29">
        <f>IFERROR(IF(AND(ISNUMBER('Real results'!C159),ISNUMBER('Real results'!D159),ISNUMBER('Raw data'!K159),ISNUMBER('Raw data'!L159)),IF(SIGN('Raw data'!K159-'Raw data'!L159)=SIGN('Real results'!C159-'Real results'!D159),3+IF(AND('Raw data'!K159='Real results'!C159,'Raw data'!L159='Real results'!D159),2,0),0),0),0)</f>
        <v>0</v>
      </c>
      <c r="M163" s="29">
        <f>IFERROR(IF(AND(ISNUMBER('Real results'!C159),ISNUMBER('Real results'!D159),ISNUMBER('Raw data'!M159),ISNUMBER('Raw data'!N159)),IF(SIGN('Raw data'!M159-'Raw data'!N159)=SIGN('Real results'!C159-'Real results'!D159),3+IF(AND('Raw data'!M159='Real results'!C159,'Raw data'!N159='Real results'!D159),2,0),0),0),0)</f>
        <v>0</v>
      </c>
      <c r="O163" s="29">
        <f>IFERROR(IF(AND(ISNUMBER('Real results'!C159),ISNUMBER('Real results'!D159),ISNUMBER('Raw data'!O159),ISNUMBER('Raw data'!P159)),IF(SIGN('Raw data'!O159-'Raw data'!P159)=SIGN('Real results'!C159-'Real results'!D159),3+IF(AND('Raw data'!O159='Real results'!C159,'Raw data'!P159='Real results'!D159),2,0),0),0),0)</f>
        <v>0</v>
      </c>
      <c r="Q163" s="29">
        <f>IFERROR(IF(AND(ISNUMBER('Real results'!C159),ISNUMBER('Real results'!D159),ISNUMBER('Raw data'!Q159),ISNUMBER('Raw data'!R159)),IF(SIGN('Raw data'!Q159-'Raw data'!R159)=SIGN('Real results'!C159-'Real results'!D159),3+IF(AND('Raw data'!Q159='Real results'!C159,'Raw data'!R159='Real results'!D159),2,0),0),0),0)</f>
        <v>0</v>
      </c>
      <c r="S163" s="29">
        <f>IFERROR(IF(AND(ISNUMBER('Real results'!C159),ISNUMBER('Real results'!D159),ISNUMBER('Raw data'!S159),ISNUMBER('Raw data'!T159)),IF(SIGN('Raw data'!S159-'Raw data'!T159)=SIGN('Real results'!C159-'Real results'!D159),3+IF(AND('Raw data'!S159='Real results'!C159,'Raw data'!T159='Real results'!D159),2,0),0),0),0)</f>
        <v>0</v>
      </c>
      <c r="U163" s="29">
        <f>IFERROR(IF(AND(ISNUMBER('Real results'!C159),ISNUMBER('Real results'!D159),ISNUMBER('Raw data'!U159),ISNUMBER('Raw data'!V159)),IF(SIGN('Raw data'!U159-'Raw data'!V159)=SIGN('Real results'!C159-'Real results'!D159),3+IF(AND('Raw data'!U159='Real results'!C159,'Raw data'!V159='Real results'!D159),2,0),0),0),0)</f>
        <v>0</v>
      </c>
      <c r="W163" s="29">
        <f>IFERROR(IF(AND(ISNUMBER('Real results'!C159),ISNUMBER('Real results'!D159),ISNUMBER('Raw data'!W159),ISNUMBER('Raw data'!X159)),IF(SIGN('Raw data'!W159-'Raw data'!X159)=SIGN('Real results'!C159-'Real results'!D159),3+IF(AND('Raw data'!W159='Real results'!C159,'Raw data'!X159='Real results'!D159),2,0),0),0),0)</f>
        <v>0</v>
      </c>
      <c r="Y163" s="29">
        <f>IFERROR(IF(AND(ISNUMBER('Real results'!C159),ISNUMBER('Real results'!D159),ISNUMBER('Raw data'!Y159),ISNUMBER('Raw data'!Z159)),IF(SIGN('Raw data'!Y159-'Raw data'!Z159)=SIGN('Real results'!C159-'Real results'!D159),3+IF(AND('Raw data'!Y159='Real results'!C159,'Raw data'!Z159='Real results'!D159),2,0),0),0),0)</f>
        <v>0</v>
      </c>
      <c r="AA163" s="29">
        <f>IFERROR(IF(AND(ISNUMBER('Real results'!C159),ISNUMBER('Real results'!D159),ISNUMBER('Raw data'!AA159),ISNUMBER('Raw data'!AB159)),IF(SIGN('Raw data'!AA159-'Raw data'!AB159)=SIGN('Real results'!C159-'Real results'!D159),3+IF(AND('Raw data'!AA159='Real results'!C159,'Raw data'!AB159='Real results'!D159),2,0),0),0),0)</f>
        <v>0</v>
      </c>
      <c r="AC163" s="29">
        <f>IFERROR(IF(AND(ISNUMBER('Real results'!C159),ISNUMBER('Real results'!D159),ISNUMBER('Raw data'!AC159),ISNUMBER('Raw data'!AD159)),IF(SIGN('Raw data'!AC159-'Raw data'!AD159)=SIGN('Real results'!C159-'Real results'!D159),3+IF(AND('Raw data'!AC159='Real results'!C159,'Raw data'!AD159='Real results'!D159),2,0),0),0),0)</f>
        <v>0</v>
      </c>
      <c r="AE163" s="29">
        <f>IFERROR(IF(AND(ISNUMBER('Real results'!C159),ISNUMBER('Real results'!D159),ISNUMBER('Raw data'!AE159),ISNUMBER('Raw data'!AF159)),IF(SIGN('Raw data'!AE159-'Raw data'!AF159)=SIGN('Real results'!C159-'Real results'!D159),3+IF(AND('Raw data'!AE159='Real results'!C159,'Raw data'!AF159='Real results'!D159),2,0),0),0),0)</f>
        <v>0</v>
      </c>
      <c r="AG163" s="29">
        <f>IFERROR(IF(AND(ISNUMBER('Real results'!C159),ISNUMBER('Real results'!D159),ISNUMBER('Raw data'!AG159),ISNUMBER('Raw data'!AH159)),IF(SIGN('Raw data'!AG159-'Raw data'!AH159)=SIGN('Real results'!C159-'Real results'!D159),3+IF(AND('Raw data'!AG159='Real results'!C159,'Raw data'!AH159='Real results'!D159),2,0),0),0),0)</f>
        <v>0</v>
      </c>
      <c r="AI163" s="29">
        <f>IFERROR(IF(AND(ISNUMBER('Real results'!C159),ISNUMBER('Real results'!D159),ISNUMBER('Raw data'!AI159),ISNUMBER('Raw data'!AJ159)),IF(SIGN('Raw data'!AI159-'Raw data'!AJ159)=SIGN('Real results'!C159-'Real results'!D159),3+IF(AND('Raw data'!AI159='Real results'!C159,'Raw data'!AJ159='Real results'!D159),2,0),0),0),0)</f>
        <v>0</v>
      </c>
      <c r="AK163" s="29">
        <f>IFERROR(IF(AND(ISNUMBER('Real results'!C159),ISNUMBER('Real results'!D159),ISNUMBER('Raw data'!AK159),ISNUMBER('Raw data'!AL159)),IF(SIGN('Raw data'!AK159-'Raw data'!AL159)=SIGN('Real results'!C159-'Real results'!D159),3+IF(AND('Raw data'!AK159='Real results'!C159,'Raw data'!AL159='Real results'!D159),2,0),0),0),0)</f>
        <v>0</v>
      </c>
      <c r="AM163" s="29">
        <f>IFERROR(IF(AND(ISNUMBER('Real results'!C159),ISNUMBER('Real results'!D159),ISNUMBER('Raw data'!AM159),ISNUMBER('Raw data'!AN159)),IF(SIGN('Raw data'!AM159-'Raw data'!AN159)=SIGN('Real results'!C159-'Real results'!D159),3+IF(AND('Raw data'!AM159='Real results'!C159,'Raw data'!AN159='Real results'!D159),2,0),0),0),0)</f>
        <v>0</v>
      </c>
      <c r="AO163" s="29">
        <f>IFERROR(IF(AND(ISNUMBER('Real results'!C159),ISNUMBER('Real results'!D159),ISNUMBER('Raw data'!AO159),ISNUMBER('Raw data'!AP159)),IF(SIGN('Raw data'!AO159-'Raw data'!AP159)=SIGN('Real results'!C159-'Real results'!D159),3+IF(AND('Raw data'!AO159='Real results'!C159,'Raw data'!AP159='Real results'!D159),2,0),0),0),0)</f>
        <v>0</v>
      </c>
      <c r="AQ163" s="29">
        <f>IFERROR(IF(AND(ISNUMBER('Real results'!C159),ISNUMBER('Real results'!D159),ISNUMBER('Raw data'!AQ159),ISNUMBER('Raw data'!AR159)),IF(SIGN('Raw data'!AQ159-'Raw data'!AR159)=SIGN('Real results'!C159-'Real results'!D159),3+IF(AND('Raw data'!AQ159='Real results'!C159,'Raw data'!AR159='Real results'!D159),2,0),0),0),0)</f>
        <v>0</v>
      </c>
      <c r="AS163" s="29">
        <f>IFERROR(IF(AND(ISNUMBER('Real results'!C159),ISNUMBER('Real results'!D159),ISNUMBER('Raw data'!AS159),ISNUMBER('Raw data'!AT159)),IF(SIGN('Raw data'!AS159-'Raw data'!AT159)=SIGN('Real results'!C159-'Real results'!D159),3+IF(AND('Raw data'!AS159='Real results'!C159,'Raw data'!AT159='Real results'!D159),2,0),0),0),0)</f>
        <v>0</v>
      </c>
      <c r="AU163" s="29">
        <f>IFERROR(IF(AND(ISNUMBER('Real results'!C159),ISNUMBER('Real results'!D159),ISNUMBER('Raw data'!AU159),ISNUMBER('Raw data'!AV159)),IF(SIGN('Raw data'!AU159-'Raw data'!AV159)=SIGN('Real results'!C159-'Real results'!D159),3+IF(AND('Raw data'!AU159='Real results'!C159,'Raw data'!AV159='Real results'!D159),2,0),0),0),0)</f>
        <v>0</v>
      </c>
      <c r="AW163" s="29">
        <f>IFERROR(IF(AND(ISNUMBER('Real results'!C159),ISNUMBER('Real results'!D159),ISNUMBER('Raw data'!AW159),ISNUMBER('Raw data'!AX159)),IF(SIGN('Raw data'!AW159-'Raw data'!AX159)=SIGN('Real results'!C159-'Real results'!D159),3+IF(AND('Raw data'!AW159='Real results'!C159,'Raw data'!AX159='Real results'!D159),2,0),0),0),0)</f>
        <v>0</v>
      </c>
      <c r="AY163" s="29">
        <f>IFERROR(IF(AND(ISNUMBER('Real results'!C159),ISNUMBER('Real results'!D159),ISNUMBER('Raw data'!AY159),ISNUMBER('Raw data'!AZ159)),IF(SIGN('Raw data'!AY159-'Raw data'!AZ159)=SIGN('Real results'!C159-'Real results'!D159),3+IF(AND('Raw data'!AY159='Real results'!C159,'Raw data'!AZ159='Real results'!D159),2,0),0),0),0)</f>
        <v>0</v>
      </c>
      <c r="BA163" s="29">
        <f>IFERROR(IF(AND(ISNUMBER('Real results'!C159),ISNUMBER('Real results'!D159),ISNUMBER('Raw data'!BA159),ISNUMBER('Raw data'!BB159)),IF(SIGN('Raw data'!BA159-'Raw data'!BB159)=SIGN('Real results'!C159-'Real results'!D159),3+IF(AND('Raw data'!BA159='Real results'!C159,'Raw data'!BB159='Real results'!D159),2,0),0),0),0)</f>
        <v>0</v>
      </c>
      <c r="BC163" s="29">
        <f>IFERROR(IF(AND(ISNUMBER('Real results'!C159),ISNUMBER('Real results'!D159),ISNUMBER('Raw data'!BC159),ISNUMBER('Raw data'!BD159)),IF(SIGN('Raw data'!BC159-'Raw data'!BD159)=SIGN('Real results'!C159-'Real results'!D159),3+IF(AND('Raw data'!BC159='Real results'!C159,'Raw data'!BD159='Real results'!D159),2,0),0),0),0)</f>
        <v>0</v>
      </c>
      <c r="BE163" s="29">
        <f>IFERROR(IF(AND(ISNUMBER('Real results'!C159),ISNUMBER('Real results'!D159),ISNUMBER('Raw data'!BE159),ISNUMBER('Raw data'!BF159)),IF(SIGN('Raw data'!BE159-'Raw data'!BF159)=SIGN('Real results'!C159-'Real results'!D159),3+IF(AND('Raw data'!BE159='Real results'!C159,'Raw data'!BF159='Real results'!D159),2,0),0),0),0)</f>
        <v>0</v>
      </c>
      <c r="BG163" s="29">
        <f>IFERROR(IF(AND(ISNUMBER('Real results'!C159),ISNUMBER('Real results'!D159),ISNUMBER('Raw data'!BG159),ISNUMBER('Raw data'!BH159)),IF(SIGN('Raw data'!BG159-'Raw data'!BH159)=SIGN('Real results'!C159-'Real results'!D159),3+IF(AND('Raw data'!BG159='Real results'!C159,'Raw data'!BH159='Real results'!D159),2,0),0),0),0)</f>
        <v>0</v>
      </c>
      <c r="BI163" s="29">
        <f>IFERROR(IF(AND(ISNUMBER('Real results'!C159),ISNUMBER('Real results'!D159),ISNUMBER('Raw data'!BI159),ISNUMBER('Raw data'!BJ159)),IF(SIGN('Raw data'!BI159-'Raw data'!BJ159)=SIGN('Real results'!C159-'Real results'!D159),3+IF(AND('Raw data'!BI159='Real results'!C159,'Raw data'!BJ159='Real results'!D159),2,0),0),0),0)</f>
        <v>0</v>
      </c>
    </row>
    <row r="164" ht="18.0" customHeight="1">
      <c r="A164" s="1"/>
      <c r="B164" s="13" t="s">
        <v>445</v>
      </c>
      <c r="C164" s="29">
        <f>IFERROR(IF(AND('Real results'!C160&lt;&gt;"",'Raw data'!C160&lt;&gt;"",UPPER(TRIM('Real results'!C160))=UPPER(TRIM('Raw data'!C160))),1,0),0)</f>
        <v>0</v>
      </c>
      <c r="E164" s="29">
        <f>IFERROR(IF(AND('Real results'!C160&lt;&gt;"",'Raw data'!E160&lt;&gt;"",UPPER(TRIM('Real results'!C160))=UPPER(TRIM('Raw data'!E160))),1,0),0)</f>
        <v>0</v>
      </c>
      <c r="G164" s="29">
        <f>IFERROR(IF(AND('Real results'!C160&lt;&gt;"",'Raw data'!G160&lt;&gt;"",UPPER(TRIM('Real results'!C160))=UPPER(TRIM('Raw data'!G160))),1,0),0)</f>
        <v>0</v>
      </c>
      <c r="I164" s="29">
        <f>IFERROR(IF(AND('Real results'!C160&lt;&gt;"",'Raw data'!I160&lt;&gt;"",UPPER(TRIM('Real results'!C160))=UPPER(TRIM('Raw data'!I160))),1,0),0)</f>
        <v>0</v>
      </c>
      <c r="K164" s="29">
        <f>IFERROR(IF(AND('Real results'!C160&lt;&gt;"",'Raw data'!K160&lt;&gt;"",UPPER(TRIM('Real results'!C160))=UPPER(TRIM('Raw data'!K160))),1,0),0)</f>
        <v>0</v>
      </c>
      <c r="M164" s="29">
        <f>IFERROR(IF(AND('Real results'!C160&lt;&gt;"",'Raw data'!M160&lt;&gt;"",UPPER(TRIM('Real results'!C160))=UPPER(TRIM('Raw data'!M160))),1,0),0)</f>
        <v>0</v>
      </c>
      <c r="O164" s="29">
        <f>IFERROR(IF(AND('Real results'!C160&lt;&gt;"",'Raw data'!O160&lt;&gt;"",UPPER(TRIM('Real results'!C160))=UPPER(TRIM('Raw data'!O160))),1,0),0)</f>
        <v>0</v>
      </c>
      <c r="Q164" s="29">
        <f>IFERROR(IF(AND('Real results'!C160&lt;&gt;"",'Raw data'!Q160&lt;&gt;"",UPPER(TRIM('Real results'!C160))=UPPER(TRIM('Raw data'!Q160))),1,0),0)</f>
        <v>0</v>
      </c>
      <c r="S164" s="29">
        <f>IFERROR(IF(AND('Real results'!C160&lt;&gt;"",'Raw data'!S160&lt;&gt;"",UPPER(TRIM('Real results'!C160))=UPPER(TRIM('Raw data'!S160))),1,0),0)</f>
        <v>0</v>
      </c>
      <c r="U164" s="29">
        <f>IFERROR(IF(AND('Real results'!C160&lt;&gt;"",'Raw data'!U160&lt;&gt;"",UPPER(TRIM('Real results'!C160))=UPPER(TRIM('Raw data'!U160))),1,0),0)</f>
        <v>0</v>
      </c>
      <c r="W164" s="29">
        <f>IFERROR(IF(AND('Real results'!C160&lt;&gt;"",'Raw data'!W160&lt;&gt;"",UPPER(TRIM('Real results'!C160))=UPPER(TRIM('Raw data'!W160))),1,0),0)</f>
        <v>0</v>
      </c>
      <c r="Y164" s="29">
        <f>IFERROR(IF(AND('Real results'!C160&lt;&gt;"",'Raw data'!Y160&lt;&gt;"",UPPER(TRIM('Real results'!C160))=UPPER(TRIM('Raw data'!Y160))),1,0),0)</f>
        <v>0</v>
      </c>
      <c r="AA164" s="29">
        <f>IFERROR(IF(AND('Real results'!C160&lt;&gt;"",'Raw data'!AA160&lt;&gt;"",UPPER(TRIM('Real results'!C160))=UPPER(TRIM('Raw data'!AA160))),1,0),0)</f>
        <v>0</v>
      </c>
      <c r="AC164" s="29">
        <f>IFERROR(IF(AND('Real results'!C160&lt;&gt;"",'Raw data'!AC160&lt;&gt;"",UPPER(TRIM('Real results'!C160))=UPPER(TRIM('Raw data'!AC160))),1,0),0)</f>
        <v>0</v>
      </c>
      <c r="AE164" s="29">
        <f>IFERROR(IF(AND('Real results'!C160&lt;&gt;"",'Raw data'!AE160&lt;&gt;"",UPPER(TRIM('Real results'!C160))=UPPER(TRIM('Raw data'!AE160))),1,0),0)</f>
        <v>0</v>
      </c>
      <c r="AG164" s="29">
        <f>IFERROR(IF(AND('Real results'!C160&lt;&gt;"",'Raw data'!AG160&lt;&gt;"",UPPER(TRIM('Real results'!C160))=UPPER(TRIM('Raw data'!AG160))),1,0),0)</f>
        <v>0</v>
      </c>
      <c r="AI164" s="29">
        <f>IFERROR(IF(AND('Real results'!C160&lt;&gt;"",'Raw data'!AI160&lt;&gt;"",UPPER(TRIM('Real results'!C160))=UPPER(TRIM('Raw data'!AI160))),1,0),0)</f>
        <v>0</v>
      </c>
      <c r="AK164" s="29">
        <f>IFERROR(IF(AND('Real results'!C160&lt;&gt;"",'Raw data'!AK160&lt;&gt;"",UPPER(TRIM('Real results'!C160))=UPPER(TRIM('Raw data'!AK160))),1,0),0)</f>
        <v>0</v>
      </c>
      <c r="AM164" s="29">
        <f>IFERROR(IF(AND('Real results'!C160&lt;&gt;"",'Raw data'!AM160&lt;&gt;"",UPPER(TRIM('Real results'!C160))=UPPER(TRIM('Raw data'!AM160))),1,0),0)</f>
        <v>0</v>
      </c>
      <c r="AO164" s="29">
        <f>IFERROR(IF(AND('Real results'!C160&lt;&gt;"",'Raw data'!AO160&lt;&gt;"",UPPER(TRIM('Real results'!C160))=UPPER(TRIM('Raw data'!AO160))),1,0),0)</f>
        <v>0</v>
      </c>
      <c r="AQ164" s="29">
        <f>IFERROR(IF(AND('Real results'!C160&lt;&gt;"",'Raw data'!AQ160&lt;&gt;"",UPPER(TRIM('Real results'!C160))=UPPER(TRIM('Raw data'!AQ160))),1,0),0)</f>
        <v>0</v>
      </c>
      <c r="AS164" s="29">
        <f>IFERROR(IF(AND('Real results'!C160&lt;&gt;"",'Raw data'!AS160&lt;&gt;"",UPPER(TRIM('Real results'!C160))=UPPER(TRIM('Raw data'!AS160))),1,0),0)</f>
        <v>0</v>
      </c>
      <c r="AU164" s="29">
        <f>IFERROR(IF(AND('Real results'!C160&lt;&gt;"",'Raw data'!AU160&lt;&gt;"",UPPER(TRIM('Real results'!C160))=UPPER(TRIM('Raw data'!AU160))),1,0),0)</f>
        <v>0</v>
      </c>
      <c r="AW164" s="29">
        <f>IFERROR(IF(AND('Real results'!C160&lt;&gt;"",'Raw data'!AW160&lt;&gt;"",UPPER(TRIM('Real results'!C160))=UPPER(TRIM('Raw data'!AW160))),1,0),0)</f>
        <v>0</v>
      </c>
      <c r="AY164" s="29">
        <f>IFERROR(IF(AND('Real results'!C160&lt;&gt;"",'Raw data'!AY160&lt;&gt;"",UPPER(TRIM('Real results'!C160))=UPPER(TRIM('Raw data'!AY160))),1,0),0)</f>
        <v>0</v>
      </c>
      <c r="BA164" s="29">
        <f>IFERROR(IF(AND('Real results'!C160&lt;&gt;"",'Raw data'!BA160&lt;&gt;"",UPPER(TRIM('Real results'!C160))=UPPER(TRIM('Raw data'!BA160))),1,0),0)</f>
        <v>0</v>
      </c>
      <c r="BC164" s="29">
        <f>IFERROR(IF(AND('Real results'!C160&lt;&gt;"",'Raw data'!BC160&lt;&gt;"",UPPER(TRIM('Real results'!C160))=UPPER(TRIM('Raw data'!BC160))),1,0),0)</f>
        <v>0</v>
      </c>
      <c r="BE164" s="29">
        <f>IFERROR(IF(AND('Real results'!C160&lt;&gt;"",'Raw data'!BE160&lt;&gt;"",UPPER(TRIM('Real results'!C160))=UPPER(TRIM('Raw data'!BE160))),1,0),0)</f>
        <v>0</v>
      </c>
      <c r="BG164" s="29">
        <f>IFERROR(IF(AND('Real results'!C160&lt;&gt;"",'Raw data'!BG160&lt;&gt;"",UPPER(TRIM('Real results'!C160))=UPPER(TRIM('Raw data'!BG160))),1,0),0)</f>
        <v>0</v>
      </c>
      <c r="BI164" s="29">
        <f>IFERROR(IF(AND('Real results'!C160&lt;&gt;"",'Raw data'!BI160&lt;&gt;"",UPPER(TRIM('Real results'!C160))=UPPER(TRIM('Raw data'!BI160))),1,0),0)</f>
        <v>0</v>
      </c>
    </row>
    <row r="165" ht="18.0" customHeight="1">
      <c r="A165" s="1"/>
      <c r="B165" s="13" t="s">
        <v>446</v>
      </c>
      <c r="C165" s="29">
        <f>IFERROR(IF(AND('Real results'!C161&lt;&gt;"",'Raw data'!C161&lt;&gt;"",UPPER(TRIM('Real results'!C161))=UPPER(TRIM('Raw data'!C161))),1,0),0)</f>
        <v>0</v>
      </c>
      <c r="E165" s="29">
        <f>IFERROR(IF(AND('Real results'!C161&lt;&gt;"",'Raw data'!E161&lt;&gt;"",UPPER(TRIM('Real results'!C161))=UPPER(TRIM('Raw data'!E161))),1,0),0)</f>
        <v>0</v>
      </c>
      <c r="G165" s="29">
        <f>IFERROR(IF(AND('Real results'!C161&lt;&gt;"",'Raw data'!G161&lt;&gt;"",UPPER(TRIM('Real results'!C161))=UPPER(TRIM('Raw data'!G161))),1,0),0)</f>
        <v>0</v>
      </c>
      <c r="I165" s="29">
        <f>IFERROR(IF(AND('Real results'!C161&lt;&gt;"",'Raw data'!I161&lt;&gt;"",UPPER(TRIM('Real results'!C161))=UPPER(TRIM('Raw data'!I161))),1,0),0)</f>
        <v>0</v>
      </c>
      <c r="K165" s="29">
        <f>IFERROR(IF(AND('Real results'!C161&lt;&gt;"",'Raw data'!K161&lt;&gt;"",UPPER(TRIM('Real results'!C161))=UPPER(TRIM('Raw data'!K161))),1,0),0)</f>
        <v>0</v>
      </c>
      <c r="M165" s="29">
        <f>IFERROR(IF(AND('Real results'!C161&lt;&gt;"",'Raw data'!M161&lt;&gt;"",UPPER(TRIM('Real results'!C161))=UPPER(TRIM('Raw data'!M161))),1,0),0)</f>
        <v>0</v>
      </c>
      <c r="O165" s="29">
        <f>IFERROR(IF(AND('Real results'!C161&lt;&gt;"",'Raw data'!O161&lt;&gt;"",UPPER(TRIM('Real results'!C161))=UPPER(TRIM('Raw data'!O161))),1,0),0)</f>
        <v>0</v>
      </c>
      <c r="Q165" s="29">
        <f>IFERROR(IF(AND('Real results'!C161&lt;&gt;"",'Raw data'!Q161&lt;&gt;"",UPPER(TRIM('Real results'!C161))=UPPER(TRIM('Raw data'!Q161))),1,0),0)</f>
        <v>0</v>
      </c>
      <c r="S165" s="29">
        <f>IFERROR(IF(AND('Real results'!C161&lt;&gt;"",'Raw data'!S161&lt;&gt;"",UPPER(TRIM('Real results'!C161))=UPPER(TRIM('Raw data'!S161))),1,0),0)</f>
        <v>0</v>
      </c>
      <c r="U165" s="29">
        <f>IFERROR(IF(AND('Real results'!C161&lt;&gt;"",'Raw data'!U161&lt;&gt;"",UPPER(TRIM('Real results'!C161))=UPPER(TRIM('Raw data'!U161))),1,0),0)</f>
        <v>0</v>
      </c>
      <c r="W165" s="29">
        <f>IFERROR(IF(AND('Real results'!C161&lt;&gt;"",'Raw data'!W161&lt;&gt;"",UPPER(TRIM('Real results'!C161))=UPPER(TRIM('Raw data'!W161))),1,0),0)</f>
        <v>0</v>
      </c>
      <c r="Y165" s="29">
        <f>IFERROR(IF(AND('Real results'!C161&lt;&gt;"",'Raw data'!Y161&lt;&gt;"",UPPER(TRIM('Real results'!C161))=UPPER(TRIM('Raw data'!Y161))),1,0),0)</f>
        <v>0</v>
      </c>
      <c r="AA165" s="29">
        <f>IFERROR(IF(AND('Real results'!C161&lt;&gt;"",'Raw data'!AA161&lt;&gt;"",UPPER(TRIM('Real results'!C161))=UPPER(TRIM('Raw data'!AA161))),1,0),0)</f>
        <v>0</v>
      </c>
      <c r="AC165" s="29">
        <f>IFERROR(IF(AND('Real results'!C161&lt;&gt;"",'Raw data'!AC161&lt;&gt;"",UPPER(TRIM('Real results'!C161))=UPPER(TRIM('Raw data'!AC161))),1,0),0)</f>
        <v>0</v>
      </c>
      <c r="AE165" s="29">
        <f>IFERROR(IF(AND('Real results'!C161&lt;&gt;"",'Raw data'!AE161&lt;&gt;"",UPPER(TRIM('Real results'!C161))=UPPER(TRIM('Raw data'!AE161))),1,0),0)</f>
        <v>0</v>
      </c>
      <c r="AG165" s="29">
        <f>IFERROR(IF(AND('Real results'!C161&lt;&gt;"",'Raw data'!AG161&lt;&gt;"",UPPER(TRIM('Real results'!C161))=UPPER(TRIM('Raw data'!AG161))),1,0),0)</f>
        <v>0</v>
      </c>
      <c r="AI165" s="29">
        <f>IFERROR(IF(AND('Real results'!C161&lt;&gt;"",'Raw data'!AI161&lt;&gt;"",UPPER(TRIM('Real results'!C161))=UPPER(TRIM('Raw data'!AI161))),1,0),0)</f>
        <v>0</v>
      </c>
      <c r="AK165" s="29">
        <f>IFERROR(IF(AND('Real results'!C161&lt;&gt;"",'Raw data'!AK161&lt;&gt;"",UPPER(TRIM('Real results'!C161))=UPPER(TRIM('Raw data'!AK161))),1,0),0)</f>
        <v>0</v>
      </c>
      <c r="AM165" s="29">
        <f>IFERROR(IF(AND('Real results'!C161&lt;&gt;"",'Raw data'!AM161&lt;&gt;"",UPPER(TRIM('Real results'!C161))=UPPER(TRIM('Raw data'!AM161))),1,0),0)</f>
        <v>0</v>
      </c>
      <c r="AO165" s="29">
        <f>IFERROR(IF(AND('Real results'!C161&lt;&gt;"",'Raw data'!AO161&lt;&gt;"",UPPER(TRIM('Real results'!C161))=UPPER(TRIM('Raw data'!AO161))),1,0),0)</f>
        <v>0</v>
      </c>
      <c r="AQ165" s="29">
        <f>IFERROR(IF(AND('Real results'!C161&lt;&gt;"",'Raw data'!AQ161&lt;&gt;"",UPPER(TRIM('Real results'!C161))=UPPER(TRIM('Raw data'!AQ161))),1,0),0)</f>
        <v>0</v>
      </c>
      <c r="AS165" s="29">
        <f>IFERROR(IF(AND('Real results'!C161&lt;&gt;"",'Raw data'!AS161&lt;&gt;"",UPPER(TRIM('Real results'!C161))=UPPER(TRIM('Raw data'!AS161))),1,0),0)</f>
        <v>0</v>
      </c>
      <c r="AU165" s="29">
        <f>IFERROR(IF(AND('Real results'!C161&lt;&gt;"",'Raw data'!AU161&lt;&gt;"",UPPER(TRIM('Real results'!C161))=UPPER(TRIM('Raw data'!AU161))),1,0),0)</f>
        <v>0</v>
      </c>
      <c r="AW165" s="29">
        <f>IFERROR(IF(AND('Real results'!C161&lt;&gt;"",'Raw data'!AW161&lt;&gt;"",UPPER(TRIM('Real results'!C161))=UPPER(TRIM('Raw data'!AW161))),1,0),0)</f>
        <v>0</v>
      </c>
      <c r="AY165" s="29">
        <f>IFERROR(IF(AND('Real results'!C161&lt;&gt;"",'Raw data'!AY161&lt;&gt;"",UPPER(TRIM('Real results'!C161))=UPPER(TRIM('Raw data'!AY161))),1,0),0)</f>
        <v>0</v>
      </c>
      <c r="BA165" s="29">
        <f>IFERROR(IF(AND('Real results'!C161&lt;&gt;"",'Raw data'!BA161&lt;&gt;"",UPPER(TRIM('Real results'!C161))=UPPER(TRIM('Raw data'!BA161))),1,0),0)</f>
        <v>0</v>
      </c>
      <c r="BC165" s="29">
        <f>IFERROR(IF(AND('Real results'!C161&lt;&gt;"",'Raw data'!BC161&lt;&gt;"",UPPER(TRIM('Real results'!C161))=UPPER(TRIM('Raw data'!BC161))),1,0),0)</f>
        <v>0</v>
      </c>
      <c r="BE165" s="29">
        <f>IFERROR(IF(AND('Real results'!C161&lt;&gt;"",'Raw data'!BE161&lt;&gt;"",UPPER(TRIM('Real results'!C161))=UPPER(TRIM('Raw data'!BE161))),1,0),0)</f>
        <v>0</v>
      </c>
      <c r="BG165" s="29">
        <f>IFERROR(IF(AND('Real results'!C161&lt;&gt;"",'Raw data'!BG161&lt;&gt;"",UPPER(TRIM('Real results'!C161))=UPPER(TRIM('Raw data'!BG161))),1,0),0)</f>
        <v>0</v>
      </c>
      <c r="BI165" s="29">
        <f>IFERROR(IF(AND('Real results'!C161&lt;&gt;"",'Raw data'!BI161&lt;&gt;"",UPPER(TRIM('Real results'!C161))=UPPER(TRIM('Raw data'!BI161))),1,0),0)</f>
        <v>0</v>
      </c>
    </row>
    <row r="166" ht="18.0" customHeight="1">
      <c r="A166" s="1"/>
      <c r="B166" s="13" t="s">
        <v>447</v>
      </c>
      <c r="C166" s="29">
        <f>IFERROR(IF(AND(ISNUMBER('Real results'!C162),ISNUMBER('Real results'!D162),ISNUMBER('Raw data'!C162),ISNUMBER('Raw data'!D162)),IF(SIGN('Raw data'!C162-'Raw data'!D162)=SIGN('Real results'!C162-'Real results'!D162),3+IF(AND('Raw data'!C162='Real results'!C162,'Raw data'!D162='Real results'!D162),2,0),0),0),0)</f>
        <v>0</v>
      </c>
      <c r="E166" s="29">
        <f>IFERROR(IF(AND(ISNUMBER('Real results'!C162),ISNUMBER('Real results'!D162),ISNUMBER('Raw data'!E162),ISNUMBER('Raw data'!F162)),IF(SIGN('Raw data'!E162-'Raw data'!F162)=SIGN('Real results'!C162-'Real results'!D162),3+IF(AND('Raw data'!E162='Real results'!C162,'Raw data'!F162='Real results'!D162),2,0),0),0),0)</f>
        <v>0</v>
      </c>
      <c r="G166" s="29">
        <f>IFERROR(IF(AND(ISNUMBER('Real results'!C162),ISNUMBER('Real results'!D162),ISNUMBER('Raw data'!G162),ISNUMBER('Raw data'!H162)),IF(SIGN('Raw data'!G162-'Raw data'!H162)=SIGN('Real results'!C162-'Real results'!D162),3+IF(AND('Raw data'!G162='Real results'!C162,'Raw data'!H162='Real results'!D162),2,0),0),0),0)</f>
        <v>0</v>
      </c>
      <c r="I166" s="29">
        <f>IFERROR(IF(AND(ISNUMBER('Real results'!C162),ISNUMBER('Real results'!D162),ISNUMBER('Raw data'!I162),ISNUMBER('Raw data'!J162)),IF(SIGN('Raw data'!I162-'Raw data'!J162)=SIGN('Real results'!C162-'Real results'!D162),3+IF(AND('Raw data'!I162='Real results'!C162,'Raw data'!J162='Real results'!D162),2,0),0),0),0)</f>
        <v>0</v>
      </c>
      <c r="K166" s="29">
        <f>IFERROR(IF(AND(ISNUMBER('Real results'!C162),ISNUMBER('Real results'!D162),ISNUMBER('Raw data'!K162),ISNUMBER('Raw data'!L162)),IF(SIGN('Raw data'!K162-'Raw data'!L162)=SIGN('Real results'!C162-'Real results'!D162),3+IF(AND('Raw data'!K162='Real results'!C162,'Raw data'!L162='Real results'!D162),2,0),0),0),0)</f>
        <v>0</v>
      </c>
      <c r="M166" s="29">
        <f>IFERROR(IF(AND(ISNUMBER('Real results'!C162),ISNUMBER('Real results'!D162),ISNUMBER('Raw data'!M162),ISNUMBER('Raw data'!N162)),IF(SIGN('Raw data'!M162-'Raw data'!N162)=SIGN('Real results'!C162-'Real results'!D162),3+IF(AND('Raw data'!M162='Real results'!C162,'Raw data'!N162='Real results'!D162),2,0),0),0),0)</f>
        <v>0</v>
      </c>
      <c r="O166" s="29">
        <f>IFERROR(IF(AND(ISNUMBER('Real results'!C162),ISNUMBER('Real results'!D162),ISNUMBER('Raw data'!O162),ISNUMBER('Raw data'!P162)),IF(SIGN('Raw data'!O162-'Raw data'!P162)=SIGN('Real results'!C162-'Real results'!D162),3+IF(AND('Raw data'!O162='Real results'!C162,'Raw data'!P162='Real results'!D162),2,0),0),0),0)</f>
        <v>0</v>
      </c>
      <c r="Q166" s="29">
        <f>IFERROR(IF(AND(ISNUMBER('Real results'!C162),ISNUMBER('Real results'!D162),ISNUMBER('Raw data'!Q162),ISNUMBER('Raw data'!R162)),IF(SIGN('Raw data'!Q162-'Raw data'!R162)=SIGN('Real results'!C162-'Real results'!D162),3+IF(AND('Raw data'!Q162='Real results'!C162,'Raw data'!R162='Real results'!D162),2,0),0),0),0)</f>
        <v>0</v>
      </c>
      <c r="S166" s="29">
        <f>IFERROR(IF(AND(ISNUMBER('Real results'!C162),ISNUMBER('Real results'!D162),ISNUMBER('Raw data'!S162),ISNUMBER('Raw data'!T162)),IF(SIGN('Raw data'!S162-'Raw data'!T162)=SIGN('Real results'!C162-'Real results'!D162),3+IF(AND('Raw data'!S162='Real results'!C162,'Raw data'!T162='Real results'!D162),2,0),0),0),0)</f>
        <v>0</v>
      </c>
      <c r="U166" s="29">
        <f>IFERROR(IF(AND(ISNUMBER('Real results'!C162),ISNUMBER('Real results'!D162),ISNUMBER('Raw data'!U162),ISNUMBER('Raw data'!V162)),IF(SIGN('Raw data'!U162-'Raw data'!V162)=SIGN('Real results'!C162-'Real results'!D162),3+IF(AND('Raw data'!U162='Real results'!C162,'Raw data'!V162='Real results'!D162),2,0),0),0),0)</f>
        <v>0</v>
      </c>
      <c r="W166" s="29">
        <f>IFERROR(IF(AND(ISNUMBER('Real results'!C162),ISNUMBER('Real results'!D162),ISNUMBER('Raw data'!W162),ISNUMBER('Raw data'!X162)),IF(SIGN('Raw data'!W162-'Raw data'!X162)=SIGN('Real results'!C162-'Real results'!D162),3+IF(AND('Raw data'!W162='Real results'!C162,'Raw data'!X162='Real results'!D162),2,0),0),0),0)</f>
        <v>0</v>
      </c>
      <c r="Y166" s="29">
        <f>IFERROR(IF(AND(ISNUMBER('Real results'!C162),ISNUMBER('Real results'!D162),ISNUMBER('Raw data'!Y162),ISNUMBER('Raw data'!Z162)),IF(SIGN('Raw data'!Y162-'Raw data'!Z162)=SIGN('Real results'!C162-'Real results'!D162),3+IF(AND('Raw data'!Y162='Real results'!C162,'Raw data'!Z162='Real results'!D162),2,0),0),0),0)</f>
        <v>0</v>
      </c>
      <c r="AA166" s="29">
        <f>IFERROR(IF(AND(ISNUMBER('Real results'!C162),ISNUMBER('Real results'!D162),ISNUMBER('Raw data'!AA162),ISNUMBER('Raw data'!AB162)),IF(SIGN('Raw data'!AA162-'Raw data'!AB162)=SIGN('Real results'!C162-'Real results'!D162),3+IF(AND('Raw data'!AA162='Real results'!C162,'Raw data'!AB162='Real results'!D162),2,0),0),0),0)</f>
        <v>0</v>
      </c>
      <c r="AC166" s="29">
        <f>IFERROR(IF(AND(ISNUMBER('Real results'!C162),ISNUMBER('Real results'!D162),ISNUMBER('Raw data'!AC162),ISNUMBER('Raw data'!AD162)),IF(SIGN('Raw data'!AC162-'Raw data'!AD162)=SIGN('Real results'!C162-'Real results'!D162),3+IF(AND('Raw data'!AC162='Real results'!C162,'Raw data'!AD162='Real results'!D162),2,0),0),0),0)</f>
        <v>0</v>
      </c>
      <c r="AE166" s="29">
        <f>IFERROR(IF(AND(ISNUMBER('Real results'!C162),ISNUMBER('Real results'!D162),ISNUMBER('Raw data'!AE162),ISNUMBER('Raw data'!AF162)),IF(SIGN('Raw data'!AE162-'Raw data'!AF162)=SIGN('Real results'!C162-'Real results'!D162),3+IF(AND('Raw data'!AE162='Real results'!C162,'Raw data'!AF162='Real results'!D162),2,0),0),0),0)</f>
        <v>0</v>
      </c>
      <c r="AG166" s="29">
        <f>IFERROR(IF(AND(ISNUMBER('Real results'!C162),ISNUMBER('Real results'!D162),ISNUMBER('Raw data'!AG162),ISNUMBER('Raw data'!AH162)),IF(SIGN('Raw data'!AG162-'Raw data'!AH162)=SIGN('Real results'!C162-'Real results'!D162),3+IF(AND('Raw data'!AG162='Real results'!C162,'Raw data'!AH162='Real results'!D162),2,0),0),0),0)</f>
        <v>0</v>
      </c>
      <c r="AI166" s="29">
        <f>IFERROR(IF(AND(ISNUMBER('Real results'!C162),ISNUMBER('Real results'!D162),ISNUMBER('Raw data'!AI162),ISNUMBER('Raw data'!AJ162)),IF(SIGN('Raw data'!AI162-'Raw data'!AJ162)=SIGN('Real results'!C162-'Real results'!D162),3+IF(AND('Raw data'!AI162='Real results'!C162,'Raw data'!AJ162='Real results'!D162),2,0),0),0),0)</f>
        <v>0</v>
      </c>
      <c r="AK166" s="29">
        <f>IFERROR(IF(AND(ISNUMBER('Real results'!C162),ISNUMBER('Real results'!D162),ISNUMBER('Raw data'!AK162),ISNUMBER('Raw data'!AL162)),IF(SIGN('Raw data'!AK162-'Raw data'!AL162)=SIGN('Real results'!C162-'Real results'!D162),3+IF(AND('Raw data'!AK162='Real results'!C162,'Raw data'!AL162='Real results'!D162),2,0),0),0),0)</f>
        <v>0</v>
      </c>
      <c r="AM166" s="29">
        <f>IFERROR(IF(AND(ISNUMBER('Real results'!C162),ISNUMBER('Real results'!D162),ISNUMBER('Raw data'!AM162),ISNUMBER('Raw data'!AN162)),IF(SIGN('Raw data'!AM162-'Raw data'!AN162)=SIGN('Real results'!C162-'Real results'!D162),3+IF(AND('Raw data'!AM162='Real results'!C162,'Raw data'!AN162='Real results'!D162),2,0),0),0),0)</f>
        <v>0</v>
      </c>
      <c r="AO166" s="29">
        <f>IFERROR(IF(AND(ISNUMBER('Real results'!C162),ISNUMBER('Real results'!D162),ISNUMBER('Raw data'!AO162),ISNUMBER('Raw data'!AP162)),IF(SIGN('Raw data'!AO162-'Raw data'!AP162)=SIGN('Real results'!C162-'Real results'!D162),3+IF(AND('Raw data'!AO162='Real results'!C162,'Raw data'!AP162='Real results'!D162),2,0),0),0),0)</f>
        <v>0</v>
      </c>
      <c r="AQ166" s="29">
        <f>IFERROR(IF(AND(ISNUMBER('Real results'!C162),ISNUMBER('Real results'!D162),ISNUMBER('Raw data'!AQ162),ISNUMBER('Raw data'!AR162)),IF(SIGN('Raw data'!AQ162-'Raw data'!AR162)=SIGN('Real results'!C162-'Real results'!D162),3+IF(AND('Raw data'!AQ162='Real results'!C162,'Raw data'!AR162='Real results'!D162),2,0),0),0),0)</f>
        <v>0</v>
      </c>
      <c r="AS166" s="29">
        <f>IFERROR(IF(AND(ISNUMBER('Real results'!C162),ISNUMBER('Real results'!D162),ISNUMBER('Raw data'!AS162),ISNUMBER('Raw data'!AT162)),IF(SIGN('Raw data'!AS162-'Raw data'!AT162)=SIGN('Real results'!C162-'Real results'!D162),3+IF(AND('Raw data'!AS162='Real results'!C162,'Raw data'!AT162='Real results'!D162),2,0),0),0),0)</f>
        <v>0</v>
      </c>
      <c r="AU166" s="29">
        <f>IFERROR(IF(AND(ISNUMBER('Real results'!C162),ISNUMBER('Real results'!D162),ISNUMBER('Raw data'!AU162),ISNUMBER('Raw data'!AV162)),IF(SIGN('Raw data'!AU162-'Raw data'!AV162)=SIGN('Real results'!C162-'Real results'!D162),3+IF(AND('Raw data'!AU162='Real results'!C162,'Raw data'!AV162='Real results'!D162),2,0),0),0),0)</f>
        <v>0</v>
      </c>
      <c r="AW166" s="29">
        <f>IFERROR(IF(AND(ISNUMBER('Real results'!C162),ISNUMBER('Real results'!D162),ISNUMBER('Raw data'!AW162),ISNUMBER('Raw data'!AX162)),IF(SIGN('Raw data'!AW162-'Raw data'!AX162)=SIGN('Real results'!C162-'Real results'!D162),3+IF(AND('Raw data'!AW162='Real results'!C162,'Raw data'!AX162='Real results'!D162),2,0),0),0),0)</f>
        <v>0</v>
      </c>
      <c r="AY166" s="29">
        <f>IFERROR(IF(AND(ISNUMBER('Real results'!C162),ISNUMBER('Real results'!D162),ISNUMBER('Raw data'!AY162),ISNUMBER('Raw data'!AZ162)),IF(SIGN('Raw data'!AY162-'Raw data'!AZ162)=SIGN('Real results'!C162-'Real results'!D162),3+IF(AND('Raw data'!AY162='Real results'!C162,'Raw data'!AZ162='Real results'!D162),2,0),0),0),0)</f>
        <v>0</v>
      </c>
      <c r="BA166" s="29">
        <f>IFERROR(IF(AND(ISNUMBER('Real results'!C162),ISNUMBER('Real results'!D162),ISNUMBER('Raw data'!BA162),ISNUMBER('Raw data'!BB162)),IF(SIGN('Raw data'!BA162-'Raw data'!BB162)=SIGN('Real results'!C162-'Real results'!D162),3+IF(AND('Raw data'!BA162='Real results'!C162,'Raw data'!BB162='Real results'!D162),2,0),0),0),0)</f>
        <v>0</v>
      </c>
      <c r="BC166" s="29">
        <f>IFERROR(IF(AND(ISNUMBER('Real results'!C162),ISNUMBER('Real results'!D162),ISNUMBER('Raw data'!BC162),ISNUMBER('Raw data'!BD162)),IF(SIGN('Raw data'!BC162-'Raw data'!BD162)=SIGN('Real results'!C162-'Real results'!D162),3+IF(AND('Raw data'!BC162='Real results'!C162,'Raw data'!BD162='Real results'!D162),2,0),0),0),0)</f>
        <v>0</v>
      </c>
      <c r="BE166" s="29">
        <f>IFERROR(IF(AND(ISNUMBER('Real results'!C162),ISNUMBER('Real results'!D162),ISNUMBER('Raw data'!BE162),ISNUMBER('Raw data'!BF162)),IF(SIGN('Raw data'!BE162-'Raw data'!BF162)=SIGN('Real results'!C162-'Real results'!D162),3+IF(AND('Raw data'!BE162='Real results'!C162,'Raw data'!BF162='Real results'!D162),2,0),0),0),0)</f>
        <v>0</v>
      </c>
      <c r="BG166" s="29">
        <f>IFERROR(IF(AND(ISNUMBER('Real results'!C162),ISNUMBER('Real results'!D162),ISNUMBER('Raw data'!BG162),ISNUMBER('Raw data'!BH162)),IF(SIGN('Raw data'!BG162-'Raw data'!BH162)=SIGN('Real results'!C162-'Real results'!D162),3+IF(AND('Raw data'!BG162='Real results'!C162,'Raw data'!BH162='Real results'!D162),2,0),0),0),0)</f>
        <v>0</v>
      </c>
      <c r="BI166" s="29">
        <f>IFERROR(IF(AND(ISNUMBER('Real results'!C162),ISNUMBER('Real results'!D162),ISNUMBER('Raw data'!BI162),ISNUMBER('Raw data'!BJ162)),IF(SIGN('Raw data'!BI162-'Raw data'!BJ162)=SIGN('Real results'!C162-'Real results'!D162),3+IF(AND('Raw data'!BI162='Real results'!C162,'Raw data'!BJ162='Real results'!D162),2,0),0),0),0)</f>
        <v>0</v>
      </c>
    </row>
    <row r="167" ht="18.0" customHeight="1">
      <c r="A167" s="1"/>
      <c r="B167" s="13" t="s">
        <v>448</v>
      </c>
      <c r="C167" s="29">
        <f>IFERROR(IF(AND('Real results'!C163&lt;&gt;"",'Raw data'!C163&lt;&gt;"",UPPER(TRIM('Real results'!C163))=UPPER(TRIM('Raw data'!C163))),1,0),0)</f>
        <v>0</v>
      </c>
      <c r="E167" s="29">
        <f>IFERROR(IF(AND('Real results'!C163&lt;&gt;"",'Raw data'!E163&lt;&gt;"",UPPER(TRIM('Real results'!C163))=UPPER(TRIM('Raw data'!E163))),1,0),0)</f>
        <v>0</v>
      </c>
      <c r="G167" s="29">
        <f>IFERROR(IF(AND('Real results'!C163&lt;&gt;"",'Raw data'!G163&lt;&gt;"",UPPER(TRIM('Real results'!C163))=UPPER(TRIM('Raw data'!G163))),1,0),0)</f>
        <v>0</v>
      </c>
      <c r="I167" s="29">
        <f>IFERROR(IF(AND('Real results'!C163&lt;&gt;"",'Raw data'!I163&lt;&gt;"",UPPER(TRIM('Real results'!C163))=UPPER(TRIM('Raw data'!I163))),1,0),0)</f>
        <v>0</v>
      </c>
      <c r="K167" s="29">
        <f>IFERROR(IF(AND('Real results'!C163&lt;&gt;"",'Raw data'!K163&lt;&gt;"",UPPER(TRIM('Real results'!C163))=UPPER(TRIM('Raw data'!K163))),1,0),0)</f>
        <v>0</v>
      </c>
      <c r="M167" s="29">
        <f>IFERROR(IF(AND('Real results'!C163&lt;&gt;"",'Raw data'!M163&lt;&gt;"",UPPER(TRIM('Real results'!C163))=UPPER(TRIM('Raw data'!M163))),1,0),0)</f>
        <v>0</v>
      </c>
      <c r="O167" s="29">
        <f>IFERROR(IF(AND('Real results'!C163&lt;&gt;"",'Raw data'!O163&lt;&gt;"",UPPER(TRIM('Real results'!C163))=UPPER(TRIM('Raw data'!O163))),1,0),0)</f>
        <v>0</v>
      </c>
      <c r="Q167" s="29">
        <f>IFERROR(IF(AND('Real results'!C163&lt;&gt;"",'Raw data'!Q163&lt;&gt;"",UPPER(TRIM('Real results'!C163))=UPPER(TRIM('Raw data'!Q163))),1,0),0)</f>
        <v>0</v>
      </c>
      <c r="S167" s="29">
        <f>IFERROR(IF(AND('Real results'!C163&lt;&gt;"",'Raw data'!S163&lt;&gt;"",UPPER(TRIM('Real results'!C163))=UPPER(TRIM('Raw data'!S163))),1,0),0)</f>
        <v>0</v>
      </c>
      <c r="U167" s="29">
        <f>IFERROR(IF(AND('Real results'!C163&lt;&gt;"",'Raw data'!U163&lt;&gt;"",UPPER(TRIM('Real results'!C163))=UPPER(TRIM('Raw data'!U163))),1,0),0)</f>
        <v>0</v>
      </c>
      <c r="W167" s="29">
        <f>IFERROR(IF(AND('Real results'!C163&lt;&gt;"",'Raw data'!W163&lt;&gt;"",UPPER(TRIM('Real results'!C163))=UPPER(TRIM('Raw data'!W163))),1,0),0)</f>
        <v>0</v>
      </c>
      <c r="Y167" s="29">
        <f>IFERROR(IF(AND('Real results'!C163&lt;&gt;"",'Raw data'!Y163&lt;&gt;"",UPPER(TRIM('Real results'!C163))=UPPER(TRIM('Raw data'!Y163))),1,0),0)</f>
        <v>0</v>
      </c>
      <c r="AA167" s="29">
        <f>IFERROR(IF(AND('Real results'!C163&lt;&gt;"",'Raw data'!AA163&lt;&gt;"",UPPER(TRIM('Real results'!C163))=UPPER(TRIM('Raw data'!AA163))),1,0),0)</f>
        <v>0</v>
      </c>
      <c r="AC167" s="29">
        <f>IFERROR(IF(AND('Real results'!C163&lt;&gt;"",'Raw data'!AC163&lt;&gt;"",UPPER(TRIM('Real results'!C163))=UPPER(TRIM('Raw data'!AC163))),1,0),0)</f>
        <v>0</v>
      </c>
      <c r="AE167" s="29">
        <f>IFERROR(IF(AND('Real results'!C163&lt;&gt;"",'Raw data'!AE163&lt;&gt;"",UPPER(TRIM('Real results'!C163))=UPPER(TRIM('Raw data'!AE163))),1,0),0)</f>
        <v>0</v>
      </c>
      <c r="AG167" s="29">
        <f>IFERROR(IF(AND('Real results'!C163&lt;&gt;"",'Raw data'!AG163&lt;&gt;"",UPPER(TRIM('Real results'!C163))=UPPER(TRIM('Raw data'!AG163))),1,0),0)</f>
        <v>0</v>
      </c>
      <c r="AI167" s="29">
        <f>IFERROR(IF(AND('Real results'!C163&lt;&gt;"",'Raw data'!AI163&lt;&gt;"",UPPER(TRIM('Real results'!C163))=UPPER(TRIM('Raw data'!AI163))),1,0),0)</f>
        <v>0</v>
      </c>
      <c r="AK167" s="29">
        <f>IFERROR(IF(AND('Real results'!C163&lt;&gt;"",'Raw data'!AK163&lt;&gt;"",UPPER(TRIM('Real results'!C163))=UPPER(TRIM('Raw data'!AK163))),1,0),0)</f>
        <v>0</v>
      </c>
      <c r="AM167" s="29">
        <f>IFERROR(IF(AND('Real results'!C163&lt;&gt;"",'Raw data'!AM163&lt;&gt;"",UPPER(TRIM('Real results'!C163))=UPPER(TRIM('Raw data'!AM163))),1,0),0)</f>
        <v>0</v>
      </c>
      <c r="AO167" s="29">
        <f>IFERROR(IF(AND('Real results'!C163&lt;&gt;"",'Raw data'!AO163&lt;&gt;"",UPPER(TRIM('Real results'!C163))=UPPER(TRIM('Raw data'!AO163))),1,0),0)</f>
        <v>0</v>
      </c>
      <c r="AQ167" s="29">
        <f>IFERROR(IF(AND('Real results'!C163&lt;&gt;"",'Raw data'!AQ163&lt;&gt;"",UPPER(TRIM('Real results'!C163))=UPPER(TRIM('Raw data'!AQ163))),1,0),0)</f>
        <v>0</v>
      </c>
      <c r="AS167" s="29">
        <f>IFERROR(IF(AND('Real results'!C163&lt;&gt;"",'Raw data'!AS163&lt;&gt;"",UPPER(TRIM('Real results'!C163))=UPPER(TRIM('Raw data'!AS163))),1,0),0)</f>
        <v>0</v>
      </c>
      <c r="AU167" s="29">
        <f>IFERROR(IF(AND('Real results'!C163&lt;&gt;"",'Raw data'!AU163&lt;&gt;"",UPPER(TRIM('Real results'!C163))=UPPER(TRIM('Raw data'!AU163))),1,0),0)</f>
        <v>0</v>
      </c>
      <c r="AW167" s="29">
        <f>IFERROR(IF(AND('Real results'!C163&lt;&gt;"",'Raw data'!AW163&lt;&gt;"",UPPER(TRIM('Real results'!C163))=UPPER(TRIM('Raw data'!AW163))),1,0),0)</f>
        <v>0</v>
      </c>
      <c r="AY167" s="29">
        <f>IFERROR(IF(AND('Real results'!C163&lt;&gt;"",'Raw data'!AY163&lt;&gt;"",UPPER(TRIM('Real results'!C163))=UPPER(TRIM('Raw data'!AY163))),1,0),0)</f>
        <v>0</v>
      </c>
      <c r="BA167" s="29">
        <f>IFERROR(IF(AND('Real results'!C163&lt;&gt;"",'Raw data'!BA163&lt;&gt;"",UPPER(TRIM('Real results'!C163))=UPPER(TRIM('Raw data'!BA163))),1,0),0)</f>
        <v>0</v>
      </c>
      <c r="BC167" s="29">
        <f>IFERROR(IF(AND('Real results'!C163&lt;&gt;"",'Raw data'!BC163&lt;&gt;"",UPPER(TRIM('Real results'!C163))=UPPER(TRIM('Raw data'!BC163))),1,0),0)</f>
        <v>0</v>
      </c>
      <c r="BE167" s="29">
        <f>IFERROR(IF(AND('Real results'!C163&lt;&gt;"",'Raw data'!BE163&lt;&gt;"",UPPER(TRIM('Real results'!C163))=UPPER(TRIM('Raw data'!BE163))),1,0),0)</f>
        <v>0</v>
      </c>
      <c r="BG167" s="29">
        <f>IFERROR(IF(AND('Real results'!C163&lt;&gt;"",'Raw data'!BG163&lt;&gt;"",UPPER(TRIM('Real results'!C163))=UPPER(TRIM('Raw data'!BG163))),1,0),0)</f>
        <v>0</v>
      </c>
      <c r="BI167" s="29">
        <f>IFERROR(IF(AND('Real results'!C163&lt;&gt;"",'Raw data'!BI163&lt;&gt;"",UPPER(TRIM('Real results'!C163))=UPPER(TRIM('Raw data'!BI163))),1,0),0)</f>
        <v>0</v>
      </c>
    </row>
    <row r="168" ht="18.0" customHeight="1">
      <c r="A168" s="1"/>
      <c r="B168" s="13" t="s">
        <v>449</v>
      </c>
      <c r="C168" s="29">
        <f>IFERROR(IF(AND('Real results'!C164&lt;&gt;"",'Raw data'!C164&lt;&gt;"",UPPER(TRIM('Real results'!C164))=UPPER(TRIM('Raw data'!C164))),1,0),0)</f>
        <v>0</v>
      </c>
      <c r="E168" s="29">
        <f>IFERROR(IF(AND('Real results'!C164&lt;&gt;"",'Raw data'!E164&lt;&gt;"",UPPER(TRIM('Real results'!C164))=UPPER(TRIM('Raw data'!E164))),1,0),0)</f>
        <v>0</v>
      </c>
      <c r="G168" s="29">
        <f>IFERROR(IF(AND('Real results'!C164&lt;&gt;"",'Raw data'!G164&lt;&gt;"",UPPER(TRIM('Real results'!C164))=UPPER(TRIM('Raw data'!G164))),1,0),0)</f>
        <v>0</v>
      </c>
      <c r="I168" s="29">
        <f>IFERROR(IF(AND('Real results'!C164&lt;&gt;"",'Raw data'!I164&lt;&gt;"",UPPER(TRIM('Real results'!C164))=UPPER(TRIM('Raw data'!I164))),1,0),0)</f>
        <v>0</v>
      </c>
      <c r="K168" s="29">
        <f>IFERROR(IF(AND('Real results'!C164&lt;&gt;"",'Raw data'!K164&lt;&gt;"",UPPER(TRIM('Real results'!C164))=UPPER(TRIM('Raw data'!K164))),1,0),0)</f>
        <v>0</v>
      </c>
      <c r="M168" s="29">
        <f>IFERROR(IF(AND('Real results'!C164&lt;&gt;"",'Raw data'!M164&lt;&gt;"",UPPER(TRIM('Real results'!C164))=UPPER(TRIM('Raw data'!M164))),1,0),0)</f>
        <v>0</v>
      </c>
      <c r="O168" s="29">
        <f>IFERROR(IF(AND('Real results'!C164&lt;&gt;"",'Raw data'!O164&lt;&gt;"",UPPER(TRIM('Real results'!C164))=UPPER(TRIM('Raw data'!O164))),1,0),0)</f>
        <v>0</v>
      </c>
      <c r="Q168" s="29">
        <f>IFERROR(IF(AND('Real results'!C164&lt;&gt;"",'Raw data'!Q164&lt;&gt;"",UPPER(TRIM('Real results'!C164))=UPPER(TRIM('Raw data'!Q164))),1,0),0)</f>
        <v>0</v>
      </c>
      <c r="S168" s="29">
        <f>IFERROR(IF(AND('Real results'!C164&lt;&gt;"",'Raw data'!S164&lt;&gt;"",UPPER(TRIM('Real results'!C164))=UPPER(TRIM('Raw data'!S164))),1,0),0)</f>
        <v>0</v>
      </c>
      <c r="U168" s="29">
        <f>IFERROR(IF(AND('Real results'!C164&lt;&gt;"",'Raw data'!U164&lt;&gt;"",UPPER(TRIM('Real results'!C164))=UPPER(TRIM('Raw data'!U164))),1,0),0)</f>
        <v>0</v>
      </c>
      <c r="W168" s="29">
        <f>IFERROR(IF(AND('Real results'!C164&lt;&gt;"",'Raw data'!W164&lt;&gt;"",UPPER(TRIM('Real results'!C164))=UPPER(TRIM('Raw data'!W164))),1,0),0)</f>
        <v>0</v>
      </c>
      <c r="Y168" s="29">
        <f>IFERROR(IF(AND('Real results'!C164&lt;&gt;"",'Raw data'!Y164&lt;&gt;"",UPPER(TRIM('Real results'!C164))=UPPER(TRIM('Raw data'!Y164))),1,0),0)</f>
        <v>0</v>
      </c>
      <c r="AA168" s="29">
        <f>IFERROR(IF(AND('Real results'!C164&lt;&gt;"",'Raw data'!AA164&lt;&gt;"",UPPER(TRIM('Real results'!C164))=UPPER(TRIM('Raw data'!AA164))),1,0),0)</f>
        <v>0</v>
      </c>
      <c r="AC168" s="29">
        <f>IFERROR(IF(AND('Real results'!C164&lt;&gt;"",'Raw data'!AC164&lt;&gt;"",UPPER(TRIM('Real results'!C164))=UPPER(TRIM('Raw data'!AC164))),1,0),0)</f>
        <v>0</v>
      </c>
      <c r="AE168" s="29">
        <f>IFERROR(IF(AND('Real results'!C164&lt;&gt;"",'Raw data'!AE164&lt;&gt;"",UPPER(TRIM('Real results'!C164))=UPPER(TRIM('Raw data'!AE164))),1,0),0)</f>
        <v>0</v>
      </c>
      <c r="AG168" s="29">
        <f>IFERROR(IF(AND('Real results'!C164&lt;&gt;"",'Raw data'!AG164&lt;&gt;"",UPPER(TRIM('Real results'!C164))=UPPER(TRIM('Raw data'!AG164))),1,0),0)</f>
        <v>0</v>
      </c>
      <c r="AI168" s="29">
        <f>IFERROR(IF(AND('Real results'!C164&lt;&gt;"",'Raw data'!AI164&lt;&gt;"",UPPER(TRIM('Real results'!C164))=UPPER(TRIM('Raw data'!AI164))),1,0),0)</f>
        <v>0</v>
      </c>
      <c r="AK168" s="29">
        <f>IFERROR(IF(AND('Real results'!C164&lt;&gt;"",'Raw data'!AK164&lt;&gt;"",UPPER(TRIM('Real results'!C164))=UPPER(TRIM('Raw data'!AK164))),1,0),0)</f>
        <v>0</v>
      </c>
      <c r="AM168" s="29">
        <f>IFERROR(IF(AND('Real results'!C164&lt;&gt;"",'Raw data'!AM164&lt;&gt;"",UPPER(TRIM('Real results'!C164))=UPPER(TRIM('Raw data'!AM164))),1,0),0)</f>
        <v>0</v>
      </c>
      <c r="AO168" s="29">
        <f>IFERROR(IF(AND('Real results'!C164&lt;&gt;"",'Raw data'!AO164&lt;&gt;"",UPPER(TRIM('Real results'!C164))=UPPER(TRIM('Raw data'!AO164))),1,0),0)</f>
        <v>0</v>
      </c>
      <c r="AQ168" s="29">
        <f>IFERROR(IF(AND('Real results'!C164&lt;&gt;"",'Raw data'!AQ164&lt;&gt;"",UPPER(TRIM('Real results'!C164))=UPPER(TRIM('Raw data'!AQ164))),1,0),0)</f>
        <v>0</v>
      </c>
      <c r="AS168" s="29">
        <f>IFERROR(IF(AND('Real results'!C164&lt;&gt;"",'Raw data'!AS164&lt;&gt;"",UPPER(TRIM('Real results'!C164))=UPPER(TRIM('Raw data'!AS164))),1,0),0)</f>
        <v>0</v>
      </c>
      <c r="AU168" s="29">
        <f>IFERROR(IF(AND('Real results'!C164&lt;&gt;"",'Raw data'!AU164&lt;&gt;"",UPPER(TRIM('Real results'!C164))=UPPER(TRIM('Raw data'!AU164))),1,0),0)</f>
        <v>0</v>
      </c>
      <c r="AW168" s="29">
        <f>IFERROR(IF(AND('Real results'!C164&lt;&gt;"",'Raw data'!AW164&lt;&gt;"",UPPER(TRIM('Real results'!C164))=UPPER(TRIM('Raw data'!AW164))),1,0),0)</f>
        <v>0</v>
      </c>
      <c r="AY168" s="29">
        <f>IFERROR(IF(AND('Real results'!C164&lt;&gt;"",'Raw data'!AY164&lt;&gt;"",UPPER(TRIM('Real results'!C164))=UPPER(TRIM('Raw data'!AY164))),1,0),0)</f>
        <v>0</v>
      </c>
      <c r="BA168" s="29">
        <f>IFERROR(IF(AND('Real results'!C164&lt;&gt;"",'Raw data'!BA164&lt;&gt;"",UPPER(TRIM('Real results'!C164))=UPPER(TRIM('Raw data'!BA164))),1,0),0)</f>
        <v>0</v>
      </c>
      <c r="BC168" s="29">
        <f>IFERROR(IF(AND('Real results'!C164&lt;&gt;"",'Raw data'!BC164&lt;&gt;"",UPPER(TRIM('Real results'!C164))=UPPER(TRIM('Raw data'!BC164))),1,0),0)</f>
        <v>0</v>
      </c>
      <c r="BE168" s="29">
        <f>IFERROR(IF(AND('Real results'!C164&lt;&gt;"",'Raw data'!BE164&lt;&gt;"",UPPER(TRIM('Real results'!C164))=UPPER(TRIM('Raw data'!BE164))),1,0),0)</f>
        <v>0</v>
      </c>
      <c r="BG168" s="29">
        <f>IFERROR(IF(AND('Real results'!C164&lt;&gt;"",'Raw data'!BG164&lt;&gt;"",UPPER(TRIM('Real results'!C164))=UPPER(TRIM('Raw data'!BG164))),1,0),0)</f>
        <v>0</v>
      </c>
      <c r="BI168" s="29">
        <f>IFERROR(IF(AND('Real results'!C164&lt;&gt;"",'Raw data'!BI164&lt;&gt;"",UPPER(TRIM('Real results'!C164))=UPPER(TRIM('Raw data'!BI164))),1,0),0)</f>
        <v>0</v>
      </c>
    </row>
    <row r="169" ht="18.0" customHeight="1">
      <c r="A169" s="1"/>
      <c r="B169" s="13" t="s">
        <v>450</v>
      </c>
      <c r="C169" s="29">
        <f>IFERROR(IF(AND(ISNUMBER('Real results'!C165),ISNUMBER('Real results'!D165),ISNUMBER('Raw data'!C165),ISNUMBER('Raw data'!D165)),IF(SIGN('Raw data'!C165-'Raw data'!D165)=SIGN('Real results'!C165-'Real results'!D165),3+IF(AND('Raw data'!C165='Real results'!C165,'Raw data'!D165='Real results'!D165),2,0),0),0),0)</f>
        <v>0</v>
      </c>
      <c r="E169" s="29">
        <f>IFERROR(IF(AND(ISNUMBER('Real results'!C165),ISNUMBER('Real results'!D165),ISNUMBER('Raw data'!E165),ISNUMBER('Raw data'!F165)),IF(SIGN('Raw data'!E165-'Raw data'!F165)=SIGN('Real results'!C165-'Real results'!D165),3+IF(AND('Raw data'!E165='Real results'!C165,'Raw data'!F165='Real results'!D165),2,0),0),0),0)</f>
        <v>0</v>
      </c>
      <c r="G169" s="29">
        <f>IFERROR(IF(AND(ISNUMBER('Real results'!C165),ISNUMBER('Real results'!D165),ISNUMBER('Raw data'!G165),ISNUMBER('Raw data'!H165)),IF(SIGN('Raw data'!G165-'Raw data'!H165)=SIGN('Real results'!C165-'Real results'!D165),3+IF(AND('Raw data'!G165='Real results'!C165,'Raw data'!H165='Real results'!D165),2,0),0),0),0)</f>
        <v>0</v>
      </c>
      <c r="I169" s="29">
        <f>IFERROR(IF(AND(ISNUMBER('Real results'!C165),ISNUMBER('Real results'!D165),ISNUMBER('Raw data'!I165),ISNUMBER('Raw data'!J165)),IF(SIGN('Raw data'!I165-'Raw data'!J165)=SIGN('Real results'!C165-'Real results'!D165),3+IF(AND('Raw data'!I165='Real results'!C165,'Raw data'!J165='Real results'!D165),2,0),0),0),0)</f>
        <v>0</v>
      </c>
      <c r="K169" s="29">
        <f>IFERROR(IF(AND(ISNUMBER('Real results'!C165),ISNUMBER('Real results'!D165),ISNUMBER('Raw data'!K165),ISNUMBER('Raw data'!L165)),IF(SIGN('Raw data'!K165-'Raw data'!L165)=SIGN('Real results'!C165-'Real results'!D165),3+IF(AND('Raw data'!K165='Real results'!C165,'Raw data'!L165='Real results'!D165),2,0),0),0),0)</f>
        <v>0</v>
      </c>
      <c r="M169" s="29">
        <f>IFERROR(IF(AND(ISNUMBER('Real results'!C165),ISNUMBER('Real results'!D165),ISNUMBER('Raw data'!M165),ISNUMBER('Raw data'!N165)),IF(SIGN('Raw data'!M165-'Raw data'!N165)=SIGN('Real results'!C165-'Real results'!D165),3+IF(AND('Raw data'!M165='Real results'!C165,'Raw data'!N165='Real results'!D165),2,0),0),0),0)</f>
        <v>0</v>
      </c>
      <c r="O169" s="29">
        <f>IFERROR(IF(AND(ISNUMBER('Real results'!C165),ISNUMBER('Real results'!D165),ISNUMBER('Raw data'!O165),ISNUMBER('Raw data'!P165)),IF(SIGN('Raw data'!O165-'Raw data'!P165)=SIGN('Real results'!C165-'Real results'!D165),3+IF(AND('Raw data'!O165='Real results'!C165,'Raw data'!P165='Real results'!D165),2,0),0),0),0)</f>
        <v>0</v>
      </c>
      <c r="Q169" s="29">
        <f>IFERROR(IF(AND(ISNUMBER('Real results'!C165),ISNUMBER('Real results'!D165),ISNUMBER('Raw data'!Q165),ISNUMBER('Raw data'!R165)),IF(SIGN('Raw data'!Q165-'Raw data'!R165)=SIGN('Real results'!C165-'Real results'!D165),3+IF(AND('Raw data'!Q165='Real results'!C165,'Raw data'!R165='Real results'!D165),2,0),0),0),0)</f>
        <v>0</v>
      </c>
      <c r="S169" s="29">
        <f>IFERROR(IF(AND(ISNUMBER('Real results'!C165),ISNUMBER('Real results'!D165),ISNUMBER('Raw data'!S165),ISNUMBER('Raw data'!T165)),IF(SIGN('Raw data'!S165-'Raw data'!T165)=SIGN('Real results'!C165-'Real results'!D165),3+IF(AND('Raw data'!S165='Real results'!C165,'Raw data'!T165='Real results'!D165),2,0),0),0),0)</f>
        <v>0</v>
      </c>
      <c r="U169" s="29">
        <f>IFERROR(IF(AND(ISNUMBER('Real results'!C165),ISNUMBER('Real results'!D165),ISNUMBER('Raw data'!U165),ISNUMBER('Raw data'!V165)),IF(SIGN('Raw data'!U165-'Raw data'!V165)=SIGN('Real results'!C165-'Real results'!D165),3+IF(AND('Raw data'!U165='Real results'!C165,'Raw data'!V165='Real results'!D165),2,0),0),0),0)</f>
        <v>0</v>
      </c>
      <c r="W169" s="29">
        <f>IFERROR(IF(AND(ISNUMBER('Real results'!C165),ISNUMBER('Real results'!D165),ISNUMBER('Raw data'!W165),ISNUMBER('Raw data'!X165)),IF(SIGN('Raw data'!W165-'Raw data'!X165)=SIGN('Real results'!C165-'Real results'!D165),3+IF(AND('Raw data'!W165='Real results'!C165,'Raw data'!X165='Real results'!D165),2,0),0),0),0)</f>
        <v>0</v>
      </c>
      <c r="Y169" s="29">
        <f>IFERROR(IF(AND(ISNUMBER('Real results'!C165),ISNUMBER('Real results'!D165),ISNUMBER('Raw data'!Y165),ISNUMBER('Raw data'!Z165)),IF(SIGN('Raw data'!Y165-'Raw data'!Z165)=SIGN('Real results'!C165-'Real results'!D165),3+IF(AND('Raw data'!Y165='Real results'!C165,'Raw data'!Z165='Real results'!D165),2,0),0),0),0)</f>
        <v>0</v>
      </c>
      <c r="AA169" s="29">
        <f>IFERROR(IF(AND(ISNUMBER('Real results'!C165),ISNUMBER('Real results'!D165),ISNUMBER('Raw data'!AA165),ISNUMBER('Raw data'!AB165)),IF(SIGN('Raw data'!AA165-'Raw data'!AB165)=SIGN('Real results'!C165-'Real results'!D165),3+IF(AND('Raw data'!AA165='Real results'!C165,'Raw data'!AB165='Real results'!D165),2,0),0),0),0)</f>
        <v>0</v>
      </c>
      <c r="AC169" s="29">
        <f>IFERROR(IF(AND(ISNUMBER('Real results'!C165),ISNUMBER('Real results'!D165),ISNUMBER('Raw data'!AC165),ISNUMBER('Raw data'!AD165)),IF(SIGN('Raw data'!AC165-'Raw data'!AD165)=SIGN('Real results'!C165-'Real results'!D165),3+IF(AND('Raw data'!AC165='Real results'!C165,'Raw data'!AD165='Real results'!D165),2,0),0),0),0)</f>
        <v>0</v>
      </c>
      <c r="AE169" s="29">
        <f>IFERROR(IF(AND(ISNUMBER('Real results'!C165),ISNUMBER('Real results'!D165),ISNUMBER('Raw data'!AE165),ISNUMBER('Raw data'!AF165)),IF(SIGN('Raw data'!AE165-'Raw data'!AF165)=SIGN('Real results'!C165-'Real results'!D165),3+IF(AND('Raw data'!AE165='Real results'!C165,'Raw data'!AF165='Real results'!D165),2,0),0),0),0)</f>
        <v>0</v>
      </c>
      <c r="AG169" s="29">
        <f>IFERROR(IF(AND(ISNUMBER('Real results'!C165),ISNUMBER('Real results'!D165),ISNUMBER('Raw data'!AG165),ISNUMBER('Raw data'!AH165)),IF(SIGN('Raw data'!AG165-'Raw data'!AH165)=SIGN('Real results'!C165-'Real results'!D165),3+IF(AND('Raw data'!AG165='Real results'!C165,'Raw data'!AH165='Real results'!D165),2,0),0),0),0)</f>
        <v>0</v>
      </c>
      <c r="AI169" s="29">
        <f>IFERROR(IF(AND(ISNUMBER('Real results'!C165),ISNUMBER('Real results'!D165),ISNUMBER('Raw data'!AI165),ISNUMBER('Raw data'!AJ165)),IF(SIGN('Raw data'!AI165-'Raw data'!AJ165)=SIGN('Real results'!C165-'Real results'!D165),3+IF(AND('Raw data'!AI165='Real results'!C165,'Raw data'!AJ165='Real results'!D165),2,0),0),0),0)</f>
        <v>0</v>
      </c>
      <c r="AK169" s="29">
        <f>IFERROR(IF(AND(ISNUMBER('Real results'!C165),ISNUMBER('Real results'!D165),ISNUMBER('Raw data'!AK165),ISNUMBER('Raw data'!AL165)),IF(SIGN('Raw data'!AK165-'Raw data'!AL165)=SIGN('Real results'!C165-'Real results'!D165),3+IF(AND('Raw data'!AK165='Real results'!C165,'Raw data'!AL165='Real results'!D165),2,0),0),0),0)</f>
        <v>0</v>
      </c>
      <c r="AM169" s="29">
        <f>IFERROR(IF(AND(ISNUMBER('Real results'!C165),ISNUMBER('Real results'!D165),ISNUMBER('Raw data'!AM165),ISNUMBER('Raw data'!AN165)),IF(SIGN('Raw data'!AM165-'Raw data'!AN165)=SIGN('Real results'!C165-'Real results'!D165),3+IF(AND('Raw data'!AM165='Real results'!C165,'Raw data'!AN165='Real results'!D165),2,0),0),0),0)</f>
        <v>0</v>
      </c>
      <c r="AO169" s="29">
        <f>IFERROR(IF(AND(ISNUMBER('Real results'!C165),ISNUMBER('Real results'!D165),ISNUMBER('Raw data'!AO165),ISNUMBER('Raw data'!AP165)),IF(SIGN('Raw data'!AO165-'Raw data'!AP165)=SIGN('Real results'!C165-'Real results'!D165),3+IF(AND('Raw data'!AO165='Real results'!C165,'Raw data'!AP165='Real results'!D165),2,0),0),0),0)</f>
        <v>0</v>
      </c>
      <c r="AQ169" s="29">
        <f>IFERROR(IF(AND(ISNUMBER('Real results'!C165),ISNUMBER('Real results'!D165),ISNUMBER('Raw data'!AQ165),ISNUMBER('Raw data'!AR165)),IF(SIGN('Raw data'!AQ165-'Raw data'!AR165)=SIGN('Real results'!C165-'Real results'!D165),3+IF(AND('Raw data'!AQ165='Real results'!C165,'Raw data'!AR165='Real results'!D165),2,0),0),0),0)</f>
        <v>0</v>
      </c>
      <c r="AS169" s="29">
        <f>IFERROR(IF(AND(ISNUMBER('Real results'!C165),ISNUMBER('Real results'!D165),ISNUMBER('Raw data'!AS165),ISNUMBER('Raw data'!AT165)),IF(SIGN('Raw data'!AS165-'Raw data'!AT165)=SIGN('Real results'!C165-'Real results'!D165),3+IF(AND('Raw data'!AS165='Real results'!C165,'Raw data'!AT165='Real results'!D165),2,0),0),0),0)</f>
        <v>0</v>
      </c>
      <c r="AU169" s="29">
        <f>IFERROR(IF(AND(ISNUMBER('Real results'!C165),ISNUMBER('Real results'!D165),ISNUMBER('Raw data'!AU165),ISNUMBER('Raw data'!AV165)),IF(SIGN('Raw data'!AU165-'Raw data'!AV165)=SIGN('Real results'!C165-'Real results'!D165),3+IF(AND('Raw data'!AU165='Real results'!C165,'Raw data'!AV165='Real results'!D165),2,0),0),0),0)</f>
        <v>0</v>
      </c>
      <c r="AW169" s="29">
        <f>IFERROR(IF(AND(ISNUMBER('Real results'!C165),ISNUMBER('Real results'!D165),ISNUMBER('Raw data'!AW165),ISNUMBER('Raw data'!AX165)),IF(SIGN('Raw data'!AW165-'Raw data'!AX165)=SIGN('Real results'!C165-'Real results'!D165),3+IF(AND('Raw data'!AW165='Real results'!C165,'Raw data'!AX165='Real results'!D165),2,0),0),0),0)</f>
        <v>0</v>
      </c>
      <c r="AY169" s="29">
        <f>IFERROR(IF(AND(ISNUMBER('Real results'!C165),ISNUMBER('Real results'!D165),ISNUMBER('Raw data'!AY165),ISNUMBER('Raw data'!AZ165)),IF(SIGN('Raw data'!AY165-'Raw data'!AZ165)=SIGN('Real results'!C165-'Real results'!D165),3+IF(AND('Raw data'!AY165='Real results'!C165,'Raw data'!AZ165='Real results'!D165),2,0),0),0),0)</f>
        <v>0</v>
      </c>
      <c r="BA169" s="29">
        <f>IFERROR(IF(AND(ISNUMBER('Real results'!C165),ISNUMBER('Real results'!D165),ISNUMBER('Raw data'!BA165),ISNUMBER('Raw data'!BB165)),IF(SIGN('Raw data'!BA165-'Raw data'!BB165)=SIGN('Real results'!C165-'Real results'!D165),3+IF(AND('Raw data'!BA165='Real results'!C165,'Raw data'!BB165='Real results'!D165),2,0),0),0),0)</f>
        <v>0</v>
      </c>
      <c r="BC169" s="29">
        <f>IFERROR(IF(AND(ISNUMBER('Real results'!C165),ISNUMBER('Real results'!D165),ISNUMBER('Raw data'!BC165),ISNUMBER('Raw data'!BD165)),IF(SIGN('Raw data'!BC165-'Raw data'!BD165)=SIGN('Real results'!C165-'Real results'!D165),3+IF(AND('Raw data'!BC165='Real results'!C165,'Raw data'!BD165='Real results'!D165),2,0),0),0),0)</f>
        <v>0</v>
      </c>
      <c r="BE169" s="29">
        <f>IFERROR(IF(AND(ISNUMBER('Real results'!C165),ISNUMBER('Real results'!D165),ISNUMBER('Raw data'!BE165),ISNUMBER('Raw data'!BF165)),IF(SIGN('Raw data'!BE165-'Raw data'!BF165)=SIGN('Real results'!C165-'Real results'!D165),3+IF(AND('Raw data'!BE165='Real results'!C165,'Raw data'!BF165='Real results'!D165),2,0),0),0),0)</f>
        <v>0</v>
      </c>
      <c r="BG169" s="29">
        <f>IFERROR(IF(AND(ISNUMBER('Real results'!C165),ISNUMBER('Real results'!D165),ISNUMBER('Raw data'!BG165),ISNUMBER('Raw data'!BH165)),IF(SIGN('Raw data'!BG165-'Raw data'!BH165)=SIGN('Real results'!C165-'Real results'!D165),3+IF(AND('Raw data'!BG165='Real results'!C165,'Raw data'!BH165='Real results'!D165),2,0),0),0),0)</f>
        <v>0</v>
      </c>
      <c r="BI169" s="29">
        <f>IFERROR(IF(AND(ISNUMBER('Real results'!C165),ISNUMBER('Real results'!D165),ISNUMBER('Raw data'!BI165),ISNUMBER('Raw data'!BJ165)),IF(SIGN('Raw data'!BI165-'Raw data'!BJ165)=SIGN('Real results'!C165-'Real results'!D165),3+IF(AND('Raw data'!BI165='Real results'!C165,'Raw data'!BJ165='Real results'!D165),2,0),0),0),0)</f>
        <v>0</v>
      </c>
    </row>
    <row r="170" ht="18.0" customHeight="1">
      <c r="A170" s="1"/>
      <c r="B170" s="13" t="s">
        <v>451</v>
      </c>
      <c r="C170" s="29">
        <f>IFERROR(IF(AND('Real results'!C166&lt;&gt;"",'Raw data'!C166&lt;&gt;"",UPPER(TRIM('Real results'!C166))=UPPER(TRIM('Raw data'!C166))),1,0),0)</f>
        <v>0</v>
      </c>
      <c r="E170" s="29">
        <f>IFERROR(IF(AND('Real results'!C166&lt;&gt;"",'Raw data'!E166&lt;&gt;"",UPPER(TRIM('Real results'!C166))=UPPER(TRIM('Raw data'!E166))),1,0),0)</f>
        <v>0</v>
      </c>
      <c r="G170" s="29">
        <f>IFERROR(IF(AND('Real results'!C166&lt;&gt;"",'Raw data'!G166&lt;&gt;"",UPPER(TRIM('Real results'!C166))=UPPER(TRIM('Raw data'!G166))),1,0),0)</f>
        <v>0</v>
      </c>
      <c r="I170" s="29">
        <f>IFERROR(IF(AND('Real results'!C166&lt;&gt;"",'Raw data'!I166&lt;&gt;"",UPPER(TRIM('Real results'!C166))=UPPER(TRIM('Raw data'!I166))),1,0),0)</f>
        <v>0</v>
      </c>
      <c r="K170" s="29">
        <f>IFERROR(IF(AND('Real results'!C166&lt;&gt;"",'Raw data'!K166&lt;&gt;"",UPPER(TRIM('Real results'!C166))=UPPER(TRIM('Raw data'!K166))),1,0),0)</f>
        <v>0</v>
      </c>
      <c r="M170" s="29">
        <f>IFERROR(IF(AND('Real results'!C166&lt;&gt;"",'Raw data'!M166&lt;&gt;"",UPPER(TRIM('Real results'!C166))=UPPER(TRIM('Raw data'!M166))),1,0),0)</f>
        <v>0</v>
      </c>
      <c r="O170" s="29">
        <f>IFERROR(IF(AND('Real results'!C166&lt;&gt;"",'Raw data'!O166&lt;&gt;"",UPPER(TRIM('Real results'!C166))=UPPER(TRIM('Raw data'!O166))),1,0),0)</f>
        <v>0</v>
      </c>
      <c r="Q170" s="29">
        <f>IFERROR(IF(AND('Real results'!C166&lt;&gt;"",'Raw data'!Q166&lt;&gt;"",UPPER(TRIM('Real results'!C166))=UPPER(TRIM('Raw data'!Q166))),1,0),0)</f>
        <v>0</v>
      </c>
      <c r="S170" s="29">
        <f>IFERROR(IF(AND('Real results'!C166&lt;&gt;"",'Raw data'!S166&lt;&gt;"",UPPER(TRIM('Real results'!C166))=UPPER(TRIM('Raw data'!S166))),1,0),0)</f>
        <v>0</v>
      </c>
      <c r="U170" s="29">
        <f>IFERROR(IF(AND('Real results'!C166&lt;&gt;"",'Raw data'!U166&lt;&gt;"",UPPER(TRIM('Real results'!C166))=UPPER(TRIM('Raw data'!U166))),1,0),0)</f>
        <v>0</v>
      </c>
      <c r="W170" s="29">
        <f>IFERROR(IF(AND('Real results'!C166&lt;&gt;"",'Raw data'!W166&lt;&gt;"",UPPER(TRIM('Real results'!C166))=UPPER(TRIM('Raw data'!W166))),1,0),0)</f>
        <v>0</v>
      </c>
      <c r="Y170" s="29">
        <f>IFERROR(IF(AND('Real results'!C166&lt;&gt;"",'Raw data'!Y166&lt;&gt;"",UPPER(TRIM('Real results'!C166))=UPPER(TRIM('Raw data'!Y166))),1,0),0)</f>
        <v>0</v>
      </c>
      <c r="AA170" s="29">
        <f>IFERROR(IF(AND('Real results'!C166&lt;&gt;"",'Raw data'!AA166&lt;&gt;"",UPPER(TRIM('Real results'!C166))=UPPER(TRIM('Raw data'!AA166))),1,0),0)</f>
        <v>0</v>
      </c>
      <c r="AC170" s="29">
        <f>IFERROR(IF(AND('Real results'!C166&lt;&gt;"",'Raw data'!AC166&lt;&gt;"",UPPER(TRIM('Real results'!C166))=UPPER(TRIM('Raw data'!AC166))),1,0),0)</f>
        <v>0</v>
      </c>
      <c r="AE170" s="29">
        <f>IFERROR(IF(AND('Real results'!C166&lt;&gt;"",'Raw data'!AE166&lt;&gt;"",UPPER(TRIM('Real results'!C166))=UPPER(TRIM('Raw data'!AE166))),1,0),0)</f>
        <v>0</v>
      </c>
      <c r="AG170" s="29">
        <f>IFERROR(IF(AND('Real results'!C166&lt;&gt;"",'Raw data'!AG166&lt;&gt;"",UPPER(TRIM('Real results'!C166))=UPPER(TRIM('Raw data'!AG166))),1,0),0)</f>
        <v>0</v>
      </c>
      <c r="AI170" s="29">
        <f>IFERROR(IF(AND('Real results'!C166&lt;&gt;"",'Raw data'!AI166&lt;&gt;"",UPPER(TRIM('Real results'!C166))=UPPER(TRIM('Raw data'!AI166))),1,0),0)</f>
        <v>0</v>
      </c>
      <c r="AK170" s="29">
        <f>IFERROR(IF(AND('Real results'!C166&lt;&gt;"",'Raw data'!AK166&lt;&gt;"",UPPER(TRIM('Real results'!C166))=UPPER(TRIM('Raw data'!AK166))),1,0),0)</f>
        <v>0</v>
      </c>
      <c r="AM170" s="29">
        <f>IFERROR(IF(AND('Real results'!C166&lt;&gt;"",'Raw data'!AM166&lt;&gt;"",UPPER(TRIM('Real results'!C166))=UPPER(TRIM('Raw data'!AM166))),1,0),0)</f>
        <v>0</v>
      </c>
      <c r="AO170" s="29">
        <f>IFERROR(IF(AND('Real results'!C166&lt;&gt;"",'Raw data'!AO166&lt;&gt;"",UPPER(TRIM('Real results'!C166))=UPPER(TRIM('Raw data'!AO166))),1,0),0)</f>
        <v>0</v>
      </c>
      <c r="AQ170" s="29">
        <f>IFERROR(IF(AND('Real results'!C166&lt;&gt;"",'Raw data'!AQ166&lt;&gt;"",UPPER(TRIM('Real results'!C166))=UPPER(TRIM('Raw data'!AQ166))),1,0),0)</f>
        <v>0</v>
      </c>
      <c r="AS170" s="29">
        <f>IFERROR(IF(AND('Real results'!C166&lt;&gt;"",'Raw data'!AS166&lt;&gt;"",UPPER(TRIM('Real results'!C166))=UPPER(TRIM('Raw data'!AS166))),1,0),0)</f>
        <v>0</v>
      </c>
      <c r="AU170" s="29">
        <f>IFERROR(IF(AND('Real results'!C166&lt;&gt;"",'Raw data'!AU166&lt;&gt;"",UPPER(TRIM('Real results'!C166))=UPPER(TRIM('Raw data'!AU166))),1,0),0)</f>
        <v>0</v>
      </c>
      <c r="AW170" s="29">
        <f>IFERROR(IF(AND('Real results'!C166&lt;&gt;"",'Raw data'!AW166&lt;&gt;"",UPPER(TRIM('Real results'!C166))=UPPER(TRIM('Raw data'!AW166))),1,0),0)</f>
        <v>0</v>
      </c>
      <c r="AY170" s="29">
        <f>IFERROR(IF(AND('Real results'!C166&lt;&gt;"",'Raw data'!AY166&lt;&gt;"",UPPER(TRIM('Real results'!C166))=UPPER(TRIM('Raw data'!AY166))),1,0),0)</f>
        <v>0</v>
      </c>
      <c r="BA170" s="29">
        <f>IFERROR(IF(AND('Real results'!C166&lt;&gt;"",'Raw data'!BA166&lt;&gt;"",UPPER(TRIM('Real results'!C166))=UPPER(TRIM('Raw data'!BA166))),1,0),0)</f>
        <v>0</v>
      </c>
      <c r="BC170" s="29">
        <f>IFERROR(IF(AND('Real results'!C166&lt;&gt;"",'Raw data'!BC166&lt;&gt;"",UPPER(TRIM('Real results'!C166))=UPPER(TRIM('Raw data'!BC166))),1,0),0)</f>
        <v>0</v>
      </c>
      <c r="BE170" s="29">
        <f>IFERROR(IF(AND('Real results'!C166&lt;&gt;"",'Raw data'!BE166&lt;&gt;"",UPPER(TRIM('Real results'!C166))=UPPER(TRIM('Raw data'!BE166))),1,0),0)</f>
        <v>0</v>
      </c>
      <c r="BG170" s="29">
        <f>IFERROR(IF(AND('Real results'!C166&lt;&gt;"",'Raw data'!BG166&lt;&gt;"",UPPER(TRIM('Real results'!C166))=UPPER(TRIM('Raw data'!BG166))),1,0),0)</f>
        <v>0</v>
      </c>
      <c r="BI170" s="29">
        <f>IFERROR(IF(AND('Real results'!C166&lt;&gt;"",'Raw data'!BI166&lt;&gt;"",UPPER(TRIM('Real results'!C166))=UPPER(TRIM('Raw data'!BI166))),1,0),0)</f>
        <v>0</v>
      </c>
    </row>
    <row r="171" ht="18.0" customHeight="1">
      <c r="A171" s="1"/>
      <c r="B171" s="13" t="s">
        <v>452</v>
      </c>
      <c r="C171" s="29">
        <f>IFERROR(IF(AND('Real results'!C167&lt;&gt;"",'Raw data'!C167&lt;&gt;"",UPPER(TRIM('Real results'!C167))=UPPER(TRIM('Raw data'!C167))),1,0),0)</f>
        <v>0</v>
      </c>
      <c r="E171" s="29">
        <f>IFERROR(IF(AND('Real results'!C167&lt;&gt;"",'Raw data'!E167&lt;&gt;"",UPPER(TRIM('Real results'!C167))=UPPER(TRIM('Raw data'!E167))),1,0),0)</f>
        <v>0</v>
      </c>
      <c r="G171" s="29">
        <f>IFERROR(IF(AND('Real results'!C167&lt;&gt;"",'Raw data'!G167&lt;&gt;"",UPPER(TRIM('Real results'!C167))=UPPER(TRIM('Raw data'!G167))),1,0),0)</f>
        <v>0</v>
      </c>
      <c r="I171" s="29">
        <f>IFERROR(IF(AND('Real results'!C167&lt;&gt;"",'Raw data'!I167&lt;&gt;"",UPPER(TRIM('Real results'!C167))=UPPER(TRIM('Raw data'!I167))),1,0),0)</f>
        <v>0</v>
      </c>
      <c r="K171" s="29">
        <f>IFERROR(IF(AND('Real results'!C167&lt;&gt;"",'Raw data'!K167&lt;&gt;"",UPPER(TRIM('Real results'!C167))=UPPER(TRIM('Raw data'!K167))),1,0),0)</f>
        <v>0</v>
      </c>
      <c r="M171" s="29">
        <f>IFERROR(IF(AND('Real results'!C167&lt;&gt;"",'Raw data'!M167&lt;&gt;"",UPPER(TRIM('Real results'!C167))=UPPER(TRIM('Raw data'!M167))),1,0),0)</f>
        <v>0</v>
      </c>
      <c r="O171" s="29">
        <f>IFERROR(IF(AND('Real results'!C167&lt;&gt;"",'Raw data'!O167&lt;&gt;"",UPPER(TRIM('Real results'!C167))=UPPER(TRIM('Raw data'!O167))),1,0),0)</f>
        <v>0</v>
      </c>
      <c r="Q171" s="29">
        <f>IFERROR(IF(AND('Real results'!C167&lt;&gt;"",'Raw data'!Q167&lt;&gt;"",UPPER(TRIM('Real results'!C167))=UPPER(TRIM('Raw data'!Q167))),1,0),0)</f>
        <v>0</v>
      </c>
      <c r="S171" s="29">
        <f>IFERROR(IF(AND('Real results'!C167&lt;&gt;"",'Raw data'!S167&lt;&gt;"",UPPER(TRIM('Real results'!C167))=UPPER(TRIM('Raw data'!S167))),1,0),0)</f>
        <v>0</v>
      </c>
      <c r="U171" s="29">
        <f>IFERROR(IF(AND('Real results'!C167&lt;&gt;"",'Raw data'!U167&lt;&gt;"",UPPER(TRIM('Real results'!C167))=UPPER(TRIM('Raw data'!U167))),1,0),0)</f>
        <v>0</v>
      </c>
      <c r="W171" s="29">
        <f>IFERROR(IF(AND('Real results'!C167&lt;&gt;"",'Raw data'!W167&lt;&gt;"",UPPER(TRIM('Real results'!C167))=UPPER(TRIM('Raw data'!W167))),1,0),0)</f>
        <v>0</v>
      </c>
      <c r="Y171" s="29">
        <f>IFERROR(IF(AND('Real results'!C167&lt;&gt;"",'Raw data'!Y167&lt;&gt;"",UPPER(TRIM('Real results'!C167))=UPPER(TRIM('Raw data'!Y167))),1,0),0)</f>
        <v>0</v>
      </c>
      <c r="AA171" s="29">
        <f>IFERROR(IF(AND('Real results'!C167&lt;&gt;"",'Raw data'!AA167&lt;&gt;"",UPPER(TRIM('Real results'!C167))=UPPER(TRIM('Raw data'!AA167))),1,0),0)</f>
        <v>0</v>
      </c>
      <c r="AC171" s="29">
        <f>IFERROR(IF(AND('Real results'!C167&lt;&gt;"",'Raw data'!AC167&lt;&gt;"",UPPER(TRIM('Real results'!C167))=UPPER(TRIM('Raw data'!AC167))),1,0),0)</f>
        <v>0</v>
      </c>
      <c r="AE171" s="29">
        <f>IFERROR(IF(AND('Real results'!C167&lt;&gt;"",'Raw data'!AE167&lt;&gt;"",UPPER(TRIM('Real results'!C167))=UPPER(TRIM('Raw data'!AE167))),1,0),0)</f>
        <v>0</v>
      </c>
      <c r="AG171" s="29">
        <f>IFERROR(IF(AND('Real results'!C167&lt;&gt;"",'Raw data'!AG167&lt;&gt;"",UPPER(TRIM('Real results'!C167))=UPPER(TRIM('Raw data'!AG167))),1,0),0)</f>
        <v>0</v>
      </c>
      <c r="AI171" s="29">
        <f>IFERROR(IF(AND('Real results'!C167&lt;&gt;"",'Raw data'!AI167&lt;&gt;"",UPPER(TRIM('Real results'!C167))=UPPER(TRIM('Raw data'!AI167))),1,0),0)</f>
        <v>0</v>
      </c>
      <c r="AK171" s="29">
        <f>IFERROR(IF(AND('Real results'!C167&lt;&gt;"",'Raw data'!AK167&lt;&gt;"",UPPER(TRIM('Real results'!C167))=UPPER(TRIM('Raw data'!AK167))),1,0),0)</f>
        <v>0</v>
      </c>
      <c r="AM171" s="29">
        <f>IFERROR(IF(AND('Real results'!C167&lt;&gt;"",'Raw data'!AM167&lt;&gt;"",UPPER(TRIM('Real results'!C167))=UPPER(TRIM('Raw data'!AM167))),1,0),0)</f>
        <v>0</v>
      </c>
      <c r="AO171" s="29">
        <f>IFERROR(IF(AND('Real results'!C167&lt;&gt;"",'Raw data'!AO167&lt;&gt;"",UPPER(TRIM('Real results'!C167))=UPPER(TRIM('Raw data'!AO167))),1,0),0)</f>
        <v>0</v>
      </c>
      <c r="AQ171" s="29">
        <f>IFERROR(IF(AND('Real results'!C167&lt;&gt;"",'Raw data'!AQ167&lt;&gt;"",UPPER(TRIM('Real results'!C167))=UPPER(TRIM('Raw data'!AQ167))),1,0),0)</f>
        <v>0</v>
      </c>
      <c r="AS171" s="29">
        <f>IFERROR(IF(AND('Real results'!C167&lt;&gt;"",'Raw data'!AS167&lt;&gt;"",UPPER(TRIM('Real results'!C167))=UPPER(TRIM('Raw data'!AS167))),1,0),0)</f>
        <v>0</v>
      </c>
      <c r="AU171" s="29">
        <f>IFERROR(IF(AND('Real results'!C167&lt;&gt;"",'Raw data'!AU167&lt;&gt;"",UPPER(TRIM('Real results'!C167))=UPPER(TRIM('Raw data'!AU167))),1,0),0)</f>
        <v>0</v>
      </c>
      <c r="AW171" s="29">
        <f>IFERROR(IF(AND('Real results'!C167&lt;&gt;"",'Raw data'!AW167&lt;&gt;"",UPPER(TRIM('Real results'!C167))=UPPER(TRIM('Raw data'!AW167))),1,0),0)</f>
        <v>0</v>
      </c>
      <c r="AY171" s="29">
        <f>IFERROR(IF(AND('Real results'!C167&lt;&gt;"",'Raw data'!AY167&lt;&gt;"",UPPER(TRIM('Real results'!C167))=UPPER(TRIM('Raw data'!AY167))),1,0),0)</f>
        <v>0</v>
      </c>
      <c r="BA171" s="29">
        <f>IFERROR(IF(AND('Real results'!C167&lt;&gt;"",'Raw data'!BA167&lt;&gt;"",UPPER(TRIM('Real results'!C167))=UPPER(TRIM('Raw data'!BA167))),1,0),0)</f>
        <v>0</v>
      </c>
      <c r="BC171" s="29">
        <f>IFERROR(IF(AND('Real results'!C167&lt;&gt;"",'Raw data'!BC167&lt;&gt;"",UPPER(TRIM('Real results'!C167))=UPPER(TRIM('Raw data'!BC167))),1,0),0)</f>
        <v>0</v>
      </c>
      <c r="BE171" s="29">
        <f>IFERROR(IF(AND('Real results'!C167&lt;&gt;"",'Raw data'!BE167&lt;&gt;"",UPPER(TRIM('Real results'!C167))=UPPER(TRIM('Raw data'!BE167))),1,0),0)</f>
        <v>0</v>
      </c>
      <c r="BG171" s="29">
        <f>IFERROR(IF(AND('Real results'!C167&lt;&gt;"",'Raw data'!BG167&lt;&gt;"",UPPER(TRIM('Real results'!C167))=UPPER(TRIM('Raw data'!BG167))),1,0),0)</f>
        <v>0</v>
      </c>
      <c r="BI171" s="29">
        <f>IFERROR(IF(AND('Real results'!C167&lt;&gt;"",'Raw data'!BI167&lt;&gt;"",UPPER(TRIM('Real results'!C167))=UPPER(TRIM('Raw data'!BI167))),1,0),0)</f>
        <v>0</v>
      </c>
    </row>
    <row r="172" ht="18.0" customHeight="1">
      <c r="A172" s="1"/>
      <c r="B172" s="13" t="s">
        <v>453</v>
      </c>
      <c r="C172" s="29">
        <f>IFERROR(IF(AND(ISNUMBER('Real results'!C168),ISNUMBER('Real results'!D168),ISNUMBER('Raw data'!C168),ISNUMBER('Raw data'!D168)),IF(SIGN('Raw data'!C168-'Raw data'!D168)=SIGN('Real results'!C168-'Real results'!D168),3+IF(AND('Raw data'!C168='Real results'!C168,'Raw data'!D168='Real results'!D168),2,0),0),0),0)</f>
        <v>0</v>
      </c>
      <c r="E172" s="29">
        <f>IFERROR(IF(AND(ISNUMBER('Real results'!C168),ISNUMBER('Real results'!D168),ISNUMBER('Raw data'!E168),ISNUMBER('Raw data'!F168)),IF(SIGN('Raw data'!E168-'Raw data'!F168)=SIGN('Real results'!C168-'Real results'!D168),3+IF(AND('Raw data'!E168='Real results'!C168,'Raw data'!F168='Real results'!D168),2,0),0),0),0)</f>
        <v>0</v>
      </c>
      <c r="G172" s="29">
        <f>IFERROR(IF(AND(ISNUMBER('Real results'!C168),ISNUMBER('Real results'!D168),ISNUMBER('Raw data'!G168),ISNUMBER('Raw data'!H168)),IF(SIGN('Raw data'!G168-'Raw data'!H168)=SIGN('Real results'!C168-'Real results'!D168),3+IF(AND('Raw data'!G168='Real results'!C168,'Raw data'!H168='Real results'!D168),2,0),0),0),0)</f>
        <v>0</v>
      </c>
      <c r="I172" s="29">
        <f>IFERROR(IF(AND(ISNUMBER('Real results'!C168),ISNUMBER('Real results'!D168),ISNUMBER('Raw data'!I168),ISNUMBER('Raw data'!J168)),IF(SIGN('Raw data'!I168-'Raw data'!J168)=SIGN('Real results'!C168-'Real results'!D168),3+IF(AND('Raw data'!I168='Real results'!C168,'Raw data'!J168='Real results'!D168),2,0),0),0),0)</f>
        <v>0</v>
      </c>
      <c r="K172" s="29">
        <f>IFERROR(IF(AND(ISNUMBER('Real results'!C168),ISNUMBER('Real results'!D168),ISNUMBER('Raw data'!K168),ISNUMBER('Raw data'!L168)),IF(SIGN('Raw data'!K168-'Raw data'!L168)=SIGN('Real results'!C168-'Real results'!D168),3+IF(AND('Raw data'!K168='Real results'!C168,'Raw data'!L168='Real results'!D168),2,0),0),0),0)</f>
        <v>0</v>
      </c>
      <c r="M172" s="29">
        <f>IFERROR(IF(AND(ISNUMBER('Real results'!C168),ISNUMBER('Real results'!D168),ISNUMBER('Raw data'!M168),ISNUMBER('Raw data'!N168)),IF(SIGN('Raw data'!M168-'Raw data'!N168)=SIGN('Real results'!C168-'Real results'!D168),3+IF(AND('Raw data'!M168='Real results'!C168,'Raw data'!N168='Real results'!D168),2,0),0),0),0)</f>
        <v>0</v>
      </c>
      <c r="O172" s="29">
        <f>IFERROR(IF(AND(ISNUMBER('Real results'!C168),ISNUMBER('Real results'!D168),ISNUMBER('Raw data'!O168),ISNUMBER('Raw data'!P168)),IF(SIGN('Raw data'!O168-'Raw data'!P168)=SIGN('Real results'!C168-'Real results'!D168),3+IF(AND('Raw data'!O168='Real results'!C168,'Raw data'!P168='Real results'!D168),2,0),0),0),0)</f>
        <v>0</v>
      </c>
      <c r="Q172" s="29">
        <f>IFERROR(IF(AND(ISNUMBER('Real results'!C168),ISNUMBER('Real results'!D168),ISNUMBER('Raw data'!Q168),ISNUMBER('Raw data'!R168)),IF(SIGN('Raw data'!Q168-'Raw data'!R168)=SIGN('Real results'!C168-'Real results'!D168),3+IF(AND('Raw data'!Q168='Real results'!C168,'Raw data'!R168='Real results'!D168),2,0),0),0),0)</f>
        <v>0</v>
      </c>
      <c r="S172" s="29">
        <f>IFERROR(IF(AND(ISNUMBER('Real results'!C168),ISNUMBER('Real results'!D168),ISNUMBER('Raw data'!S168),ISNUMBER('Raw data'!T168)),IF(SIGN('Raw data'!S168-'Raw data'!T168)=SIGN('Real results'!C168-'Real results'!D168),3+IF(AND('Raw data'!S168='Real results'!C168,'Raw data'!T168='Real results'!D168),2,0),0),0),0)</f>
        <v>0</v>
      </c>
      <c r="U172" s="29">
        <f>IFERROR(IF(AND(ISNUMBER('Real results'!C168),ISNUMBER('Real results'!D168),ISNUMBER('Raw data'!U168),ISNUMBER('Raw data'!V168)),IF(SIGN('Raw data'!U168-'Raw data'!V168)=SIGN('Real results'!C168-'Real results'!D168),3+IF(AND('Raw data'!U168='Real results'!C168,'Raw data'!V168='Real results'!D168),2,0),0),0),0)</f>
        <v>0</v>
      </c>
      <c r="W172" s="29">
        <f>IFERROR(IF(AND(ISNUMBER('Real results'!C168),ISNUMBER('Real results'!D168),ISNUMBER('Raw data'!W168),ISNUMBER('Raw data'!X168)),IF(SIGN('Raw data'!W168-'Raw data'!X168)=SIGN('Real results'!C168-'Real results'!D168),3+IF(AND('Raw data'!W168='Real results'!C168,'Raw data'!X168='Real results'!D168),2,0),0),0),0)</f>
        <v>0</v>
      </c>
      <c r="Y172" s="29">
        <f>IFERROR(IF(AND(ISNUMBER('Real results'!C168),ISNUMBER('Real results'!D168),ISNUMBER('Raw data'!Y168),ISNUMBER('Raw data'!Z168)),IF(SIGN('Raw data'!Y168-'Raw data'!Z168)=SIGN('Real results'!C168-'Real results'!D168),3+IF(AND('Raw data'!Y168='Real results'!C168,'Raw data'!Z168='Real results'!D168),2,0),0),0),0)</f>
        <v>0</v>
      </c>
      <c r="AA172" s="29">
        <f>IFERROR(IF(AND(ISNUMBER('Real results'!C168),ISNUMBER('Real results'!D168),ISNUMBER('Raw data'!AA168),ISNUMBER('Raw data'!AB168)),IF(SIGN('Raw data'!AA168-'Raw data'!AB168)=SIGN('Real results'!C168-'Real results'!D168),3+IF(AND('Raw data'!AA168='Real results'!C168,'Raw data'!AB168='Real results'!D168),2,0),0),0),0)</f>
        <v>0</v>
      </c>
      <c r="AC172" s="29">
        <f>IFERROR(IF(AND(ISNUMBER('Real results'!C168),ISNUMBER('Real results'!D168),ISNUMBER('Raw data'!AC168),ISNUMBER('Raw data'!AD168)),IF(SIGN('Raw data'!AC168-'Raw data'!AD168)=SIGN('Real results'!C168-'Real results'!D168),3+IF(AND('Raw data'!AC168='Real results'!C168,'Raw data'!AD168='Real results'!D168),2,0),0),0),0)</f>
        <v>0</v>
      </c>
      <c r="AE172" s="29">
        <f>IFERROR(IF(AND(ISNUMBER('Real results'!C168),ISNUMBER('Real results'!D168),ISNUMBER('Raw data'!AE168),ISNUMBER('Raw data'!AF168)),IF(SIGN('Raw data'!AE168-'Raw data'!AF168)=SIGN('Real results'!C168-'Real results'!D168),3+IF(AND('Raw data'!AE168='Real results'!C168,'Raw data'!AF168='Real results'!D168),2,0),0),0),0)</f>
        <v>0</v>
      </c>
      <c r="AG172" s="29">
        <f>IFERROR(IF(AND(ISNUMBER('Real results'!C168),ISNUMBER('Real results'!D168),ISNUMBER('Raw data'!AG168),ISNUMBER('Raw data'!AH168)),IF(SIGN('Raw data'!AG168-'Raw data'!AH168)=SIGN('Real results'!C168-'Real results'!D168),3+IF(AND('Raw data'!AG168='Real results'!C168,'Raw data'!AH168='Real results'!D168),2,0),0),0),0)</f>
        <v>0</v>
      </c>
      <c r="AI172" s="29">
        <f>IFERROR(IF(AND(ISNUMBER('Real results'!C168),ISNUMBER('Real results'!D168),ISNUMBER('Raw data'!AI168),ISNUMBER('Raw data'!AJ168)),IF(SIGN('Raw data'!AI168-'Raw data'!AJ168)=SIGN('Real results'!C168-'Real results'!D168),3+IF(AND('Raw data'!AI168='Real results'!C168,'Raw data'!AJ168='Real results'!D168),2,0),0),0),0)</f>
        <v>0</v>
      </c>
      <c r="AK172" s="29">
        <f>IFERROR(IF(AND(ISNUMBER('Real results'!C168),ISNUMBER('Real results'!D168),ISNUMBER('Raw data'!AK168),ISNUMBER('Raw data'!AL168)),IF(SIGN('Raw data'!AK168-'Raw data'!AL168)=SIGN('Real results'!C168-'Real results'!D168),3+IF(AND('Raw data'!AK168='Real results'!C168,'Raw data'!AL168='Real results'!D168),2,0),0),0),0)</f>
        <v>0</v>
      </c>
      <c r="AM172" s="29">
        <f>IFERROR(IF(AND(ISNUMBER('Real results'!C168),ISNUMBER('Real results'!D168),ISNUMBER('Raw data'!AM168),ISNUMBER('Raw data'!AN168)),IF(SIGN('Raw data'!AM168-'Raw data'!AN168)=SIGN('Real results'!C168-'Real results'!D168),3+IF(AND('Raw data'!AM168='Real results'!C168,'Raw data'!AN168='Real results'!D168),2,0),0),0),0)</f>
        <v>0</v>
      </c>
      <c r="AO172" s="29">
        <f>IFERROR(IF(AND(ISNUMBER('Real results'!C168),ISNUMBER('Real results'!D168),ISNUMBER('Raw data'!AO168),ISNUMBER('Raw data'!AP168)),IF(SIGN('Raw data'!AO168-'Raw data'!AP168)=SIGN('Real results'!C168-'Real results'!D168),3+IF(AND('Raw data'!AO168='Real results'!C168,'Raw data'!AP168='Real results'!D168),2,0),0),0),0)</f>
        <v>0</v>
      </c>
      <c r="AQ172" s="29">
        <f>IFERROR(IF(AND(ISNUMBER('Real results'!C168),ISNUMBER('Real results'!D168),ISNUMBER('Raw data'!AQ168),ISNUMBER('Raw data'!AR168)),IF(SIGN('Raw data'!AQ168-'Raw data'!AR168)=SIGN('Real results'!C168-'Real results'!D168),3+IF(AND('Raw data'!AQ168='Real results'!C168,'Raw data'!AR168='Real results'!D168),2,0),0),0),0)</f>
        <v>0</v>
      </c>
      <c r="AS172" s="29">
        <f>IFERROR(IF(AND(ISNUMBER('Real results'!C168),ISNUMBER('Real results'!D168),ISNUMBER('Raw data'!AS168),ISNUMBER('Raw data'!AT168)),IF(SIGN('Raw data'!AS168-'Raw data'!AT168)=SIGN('Real results'!C168-'Real results'!D168),3+IF(AND('Raw data'!AS168='Real results'!C168,'Raw data'!AT168='Real results'!D168),2,0),0),0),0)</f>
        <v>0</v>
      </c>
      <c r="AU172" s="29">
        <f>IFERROR(IF(AND(ISNUMBER('Real results'!C168),ISNUMBER('Real results'!D168),ISNUMBER('Raw data'!AU168),ISNUMBER('Raw data'!AV168)),IF(SIGN('Raw data'!AU168-'Raw data'!AV168)=SIGN('Real results'!C168-'Real results'!D168),3+IF(AND('Raw data'!AU168='Real results'!C168,'Raw data'!AV168='Real results'!D168),2,0),0),0),0)</f>
        <v>0</v>
      </c>
      <c r="AW172" s="29">
        <f>IFERROR(IF(AND(ISNUMBER('Real results'!C168),ISNUMBER('Real results'!D168),ISNUMBER('Raw data'!AW168),ISNUMBER('Raw data'!AX168)),IF(SIGN('Raw data'!AW168-'Raw data'!AX168)=SIGN('Real results'!C168-'Real results'!D168),3+IF(AND('Raw data'!AW168='Real results'!C168,'Raw data'!AX168='Real results'!D168),2,0),0),0),0)</f>
        <v>0</v>
      </c>
      <c r="AY172" s="29">
        <f>IFERROR(IF(AND(ISNUMBER('Real results'!C168),ISNUMBER('Real results'!D168),ISNUMBER('Raw data'!AY168),ISNUMBER('Raw data'!AZ168)),IF(SIGN('Raw data'!AY168-'Raw data'!AZ168)=SIGN('Real results'!C168-'Real results'!D168),3+IF(AND('Raw data'!AY168='Real results'!C168,'Raw data'!AZ168='Real results'!D168),2,0),0),0),0)</f>
        <v>0</v>
      </c>
      <c r="BA172" s="29">
        <f>IFERROR(IF(AND(ISNUMBER('Real results'!C168),ISNUMBER('Real results'!D168),ISNUMBER('Raw data'!BA168),ISNUMBER('Raw data'!BB168)),IF(SIGN('Raw data'!BA168-'Raw data'!BB168)=SIGN('Real results'!C168-'Real results'!D168),3+IF(AND('Raw data'!BA168='Real results'!C168,'Raw data'!BB168='Real results'!D168),2,0),0),0),0)</f>
        <v>0</v>
      </c>
      <c r="BC172" s="29">
        <f>IFERROR(IF(AND(ISNUMBER('Real results'!C168),ISNUMBER('Real results'!D168),ISNUMBER('Raw data'!BC168),ISNUMBER('Raw data'!BD168)),IF(SIGN('Raw data'!BC168-'Raw data'!BD168)=SIGN('Real results'!C168-'Real results'!D168),3+IF(AND('Raw data'!BC168='Real results'!C168,'Raw data'!BD168='Real results'!D168),2,0),0),0),0)</f>
        <v>0</v>
      </c>
      <c r="BE172" s="29">
        <f>IFERROR(IF(AND(ISNUMBER('Real results'!C168),ISNUMBER('Real results'!D168),ISNUMBER('Raw data'!BE168),ISNUMBER('Raw data'!BF168)),IF(SIGN('Raw data'!BE168-'Raw data'!BF168)=SIGN('Real results'!C168-'Real results'!D168),3+IF(AND('Raw data'!BE168='Real results'!C168,'Raw data'!BF168='Real results'!D168),2,0),0),0),0)</f>
        <v>0</v>
      </c>
      <c r="BG172" s="29">
        <f>IFERROR(IF(AND(ISNUMBER('Real results'!C168),ISNUMBER('Real results'!D168),ISNUMBER('Raw data'!BG168),ISNUMBER('Raw data'!BH168)),IF(SIGN('Raw data'!BG168-'Raw data'!BH168)=SIGN('Real results'!C168-'Real results'!D168),3+IF(AND('Raw data'!BG168='Real results'!C168,'Raw data'!BH168='Real results'!D168),2,0),0),0),0)</f>
        <v>0</v>
      </c>
      <c r="BI172" s="29">
        <f>IFERROR(IF(AND(ISNUMBER('Real results'!C168),ISNUMBER('Real results'!D168),ISNUMBER('Raw data'!BI168),ISNUMBER('Raw data'!BJ168)),IF(SIGN('Raw data'!BI168-'Raw data'!BJ168)=SIGN('Real results'!C168-'Real results'!D168),3+IF(AND('Raw data'!BI168='Real results'!C168,'Raw data'!BJ168='Real results'!D168),2,0),0),0),0)</f>
        <v>0</v>
      </c>
    </row>
    <row r="173" ht="18.0" customHeight="1">
      <c r="A173" s="1"/>
      <c r="B173" s="13" t="s">
        <v>454</v>
      </c>
      <c r="C173" s="29">
        <f>IFERROR(IF(AND('Real results'!C169&lt;&gt;"",'Raw data'!C169&lt;&gt;"",UPPER(TRIM('Real results'!C169))=UPPER(TRIM('Raw data'!C169))),1,0),0)</f>
        <v>0</v>
      </c>
      <c r="E173" s="29">
        <f>IFERROR(IF(AND('Real results'!C169&lt;&gt;"",'Raw data'!E169&lt;&gt;"",UPPER(TRIM('Real results'!C169))=UPPER(TRIM('Raw data'!E169))),1,0),0)</f>
        <v>0</v>
      </c>
      <c r="G173" s="29">
        <f>IFERROR(IF(AND('Real results'!C169&lt;&gt;"",'Raw data'!G169&lt;&gt;"",UPPER(TRIM('Real results'!C169))=UPPER(TRIM('Raw data'!G169))),1,0),0)</f>
        <v>0</v>
      </c>
      <c r="I173" s="29">
        <f>IFERROR(IF(AND('Real results'!C169&lt;&gt;"",'Raw data'!I169&lt;&gt;"",UPPER(TRIM('Real results'!C169))=UPPER(TRIM('Raw data'!I169))),1,0),0)</f>
        <v>0</v>
      </c>
      <c r="K173" s="29">
        <f>IFERROR(IF(AND('Real results'!C169&lt;&gt;"",'Raw data'!K169&lt;&gt;"",UPPER(TRIM('Real results'!C169))=UPPER(TRIM('Raw data'!K169))),1,0),0)</f>
        <v>0</v>
      </c>
      <c r="M173" s="29">
        <f>IFERROR(IF(AND('Real results'!C169&lt;&gt;"",'Raw data'!M169&lt;&gt;"",UPPER(TRIM('Real results'!C169))=UPPER(TRIM('Raw data'!M169))),1,0),0)</f>
        <v>0</v>
      </c>
      <c r="O173" s="29">
        <f>IFERROR(IF(AND('Real results'!C169&lt;&gt;"",'Raw data'!O169&lt;&gt;"",UPPER(TRIM('Real results'!C169))=UPPER(TRIM('Raw data'!O169))),1,0),0)</f>
        <v>0</v>
      </c>
      <c r="Q173" s="29">
        <f>IFERROR(IF(AND('Real results'!C169&lt;&gt;"",'Raw data'!Q169&lt;&gt;"",UPPER(TRIM('Real results'!C169))=UPPER(TRIM('Raw data'!Q169))),1,0),0)</f>
        <v>0</v>
      </c>
      <c r="S173" s="29">
        <f>IFERROR(IF(AND('Real results'!C169&lt;&gt;"",'Raw data'!S169&lt;&gt;"",UPPER(TRIM('Real results'!C169))=UPPER(TRIM('Raw data'!S169))),1,0),0)</f>
        <v>0</v>
      </c>
      <c r="U173" s="29">
        <f>IFERROR(IF(AND('Real results'!C169&lt;&gt;"",'Raw data'!U169&lt;&gt;"",UPPER(TRIM('Real results'!C169))=UPPER(TRIM('Raw data'!U169))),1,0),0)</f>
        <v>0</v>
      </c>
      <c r="W173" s="29">
        <f>IFERROR(IF(AND('Real results'!C169&lt;&gt;"",'Raw data'!W169&lt;&gt;"",UPPER(TRIM('Real results'!C169))=UPPER(TRIM('Raw data'!W169))),1,0),0)</f>
        <v>0</v>
      </c>
      <c r="Y173" s="29">
        <f>IFERROR(IF(AND('Real results'!C169&lt;&gt;"",'Raw data'!Y169&lt;&gt;"",UPPER(TRIM('Real results'!C169))=UPPER(TRIM('Raw data'!Y169))),1,0),0)</f>
        <v>0</v>
      </c>
      <c r="AA173" s="29">
        <f>IFERROR(IF(AND('Real results'!C169&lt;&gt;"",'Raw data'!AA169&lt;&gt;"",UPPER(TRIM('Real results'!C169))=UPPER(TRIM('Raw data'!AA169))),1,0),0)</f>
        <v>0</v>
      </c>
      <c r="AC173" s="29">
        <f>IFERROR(IF(AND('Real results'!C169&lt;&gt;"",'Raw data'!AC169&lt;&gt;"",UPPER(TRIM('Real results'!C169))=UPPER(TRIM('Raw data'!AC169))),1,0),0)</f>
        <v>0</v>
      </c>
      <c r="AE173" s="29">
        <f>IFERROR(IF(AND('Real results'!C169&lt;&gt;"",'Raw data'!AE169&lt;&gt;"",UPPER(TRIM('Real results'!C169))=UPPER(TRIM('Raw data'!AE169))),1,0),0)</f>
        <v>0</v>
      </c>
      <c r="AG173" s="29">
        <f>IFERROR(IF(AND('Real results'!C169&lt;&gt;"",'Raw data'!AG169&lt;&gt;"",UPPER(TRIM('Real results'!C169))=UPPER(TRIM('Raw data'!AG169))),1,0),0)</f>
        <v>0</v>
      </c>
      <c r="AI173" s="29">
        <f>IFERROR(IF(AND('Real results'!C169&lt;&gt;"",'Raw data'!AI169&lt;&gt;"",UPPER(TRIM('Real results'!C169))=UPPER(TRIM('Raw data'!AI169))),1,0),0)</f>
        <v>0</v>
      </c>
      <c r="AK173" s="29">
        <f>IFERROR(IF(AND('Real results'!C169&lt;&gt;"",'Raw data'!AK169&lt;&gt;"",UPPER(TRIM('Real results'!C169))=UPPER(TRIM('Raw data'!AK169))),1,0),0)</f>
        <v>0</v>
      </c>
      <c r="AM173" s="29">
        <f>IFERROR(IF(AND('Real results'!C169&lt;&gt;"",'Raw data'!AM169&lt;&gt;"",UPPER(TRIM('Real results'!C169))=UPPER(TRIM('Raw data'!AM169))),1,0),0)</f>
        <v>0</v>
      </c>
      <c r="AO173" s="29">
        <f>IFERROR(IF(AND('Real results'!C169&lt;&gt;"",'Raw data'!AO169&lt;&gt;"",UPPER(TRIM('Real results'!C169))=UPPER(TRIM('Raw data'!AO169))),1,0),0)</f>
        <v>0</v>
      </c>
      <c r="AQ173" s="29">
        <f>IFERROR(IF(AND('Real results'!C169&lt;&gt;"",'Raw data'!AQ169&lt;&gt;"",UPPER(TRIM('Real results'!C169))=UPPER(TRIM('Raw data'!AQ169))),1,0),0)</f>
        <v>0</v>
      </c>
      <c r="AS173" s="29">
        <f>IFERROR(IF(AND('Real results'!C169&lt;&gt;"",'Raw data'!AS169&lt;&gt;"",UPPER(TRIM('Real results'!C169))=UPPER(TRIM('Raw data'!AS169))),1,0),0)</f>
        <v>0</v>
      </c>
      <c r="AU173" s="29">
        <f>IFERROR(IF(AND('Real results'!C169&lt;&gt;"",'Raw data'!AU169&lt;&gt;"",UPPER(TRIM('Real results'!C169))=UPPER(TRIM('Raw data'!AU169))),1,0),0)</f>
        <v>0</v>
      </c>
      <c r="AW173" s="29">
        <f>IFERROR(IF(AND('Real results'!C169&lt;&gt;"",'Raw data'!AW169&lt;&gt;"",UPPER(TRIM('Real results'!C169))=UPPER(TRIM('Raw data'!AW169))),1,0),0)</f>
        <v>0</v>
      </c>
      <c r="AY173" s="29">
        <f>IFERROR(IF(AND('Real results'!C169&lt;&gt;"",'Raw data'!AY169&lt;&gt;"",UPPER(TRIM('Real results'!C169))=UPPER(TRIM('Raw data'!AY169))),1,0),0)</f>
        <v>0</v>
      </c>
      <c r="BA173" s="29">
        <f>IFERROR(IF(AND('Real results'!C169&lt;&gt;"",'Raw data'!BA169&lt;&gt;"",UPPER(TRIM('Real results'!C169))=UPPER(TRIM('Raw data'!BA169))),1,0),0)</f>
        <v>0</v>
      </c>
      <c r="BC173" s="29">
        <f>IFERROR(IF(AND('Real results'!C169&lt;&gt;"",'Raw data'!BC169&lt;&gt;"",UPPER(TRIM('Real results'!C169))=UPPER(TRIM('Raw data'!BC169))),1,0),0)</f>
        <v>0</v>
      </c>
      <c r="BE173" s="29">
        <f>IFERROR(IF(AND('Real results'!C169&lt;&gt;"",'Raw data'!BE169&lt;&gt;"",UPPER(TRIM('Real results'!C169))=UPPER(TRIM('Raw data'!BE169))),1,0),0)</f>
        <v>0</v>
      </c>
      <c r="BG173" s="29">
        <f>IFERROR(IF(AND('Real results'!C169&lt;&gt;"",'Raw data'!BG169&lt;&gt;"",UPPER(TRIM('Real results'!C169))=UPPER(TRIM('Raw data'!BG169))),1,0),0)</f>
        <v>0</v>
      </c>
      <c r="BI173" s="29">
        <f>IFERROR(IF(AND('Real results'!C169&lt;&gt;"",'Raw data'!BI169&lt;&gt;"",UPPER(TRIM('Real results'!C169))=UPPER(TRIM('Raw data'!BI169))),1,0),0)</f>
        <v>0</v>
      </c>
    </row>
    <row r="174" ht="18.0" customHeight="1">
      <c r="A174" s="1"/>
      <c r="B174" s="13" t="s">
        <v>455</v>
      </c>
      <c r="C174" s="29">
        <f>IFERROR(IF(AND('Real results'!C170&lt;&gt;"",'Raw data'!C170&lt;&gt;"",UPPER(TRIM('Real results'!C170))=UPPER(TRIM('Raw data'!C170))),1,0),0)</f>
        <v>0</v>
      </c>
      <c r="E174" s="29">
        <f>IFERROR(IF(AND('Real results'!C170&lt;&gt;"",'Raw data'!E170&lt;&gt;"",UPPER(TRIM('Real results'!C170))=UPPER(TRIM('Raw data'!E170))),1,0),0)</f>
        <v>0</v>
      </c>
      <c r="G174" s="29">
        <f>IFERROR(IF(AND('Real results'!C170&lt;&gt;"",'Raw data'!G170&lt;&gt;"",UPPER(TRIM('Real results'!C170))=UPPER(TRIM('Raw data'!G170))),1,0),0)</f>
        <v>0</v>
      </c>
      <c r="I174" s="29">
        <f>IFERROR(IF(AND('Real results'!C170&lt;&gt;"",'Raw data'!I170&lt;&gt;"",UPPER(TRIM('Real results'!C170))=UPPER(TRIM('Raw data'!I170))),1,0),0)</f>
        <v>0</v>
      </c>
      <c r="K174" s="29">
        <f>IFERROR(IF(AND('Real results'!C170&lt;&gt;"",'Raw data'!K170&lt;&gt;"",UPPER(TRIM('Real results'!C170))=UPPER(TRIM('Raw data'!K170))),1,0),0)</f>
        <v>0</v>
      </c>
      <c r="M174" s="29">
        <f>IFERROR(IF(AND('Real results'!C170&lt;&gt;"",'Raw data'!M170&lt;&gt;"",UPPER(TRIM('Real results'!C170))=UPPER(TRIM('Raw data'!M170))),1,0),0)</f>
        <v>0</v>
      </c>
      <c r="O174" s="29">
        <f>IFERROR(IF(AND('Real results'!C170&lt;&gt;"",'Raw data'!O170&lt;&gt;"",UPPER(TRIM('Real results'!C170))=UPPER(TRIM('Raw data'!O170))),1,0),0)</f>
        <v>0</v>
      </c>
      <c r="Q174" s="29">
        <f>IFERROR(IF(AND('Real results'!C170&lt;&gt;"",'Raw data'!Q170&lt;&gt;"",UPPER(TRIM('Real results'!C170))=UPPER(TRIM('Raw data'!Q170))),1,0),0)</f>
        <v>0</v>
      </c>
      <c r="S174" s="29">
        <f>IFERROR(IF(AND('Real results'!C170&lt;&gt;"",'Raw data'!S170&lt;&gt;"",UPPER(TRIM('Real results'!C170))=UPPER(TRIM('Raw data'!S170))),1,0),0)</f>
        <v>0</v>
      </c>
      <c r="U174" s="29">
        <f>IFERROR(IF(AND('Real results'!C170&lt;&gt;"",'Raw data'!U170&lt;&gt;"",UPPER(TRIM('Real results'!C170))=UPPER(TRIM('Raw data'!U170))),1,0),0)</f>
        <v>0</v>
      </c>
      <c r="W174" s="29">
        <f>IFERROR(IF(AND('Real results'!C170&lt;&gt;"",'Raw data'!W170&lt;&gt;"",UPPER(TRIM('Real results'!C170))=UPPER(TRIM('Raw data'!W170))),1,0),0)</f>
        <v>0</v>
      </c>
      <c r="Y174" s="29">
        <f>IFERROR(IF(AND('Real results'!C170&lt;&gt;"",'Raw data'!Y170&lt;&gt;"",UPPER(TRIM('Real results'!C170))=UPPER(TRIM('Raw data'!Y170))),1,0),0)</f>
        <v>0</v>
      </c>
      <c r="AA174" s="29">
        <f>IFERROR(IF(AND('Real results'!C170&lt;&gt;"",'Raw data'!AA170&lt;&gt;"",UPPER(TRIM('Real results'!C170))=UPPER(TRIM('Raw data'!AA170))),1,0),0)</f>
        <v>0</v>
      </c>
      <c r="AC174" s="29">
        <f>IFERROR(IF(AND('Real results'!C170&lt;&gt;"",'Raw data'!AC170&lt;&gt;"",UPPER(TRIM('Real results'!C170))=UPPER(TRIM('Raw data'!AC170))),1,0),0)</f>
        <v>0</v>
      </c>
      <c r="AE174" s="29">
        <f>IFERROR(IF(AND('Real results'!C170&lt;&gt;"",'Raw data'!AE170&lt;&gt;"",UPPER(TRIM('Real results'!C170))=UPPER(TRIM('Raw data'!AE170))),1,0),0)</f>
        <v>0</v>
      </c>
      <c r="AG174" s="29">
        <f>IFERROR(IF(AND('Real results'!C170&lt;&gt;"",'Raw data'!AG170&lt;&gt;"",UPPER(TRIM('Real results'!C170))=UPPER(TRIM('Raw data'!AG170))),1,0),0)</f>
        <v>0</v>
      </c>
      <c r="AI174" s="29">
        <f>IFERROR(IF(AND('Real results'!C170&lt;&gt;"",'Raw data'!AI170&lt;&gt;"",UPPER(TRIM('Real results'!C170))=UPPER(TRIM('Raw data'!AI170))),1,0),0)</f>
        <v>0</v>
      </c>
      <c r="AK174" s="29">
        <f>IFERROR(IF(AND('Real results'!C170&lt;&gt;"",'Raw data'!AK170&lt;&gt;"",UPPER(TRIM('Real results'!C170))=UPPER(TRIM('Raw data'!AK170))),1,0),0)</f>
        <v>0</v>
      </c>
      <c r="AM174" s="29">
        <f>IFERROR(IF(AND('Real results'!C170&lt;&gt;"",'Raw data'!AM170&lt;&gt;"",UPPER(TRIM('Real results'!C170))=UPPER(TRIM('Raw data'!AM170))),1,0),0)</f>
        <v>0</v>
      </c>
      <c r="AO174" s="29">
        <f>IFERROR(IF(AND('Real results'!C170&lt;&gt;"",'Raw data'!AO170&lt;&gt;"",UPPER(TRIM('Real results'!C170))=UPPER(TRIM('Raw data'!AO170))),1,0),0)</f>
        <v>0</v>
      </c>
      <c r="AQ174" s="29">
        <f>IFERROR(IF(AND('Real results'!C170&lt;&gt;"",'Raw data'!AQ170&lt;&gt;"",UPPER(TRIM('Real results'!C170))=UPPER(TRIM('Raw data'!AQ170))),1,0),0)</f>
        <v>0</v>
      </c>
      <c r="AS174" s="29">
        <f>IFERROR(IF(AND('Real results'!C170&lt;&gt;"",'Raw data'!AS170&lt;&gt;"",UPPER(TRIM('Real results'!C170))=UPPER(TRIM('Raw data'!AS170))),1,0),0)</f>
        <v>0</v>
      </c>
      <c r="AU174" s="29">
        <f>IFERROR(IF(AND('Real results'!C170&lt;&gt;"",'Raw data'!AU170&lt;&gt;"",UPPER(TRIM('Real results'!C170))=UPPER(TRIM('Raw data'!AU170))),1,0),0)</f>
        <v>0</v>
      </c>
      <c r="AW174" s="29">
        <f>IFERROR(IF(AND('Real results'!C170&lt;&gt;"",'Raw data'!AW170&lt;&gt;"",UPPER(TRIM('Real results'!C170))=UPPER(TRIM('Raw data'!AW170))),1,0),0)</f>
        <v>0</v>
      </c>
      <c r="AY174" s="29">
        <f>IFERROR(IF(AND('Real results'!C170&lt;&gt;"",'Raw data'!AY170&lt;&gt;"",UPPER(TRIM('Real results'!C170))=UPPER(TRIM('Raw data'!AY170))),1,0),0)</f>
        <v>0</v>
      </c>
      <c r="BA174" s="29">
        <f>IFERROR(IF(AND('Real results'!C170&lt;&gt;"",'Raw data'!BA170&lt;&gt;"",UPPER(TRIM('Real results'!C170))=UPPER(TRIM('Raw data'!BA170))),1,0),0)</f>
        <v>0</v>
      </c>
      <c r="BC174" s="29">
        <f>IFERROR(IF(AND('Real results'!C170&lt;&gt;"",'Raw data'!BC170&lt;&gt;"",UPPER(TRIM('Real results'!C170))=UPPER(TRIM('Raw data'!BC170))),1,0),0)</f>
        <v>0</v>
      </c>
      <c r="BE174" s="29">
        <f>IFERROR(IF(AND('Real results'!C170&lt;&gt;"",'Raw data'!BE170&lt;&gt;"",UPPER(TRIM('Real results'!C170))=UPPER(TRIM('Raw data'!BE170))),1,0),0)</f>
        <v>0</v>
      </c>
      <c r="BG174" s="29">
        <f>IFERROR(IF(AND('Real results'!C170&lt;&gt;"",'Raw data'!BG170&lt;&gt;"",UPPER(TRIM('Real results'!C170))=UPPER(TRIM('Raw data'!BG170))),1,0),0)</f>
        <v>0</v>
      </c>
      <c r="BI174" s="29">
        <f>IFERROR(IF(AND('Real results'!C170&lt;&gt;"",'Raw data'!BI170&lt;&gt;"",UPPER(TRIM('Real results'!C170))=UPPER(TRIM('Raw data'!BI170))),1,0),0)</f>
        <v>0</v>
      </c>
    </row>
    <row r="175" ht="18.0" customHeight="1">
      <c r="A175" s="1"/>
      <c r="B175" s="13" t="s">
        <v>456</v>
      </c>
      <c r="C175" s="29">
        <f>IFERROR(IF(AND(ISNUMBER('Real results'!C171),ISNUMBER('Real results'!D171),ISNUMBER('Raw data'!C171),ISNUMBER('Raw data'!D171)),IF(SIGN('Raw data'!C171-'Raw data'!D171)=SIGN('Real results'!C171-'Real results'!D171),3+IF(AND('Raw data'!C171='Real results'!C171,'Raw data'!D171='Real results'!D171),2,0),0),0),0)</f>
        <v>0</v>
      </c>
      <c r="E175" s="29">
        <f>IFERROR(IF(AND(ISNUMBER('Real results'!C171),ISNUMBER('Real results'!D171),ISNUMBER('Raw data'!E171),ISNUMBER('Raw data'!F171)),IF(SIGN('Raw data'!E171-'Raw data'!F171)=SIGN('Real results'!C171-'Real results'!D171),3+IF(AND('Raw data'!E171='Real results'!C171,'Raw data'!F171='Real results'!D171),2,0),0),0),0)</f>
        <v>0</v>
      </c>
      <c r="G175" s="29">
        <f>IFERROR(IF(AND(ISNUMBER('Real results'!C171),ISNUMBER('Real results'!D171),ISNUMBER('Raw data'!G171),ISNUMBER('Raw data'!H171)),IF(SIGN('Raw data'!G171-'Raw data'!H171)=SIGN('Real results'!C171-'Real results'!D171),3+IF(AND('Raw data'!G171='Real results'!C171,'Raw data'!H171='Real results'!D171),2,0),0),0),0)</f>
        <v>0</v>
      </c>
      <c r="I175" s="29">
        <f>IFERROR(IF(AND(ISNUMBER('Real results'!C171),ISNUMBER('Real results'!D171),ISNUMBER('Raw data'!I171),ISNUMBER('Raw data'!J171)),IF(SIGN('Raw data'!I171-'Raw data'!J171)=SIGN('Real results'!C171-'Real results'!D171),3+IF(AND('Raw data'!I171='Real results'!C171,'Raw data'!J171='Real results'!D171),2,0),0),0),0)</f>
        <v>0</v>
      </c>
      <c r="K175" s="29">
        <f>IFERROR(IF(AND(ISNUMBER('Real results'!C171),ISNUMBER('Real results'!D171),ISNUMBER('Raw data'!K171),ISNUMBER('Raw data'!L171)),IF(SIGN('Raw data'!K171-'Raw data'!L171)=SIGN('Real results'!C171-'Real results'!D171),3+IF(AND('Raw data'!K171='Real results'!C171,'Raw data'!L171='Real results'!D171),2,0),0),0),0)</f>
        <v>0</v>
      </c>
      <c r="M175" s="29">
        <f>IFERROR(IF(AND(ISNUMBER('Real results'!C171),ISNUMBER('Real results'!D171),ISNUMBER('Raw data'!M171),ISNUMBER('Raw data'!N171)),IF(SIGN('Raw data'!M171-'Raw data'!N171)=SIGN('Real results'!C171-'Real results'!D171),3+IF(AND('Raw data'!M171='Real results'!C171,'Raw data'!N171='Real results'!D171),2,0),0),0),0)</f>
        <v>0</v>
      </c>
      <c r="O175" s="29">
        <f>IFERROR(IF(AND(ISNUMBER('Real results'!C171),ISNUMBER('Real results'!D171),ISNUMBER('Raw data'!O171),ISNUMBER('Raw data'!P171)),IF(SIGN('Raw data'!O171-'Raw data'!P171)=SIGN('Real results'!C171-'Real results'!D171),3+IF(AND('Raw data'!O171='Real results'!C171,'Raw data'!P171='Real results'!D171),2,0),0),0),0)</f>
        <v>0</v>
      </c>
      <c r="Q175" s="29">
        <f>IFERROR(IF(AND(ISNUMBER('Real results'!C171),ISNUMBER('Real results'!D171),ISNUMBER('Raw data'!Q171),ISNUMBER('Raw data'!R171)),IF(SIGN('Raw data'!Q171-'Raw data'!R171)=SIGN('Real results'!C171-'Real results'!D171),3+IF(AND('Raw data'!Q171='Real results'!C171,'Raw data'!R171='Real results'!D171),2,0),0),0),0)</f>
        <v>0</v>
      </c>
      <c r="S175" s="29">
        <f>IFERROR(IF(AND(ISNUMBER('Real results'!C171),ISNUMBER('Real results'!D171),ISNUMBER('Raw data'!S171),ISNUMBER('Raw data'!T171)),IF(SIGN('Raw data'!S171-'Raw data'!T171)=SIGN('Real results'!C171-'Real results'!D171),3+IF(AND('Raw data'!S171='Real results'!C171,'Raw data'!T171='Real results'!D171),2,0),0),0),0)</f>
        <v>0</v>
      </c>
      <c r="U175" s="29">
        <f>IFERROR(IF(AND(ISNUMBER('Real results'!C171),ISNUMBER('Real results'!D171),ISNUMBER('Raw data'!U171),ISNUMBER('Raw data'!V171)),IF(SIGN('Raw data'!U171-'Raw data'!V171)=SIGN('Real results'!C171-'Real results'!D171),3+IF(AND('Raw data'!U171='Real results'!C171,'Raw data'!V171='Real results'!D171),2,0),0),0),0)</f>
        <v>0</v>
      </c>
      <c r="W175" s="29">
        <f>IFERROR(IF(AND(ISNUMBER('Real results'!C171),ISNUMBER('Real results'!D171),ISNUMBER('Raw data'!W171),ISNUMBER('Raw data'!X171)),IF(SIGN('Raw data'!W171-'Raw data'!X171)=SIGN('Real results'!C171-'Real results'!D171),3+IF(AND('Raw data'!W171='Real results'!C171,'Raw data'!X171='Real results'!D171),2,0),0),0),0)</f>
        <v>0</v>
      </c>
      <c r="Y175" s="29">
        <f>IFERROR(IF(AND(ISNUMBER('Real results'!C171),ISNUMBER('Real results'!D171),ISNUMBER('Raw data'!Y171),ISNUMBER('Raw data'!Z171)),IF(SIGN('Raw data'!Y171-'Raw data'!Z171)=SIGN('Real results'!C171-'Real results'!D171),3+IF(AND('Raw data'!Y171='Real results'!C171,'Raw data'!Z171='Real results'!D171),2,0),0),0),0)</f>
        <v>0</v>
      </c>
      <c r="AA175" s="29">
        <f>IFERROR(IF(AND(ISNUMBER('Real results'!C171),ISNUMBER('Real results'!D171),ISNUMBER('Raw data'!AA171),ISNUMBER('Raw data'!AB171)),IF(SIGN('Raw data'!AA171-'Raw data'!AB171)=SIGN('Real results'!C171-'Real results'!D171),3+IF(AND('Raw data'!AA171='Real results'!C171,'Raw data'!AB171='Real results'!D171),2,0),0),0),0)</f>
        <v>0</v>
      </c>
      <c r="AC175" s="29">
        <f>IFERROR(IF(AND(ISNUMBER('Real results'!C171),ISNUMBER('Real results'!D171),ISNUMBER('Raw data'!AC171),ISNUMBER('Raw data'!AD171)),IF(SIGN('Raw data'!AC171-'Raw data'!AD171)=SIGN('Real results'!C171-'Real results'!D171),3+IF(AND('Raw data'!AC171='Real results'!C171,'Raw data'!AD171='Real results'!D171),2,0),0),0),0)</f>
        <v>0</v>
      </c>
      <c r="AE175" s="29">
        <f>IFERROR(IF(AND(ISNUMBER('Real results'!C171),ISNUMBER('Real results'!D171),ISNUMBER('Raw data'!AE171),ISNUMBER('Raw data'!AF171)),IF(SIGN('Raw data'!AE171-'Raw data'!AF171)=SIGN('Real results'!C171-'Real results'!D171),3+IF(AND('Raw data'!AE171='Real results'!C171,'Raw data'!AF171='Real results'!D171),2,0),0),0),0)</f>
        <v>0</v>
      </c>
      <c r="AG175" s="29">
        <f>IFERROR(IF(AND(ISNUMBER('Real results'!C171),ISNUMBER('Real results'!D171),ISNUMBER('Raw data'!AG171),ISNUMBER('Raw data'!AH171)),IF(SIGN('Raw data'!AG171-'Raw data'!AH171)=SIGN('Real results'!C171-'Real results'!D171),3+IF(AND('Raw data'!AG171='Real results'!C171,'Raw data'!AH171='Real results'!D171),2,0),0),0),0)</f>
        <v>0</v>
      </c>
      <c r="AI175" s="29">
        <f>IFERROR(IF(AND(ISNUMBER('Real results'!C171),ISNUMBER('Real results'!D171),ISNUMBER('Raw data'!AI171),ISNUMBER('Raw data'!AJ171)),IF(SIGN('Raw data'!AI171-'Raw data'!AJ171)=SIGN('Real results'!C171-'Real results'!D171),3+IF(AND('Raw data'!AI171='Real results'!C171,'Raw data'!AJ171='Real results'!D171),2,0),0),0),0)</f>
        <v>0</v>
      </c>
      <c r="AK175" s="29">
        <f>IFERROR(IF(AND(ISNUMBER('Real results'!C171),ISNUMBER('Real results'!D171),ISNUMBER('Raw data'!AK171),ISNUMBER('Raw data'!AL171)),IF(SIGN('Raw data'!AK171-'Raw data'!AL171)=SIGN('Real results'!C171-'Real results'!D171),3+IF(AND('Raw data'!AK171='Real results'!C171,'Raw data'!AL171='Real results'!D171),2,0),0),0),0)</f>
        <v>0</v>
      </c>
      <c r="AM175" s="29">
        <f>IFERROR(IF(AND(ISNUMBER('Real results'!C171),ISNUMBER('Real results'!D171),ISNUMBER('Raw data'!AM171),ISNUMBER('Raw data'!AN171)),IF(SIGN('Raw data'!AM171-'Raw data'!AN171)=SIGN('Real results'!C171-'Real results'!D171),3+IF(AND('Raw data'!AM171='Real results'!C171,'Raw data'!AN171='Real results'!D171),2,0),0),0),0)</f>
        <v>0</v>
      </c>
      <c r="AO175" s="29">
        <f>IFERROR(IF(AND(ISNUMBER('Real results'!C171),ISNUMBER('Real results'!D171),ISNUMBER('Raw data'!AO171),ISNUMBER('Raw data'!AP171)),IF(SIGN('Raw data'!AO171-'Raw data'!AP171)=SIGN('Real results'!C171-'Real results'!D171),3+IF(AND('Raw data'!AO171='Real results'!C171,'Raw data'!AP171='Real results'!D171),2,0),0),0),0)</f>
        <v>0</v>
      </c>
      <c r="AQ175" s="29">
        <f>IFERROR(IF(AND(ISNUMBER('Real results'!C171),ISNUMBER('Real results'!D171),ISNUMBER('Raw data'!AQ171),ISNUMBER('Raw data'!AR171)),IF(SIGN('Raw data'!AQ171-'Raw data'!AR171)=SIGN('Real results'!C171-'Real results'!D171),3+IF(AND('Raw data'!AQ171='Real results'!C171,'Raw data'!AR171='Real results'!D171),2,0),0),0),0)</f>
        <v>0</v>
      </c>
      <c r="AS175" s="29">
        <f>IFERROR(IF(AND(ISNUMBER('Real results'!C171),ISNUMBER('Real results'!D171),ISNUMBER('Raw data'!AS171),ISNUMBER('Raw data'!AT171)),IF(SIGN('Raw data'!AS171-'Raw data'!AT171)=SIGN('Real results'!C171-'Real results'!D171),3+IF(AND('Raw data'!AS171='Real results'!C171,'Raw data'!AT171='Real results'!D171),2,0),0),0),0)</f>
        <v>0</v>
      </c>
      <c r="AU175" s="29">
        <f>IFERROR(IF(AND(ISNUMBER('Real results'!C171),ISNUMBER('Real results'!D171),ISNUMBER('Raw data'!AU171),ISNUMBER('Raw data'!AV171)),IF(SIGN('Raw data'!AU171-'Raw data'!AV171)=SIGN('Real results'!C171-'Real results'!D171),3+IF(AND('Raw data'!AU171='Real results'!C171,'Raw data'!AV171='Real results'!D171),2,0),0),0),0)</f>
        <v>0</v>
      </c>
      <c r="AW175" s="29">
        <f>IFERROR(IF(AND(ISNUMBER('Real results'!C171),ISNUMBER('Real results'!D171),ISNUMBER('Raw data'!AW171),ISNUMBER('Raw data'!AX171)),IF(SIGN('Raw data'!AW171-'Raw data'!AX171)=SIGN('Real results'!C171-'Real results'!D171),3+IF(AND('Raw data'!AW171='Real results'!C171,'Raw data'!AX171='Real results'!D171),2,0),0),0),0)</f>
        <v>0</v>
      </c>
      <c r="AY175" s="29">
        <f>IFERROR(IF(AND(ISNUMBER('Real results'!C171),ISNUMBER('Real results'!D171),ISNUMBER('Raw data'!AY171),ISNUMBER('Raw data'!AZ171)),IF(SIGN('Raw data'!AY171-'Raw data'!AZ171)=SIGN('Real results'!C171-'Real results'!D171),3+IF(AND('Raw data'!AY171='Real results'!C171,'Raw data'!AZ171='Real results'!D171),2,0),0),0),0)</f>
        <v>0</v>
      </c>
      <c r="BA175" s="29">
        <f>IFERROR(IF(AND(ISNUMBER('Real results'!C171),ISNUMBER('Real results'!D171),ISNUMBER('Raw data'!BA171),ISNUMBER('Raw data'!BB171)),IF(SIGN('Raw data'!BA171-'Raw data'!BB171)=SIGN('Real results'!C171-'Real results'!D171),3+IF(AND('Raw data'!BA171='Real results'!C171,'Raw data'!BB171='Real results'!D171),2,0),0),0),0)</f>
        <v>0</v>
      </c>
      <c r="BC175" s="29">
        <f>IFERROR(IF(AND(ISNUMBER('Real results'!C171),ISNUMBER('Real results'!D171),ISNUMBER('Raw data'!BC171),ISNUMBER('Raw data'!BD171)),IF(SIGN('Raw data'!BC171-'Raw data'!BD171)=SIGN('Real results'!C171-'Real results'!D171),3+IF(AND('Raw data'!BC171='Real results'!C171,'Raw data'!BD171='Real results'!D171),2,0),0),0),0)</f>
        <v>0</v>
      </c>
      <c r="BE175" s="29">
        <f>IFERROR(IF(AND(ISNUMBER('Real results'!C171),ISNUMBER('Real results'!D171),ISNUMBER('Raw data'!BE171),ISNUMBER('Raw data'!BF171)),IF(SIGN('Raw data'!BE171-'Raw data'!BF171)=SIGN('Real results'!C171-'Real results'!D171),3+IF(AND('Raw data'!BE171='Real results'!C171,'Raw data'!BF171='Real results'!D171),2,0),0),0),0)</f>
        <v>0</v>
      </c>
      <c r="BG175" s="29">
        <f>IFERROR(IF(AND(ISNUMBER('Real results'!C171),ISNUMBER('Real results'!D171),ISNUMBER('Raw data'!BG171),ISNUMBER('Raw data'!BH171)),IF(SIGN('Raw data'!BG171-'Raw data'!BH171)=SIGN('Real results'!C171-'Real results'!D171),3+IF(AND('Raw data'!BG171='Real results'!C171,'Raw data'!BH171='Real results'!D171),2,0),0),0),0)</f>
        <v>0</v>
      </c>
      <c r="BI175" s="29">
        <f>IFERROR(IF(AND(ISNUMBER('Real results'!C171),ISNUMBER('Real results'!D171),ISNUMBER('Raw data'!BI171),ISNUMBER('Raw data'!BJ171)),IF(SIGN('Raw data'!BI171-'Raw data'!BJ171)=SIGN('Real results'!C171-'Real results'!D171),3+IF(AND('Raw data'!BI171='Real results'!C171,'Raw data'!BJ171='Real results'!D171),2,0),0),0),0)</f>
        <v>0</v>
      </c>
    </row>
    <row r="176" ht="18.0" customHeight="1">
      <c r="A176" s="1"/>
      <c r="B176" s="13" t="s">
        <v>457</v>
      </c>
      <c r="C176" s="29">
        <f>IFERROR(IF(AND('Real results'!C172&lt;&gt;"",'Raw data'!C172&lt;&gt;"",UPPER(TRIM('Real results'!C172))=UPPER(TRIM('Raw data'!C172))),1,0),0)</f>
        <v>0</v>
      </c>
      <c r="E176" s="29">
        <f>IFERROR(IF(AND('Real results'!C172&lt;&gt;"",'Raw data'!E172&lt;&gt;"",UPPER(TRIM('Real results'!C172))=UPPER(TRIM('Raw data'!E172))),1,0),0)</f>
        <v>0</v>
      </c>
      <c r="G176" s="29">
        <f>IFERROR(IF(AND('Real results'!C172&lt;&gt;"",'Raw data'!G172&lt;&gt;"",UPPER(TRIM('Real results'!C172))=UPPER(TRIM('Raw data'!G172))),1,0),0)</f>
        <v>0</v>
      </c>
      <c r="I176" s="29">
        <f>IFERROR(IF(AND('Real results'!C172&lt;&gt;"",'Raw data'!I172&lt;&gt;"",UPPER(TRIM('Real results'!C172))=UPPER(TRIM('Raw data'!I172))),1,0),0)</f>
        <v>0</v>
      </c>
      <c r="K176" s="29">
        <f>IFERROR(IF(AND('Real results'!C172&lt;&gt;"",'Raw data'!K172&lt;&gt;"",UPPER(TRIM('Real results'!C172))=UPPER(TRIM('Raw data'!K172))),1,0),0)</f>
        <v>0</v>
      </c>
      <c r="M176" s="29">
        <f>IFERROR(IF(AND('Real results'!C172&lt;&gt;"",'Raw data'!M172&lt;&gt;"",UPPER(TRIM('Real results'!C172))=UPPER(TRIM('Raw data'!M172))),1,0),0)</f>
        <v>0</v>
      </c>
      <c r="O176" s="29">
        <f>IFERROR(IF(AND('Real results'!C172&lt;&gt;"",'Raw data'!O172&lt;&gt;"",UPPER(TRIM('Real results'!C172))=UPPER(TRIM('Raw data'!O172))),1,0),0)</f>
        <v>0</v>
      </c>
      <c r="Q176" s="29">
        <f>IFERROR(IF(AND('Real results'!C172&lt;&gt;"",'Raw data'!Q172&lt;&gt;"",UPPER(TRIM('Real results'!C172))=UPPER(TRIM('Raw data'!Q172))),1,0),0)</f>
        <v>0</v>
      </c>
      <c r="S176" s="29">
        <f>IFERROR(IF(AND('Real results'!C172&lt;&gt;"",'Raw data'!S172&lt;&gt;"",UPPER(TRIM('Real results'!C172))=UPPER(TRIM('Raw data'!S172))),1,0),0)</f>
        <v>0</v>
      </c>
      <c r="U176" s="29">
        <f>IFERROR(IF(AND('Real results'!C172&lt;&gt;"",'Raw data'!U172&lt;&gt;"",UPPER(TRIM('Real results'!C172))=UPPER(TRIM('Raw data'!U172))),1,0),0)</f>
        <v>0</v>
      </c>
      <c r="W176" s="29">
        <f>IFERROR(IF(AND('Real results'!C172&lt;&gt;"",'Raw data'!W172&lt;&gt;"",UPPER(TRIM('Real results'!C172))=UPPER(TRIM('Raw data'!W172))),1,0),0)</f>
        <v>0</v>
      </c>
      <c r="Y176" s="29">
        <f>IFERROR(IF(AND('Real results'!C172&lt;&gt;"",'Raw data'!Y172&lt;&gt;"",UPPER(TRIM('Real results'!C172))=UPPER(TRIM('Raw data'!Y172))),1,0),0)</f>
        <v>0</v>
      </c>
      <c r="AA176" s="29">
        <f>IFERROR(IF(AND('Real results'!C172&lt;&gt;"",'Raw data'!AA172&lt;&gt;"",UPPER(TRIM('Real results'!C172))=UPPER(TRIM('Raw data'!AA172))),1,0),0)</f>
        <v>0</v>
      </c>
      <c r="AC176" s="29">
        <f>IFERROR(IF(AND('Real results'!C172&lt;&gt;"",'Raw data'!AC172&lt;&gt;"",UPPER(TRIM('Real results'!C172))=UPPER(TRIM('Raw data'!AC172))),1,0),0)</f>
        <v>0</v>
      </c>
      <c r="AE176" s="29">
        <f>IFERROR(IF(AND('Real results'!C172&lt;&gt;"",'Raw data'!AE172&lt;&gt;"",UPPER(TRIM('Real results'!C172))=UPPER(TRIM('Raw data'!AE172))),1,0),0)</f>
        <v>0</v>
      </c>
      <c r="AG176" s="29">
        <f>IFERROR(IF(AND('Real results'!C172&lt;&gt;"",'Raw data'!AG172&lt;&gt;"",UPPER(TRIM('Real results'!C172))=UPPER(TRIM('Raw data'!AG172))),1,0),0)</f>
        <v>0</v>
      </c>
      <c r="AI176" s="29">
        <f>IFERROR(IF(AND('Real results'!C172&lt;&gt;"",'Raw data'!AI172&lt;&gt;"",UPPER(TRIM('Real results'!C172))=UPPER(TRIM('Raw data'!AI172))),1,0),0)</f>
        <v>0</v>
      </c>
      <c r="AK176" s="29">
        <f>IFERROR(IF(AND('Real results'!C172&lt;&gt;"",'Raw data'!AK172&lt;&gt;"",UPPER(TRIM('Real results'!C172))=UPPER(TRIM('Raw data'!AK172))),1,0),0)</f>
        <v>0</v>
      </c>
      <c r="AM176" s="29">
        <f>IFERROR(IF(AND('Real results'!C172&lt;&gt;"",'Raw data'!AM172&lt;&gt;"",UPPER(TRIM('Real results'!C172))=UPPER(TRIM('Raw data'!AM172))),1,0),0)</f>
        <v>0</v>
      </c>
      <c r="AO176" s="29">
        <f>IFERROR(IF(AND('Real results'!C172&lt;&gt;"",'Raw data'!AO172&lt;&gt;"",UPPER(TRIM('Real results'!C172))=UPPER(TRIM('Raw data'!AO172))),1,0),0)</f>
        <v>0</v>
      </c>
      <c r="AQ176" s="29">
        <f>IFERROR(IF(AND('Real results'!C172&lt;&gt;"",'Raw data'!AQ172&lt;&gt;"",UPPER(TRIM('Real results'!C172))=UPPER(TRIM('Raw data'!AQ172))),1,0),0)</f>
        <v>0</v>
      </c>
      <c r="AS176" s="29">
        <f>IFERROR(IF(AND('Real results'!C172&lt;&gt;"",'Raw data'!AS172&lt;&gt;"",UPPER(TRIM('Real results'!C172))=UPPER(TRIM('Raw data'!AS172))),1,0),0)</f>
        <v>0</v>
      </c>
      <c r="AU176" s="29">
        <f>IFERROR(IF(AND('Real results'!C172&lt;&gt;"",'Raw data'!AU172&lt;&gt;"",UPPER(TRIM('Real results'!C172))=UPPER(TRIM('Raw data'!AU172))),1,0),0)</f>
        <v>0</v>
      </c>
      <c r="AW176" s="29">
        <f>IFERROR(IF(AND('Real results'!C172&lt;&gt;"",'Raw data'!AW172&lt;&gt;"",UPPER(TRIM('Real results'!C172))=UPPER(TRIM('Raw data'!AW172))),1,0),0)</f>
        <v>0</v>
      </c>
      <c r="AY176" s="29">
        <f>IFERROR(IF(AND('Real results'!C172&lt;&gt;"",'Raw data'!AY172&lt;&gt;"",UPPER(TRIM('Real results'!C172))=UPPER(TRIM('Raw data'!AY172))),1,0),0)</f>
        <v>0</v>
      </c>
      <c r="BA176" s="29">
        <f>IFERROR(IF(AND('Real results'!C172&lt;&gt;"",'Raw data'!BA172&lt;&gt;"",UPPER(TRIM('Real results'!C172))=UPPER(TRIM('Raw data'!BA172))),1,0),0)</f>
        <v>0</v>
      </c>
      <c r="BC176" s="29">
        <f>IFERROR(IF(AND('Real results'!C172&lt;&gt;"",'Raw data'!BC172&lt;&gt;"",UPPER(TRIM('Real results'!C172))=UPPER(TRIM('Raw data'!BC172))),1,0),0)</f>
        <v>0</v>
      </c>
      <c r="BE176" s="29">
        <f>IFERROR(IF(AND('Real results'!C172&lt;&gt;"",'Raw data'!BE172&lt;&gt;"",UPPER(TRIM('Real results'!C172))=UPPER(TRIM('Raw data'!BE172))),1,0),0)</f>
        <v>0</v>
      </c>
      <c r="BG176" s="29">
        <f>IFERROR(IF(AND('Real results'!C172&lt;&gt;"",'Raw data'!BG172&lt;&gt;"",UPPER(TRIM('Real results'!C172))=UPPER(TRIM('Raw data'!BG172))),1,0),0)</f>
        <v>0</v>
      </c>
      <c r="BI176" s="29">
        <f>IFERROR(IF(AND('Real results'!C172&lt;&gt;"",'Raw data'!BI172&lt;&gt;"",UPPER(TRIM('Real results'!C172))=UPPER(TRIM('Raw data'!BI172))),1,0),0)</f>
        <v>0</v>
      </c>
    </row>
    <row r="177" ht="18.0" customHeight="1">
      <c r="A177" s="1"/>
      <c r="B177" s="13" t="s">
        <v>458</v>
      </c>
      <c r="C177" s="29">
        <f>IFERROR(IF(AND('Real results'!C173&lt;&gt;"",'Raw data'!C173&lt;&gt;"",UPPER(TRIM('Real results'!C173))=UPPER(TRIM('Raw data'!C173))),1,0),0)</f>
        <v>0</v>
      </c>
      <c r="E177" s="29">
        <f>IFERROR(IF(AND('Real results'!C173&lt;&gt;"",'Raw data'!E173&lt;&gt;"",UPPER(TRIM('Real results'!C173))=UPPER(TRIM('Raw data'!E173))),1,0),0)</f>
        <v>0</v>
      </c>
      <c r="G177" s="29">
        <f>IFERROR(IF(AND('Real results'!C173&lt;&gt;"",'Raw data'!G173&lt;&gt;"",UPPER(TRIM('Real results'!C173))=UPPER(TRIM('Raw data'!G173))),1,0),0)</f>
        <v>0</v>
      </c>
      <c r="I177" s="29">
        <f>IFERROR(IF(AND('Real results'!C173&lt;&gt;"",'Raw data'!I173&lt;&gt;"",UPPER(TRIM('Real results'!C173))=UPPER(TRIM('Raw data'!I173))),1,0),0)</f>
        <v>0</v>
      </c>
      <c r="K177" s="29">
        <f>IFERROR(IF(AND('Real results'!C173&lt;&gt;"",'Raw data'!K173&lt;&gt;"",UPPER(TRIM('Real results'!C173))=UPPER(TRIM('Raw data'!K173))),1,0),0)</f>
        <v>0</v>
      </c>
      <c r="M177" s="29">
        <f>IFERROR(IF(AND('Real results'!C173&lt;&gt;"",'Raw data'!M173&lt;&gt;"",UPPER(TRIM('Real results'!C173))=UPPER(TRIM('Raw data'!M173))),1,0),0)</f>
        <v>0</v>
      </c>
      <c r="O177" s="29">
        <f>IFERROR(IF(AND('Real results'!C173&lt;&gt;"",'Raw data'!O173&lt;&gt;"",UPPER(TRIM('Real results'!C173))=UPPER(TRIM('Raw data'!O173))),1,0),0)</f>
        <v>0</v>
      </c>
      <c r="Q177" s="29">
        <f>IFERROR(IF(AND('Real results'!C173&lt;&gt;"",'Raw data'!Q173&lt;&gt;"",UPPER(TRIM('Real results'!C173))=UPPER(TRIM('Raw data'!Q173))),1,0),0)</f>
        <v>0</v>
      </c>
      <c r="S177" s="29">
        <f>IFERROR(IF(AND('Real results'!C173&lt;&gt;"",'Raw data'!S173&lt;&gt;"",UPPER(TRIM('Real results'!C173))=UPPER(TRIM('Raw data'!S173))),1,0),0)</f>
        <v>0</v>
      </c>
      <c r="U177" s="29">
        <f>IFERROR(IF(AND('Real results'!C173&lt;&gt;"",'Raw data'!U173&lt;&gt;"",UPPER(TRIM('Real results'!C173))=UPPER(TRIM('Raw data'!U173))),1,0),0)</f>
        <v>0</v>
      </c>
      <c r="W177" s="29">
        <f>IFERROR(IF(AND('Real results'!C173&lt;&gt;"",'Raw data'!W173&lt;&gt;"",UPPER(TRIM('Real results'!C173))=UPPER(TRIM('Raw data'!W173))),1,0),0)</f>
        <v>0</v>
      </c>
      <c r="Y177" s="29">
        <f>IFERROR(IF(AND('Real results'!C173&lt;&gt;"",'Raw data'!Y173&lt;&gt;"",UPPER(TRIM('Real results'!C173))=UPPER(TRIM('Raw data'!Y173))),1,0),0)</f>
        <v>0</v>
      </c>
      <c r="AA177" s="29">
        <f>IFERROR(IF(AND('Real results'!C173&lt;&gt;"",'Raw data'!AA173&lt;&gt;"",UPPER(TRIM('Real results'!C173))=UPPER(TRIM('Raw data'!AA173))),1,0),0)</f>
        <v>0</v>
      </c>
      <c r="AC177" s="29">
        <f>IFERROR(IF(AND('Real results'!C173&lt;&gt;"",'Raw data'!AC173&lt;&gt;"",UPPER(TRIM('Real results'!C173))=UPPER(TRIM('Raw data'!AC173))),1,0),0)</f>
        <v>0</v>
      </c>
      <c r="AE177" s="29">
        <f>IFERROR(IF(AND('Real results'!C173&lt;&gt;"",'Raw data'!AE173&lt;&gt;"",UPPER(TRIM('Real results'!C173))=UPPER(TRIM('Raw data'!AE173))),1,0),0)</f>
        <v>0</v>
      </c>
      <c r="AG177" s="29">
        <f>IFERROR(IF(AND('Real results'!C173&lt;&gt;"",'Raw data'!AG173&lt;&gt;"",UPPER(TRIM('Real results'!C173))=UPPER(TRIM('Raw data'!AG173))),1,0),0)</f>
        <v>0</v>
      </c>
      <c r="AI177" s="29">
        <f>IFERROR(IF(AND('Real results'!C173&lt;&gt;"",'Raw data'!AI173&lt;&gt;"",UPPER(TRIM('Real results'!C173))=UPPER(TRIM('Raw data'!AI173))),1,0),0)</f>
        <v>0</v>
      </c>
      <c r="AK177" s="29">
        <f>IFERROR(IF(AND('Real results'!C173&lt;&gt;"",'Raw data'!AK173&lt;&gt;"",UPPER(TRIM('Real results'!C173))=UPPER(TRIM('Raw data'!AK173))),1,0),0)</f>
        <v>0</v>
      </c>
      <c r="AM177" s="29">
        <f>IFERROR(IF(AND('Real results'!C173&lt;&gt;"",'Raw data'!AM173&lt;&gt;"",UPPER(TRIM('Real results'!C173))=UPPER(TRIM('Raw data'!AM173))),1,0),0)</f>
        <v>0</v>
      </c>
      <c r="AO177" s="29">
        <f>IFERROR(IF(AND('Real results'!C173&lt;&gt;"",'Raw data'!AO173&lt;&gt;"",UPPER(TRIM('Real results'!C173))=UPPER(TRIM('Raw data'!AO173))),1,0),0)</f>
        <v>0</v>
      </c>
      <c r="AQ177" s="29">
        <f>IFERROR(IF(AND('Real results'!C173&lt;&gt;"",'Raw data'!AQ173&lt;&gt;"",UPPER(TRIM('Real results'!C173))=UPPER(TRIM('Raw data'!AQ173))),1,0),0)</f>
        <v>0</v>
      </c>
      <c r="AS177" s="29">
        <f>IFERROR(IF(AND('Real results'!C173&lt;&gt;"",'Raw data'!AS173&lt;&gt;"",UPPER(TRIM('Real results'!C173))=UPPER(TRIM('Raw data'!AS173))),1,0),0)</f>
        <v>0</v>
      </c>
      <c r="AU177" s="29">
        <f>IFERROR(IF(AND('Real results'!C173&lt;&gt;"",'Raw data'!AU173&lt;&gt;"",UPPER(TRIM('Real results'!C173))=UPPER(TRIM('Raw data'!AU173))),1,0),0)</f>
        <v>0</v>
      </c>
      <c r="AW177" s="29">
        <f>IFERROR(IF(AND('Real results'!C173&lt;&gt;"",'Raw data'!AW173&lt;&gt;"",UPPER(TRIM('Real results'!C173))=UPPER(TRIM('Raw data'!AW173))),1,0),0)</f>
        <v>0</v>
      </c>
      <c r="AY177" s="29">
        <f>IFERROR(IF(AND('Real results'!C173&lt;&gt;"",'Raw data'!AY173&lt;&gt;"",UPPER(TRIM('Real results'!C173))=UPPER(TRIM('Raw data'!AY173))),1,0),0)</f>
        <v>0</v>
      </c>
      <c r="BA177" s="29">
        <f>IFERROR(IF(AND('Real results'!C173&lt;&gt;"",'Raw data'!BA173&lt;&gt;"",UPPER(TRIM('Real results'!C173))=UPPER(TRIM('Raw data'!BA173))),1,0),0)</f>
        <v>0</v>
      </c>
      <c r="BC177" s="29">
        <f>IFERROR(IF(AND('Real results'!C173&lt;&gt;"",'Raw data'!BC173&lt;&gt;"",UPPER(TRIM('Real results'!C173))=UPPER(TRIM('Raw data'!BC173))),1,0),0)</f>
        <v>0</v>
      </c>
      <c r="BE177" s="29">
        <f>IFERROR(IF(AND('Real results'!C173&lt;&gt;"",'Raw data'!BE173&lt;&gt;"",UPPER(TRIM('Real results'!C173))=UPPER(TRIM('Raw data'!BE173))),1,0),0)</f>
        <v>0</v>
      </c>
      <c r="BG177" s="29">
        <f>IFERROR(IF(AND('Real results'!C173&lt;&gt;"",'Raw data'!BG173&lt;&gt;"",UPPER(TRIM('Real results'!C173))=UPPER(TRIM('Raw data'!BG173))),1,0),0)</f>
        <v>0</v>
      </c>
      <c r="BI177" s="29">
        <f>IFERROR(IF(AND('Real results'!C173&lt;&gt;"",'Raw data'!BI173&lt;&gt;"",UPPER(TRIM('Real results'!C173))=UPPER(TRIM('Raw data'!BI173))),1,0),0)</f>
        <v>0</v>
      </c>
    </row>
    <row r="178" ht="21.75" customHeight="1">
      <c r="A178" s="1"/>
      <c r="B178" s="30" t="s">
        <v>459</v>
      </c>
      <c r="C178" s="31">
        <f>SUM(C130:C177)</f>
        <v>0</v>
      </c>
      <c r="E178" s="31">
        <f>SUM(E130:E177)</f>
        <v>0</v>
      </c>
      <c r="G178" s="31">
        <f>SUM(G130:G177)</f>
        <v>0</v>
      </c>
      <c r="I178" s="31">
        <f>SUM(I130:I177)</f>
        <v>0</v>
      </c>
      <c r="K178" s="31">
        <f>SUM(K130:K177)</f>
        <v>0</v>
      </c>
      <c r="M178" s="31">
        <f>SUM(M130:M177)</f>
        <v>0</v>
      </c>
      <c r="O178" s="31">
        <f>SUM(O130:O177)</f>
        <v>0</v>
      </c>
      <c r="Q178" s="31">
        <f>SUM(Q130:Q177)</f>
        <v>0</v>
      </c>
      <c r="S178" s="31">
        <f>SUM(S130:S177)</f>
        <v>0</v>
      </c>
      <c r="U178" s="31">
        <f>SUM(U130:U177)</f>
        <v>0</v>
      </c>
      <c r="W178" s="31">
        <f>SUM(W130:W177)</f>
        <v>0</v>
      </c>
      <c r="Y178" s="31">
        <f>SUM(Y130:Y177)</f>
        <v>0</v>
      </c>
      <c r="AA178" s="31">
        <f>SUM(AA130:AA177)</f>
        <v>0</v>
      </c>
      <c r="AC178" s="31">
        <f>SUM(AC130:AC177)</f>
        <v>0</v>
      </c>
      <c r="AE178" s="31">
        <f>SUM(AE130:AE177)</f>
        <v>0</v>
      </c>
      <c r="AG178" s="31">
        <f>SUM(AG130:AG177)</f>
        <v>0</v>
      </c>
      <c r="AI178" s="31">
        <f>SUM(AI130:AI177)</f>
        <v>0</v>
      </c>
      <c r="AK178" s="31">
        <f>SUM(AK130:AK177)</f>
        <v>0</v>
      </c>
      <c r="AM178" s="31">
        <f>SUM(AM130:AM177)</f>
        <v>0</v>
      </c>
      <c r="AO178" s="31">
        <f>SUM(AO130:AO177)</f>
        <v>0</v>
      </c>
      <c r="AQ178" s="31">
        <f>SUM(AQ130:AQ177)</f>
        <v>0</v>
      </c>
      <c r="AS178" s="31">
        <f>SUM(AS130:AS177)</f>
        <v>0</v>
      </c>
      <c r="AU178" s="31">
        <f>SUM(AU130:AU177)</f>
        <v>0</v>
      </c>
      <c r="AW178" s="31">
        <f>SUM(AW130:AW177)</f>
        <v>0</v>
      </c>
      <c r="AY178" s="31">
        <f>SUM(AY130:AY177)</f>
        <v>0</v>
      </c>
      <c r="BA178" s="31">
        <f>SUM(BA130:BA177)</f>
        <v>0</v>
      </c>
      <c r="BC178" s="31">
        <f>SUM(BC130:BC177)</f>
        <v>0</v>
      </c>
      <c r="BE178" s="31">
        <f>SUM(BE130:BE177)</f>
        <v>0</v>
      </c>
      <c r="BG178" s="31">
        <f>SUM(BG130:BG177)</f>
        <v>0</v>
      </c>
      <c r="BI178" s="31">
        <f>SUM(BI130:BI177)</f>
        <v>0</v>
      </c>
    </row>
    <row r="179" ht="19.5" customHeight="1">
      <c r="A179" s="1"/>
      <c r="B179" s="28" t="s">
        <v>460</v>
      </c>
      <c r="C179" s="12"/>
      <c r="E179" s="12"/>
      <c r="G179" s="12"/>
      <c r="I179" s="12"/>
      <c r="K179" s="12"/>
      <c r="M179" s="12"/>
      <c r="O179" s="12"/>
      <c r="Q179" s="12"/>
      <c r="S179" s="12"/>
      <c r="U179" s="12"/>
      <c r="W179" s="12"/>
      <c r="Y179" s="12"/>
      <c r="AA179" s="12"/>
      <c r="AC179" s="12"/>
      <c r="AE179" s="12"/>
      <c r="AG179" s="12"/>
      <c r="AI179" s="12"/>
      <c r="AK179" s="12"/>
      <c r="AM179" s="12"/>
      <c r="AO179" s="12"/>
      <c r="AQ179" s="12"/>
      <c r="AS179" s="12"/>
      <c r="AU179" s="12"/>
      <c r="AW179" s="12"/>
      <c r="AY179" s="12"/>
      <c r="BA179" s="12"/>
      <c r="BC179" s="12"/>
      <c r="BE179" s="12"/>
      <c r="BG179" s="12"/>
      <c r="BI179" s="12"/>
    </row>
    <row r="180" ht="18.0" customHeight="1">
      <c r="A180" s="1"/>
      <c r="B180" s="13" t="s">
        <v>461</v>
      </c>
      <c r="C180" s="29">
        <f>IFERROR(IF(AND(ISNUMBER('Real results'!C175),ISNUMBER('Real results'!D175),ISNUMBER('Raw data'!C175),ISNUMBER('Raw data'!D175)),IF(SIGN('Raw data'!C175-'Raw data'!D175)=SIGN('Real results'!C175-'Real results'!D175),3+IF(AND('Raw data'!C175='Real results'!C175,'Raw data'!D175='Real results'!D175),2,0),0),0),0)</f>
        <v>0</v>
      </c>
      <c r="E180" s="29">
        <f>IFERROR(IF(AND(ISNUMBER('Real results'!C175),ISNUMBER('Real results'!D175),ISNUMBER('Raw data'!E175),ISNUMBER('Raw data'!F175)),IF(SIGN('Raw data'!E175-'Raw data'!F175)=SIGN('Real results'!C175-'Real results'!D175),3+IF(AND('Raw data'!E175='Real results'!C175,'Raw data'!F175='Real results'!D175),2,0),0),0),0)</f>
        <v>0</v>
      </c>
      <c r="G180" s="29">
        <f>IFERROR(IF(AND(ISNUMBER('Real results'!C175),ISNUMBER('Real results'!D175),ISNUMBER('Raw data'!G175),ISNUMBER('Raw data'!H175)),IF(SIGN('Raw data'!G175-'Raw data'!H175)=SIGN('Real results'!C175-'Real results'!D175),3+IF(AND('Raw data'!G175='Real results'!C175,'Raw data'!H175='Real results'!D175),2,0),0),0),0)</f>
        <v>0</v>
      </c>
      <c r="I180" s="29">
        <f>IFERROR(IF(AND(ISNUMBER('Real results'!C175),ISNUMBER('Real results'!D175),ISNUMBER('Raw data'!I175),ISNUMBER('Raw data'!J175)),IF(SIGN('Raw data'!I175-'Raw data'!J175)=SIGN('Real results'!C175-'Real results'!D175),3+IF(AND('Raw data'!I175='Real results'!C175,'Raw data'!J175='Real results'!D175),2,0),0),0),0)</f>
        <v>0</v>
      </c>
      <c r="K180" s="29">
        <f>IFERROR(IF(AND(ISNUMBER('Real results'!C175),ISNUMBER('Real results'!D175),ISNUMBER('Raw data'!K175),ISNUMBER('Raw data'!L175)),IF(SIGN('Raw data'!K175-'Raw data'!L175)=SIGN('Real results'!C175-'Real results'!D175),3+IF(AND('Raw data'!K175='Real results'!C175,'Raw data'!L175='Real results'!D175),2,0),0),0),0)</f>
        <v>0</v>
      </c>
      <c r="M180" s="29">
        <f>IFERROR(IF(AND(ISNUMBER('Real results'!C175),ISNUMBER('Real results'!D175),ISNUMBER('Raw data'!M175),ISNUMBER('Raw data'!N175)),IF(SIGN('Raw data'!M175-'Raw data'!N175)=SIGN('Real results'!C175-'Real results'!D175),3+IF(AND('Raw data'!M175='Real results'!C175,'Raw data'!N175='Real results'!D175),2,0),0),0),0)</f>
        <v>0</v>
      </c>
      <c r="O180" s="29">
        <f>IFERROR(IF(AND(ISNUMBER('Real results'!C175),ISNUMBER('Real results'!D175),ISNUMBER('Raw data'!O175),ISNUMBER('Raw data'!P175)),IF(SIGN('Raw data'!O175-'Raw data'!P175)=SIGN('Real results'!C175-'Real results'!D175),3+IF(AND('Raw data'!O175='Real results'!C175,'Raw data'!P175='Real results'!D175),2,0),0),0),0)</f>
        <v>0</v>
      </c>
      <c r="Q180" s="29">
        <f>IFERROR(IF(AND(ISNUMBER('Real results'!C175),ISNUMBER('Real results'!D175),ISNUMBER('Raw data'!Q175),ISNUMBER('Raw data'!R175)),IF(SIGN('Raw data'!Q175-'Raw data'!R175)=SIGN('Real results'!C175-'Real results'!D175),3+IF(AND('Raw data'!Q175='Real results'!C175,'Raw data'!R175='Real results'!D175),2,0),0),0),0)</f>
        <v>0</v>
      </c>
      <c r="S180" s="29">
        <f>IFERROR(IF(AND(ISNUMBER('Real results'!C175),ISNUMBER('Real results'!D175),ISNUMBER('Raw data'!S175),ISNUMBER('Raw data'!T175)),IF(SIGN('Raw data'!S175-'Raw data'!T175)=SIGN('Real results'!C175-'Real results'!D175),3+IF(AND('Raw data'!S175='Real results'!C175,'Raw data'!T175='Real results'!D175),2,0),0),0),0)</f>
        <v>0</v>
      </c>
      <c r="U180" s="29">
        <f>IFERROR(IF(AND(ISNUMBER('Real results'!C175),ISNUMBER('Real results'!D175),ISNUMBER('Raw data'!U175),ISNUMBER('Raw data'!V175)),IF(SIGN('Raw data'!U175-'Raw data'!V175)=SIGN('Real results'!C175-'Real results'!D175),3+IF(AND('Raw data'!U175='Real results'!C175,'Raw data'!V175='Real results'!D175),2,0),0),0),0)</f>
        <v>0</v>
      </c>
      <c r="W180" s="29">
        <f>IFERROR(IF(AND(ISNUMBER('Real results'!C175),ISNUMBER('Real results'!D175),ISNUMBER('Raw data'!W175),ISNUMBER('Raw data'!X175)),IF(SIGN('Raw data'!W175-'Raw data'!X175)=SIGN('Real results'!C175-'Real results'!D175),3+IF(AND('Raw data'!W175='Real results'!C175,'Raw data'!X175='Real results'!D175),2,0),0),0),0)</f>
        <v>0</v>
      </c>
      <c r="Y180" s="29">
        <f>IFERROR(IF(AND(ISNUMBER('Real results'!C175),ISNUMBER('Real results'!D175),ISNUMBER('Raw data'!Y175),ISNUMBER('Raw data'!Z175)),IF(SIGN('Raw data'!Y175-'Raw data'!Z175)=SIGN('Real results'!C175-'Real results'!D175),3+IF(AND('Raw data'!Y175='Real results'!C175,'Raw data'!Z175='Real results'!D175),2,0),0),0),0)</f>
        <v>0</v>
      </c>
      <c r="AA180" s="29">
        <f>IFERROR(IF(AND(ISNUMBER('Real results'!C175),ISNUMBER('Real results'!D175),ISNUMBER('Raw data'!AA175),ISNUMBER('Raw data'!AB175)),IF(SIGN('Raw data'!AA175-'Raw data'!AB175)=SIGN('Real results'!C175-'Real results'!D175),3+IF(AND('Raw data'!AA175='Real results'!C175,'Raw data'!AB175='Real results'!D175),2,0),0),0),0)</f>
        <v>0</v>
      </c>
      <c r="AC180" s="29">
        <f>IFERROR(IF(AND(ISNUMBER('Real results'!C175),ISNUMBER('Real results'!D175),ISNUMBER('Raw data'!AC175),ISNUMBER('Raw data'!AD175)),IF(SIGN('Raw data'!AC175-'Raw data'!AD175)=SIGN('Real results'!C175-'Real results'!D175),3+IF(AND('Raw data'!AC175='Real results'!C175,'Raw data'!AD175='Real results'!D175),2,0),0),0),0)</f>
        <v>0</v>
      </c>
      <c r="AE180" s="29">
        <f>IFERROR(IF(AND(ISNUMBER('Real results'!C175),ISNUMBER('Real results'!D175),ISNUMBER('Raw data'!AE175),ISNUMBER('Raw data'!AF175)),IF(SIGN('Raw data'!AE175-'Raw data'!AF175)=SIGN('Real results'!C175-'Real results'!D175),3+IF(AND('Raw data'!AE175='Real results'!C175,'Raw data'!AF175='Real results'!D175),2,0),0),0),0)</f>
        <v>0</v>
      </c>
      <c r="AG180" s="29">
        <f>IFERROR(IF(AND(ISNUMBER('Real results'!C175),ISNUMBER('Real results'!D175),ISNUMBER('Raw data'!AG175),ISNUMBER('Raw data'!AH175)),IF(SIGN('Raw data'!AG175-'Raw data'!AH175)=SIGN('Real results'!C175-'Real results'!D175),3+IF(AND('Raw data'!AG175='Real results'!C175,'Raw data'!AH175='Real results'!D175),2,0),0),0),0)</f>
        <v>0</v>
      </c>
      <c r="AI180" s="29">
        <f>IFERROR(IF(AND(ISNUMBER('Real results'!C175),ISNUMBER('Real results'!D175),ISNUMBER('Raw data'!AI175),ISNUMBER('Raw data'!AJ175)),IF(SIGN('Raw data'!AI175-'Raw data'!AJ175)=SIGN('Real results'!C175-'Real results'!D175),3+IF(AND('Raw data'!AI175='Real results'!C175,'Raw data'!AJ175='Real results'!D175),2,0),0),0),0)</f>
        <v>0</v>
      </c>
      <c r="AK180" s="29">
        <f>IFERROR(IF(AND(ISNUMBER('Real results'!C175),ISNUMBER('Real results'!D175),ISNUMBER('Raw data'!AK175),ISNUMBER('Raw data'!AL175)),IF(SIGN('Raw data'!AK175-'Raw data'!AL175)=SIGN('Real results'!C175-'Real results'!D175),3+IF(AND('Raw data'!AK175='Real results'!C175,'Raw data'!AL175='Real results'!D175),2,0),0),0),0)</f>
        <v>0</v>
      </c>
      <c r="AM180" s="29">
        <f>IFERROR(IF(AND(ISNUMBER('Real results'!C175),ISNUMBER('Real results'!D175),ISNUMBER('Raw data'!AM175),ISNUMBER('Raw data'!AN175)),IF(SIGN('Raw data'!AM175-'Raw data'!AN175)=SIGN('Real results'!C175-'Real results'!D175),3+IF(AND('Raw data'!AM175='Real results'!C175,'Raw data'!AN175='Real results'!D175),2,0),0),0),0)</f>
        <v>0</v>
      </c>
      <c r="AO180" s="29">
        <f>IFERROR(IF(AND(ISNUMBER('Real results'!C175),ISNUMBER('Real results'!D175),ISNUMBER('Raw data'!AO175),ISNUMBER('Raw data'!AP175)),IF(SIGN('Raw data'!AO175-'Raw data'!AP175)=SIGN('Real results'!C175-'Real results'!D175),3+IF(AND('Raw data'!AO175='Real results'!C175,'Raw data'!AP175='Real results'!D175),2,0),0),0),0)</f>
        <v>0</v>
      </c>
      <c r="AQ180" s="29">
        <f>IFERROR(IF(AND(ISNUMBER('Real results'!C175),ISNUMBER('Real results'!D175),ISNUMBER('Raw data'!AQ175),ISNUMBER('Raw data'!AR175)),IF(SIGN('Raw data'!AQ175-'Raw data'!AR175)=SIGN('Real results'!C175-'Real results'!D175),3+IF(AND('Raw data'!AQ175='Real results'!C175,'Raw data'!AR175='Real results'!D175),2,0),0),0),0)</f>
        <v>0</v>
      </c>
      <c r="AS180" s="29">
        <f>IFERROR(IF(AND(ISNUMBER('Real results'!C175),ISNUMBER('Real results'!D175),ISNUMBER('Raw data'!AS175),ISNUMBER('Raw data'!AT175)),IF(SIGN('Raw data'!AS175-'Raw data'!AT175)=SIGN('Real results'!C175-'Real results'!D175),3+IF(AND('Raw data'!AS175='Real results'!C175,'Raw data'!AT175='Real results'!D175),2,0),0),0),0)</f>
        <v>0</v>
      </c>
      <c r="AU180" s="29">
        <f>IFERROR(IF(AND(ISNUMBER('Real results'!C175),ISNUMBER('Real results'!D175),ISNUMBER('Raw data'!AU175),ISNUMBER('Raw data'!AV175)),IF(SIGN('Raw data'!AU175-'Raw data'!AV175)=SIGN('Real results'!C175-'Real results'!D175),3+IF(AND('Raw data'!AU175='Real results'!C175,'Raw data'!AV175='Real results'!D175),2,0),0),0),0)</f>
        <v>0</v>
      </c>
      <c r="AW180" s="29">
        <f>IFERROR(IF(AND(ISNUMBER('Real results'!C175),ISNUMBER('Real results'!D175),ISNUMBER('Raw data'!AW175),ISNUMBER('Raw data'!AX175)),IF(SIGN('Raw data'!AW175-'Raw data'!AX175)=SIGN('Real results'!C175-'Real results'!D175),3+IF(AND('Raw data'!AW175='Real results'!C175,'Raw data'!AX175='Real results'!D175),2,0),0),0),0)</f>
        <v>0</v>
      </c>
      <c r="AY180" s="29">
        <f>IFERROR(IF(AND(ISNUMBER('Real results'!C175),ISNUMBER('Real results'!D175),ISNUMBER('Raw data'!AY175),ISNUMBER('Raw data'!AZ175)),IF(SIGN('Raw data'!AY175-'Raw data'!AZ175)=SIGN('Real results'!C175-'Real results'!D175),3+IF(AND('Raw data'!AY175='Real results'!C175,'Raw data'!AZ175='Real results'!D175),2,0),0),0),0)</f>
        <v>0</v>
      </c>
      <c r="BA180" s="29">
        <f>IFERROR(IF(AND(ISNUMBER('Real results'!C175),ISNUMBER('Real results'!D175),ISNUMBER('Raw data'!BA175),ISNUMBER('Raw data'!BB175)),IF(SIGN('Raw data'!BA175-'Raw data'!BB175)=SIGN('Real results'!C175-'Real results'!D175),3+IF(AND('Raw data'!BA175='Real results'!C175,'Raw data'!BB175='Real results'!D175),2,0),0),0),0)</f>
        <v>0</v>
      </c>
      <c r="BC180" s="29">
        <f>IFERROR(IF(AND(ISNUMBER('Real results'!C175),ISNUMBER('Real results'!D175),ISNUMBER('Raw data'!BC175),ISNUMBER('Raw data'!BD175)),IF(SIGN('Raw data'!BC175-'Raw data'!BD175)=SIGN('Real results'!C175-'Real results'!D175),3+IF(AND('Raw data'!BC175='Real results'!C175,'Raw data'!BD175='Real results'!D175),2,0),0),0),0)</f>
        <v>0</v>
      </c>
      <c r="BE180" s="29">
        <f>IFERROR(IF(AND(ISNUMBER('Real results'!C175),ISNUMBER('Real results'!D175),ISNUMBER('Raw data'!BE175),ISNUMBER('Raw data'!BF175)),IF(SIGN('Raw data'!BE175-'Raw data'!BF175)=SIGN('Real results'!C175-'Real results'!D175),3+IF(AND('Raw data'!BE175='Real results'!C175,'Raw data'!BF175='Real results'!D175),2,0),0),0),0)</f>
        <v>0</v>
      </c>
      <c r="BG180" s="29">
        <f>IFERROR(IF(AND(ISNUMBER('Real results'!C175),ISNUMBER('Real results'!D175),ISNUMBER('Raw data'!BG175),ISNUMBER('Raw data'!BH175)),IF(SIGN('Raw data'!BG175-'Raw data'!BH175)=SIGN('Real results'!C175-'Real results'!D175),3+IF(AND('Raw data'!BG175='Real results'!C175,'Raw data'!BH175='Real results'!D175),2,0),0),0),0)</f>
        <v>0</v>
      </c>
      <c r="BI180" s="29">
        <f>IFERROR(IF(AND(ISNUMBER('Real results'!C175),ISNUMBER('Real results'!D175),ISNUMBER('Raw data'!BI175),ISNUMBER('Raw data'!BJ175)),IF(SIGN('Raw data'!BI175-'Raw data'!BJ175)=SIGN('Real results'!C175-'Real results'!D175),3+IF(AND('Raw data'!BI175='Real results'!C175,'Raw data'!BJ175='Real results'!D175),2,0),0),0),0)</f>
        <v>0</v>
      </c>
    </row>
    <row r="181" ht="18.0" customHeight="1">
      <c r="A181" s="1"/>
      <c r="B181" s="13" t="s">
        <v>462</v>
      </c>
      <c r="C181" s="29">
        <f>IFERROR(IF(AND('Real results'!C176&lt;&gt;"",'Raw data'!C176&lt;&gt;"",UPPER(TRIM('Real results'!C176))=UPPER(TRIM('Raw data'!C176))),1,0),0)</f>
        <v>0</v>
      </c>
      <c r="E181" s="29">
        <f>IFERROR(IF(AND('Real results'!C176&lt;&gt;"",'Raw data'!E176&lt;&gt;"",UPPER(TRIM('Real results'!C176))=UPPER(TRIM('Raw data'!E176))),1,0),0)</f>
        <v>0</v>
      </c>
      <c r="G181" s="29">
        <f>IFERROR(IF(AND('Real results'!C176&lt;&gt;"",'Raw data'!G176&lt;&gt;"",UPPER(TRIM('Real results'!C176))=UPPER(TRIM('Raw data'!G176))),1,0),0)</f>
        <v>0</v>
      </c>
      <c r="I181" s="29">
        <f>IFERROR(IF(AND('Real results'!C176&lt;&gt;"",'Raw data'!I176&lt;&gt;"",UPPER(TRIM('Real results'!C176))=UPPER(TRIM('Raw data'!I176))),1,0),0)</f>
        <v>0</v>
      </c>
      <c r="K181" s="29">
        <f>IFERROR(IF(AND('Real results'!C176&lt;&gt;"",'Raw data'!K176&lt;&gt;"",UPPER(TRIM('Real results'!C176))=UPPER(TRIM('Raw data'!K176))),1,0),0)</f>
        <v>0</v>
      </c>
      <c r="M181" s="29">
        <f>IFERROR(IF(AND('Real results'!C176&lt;&gt;"",'Raw data'!M176&lt;&gt;"",UPPER(TRIM('Real results'!C176))=UPPER(TRIM('Raw data'!M176))),1,0),0)</f>
        <v>0</v>
      </c>
      <c r="O181" s="29">
        <f>IFERROR(IF(AND('Real results'!C176&lt;&gt;"",'Raw data'!O176&lt;&gt;"",UPPER(TRIM('Real results'!C176))=UPPER(TRIM('Raw data'!O176))),1,0),0)</f>
        <v>0</v>
      </c>
      <c r="Q181" s="29">
        <f>IFERROR(IF(AND('Real results'!C176&lt;&gt;"",'Raw data'!Q176&lt;&gt;"",UPPER(TRIM('Real results'!C176))=UPPER(TRIM('Raw data'!Q176))),1,0),0)</f>
        <v>0</v>
      </c>
      <c r="S181" s="29">
        <f>IFERROR(IF(AND('Real results'!C176&lt;&gt;"",'Raw data'!S176&lt;&gt;"",UPPER(TRIM('Real results'!C176))=UPPER(TRIM('Raw data'!S176))),1,0),0)</f>
        <v>0</v>
      </c>
      <c r="U181" s="29">
        <f>IFERROR(IF(AND('Real results'!C176&lt;&gt;"",'Raw data'!U176&lt;&gt;"",UPPER(TRIM('Real results'!C176))=UPPER(TRIM('Raw data'!U176))),1,0),0)</f>
        <v>0</v>
      </c>
      <c r="W181" s="29">
        <f>IFERROR(IF(AND('Real results'!C176&lt;&gt;"",'Raw data'!W176&lt;&gt;"",UPPER(TRIM('Real results'!C176))=UPPER(TRIM('Raw data'!W176))),1,0),0)</f>
        <v>0</v>
      </c>
      <c r="Y181" s="29">
        <f>IFERROR(IF(AND('Real results'!C176&lt;&gt;"",'Raw data'!Y176&lt;&gt;"",UPPER(TRIM('Real results'!C176))=UPPER(TRIM('Raw data'!Y176))),1,0),0)</f>
        <v>0</v>
      </c>
      <c r="AA181" s="29">
        <f>IFERROR(IF(AND('Real results'!C176&lt;&gt;"",'Raw data'!AA176&lt;&gt;"",UPPER(TRIM('Real results'!C176))=UPPER(TRIM('Raw data'!AA176))),1,0),0)</f>
        <v>0</v>
      </c>
      <c r="AC181" s="29">
        <f>IFERROR(IF(AND('Real results'!C176&lt;&gt;"",'Raw data'!AC176&lt;&gt;"",UPPER(TRIM('Real results'!C176))=UPPER(TRIM('Raw data'!AC176))),1,0),0)</f>
        <v>0</v>
      </c>
      <c r="AE181" s="29">
        <f>IFERROR(IF(AND('Real results'!C176&lt;&gt;"",'Raw data'!AE176&lt;&gt;"",UPPER(TRIM('Real results'!C176))=UPPER(TRIM('Raw data'!AE176))),1,0),0)</f>
        <v>0</v>
      </c>
      <c r="AG181" s="29">
        <f>IFERROR(IF(AND('Real results'!C176&lt;&gt;"",'Raw data'!AG176&lt;&gt;"",UPPER(TRIM('Real results'!C176))=UPPER(TRIM('Raw data'!AG176))),1,0),0)</f>
        <v>0</v>
      </c>
      <c r="AI181" s="29">
        <f>IFERROR(IF(AND('Real results'!C176&lt;&gt;"",'Raw data'!AI176&lt;&gt;"",UPPER(TRIM('Real results'!C176))=UPPER(TRIM('Raw data'!AI176))),1,0),0)</f>
        <v>0</v>
      </c>
      <c r="AK181" s="29">
        <f>IFERROR(IF(AND('Real results'!C176&lt;&gt;"",'Raw data'!AK176&lt;&gt;"",UPPER(TRIM('Real results'!C176))=UPPER(TRIM('Raw data'!AK176))),1,0),0)</f>
        <v>0</v>
      </c>
      <c r="AM181" s="29">
        <f>IFERROR(IF(AND('Real results'!C176&lt;&gt;"",'Raw data'!AM176&lt;&gt;"",UPPER(TRIM('Real results'!C176))=UPPER(TRIM('Raw data'!AM176))),1,0),0)</f>
        <v>0</v>
      </c>
      <c r="AO181" s="29">
        <f>IFERROR(IF(AND('Real results'!C176&lt;&gt;"",'Raw data'!AO176&lt;&gt;"",UPPER(TRIM('Real results'!C176))=UPPER(TRIM('Raw data'!AO176))),1,0),0)</f>
        <v>0</v>
      </c>
      <c r="AQ181" s="29">
        <f>IFERROR(IF(AND('Real results'!C176&lt;&gt;"",'Raw data'!AQ176&lt;&gt;"",UPPER(TRIM('Real results'!C176))=UPPER(TRIM('Raw data'!AQ176))),1,0),0)</f>
        <v>0</v>
      </c>
      <c r="AS181" s="29">
        <f>IFERROR(IF(AND('Real results'!C176&lt;&gt;"",'Raw data'!AS176&lt;&gt;"",UPPER(TRIM('Real results'!C176))=UPPER(TRIM('Raw data'!AS176))),1,0),0)</f>
        <v>0</v>
      </c>
      <c r="AU181" s="29">
        <f>IFERROR(IF(AND('Real results'!C176&lt;&gt;"",'Raw data'!AU176&lt;&gt;"",UPPER(TRIM('Real results'!C176))=UPPER(TRIM('Raw data'!AU176))),1,0),0)</f>
        <v>0</v>
      </c>
      <c r="AW181" s="29">
        <f>IFERROR(IF(AND('Real results'!C176&lt;&gt;"",'Raw data'!AW176&lt;&gt;"",UPPER(TRIM('Real results'!C176))=UPPER(TRIM('Raw data'!AW176))),1,0),0)</f>
        <v>0</v>
      </c>
      <c r="AY181" s="29">
        <f>IFERROR(IF(AND('Real results'!C176&lt;&gt;"",'Raw data'!AY176&lt;&gt;"",UPPER(TRIM('Real results'!C176))=UPPER(TRIM('Raw data'!AY176))),1,0),0)</f>
        <v>0</v>
      </c>
      <c r="BA181" s="29">
        <f>IFERROR(IF(AND('Real results'!C176&lt;&gt;"",'Raw data'!BA176&lt;&gt;"",UPPER(TRIM('Real results'!C176))=UPPER(TRIM('Raw data'!BA176))),1,0),0)</f>
        <v>0</v>
      </c>
      <c r="BC181" s="29">
        <f>IFERROR(IF(AND('Real results'!C176&lt;&gt;"",'Raw data'!BC176&lt;&gt;"",UPPER(TRIM('Real results'!C176))=UPPER(TRIM('Raw data'!BC176))),1,0),0)</f>
        <v>0</v>
      </c>
      <c r="BE181" s="29">
        <f>IFERROR(IF(AND('Real results'!C176&lt;&gt;"",'Raw data'!BE176&lt;&gt;"",UPPER(TRIM('Real results'!C176))=UPPER(TRIM('Raw data'!BE176))),1,0),0)</f>
        <v>0</v>
      </c>
      <c r="BG181" s="29">
        <f>IFERROR(IF(AND('Real results'!C176&lt;&gt;"",'Raw data'!BG176&lt;&gt;"",UPPER(TRIM('Real results'!C176))=UPPER(TRIM('Raw data'!BG176))),1,0),0)</f>
        <v>0</v>
      </c>
      <c r="BI181" s="29">
        <f>IFERROR(IF(AND('Real results'!C176&lt;&gt;"",'Raw data'!BI176&lt;&gt;"",UPPER(TRIM('Real results'!C176))=UPPER(TRIM('Raw data'!BI176))),1,0),0)</f>
        <v>0</v>
      </c>
    </row>
    <row r="182" ht="18.0" customHeight="1">
      <c r="A182" s="1"/>
      <c r="B182" s="13" t="s">
        <v>463</v>
      </c>
      <c r="C182" s="29">
        <f>IFERROR(IF(AND('Real results'!C177&lt;&gt;"",'Raw data'!C177&lt;&gt;"",UPPER(TRIM('Real results'!C177))=UPPER(TRIM('Raw data'!C177))),2,0),0)</f>
        <v>0</v>
      </c>
      <c r="E182" s="29">
        <f>IFERROR(IF(AND('Real results'!C177&lt;&gt;"",'Raw data'!E177&lt;&gt;"",UPPER(TRIM('Real results'!C177))=UPPER(TRIM('Raw data'!E177))),2,0),0)</f>
        <v>0</v>
      </c>
      <c r="G182" s="29">
        <f>IFERROR(IF(AND('Real results'!C177&lt;&gt;"",'Raw data'!G177&lt;&gt;"",UPPER(TRIM('Real results'!C177))=UPPER(TRIM('Raw data'!G177))),2,0),0)</f>
        <v>0</v>
      </c>
      <c r="I182" s="29">
        <f>IFERROR(IF(AND('Real results'!C177&lt;&gt;"",'Raw data'!I177&lt;&gt;"",UPPER(TRIM('Real results'!C177))=UPPER(TRIM('Raw data'!I177))),2,0),0)</f>
        <v>0</v>
      </c>
      <c r="K182" s="29">
        <f>IFERROR(IF(AND('Real results'!C177&lt;&gt;"",'Raw data'!K177&lt;&gt;"",UPPER(TRIM('Real results'!C177))=UPPER(TRIM('Raw data'!K177))),2,0),0)</f>
        <v>0</v>
      </c>
      <c r="M182" s="29">
        <f>IFERROR(IF(AND('Real results'!C177&lt;&gt;"",'Raw data'!M177&lt;&gt;"",UPPER(TRIM('Real results'!C177))=UPPER(TRIM('Raw data'!M177))),2,0),0)</f>
        <v>0</v>
      </c>
      <c r="O182" s="29">
        <f>IFERROR(IF(AND('Real results'!C177&lt;&gt;"",'Raw data'!O177&lt;&gt;"",UPPER(TRIM('Real results'!C177))=UPPER(TRIM('Raw data'!O177))),2,0),0)</f>
        <v>0</v>
      </c>
      <c r="Q182" s="29">
        <f>IFERROR(IF(AND('Real results'!C177&lt;&gt;"",'Raw data'!Q177&lt;&gt;"",UPPER(TRIM('Real results'!C177))=UPPER(TRIM('Raw data'!Q177))),2,0),0)</f>
        <v>0</v>
      </c>
      <c r="S182" s="29">
        <f>IFERROR(IF(AND('Real results'!C177&lt;&gt;"",'Raw data'!S177&lt;&gt;"",UPPER(TRIM('Real results'!C177))=UPPER(TRIM('Raw data'!S177))),2,0),0)</f>
        <v>0</v>
      </c>
      <c r="U182" s="29">
        <f>IFERROR(IF(AND('Real results'!C177&lt;&gt;"",'Raw data'!U177&lt;&gt;"",UPPER(TRIM('Real results'!C177))=UPPER(TRIM('Raw data'!U177))),2,0),0)</f>
        <v>0</v>
      </c>
      <c r="W182" s="29">
        <f>IFERROR(IF(AND('Real results'!C177&lt;&gt;"",'Raw data'!W177&lt;&gt;"",UPPER(TRIM('Real results'!C177))=UPPER(TRIM('Raw data'!W177))),2,0),0)</f>
        <v>0</v>
      </c>
      <c r="Y182" s="29">
        <f>IFERROR(IF(AND('Real results'!C177&lt;&gt;"",'Raw data'!Y177&lt;&gt;"",UPPER(TRIM('Real results'!C177))=UPPER(TRIM('Raw data'!Y177))),2,0),0)</f>
        <v>0</v>
      </c>
      <c r="AA182" s="29">
        <f>IFERROR(IF(AND('Real results'!C177&lt;&gt;"",'Raw data'!AA177&lt;&gt;"",UPPER(TRIM('Real results'!C177))=UPPER(TRIM('Raw data'!AA177))),2,0),0)</f>
        <v>0</v>
      </c>
      <c r="AC182" s="29">
        <f>IFERROR(IF(AND('Real results'!C177&lt;&gt;"",'Raw data'!AC177&lt;&gt;"",UPPER(TRIM('Real results'!C177))=UPPER(TRIM('Raw data'!AC177))),2,0),0)</f>
        <v>0</v>
      </c>
      <c r="AE182" s="29">
        <f>IFERROR(IF(AND('Real results'!C177&lt;&gt;"",'Raw data'!AE177&lt;&gt;"",UPPER(TRIM('Real results'!C177))=UPPER(TRIM('Raw data'!AE177))),2,0),0)</f>
        <v>0</v>
      </c>
      <c r="AG182" s="29">
        <f>IFERROR(IF(AND('Real results'!C177&lt;&gt;"",'Raw data'!AG177&lt;&gt;"",UPPER(TRIM('Real results'!C177))=UPPER(TRIM('Raw data'!AG177))),2,0),0)</f>
        <v>0</v>
      </c>
      <c r="AI182" s="29">
        <f>IFERROR(IF(AND('Real results'!C177&lt;&gt;"",'Raw data'!AI177&lt;&gt;"",UPPER(TRIM('Real results'!C177))=UPPER(TRIM('Raw data'!AI177))),2,0),0)</f>
        <v>0</v>
      </c>
      <c r="AK182" s="29">
        <f>IFERROR(IF(AND('Real results'!C177&lt;&gt;"",'Raw data'!AK177&lt;&gt;"",UPPER(TRIM('Real results'!C177))=UPPER(TRIM('Raw data'!AK177))),2,0),0)</f>
        <v>0</v>
      </c>
      <c r="AM182" s="29">
        <f>IFERROR(IF(AND('Real results'!C177&lt;&gt;"",'Raw data'!AM177&lt;&gt;"",UPPER(TRIM('Real results'!C177))=UPPER(TRIM('Raw data'!AM177))),2,0),0)</f>
        <v>0</v>
      </c>
      <c r="AO182" s="29">
        <f>IFERROR(IF(AND('Real results'!C177&lt;&gt;"",'Raw data'!AO177&lt;&gt;"",UPPER(TRIM('Real results'!C177))=UPPER(TRIM('Raw data'!AO177))),2,0),0)</f>
        <v>0</v>
      </c>
      <c r="AQ182" s="29">
        <f>IFERROR(IF(AND('Real results'!C177&lt;&gt;"",'Raw data'!AQ177&lt;&gt;"",UPPER(TRIM('Real results'!C177))=UPPER(TRIM('Raw data'!AQ177))),2,0),0)</f>
        <v>0</v>
      </c>
      <c r="AS182" s="29">
        <f>IFERROR(IF(AND('Real results'!C177&lt;&gt;"",'Raw data'!AS177&lt;&gt;"",UPPER(TRIM('Real results'!C177))=UPPER(TRIM('Raw data'!AS177))),2,0),0)</f>
        <v>0</v>
      </c>
      <c r="AU182" s="29">
        <f>IFERROR(IF(AND('Real results'!C177&lt;&gt;"",'Raw data'!AU177&lt;&gt;"",UPPER(TRIM('Real results'!C177))=UPPER(TRIM('Raw data'!AU177))),2,0),0)</f>
        <v>0</v>
      </c>
      <c r="AW182" s="29">
        <f>IFERROR(IF(AND('Real results'!C177&lt;&gt;"",'Raw data'!AW177&lt;&gt;"",UPPER(TRIM('Real results'!C177))=UPPER(TRIM('Raw data'!AW177))),2,0),0)</f>
        <v>0</v>
      </c>
      <c r="AY182" s="29">
        <f>IFERROR(IF(AND('Real results'!C177&lt;&gt;"",'Raw data'!AY177&lt;&gt;"",UPPER(TRIM('Real results'!C177))=UPPER(TRIM('Raw data'!AY177))),2,0),0)</f>
        <v>0</v>
      </c>
      <c r="BA182" s="29">
        <f>IFERROR(IF(AND('Real results'!C177&lt;&gt;"",'Raw data'!BA177&lt;&gt;"",UPPER(TRIM('Real results'!C177))=UPPER(TRIM('Raw data'!BA177))),2,0),0)</f>
        <v>0</v>
      </c>
      <c r="BC182" s="29">
        <f>IFERROR(IF(AND('Real results'!C177&lt;&gt;"",'Raw data'!BC177&lt;&gt;"",UPPER(TRIM('Real results'!C177))=UPPER(TRIM('Raw data'!BC177))),2,0),0)</f>
        <v>0</v>
      </c>
      <c r="BE182" s="29">
        <f>IFERROR(IF(AND('Real results'!C177&lt;&gt;"",'Raw data'!BE177&lt;&gt;"",UPPER(TRIM('Real results'!C177))=UPPER(TRIM('Raw data'!BE177))),2,0),0)</f>
        <v>0</v>
      </c>
      <c r="BG182" s="29">
        <f>IFERROR(IF(AND('Real results'!C177&lt;&gt;"",'Raw data'!BG177&lt;&gt;"",UPPER(TRIM('Real results'!C177))=UPPER(TRIM('Raw data'!BG177))),2,0),0)</f>
        <v>0</v>
      </c>
      <c r="BI182" s="29">
        <f>IFERROR(IF(AND('Real results'!C177&lt;&gt;"",'Raw data'!BI177&lt;&gt;"",UPPER(TRIM('Real results'!C177))=UPPER(TRIM('Raw data'!BI177))),2,0),0)</f>
        <v>0</v>
      </c>
    </row>
    <row r="183" ht="18.0" customHeight="1">
      <c r="A183" s="1"/>
      <c r="B183" s="13" t="s">
        <v>464</v>
      </c>
      <c r="C183" s="29">
        <f>IFERROR(IF(AND(ISNUMBER('Real results'!C178),ISNUMBER('Real results'!D178),ISNUMBER('Raw data'!C178),ISNUMBER('Raw data'!D178)),IF(SIGN('Raw data'!C178-'Raw data'!D178)=SIGN('Real results'!C178-'Real results'!D178),3+IF(AND('Raw data'!C178='Real results'!C178,'Raw data'!D178='Real results'!D178),2,0),0),0),0)</f>
        <v>0</v>
      </c>
      <c r="E183" s="29">
        <f>IFERROR(IF(AND(ISNUMBER('Real results'!C178),ISNUMBER('Real results'!D178),ISNUMBER('Raw data'!E178),ISNUMBER('Raw data'!F178)),IF(SIGN('Raw data'!E178-'Raw data'!F178)=SIGN('Real results'!C178-'Real results'!D178),3+IF(AND('Raw data'!E178='Real results'!C178,'Raw data'!F178='Real results'!D178),2,0),0),0),0)</f>
        <v>0</v>
      </c>
      <c r="G183" s="29">
        <f>IFERROR(IF(AND(ISNUMBER('Real results'!C178),ISNUMBER('Real results'!D178),ISNUMBER('Raw data'!G178),ISNUMBER('Raw data'!H178)),IF(SIGN('Raw data'!G178-'Raw data'!H178)=SIGN('Real results'!C178-'Real results'!D178),3+IF(AND('Raw data'!G178='Real results'!C178,'Raw data'!H178='Real results'!D178),2,0),0),0),0)</f>
        <v>0</v>
      </c>
      <c r="I183" s="29">
        <f>IFERROR(IF(AND(ISNUMBER('Real results'!C178),ISNUMBER('Real results'!D178),ISNUMBER('Raw data'!I178),ISNUMBER('Raw data'!J178)),IF(SIGN('Raw data'!I178-'Raw data'!J178)=SIGN('Real results'!C178-'Real results'!D178),3+IF(AND('Raw data'!I178='Real results'!C178,'Raw data'!J178='Real results'!D178),2,0),0),0),0)</f>
        <v>0</v>
      </c>
      <c r="K183" s="29">
        <f>IFERROR(IF(AND(ISNUMBER('Real results'!C178),ISNUMBER('Real results'!D178),ISNUMBER('Raw data'!K178),ISNUMBER('Raw data'!L178)),IF(SIGN('Raw data'!K178-'Raw data'!L178)=SIGN('Real results'!C178-'Real results'!D178),3+IF(AND('Raw data'!K178='Real results'!C178,'Raw data'!L178='Real results'!D178),2,0),0),0),0)</f>
        <v>0</v>
      </c>
      <c r="M183" s="29">
        <f>IFERROR(IF(AND(ISNUMBER('Real results'!C178),ISNUMBER('Real results'!D178),ISNUMBER('Raw data'!M178),ISNUMBER('Raw data'!N178)),IF(SIGN('Raw data'!M178-'Raw data'!N178)=SIGN('Real results'!C178-'Real results'!D178),3+IF(AND('Raw data'!M178='Real results'!C178,'Raw data'!N178='Real results'!D178),2,0),0),0),0)</f>
        <v>0</v>
      </c>
      <c r="O183" s="29">
        <f>IFERROR(IF(AND(ISNUMBER('Real results'!C178),ISNUMBER('Real results'!D178),ISNUMBER('Raw data'!O178),ISNUMBER('Raw data'!P178)),IF(SIGN('Raw data'!O178-'Raw data'!P178)=SIGN('Real results'!C178-'Real results'!D178),3+IF(AND('Raw data'!O178='Real results'!C178,'Raw data'!P178='Real results'!D178),2,0),0),0),0)</f>
        <v>0</v>
      </c>
      <c r="Q183" s="29">
        <f>IFERROR(IF(AND(ISNUMBER('Real results'!C178),ISNUMBER('Real results'!D178),ISNUMBER('Raw data'!Q178),ISNUMBER('Raw data'!R178)),IF(SIGN('Raw data'!Q178-'Raw data'!R178)=SIGN('Real results'!C178-'Real results'!D178),3+IF(AND('Raw data'!Q178='Real results'!C178,'Raw data'!R178='Real results'!D178),2,0),0),0),0)</f>
        <v>0</v>
      </c>
      <c r="S183" s="29">
        <f>IFERROR(IF(AND(ISNUMBER('Real results'!C178),ISNUMBER('Real results'!D178),ISNUMBER('Raw data'!S178),ISNUMBER('Raw data'!T178)),IF(SIGN('Raw data'!S178-'Raw data'!T178)=SIGN('Real results'!C178-'Real results'!D178),3+IF(AND('Raw data'!S178='Real results'!C178,'Raw data'!T178='Real results'!D178),2,0),0),0),0)</f>
        <v>0</v>
      </c>
      <c r="U183" s="29">
        <f>IFERROR(IF(AND(ISNUMBER('Real results'!C178),ISNUMBER('Real results'!D178),ISNUMBER('Raw data'!U178),ISNUMBER('Raw data'!V178)),IF(SIGN('Raw data'!U178-'Raw data'!V178)=SIGN('Real results'!C178-'Real results'!D178),3+IF(AND('Raw data'!U178='Real results'!C178,'Raw data'!V178='Real results'!D178),2,0),0),0),0)</f>
        <v>0</v>
      </c>
      <c r="W183" s="29">
        <f>IFERROR(IF(AND(ISNUMBER('Real results'!C178),ISNUMBER('Real results'!D178),ISNUMBER('Raw data'!W178),ISNUMBER('Raw data'!X178)),IF(SIGN('Raw data'!W178-'Raw data'!X178)=SIGN('Real results'!C178-'Real results'!D178),3+IF(AND('Raw data'!W178='Real results'!C178,'Raw data'!X178='Real results'!D178),2,0),0),0),0)</f>
        <v>0</v>
      </c>
      <c r="Y183" s="29">
        <f>IFERROR(IF(AND(ISNUMBER('Real results'!C178),ISNUMBER('Real results'!D178),ISNUMBER('Raw data'!Y178),ISNUMBER('Raw data'!Z178)),IF(SIGN('Raw data'!Y178-'Raw data'!Z178)=SIGN('Real results'!C178-'Real results'!D178),3+IF(AND('Raw data'!Y178='Real results'!C178,'Raw data'!Z178='Real results'!D178),2,0),0),0),0)</f>
        <v>0</v>
      </c>
      <c r="AA183" s="29">
        <f>IFERROR(IF(AND(ISNUMBER('Real results'!C178),ISNUMBER('Real results'!D178),ISNUMBER('Raw data'!AA178),ISNUMBER('Raw data'!AB178)),IF(SIGN('Raw data'!AA178-'Raw data'!AB178)=SIGN('Real results'!C178-'Real results'!D178),3+IF(AND('Raw data'!AA178='Real results'!C178,'Raw data'!AB178='Real results'!D178),2,0),0),0),0)</f>
        <v>0</v>
      </c>
      <c r="AC183" s="29">
        <f>IFERROR(IF(AND(ISNUMBER('Real results'!C178),ISNUMBER('Real results'!D178),ISNUMBER('Raw data'!AC178),ISNUMBER('Raw data'!AD178)),IF(SIGN('Raw data'!AC178-'Raw data'!AD178)=SIGN('Real results'!C178-'Real results'!D178),3+IF(AND('Raw data'!AC178='Real results'!C178,'Raw data'!AD178='Real results'!D178),2,0),0),0),0)</f>
        <v>0</v>
      </c>
      <c r="AE183" s="29">
        <f>IFERROR(IF(AND(ISNUMBER('Real results'!C178),ISNUMBER('Real results'!D178),ISNUMBER('Raw data'!AE178),ISNUMBER('Raw data'!AF178)),IF(SIGN('Raw data'!AE178-'Raw data'!AF178)=SIGN('Real results'!C178-'Real results'!D178),3+IF(AND('Raw data'!AE178='Real results'!C178,'Raw data'!AF178='Real results'!D178),2,0),0),0),0)</f>
        <v>0</v>
      </c>
      <c r="AG183" s="29">
        <f>IFERROR(IF(AND(ISNUMBER('Real results'!C178),ISNUMBER('Real results'!D178),ISNUMBER('Raw data'!AG178),ISNUMBER('Raw data'!AH178)),IF(SIGN('Raw data'!AG178-'Raw data'!AH178)=SIGN('Real results'!C178-'Real results'!D178),3+IF(AND('Raw data'!AG178='Real results'!C178,'Raw data'!AH178='Real results'!D178),2,0),0),0),0)</f>
        <v>0</v>
      </c>
      <c r="AI183" s="29">
        <f>IFERROR(IF(AND(ISNUMBER('Real results'!C178),ISNUMBER('Real results'!D178),ISNUMBER('Raw data'!AI178),ISNUMBER('Raw data'!AJ178)),IF(SIGN('Raw data'!AI178-'Raw data'!AJ178)=SIGN('Real results'!C178-'Real results'!D178),3+IF(AND('Raw data'!AI178='Real results'!C178,'Raw data'!AJ178='Real results'!D178),2,0),0),0),0)</f>
        <v>0</v>
      </c>
      <c r="AK183" s="29">
        <f>IFERROR(IF(AND(ISNUMBER('Real results'!C178),ISNUMBER('Real results'!D178),ISNUMBER('Raw data'!AK178),ISNUMBER('Raw data'!AL178)),IF(SIGN('Raw data'!AK178-'Raw data'!AL178)=SIGN('Real results'!C178-'Real results'!D178),3+IF(AND('Raw data'!AK178='Real results'!C178,'Raw data'!AL178='Real results'!D178),2,0),0),0),0)</f>
        <v>0</v>
      </c>
      <c r="AM183" s="29">
        <f>IFERROR(IF(AND(ISNUMBER('Real results'!C178),ISNUMBER('Real results'!D178),ISNUMBER('Raw data'!AM178),ISNUMBER('Raw data'!AN178)),IF(SIGN('Raw data'!AM178-'Raw data'!AN178)=SIGN('Real results'!C178-'Real results'!D178),3+IF(AND('Raw data'!AM178='Real results'!C178,'Raw data'!AN178='Real results'!D178),2,0),0),0),0)</f>
        <v>0</v>
      </c>
      <c r="AO183" s="29">
        <f>IFERROR(IF(AND(ISNUMBER('Real results'!C178),ISNUMBER('Real results'!D178),ISNUMBER('Raw data'!AO178),ISNUMBER('Raw data'!AP178)),IF(SIGN('Raw data'!AO178-'Raw data'!AP178)=SIGN('Real results'!C178-'Real results'!D178),3+IF(AND('Raw data'!AO178='Real results'!C178,'Raw data'!AP178='Real results'!D178),2,0),0),0),0)</f>
        <v>0</v>
      </c>
      <c r="AQ183" s="29">
        <f>IFERROR(IF(AND(ISNUMBER('Real results'!C178),ISNUMBER('Real results'!D178),ISNUMBER('Raw data'!AQ178),ISNUMBER('Raw data'!AR178)),IF(SIGN('Raw data'!AQ178-'Raw data'!AR178)=SIGN('Real results'!C178-'Real results'!D178),3+IF(AND('Raw data'!AQ178='Real results'!C178,'Raw data'!AR178='Real results'!D178),2,0),0),0),0)</f>
        <v>0</v>
      </c>
      <c r="AS183" s="29">
        <f>IFERROR(IF(AND(ISNUMBER('Real results'!C178),ISNUMBER('Real results'!D178),ISNUMBER('Raw data'!AS178),ISNUMBER('Raw data'!AT178)),IF(SIGN('Raw data'!AS178-'Raw data'!AT178)=SIGN('Real results'!C178-'Real results'!D178),3+IF(AND('Raw data'!AS178='Real results'!C178,'Raw data'!AT178='Real results'!D178),2,0),0),0),0)</f>
        <v>0</v>
      </c>
      <c r="AU183" s="29">
        <f>IFERROR(IF(AND(ISNUMBER('Real results'!C178),ISNUMBER('Real results'!D178),ISNUMBER('Raw data'!AU178),ISNUMBER('Raw data'!AV178)),IF(SIGN('Raw data'!AU178-'Raw data'!AV178)=SIGN('Real results'!C178-'Real results'!D178),3+IF(AND('Raw data'!AU178='Real results'!C178,'Raw data'!AV178='Real results'!D178),2,0),0),0),0)</f>
        <v>0</v>
      </c>
      <c r="AW183" s="29">
        <f>IFERROR(IF(AND(ISNUMBER('Real results'!C178),ISNUMBER('Real results'!D178),ISNUMBER('Raw data'!AW178),ISNUMBER('Raw data'!AX178)),IF(SIGN('Raw data'!AW178-'Raw data'!AX178)=SIGN('Real results'!C178-'Real results'!D178),3+IF(AND('Raw data'!AW178='Real results'!C178,'Raw data'!AX178='Real results'!D178),2,0),0),0),0)</f>
        <v>0</v>
      </c>
      <c r="AY183" s="29">
        <f>IFERROR(IF(AND(ISNUMBER('Real results'!C178),ISNUMBER('Real results'!D178),ISNUMBER('Raw data'!AY178),ISNUMBER('Raw data'!AZ178)),IF(SIGN('Raw data'!AY178-'Raw data'!AZ178)=SIGN('Real results'!C178-'Real results'!D178),3+IF(AND('Raw data'!AY178='Real results'!C178,'Raw data'!AZ178='Real results'!D178),2,0),0),0),0)</f>
        <v>0</v>
      </c>
      <c r="BA183" s="29">
        <f>IFERROR(IF(AND(ISNUMBER('Real results'!C178),ISNUMBER('Real results'!D178),ISNUMBER('Raw data'!BA178),ISNUMBER('Raw data'!BB178)),IF(SIGN('Raw data'!BA178-'Raw data'!BB178)=SIGN('Real results'!C178-'Real results'!D178),3+IF(AND('Raw data'!BA178='Real results'!C178,'Raw data'!BB178='Real results'!D178),2,0),0),0),0)</f>
        <v>0</v>
      </c>
      <c r="BC183" s="29">
        <f>IFERROR(IF(AND(ISNUMBER('Real results'!C178),ISNUMBER('Real results'!D178),ISNUMBER('Raw data'!BC178),ISNUMBER('Raw data'!BD178)),IF(SIGN('Raw data'!BC178-'Raw data'!BD178)=SIGN('Real results'!C178-'Real results'!D178),3+IF(AND('Raw data'!BC178='Real results'!C178,'Raw data'!BD178='Real results'!D178),2,0),0),0),0)</f>
        <v>0</v>
      </c>
      <c r="BE183" s="29">
        <f>IFERROR(IF(AND(ISNUMBER('Real results'!C178),ISNUMBER('Real results'!D178),ISNUMBER('Raw data'!BE178),ISNUMBER('Raw data'!BF178)),IF(SIGN('Raw data'!BE178-'Raw data'!BF178)=SIGN('Real results'!C178-'Real results'!D178),3+IF(AND('Raw data'!BE178='Real results'!C178,'Raw data'!BF178='Real results'!D178),2,0),0),0),0)</f>
        <v>0</v>
      </c>
      <c r="BG183" s="29">
        <f>IFERROR(IF(AND(ISNUMBER('Real results'!C178),ISNUMBER('Real results'!D178),ISNUMBER('Raw data'!BG178),ISNUMBER('Raw data'!BH178)),IF(SIGN('Raw data'!BG178-'Raw data'!BH178)=SIGN('Real results'!C178-'Real results'!D178),3+IF(AND('Raw data'!BG178='Real results'!C178,'Raw data'!BH178='Real results'!D178),2,0),0),0),0)</f>
        <v>0</v>
      </c>
      <c r="BI183" s="29">
        <f>IFERROR(IF(AND(ISNUMBER('Real results'!C178),ISNUMBER('Real results'!D178),ISNUMBER('Raw data'!BI178),ISNUMBER('Raw data'!BJ178)),IF(SIGN('Raw data'!BI178-'Raw data'!BJ178)=SIGN('Real results'!C178-'Real results'!D178),3+IF(AND('Raw data'!BI178='Real results'!C178,'Raw data'!BJ178='Real results'!D178),2,0),0),0),0)</f>
        <v>0</v>
      </c>
    </row>
    <row r="184" ht="18.0" customHeight="1">
      <c r="A184" s="1"/>
      <c r="B184" s="13" t="s">
        <v>465</v>
      </c>
      <c r="C184" s="29">
        <f>IFERROR(IF(AND('Real results'!C179&lt;&gt;"",'Raw data'!C179&lt;&gt;"",UPPER(TRIM('Real results'!C179))=UPPER(TRIM('Raw data'!C179))),1,0),0)</f>
        <v>0</v>
      </c>
      <c r="E184" s="29">
        <f>IFERROR(IF(AND('Real results'!C179&lt;&gt;"",'Raw data'!E179&lt;&gt;"",UPPER(TRIM('Real results'!C179))=UPPER(TRIM('Raw data'!E179))),1,0),0)</f>
        <v>0</v>
      </c>
      <c r="G184" s="29">
        <f>IFERROR(IF(AND('Real results'!C179&lt;&gt;"",'Raw data'!G179&lt;&gt;"",UPPER(TRIM('Real results'!C179))=UPPER(TRIM('Raw data'!G179))),1,0),0)</f>
        <v>0</v>
      </c>
      <c r="I184" s="29">
        <f>IFERROR(IF(AND('Real results'!C179&lt;&gt;"",'Raw data'!I179&lt;&gt;"",UPPER(TRIM('Real results'!C179))=UPPER(TRIM('Raw data'!I179))),1,0),0)</f>
        <v>0</v>
      </c>
      <c r="K184" s="29">
        <f>IFERROR(IF(AND('Real results'!C179&lt;&gt;"",'Raw data'!K179&lt;&gt;"",UPPER(TRIM('Real results'!C179))=UPPER(TRIM('Raw data'!K179))),1,0),0)</f>
        <v>0</v>
      </c>
      <c r="M184" s="29">
        <f>IFERROR(IF(AND('Real results'!C179&lt;&gt;"",'Raw data'!M179&lt;&gt;"",UPPER(TRIM('Real results'!C179))=UPPER(TRIM('Raw data'!M179))),1,0),0)</f>
        <v>0</v>
      </c>
      <c r="O184" s="29">
        <f>IFERROR(IF(AND('Real results'!C179&lt;&gt;"",'Raw data'!O179&lt;&gt;"",UPPER(TRIM('Real results'!C179))=UPPER(TRIM('Raw data'!O179))),1,0),0)</f>
        <v>0</v>
      </c>
      <c r="Q184" s="29">
        <f>IFERROR(IF(AND('Real results'!C179&lt;&gt;"",'Raw data'!Q179&lt;&gt;"",UPPER(TRIM('Real results'!C179))=UPPER(TRIM('Raw data'!Q179))),1,0),0)</f>
        <v>0</v>
      </c>
      <c r="S184" s="29">
        <f>IFERROR(IF(AND('Real results'!C179&lt;&gt;"",'Raw data'!S179&lt;&gt;"",UPPER(TRIM('Real results'!C179))=UPPER(TRIM('Raw data'!S179))),1,0),0)</f>
        <v>0</v>
      </c>
      <c r="U184" s="29">
        <f>IFERROR(IF(AND('Real results'!C179&lt;&gt;"",'Raw data'!U179&lt;&gt;"",UPPER(TRIM('Real results'!C179))=UPPER(TRIM('Raw data'!U179))),1,0),0)</f>
        <v>0</v>
      </c>
      <c r="W184" s="29">
        <f>IFERROR(IF(AND('Real results'!C179&lt;&gt;"",'Raw data'!W179&lt;&gt;"",UPPER(TRIM('Real results'!C179))=UPPER(TRIM('Raw data'!W179))),1,0),0)</f>
        <v>0</v>
      </c>
      <c r="Y184" s="29">
        <f>IFERROR(IF(AND('Real results'!C179&lt;&gt;"",'Raw data'!Y179&lt;&gt;"",UPPER(TRIM('Real results'!C179))=UPPER(TRIM('Raw data'!Y179))),1,0),0)</f>
        <v>0</v>
      </c>
      <c r="AA184" s="29">
        <f>IFERROR(IF(AND('Real results'!C179&lt;&gt;"",'Raw data'!AA179&lt;&gt;"",UPPER(TRIM('Real results'!C179))=UPPER(TRIM('Raw data'!AA179))),1,0),0)</f>
        <v>0</v>
      </c>
      <c r="AC184" s="29">
        <f>IFERROR(IF(AND('Real results'!C179&lt;&gt;"",'Raw data'!AC179&lt;&gt;"",UPPER(TRIM('Real results'!C179))=UPPER(TRIM('Raw data'!AC179))),1,0),0)</f>
        <v>0</v>
      </c>
      <c r="AE184" s="29">
        <f>IFERROR(IF(AND('Real results'!C179&lt;&gt;"",'Raw data'!AE179&lt;&gt;"",UPPER(TRIM('Real results'!C179))=UPPER(TRIM('Raw data'!AE179))),1,0),0)</f>
        <v>0</v>
      </c>
      <c r="AG184" s="29">
        <f>IFERROR(IF(AND('Real results'!C179&lt;&gt;"",'Raw data'!AG179&lt;&gt;"",UPPER(TRIM('Real results'!C179))=UPPER(TRIM('Raw data'!AG179))),1,0),0)</f>
        <v>0</v>
      </c>
      <c r="AI184" s="29">
        <f>IFERROR(IF(AND('Real results'!C179&lt;&gt;"",'Raw data'!AI179&lt;&gt;"",UPPER(TRIM('Real results'!C179))=UPPER(TRIM('Raw data'!AI179))),1,0),0)</f>
        <v>0</v>
      </c>
      <c r="AK184" s="29">
        <f>IFERROR(IF(AND('Real results'!C179&lt;&gt;"",'Raw data'!AK179&lt;&gt;"",UPPER(TRIM('Real results'!C179))=UPPER(TRIM('Raw data'!AK179))),1,0),0)</f>
        <v>0</v>
      </c>
      <c r="AM184" s="29">
        <f>IFERROR(IF(AND('Real results'!C179&lt;&gt;"",'Raw data'!AM179&lt;&gt;"",UPPER(TRIM('Real results'!C179))=UPPER(TRIM('Raw data'!AM179))),1,0),0)</f>
        <v>0</v>
      </c>
      <c r="AO184" s="29">
        <f>IFERROR(IF(AND('Real results'!C179&lt;&gt;"",'Raw data'!AO179&lt;&gt;"",UPPER(TRIM('Real results'!C179))=UPPER(TRIM('Raw data'!AO179))),1,0),0)</f>
        <v>0</v>
      </c>
      <c r="AQ184" s="29">
        <f>IFERROR(IF(AND('Real results'!C179&lt;&gt;"",'Raw data'!AQ179&lt;&gt;"",UPPER(TRIM('Real results'!C179))=UPPER(TRIM('Raw data'!AQ179))),1,0),0)</f>
        <v>0</v>
      </c>
      <c r="AS184" s="29">
        <f>IFERROR(IF(AND('Real results'!C179&lt;&gt;"",'Raw data'!AS179&lt;&gt;"",UPPER(TRIM('Real results'!C179))=UPPER(TRIM('Raw data'!AS179))),1,0),0)</f>
        <v>0</v>
      </c>
      <c r="AU184" s="29">
        <f>IFERROR(IF(AND('Real results'!C179&lt;&gt;"",'Raw data'!AU179&lt;&gt;"",UPPER(TRIM('Real results'!C179))=UPPER(TRIM('Raw data'!AU179))),1,0),0)</f>
        <v>0</v>
      </c>
      <c r="AW184" s="29">
        <f>IFERROR(IF(AND('Real results'!C179&lt;&gt;"",'Raw data'!AW179&lt;&gt;"",UPPER(TRIM('Real results'!C179))=UPPER(TRIM('Raw data'!AW179))),1,0),0)</f>
        <v>0</v>
      </c>
      <c r="AY184" s="29">
        <f>IFERROR(IF(AND('Real results'!C179&lt;&gt;"",'Raw data'!AY179&lt;&gt;"",UPPER(TRIM('Real results'!C179))=UPPER(TRIM('Raw data'!AY179))),1,0),0)</f>
        <v>0</v>
      </c>
      <c r="BA184" s="29">
        <f>IFERROR(IF(AND('Real results'!C179&lt;&gt;"",'Raw data'!BA179&lt;&gt;"",UPPER(TRIM('Real results'!C179))=UPPER(TRIM('Raw data'!BA179))),1,0),0)</f>
        <v>0</v>
      </c>
      <c r="BC184" s="29">
        <f>IFERROR(IF(AND('Real results'!C179&lt;&gt;"",'Raw data'!BC179&lt;&gt;"",UPPER(TRIM('Real results'!C179))=UPPER(TRIM('Raw data'!BC179))),1,0),0)</f>
        <v>0</v>
      </c>
      <c r="BE184" s="29">
        <f>IFERROR(IF(AND('Real results'!C179&lt;&gt;"",'Raw data'!BE179&lt;&gt;"",UPPER(TRIM('Real results'!C179))=UPPER(TRIM('Raw data'!BE179))),1,0),0)</f>
        <v>0</v>
      </c>
      <c r="BG184" s="29">
        <f>IFERROR(IF(AND('Real results'!C179&lt;&gt;"",'Raw data'!BG179&lt;&gt;"",UPPER(TRIM('Real results'!C179))=UPPER(TRIM('Raw data'!BG179))),1,0),0)</f>
        <v>0</v>
      </c>
      <c r="BI184" s="29">
        <f>IFERROR(IF(AND('Real results'!C179&lt;&gt;"",'Raw data'!BI179&lt;&gt;"",UPPER(TRIM('Real results'!C179))=UPPER(TRIM('Raw data'!BI179))),1,0),0)</f>
        <v>0</v>
      </c>
    </row>
    <row r="185" ht="18.0" customHeight="1">
      <c r="A185" s="1"/>
      <c r="B185" s="13" t="s">
        <v>466</v>
      </c>
      <c r="C185" s="29">
        <f>IFERROR(IF(AND('Real results'!C180&lt;&gt;"",'Raw data'!C180&lt;&gt;"",UPPER(TRIM('Real results'!C180))=UPPER(TRIM('Raw data'!C180))),2,0),0)</f>
        <v>0</v>
      </c>
      <c r="E185" s="29">
        <f>IFERROR(IF(AND('Real results'!C180&lt;&gt;"",'Raw data'!E180&lt;&gt;"",UPPER(TRIM('Real results'!C180))=UPPER(TRIM('Raw data'!E180))),2,0),0)</f>
        <v>0</v>
      </c>
      <c r="G185" s="29">
        <f>IFERROR(IF(AND('Real results'!C180&lt;&gt;"",'Raw data'!G180&lt;&gt;"",UPPER(TRIM('Real results'!C180))=UPPER(TRIM('Raw data'!G180))),2,0),0)</f>
        <v>0</v>
      </c>
      <c r="I185" s="29">
        <f>IFERROR(IF(AND('Real results'!C180&lt;&gt;"",'Raw data'!I180&lt;&gt;"",UPPER(TRIM('Real results'!C180))=UPPER(TRIM('Raw data'!I180))),2,0),0)</f>
        <v>0</v>
      </c>
      <c r="K185" s="29">
        <f>IFERROR(IF(AND('Real results'!C180&lt;&gt;"",'Raw data'!K180&lt;&gt;"",UPPER(TRIM('Real results'!C180))=UPPER(TRIM('Raw data'!K180))),2,0),0)</f>
        <v>0</v>
      </c>
      <c r="M185" s="29">
        <f>IFERROR(IF(AND('Real results'!C180&lt;&gt;"",'Raw data'!M180&lt;&gt;"",UPPER(TRIM('Real results'!C180))=UPPER(TRIM('Raw data'!M180))),2,0),0)</f>
        <v>0</v>
      </c>
      <c r="O185" s="29">
        <f>IFERROR(IF(AND('Real results'!C180&lt;&gt;"",'Raw data'!O180&lt;&gt;"",UPPER(TRIM('Real results'!C180))=UPPER(TRIM('Raw data'!O180))),2,0),0)</f>
        <v>0</v>
      </c>
      <c r="Q185" s="29">
        <f>IFERROR(IF(AND('Real results'!C180&lt;&gt;"",'Raw data'!Q180&lt;&gt;"",UPPER(TRIM('Real results'!C180))=UPPER(TRIM('Raw data'!Q180))),2,0),0)</f>
        <v>0</v>
      </c>
      <c r="S185" s="29">
        <f>IFERROR(IF(AND('Real results'!C180&lt;&gt;"",'Raw data'!S180&lt;&gt;"",UPPER(TRIM('Real results'!C180))=UPPER(TRIM('Raw data'!S180))),2,0),0)</f>
        <v>0</v>
      </c>
      <c r="U185" s="29">
        <f>IFERROR(IF(AND('Real results'!C180&lt;&gt;"",'Raw data'!U180&lt;&gt;"",UPPER(TRIM('Real results'!C180))=UPPER(TRIM('Raw data'!U180))),2,0),0)</f>
        <v>0</v>
      </c>
      <c r="W185" s="29">
        <f>IFERROR(IF(AND('Real results'!C180&lt;&gt;"",'Raw data'!W180&lt;&gt;"",UPPER(TRIM('Real results'!C180))=UPPER(TRIM('Raw data'!W180))),2,0),0)</f>
        <v>0</v>
      </c>
      <c r="Y185" s="29">
        <f>IFERROR(IF(AND('Real results'!C180&lt;&gt;"",'Raw data'!Y180&lt;&gt;"",UPPER(TRIM('Real results'!C180))=UPPER(TRIM('Raw data'!Y180))),2,0),0)</f>
        <v>0</v>
      </c>
      <c r="AA185" s="29">
        <f>IFERROR(IF(AND('Real results'!C180&lt;&gt;"",'Raw data'!AA180&lt;&gt;"",UPPER(TRIM('Real results'!C180))=UPPER(TRIM('Raw data'!AA180))),2,0),0)</f>
        <v>0</v>
      </c>
      <c r="AC185" s="29">
        <f>IFERROR(IF(AND('Real results'!C180&lt;&gt;"",'Raw data'!AC180&lt;&gt;"",UPPER(TRIM('Real results'!C180))=UPPER(TRIM('Raw data'!AC180))),2,0),0)</f>
        <v>0</v>
      </c>
      <c r="AE185" s="29">
        <f>IFERROR(IF(AND('Real results'!C180&lt;&gt;"",'Raw data'!AE180&lt;&gt;"",UPPER(TRIM('Real results'!C180))=UPPER(TRIM('Raw data'!AE180))),2,0),0)</f>
        <v>0</v>
      </c>
      <c r="AG185" s="29">
        <f>IFERROR(IF(AND('Real results'!C180&lt;&gt;"",'Raw data'!AG180&lt;&gt;"",UPPER(TRIM('Real results'!C180))=UPPER(TRIM('Raw data'!AG180))),2,0),0)</f>
        <v>0</v>
      </c>
      <c r="AI185" s="29">
        <f>IFERROR(IF(AND('Real results'!C180&lt;&gt;"",'Raw data'!AI180&lt;&gt;"",UPPER(TRIM('Real results'!C180))=UPPER(TRIM('Raw data'!AI180))),2,0),0)</f>
        <v>0</v>
      </c>
      <c r="AK185" s="29">
        <f>IFERROR(IF(AND('Real results'!C180&lt;&gt;"",'Raw data'!AK180&lt;&gt;"",UPPER(TRIM('Real results'!C180))=UPPER(TRIM('Raw data'!AK180))),2,0),0)</f>
        <v>0</v>
      </c>
      <c r="AM185" s="29">
        <f>IFERROR(IF(AND('Real results'!C180&lt;&gt;"",'Raw data'!AM180&lt;&gt;"",UPPER(TRIM('Real results'!C180))=UPPER(TRIM('Raw data'!AM180))),2,0),0)</f>
        <v>0</v>
      </c>
      <c r="AO185" s="29">
        <f>IFERROR(IF(AND('Real results'!C180&lt;&gt;"",'Raw data'!AO180&lt;&gt;"",UPPER(TRIM('Real results'!C180))=UPPER(TRIM('Raw data'!AO180))),2,0),0)</f>
        <v>0</v>
      </c>
      <c r="AQ185" s="29">
        <f>IFERROR(IF(AND('Real results'!C180&lt;&gt;"",'Raw data'!AQ180&lt;&gt;"",UPPER(TRIM('Real results'!C180))=UPPER(TRIM('Raw data'!AQ180))),2,0),0)</f>
        <v>0</v>
      </c>
      <c r="AS185" s="29">
        <f>IFERROR(IF(AND('Real results'!C180&lt;&gt;"",'Raw data'!AS180&lt;&gt;"",UPPER(TRIM('Real results'!C180))=UPPER(TRIM('Raw data'!AS180))),2,0),0)</f>
        <v>0</v>
      </c>
      <c r="AU185" s="29">
        <f>IFERROR(IF(AND('Real results'!C180&lt;&gt;"",'Raw data'!AU180&lt;&gt;"",UPPER(TRIM('Real results'!C180))=UPPER(TRIM('Raw data'!AU180))),2,0),0)</f>
        <v>0</v>
      </c>
      <c r="AW185" s="29">
        <f>IFERROR(IF(AND('Real results'!C180&lt;&gt;"",'Raw data'!AW180&lt;&gt;"",UPPER(TRIM('Real results'!C180))=UPPER(TRIM('Raw data'!AW180))),2,0),0)</f>
        <v>0</v>
      </c>
      <c r="AY185" s="29">
        <f>IFERROR(IF(AND('Real results'!C180&lt;&gt;"",'Raw data'!AY180&lt;&gt;"",UPPER(TRIM('Real results'!C180))=UPPER(TRIM('Raw data'!AY180))),2,0),0)</f>
        <v>0</v>
      </c>
      <c r="BA185" s="29">
        <f>IFERROR(IF(AND('Real results'!C180&lt;&gt;"",'Raw data'!BA180&lt;&gt;"",UPPER(TRIM('Real results'!C180))=UPPER(TRIM('Raw data'!BA180))),2,0),0)</f>
        <v>0</v>
      </c>
      <c r="BC185" s="29">
        <f>IFERROR(IF(AND('Real results'!C180&lt;&gt;"",'Raw data'!BC180&lt;&gt;"",UPPER(TRIM('Real results'!C180))=UPPER(TRIM('Raw data'!BC180))),2,0),0)</f>
        <v>0</v>
      </c>
      <c r="BE185" s="29">
        <f>IFERROR(IF(AND('Real results'!C180&lt;&gt;"",'Raw data'!BE180&lt;&gt;"",UPPER(TRIM('Real results'!C180))=UPPER(TRIM('Raw data'!BE180))),2,0),0)</f>
        <v>0</v>
      </c>
      <c r="BG185" s="29">
        <f>IFERROR(IF(AND('Real results'!C180&lt;&gt;"",'Raw data'!BG180&lt;&gt;"",UPPER(TRIM('Real results'!C180))=UPPER(TRIM('Raw data'!BG180))),2,0),0)</f>
        <v>0</v>
      </c>
      <c r="BI185" s="29">
        <f>IFERROR(IF(AND('Real results'!C180&lt;&gt;"",'Raw data'!BI180&lt;&gt;"",UPPER(TRIM('Real results'!C180))=UPPER(TRIM('Raw data'!BI180))),2,0),0)</f>
        <v>0</v>
      </c>
    </row>
    <row r="186" ht="18.0" customHeight="1">
      <c r="A186" s="1"/>
      <c r="B186" s="13" t="s">
        <v>467</v>
      </c>
      <c r="C186" s="29">
        <f>IFERROR(IF(AND(ISNUMBER('Real results'!C181),ISNUMBER('Real results'!D181),ISNUMBER('Raw data'!C181),ISNUMBER('Raw data'!D181)),IF(SIGN('Raw data'!C181-'Raw data'!D181)=SIGN('Real results'!C181-'Real results'!D181),3+IF(AND('Raw data'!C181='Real results'!C181,'Raw data'!D181='Real results'!D181),2,0),0),0),0)</f>
        <v>0</v>
      </c>
      <c r="E186" s="29">
        <f>IFERROR(IF(AND(ISNUMBER('Real results'!C181),ISNUMBER('Real results'!D181),ISNUMBER('Raw data'!E181),ISNUMBER('Raw data'!F181)),IF(SIGN('Raw data'!E181-'Raw data'!F181)=SIGN('Real results'!C181-'Real results'!D181),3+IF(AND('Raw data'!E181='Real results'!C181,'Raw data'!F181='Real results'!D181),2,0),0),0),0)</f>
        <v>0</v>
      </c>
      <c r="G186" s="29">
        <f>IFERROR(IF(AND(ISNUMBER('Real results'!C181),ISNUMBER('Real results'!D181),ISNUMBER('Raw data'!G181),ISNUMBER('Raw data'!H181)),IF(SIGN('Raw data'!G181-'Raw data'!H181)=SIGN('Real results'!C181-'Real results'!D181),3+IF(AND('Raw data'!G181='Real results'!C181,'Raw data'!H181='Real results'!D181),2,0),0),0),0)</f>
        <v>0</v>
      </c>
      <c r="I186" s="29">
        <f>IFERROR(IF(AND(ISNUMBER('Real results'!C181),ISNUMBER('Real results'!D181),ISNUMBER('Raw data'!I181),ISNUMBER('Raw data'!J181)),IF(SIGN('Raw data'!I181-'Raw data'!J181)=SIGN('Real results'!C181-'Real results'!D181),3+IF(AND('Raw data'!I181='Real results'!C181,'Raw data'!J181='Real results'!D181),2,0),0),0),0)</f>
        <v>0</v>
      </c>
      <c r="K186" s="29">
        <f>IFERROR(IF(AND(ISNUMBER('Real results'!C181),ISNUMBER('Real results'!D181),ISNUMBER('Raw data'!K181),ISNUMBER('Raw data'!L181)),IF(SIGN('Raw data'!K181-'Raw data'!L181)=SIGN('Real results'!C181-'Real results'!D181),3+IF(AND('Raw data'!K181='Real results'!C181,'Raw data'!L181='Real results'!D181),2,0),0),0),0)</f>
        <v>0</v>
      </c>
      <c r="M186" s="29">
        <f>IFERROR(IF(AND(ISNUMBER('Real results'!C181),ISNUMBER('Real results'!D181),ISNUMBER('Raw data'!M181),ISNUMBER('Raw data'!N181)),IF(SIGN('Raw data'!M181-'Raw data'!N181)=SIGN('Real results'!C181-'Real results'!D181),3+IF(AND('Raw data'!M181='Real results'!C181,'Raw data'!N181='Real results'!D181),2,0),0),0),0)</f>
        <v>0</v>
      </c>
      <c r="O186" s="29">
        <f>IFERROR(IF(AND(ISNUMBER('Real results'!C181),ISNUMBER('Real results'!D181),ISNUMBER('Raw data'!O181),ISNUMBER('Raw data'!P181)),IF(SIGN('Raw data'!O181-'Raw data'!P181)=SIGN('Real results'!C181-'Real results'!D181),3+IF(AND('Raw data'!O181='Real results'!C181,'Raw data'!P181='Real results'!D181),2,0),0),0),0)</f>
        <v>0</v>
      </c>
      <c r="Q186" s="29">
        <f>IFERROR(IF(AND(ISNUMBER('Real results'!C181),ISNUMBER('Real results'!D181),ISNUMBER('Raw data'!Q181),ISNUMBER('Raw data'!R181)),IF(SIGN('Raw data'!Q181-'Raw data'!R181)=SIGN('Real results'!C181-'Real results'!D181),3+IF(AND('Raw data'!Q181='Real results'!C181,'Raw data'!R181='Real results'!D181),2,0),0),0),0)</f>
        <v>0</v>
      </c>
      <c r="S186" s="29">
        <f>IFERROR(IF(AND(ISNUMBER('Real results'!C181),ISNUMBER('Real results'!D181),ISNUMBER('Raw data'!S181),ISNUMBER('Raw data'!T181)),IF(SIGN('Raw data'!S181-'Raw data'!T181)=SIGN('Real results'!C181-'Real results'!D181),3+IF(AND('Raw data'!S181='Real results'!C181,'Raw data'!T181='Real results'!D181),2,0),0),0),0)</f>
        <v>0</v>
      </c>
      <c r="U186" s="29">
        <f>IFERROR(IF(AND(ISNUMBER('Real results'!C181),ISNUMBER('Real results'!D181),ISNUMBER('Raw data'!U181),ISNUMBER('Raw data'!V181)),IF(SIGN('Raw data'!U181-'Raw data'!V181)=SIGN('Real results'!C181-'Real results'!D181),3+IF(AND('Raw data'!U181='Real results'!C181,'Raw data'!V181='Real results'!D181),2,0),0),0),0)</f>
        <v>0</v>
      </c>
      <c r="W186" s="29">
        <f>IFERROR(IF(AND(ISNUMBER('Real results'!C181),ISNUMBER('Real results'!D181),ISNUMBER('Raw data'!W181),ISNUMBER('Raw data'!X181)),IF(SIGN('Raw data'!W181-'Raw data'!X181)=SIGN('Real results'!C181-'Real results'!D181),3+IF(AND('Raw data'!W181='Real results'!C181,'Raw data'!X181='Real results'!D181),2,0),0),0),0)</f>
        <v>0</v>
      </c>
      <c r="Y186" s="29">
        <f>IFERROR(IF(AND(ISNUMBER('Real results'!C181),ISNUMBER('Real results'!D181),ISNUMBER('Raw data'!Y181),ISNUMBER('Raw data'!Z181)),IF(SIGN('Raw data'!Y181-'Raw data'!Z181)=SIGN('Real results'!C181-'Real results'!D181),3+IF(AND('Raw data'!Y181='Real results'!C181,'Raw data'!Z181='Real results'!D181),2,0),0),0),0)</f>
        <v>0</v>
      </c>
      <c r="AA186" s="29">
        <f>IFERROR(IF(AND(ISNUMBER('Real results'!C181),ISNUMBER('Real results'!D181),ISNUMBER('Raw data'!AA181),ISNUMBER('Raw data'!AB181)),IF(SIGN('Raw data'!AA181-'Raw data'!AB181)=SIGN('Real results'!C181-'Real results'!D181),3+IF(AND('Raw data'!AA181='Real results'!C181,'Raw data'!AB181='Real results'!D181),2,0),0),0),0)</f>
        <v>0</v>
      </c>
      <c r="AC186" s="29">
        <f>IFERROR(IF(AND(ISNUMBER('Real results'!C181),ISNUMBER('Real results'!D181),ISNUMBER('Raw data'!AC181),ISNUMBER('Raw data'!AD181)),IF(SIGN('Raw data'!AC181-'Raw data'!AD181)=SIGN('Real results'!C181-'Real results'!D181),3+IF(AND('Raw data'!AC181='Real results'!C181,'Raw data'!AD181='Real results'!D181),2,0),0),0),0)</f>
        <v>0</v>
      </c>
      <c r="AE186" s="29">
        <f>IFERROR(IF(AND(ISNUMBER('Real results'!C181),ISNUMBER('Real results'!D181),ISNUMBER('Raw data'!AE181),ISNUMBER('Raw data'!AF181)),IF(SIGN('Raw data'!AE181-'Raw data'!AF181)=SIGN('Real results'!C181-'Real results'!D181),3+IF(AND('Raw data'!AE181='Real results'!C181,'Raw data'!AF181='Real results'!D181),2,0),0),0),0)</f>
        <v>0</v>
      </c>
      <c r="AG186" s="29">
        <f>IFERROR(IF(AND(ISNUMBER('Real results'!C181),ISNUMBER('Real results'!D181),ISNUMBER('Raw data'!AG181),ISNUMBER('Raw data'!AH181)),IF(SIGN('Raw data'!AG181-'Raw data'!AH181)=SIGN('Real results'!C181-'Real results'!D181),3+IF(AND('Raw data'!AG181='Real results'!C181,'Raw data'!AH181='Real results'!D181),2,0),0),0),0)</f>
        <v>0</v>
      </c>
      <c r="AI186" s="29">
        <f>IFERROR(IF(AND(ISNUMBER('Real results'!C181),ISNUMBER('Real results'!D181),ISNUMBER('Raw data'!AI181),ISNUMBER('Raw data'!AJ181)),IF(SIGN('Raw data'!AI181-'Raw data'!AJ181)=SIGN('Real results'!C181-'Real results'!D181),3+IF(AND('Raw data'!AI181='Real results'!C181,'Raw data'!AJ181='Real results'!D181),2,0),0),0),0)</f>
        <v>0</v>
      </c>
      <c r="AK186" s="29">
        <f>IFERROR(IF(AND(ISNUMBER('Real results'!C181),ISNUMBER('Real results'!D181),ISNUMBER('Raw data'!AK181),ISNUMBER('Raw data'!AL181)),IF(SIGN('Raw data'!AK181-'Raw data'!AL181)=SIGN('Real results'!C181-'Real results'!D181),3+IF(AND('Raw data'!AK181='Real results'!C181,'Raw data'!AL181='Real results'!D181),2,0),0),0),0)</f>
        <v>0</v>
      </c>
      <c r="AM186" s="29">
        <f>IFERROR(IF(AND(ISNUMBER('Real results'!C181),ISNUMBER('Real results'!D181),ISNUMBER('Raw data'!AM181),ISNUMBER('Raw data'!AN181)),IF(SIGN('Raw data'!AM181-'Raw data'!AN181)=SIGN('Real results'!C181-'Real results'!D181),3+IF(AND('Raw data'!AM181='Real results'!C181,'Raw data'!AN181='Real results'!D181),2,0),0),0),0)</f>
        <v>0</v>
      </c>
      <c r="AO186" s="29">
        <f>IFERROR(IF(AND(ISNUMBER('Real results'!C181),ISNUMBER('Real results'!D181),ISNUMBER('Raw data'!AO181),ISNUMBER('Raw data'!AP181)),IF(SIGN('Raw data'!AO181-'Raw data'!AP181)=SIGN('Real results'!C181-'Real results'!D181),3+IF(AND('Raw data'!AO181='Real results'!C181,'Raw data'!AP181='Real results'!D181),2,0),0),0),0)</f>
        <v>0</v>
      </c>
      <c r="AQ186" s="29">
        <f>IFERROR(IF(AND(ISNUMBER('Real results'!C181),ISNUMBER('Real results'!D181),ISNUMBER('Raw data'!AQ181),ISNUMBER('Raw data'!AR181)),IF(SIGN('Raw data'!AQ181-'Raw data'!AR181)=SIGN('Real results'!C181-'Real results'!D181),3+IF(AND('Raw data'!AQ181='Real results'!C181,'Raw data'!AR181='Real results'!D181),2,0),0),0),0)</f>
        <v>0</v>
      </c>
      <c r="AS186" s="29">
        <f>IFERROR(IF(AND(ISNUMBER('Real results'!C181),ISNUMBER('Real results'!D181),ISNUMBER('Raw data'!AS181),ISNUMBER('Raw data'!AT181)),IF(SIGN('Raw data'!AS181-'Raw data'!AT181)=SIGN('Real results'!C181-'Real results'!D181),3+IF(AND('Raw data'!AS181='Real results'!C181,'Raw data'!AT181='Real results'!D181),2,0),0),0),0)</f>
        <v>0</v>
      </c>
      <c r="AU186" s="29">
        <f>IFERROR(IF(AND(ISNUMBER('Real results'!C181),ISNUMBER('Real results'!D181),ISNUMBER('Raw data'!AU181),ISNUMBER('Raw data'!AV181)),IF(SIGN('Raw data'!AU181-'Raw data'!AV181)=SIGN('Real results'!C181-'Real results'!D181),3+IF(AND('Raw data'!AU181='Real results'!C181,'Raw data'!AV181='Real results'!D181),2,0),0),0),0)</f>
        <v>0</v>
      </c>
      <c r="AW186" s="29">
        <f>IFERROR(IF(AND(ISNUMBER('Real results'!C181),ISNUMBER('Real results'!D181),ISNUMBER('Raw data'!AW181),ISNUMBER('Raw data'!AX181)),IF(SIGN('Raw data'!AW181-'Raw data'!AX181)=SIGN('Real results'!C181-'Real results'!D181),3+IF(AND('Raw data'!AW181='Real results'!C181,'Raw data'!AX181='Real results'!D181),2,0),0),0),0)</f>
        <v>0</v>
      </c>
      <c r="AY186" s="29">
        <f>IFERROR(IF(AND(ISNUMBER('Real results'!C181),ISNUMBER('Real results'!D181),ISNUMBER('Raw data'!AY181),ISNUMBER('Raw data'!AZ181)),IF(SIGN('Raw data'!AY181-'Raw data'!AZ181)=SIGN('Real results'!C181-'Real results'!D181),3+IF(AND('Raw data'!AY181='Real results'!C181,'Raw data'!AZ181='Real results'!D181),2,0),0),0),0)</f>
        <v>0</v>
      </c>
      <c r="BA186" s="29">
        <f>IFERROR(IF(AND(ISNUMBER('Real results'!C181),ISNUMBER('Real results'!D181),ISNUMBER('Raw data'!BA181),ISNUMBER('Raw data'!BB181)),IF(SIGN('Raw data'!BA181-'Raw data'!BB181)=SIGN('Real results'!C181-'Real results'!D181),3+IF(AND('Raw data'!BA181='Real results'!C181,'Raw data'!BB181='Real results'!D181),2,0),0),0),0)</f>
        <v>0</v>
      </c>
      <c r="BC186" s="29">
        <f>IFERROR(IF(AND(ISNUMBER('Real results'!C181),ISNUMBER('Real results'!D181),ISNUMBER('Raw data'!BC181),ISNUMBER('Raw data'!BD181)),IF(SIGN('Raw data'!BC181-'Raw data'!BD181)=SIGN('Real results'!C181-'Real results'!D181),3+IF(AND('Raw data'!BC181='Real results'!C181,'Raw data'!BD181='Real results'!D181),2,0),0),0),0)</f>
        <v>0</v>
      </c>
      <c r="BE186" s="29">
        <f>IFERROR(IF(AND(ISNUMBER('Real results'!C181),ISNUMBER('Real results'!D181),ISNUMBER('Raw data'!BE181),ISNUMBER('Raw data'!BF181)),IF(SIGN('Raw data'!BE181-'Raw data'!BF181)=SIGN('Real results'!C181-'Real results'!D181),3+IF(AND('Raw data'!BE181='Real results'!C181,'Raw data'!BF181='Real results'!D181),2,0),0),0),0)</f>
        <v>0</v>
      </c>
      <c r="BG186" s="29">
        <f>IFERROR(IF(AND(ISNUMBER('Real results'!C181),ISNUMBER('Real results'!D181),ISNUMBER('Raw data'!BG181),ISNUMBER('Raw data'!BH181)),IF(SIGN('Raw data'!BG181-'Raw data'!BH181)=SIGN('Real results'!C181-'Real results'!D181),3+IF(AND('Raw data'!BG181='Real results'!C181,'Raw data'!BH181='Real results'!D181),2,0),0),0),0)</f>
        <v>0</v>
      </c>
      <c r="BI186" s="29">
        <f>IFERROR(IF(AND(ISNUMBER('Real results'!C181),ISNUMBER('Real results'!D181),ISNUMBER('Raw data'!BI181),ISNUMBER('Raw data'!BJ181)),IF(SIGN('Raw data'!BI181-'Raw data'!BJ181)=SIGN('Real results'!C181-'Real results'!D181),3+IF(AND('Raw data'!BI181='Real results'!C181,'Raw data'!BJ181='Real results'!D181),2,0),0),0),0)</f>
        <v>0</v>
      </c>
    </row>
    <row r="187" ht="18.0" customHeight="1">
      <c r="A187" s="1"/>
      <c r="B187" s="13" t="s">
        <v>468</v>
      </c>
      <c r="C187" s="29">
        <f>IFERROR(IF(AND('Real results'!C182&lt;&gt;"",'Raw data'!C182&lt;&gt;"",UPPER(TRIM('Real results'!C182))=UPPER(TRIM('Raw data'!C182))),1,0),0)</f>
        <v>0</v>
      </c>
      <c r="E187" s="29">
        <f>IFERROR(IF(AND('Real results'!C182&lt;&gt;"",'Raw data'!E182&lt;&gt;"",UPPER(TRIM('Real results'!C182))=UPPER(TRIM('Raw data'!E182))),1,0),0)</f>
        <v>0</v>
      </c>
      <c r="G187" s="29">
        <f>IFERROR(IF(AND('Real results'!C182&lt;&gt;"",'Raw data'!G182&lt;&gt;"",UPPER(TRIM('Real results'!C182))=UPPER(TRIM('Raw data'!G182))),1,0),0)</f>
        <v>0</v>
      </c>
      <c r="I187" s="29">
        <f>IFERROR(IF(AND('Real results'!C182&lt;&gt;"",'Raw data'!I182&lt;&gt;"",UPPER(TRIM('Real results'!C182))=UPPER(TRIM('Raw data'!I182))),1,0),0)</f>
        <v>0</v>
      </c>
      <c r="K187" s="29">
        <f>IFERROR(IF(AND('Real results'!C182&lt;&gt;"",'Raw data'!K182&lt;&gt;"",UPPER(TRIM('Real results'!C182))=UPPER(TRIM('Raw data'!K182))),1,0),0)</f>
        <v>0</v>
      </c>
      <c r="M187" s="29">
        <f>IFERROR(IF(AND('Real results'!C182&lt;&gt;"",'Raw data'!M182&lt;&gt;"",UPPER(TRIM('Real results'!C182))=UPPER(TRIM('Raw data'!M182))),1,0),0)</f>
        <v>0</v>
      </c>
      <c r="O187" s="29">
        <f>IFERROR(IF(AND('Real results'!C182&lt;&gt;"",'Raw data'!O182&lt;&gt;"",UPPER(TRIM('Real results'!C182))=UPPER(TRIM('Raw data'!O182))),1,0),0)</f>
        <v>0</v>
      </c>
      <c r="Q187" s="29">
        <f>IFERROR(IF(AND('Real results'!C182&lt;&gt;"",'Raw data'!Q182&lt;&gt;"",UPPER(TRIM('Real results'!C182))=UPPER(TRIM('Raw data'!Q182))),1,0),0)</f>
        <v>0</v>
      </c>
      <c r="S187" s="29">
        <f>IFERROR(IF(AND('Real results'!C182&lt;&gt;"",'Raw data'!S182&lt;&gt;"",UPPER(TRIM('Real results'!C182))=UPPER(TRIM('Raw data'!S182))),1,0),0)</f>
        <v>0</v>
      </c>
      <c r="U187" s="29">
        <f>IFERROR(IF(AND('Real results'!C182&lt;&gt;"",'Raw data'!U182&lt;&gt;"",UPPER(TRIM('Real results'!C182))=UPPER(TRIM('Raw data'!U182))),1,0),0)</f>
        <v>0</v>
      </c>
      <c r="W187" s="29">
        <f>IFERROR(IF(AND('Real results'!C182&lt;&gt;"",'Raw data'!W182&lt;&gt;"",UPPER(TRIM('Real results'!C182))=UPPER(TRIM('Raw data'!W182))),1,0),0)</f>
        <v>0</v>
      </c>
      <c r="Y187" s="29">
        <f>IFERROR(IF(AND('Real results'!C182&lt;&gt;"",'Raw data'!Y182&lt;&gt;"",UPPER(TRIM('Real results'!C182))=UPPER(TRIM('Raw data'!Y182))),1,0),0)</f>
        <v>0</v>
      </c>
      <c r="AA187" s="29">
        <f>IFERROR(IF(AND('Real results'!C182&lt;&gt;"",'Raw data'!AA182&lt;&gt;"",UPPER(TRIM('Real results'!C182))=UPPER(TRIM('Raw data'!AA182))),1,0),0)</f>
        <v>0</v>
      </c>
      <c r="AC187" s="29">
        <f>IFERROR(IF(AND('Real results'!C182&lt;&gt;"",'Raw data'!AC182&lt;&gt;"",UPPER(TRIM('Real results'!C182))=UPPER(TRIM('Raw data'!AC182))),1,0),0)</f>
        <v>0</v>
      </c>
      <c r="AE187" s="29">
        <f>IFERROR(IF(AND('Real results'!C182&lt;&gt;"",'Raw data'!AE182&lt;&gt;"",UPPER(TRIM('Real results'!C182))=UPPER(TRIM('Raw data'!AE182))),1,0),0)</f>
        <v>0</v>
      </c>
      <c r="AG187" s="29">
        <f>IFERROR(IF(AND('Real results'!C182&lt;&gt;"",'Raw data'!AG182&lt;&gt;"",UPPER(TRIM('Real results'!C182))=UPPER(TRIM('Raw data'!AG182))),1,0),0)</f>
        <v>0</v>
      </c>
      <c r="AI187" s="29">
        <f>IFERROR(IF(AND('Real results'!C182&lt;&gt;"",'Raw data'!AI182&lt;&gt;"",UPPER(TRIM('Real results'!C182))=UPPER(TRIM('Raw data'!AI182))),1,0),0)</f>
        <v>0</v>
      </c>
      <c r="AK187" s="29">
        <f>IFERROR(IF(AND('Real results'!C182&lt;&gt;"",'Raw data'!AK182&lt;&gt;"",UPPER(TRIM('Real results'!C182))=UPPER(TRIM('Raw data'!AK182))),1,0),0)</f>
        <v>0</v>
      </c>
      <c r="AM187" s="29">
        <f>IFERROR(IF(AND('Real results'!C182&lt;&gt;"",'Raw data'!AM182&lt;&gt;"",UPPER(TRIM('Real results'!C182))=UPPER(TRIM('Raw data'!AM182))),1,0),0)</f>
        <v>0</v>
      </c>
      <c r="AO187" s="29">
        <f>IFERROR(IF(AND('Real results'!C182&lt;&gt;"",'Raw data'!AO182&lt;&gt;"",UPPER(TRIM('Real results'!C182))=UPPER(TRIM('Raw data'!AO182))),1,0),0)</f>
        <v>0</v>
      </c>
      <c r="AQ187" s="29">
        <f>IFERROR(IF(AND('Real results'!C182&lt;&gt;"",'Raw data'!AQ182&lt;&gt;"",UPPER(TRIM('Real results'!C182))=UPPER(TRIM('Raw data'!AQ182))),1,0),0)</f>
        <v>0</v>
      </c>
      <c r="AS187" s="29">
        <f>IFERROR(IF(AND('Real results'!C182&lt;&gt;"",'Raw data'!AS182&lt;&gt;"",UPPER(TRIM('Real results'!C182))=UPPER(TRIM('Raw data'!AS182))),1,0),0)</f>
        <v>0</v>
      </c>
      <c r="AU187" s="29">
        <f>IFERROR(IF(AND('Real results'!C182&lt;&gt;"",'Raw data'!AU182&lt;&gt;"",UPPER(TRIM('Real results'!C182))=UPPER(TRIM('Raw data'!AU182))),1,0),0)</f>
        <v>0</v>
      </c>
      <c r="AW187" s="29">
        <f>IFERROR(IF(AND('Real results'!C182&lt;&gt;"",'Raw data'!AW182&lt;&gt;"",UPPER(TRIM('Real results'!C182))=UPPER(TRIM('Raw data'!AW182))),1,0),0)</f>
        <v>0</v>
      </c>
      <c r="AY187" s="29">
        <f>IFERROR(IF(AND('Real results'!C182&lt;&gt;"",'Raw data'!AY182&lt;&gt;"",UPPER(TRIM('Real results'!C182))=UPPER(TRIM('Raw data'!AY182))),1,0),0)</f>
        <v>0</v>
      </c>
      <c r="BA187" s="29">
        <f>IFERROR(IF(AND('Real results'!C182&lt;&gt;"",'Raw data'!BA182&lt;&gt;"",UPPER(TRIM('Real results'!C182))=UPPER(TRIM('Raw data'!BA182))),1,0),0)</f>
        <v>0</v>
      </c>
      <c r="BC187" s="29">
        <f>IFERROR(IF(AND('Real results'!C182&lt;&gt;"",'Raw data'!BC182&lt;&gt;"",UPPER(TRIM('Real results'!C182))=UPPER(TRIM('Raw data'!BC182))),1,0),0)</f>
        <v>0</v>
      </c>
      <c r="BE187" s="29">
        <f>IFERROR(IF(AND('Real results'!C182&lt;&gt;"",'Raw data'!BE182&lt;&gt;"",UPPER(TRIM('Real results'!C182))=UPPER(TRIM('Raw data'!BE182))),1,0),0)</f>
        <v>0</v>
      </c>
      <c r="BG187" s="29">
        <f>IFERROR(IF(AND('Real results'!C182&lt;&gt;"",'Raw data'!BG182&lt;&gt;"",UPPER(TRIM('Real results'!C182))=UPPER(TRIM('Raw data'!BG182))),1,0),0)</f>
        <v>0</v>
      </c>
      <c r="BI187" s="29">
        <f>IFERROR(IF(AND('Real results'!C182&lt;&gt;"",'Raw data'!BI182&lt;&gt;"",UPPER(TRIM('Real results'!C182))=UPPER(TRIM('Raw data'!BI182))),1,0),0)</f>
        <v>0</v>
      </c>
    </row>
    <row r="188" ht="18.0" customHeight="1">
      <c r="A188" s="1"/>
      <c r="B188" s="13" t="s">
        <v>469</v>
      </c>
      <c r="C188" s="29">
        <f>IFERROR(IF(AND('Real results'!C183&lt;&gt;"",'Raw data'!C183&lt;&gt;"",UPPER(TRIM('Real results'!C183))=UPPER(TRIM('Raw data'!C183))),2,0),0)</f>
        <v>0</v>
      </c>
      <c r="E188" s="29">
        <f>IFERROR(IF(AND('Real results'!C183&lt;&gt;"",'Raw data'!E183&lt;&gt;"",UPPER(TRIM('Real results'!C183))=UPPER(TRIM('Raw data'!E183))),2,0),0)</f>
        <v>0</v>
      </c>
      <c r="G188" s="29">
        <f>IFERROR(IF(AND('Real results'!C183&lt;&gt;"",'Raw data'!G183&lt;&gt;"",UPPER(TRIM('Real results'!C183))=UPPER(TRIM('Raw data'!G183))),2,0),0)</f>
        <v>0</v>
      </c>
      <c r="I188" s="29">
        <f>IFERROR(IF(AND('Real results'!C183&lt;&gt;"",'Raw data'!I183&lt;&gt;"",UPPER(TRIM('Real results'!C183))=UPPER(TRIM('Raw data'!I183))),2,0),0)</f>
        <v>0</v>
      </c>
      <c r="K188" s="29">
        <f>IFERROR(IF(AND('Real results'!C183&lt;&gt;"",'Raw data'!K183&lt;&gt;"",UPPER(TRIM('Real results'!C183))=UPPER(TRIM('Raw data'!K183))),2,0),0)</f>
        <v>0</v>
      </c>
      <c r="M188" s="29">
        <f>IFERROR(IF(AND('Real results'!C183&lt;&gt;"",'Raw data'!M183&lt;&gt;"",UPPER(TRIM('Real results'!C183))=UPPER(TRIM('Raw data'!M183))),2,0),0)</f>
        <v>0</v>
      </c>
      <c r="O188" s="29">
        <f>IFERROR(IF(AND('Real results'!C183&lt;&gt;"",'Raw data'!O183&lt;&gt;"",UPPER(TRIM('Real results'!C183))=UPPER(TRIM('Raw data'!O183))),2,0),0)</f>
        <v>0</v>
      </c>
      <c r="Q188" s="29">
        <f>IFERROR(IF(AND('Real results'!C183&lt;&gt;"",'Raw data'!Q183&lt;&gt;"",UPPER(TRIM('Real results'!C183))=UPPER(TRIM('Raw data'!Q183))),2,0),0)</f>
        <v>0</v>
      </c>
      <c r="S188" s="29">
        <f>IFERROR(IF(AND('Real results'!C183&lt;&gt;"",'Raw data'!S183&lt;&gt;"",UPPER(TRIM('Real results'!C183))=UPPER(TRIM('Raw data'!S183))),2,0),0)</f>
        <v>0</v>
      </c>
      <c r="U188" s="29">
        <f>IFERROR(IF(AND('Real results'!C183&lt;&gt;"",'Raw data'!U183&lt;&gt;"",UPPER(TRIM('Real results'!C183))=UPPER(TRIM('Raw data'!U183))),2,0),0)</f>
        <v>0</v>
      </c>
      <c r="W188" s="29">
        <f>IFERROR(IF(AND('Real results'!C183&lt;&gt;"",'Raw data'!W183&lt;&gt;"",UPPER(TRIM('Real results'!C183))=UPPER(TRIM('Raw data'!W183))),2,0),0)</f>
        <v>0</v>
      </c>
      <c r="Y188" s="29">
        <f>IFERROR(IF(AND('Real results'!C183&lt;&gt;"",'Raw data'!Y183&lt;&gt;"",UPPER(TRIM('Real results'!C183))=UPPER(TRIM('Raw data'!Y183))),2,0),0)</f>
        <v>0</v>
      </c>
      <c r="AA188" s="29">
        <f>IFERROR(IF(AND('Real results'!C183&lt;&gt;"",'Raw data'!AA183&lt;&gt;"",UPPER(TRIM('Real results'!C183))=UPPER(TRIM('Raw data'!AA183))),2,0),0)</f>
        <v>0</v>
      </c>
      <c r="AC188" s="29">
        <f>IFERROR(IF(AND('Real results'!C183&lt;&gt;"",'Raw data'!AC183&lt;&gt;"",UPPER(TRIM('Real results'!C183))=UPPER(TRIM('Raw data'!AC183))),2,0),0)</f>
        <v>0</v>
      </c>
      <c r="AE188" s="29">
        <f>IFERROR(IF(AND('Real results'!C183&lt;&gt;"",'Raw data'!AE183&lt;&gt;"",UPPER(TRIM('Real results'!C183))=UPPER(TRIM('Raw data'!AE183))),2,0),0)</f>
        <v>0</v>
      </c>
      <c r="AG188" s="29">
        <f>IFERROR(IF(AND('Real results'!C183&lt;&gt;"",'Raw data'!AG183&lt;&gt;"",UPPER(TRIM('Real results'!C183))=UPPER(TRIM('Raw data'!AG183))),2,0),0)</f>
        <v>0</v>
      </c>
      <c r="AI188" s="29">
        <f>IFERROR(IF(AND('Real results'!C183&lt;&gt;"",'Raw data'!AI183&lt;&gt;"",UPPER(TRIM('Real results'!C183))=UPPER(TRIM('Raw data'!AI183))),2,0),0)</f>
        <v>0</v>
      </c>
      <c r="AK188" s="29">
        <f>IFERROR(IF(AND('Real results'!C183&lt;&gt;"",'Raw data'!AK183&lt;&gt;"",UPPER(TRIM('Real results'!C183))=UPPER(TRIM('Raw data'!AK183))),2,0),0)</f>
        <v>0</v>
      </c>
      <c r="AM188" s="29">
        <f>IFERROR(IF(AND('Real results'!C183&lt;&gt;"",'Raw data'!AM183&lt;&gt;"",UPPER(TRIM('Real results'!C183))=UPPER(TRIM('Raw data'!AM183))),2,0),0)</f>
        <v>0</v>
      </c>
      <c r="AO188" s="29">
        <f>IFERROR(IF(AND('Real results'!C183&lt;&gt;"",'Raw data'!AO183&lt;&gt;"",UPPER(TRIM('Real results'!C183))=UPPER(TRIM('Raw data'!AO183))),2,0),0)</f>
        <v>0</v>
      </c>
      <c r="AQ188" s="29">
        <f>IFERROR(IF(AND('Real results'!C183&lt;&gt;"",'Raw data'!AQ183&lt;&gt;"",UPPER(TRIM('Real results'!C183))=UPPER(TRIM('Raw data'!AQ183))),2,0),0)</f>
        <v>0</v>
      </c>
      <c r="AS188" s="29">
        <f>IFERROR(IF(AND('Real results'!C183&lt;&gt;"",'Raw data'!AS183&lt;&gt;"",UPPER(TRIM('Real results'!C183))=UPPER(TRIM('Raw data'!AS183))),2,0),0)</f>
        <v>0</v>
      </c>
      <c r="AU188" s="29">
        <f>IFERROR(IF(AND('Real results'!C183&lt;&gt;"",'Raw data'!AU183&lt;&gt;"",UPPER(TRIM('Real results'!C183))=UPPER(TRIM('Raw data'!AU183))),2,0),0)</f>
        <v>0</v>
      </c>
      <c r="AW188" s="29">
        <f>IFERROR(IF(AND('Real results'!C183&lt;&gt;"",'Raw data'!AW183&lt;&gt;"",UPPER(TRIM('Real results'!C183))=UPPER(TRIM('Raw data'!AW183))),2,0),0)</f>
        <v>0</v>
      </c>
      <c r="AY188" s="29">
        <f>IFERROR(IF(AND('Real results'!C183&lt;&gt;"",'Raw data'!AY183&lt;&gt;"",UPPER(TRIM('Real results'!C183))=UPPER(TRIM('Raw data'!AY183))),2,0),0)</f>
        <v>0</v>
      </c>
      <c r="BA188" s="29">
        <f>IFERROR(IF(AND('Real results'!C183&lt;&gt;"",'Raw data'!BA183&lt;&gt;"",UPPER(TRIM('Real results'!C183))=UPPER(TRIM('Raw data'!BA183))),2,0),0)</f>
        <v>0</v>
      </c>
      <c r="BC188" s="29">
        <f>IFERROR(IF(AND('Real results'!C183&lt;&gt;"",'Raw data'!BC183&lt;&gt;"",UPPER(TRIM('Real results'!C183))=UPPER(TRIM('Raw data'!BC183))),2,0),0)</f>
        <v>0</v>
      </c>
      <c r="BE188" s="29">
        <f>IFERROR(IF(AND('Real results'!C183&lt;&gt;"",'Raw data'!BE183&lt;&gt;"",UPPER(TRIM('Real results'!C183))=UPPER(TRIM('Raw data'!BE183))),2,0),0)</f>
        <v>0</v>
      </c>
      <c r="BG188" s="29">
        <f>IFERROR(IF(AND('Real results'!C183&lt;&gt;"",'Raw data'!BG183&lt;&gt;"",UPPER(TRIM('Real results'!C183))=UPPER(TRIM('Raw data'!BG183))),2,0),0)</f>
        <v>0</v>
      </c>
      <c r="BI188" s="29">
        <f>IFERROR(IF(AND('Real results'!C183&lt;&gt;"",'Raw data'!BI183&lt;&gt;"",UPPER(TRIM('Real results'!C183))=UPPER(TRIM('Raw data'!BI183))),2,0),0)</f>
        <v>0</v>
      </c>
    </row>
    <row r="189" ht="18.0" customHeight="1">
      <c r="A189" s="1"/>
      <c r="B189" s="13" t="s">
        <v>470</v>
      </c>
      <c r="C189" s="29">
        <f>IFERROR(IF(AND(ISNUMBER('Real results'!C184),ISNUMBER('Real results'!D184),ISNUMBER('Raw data'!C184),ISNUMBER('Raw data'!D184)),IF(SIGN('Raw data'!C184-'Raw data'!D184)=SIGN('Real results'!C184-'Real results'!D184),3+IF(AND('Raw data'!C184='Real results'!C184,'Raw data'!D184='Real results'!D184),2,0),0),0),0)</f>
        <v>0</v>
      </c>
      <c r="E189" s="29">
        <f>IFERROR(IF(AND(ISNUMBER('Real results'!C184),ISNUMBER('Real results'!D184),ISNUMBER('Raw data'!E184),ISNUMBER('Raw data'!F184)),IF(SIGN('Raw data'!E184-'Raw data'!F184)=SIGN('Real results'!C184-'Real results'!D184),3+IF(AND('Raw data'!E184='Real results'!C184,'Raw data'!F184='Real results'!D184),2,0),0),0),0)</f>
        <v>0</v>
      </c>
      <c r="G189" s="29">
        <f>IFERROR(IF(AND(ISNUMBER('Real results'!C184),ISNUMBER('Real results'!D184),ISNUMBER('Raw data'!G184),ISNUMBER('Raw data'!H184)),IF(SIGN('Raw data'!G184-'Raw data'!H184)=SIGN('Real results'!C184-'Real results'!D184),3+IF(AND('Raw data'!G184='Real results'!C184,'Raw data'!H184='Real results'!D184),2,0),0),0),0)</f>
        <v>0</v>
      </c>
      <c r="I189" s="29">
        <f>IFERROR(IF(AND(ISNUMBER('Real results'!C184),ISNUMBER('Real results'!D184),ISNUMBER('Raw data'!I184),ISNUMBER('Raw data'!J184)),IF(SIGN('Raw data'!I184-'Raw data'!J184)=SIGN('Real results'!C184-'Real results'!D184),3+IF(AND('Raw data'!I184='Real results'!C184,'Raw data'!J184='Real results'!D184),2,0),0),0),0)</f>
        <v>0</v>
      </c>
      <c r="K189" s="29">
        <f>IFERROR(IF(AND(ISNUMBER('Real results'!C184),ISNUMBER('Real results'!D184),ISNUMBER('Raw data'!K184),ISNUMBER('Raw data'!L184)),IF(SIGN('Raw data'!K184-'Raw data'!L184)=SIGN('Real results'!C184-'Real results'!D184),3+IF(AND('Raw data'!K184='Real results'!C184,'Raw data'!L184='Real results'!D184),2,0),0),0),0)</f>
        <v>0</v>
      </c>
      <c r="M189" s="29">
        <f>IFERROR(IF(AND(ISNUMBER('Real results'!C184),ISNUMBER('Real results'!D184),ISNUMBER('Raw data'!M184),ISNUMBER('Raw data'!N184)),IF(SIGN('Raw data'!M184-'Raw data'!N184)=SIGN('Real results'!C184-'Real results'!D184),3+IF(AND('Raw data'!M184='Real results'!C184,'Raw data'!N184='Real results'!D184),2,0),0),0),0)</f>
        <v>0</v>
      </c>
      <c r="O189" s="29">
        <f>IFERROR(IF(AND(ISNUMBER('Real results'!C184),ISNUMBER('Real results'!D184),ISNUMBER('Raw data'!O184),ISNUMBER('Raw data'!P184)),IF(SIGN('Raw data'!O184-'Raw data'!P184)=SIGN('Real results'!C184-'Real results'!D184),3+IF(AND('Raw data'!O184='Real results'!C184,'Raw data'!P184='Real results'!D184),2,0),0),0),0)</f>
        <v>0</v>
      </c>
      <c r="Q189" s="29">
        <f>IFERROR(IF(AND(ISNUMBER('Real results'!C184),ISNUMBER('Real results'!D184),ISNUMBER('Raw data'!Q184),ISNUMBER('Raw data'!R184)),IF(SIGN('Raw data'!Q184-'Raw data'!R184)=SIGN('Real results'!C184-'Real results'!D184),3+IF(AND('Raw data'!Q184='Real results'!C184,'Raw data'!R184='Real results'!D184),2,0),0),0),0)</f>
        <v>0</v>
      </c>
      <c r="S189" s="29">
        <f>IFERROR(IF(AND(ISNUMBER('Real results'!C184),ISNUMBER('Real results'!D184),ISNUMBER('Raw data'!S184),ISNUMBER('Raw data'!T184)),IF(SIGN('Raw data'!S184-'Raw data'!T184)=SIGN('Real results'!C184-'Real results'!D184),3+IF(AND('Raw data'!S184='Real results'!C184,'Raw data'!T184='Real results'!D184),2,0),0),0),0)</f>
        <v>0</v>
      </c>
      <c r="U189" s="29">
        <f>IFERROR(IF(AND(ISNUMBER('Real results'!C184),ISNUMBER('Real results'!D184),ISNUMBER('Raw data'!U184),ISNUMBER('Raw data'!V184)),IF(SIGN('Raw data'!U184-'Raw data'!V184)=SIGN('Real results'!C184-'Real results'!D184),3+IF(AND('Raw data'!U184='Real results'!C184,'Raw data'!V184='Real results'!D184),2,0),0),0),0)</f>
        <v>0</v>
      </c>
      <c r="W189" s="29">
        <f>IFERROR(IF(AND(ISNUMBER('Real results'!C184),ISNUMBER('Real results'!D184),ISNUMBER('Raw data'!W184),ISNUMBER('Raw data'!X184)),IF(SIGN('Raw data'!W184-'Raw data'!X184)=SIGN('Real results'!C184-'Real results'!D184),3+IF(AND('Raw data'!W184='Real results'!C184,'Raw data'!X184='Real results'!D184),2,0),0),0),0)</f>
        <v>0</v>
      </c>
      <c r="Y189" s="29">
        <f>IFERROR(IF(AND(ISNUMBER('Real results'!C184),ISNUMBER('Real results'!D184),ISNUMBER('Raw data'!Y184),ISNUMBER('Raw data'!Z184)),IF(SIGN('Raw data'!Y184-'Raw data'!Z184)=SIGN('Real results'!C184-'Real results'!D184),3+IF(AND('Raw data'!Y184='Real results'!C184,'Raw data'!Z184='Real results'!D184),2,0),0),0),0)</f>
        <v>0</v>
      </c>
      <c r="AA189" s="29">
        <f>IFERROR(IF(AND(ISNUMBER('Real results'!C184),ISNUMBER('Real results'!D184),ISNUMBER('Raw data'!AA184),ISNUMBER('Raw data'!AB184)),IF(SIGN('Raw data'!AA184-'Raw data'!AB184)=SIGN('Real results'!C184-'Real results'!D184),3+IF(AND('Raw data'!AA184='Real results'!C184,'Raw data'!AB184='Real results'!D184),2,0),0),0),0)</f>
        <v>0</v>
      </c>
      <c r="AC189" s="29">
        <f>IFERROR(IF(AND(ISNUMBER('Real results'!C184),ISNUMBER('Real results'!D184),ISNUMBER('Raw data'!AC184),ISNUMBER('Raw data'!AD184)),IF(SIGN('Raw data'!AC184-'Raw data'!AD184)=SIGN('Real results'!C184-'Real results'!D184),3+IF(AND('Raw data'!AC184='Real results'!C184,'Raw data'!AD184='Real results'!D184),2,0),0),0),0)</f>
        <v>0</v>
      </c>
      <c r="AE189" s="29">
        <f>IFERROR(IF(AND(ISNUMBER('Real results'!C184),ISNUMBER('Real results'!D184),ISNUMBER('Raw data'!AE184),ISNUMBER('Raw data'!AF184)),IF(SIGN('Raw data'!AE184-'Raw data'!AF184)=SIGN('Real results'!C184-'Real results'!D184),3+IF(AND('Raw data'!AE184='Real results'!C184,'Raw data'!AF184='Real results'!D184),2,0),0),0),0)</f>
        <v>0</v>
      </c>
      <c r="AG189" s="29">
        <f>IFERROR(IF(AND(ISNUMBER('Real results'!C184),ISNUMBER('Real results'!D184),ISNUMBER('Raw data'!AG184),ISNUMBER('Raw data'!AH184)),IF(SIGN('Raw data'!AG184-'Raw data'!AH184)=SIGN('Real results'!C184-'Real results'!D184),3+IF(AND('Raw data'!AG184='Real results'!C184,'Raw data'!AH184='Real results'!D184),2,0),0),0),0)</f>
        <v>0</v>
      </c>
      <c r="AI189" s="29">
        <f>IFERROR(IF(AND(ISNUMBER('Real results'!C184),ISNUMBER('Real results'!D184),ISNUMBER('Raw data'!AI184),ISNUMBER('Raw data'!AJ184)),IF(SIGN('Raw data'!AI184-'Raw data'!AJ184)=SIGN('Real results'!C184-'Real results'!D184),3+IF(AND('Raw data'!AI184='Real results'!C184,'Raw data'!AJ184='Real results'!D184),2,0),0),0),0)</f>
        <v>0</v>
      </c>
      <c r="AK189" s="29">
        <f>IFERROR(IF(AND(ISNUMBER('Real results'!C184),ISNUMBER('Real results'!D184),ISNUMBER('Raw data'!AK184),ISNUMBER('Raw data'!AL184)),IF(SIGN('Raw data'!AK184-'Raw data'!AL184)=SIGN('Real results'!C184-'Real results'!D184),3+IF(AND('Raw data'!AK184='Real results'!C184,'Raw data'!AL184='Real results'!D184),2,0),0),0),0)</f>
        <v>0</v>
      </c>
      <c r="AM189" s="29">
        <f>IFERROR(IF(AND(ISNUMBER('Real results'!C184),ISNUMBER('Real results'!D184),ISNUMBER('Raw data'!AM184),ISNUMBER('Raw data'!AN184)),IF(SIGN('Raw data'!AM184-'Raw data'!AN184)=SIGN('Real results'!C184-'Real results'!D184),3+IF(AND('Raw data'!AM184='Real results'!C184,'Raw data'!AN184='Real results'!D184),2,0),0),0),0)</f>
        <v>0</v>
      </c>
      <c r="AO189" s="29">
        <f>IFERROR(IF(AND(ISNUMBER('Real results'!C184),ISNUMBER('Real results'!D184),ISNUMBER('Raw data'!AO184),ISNUMBER('Raw data'!AP184)),IF(SIGN('Raw data'!AO184-'Raw data'!AP184)=SIGN('Real results'!C184-'Real results'!D184),3+IF(AND('Raw data'!AO184='Real results'!C184,'Raw data'!AP184='Real results'!D184),2,0),0),0),0)</f>
        <v>0</v>
      </c>
      <c r="AQ189" s="29">
        <f>IFERROR(IF(AND(ISNUMBER('Real results'!C184),ISNUMBER('Real results'!D184),ISNUMBER('Raw data'!AQ184),ISNUMBER('Raw data'!AR184)),IF(SIGN('Raw data'!AQ184-'Raw data'!AR184)=SIGN('Real results'!C184-'Real results'!D184),3+IF(AND('Raw data'!AQ184='Real results'!C184,'Raw data'!AR184='Real results'!D184),2,0),0),0),0)</f>
        <v>0</v>
      </c>
      <c r="AS189" s="29">
        <f>IFERROR(IF(AND(ISNUMBER('Real results'!C184),ISNUMBER('Real results'!D184),ISNUMBER('Raw data'!AS184),ISNUMBER('Raw data'!AT184)),IF(SIGN('Raw data'!AS184-'Raw data'!AT184)=SIGN('Real results'!C184-'Real results'!D184),3+IF(AND('Raw data'!AS184='Real results'!C184,'Raw data'!AT184='Real results'!D184),2,0),0),0),0)</f>
        <v>0</v>
      </c>
      <c r="AU189" s="29">
        <f>IFERROR(IF(AND(ISNUMBER('Real results'!C184),ISNUMBER('Real results'!D184),ISNUMBER('Raw data'!AU184),ISNUMBER('Raw data'!AV184)),IF(SIGN('Raw data'!AU184-'Raw data'!AV184)=SIGN('Real results'!C184-'Real results'!D184),3+IF(AND('Raw data'!AU184='Real results'!C184,'Raw data'!AV184='Real results'!D184),2,0),0),0),0)</f>
        <v>0</v>
      </c>
      <c r="AW189" s="29">
        <f>IFERROR(IF(AND(ISNUMBER('Real results'!C184),ISNUMBER('Real results'!D184),ISNUMBER('Raw data'!AW184),ISNUMBER('Raw data'!AX184)),IF(SIGN('Raw data'!AW184-'Raw data'!AX184)=SIGN('Real results'!C184-'Real results'!D184),3+IF(AND('Raw data'!AW184='Real results'!C184,'Raw data'!AX184='Real results'!D184),2,0),0),0),0)</f>
        <v>0</v>
      </c>
      <c r="AY189" s="29">
        <f>IFERROR(IF(AND(ISNUMBER('Real results'!C184),ISNUMBER('Real results'!D184),ISNUMBER('Raw data'!AY184),ISNUMBER('Raw data'!AZ184)),IF(SIGN('Raw data'!AY184-'Raw data'!AZ184)=SIGN('Real results'!C184-'Real results'!D184),3+IF(AND('Raw data'!AY184='Real results'!C184,'Raw data'!AZ184='Real results'!D184),2,0),0),0),0)</f>
        <v>0</v>
      </c>
      <c r="BA189" s="29">
        <f>IFERROR(IF(AND(ISNUMBER('Real results'!C184),ISNUMBER('Real results'!D184),ISNUMBER('Raw data'!BA184),ISNUMBER('Raw data'!BB184)),IF(SIGN('Raw data'!BA184-'Raw data'!BB184)=SIGN('Real results'!C184-'Real results'!D184),3+IF(AND('Raw data'!BA184='Real results'!C184,'Raw data'!BB184='Real results'!D184),2,0),0),0),0)</f>
        <v>0</v>
      </c>
      <c r="BC189" s="29">
        <f>IFERROR(IF(AND(ISNUMBER('Real results'!C184),ISNUMBER('Real results'!D184),ISNUMBER('Raw data'!BC184),ISNUMBER('Raw data'!BD184)),IF(SIGN('Raw data'!BC184-'Raw data'!BD184)=SIGN('Real results'!C184-'Real results'!D184),3+IF(AND('Raw data'!BC184='Real results'!C184,'Raw data'!BD184='Real results'!D184),2,0),0),0),0)</f>
        <v>0</v>
      </c>
      <c r="BE189" s="29">
        <f>IFERROR(IF(AND(ISNUMBER('Real results'!C184),ISNUMBER('Real results'!D184),ISNUMBER('Raw data'!BE184),ISNUMBER('Raw data'!BF184)),IF(SIGN('Raw data'!BE184-'Raw data'!BF184)=SIGN('Real results'!C184-'Real results'!D184),3+IF(AND('Raw data'!BE184='Real results'!C184,'Raw data'!BF184='Real results'!D184),2,0),0),0),0)</f>
        <v>0</v>
      </c>
      <c r="BG189" s="29">
        <f>IFERROR(IF(AND(ISNUMBER('Real results'!C184),ISNUMBER('Real results'!D184),ISNUMBER('Raw data'!BG184),ISNUMBER('Raw data'!BH184)),IF(SIGN('Raw data'!BG184-'Raw data'!BH184)=SIGN('Real results'!C184-'Real results'!D184),3+IF(AND('Raw data'!BG184='Real results'!C184,'Raw data'!BH184='Real results'!D184),2,0),0),0),0)</f>
        <v>0</v>
      </c>
      <c r="BI189" s="29">
        <f>IFERROR(IF(AND(ISNUMBER('Real results'!C184),ISNUMBER('Real results'!D184),ISNUMBER('Raw data'!BI184),ISNUMBER('Raw data'!BJ184)),IF(SIGN('Raw data'!BI184-'Raw data'!BJ184)=SIGN('Real results'!C184-'Real results'!D184),3+IF(AND('Raw data'!BI184='Real results'!C184,'Raw data'!BJ184='Real results'!D184),2,0),0),0),0)</f>
        <v>0</v>
      </c>
    </row>
    <row r="190" ht="18.0" customHeight="1">
      <c r="A190" s="1"/>
      <c r="B190" s="13" t="s">
        <v>471</v>
      </c>
      <c r="C190" s="29">
        <f>IFERROR(IF(AND('Real results'!C185&lt;&gt;"",'Raw data'!C185&lt;&gt;"",UPPER(TRIM('Real results'!C185))=UPPER(TRIM('Raw data'!C185))),1,0),0)</f>
        <v>0</v>
      </c>
      <c r="E190" s="29">
        <f>IFERROR(IF(AND('Real results'!C185&lt;&gt;"",'Raw data'!E185&lt;&gt;"",UPPER(TRIM('Real results'!C185))=UPPER(TRIM('Raw data'!E185))),1,0),0)</f>
        <v>0</v>
      </c>
      <c r="G190" s="29">
        <f>IFERROR(IF(AND('Real results'!C185&lt;&gt;"",'Raw data'!G185&lt;&gt;"",UPPER(TRIM('Real results'!C185))=UPPER(TRIM('Raw data'!G185))),1,0),0)</f>
        <v>0</v>
      </c>
      <c r="I190" s="29">
        <f>IFERROR(IF(AND('Real results'!C185&lt;&gt;"",'Raw data'!I185&lt;&gt;"",UPPER(TRIM('Real results'!C185))=UPPER(TRIM('Raw data'!I185))),1,0),0)</f>
        <v>0</v>
      </c>
      <c r="K190" s="29">
        <f>IFERROR(IF(AND('Real results'!C185&lt;&gt;"",'Raw data'!K185&lt;&gt;"",UPPER(TRIM('Real results'!C185))=UPPER(TRIM('Raw data'!K185))),1,0),0)</f>
        <v>0</v>
      </c>
      <c r="M190" s="29">
        <f>IFERROR(IF(AND('Real results'!C185&lt;&gt;"",'Raw data'!M185&lt;&gt;"",UPPER(TRIM('Real results'!C185))=UPPER(TRIM('Raw data'!M185))),1,0),0)</f>
        <v>0</v>
      </c>
      <c r="O190" s="29">
        <f>IFERROR(IF(AND('Real results'!C185&lt;&gt;"",'Raw data'!O185&lt;&gt;"",UPPER(TRIM('Real results'!C185))=UPPER(TRIM('Raw data'!O185))),1,0),0)</f>
        <v>0</v>
      </c>
      <c r="Q190" s="29">
        <f>IFERROR(IF(AND('Real results'!C185&lt;&gt;"",'Raw data'!Q185&lt;&gt;"",UPPER(TRIM('Real results'!C185))=UPPER(TRIM('Raw data'!Q185))),1,0),0)</f>
        <v>0</v>
      </c>
      <c r="S190" s="29">
        <f>IFERROR(IF(AND('Real results'!C185&lt;&gt;"",'Raw data'!S185&lt;&gt;"",UPPER(TRIM('Real results'!C185))=UPPER(TRIM('Raw data'!S185))),1,0),0)</f>
        <v>0</v>
      </c>
      <c r="U190" s="29">
        <f>IFERROR(IF(AND('Real results'!C185&lt;&gt;"",'Raw data'!U185&lt;&gt;"",UPPER(TRIM('Real results'!C185))=UPPER(TRIM('Raw data'!U185))),1,0),0)</f>
        <v>0</v>
      </c>
      <c r="W190" s="29">
        <f>IFERROR(IF(AND('Real results'!C185&lt;&gt;"",'Raw data'!W185&lt;&gt;"",UPPER(TRIM('Real results'!C185))=UPPER(TRIM('Raw data'!W185))),1,0),0)</f>
        <v>0</v>
      </c>
      <c r="Y190" s="29">
        <f>IFERROR(IF(AND('Real results'!C185&lt;&gt;"",'Raw data'!Y185&lt;&gt;"",UPPER(TRIM('Real results'!C185))=UPPER(TRIM('Raw data'!Y185))),1,0),0)</f>
        <v>0</v>
      </c>
      <c r="AA190" s="29">
        <f>IFERROR(IF(AND('Real results'!C185&lt;&gt;"",'Raw data'!AA185&lt;&gt;"",UPPER(TRIM('Real results'!C185))=UPPER(TRIM('Raw data'!AA185))),1,0),0)</f>
        <v>0</v>
      </c>
      <c r="AC190" s="29">
        <f>IFERROR(IF(AND('Real results'!C185&lt;&gt;"",'Raw data'!AC185&lt;&gt;"",UPPER(TRIM('Real results'!C185))=UPPER(TRIM('Raw data'!AC185))),1,0),0)</f>
        <v>0</v>
      </c>
      <c r="AE190" s="29">
        <f>IFERROR(IF(AND('Real results'!C185&lt;&gt;"",'Raw data'!AE185&lt;&gt;"",UPPER(TRIM('Real results'!C185))=UPPER(TRIM('Raw data'!AE185))),1,0),0)</f>
        <v>0</v>
      </c>
      <c r="AG190" s="29">
        <f>IFERROR(IF(AND('Real results'!C185&lt;&gt;"",'Raw data'!AG185&lt;&gt;"",UPPER(TRIM('Real results'!C185))=UPPER(TRIM('Raw data'!AG185))),1,0),0)</f>
        <v>0</v>
      </c>
      <c r="AI190" s="29">
        <f>IFERROR(IF(AND('Real results'!C185&lt;&gt;"",'Raw data'!AI185&lt;&gt;"",UPPER(TRIM('Real results'!C185))=UPPER(TRIM('Raw data'!AI185))),1,0),0)</f>
        <v>0</v>
      </c>
      <c r="AK190" s="29">
        <f>IFERROR(IF(AND('Real results'!C185&lt;&gt;"",'Raw data'!AK185&lt;&gt;"",UPPER(TRIM('Real results'!C185))=UPPER(TRIM('Raw data'!AK185))),1,0),0)</f>
        <v>0</v>
      </c>
      <c r="AM190" s="29">
        <f>IFERROR(IF(AND('Real results'!C185&lt;&gt;"",'Raw data'!AM185&lt;&gt;"",UPPER(TRIM('Real results'!C185))=UPPER(TRIM('Raw data'!AM185))),1,0),0)</f>
        <v>0</v>
      </c>
      <c r="AO190" s="29">
        <f>IFERROR(IF(AND('Real results'!C185&lt;&gt;"",'Raw data'!AO185&lt;&gt;"",UPPER(TRIM('Real results'!C185))=UPPER(TRIM('Raw data'!AO185))),1,0),0)</f>
        <v>0</v>
      </c>
      <c r="AQ190" s="29">
        <f>IFERROR(IF(AND('Real results'!C185&lt;&gt;"",'Raw data'!AQ185&lt;&gt;"",UPPER(TRIM('Real results'!C185))=UPPER(TRIM('Raw data'!AQ185))),1,0),0)</f>
        <v>0</v>
      </c>
      <c r="AS190" s="29">
        <f>IFERROR(IF(AND('Real results'!C185&lt;&gt;"",'Raw data'!AS185&lt;&gt;"",UPPER(TRIM('Real results'!C185))=UPPER(TRIM('Raw data'!AS185))),1,0),0)</f>
        <v>0</v>
      </c>
      <c r="AU190" s="29">
        <f>IFERROR(IF(AND('Real results'!C185&lt;&gt;"",'Raw data'!AU185&lt;&gt;"",UPPER(TRIM('Real results'!C185))=UPPER(TRIM('Raw data'!AU185))),1,0),0)</f>
        <v>0</v>
      </c>
      <c r="AW190" s="29">
        <f>IFERROR(IF(AND('Real results'!C185&lt;&gt;"",'Raw data'!AW185&lt;&gt;"",UPPER(TRIM('Real results'!C185))=UPPER(TRIM('Raw data'!AW185))),1,0),0)</f>
        <v>0</v>
      </c>
      <c r="AY190" s="29">
        <f>IFERROR(IF(AND('Real results'!C185&lt;&gt;"",'Raw data'!AY185&lt;&gt;"",UPPER(TRIM('Real results'!C185))=UPPER(TRIM('Raw data'!AY185))),1,0),0)</f>
        <v>0</v>
      </c>
      <c r="BA190" s="29">
        <f>IFERROR(IF(AND('Real results'!C185&lt;&gt;"",'Raw data'!BA185&lt;&gt;"",UPPER(TRIM('Real results'!C185))=UPPER(TRIM('Raw data'!BA185))),1,0),0)</f>
        <v>0</v>
      </c>
      <c r="BC190" s="29">
        <f>IFERROR(IF(AND('Real results'!C185&lt;&gt;"",'Raw data'!BC185&lt;&gt;"",UPPER(TRIM('Real results'!C185))=UPPER(TRIM('Raw data'!BC185))),1,0),0)</f>
        <v>0</v>
      </c>
      <c r="BE190" s="29">
        <f>IFERROR(IF(AND('Real results'!C185&lt;&gt;"",'Raw data'!BE185&lt;&gt;"",UPPER(TRIM('Real results'!C185))=UPPER(TRIM('Raw data'!BE185))),1,0),0)</f>
        <v>0</v>
      </c>
      <c r="BG190" s="29">
        <f>IFERROR(IF(AND('Real results'!C185&lt;&gt;"",'Raw data'!BG185&lt;&gt;"",UPPER(TRIM('Real results'!C185))=UPPER(TRIM('Raw data'!BG185))),1,0),0)</f>
        <v>0</v>
      </c>
      <c r="BI190" s="29">
        <f>IFERROR(IF(AND('Real results'!C185&lt;&gt;"",'Raw data'!BI185&lt;&gt;"",UPPER(TRIM('Real results'!C185))=UPPER(TRIM('Raw data'!BI185))),1,0),0)</f>
        <v>0</v>
      </c>
    </row>
    <row r="191" ht="18.0" customHeight="1">
      <c r="A191" s="1"/>
      <c r="B191" s="13" t="s">
        <v>472</v>
      </c>
      <c r="C191" s="29">
        <f>IFERROR(IF(AND('Real results'!C186&lt;&gt;"",'Raw data'!C186&lt;&gt;"",UPPER(TRIM('Real results'!C186))=UPPER(TRIM('Raw data'!C186))),2,0),0)</f>
        <v>0</v>
      </c>
      <c r="E191" s="29">
        <f>IFERROR(IF(AND('Real results'!C186&lt;&gt;"",'Raw data'!E186&lt;&gt;"",UPPER(TRIM('Real results'!C186))=UPPER(TRIM('Raw data'!E186))),2,0),0)</f>
        <v>0</v>
      </c>
      <c r="G191" s="29">
        <f>IFERROR(IF(AND('Real results'!C186&lt;&gt;"",'Raw data'!G186&lt;&gt;"",UPPER(TRIM('Real results'!C186))=UPPER(TRIM('Raw data'!G186))),2,0),0)</f>
        <v>0</v>
      </c>
      <c r="I191" s="29">
        <f>IFERROR(IF(AND('Real results'!C186&lt;&gt;"",'Raw data'!I186&lt;&gt;"",UPPER(TRIM('Real results'!C186))=UPPER(TRIM('Raw data'!I186))),2,0),0)</f>
        <v>0</v>
      </c>
      <c r="K191" s="29">
        <f>IFERROR(IF(AND('Real results'!C186&lt;&gt;"",'Raw data'!K186&lt;&gt;"",UPPER(TRIM('Real results'!C186))=UPPER(TRIM('Raw data'!K186))),2,0),0)</f>
        <v>0</v>
      </c>
      <c r="M191" s="29">
        <f>IFERROR(IF(AND('Real results'!C186&lt;&gt;"",'Raw data'!M186&lt;&gt;"",UPPER(TRIM('Real results'!C186))=UPPER(TRIM('Raw data'!M186))),2,0),0)</f>
        <v>0</v>
      </c>
      <c r="O191" s="29">
        <f>IFERROR(IF(AND('Real results'!C186&lt;&gt;"",'Raw data'!O186&lt;&gt;"",UPPER(TRIM('Real results'!C186))=UPPER(TRIM('Raw data'!O186))),2,0),0)</f>
        <v>0</v>
      </c>
      <c r="Q191" s="29">
        <f>IFERROR(IF(AND('Real results'!C186&lt;&gt;"",'Raw data'!Q186&lt;&gt;"",UPPER(TRIM('Real results'!C186))=UPPER(TRIM('Raw data'!Q186))),2,0),0)</f>
        <v>0</v>
      </c>
      <c r="S191" s="29">
        <f>IFERROR(IF(AND('Real results'!C186&lt;&gt;"",'Raw data'!S186&lt;&gt;"",UPPER(TRIM('Real results'!C186))=UPPER(TRIM('Raw data'!S186))),2,0),0)</f>
        <v>0</v>
      </c>
      <c r="U191" s="29">
        <f>IFERROR(IF(AND('Real results'!C186&lt;&gt;"",'Raw data'!U186&lt;&gt;"",UPPER(TRIM('Real results'!C186))=UPPER(TRIM('Raw data'!U186))),2,0),0)</f>
        <v>0</v>
      </c>
      <c r="W191" s="29">
        <f>IFERROR(IF(AND('Real results'!C186&lt;&gt;"",'Raw data'!W186&lt;&gt;"",UPPER(TRIM('Real results'!C186))=UPPER(TRIM('Raw data'!W186))),2,0),0)</f>
        <v>0</v>
      </c>
      <c r="Y191" s="29">
        <f>IFERROR(IF(AND('Real results'!C186&lt;&gt;"",'Raw data'!Y186&lt;&gt;"",UPPER(TRIM('Real results'!C186))=UPPER(TRIM('Raw data'!Y186))),2,0),0)</f>
        <v>0</v>
      </c>
      <c r="AA191" s="29">
        <f>IFERROR(IF(AND('Real results'!C186&lt;&gt;"",'Raw data'!AA186&lt;&gt;"",UPPER(TRIM('Real results'!C186))=UPPER(TRIM('Raw data'!AA186))),2,0),0)</f>
        <v>0</v>
      </c>
      <c r="AC191" s="29">
        <f>IFERROR(IF(AND('Real results'!C186&lt;&gt;"",'Raw data'!AC186&lt;&gt;"",UPPER(TRIM('Real results'!C186))=UPPER(TRIM('Raw data'!AC186))),2,0),0)</f>
        <v>0</v>
      </c>
      <c r="AE191" s="29">
        <f>IFERROR(IF(AND('Real results'!C186&lt;&gt;"",'Raw data'!AE186&lt;&gt;"",UPPER(TRIM('Real results'!C186))=UPPER(TRIM('Raw data'!AE186))),2,0),0)</f>
        <v>0</v>
      </c>
      <c r="AG191" s="29">
        <f>IFERROR(IF(AND('Real results'!C186&lt;&gt;"",'Raw data'!AG186&lt;&gt;"",UPPER(TRIM('Real results'!C186))=UPPER(TRIM('Raw data'!AG186))),2,0),0)</f>
        <v>0</v>
      </c>
      <c r="AI191" s="29">
        <f>IFERROR(IF(AND('Real results'!C186&lt;&gt;"",'Raw data'!AI186&lt;&gt;"",UPPER(TRIM('Real results'!C186))=UPPER(TRIM('Raw data'!AI186))),2,0),0)</f>
        <v>0</v>
      </c>
      <c r="AK191" s="29">
        <f>IFERROR(IF(AND('Real results'!C186&lt;&gt;"",'Raw data'!AK186&lt;&gt;"",UPPER(TRIM('Real results'!C186))=UPPER(TRIM('Raw data'!AK186))),2,0),0)</f>
        <v>0</v>
      </c>
      <c r="AM191" s="29">
        <f>IFERROR(IF(AND('Real results'!C186&lt;&gt;"",'Raw data'!AM186&lt;&gt;"",UPPER(TRIM('Real results'!C186))=UPPER(TRIM('Raw data'!AM186))),2,0),0)</f>
        <v>0</v>
      </c>
      <c r="AO191" s="29">
        <f>IFERROR(IF(AND('Real results'!C186&lt;&gt;"",'Raw data'!AO186&lt;&gt;"",UPPER(TRIM('Real results'!C186))=UPPER(TRIM('Raw data'!AO186))),2,0),0)</f>
        <v>0</v>
      </c>
      <c r="AQ191" s="29">
        <f>IFERROR(IF(AND('Real results'!C186&lt;&gt;"",'Raw data'!AQ186&lt;&gt;"",UPPER(TRIM('Real results'!C186))=UPPER(TRIM('Raw data'!AQ186))),2,0),0)</f>
        <v>0</v>
      </c>
      <c r="AS191" s="29">
        <f>IFERROR(IF(AND('Real results'!C186&lt;&gt;"",'Raw data'!AS186&lt;&gt;"",UPPER(TRIM('Real results'!C186))=UPPER(TRIM('Raw data'!AS186))),2,0),0)</f>
        <v>0</v>
      </c>
      <c r="AU191" s="29">
        <f>IFERROR(IF(AND('Real results'!C186&lt;&gt;"",'Raw data'!AU186&lt;&gt;"",UPPER(TRIM('Real results'!C186))=UPPER(TRIM('Raw data'!AU186))),2,0),0)</f>
        <v>0</v>
      </c>
      <c r="AW191" s="29">
        <f>IFERROR(IF(AND('Real results'!C186&lt;&gt;"",'Raw data'!AW186&lt;&gt;"",UPPER(TRIM('Real results'!C186))=UPPER(TRIM('Raw data'!AW186))),2,0),0)</f>
        <v>0</v>
      </c>
      <c r="AY191" s="29">
        <f>IFERROR(IF(AND('Real results'!C186&lt;&gt;"",'Raw data'!AY186&lt;&gt;"",UPPER(TRIM('Real results'!C186))=UPPER(TRIM('Raw data'!AY186))),2,0),0)</f>
        <v>0</v>
      </c>
      <c r="BA191" s="29">
        <f>IFERROR(IF(AND('Real results'!C186&lt;&gt;"",'Raw data'!BA186&lt;&gt;"",UPPER(TRIM('Real results'!C186))=UPPER(TRIM('Raw data'!BA186))),2,0),0)</f>
        <v>0</v>
      </c>
      <c r="BC191" s="29">
        <f>IFERROR(IF(AND('Real results'!C186&lt;&gt;"",'Raw data'!BC186&lt;&gt;"",UPPER(TRIM('Real results'!C186))=UPPER(TRIM('Raw data'!BC186))),2,0),0)</f>
        <v>0</v>
      </c>
      <c r="BE191" s="29">
        <f>IFERROR(IF(AND('Real results'!C186&lt;&gt;"",'Raw data'!BE186&lt;&gt;"",UPPER(TRIM('Real results'!C186))=UPPER(TRIM('Raw data'!BE186))),2,0),0)</f>
        <v>0</v>
      </c>
      <c r="BG191" s="29">
        <f>IFERROR(IF(AND('Real results'!C186&lt;&gt;"",'Raw data'!BG186&lt;&gt;"",UPPER(TRIM('Real results'!C186))=UPPER(TRIM('Raw data'!BG186))),2,0),0)</f>
        <v>0</v>
      </c>
      <c r="BI191" s="29">
        <f>IFERROR(IF(AND('Real results'!C186&lt;&gt;"",'Raw data'!BI186&lt;&gt;"",UPPER(TRIM('Real results'!C186))=UPPER(TRIM('Raw data'!BI186))),2,0),0)</f>
        <v>0</v>
      </c>
    </row>
    <row r="192" ht="18.0" customHeight="1">
      <c r="A192" s="1"/>
      <c r="B192" s="13" t="s">
        <v>473</v>
      </c>
      <c r="C192" s="29">
        <f>IFERROR(IF(AND(ISNUMBER('Real results'!C187),ISNUMBER('Real results'!D187),ISNUMBER('Raw data'!C187),ISNUMBER('Raw data'!D187)),IF(SIGN('Raw data'!C187-'Raw data'!D187)=SIGN('Real results'!C187-'Real results'!D187),3+IF(AND('Raw data'!C187='Real results'!C187,'Raw data'!D187='Real results'!D187),2,0),0),0),0)</f>
        <v>0</v>
      </c>
      <c r="E192" s="29">
        <f>IFERROR(IF(AND(ISNUMBER('Real results'!C187),ISNUMBER('Real results'!D187),ISNUMBER('Raw data'!E187),ISNUMBER('Raw data'!F187)),IF(SIGN('Raw data'!E187-'Raw data'!F187)=SIGN('Real results'!C187-'Real results'!D187),3+IF(AND('Raw data'!E187='Real results'!C187,'Raw data'!F187='Real results'!D187),2,0),0),0),0)</f>
        <v>0</v>
      </c>
      <c r="G192" s="29">
        <f>IFERROR(IF(AND(ISNUMBER('Real results'!C187),ISNUMBER('Real results'!D187),ISNUMBER('Raw data'!G187),ISNUMBER('Raw data'!H187)),IF(SIGN('Raw data'!G187-'Raw data'!H187)=SIGN('Real results'!C187-'Real results'!D187),3+IF(AND('Raw data'!G187='Real results'!C187,'Raw data'!H187='Real results'!D187),2,0),0),0),0)</f>
        <v>0</v>
      </c>
      <c r="I192" s="29">
        <f>IFERROR(IF(AND(ISNUMBER('Real results'!C187),ISNUMBER('Real results'!D187),ISNUMBER('Raw data'!I187),ISNUMBER('Raw data'!J187)),IF(SIGN('Raw data'!I187-'Raw data'!J187)=SIGN('Real results'!C187-'Real results'!D187),3+IF(AND('Raw data'!I187='Real results'!C187,'Raw data'!J187='Real results'!D187),2,0),0),0),0)</f>
        <v>0</v>
      </c>
      <c r="K192" s="29">
        <f>IFERROR(IF(AND(ISNUMBER('Real results'!C187),ISNUMBER('Real results'!D187),ISNUMBER('Raw data'!K187),ISNUMBER('Raw data'!L187)),IF(SIGN('Raw data'!K187-'Raw data'!L187)=SIGN('Real results'!C187-'Real results'!D187),3+IF(AND('Raw data'!K187='Real results'!C187,'Raw data'!L187='Real results'!D187),2,0),0),0),0)</f>
        <v>0</v>
      </c>
      <c r="M192" s="29">
        <f>IFERROR(IF(AND(ISNUMBER('Real results'!C187),ISNUMBER('Real results'!D187),ISNUMBER('Raw data'!M187),ISNUMBER('Raw data'!N187)),IF(SIGN('Raw data'!M187-'Raw data'!N187)=SIGN('Real results'!C187-'Real results'!D187),3+IF(AND('Raw data'!M187='Real results'!C187,'Raw data'!N187='Real results'!D187),2,0),0),0),0)</f>
        <v>0</v>
      </c>
      <c r="O192" s="29">
        <f>IFERROR(IF(AND(ISNUMBER('Real results'!C187),ISNUMBER('Real results'!D187),ISNUMBER('Raw data'!O187),ISNUMBER('Raw data'!P187)),IF(SIGN('Raw data'!O187-'Raw data'!P187)=SIGN('Real results'!C187-'Real results'!D187),3+IF(AND('Raw data'!O187='Real results'!C187,'Raw data'!P187='Real results'!D187),2,0),0),0),0)</f>
        <v>0</v>
      </c>
      <c r="Q192" s="29">
        <f>IFERROR(IF(AND(ISNUMBER('Real results'!C187),ISNUMBER('Real results'!D187),ISNUMBER('Raw data'!Q187),ISNUMBER('Raw data'!R187)),IF(SIGN('Raw data'!Q187-'Raw data'!R187)=SIGN('Real results'!C187-'Real results'!D187),3+IF(AND('Raw data'!Q187='Real results'!C187,'Raw data'!R187='Real results'!D187),2,0),0),0),0)</f>
        <v>0</v>
      </c>
      <c r="S192" s="29">
        <f>IFERROR(IF(AND(ISNUMBER('Real results'!C187),ISNUMBER('Real results'!D187),ISNUMBER('Raw data'!S187),ISNUMBER('Raw data'!T187)),IF(SIGN('Raw data'!S187-'Raw data'!T187)=SIGN('Real results'!C187-'Real results'!D187),3+IF(AND('Raw data'!S187='Real results'!C187,'Raw data'!T187='Real results'!D187),2,0),0),0),0)</f>
        <v>0</v>
      </c>
      <c r="U192" s="29">
        <f>IFERROR(IF(AND(ISNUMBER('Real results'!C187),ISNUMBER('Real results'!D187),ISNUMBER('Raw data'!U187),ISNUMBER('Raw data'!V187)),IF(SIGN('Raw data'!U187-'Raw data'!V187)=SIGN('Real results'!C187-'Real results'!D187),3+IF(AND('Raw data'!U187='Real results'!C187,'Raw data'!V187='Real results'!D187),2,0),0),0),0)</f>
        <v>0</v>
      </c>
      <c r="W192" s="29">
        <f>IFERROR(IF(AND(ISNUMBER('Real results'!C187),ISNUMBER('Real results'!D187),ISNUMBER('Raw data'!W187),ISNUMBER('Raw data'!X187)),IF(SIGN('Raw data'!W187-'Raw data'!X187)=SIGN('Real results'!C187-'Real results'!D187),3+IF(AND('Raw data'!W187='Real results'!C187,'Raw data'!X187='Real results'!D187),2,0),0),0),0)</f>
        <v>0</v>
      </c>
      <c r="Y192" s="29">
        <f>IFERROR(IF(AND(ISNUMBER('Real results'!C187),ISNUMBER('Real results'!D187),ISNUMBER('Raw data'!Y187),ISNUMBER('Raw data'!Z187)),IF(SIGN('Raw data'!Y187-'Raw data'!Z187)=SIGN('Real results'!C187-'Real results'!D187),3+IF(AND('Raw data'!Y187='Real results'!C187,'Raw data'!Z187='Real results'!D187),2,0),0),0),0)</f>
        <v>0</v>
      </c>
      <c r="AA192" s="29">
        <f>IFERROR(IF(AND(ISNUMBER('Real results'!C187),ISNUMBER('Real results'!D187),ISNUMBER('Raw data'!AA187),ISNUMBER('Raw data'!AB187)),IF(SIGN('Raw data'!AA187-'Raw data'!AB187)=SIGN('Real results'!C187-'Real results'!D187),3+IF(AND('Raw data'!AA187='Real results'!C187,'Raw data'!AB187='Real results'!D187),2,0),0),0),0)</f>
        <v>0</v>
      </c>
      <c r="AC192" s="29">
        <f>IFERROR(IF(AND(ISNUMBER('Real results'!C187),ISNUMBER('Real results'!D187),ISNUMBER('Raw data'!AC187),ISNUMBER('Raw data'!AD187)),IF(SIGN('Raw data'!AC187-'Raw data'!AD187)=SIGN('Real results'!C187-'Real results'!D187),3+IF(AND('Raw data'!AC187='Real results'!C187,'Raw data'!AD187='Real results'!D187),2,0),0),0),0)</f>
        <v>0</v>
      </c>
      <c r="AE192" s="29">
        <f>IFERROR(IF(AND(ISNUMBER('Real results'!C187),ISNUMBER('Real results'!D187),ISNUMBER('Raw data'!AE187),ISNUMBER('Raw data'!AF187)),IF(SIGN('Raw data'!AE187-'Raw data'!AF187)=SIGN('Real results'!C187-'Real results'!D187),3+IF(AND('Raw data'!AE187='Real results'!C187,'Raw data'!AF187='Real results'!D187),2,0),0),0),0)</f>
        <v>0</v>
      </c>
      <c r="AG192" s="29">
        <f>IFERROR(IF(AND(ISNUMBER('Real results'!C187),ISNUMBER('Real results'!D187),ISNUMBER('Raw data'!AG187),ISNUMBER('Raw data'!AH187)),IF(SIGN('Raw data'!AG187-'Raw data'!AH187)=SIGN('Real results'!C187-'Real results'!D187),3+IF(AND('Raw data'!AG187='Real results'!C187,'Raw data'!AH187='Real results'!D187),2,0),0),0),0)</f>
        <v>0</v>
      </c>
      <c r="AI192" s="29">
        <f>IFERROR(IF(AND(ISNUMBER('Real results'!C187),ISNUMBER('Real results'!D187),ISNUMBER('Raw data'!AI187),ISNUMBER('Raw data'!AJ187)),IF(SIGN('Raw data'!AI187-'Raw data'!AJ187)=SIGN('Real results'!C187-'Real results'!D187),3+IF(AND('Raw data'!AI187='Real results'!C187,'Raw data'!AJ187='Real results'!D187),2,0),0),0),0)</f>
        <v>0</v>
      </c>
      <c r="AK192" s="29">
        <f>IFERROR(IF(AND(ISNUMBER('Real results'!C187),ISNUMBER('Real results'!D187),ISNUMBER('Raw data'!AK187),ISNUMBER('Raw data'!AL187)),IF(SIGN('Raw data'!AK187-'Raw data'!AL187)=SIGN('Real results'!C187-'Real results'!D187),3+IF(AND('Raw data'!AK187='Real results'!C187,'Raw data'!AL187='Real results'!D187),2,0),0),0),0)</f>
        <v>0</v>
      </c>
      <c r="AM192" s="29">
        <f>IFERROR(IF(AND(ISNUMBER('Real results'!C187),ISNUMBER('Real results'!D187),ISNUMBER('Raw data'!AM187),ISNUMBER('Raw data'!AN187)),IF(SIGN('Raw data'!AM187-'Raw data'!AN187)=SIGN('Real results'!C187-'Real results'!D187),3+IF(AND('Raw data'!AM187='Real results'!C187,'Raw data'!AN187='Real results'!D187),2,0),0),0),0)</f>
        <v>0</v>
      </c>
      <c r="AO192" s="29">
        <f>IFERROR(IF(AND(ISNUMBER('Real results'!C187),ISNUMBER('Real results'!D187),ISNUMBER('Raw data'!AO187),ISNUMBER('Raw data'!AP187)),IF(SIGN('Raw data'!AO187-'Raw data'!AP187)=SIGN('Real results'!C187-'Real results'!D187),3+IF(AND('Raw data'!AO187='Real results'!C187,'Raw data'!AP187='Real results'!D187),2,0),0),0),0)</f>
        <v>0</v>
      </c>
      <c r="AQ192" s="29">
        <f>IFERROR(IF(AND(ISNUMBER('Real results'!C187),ISNUMBER('Real results'!D187),ISNUMBER('Raw data'!AQ187),ISNUMBER('Raw data'!AR187)),IF(SIGN('Raw data'!AQ187-'Raw data'!AR187)=SIGN('Real results'!C187-'Real results'!D187),3+IF(AND('Raw data'!AQ187='Real results'!C187,'Raw data'!AR187='Real results'!D187),2,0),0),0),0)</f>
        <v>0</v>
      </c>
      <c r="AS192" s="29">
        <f>IFERROR(IF(AND(ISNUMBER('Real results'!C187),ISNUMBER('Real results'!D187),ISNUMBER('Raw data'!AS187),ISNUMBER('Raw data'!AT187)),IF(SIGN('Raw data'!AS187-'Raw data'!AT187)=SIGN('Real results'!C187-'Real results'!D187),3+IF(AND('Raw data'!AS187='Real results'!C187,'Raw data'!AT187='Real results'!D187),2,0),0),0),0)</f>
        <v>0</v>
      </c>
      <c r="AU192" s="29">
        <f>IFERROR(IF(AND(ISNUMBER('Real results'!C187),ISNUMBER('Real results'!D187),ISNUMBER('Raw data'!AU187),ISNUMBER('Raw data'!AV187)),IF(SIGN('Raw data'!AU187-'Raw data'!AV187)=SIGN('Real results'!C187-'Real results'!D187),3+IF(AND('Raw data'!AU187='Real results'!C187,'Raw data'!AV187='Real results'!D187),2,0),0),0),0)</f>
        <v>0</v>
      </c>
      <c r="AW192" s="29">
        <f>IFERROR(IF(AND(ISNUMBER('Real results'!C187),ISNUMBER('Real results'!D187),ISNUMBER('Raw data'!AW187),ISNUMBER('Raw data'!AX187)),IF(SIGN('Raw data'!AW187-'Raw data'!AX187)=SIGN('Real results'!C187-'Real results'!D187),3+IF(AND('Raw data'!AW187='Real results'!C187,'Raw data'!AX187='Real results'!D187),2,0),0),0),0)</f>
        <v>0</v>
      </c>
      <c r="AY192" s="29">
        <f>IFERROR(IF(AND(ISNUMBER('Real results'!C187),ISNUMBER('Real results'!D187),ISNUMBER('Raw data'!AY187),ISNUMBER('Raw data'!AZ187)),IF(SIGN('Raw data'!AY187-'Raw data'!AZ187)=SIGN('Real results'!C187-'Real results'!D187),3+IF(AND('Raw data'!AY187='Real results'!C187,'Raw data'!AZ187='Real results'!D187),2,0),0),0),0)</f>
        <v>0</v>
      </c>
      <c r="BA192" s="29">
        <f>IFERROR(IF(AND(ISNUMBER('Real results'!C187),ISNUMBER('Real results'!D187),ISNUMBER('Raw data'!BA187),ISNUMBER('Raw data'!BB187)),IF(SIGN('Raw data'!BA187-'Raw data'!BB187)=SIGN('Real results'!C187-'Real results'!D187),3+IF(AND('Raw data'!BA187='Real results'!C187,'Raw data'!BB187='Real results'!D187),2,0),0),0),0)</f>
        <v>0</v>
      </c>
      <c r="BC192" s="29">
        <f>IFERROR(IF(AND(ISNUMBER('Real results'!C187),ISNUMBER('Real results'!D187),ISNUMBER('Raw data'!BC187),ISNUMBER('Raw data'!BD187)),IF(SIGN('Raw data'!BC187-'Raw data'!BD187)=SIGN('Real results'!C187-'Real results'!D187),3+IF(AND('Raw data'!BC187='Real results'!C187,'Raw data'!BD187='Real results'!D187),2,0),0),0),0)</f>
        <v>0</v>
      </c>
      <c r="BE192" s="29">
        <f>IFERROR(IF(AND(ISNUMBER('Real results'!C187),ISNUMBER('Real results'!D187),ISNUMBER('Raw data'!BE187),ISNUMBER('Raw data'!BF187)),IF(SIGN('Raw data'!BE187-'Raw data'!BF187)=SIGN('Real results'!C187-'Real results'!D187),3+IF(AND('Raw data'!BE187='Real results'!C187,'Raw data'!BF187='Real results'!D187),2,0),0),0),0)</f>
        <v>0</v>
      </c>
      <c r="BG192" s="29">
        <f>IFERROR(IF(AND(ISNUMBER('Real results'!C187),ISNUMBER('Real results'!D187),ISNUMBER('Raw data'!BG187),ISNUMBER('Raw data'!BH187)),IF(SIGN('Raw data'!BG187-'Raw data'!BH187)=SIGN('Real results'!C187-'Real results'!D187),3+IF(AND('Raw data'!BG187='Real results'!C187,'Raw data'!BH187='Real results'!D187),2,0),0),0),0)</f>
        <v>0</v>
      </c>
      <c r="BI192" s="29">
        <f>IFERROR(IF(AND(ISNUMBER('Real results'!C187),ISNUMBER('Real results'!D187),ISNUMBER('Raw data'!BI187),ISNUMBER('Raw data'!BJ187)),IF(SIGN('Raw data'!BI187-'Raw data'!BJ187)=SIGN('Real results'!C187-'Real results'!D187),3+IF(AND('Raw data'!BI187='Real results'!C187,'Raw data'!BJ187='Real results'!D187),2,0),0),0),0)</f>
        <v>0</v>
      </c>
    </row>
    <row r="193" ht="18.0" customHeight="1">
      <c r="A193" s="1"/>
      <c r="B193" s="13" t="s">
        <v>474</v>
      </c>
      <c r="C193" s="29">
        <f>IFERROR(IF(AND('Real results'!C188&lt;&gt;"",'Raw data'!C188&lt;&gt;"",UPPER(TRIM('Real results'!C188))=UPPER(TRIM('Raw data'!C188))),1,0),0)</f>
        <v>0</v>
      </c>
      <c r="E193" s="29">
        <f>IFERROR(IF(AND('Real results'!C188&lt;&gt;"",'Raw data'!E188&lt;&gt;"",UPPER(TRIM('Real results'!C188))=UPPER(TRIM('Raw data'!E188))),1,0),0)</f>
        <v>0</v>
      </c>
      <c r="G193" s="29">
        <f>IFERROR(IF(AND('Real results'!C188&lt;&gt;"",'Raw data'!G188&lt;&gt;"",UPPER(TRIM('Real results'!C188))=UPPER(TRIM('Raw data'!G188))),1,0),0)</f>
        <v>0</v>
      </c>
      <c r="I193" s="29">
        <f>IFERROR(IF(AND('Real results'!C188&lt;&gt;"",'Raw data'!I188&lt;&gt;"",UPPER(TRIM('Real results'!C188))=UPPER(TRIM('Raw data'!I188))),1,0),0)</f>
        <v>0</v>
      </c>
      <c r="K193" s="29">
        <f>IFERROR(IF(AND('Real results'!C188&lt;&gt;"",'Raw data'!K188&lt;&gt;"",UPPER(TRIM('Real results'!C188))=UPPER(TRIM('Raw data'!K188))),1,0),0)</f>
        <v>0</v>
      </c>
      <c r="M193" s="29">
        <f>IFERROR(IF(AND('Real results'!C188&lt;&gt;"",'Raw data'!M188&lt;&gt;"",UPPER(TRIM('Real results'!C188))=UPPER(TRIM('Raw data'!M188))),1,0),0)</f>
        <v>0</v>
      </c>
      <c r="O193" s="29">
        <f>IFERROR(IF(AND('Real results'!C188&lt;&gt;"",'Raw data'!O188&lt;&gt;"",UPPER(TRIM('Real results'!C188))=UPPER(TRIM('Raw data'!O188))),1,0),0)</f>
        <v>0</v>
      </c>
      <c r="Q193" s="29">
        <f>IFERROR(IF(AND('Real results'!C188&lt;&gt;"",'Raw data'!Q188&lt;&gt;"",UPPER(TRIM('Real results'!C188))=UPPER(TRIM('Raw data'!Q188))),1,0),0)</f>
        <v>0</v>
      </c>
      <c r="S193" s="29">
        <f>IFERROR(IF(AND('Real results'!C188&lt;&gt;"",'Raw data'!S188&lt;&gt;"",UPPER(TRIM('Real results'!C188))=UPPER(TRIM('Raw data'!S188))),1,0),0)</f>
        <v>0</v>
      </c>
      <c r="U193" s="29">
        <f>IFERROR(IF(AND('Real results'!C188&lt;&gt;"",'Raw data'!U188&lt;&gt;"",UPPER(TRIM('Real results'!C188))=UPPER(TRIM('Raw data'!U188))),1,0),0)</f>
        <v>0</v>
      </c>
      <c r="W193" s="29">
        <f>IFERROR(IF(AND('Real results'!C188&lt;&gt;"",'Raw data'!W188&lt;&gt;"",UPPER(TRIM('Real results'!C188))=UPPER(TRIM('Raw data'!W188))),1,0),0)</f>
        <v>0</v>
      </c>
      <c r="Y193" s="29">
        <f>IFERROR(IF(AND('Real results'!C188&lt;&gt;"",'Raw data'!Y188&lt;&gt;"",UPPER(TRIM('Real results'!C188))=UPPER(TRIM('Raw data'!Y188))),1,0),0)</f>
        <v>0</v>
      </c>
      <c r="AA193" s="29">
        <f>IFERROR(IF(AND('Real results'!C188&lt;&gt;"",'Raw data'!AA188&lt;&gt;"",UPPER(TRIM('Real results'!C188))=UPPER(TRIM('Raw data'!AA188))),1,0),0)</f>
        <v>0</v>
      </c>
      <c r="AC193" s="29">
        <f>IFERROR(IF(AND('Real results'!C188&lt;&gt;"",'Raw data'!AC188&lt;&gt;"",UPPER(TRIM('Real results'!C188))=UPPER(TRIM('Raw data'!AC188))),1,0),0)</f>
        <v>0</v>
      </c>
      <c r="AE193" s="29">
        <f>IFERROR(IF(AND('Real results'!C188&lt;&gt;"",'Raw data'!AE188&lt;&gt;"",UPPER(TRIM('Real results'!C188))=UPPER(TRIM('Raw data'!AE188))),1,0),0)</f>
        <v>0</v>
      </c>
      <c r="AG193" s="29">
        <f>IFERROR(IF(AND('Real results'!C188&lt;&gt;"",'Raw data'!AG188&lt;&gt;"",UPPER(TRIM('Real results'!C188))=UPPER(TRIM('Raw data'!AG188))),1,0),0)</f>
        <v>0</v>
      </c>
      <c r="AI193" s="29">
        <f>IFERROR(IF(AND('Real results'!C188&lt;&gt;"",'Raw data'!AI188&lt;&gt;"",UPPER(TRIM('Real results'!C188))=UPPER(TRIM('Raw data'!AI188))),1,0),0)</f>
        <v>0</v>
      </c>
      <c r="AK193" s="29">
        <f>IFERROR(IF(AND('Real results'!C188&lt;&gt;"",'Raw data'!AK188&lt;&gt;"",UPPER(TRIM('Real results'!C188))=UPPER(TRIM('Raw data'!AK188))),1,0),0)</f>
        <v>0</v>
      </c>
      <c r="AM193" s="29">
        <f>IFERROR(IF(AND('Real results'!C188&lt;&gt;"",'Raw data'!AM188&lt;&gt;"",UPPER(TRIM('Real results'!C188))=UPPER(TRIM('Raw data'!AM188))),1,0),0)</f>
        <v>0</v>
      </c>
      <c r="AO193" s="29">
        <f>IFERROR(IF(AND('Real results'!C188&lt;&gt;"",'Raw data'!AO188&lt;&gt;"",UPPER(TRIM('Real results'!C188))=UPPER(TRIM('Raw data'!AO188))),1,0),0)</f>
        <v>0</v>
      </c>
      <c r="AQ193" s="29">
        <f>IFERROR(IF(AND('Real results'!C188&lt;&gt;"",'Raw data'!AQ188&lt;&gt;"",UPPER(TRIM('Real results'!C188))=UPPER(TRIM('Raw data'!AQ188))),1,0),0)</f>
        <v>0</v>
      </c>
      <c r="AS193" s="29">
        <f>IFERROR(IF(AND('Real results'!C188&lt;&gt;"",'Raw data'!AS188&lt;&gt;"",UPPER(TRIM('Real results'!C188))=UPPER(TRIM('Raw data'!AS188))),1,0),0)</f>
        <v>0</v>
      </c>
      <c r="AU193" s="29">
        <f>IFERROR(IF(AND('Real results'!C188&lt;&gt;"",'Raw data'!AU188&lt;&gt;"",UPPER(TRIM('Real results'!C188))=UPPER(TRIM('Raw data'!AU188))),1,0),0)</f>
        <v>0</v>
      </c>
      <c r="AW193" s="29">
        <f>IFERROR(IF(AND('Real results'!C188&lt;&gt;"",'Raw data'!AW188&lt;&gt;"",UPPER(TRIM('Real results'!C188))=UPPER(TRIM('Raw data'!AW188))),1,0),0)</f>
        <v>0</v>
      </c>
      <c r="AY193" s="29">
        <f>IFERROR(IF(AND('Real results'!C188&lt;&gt;"",'Raw data'!AY188&lt;&gt;"",UPPER(TRIM('Real results'!C188))=UPPER(TRIM('Raw data'!AY188))),1,0),0)</f>
        <v>0</v>
      </c>
      <c r="BA193" s="29">
        <f>IFERROR(IF(AND('Real results'!C188&lt;&gt;"",'Raw data'!BA188&lt;&gt;"",UPPER(TRIM('Real results'!C188))=UPPER(TRIM('Raw data'!BA188))),1,0),0)</f>
        <v>0</v>
      </c>
      <c r="BC193" s="29">
        <f>IFERROR(IF(AND('Real results'!C188&lt;&gt;"",'Raw data'!BC188&lt;&gt;"",UPPER(TRIM('Real results'!C188))=UPPER(TRIM('Raw data'!BC188))),1,0),0)</f>
        <v>0</v>
      </c>
      <c r="BE193" s="29">
        <f>IFERROR(IF(AND('Real results'!C188&lt;&gt;"",'Raw data'!BE188&lt;&gt;"",UPPER(TRIM('Real results'!C188))=UPPER(TRIM('Raw data'!BE188))),1,0),0)</f>
        <v>0</v>
      </c>
      <c r="BG193" s="29">
        <f>IFERROR(IF(AND('Real results'!C188&lt;&gt;"",'Raw data'!BG188&lt;&gt;"",UPPER(TRIM('Real results'!C188))=UPPER(TRIM('Raw data'!BG188))),1,0),0)</f>
        <v>0</v>
      </c>
      <c r="BI193" s="29">
        <f>IFERROR(IF(AND('Real results'!C188&lt;&gt;"",'Raw data'!BI188&lt;&gt;"",UPPER(TRIM('Real results'!C188))=UPPER(TRIM('Raw data'!BI188))),1,0),0)</f>
        <v>0</v>
      </c>
    </row>
    <row r="194" ht="18.0" customHeight="1">
      <c r="A194" s="1"/>
      <c r="B194" s="13" t="s">
        <v>475</v>
      </c>
      <c r="C194" s="29">
        <f>IFERROR(IF(AND('Real results'!C189&lt;&gt;"",'Raw data'!C189&lt;&gt;"",UPPER(TRIM('Real results'!C189))=UPPER(TRIM('Raw data'!C189))),2,0),0)</f>
        <v>0</v>
      </c>
      <c r="E194" s="29">
        <f>IFERROR(IF(AND('Real results'!C189&lt;&gt;"",'Raw data'!E189&lt;&gt;"",UPPER(TRIM('Real results'!C189))=UPPER(TRIM('Raw data'!E189))),2,0),0)</f>
        <v>0</v>
      </c>
      <c r="G194" s="29">
        <f>IFERROR(IF(AND('Real results'!C189&lt;&gt;"",'Raw data'!G189&lt;&gt;"",UPPER(TRIM('Real results'!C189))=UPPER(TRIM('Raw data'!G189))),2,0),0)</f>
        <v>0</v>
      </c>
      <c r="I194" s="29">
        <f>IFERROR(IF(AND('Real results'!C189&lt;&gt;"",'Raw data'!I189&lt;&gt;"",UPPER(TRIM('Real results'!C189))=UPPER(TRIM('Raw data'!I189))),2,0),0)</f>
        <v>0</v>
      </c>
      <c r="K194" s="29">
        <f>IFERROR(IF(AND('Real results'!C189&lt;&gt;"",'Raw data'!K189&lt;&gt;"",UPPER(TRIM('Real results'!C189))=UPPER(TRIM('Raw data'!K189))),2,0),0)</f>
        <v>0</v>
      </c>
      <c r="M194" s="29">
        <f>IFERROR(IF(AND('Real results'!C189&lt;&gt;"",'Raw data'!M189&lt;&gt;"",UPPER(TRIM('Real results'!C189))=UPPER(TRIM('Raw data'!M189))),2,0),0)</f>
        <v>0</v>
      </c>
      <c r="O194" s="29">
        <f>IFERROR(IF(AND('Real results'!C189&lt;&gt;"",'Raw data'!O189&lt;&gt;"",UPPER(TRIM('Real results'!C189))=UPPER(TRIM('Raw data'!O189))),2,0),0)</f>
        <v>0</v>
      </c>
      <c r="Q194" s="29">
        <f>IFERROR(IF(AND('Real results'!C189&lt;&gt;"",'Raw data'!Q189&lt;&gt;"",UPPER(TRIM('Real results'!C189))=UPPER(TRIM('Raw data'!Q189))),2,0),0)</f>
        <v>0</v>
      </c>
      <c r="S194" s="29">
        <f>IFERROR(IF(AND('Real results'!C189&lt;&gt;"",'Raw data'!S189&lt;&gt;"",UPPER(TRIM('Real results'!C189))=UPPER(TRIM('Raw data'!S189))),2,0),0)</f>
        <v>0</v>
      </c>
      <c r="U194" s="29">
        <f>IFERROR(IF(AND('Real results'!C189&lt;&gt;"",'Raw data'!U189&lt;&gt;"",UPPER(TRIM('Real results'!C189))=UPPER(TRIM('Raw data'!U189))),2,0),0)</f>
        <v>0</v>
      </c>
      <c r="W194" s="29">
        <f>IFERROR(IF(AND('Real results'!C189&lt;&gt;"",'Raw data'!W189&lt;&gt;"",UPPER(TRIM('Real results'!C189))=UPPER(TRIM('Raw data'!W189))),2,0),0)</f>
        <v>0</v>
      </c>
      <c r="Y194" s="29">
        <f>IFERROR(IF(AND('Real results'!C189&lt;&gt;"",'Raw data'!Y189&lt;&gt;"",UPPER(TRIM('Real results'!C189))=UPPER(TRIM('Raw data'!Y189))),2,0),0)</f>
        <v>0</v>
      </c>
      <c r="AA194" s="29">
        <f>IFERROR(IF(AND('Real results'!C189&lt;&gt;"",'Raw data'!AA189&lt;&gt;"",UPPER(TRIM('Real results'!C189))=UPPER(TRIM('Raw data'!AA189))),2,0),0)</f>
        <v>0</v>
      </c>
      <c r="AC194" s="29">
        <f>IFERROR(IF(AND('Real results'!C189&lt;&gt;"",'Raw data'!AC189&lt;&gt;"",UPPER(TRIM('Real results'!C189))=UPPER(TRIM('Raw data'!AC189))),2,0),0)</f>
        <v>0</v>
      </c>
      <c r="AE194" s="29">
        <f>IFERROR(IF(AND('Real results'!C189&lt;&gt;"",'Raw data'!AE189&lt;&gt;"",UPPER(TRIM('Real results'!C189))=UPPER(TRIM('Raw data'!AE189))),2,0),0)</f>
        <v>0</v>
      </c>
      <c r="AG194" s="29">
        <f>IFERROR(IF(AND('Real results'!C189&lt;&gt;"",'Raw data'!AG189&lt;&gt;"",UPPER(TRIM('Real results'!C189))=UPPER(TRIM('Raw data'!AG189))),2,0),0)</f>
        <v>0</v>
      </c>
      <c r="AI194" s="29">
        <f>IFERROR(IF(AND('Real results'!C189&lt;&gt;"",'Raw data'!AI189&lt;&gt;"",UPPER(TRIM('Real results'!C189))=UPPER(TRIM('Raw data'!AI189))),2,0),0)</f>
        <v>0</v>
      </c>
      <c r="AK194" s="29">
        <f>IFERROR(IF(AND('Real results'!C189&lt;&gt;"",'Raw data'!AK189&lt;&gt;"",UPPER(TRIM('Real results'!C189))=UPPER(TRIM('Raw data'!AK189))),2,0),0)</f>
        <v>0</v>
      </c>
      <c r="AM194" s="29">
        <f>IFERROR(IF(AND('Real results'!C189&lt;&gt;"",'Raw data'!AM189&lt;&gt;"",UPPER(TRIM('Real results'!C189))=UPPER(TRIM('Raw data'!AM189))),2,0),0)</f>
        <v>0</v>
      </c>
      <c r="AO194" s="29">
        <f>IFERROR(IF(AND('Real results'!C189&lt;&gt;"",'Raw data'!AO189&lt;&gt;"",UPPER(TRIM('Real results'!C189))=UPPER(TRIM('Raw data'!AO189))),2,0),0)</f>
        <v>0</v>
      </c>
      <c r="AQ194" s="29">
        <f>IFERROR(IF(AND('Real results'!C189&lt;&gt;"",'Raw data'!AQ189&lt;&gt;"",UPPER(TRIM('Real results'!C189))=UPPER(TRIM('Raw data'!AQ189))),2,0),0)</f>
        <v>0</v>
      </c>
      <c r="AS194" s="29">
        <f>IFERROR(IF(AND('Real results'!C189&lt;&gt;"",'Raw data'!AS189&lt;&gt;"",UPPER(TRIM('Real results'!C189))=UPPER(TRIM('Raw data'!AS189))),2,0),0)</f>
        <v>0</v>
      </c>
      <c r="AU194" s="29">
        <f>IFERROR(IF(AND('Real results'!C189&lt;&gt;"",'Raw data'!AU189&lt;&gt;"",UPPER(TRIM('Real results'!C189))=UPPER(TRIM('Raw data'!AU189))),2,0),0)</f>
        <v>0</v>
      </c>
      <c r="AW194" s="29">
        <f>IFERROR(IF(AND('Real results'!C189&lt;&gt;"",'Raw data'!AW189&lt;&gt;"",UPPER(TRIM('Real results'!C189))=UPPER(TRIM('Raw data'!AW189))),2,0),0)</f>
        <v>0</v>
      </c>
      <c r="AY194" s="29">
        <f>IFERROR(IF(AND('Real results'!C189&lt;&gt;"",'Raw data'!AY189&lt;&gt;"",UPPER(TRIM('Real results'!C189))=UPPER(TRIM('Raw data'!AY189))),2,0),0)</f>
        <v>0</v>
      </c>
      <c r="BA194" s="29">
        <f>IFERROR(IF(AND('Real results'!C189&lt;&gt;"",'Raw data'!BA189&lt;&gt;"",UPPER(TRIM('Real results'!C189))=UPPER(TRIM('Raw data'!BA189))),2,0),0)</f>
        <v>0</v>
      </c>
      <c r="BC194" s="29">
        <f>IFERROR(IF(AND('Real results'!C189&lt;&gt;"",'Raw data'!BC189&lt;&gt;"",UPPER(TRIM('Real results'!C189))=UPPER(TRIM('Raw data'!BC189))),2,0),0)</f>
        <v>0</v>
      </c>
      <c r="BE194" s="29">
        <f>IFERROR(IF(AND('Real results'!C189&lt;&gt;"",'Raw data'!BE189&lt;&gt;"",UPPER(TRIM('Real results'!C189))=UPPER(TRIM('Raw data'!BE189))),2,0),0)</f>
        <v>0</v>
      </c>
      <c r="BG194" s="29">
        <f>IFERROR(IF(AND('Real results'!C189&lt;&gt;"",'Raw data'!BG189&lt;&gt;"",UPPER(TRIM('Real results'!C189))=UPPER(TRIM('Raw data'!BG189))),2,0),0)</f>
        <v>0</v>
      </c>
      <c r="BI194" s="29">
        <f>IFERROR(IF(AND('Real results'!C189&lt;&gt;"",'Raw data'!BI189&lt;&gt;"",UPPER(TRIM('Real results'!C189))=UPPER(TRIM('Raw data'!BI189))),2,0),0)</f>
        <v>0</v>
      </c>
    </row>
    <row r="195" ht="18.0" customHeight="1">
      <c r="A195" s="1"/>
      <c r="B195" s="13" t="s">
        <v>476</v>
      </c>
      <c r="C195" s="29">
        <f>IFERROR(IF(AND(ISNUMBER('Real results'!C190),ISNUMBER('Real results'!D190),ISNUMBER('Raw data'!C190),ISNUMBER('Raw data'!D190)),IF(SIGN('Raw data'!C190-'Raw data'!D190)=SIGN('Real results'!C190-'Real results'!D190),3+IF(AND('Raw data'!C190='Real results'!C190,'Raw data'!D190='Real results'!D190),2,0),0),0),0)</f>
        <v>0</v>
      </c>
      <c r="E195" s="29">
        <f>IFERROR(IF(AND(ISNUMBER('Real results'!C190),ISNUMBER('Real results'!D190),ISNUMBER('Raw data'!E190),ISNUMBER('Raw data'!F190)),IF(SIGN('Raw data'!E190-'Raw data'!F190)=SIGN('Real results'!C190-'Real results'!D190),3+IF(AND('Raw data'!E190='Real results'!C190,'Raw data'!F190='Real results'!D190),2,0),0),0),0)</f>
        <v>0</v>
      </c>
      <c r="G195" s="29">
        <f>IFERROR(IF(AND(ISNUMBER('Real results'!C190),ISNUMBER('Real results'!D190),ISNUMBER('Raw data'!G190),ISNUMBER('Raw data'!H190)),IF(SIGN('Raw data'!G190-'Raw data'!H190)=SIGN('Real results'!C190-'Real results'!D190),3+IF(AND('Raw data'!G190='Real results'!C190,'Raw data'!H190='Real results'!D190),2,0),0),0),0)</f>
        <v>0</v>
      </c>
      <c r="I195" s="29">
        <f>IFERROR(IF(AND(ISNUMBER('Real results'!C190),ISNUMBER('Real results'!D190),ISNUMBER('Raw data'!I190),ISNUMBER('Raw data'!J190)),IF(SIGN('Raw data'!I190-'Raw data'!J190)=SIGN('Real results'!C190-'Real results'!D190),3+IF(AND('Raw data'!I190='Real results'!C190,'Raw data'!J190='Real results'!D190),2,0),0),0),0)</f>
        <v>0</v>
      </c>
      <c r="K195" s="29">
        <f>IFERROR(IF(AND(ISNUMBER('Real results'!C190),ISNUMBER('Real results'!D190),ISNUMBER('Raw data'!K190),ISNUMBER('Raw data'!L190)),IF(SIGN('Raw data'!K190-'Raw data'!L190)=SIGN('Real results'!C190-'Real results'!D190),3+IF(AND('Raw data'!K190='Real results'!C190,'Raw data'!L190='Real results'!D190),2,0),0),0),0)</f>
        <v>0</v>
      </c>
      <c r="M195" s="29">
        <f>IFERROR(IF(AND(ISNUMBER('Real results'!C190),ISNUMBER('Real results'!D190),ISNUMBER('Raw data'!M190),ISNUMBER('Raw data'!N190)),IF(SIGN('Raw data'!M190-'Raw data'!N190)=SIGN('Real results'!C190-'Real results'!D190),3+IF(AND('Raw data'!M190='Real results'!C190,'Raw data'!N190='Real results'!D190),2,0),0),0),0)</f>
        <v>0</v>
      </c>
      <c r="O195" s="29">
        <f>IFERROR(IF(AND(ISNUMBER('Real results'!C190),ISNUMBER('Real results'!D190),ISNUMBER('Raw data'!O190),ISNUMBER('Raw data'!P190)),IF(SIGN('Raw data'!O190-'Raw data'!P190)=SIGN('Real results'!C190-'Real results'!D190),3+IF(AND('Raw data'!O190='Real results'!C190,'Raw data'!P190='Real results'!D190),2,0),0),0),0)</f>
        <v>0</v>
      </c>
      <c r="Q195" s="29">
        <f>IFERROR(IF(AND(ISNUMBER('Real results'!C190),ISNUMBER('Real results'!D190),ISNUMBER('Raw data'!Q190),ISNUMBER('Raw data'!R190)),IF(SIGN('Raw data'!Q190-'Raw data'!R190)=SIGN('Real results'!C190-'Real results'!D190),3+IF(AND('Raw data'!Q190='Real results'!C190,'Raw data'!R190='Real results'!D190),2,0),0),0),0)</f>
        <v>0</v>
      </c>
      <c r="S195" s="29">
        <f>IFERROR(IF(AND(ISNUMBER('Real results'!C190),ISNUMBER('Real results'!D190),ISNUMBER('Raw data'!S190),ISNUMBER('Raw data'!T190)),IF(SIGN('Raw data'!S190-'Raw data'!T190)=SIGN('Real results'!C190-'Real results'!D190),3+IF(AND('Raw data'!S190='Real results'!C190,'Raw data'!T190='Real results'!D190),2,0),0),0),0)</f>
        <v>0</v>
      </c>
      <c r="U195" s="29">
        <f>IFERROR(IF(AND(ISNUMBER('Real results'!C190),ISNUMBER('Real results'!D190),ISNUMBER('Raw data'!U190),ISNUMBER('Raw data'!V190)),IF(SIGN('Raw data'!U190-'Raw data'!V190)=SIGN('Real results'!C190-'Real results'!D190),3+IF(AND('Raw data'!U190='Real results'!C190,'Raw data'!V190='Real results'!D190),2,0),0),0),0)</f>
        <v>0</v>
      </c>
      <c r="W195" s="29">
        <f>IFERROR(IF(AND(ISNUMBER('Real results'!C190),ISNUMBER('Real results'!D190),ISNUMBER('Raw data'!W190),ISNUMBER('Raw data'!X190)),IF(SIGN('Raw data'!W190-'Raw data'!X190)=SIGN('Real results'!C190-'Real results'!D190),3+IF(AND('Raw data'!W190='Real results'!C190,'Raw data'!X190='Real results'!D190),2,0),0),0),0)</f>
        <v>0</v>
      </c>
      <c r="Y195" s="29">
        <f>IFERROR(IF(AND(ISNUMBER('Real results'!C190),ISNUMBER('Real results'!D190),ISNUMBER('Raw data'!Y190),ISNUMBER('Raw data'!Z190)),IF(SIGN('Raw data'!Y190-'Raw data'!Z190)=SIGN('Real results'!C190-'Real results'!D190),3+IF(AND('Raw data'!Y190='Real results'!C190,'Raw data'!Z190='Real results'!D190),2,0),0),0),0)</f>
        <v>0</v>
      </c>
      <c r="AA195" s="29">
        <f>IFERROR(IF(AND(ISNUMBER('Real results'!C190),ISNUMBER('Real results'!D190),ISNUMBER('Raw data'!AA190),ISNUMBER('Raw data'!AB190)),IF(SIGN('Raw data'!AA190-'Raw data'!AB190)=SIGN('Real results'!C190-'Real results'!D190),3+IF(AND('Raw data'!AA190='Real results'!C190,'Raw data'!AB190='Real results'!D190),2,0),0),0),0)</f>
        <v>0</v>
      </c>
      <c r="AC195" s="29">
        <f>IFERROR(IF(AND(ISNUMBER('Real results'!C190),ISNUMBER('Real results'!D190),ISNUMBER('Raw data'!AC190),ISNUMBER('Raw data'!AD190)),IF(SIGN('Raw data'!AC190-'Raw data'!AD190)=SIGN('Real results'!C190-'Real results'!D190),3+IF(AND('Raw data'!AC190='Real results'!C190,'Raw data'!AD190='Real results'!D190),2,0),0),0),0)</f>
        <v>0</v>
      </c>
      <c r="AE195" s="29">
        <f>IFERROR(IF(AND(ISNUMBER('Real results'!C190),ISNUMBER('Real results'!D190),ISNUMBER('Raw data'!AE190),ISNUMBER('Raw data'!AF190)),IF(SIGN('Raw data'!AE190-'Raw data'!AF190)=SIGN('Real results'!C190-'Real results'!D190),3+IF(AND('Raw data'!AE190='Real results'!C190,'Raw data'!AF190='Real results'!D190),2,0),0),0),0)</f>
        <v>0</v>
      </c>
      <c r="AG195" s="29">
        <f>IFERROR(IF(AND(ISNUMBER('Real results'!C190),ISNUMBER('Real results'!D190),ISNUMBER('Raw data'!AG190),ISNUMBER('Raw data'!AH190)),IF(SIGN('Raw data'!AG190-'Raw data'!AH190)=SIGN('Real results'!C190-'Real results'!D190),3+IF(AND('Raw data'!AG190='Real results'!C190,'Raw data'!AH190='Real results'!D190),2,0),0),0),0)</f>
        <v>0</v>
      </c>
      <c r="AI195" s="29">
        <f>IFERROR(IF(AND(ISNUMBER('Real results'!C190),ISNUMBER('Real results'!D190),ISNUMBER('Raw data'!AI190),ISNUMBER('Raw data'!AJ190)),IF(SIGN('Raw data'!AI190-'Raw data'!AJ190)=SIGN('Real results'!C190-'Real results'!D190),3+IF(AND('Raw data'!AI190='Real results'!C190,'Raw data'!AJ190='Real results'!D190),2,0),0),0),0)</f>
        <v>0</v>
      </c>
      <c r="AK195" s="29">
        <f>IFERROR(IF(AND(ISNUMBER('Real results'!C190),ISNUMBER('Real results'!D190),ISNUMBER('Raw data'!AK190),ISNUMBER('Raw data'!AL190)),IF(SIGN('Raw data'!AK190-'Raw data'!AL190)=SIGN('Real results'!C190-'Real results'!D190),3+IF(AND('Raw data'!AK190='Real results'!C190,'Raw data'!AL190='Real results'!D190),2,0),0),0),0)</f>
        <v>0</v>
      </c>
      <c r="AM195" s="29">
        <f>IFERROR(IF(AND(ISNUMBER('Real results'!C190),ISNUMBER('Real results'!D190),ISNUMBER('Raw data'!AM190),ISNUMBER('Raw data'!AN190)),IF(SIGN('Raw data'!AM190-'Raw data'!AN190)=SIGN('Real results'!C190-'Real results'!D190),3+IF(AND('Raw data'!AM190='Real results'!C190,'Raw data'!AN190='Real results'!D190),2,0),0),0),0)</f>
        <v>0</v>
      </c>
      <c r="AO195" s="29">
        <f>IFERROR(IF(AND(ISNUMBER('Real results'!C190),ISNUMBER('Real results'!D190),ISNUMBER('Raw data'!AO190),ISNUMBER('Raw data'!AP190)),IF(SIGN('Raw data'!AO190-'Raw data'!AP190)=SIGN('Real results'!C190-'Real results'!D190),3+IF(AND('Raw data'!AO190='Real results'!C190,'Raw data'!AP190='Real results'!D190),2,0),0),0),0)</f>
        <v>0</v>
      </c>
      <c r="AQ195" s="29">
        <f>IFERROR(IF(AND(ISNUMBER('Real results'!C190),ISNUMBER('Real results'!D190),ISNUMBER('Raw data'!AQ190),ISNUMBER('Raw data'!AR190)),IF(SIGN('Raw data'!AQ190-'Raw data'!AR190)=SIGN('Real results'!C190-'Real results'!D190),3+IF(AND('Raw data'!AQ190='Real results'!C190,'Raw data'!AR190='Real results'!D190),2,0),0),0),0)</f>
        <v>0</v>
      </c>
      <c r="AS195" s="29">
        <f>IFERROR(IF(AND(ISNUMBER('Real results'!C190),ISNUMBER('Real results'!D190),ISNUMBER('Raw data'!AS190),ISNUMBER('Raw data'!AT190)),IF(SIGN('Raw data'!AS190-'Raw data'!AT190)=SIGN('Real results'!C190-'Real results'!D190),3+IF(AND('Raw data'!AS190='Real results'!C190,'Raw data'!AT190='Real results'!D190),2,0),0),0),0)</f>
        <v>0</v>
      </c>
      <c r="AU195" s="29">
        <f>IFERROR(IF(AND(ISNUMBER('Real results'!C190),ISNUMBER('Real results'!D190),ISNUMBER('Raw data'!AU190),ISNUMBER('Raw data'!AV190)),IF(SIGN('Raw data'!AU190-'Raw data'!AV190)=SIGN('Real results'!C190-'Real results'!D190),3+IF(AND('Raw data'!AU190='Real results'!C190,'Raw data'!AV190='Real results'!D190),2,0),0),0),0)</f>
        <v>0</v>
      </c>
      <c r="AW195" s="29">
        <f>IFERROR(IF(AND(ISNUMBER('Real results'!C190),ISNUMBER('Real results'!D190),ISNUMBER('Raw data'!AW190),ISNUMBER('Raw data'!AX190)),IF(SIGN('Raw data'!AW190-'Raw data'!AX190)=SIGN('Real results'!C190-'Real results'!D190),3+IF(AND('Raw data'!AW190='Real results'!C190,'Raw data'!AX190='Real results'!D190),2,0),0),0),0)</f>
        <v>0</v>
      </c>
      <c r="AY195" s="29">
        <f>IFERROR(IF(AND(ISNUMBER('Real results'!C190),ISNUMBER('Real results'!D190),ISNUMBER('Raw data'!AY190),ISNUMBER('Raw data'!AZ190)),IF(SIGN('Raw data'!AY190-'Raw data'!AZ190)=SIGN('Real results'!C190-'Real results'!D190),3+IF(AND('Raw data'!AY190='Real results'!C190,'Raw data'!AZ190='Real results'!D190),2,0),0),0),0)</f>
        <v>0</v>
      </c>
      <c r="BA195" s="29">
        <f>IFERROR(IF(AND(ISNUMBER('Real results'!C190),ISNUMBER('Real results'!D190),ISNUMBER('Raw data'!BA190),ISNUMBER('Raw data'!BB190)),IF(SIGN('Raw data'!BA190-'Raw data'!BB190)=SIGN('Real results'!C190-'Real results'!D190),3+IF(AND('Raw data'!BA190='Real results'!C190,'Raw data'!BB190='Real results'!D190),2,0),0),0),0)</f>
        <v>0</v>
      </c>
      <c r="BC195" s="29">
        <f>IFERROR(IF(AND(ISNUMBER('Real results'!C190),ISNUMBER('Real results'!D190),ISNUMBER('Raw data'!BC190),ISNUMBER('Raw data'!BD190)),IF(SIGN('Raw data'!BC190-'Raw data'!BD190)=SIGN('Real results'!C190-'Real results'!D190),3+IF(AND('Raw data'!BC190='Real results'!C190,'Raw data'!BD190='Real results'!D190),2,0),0),0),0)</f>
        <v>0</v>
      </c>
      <c r="BE195" s="29">
        <f>IFERROR(IF(AND(ISNUMBER('Real results'!C190),ISNUMBER('Real results'!D190),ISNUMBER('Raw data'!BE190),ISNUMBER('Raw data'!BF190)),IF(SIGN('Raw data'!BE190-'Raw data'!BF190)=SIGN('Real results'!C190-'Real results'!D190),3+IF(AND('Raw data'!BE190='Real results'!C190,'Raw data'!BF190='Real results'!D190),2,0),0),0),0)</f>
        <v>0</v>
      </c>
      <c r="BG195" s="29">
        <f>IFERROR(IF(AND(ISNUMBER('Real results'!C190),ISNUMBER('Real results'!D190),ISNUMBER('Raw data'!BG190),ISNUMBER('Raw data'!BH190)),IF(SIGN('Raw data'!BG190-'Raw data'!BH190)=SIGN('Real results'!C190-'Real results'!D190),3+IF(AND('Raw data'!BG190='Real results'!C190,'Raw data'!BH190='Real results'!D190),2,0),0),0),0)</f>
        <v>0</v>
      </c>
      <c r="BI195" s="29">
        <f>IFERROR(IF(AND(ISNUMBER('Real results'!C190),ISNUMBER('Real results'!D190),ISNUMBER('Raw data'!BI190),ISNUMBER('Raw data'!BJ190)),IF(SIGN('Raw data'!BI190-'Raw data'!BJ190)=SIGN('Real results'!C190-'Real results'!D190),3+IF(AND('Raw data'!BI190='Real results'!C190,'Raw data'!BJ190='Real results'!D190),2,0),0),0),0)</f>
        <v>0</v>
      </c>
    </row>
    <row r="196" ht="18.0" customHeight="1">
      <c r="A196" s="1"/>
      <c r="B196" s="13" t="s">
        <v>477</v>
      </c>
      <c r="C196" s="29">
        <f>IFERROR(IF(AND('Real results'!C191&lt;&gt;"",'Raw data'!C191&lt;&gt;"",UPPER(TRIM('Real results'!C191))=UPPER(TRIM('Raw data'!C191))),1,0),0)</f>
        <v>0</v>
      </c>
      <c r="E196" s="29">
        <f>IFERROR(IF(AND('Real results'!C191&lt;&gt;"",'Raw data'!E191&lt;&gt;"",UPPER(TRIM('Real results'!C191))=UPPER(TRIM('Raw data'!E191))),1,0),0)</f>
        <v>0</v>
      </c>
      <c r="G196" s="29">
        <f>IFERROR(IF(AND('Real results'!C191&lt;&gt;"",'Raw data'!G191&lt;&gt;"",UPPER(TRIM('Real results'!C191))=UPPER(TRIM('Raw data'!G191))),1,0),0)</f>
        <v>0</v>
      </c>
      <c r="I196" s="29">
        <f>IFERROR(IF(AND('Real results'!C191&lt;&gt;"",'Raw data'!I191&lt;&gt;"",UPPER(TRIM('Real results'!C191))=UPPER(TRIM('Raw data'!I191))),1,0),0)</f>
        <v>0</v>
      </c>
      <c r="K196" s="29">
        <f>IFERROR(IF(AND('Real results'!C191&lt;&gt;"",'Raw data'!K191&lt;&gt;"",UPPER(TRIM('Real results'!C191))=UPPER(TRIM('Raw data'!K191))),1,0),0)</f>
        <v>0</v>
      </c>
      <c r="M196" s="29">
        <f>IFERROR(IF(AND('Real results'!C191&lt;&gt;"",'Raw data'!M191&lt;&gt;"",UPPER(TRIM('Real results'!C191))=UPPER(TRIM('Raw data'!M191))),1,0),0)</f>
        <v>0</v>
      </c>
      <c r="O196" s="29">
        <f>IFERROR(IF(AND('Real results'!C191&lt;&gt;"",'Raw data'!O191&lt;&gt;"",UPPER(TRIM('Real results'!C191))=UPPER(TRIM('Raw data'!O191))),1,0),0)</f>
        <v>0</v>
      </c>
      <c r="Q196" s="29">
        <f>IFERROR(IF(AND('Real results'!C191&lt;&gt;"",'Raw data'!Q191&lt;&gt;"",UPPER(TRIM('Real results'!C191))=UPPER(TRIM('Raw data'!Q191))),1,0),0)</f>
        <v>0</v>
      </c>
      <c r="S196" s="29">
        <f>IFERROR(IF(AND('Real results'!C191&lt;&gt;"",'Raw data'!S191&lt;&gt;"",UPPER(TRIM('Real results'!C191))=UPPER(TRIM('Raw data'!S191))),1,0),0)</f>
        <v>0</v>
      </c>
      <c r="U196" s="29">
        <f>IFERROR(IF(AND('Real results'!C191&lt;&gt;"",'Raw data'!U191&lt;&gt;"",UPPER(TRIM('Real results'!C191))=UPPER(TRIM('Raw data'!U191))),1,0),0)</f>
        <v>0</v>
      </c>
      <c r="W196" s="29">
        <f>IFERROR(IF(AND('Real results'!C191&lt;&gt;"",'Raw data'!W191&lt;&gt;"",UPPER(TRIM('Real results'!C191))=UPPER(TRIM('Raw data'!W191))),1,0),0)</f>
        <v>0</v>
      </c>
      <c r="Y196" s="29">
        <f>IFERROR(IF(AND('Real results'!C191&lt;&gt;"",'Raw data'!Y191&lt;&gt;"",UPPER(TRIM('Real results'!C191))=UPPER(TRIM('Raw data'!Y191))),1,0),0)</f>
        <v>0</v>
      </c>
      <c r="AA196" s="29">
        <f>IFERROR(IF(AND('Real results'!C191&lt;&gt;"",'Raw data'!AA191&lt;&gt;"",UPPER(TRIM('Real results'!C191))=UPPER(TRIM('Raw data'!AA191))),1,0),0)</f>
        <v>0</v>
      </c>
      <c r="AC196" s="29">
        <f>IFERROR(IF(AND('Real results'!C191&lt;&gt;"",'Raw data'!AC191&lt;&gt;"",UPPER(TRIM('Real results'!C191))=UPPER(TRIM('Raw data'!AC191))),1,0),0)</f>
        <v>0</v>
      </c>
      <c r="AE196" s="29">
        <f>IFERROR(IF(AND('Real results'!C191&lt;&gt;"",'Raw data'!AE191&lt;&gt;"",UPPER(TRIM('Real results'!C191))=UPPER(TRIM('Raw data'!AE191))),1,0),0)</f>
        <v>0</v>
      </c>
      <c r="AG196" s="29">
        <f>IFERROR(IF(AND('Real results'!C191&lt;&gt;"",'Raw data'!AG191&lt;&gt;"",UPPER(TRIM('Real results'!C191))=UPPER(TRIM('Raw data'!AG191))),1,0),0)</f>
        <v>0</v>
      </c>
      <c r="AI196" s="29">
        <f>IFERROR(IF(AND('Real results'!C191&lt;&gt;"",'Raw data'!AI191&lt;&gt;"",UPPER(TRIM('Real results'!C191))=UPPER(TRIM('Raw data'!AI191))),1,0),0)</f>
        <v>0</v>
      </c>
      <c r="AK196" s="29">
        <f>IFERROR(IF(AND('Real results'!C191&lt;&gt;"",'Raw data'!AK191&lt;&gt;"",UPPER(TRIM('Real results'!C191))=UPPER(TRIM('Raw data'!AK191))),1,0),0)</f>
        <v>0</v>
      </c>
      <c r="AM196" s="29">
        <f>IFERROR(IF(AND('Real results'!C191&lt;&gt;"",'Raw data'!AM191&lt;&gt;"",UPPER(TRIM('Real results'!C191))=UPPER(TRIM('Raw data'!AM191))),1,0),0)</f>
        <v>0</v>
      </c>
      <c r="AO196" s="29">
        <f>IFERROR(IF(AND('Real results'!C191&lt;&gt;"",'Raw data'!AO191&lt;&gt;"",UPPER(TRIM('Real results'!C191))=UPPER(TRIM('Raw data'!AO191))),1,0),0)</f>
        <v>0</v>
      </c>
      <c r="AQ196" s="29">
        <f>IFERROR(IF(AND('Real results'!C191&lt;&gt;"",'Raw data'!AQ191&lt;&gt;"",UPPER(TRIM('Real results'!C191))=UPPER(TRIM('Raw data'!AQ191))),1,0),0)</f>
        <v>0</v>
      </c>
      <c r="AS196" s="29">
        <f>IFERROR(IF(AND('Real results'!C191&lt;&gt;"",'Raw data'!AS191&lt;&gt;"",UPPER(TRIM('Real results'!C191))=UPPER(TRIM('Raw data'!AS191))),1,0),0)</f>
        <v>0</v>
      </c>
      <c r="AU196" s="29">
        <f>IFERROR(IF(AND('Real results'!C191&lt;&gt;"",'Raw data'!AU191&lt;&gt;"",UPPER(TRIM('Real results'!C191))=UPPER(TRIM('Raw data'!AU191))),1,0),0)</f>
        <v>0</v>
      </c>
      <c r="AW196" s="29">
        <f>IFERROR(IF(AND('Real results'!C191&lt;&gt;"",'Raw data'!AW191&lt;&gt;"",UPPER(TRIM('Real results'!C191))=UPPER(TRIM('Raw data'!AW191))),1,0),0)</f>
        <v>0</v>
      </c>
      <c r="AY196" s="29">
        <f>IFERROR(IF(AND('Real results'!C191&lt;&gt;"",'Raw data'!AY191&lt;&gt;"",UPPER(TRIM('Real results'!C191))=UPPER(TRIM('Raw data'!AY191))),1,0),0)</f>
        <v>0</v>
      </c>
      <c r="BA196" s="29">
        <f>IFERROR(IF(AND('Real results'!C191&lt;&gt;"",'Raw data'!BA191&lt;&gt;"",UPPER(TRIM('Real results'!C191))=UPPER(TRIM('Raw data'!BA191))),1,0),0)</f>
        <v>0</v>
      </c>
      <c r="BC196" s="29">
        <f>IFERROR(IF(AND('Real results'!C191&lt;&gt;"",'Raw data'!BC191&lt;&gt;"",UPPER(TRIM('Real results'!C191))=UPPER(TRIM('Raw data'!BC191))),1,0),0)</f>
        <v>0</v>
      </c>
      <c r="BE196" s="29">
        <f>IFERROR(IF(AND('Real results'!C191&lt;&gt;"",'Raw data'!BE191&lt;&gt;"",UPPER(TRIM('Real results'!C191))=UPPER(TRIM('Raw data'!BE191))),1,0),0)</f>
        <v>0</v>
      </c>
      <c r="BG196" s="29">
        <f>IFERROR(IF(AND('Real results'!C191&lt;&gt;"",'Raw data'!BG191&lt;&gt;"",UPPER(TRIM('Real results'!C191))=UPPER(TRIM('Raw data'!BG191))),1,0),0)</f>
        <v>0</v>
      </c>
      <c r="BI196" s="29">
        <f>IFERROR(IF(AND('Real results'!C191&lt;&gt;"",'Raw data'!BI191&lt;&gt;"",UPPER(TRIM('Real results'!C191))=UPPER(TRIM('Raw data'!BI191))),1,0),0)</f>
        <v>0</v>
      </c>
    </row>
    <row r="197" ht="18.0" customHeight="1">
      <c r="A197" s="1"/>
      <c r="B197" s="13" t="s">
        <v>478</v>
      </c>
      <c r="C197" s="29">
        <f>IFERROR(IF(AND('Real results'!C192&lt;&gt;"",'Raw data'!C192&lt;&gt;"",UPPER(TRIM('Real results'!C192))=UPPER(TRIM('Raw data'!C192))),2,0),0)</f>
        <v>0</v>
      </c>
      <c r="E197" s="29">
        <f>IFERROR(IF(AND('Real results'!C192&lt;&gt;"",'Raw data'!E192&lt;&gt;"",UPPER(TRIM('Real results'!C192))=UPPER(TRIM('Raw data'!E192))),2,0),0)</f>
        <v>0</v>
      </c>
      <c r="G197" s="29">
        <f>IFERROR(IF(AND('Real results'!C192&lt;&gt;"",'Raw data'!G192&lt;&gt;"",UPPER(TRIM('Real results'!C192))=UPPER(TRIM('Raw data'!G192))),2,0),0)</f>
        <v>0</v>
      </c>
      <c r="I197" s="29">
        <f>IFERROR(IF(AND('Real results'!C192&lt;&gt;"",'Raw data'!I192&lt;&gt;"",UPPER(TRIM('Real results'!C192))=UPPER(TRIM('Raw data'!I192))),2,0),0)</f>
        <v>0</v>
      </c>
      <c r="K197" s="29">
        <f>IFERROR(IF(AND('Real results'!C192&lt;&gt;"",'Raw data'!K192&lt;&gt;"",UPPER(TRIM('Real results'!C192))=UPPER(TRIM('Raw data'!K192))),2,0),0)</f>
        <v>0</v>
      </c>
      <c r="M197" s="29">
        <f>IFERROR(IF(AND('Real results'!C192&lt;&gt;"",'Raw data'!M192&lt;&gt;"",UPPER(TRIM('Real results'!C192))=UPPER(TRIM('Raw data'!M192))),2,0),0)</f>
        <v>0</v>
      </c>
      <c r="O197" s="29">
        <f>IFERROR(IF(AND('Real results'!C192&lt;&gt;"",'Raw data'!O192&lt;&gt;"",UPPER(TRIM('Real results'!C192))=UPPER(TRIM('Raw data'!O192))),2,0),0)</f>
        <v>0</v>
      </c>
      <c r="Q197" s="29">
        <f>IFERROR(IF(AND('Real results'!C192&lt;&gt;"",'Raw data'!Q192&lt;&gt;"",UPPER(TRIM('Real results'!C192))=UPPER(TRIM('Raw data'!Q192))),2,0),0)</f>
        <v>0</v>
      </c>
      <c r="S197" s="29">
        <f>IFERROR(IF(AND('Real results'!C192&lt;&gt;"",'Raw data'!S192&lt;&gt;"",UPPER(TRIM('Real results'!C192))=UPPER(TRIM('Raw data'!S192))),2,0),0)</f>
        <v>0</v>
      </c>
      <c r="U197" s="29">
        <f>IFERROR(IF(AND('Real results'!C192&lt;&gt;"",'Raw data'!U192&lt;&gt;"",UPPER(TRIM('Real results'!C192))=UPPER(TRIM('Raw data'!U192))),2,0),0)</f>
        <v>0</v>
      </c>
      <c r="W197" s="29">
        <f>IFERROR(IF(AND('Real results'!C192&lt;&gt;"",'Raw data'!W192&lt;&gt;"",UPPER(TRIM('Real results'!C192))=UPPER(TRIM('Raw data'!W192))),2,0),0)</f>
        <v>0</v>
      </c>
      <c r="Y197" s="29">
        <f>IFERROR(IF(AND('Real results'!C192&lt;&gt;"",'Raw data'!Y192&lt;&gt;"",UPPER(TRIM('Real results'!C192))=UPPER(TRIM('Raw data'!Y192))),2,0),0)</f>
        <v>0</v>
      </c>
      <c r="AA197" s="29">
        <f>IFERROR(IF(AND('Real results'!C192&lt;&gt;"",'Raw data'!AA192&lt;&gt;"",UPPER(TRIM('Real results'!C192))=UPPER(TRIM('Raw data'!AA192))),2,0),0)</f>
        <v>0</v>
      </c>
      <c r="AC197" s="29">
        <f>IFERROR(IF(AND('Real results'!C192&lt;&gt;"",'Raw data'!AC192&lt;&gt;"",UPPER(TRIM('Real results'!C192))=UPPER(TRIM('Raw data'!AC192))),2,0),0)</f>
        <v>0</v>
      </c>
      <c r="AE197" s="29">
        <f>IFERROR(IF(AND('Real results'!C192&lt;&gt;"",'Raw data'!AE192&lt;&gt;"",UPPER(TRIM('Real results'!C192))=UPPER(TRIM('Raw data'!AE192))),2,0),0)</f>
        <v>0</v>
      </c>
      <c r="AG197" s="29">
        <f>IFERROR(IF(AND('Real results'!C192&lt;&gt;"",'Raw data'!AG192&lt;&gt;"",UPPER(TRIM('Real results'!C192))=UPPER(TRIM('Raw data'!AG192))),2,0),0)</f>
        <v>0</v>
      </c>
      <c r="AI197" s="29">
        <f>IFERROR(IF(AND('Real results'!C192&lt;&gt;"",'Raw data'!AI192&lt;&gt;"",UPPER(TRIM('Real results'!C192))=UPPER(TRIM('Raw data'!AI192))),2,0),0)</f>
        <v>0</v>
      </c>
      <c r="AK197" s="29">
        <f>IFERROR(IF(AND('Real results'!C192&lt;&gt;"",'Raw data'!AK192&lt;&gt;"",UPPER(TRIM('Real results'!C192))=UPPER(TRIM('Raw data'!AK192))),2,0),0)</f>
        <v>0</v>
      </c>
      <c r="AM197" s="29">
        <f>IFERROR(IF(AND('Real results'!C192&lt;&gt;"",'Raw data'!AM192&lt;&gt;"",UPPER(TRIM('Real results'!C192))=UPPER(TRIM('Raw data'!AM192))),2,0),0)</f>
        <v>0</v>
      </c>
      <c r="AO197" s="29">
        <f>IFERROR(IF(AND('Real results'!C192&lt;&gt;"",'Raw data'!AO192&lt;&gt;"",UPPER(TRIM('Real results'!C192))=UPPER(TRIM('Raw data'!AO192))),2,0),0)</f>
        <v>0</v>
      </c>
      <c r="AQ197" s="29">
        <f>IFERROR(IF(AND('Real results'!C192&lt;&gt;"",'Raw data'!AQ192&lt;&gt;"",UPPER(TRIM('Real results'!C192))=UPPER(TRIM('Raw data'!AQ192))),2,0),0)</f>
        <v>0</v>
      </c>
      <c r="AS197" s="29">
        <f>IFERROR(IF(AND('Real results'!C192&lt;&gt;"",'Raw data'!AS192&lt;&gt;"",UPPER(TRIM('Real results'!C192))=UPPER(TRIM('Raw data'!AS192))),2,0),0)</f>
        <v>0</v>
      </c>
      <c r="AU197" s="29">
        <f>IFERROR(IF(AND('Real results'!C192&lt;&gt;"",'Raw data'!AU192&lt;&gt;"",UPPER(TRIM('Real results'!C192))=UPPER(TRIM('Raw data'!AU192))),2,0),0)</f>
        <v>0</v>
      </c>
      <c r="AW197" s="29">
        <f>IFERROR(IF(AND('Real results'!C192&lt;&gt;"",'Raw data'!AW192&lt;&gt;"",UPPER(TRIM('Real results'!C192))=UPPER(TRIM('Raw data'!AW192))),2,0),0)</f>
        <v>0</v>
      </c>
      <c r="AY197" s="29">
        <f>IFERROR(IF(AND('Real results'!C192&lt;&gt;"",'Raw data'!AY192&lt;&gt;"",UPPER(TRIM('Real results'!C192))=UPPER(TRIM('Raw data'!AY192))),2,0),0)</f>
        <v>0</v>
      </c>
      <c r="BA197" s="29">
        <f>IFERROR(IF(AND('Real results'!C192&lt;&gt;"",'Raw data'!BA192&lt;&gt;"",UPPER(TRIM('Real results'!C192))=UPPER(TRIM('Raw data'!BA192))),2,0),0)</f>
        <v>0</v>
      </c>
      <c r="BC197" s="29">
        <f>IFERROR(IF(AND('Real results'!C192&lt;&gt;"",'Raw data'!BC192&lt;&gt;"",UPPER(TRIM('Real results'!C192))=UPPER(TRIM('Raw data'!BC192))),2,0),0)</f>
        <v>0</v>
      </c>
      <c r="BE197" s="29">
        <f>IFERROR(IF(AND('Real results'!C192&lt;&gt;"",'Raw data'!BE192&lt;&gt;"",UPPER(TRIM('Real results'!C192))=UPPER(TRIM('Raw data'!BE192))),2,0),0)</f>
        <v>0</v>
      </c>
      <c r="BG197" s="29">
        <f>IFERROR(IF(AND('Real results'!C192&lt;&gt;"",'Raw data'!BG192&lt;&gt;"",UPPER(TRIM('Real results'!C192))=UPPER(TRIM('Raw data'!BG192))),2,0),0)</f>
        <v>0</v>
      </c>
      <c r="BI197" s="29">
        <f>IFERROR(IF(AND('Real results'!C192&lt;&gt;"",'Raw data'!BI192&lt;&gt;"",UPPER(TRIM('Real results'!C192))=UPPER(TRIM('Raw data'!BI192))),2,0),0)</f>
        <v>0</v>
      </c>
    </row>
    <row r="198" ht="18.0" customHeight="1">
      <c r="A198" s="1"/>
      <c r="B198" s="13" t="s">
        <v>479</v>
      </c>
      <c r="C198" s="29">
        <f>IFERROR(IF(AND(ISNUMBER('Real results'!C193),ISNUMBER('Real results'!D193),ISNUMBER('Raw data'!C193),ISNUMBER('Raw data'!D193)),IF(SIGN('Raw data'!C193-'Raw data'!D193)=SIGN('Real results'!C193-'Real results'!D193),3+IF(AND('Raw data'!C193='Real results'!C193,'Raw data'!D193='Real results'!D193),2,0),0),0),0)</f>
        <v>0</v>
      </c>
      <c r="E198" s="29">
        <f>IFERROR(IF(AND(ISNUMBER('Real results'!C193),ISNUMBER('Real results'!D193),ISNUMBER('Raw data'!E193),ISNUMBER('Raw data'!F193)),IF(SIGN('Raw data'!E193-'Raw data'!F193)=SIGN('Real results'!C193-'Real results'!D193),3+IF(AND('Raw data'!E193='Real results'!C193,'Raw data'!F193='Real results'!D193),2,0),0),0),0)</f>
        <v>0</v>
      </c>
      <c r="G198" s="29">
        <f>IFERROR(IF(AND(ISNUMBER('Real results'!C193),ISNUMBER('Real results'!D193),ISNUMBER('Raw data'!G193),ISNUMBER('Raw data'!H193)),IF(SIGN('Raw data'!G193-'Raw data'!H193)=SIGN('Real results'!C193-'Real results'!D193),3+IF(AND('Raw data'!G193='Real results'!C193,'Raw data'!H193='Real results'!D193),2,0),0),0),0)</f>
        <v>0</v>
      </c>
      <c r="I198" s="29">
        <f>IFERROR(IF(AND(ISNUMBER('Real results'!C193),ISNUMBER('Real results'!D193),ISNUMBER('Raw data'!I193),ISNUMBER('Raw data'!J193)),IF(SIGN('Raw data'!I193-'Raw data'!J193)=SIGN('Real results'!C193-'Real results'!D193),3+IF(AND('Raw data'!I193='Real results'!C193,'Raw data'!J193='Real results'!D193),2,0),0),0),0)</f>
        <v>0</v>
      </c>
      <c r="K198" s="29">
        <f>IFERROR(IF(AND(ISNUMBER('Real results'!C193),ISNUMBER('Real results'!D193),ISNUMBER('Raw data'!K193),ISNUMBER('Raw data'!L193)),IF(SIGN('Raw data'!K193-'Raw data'!L193)=SIGN('Real results'!C193-'Real results'!D193),3+IF(AND('Raw data'!K193='Real results'!C193,'Raw data'!L193='Real results'!D193),2,0),0),0),0)</f>
        <v>0</v>
      </c>
      <c r="M198" s="29">
        <f>IFERROR(IF(AND(ISNUMBER('Real results'!C193),ISNUMBER('Real results'!D193),ISNUMBER('Raw data'!M193),ISNUMBER('Raw data'!N193)),IF(SIGN('Raw data'!M193-'Raw data'!N193)=SIGN('Real results'!C193-'Real results'!D193),3+IF(AND('Raw data'!M193='Real results'!C193,'Raw data'!N193='Real results'!D193),2,0),0),0),0)</f>
        <v>0</v>
      </c>
      <c r="O198" s="29">
        <f>IFERROR(IF(AND(ISNUMBER('Real results'!C193),ISNUMBER('Real results'!D193),ISNUMBER('Raw data'!O193),ISNUMBER('Raw data'!P193)),IF(SIGN('Raw data'!O193-'Raw data'!P193)=SIGN('Real results'!C193-'Real results'!D193),3+IF(AND('Raw data'!O193='Real results'!C193,'Raw data'!P193='Real results'!D193),2,0),0),0),0)</f>
        <v>0</v>
      </c>
      <c r="Q198" s="29">
        <f>IFERROR(IF(AND(ISNUMBER('Real results'!C193),ISNUMBER('Real results'!D193),ISNUMBER('Raw data'!Q193),ISNUMBER('Raw data'!R193)),IF(SIGN('Raw data'!Q193-'Raw data'!R193)=SIGN('Real results'!C193-'Real results'!D193),3+IF(AND('Raw data'!Q193='Real results'!C193,'Raw data'!R193='Real results'!D193),2,0),0),0),0)</f>
        <v>0</v>
      </c>
      <c r="S198" s="29">
        <f>IFERROR(IF(AND(ISNUMBER('Real results'!C193),ISNUMBER('Real results'!D193),ISNUMBER('Raw data'!S193),ISNUMBER('Raw data'!T193)),IF(SIGN('Raw data'!S193-'Raw data'!T193)=SIGN('Real results'!C193-'Real results'!D193),3+IF(AND('Raw data'!S193='Real results'!C193,'Raw data'!T193='Real results'!D193),2,0),0),0),0)</f>
        <v>0</v>
      </c>
      <c r="U198" s="29">
        <f>IFERROR(IF(AND(ISNUMBER('Real results'!C193),ISNUMBER('Real results'!D193),ISNUMBER('Raw data'!U193),ISNUMBER('Raw data'!V193)),IF(SIGN('Raw data'!U193-'Raw data'!V193)=SIGN('Real results'!C193-'Real results'!D193),3+IF(AND('Raw data'!U193='Real results'!C193,'Raw data'!V193='Real results'!D193),2,0),0),0),0)</f>
        <v>0</v>
      </c>
      <c r="W198" s="29">
        <f>IFERROR(IF(AND(ISNUMBER('Real results'!C193),ISNUMBER('Real results'!D193),ISNUMBER('Raw data'!W193),ISNUMBER('Raw data'!X193)),IF(SIGN('Raw data'!W193-'Raw data'!X193)=SIGN('Real results'!C193-'Real results'!D193),3+IF(AND('Raw data'!W193='Real results'!C193,'Raw data'!X193='Real results'!D193),2,0),0),0),0)</f>
        <v>0</v>
      </c>
      <c r="Y198" s="29">
        <f>IFERROR(IF(AND(ISNUMBER('Real results'!C193),ISNUMBER('Real results'!D193),ISNUMBER('Raw data'!Y193),ISNUMBER('Raw data'!Z193)),IF(SIGN('Raw data'!Y193-'Raw data'!Z193)=SIGN('Real results'!C193-'Real results'!D193),3+IF(AND('Raw data'!Y193='Real results'!C193,'Raw data'!Z193='Real results'!D193),2,0),0),0),0)</f>
        <v>0</v>
      </c>
      <c r="AA198" s="29">
        <f>IFERROR(IF(AND(ISNUMBER('Real results'!C193),ISNUMBER('Real results'!D193),ISNUMBER('Raw data'!AA193),ISNUMBER('Raw data'!AB193)),IF(SIGN('Raw data'!AA193-'Raw data'!AB193)=SIGN('Real results'!C193-'Real results'!D193),3+IF(AND('Raw data'!AA193='Real results'!C193,'Raw data'!AB193='Real results'!D193),2,0),0),0),0)</f>
        <v>0</v>
      </c>
      <c r="AC198" s="29">
        <f>IFERROR(IF(AND(ISNUMBER('Real results'!C193),ISNUMBER('Real results'!D193),ISNUMBER('Raw data'!AC193),ISNUMBER('Raw data'!AD193)),IF(SIGN('Raw data'!AC193-'Raw data'!AD193)=SIGN('Real results'!C193-'Real results'!D193),3+IF(AND('Raw data'!AC193='Real results'!C193,'Raw data'!AD193='Real results'!D193),2,0),0),0),0)</f>
        <v>0</v>
      </c>
      <c r="AE198" s="29">
        <f>IFERROR(IF(AND(ISNUMBER('Real results'!C193),ISNUMBER('Real results'!D193),ISNUMBER('Raw data'!AE193),ISNUMBER('Raw data'!AF193)),IF(SIGN('Raw data'!AE193-'Raw data'!AF193)=SIGN('Real results'!C193-'Real results'!D193),3+IF(AND('Raw data'!AE193='Real results'!C193,'Raw data'!AF193='Real results'!D193),2,0),0),0),0)</f>
        <v>0</v>
      </c>
      <c r="AG198" s="29">
        <f>IFERROR(IF(AND(ISNUMBER('Real results'!C193),ISNUMBER('Real results'!D193),ISNUMBER('Raw data'!AG193),ISNUMBER('Raw data'!AH193)),IF(SIGN('Raw data'!AG193-'Raw data'!AH193)=SIGN('Real results'!C193-'Real results'!D193),3+IF(AND('Raw data'!AG193='Real results'!C193,'Raw data'!AH193='Real results'!D193),2,0),0),0),0)</f>
        <v>0</v>
      </c>
      <c r="AI198" s="29">
        <f>IFERROR(IF(AND(ISNUMBER('Real results'!C193),ISNUMBER('Real results'!D193),ISNUMBER('Raw data'!AI193),ISNUMBER('Raw data'!AJ193)),IF(SIGN('Raw data'!AI193-'Raw data'!AJ193)=SIGN('Real results'!C193-'Real results'!D193),3+IF(AND('Raw data'!AI193='Real results'!C193,'Raw data'!AJ193='Real results'!D193),2,0),0),0),0)</f>
        <v>0</v>
      </c>
      <c r="AK198" s="29">
        <f>IFERROR(IF(AND(ISNUMBER('Real results'!C193),ISNUMBER('Real results'!D193),ISNUMBER('Raw data'!AK193),ISNUMBER('Raw data'!AL193)),IF(SIGN('Raw data'!AK193-'Raw data'!AL193)=SIGN('Real results'!C193-'Real results'!D193),3+IF(AND('Raw data'!AK193='Real results'!C193,'Raw data'!AL193='Real results'!D193),2,0),0),0),0)</f>
        <v>0</v>
      </c>
      <c r="AM198" s="29">
        <f>IFERROR(IF(AND(ISNUMBER('Real results'!C193),ISNUMBER('Real results'!D193),ISNUMBER('Raw data'!AM193),ISNUMBER('Raw data'!AN193)),IF(SIGN('Raw data'!AM193-'Raw data'!AN193)=SIGN('Real results'!C193-'Real results'!D193),3+IF(AND('Raw data'!AM193='Real results'!C193,'Raw data'!AN193='Real results'!D193),2,0),0),0),0)</f>
        <v>0</v>
      </c>
      <c r="AO198" s="29">
        <f>IFERROR(IF(AND(ISNUMBER('Real results'!C193),ISNUMBER('Real results'!D193),ISNUMBER('Raw data'!AO193),ISNUMBER('Raw data'!AP193)),IF(SIGN('Raw data'!AO193-'Raw data'!AP193)=SIGN('Real results'!C193-'Real results'!D193),3+IF(AND('Raw data'!AO193='Real results'!C193,'Raw data'!AP193='Real results'!D193),2,0),0),0),0)</f>
        <v>0</v>
      </c>
      <c r="AQ198" s="29">
        <f>IFERROR(IF(AND(ISNUMBER('Real results'!C193),ISNUMBER('Real results'!D193),ISNUMBER('Raw data'!AQ193),ISNUMBER('Raw data'!AR193)),IF(SIGN('Raw data'!AQ193-'Raw data'!AR193)=SIGN('Real results'!C193-'Real results'!D193),3+IF(AND('Raw data'!AQ193='Real results'!C193,'Raw data'!AR193='Real results'!D193),2,0),0),0),0)</f>
        <v>0</v>
      </c>
      <c r="AS198" s="29">
        <f>IFERROR(IF(AND(ISNUMBER('Real results'!C193),ISNUMBER('Real results'!D193),ISNUMBER('Raw data'!AS193),ISNUMBER('Raw data'!AT193)),IF(SIGN('Raw data'!AS193-'Raw data'!AT193)=SIGN('Real results'!C193-'Real results'!D193),3+IF(AND('Raw data'!AS193='Real results'!C193,'Raw data'!AT193='Real results'!D193),2,0),0),0),0)</f>
        <v>0</v>
      </c>
      <c r="AU198" s="29">
        <f>IFERROR(IF(AND(ISNUMBER('Real results'!C193),ISNUMBER('Real results'!D193),ISNUMBER('Raw data'!AU193),ISNUMBER('Raw data'!AV193)),IF(SIGN('Raw data'!AU193-'Raw data'!AV193)=SIGN('Real results'!C193-'Real results'!D193),3+IF(AND('Raw data'!AU193='Real results'!C193,'Raw data'!AV193='Real results'!D193),2,0),0),0),0)</f>
        <v>0</v>
      </c>
      <c r="AW198" s="29">
        <f>IFERROR(IF(AND(ISNUMBER('Real results'!C193),ISNUMBER('Real results'!D193),ISNUMBER('Raw data'!AW193),ISNUMBER('Raw data'!AX193)),IF(SIGN('Raw data'!AW193-'Raw data'!AX193)=SIGN('Real results'!C193-'Real results'!D193),3+IF(AND('Raw data'!AW193='Real results'!C193,'Raw data'!AX193='Real results'!D193),2,0),0),0),0)</f>
        <v>0</v>
      </c>
      <c r="AY198" s="29">
        <f>IFERROR(IF(AND(ISNUMBER('Real results'!C193),ISNUMBER('Real results'!D193),ISNUMBER('Raw data'!AY193),ISNUMBER('Raw data'!AZ193)),IF(SIGN('Raw data'!AY193-'Raw data'!AZ193)=SIGN('Real results'!C193-'Real results'!D193),3+IF(AND('Raw data'!AY193='Real results'!C193,'Raw data'!AZ193='Real results'!D193),2,0),0),0),0)</f>
        <v>0</v>
      </c>
      <c r="BA198" s="29">
        <f>IFERROR(IF(AND(ISNUMBER('Real results'!C193),ISNUMBER('Real results'!D193),ISNUMBER('Raw data'!BA193),ISNUMBER('Raw data'!BB193)),IF(SIGN('Raw data'!BA193-'Raw data'!BB193)=SIGN('Real results'!C193-'Real results'!D193),3+IF(AND('Raw data'!BA193='Real results'!C193,'Raw data'!BB193='Real results'!D193),2,0),0),0),0)</f>
        <v>0</v>
      </c>
      <c r="BC198" s="29">
        <f>IFERROR(IF(AND(ISNUMBER('Real results'!C193),ISNUMBER('Real results'!D193),ISNUMBER('Raw data'!BC193),ISNUMBER('Raw data'!BD193)),IF(SIGN('Raw data'!BC193-'Raw data'!BD193)=SIGN('Real results'!C193-'Real results'!D193),3+IF(AND('Raw data'!BC193='Real results'!C193,'Raw data'!BD193='Real results'!D193),2,0),0),0),0)</f>
        <v>0</v>
      </c>
      <c r="BE198" s="29">
        <f>IFERROR(IF(AND(ISNUMBER('Real results'!C193),ISNUMBER('Real results'!D193),ISNUMBER('Raw data'!BE193),ISNUMBER('Raw data'!BF193)),IF(SIGN('Raw data'!BE193-'Raw data'!BF193)=SIGN('Real results'!C193-'Real results'!D193),3+IF(AND('Raw data'!BE193='Real results'!C193,'Raw data'!BF193='Real results'!D193),2,0),0),0),0)</f>
        <v>0</v>
      </c>
      <c r="BG198" s="29">
        <f>IFERROR(IF(AND(ISNUMBER('Real results'!C193),ISNUMBER('Real results'!D193),ISNUMBER('Raw data'!BG193),ISNUMBER('Raw data'!BH193)),IF(SIGN('Raw data'!BG193-'Raw data'!BH193)=SIGN('Real results'!C193-'Real results'!D193),3+IF(AND('Raw data'!BG193='Real results'!C193,'Raw data'!BH193='Real results'!D193),2,0),0),0),0)</f>
        <v>0</v>
      </c>
      <c r="BI198" s="29">
        <f>IFERROR(IF(AND(ISNUMBER('Real results'!C193),ISNUMBER('Real results'!D193),ISNUMBER('Raw data'!BI193),ISNUMBER('Raw data'!BJ193)),IF(SIGN('Raw data'!BI193-'Raw data'!BJ193)=SIGN('Real results'!C193-'Real results'!D193),3+IF(AND('Raw data'!BI193='Real results'!C193,'Raw data'!BJ193='Real results'!D193),2,0),0),0),0)</f>
        <v>0</v>
      </c>
    </row>
    <row r="199" ht="18.0" customHeight="1">
      <c r="A199" s="1"/>
      <c r="B199" s="13" t="s">
        <v>480</v>
      </c>
      <c r="C199" s="29">
        <f>IFERROR(IF(AND('Real results'!C194&lt;&gt;"",'Raw data'!C194&lt;&gt;"",UPPER(TRIM('Real results'!C194))=UPPER(TRIM('Raw data'!C194))),1,0),0)</f>
        <v>0</v>
      </c>
      <c r="E199" s="29">
        <f>IFERROR(IF(AND('Real results'!C194&lt;&gt;"",'Raw data'!E194&lt;&gt;"",UPPER(TRIM('Real results'!C194))=UPPER(TRIM('Raw data'!E194))),1,0),0)</f>
        <v>0</v>
      </c>
      <c r="G199" s="29">
        <f>IFERROR(IF(AND('Real results'!C194&lt;&gt;"",'Raw data'!G194&lt;&gt;"",UPPER(TRIM('Real results'!C194))=UPPER(TRIM('Raw data'!G194))),1,0),0)</f>
        <v>0</v>
      </c>
      <c r="I199" s="29">
        <f>IFERROR(IF(AND('Real results'!C194&lt;&gt;"",'Raw data'!I194&lt;&gt;"",UPPER(TRIM('Real results'!C194))=UPPER(TRIM('Raw data'!I194))),1,0),0)</f>
        <v>0</v>
      </c>
      <c r="K199" s="29">
        <f>IFERROR(IF(AND('Real results'!C194&lt;&gt;"",'Raw data'!K194&lt;&gt;"",UPPER(TRIM('Real results'!C194))=UPPER(TRIM('Raw data'!K194))),1,0),0)</f>
        <v>0</v>
      </c>
      <c r="M199" s="29">
        <f>IFERROR(IF(AND('Real results'!C194&lt;&gt;"",'Raw data'!M194&lt;&gt;"",UPPER(TRIM('Real results'!C194))=UPPER(TRIM('Raw data'!M194))),1,0),0)</f>
        <v>0</v>
      </c>
      <c r="O199" s="29">
        <f>IFERROR(IF(AND('Real results'!C194&lt;&gt;"",'Raw data'!O194&lt;&gt;"",UPPER(TRIM('Real results'!C194))=UPPER(TRIM('Raw data'!O194))),1,0),0)</f>
        <v>0</v>
      </c>
      <c r="Q199" s="29">
        <f>IFERROR(IF(AND('Real results'!C194&lt;&gt;"",'Raw data'!Q194&lt;&gt;"",UPPER(TRIM('Real results'!C194))=UPPER(TRIM('Raw data'!Q194))),1,0),0)</f>
        <v>0</v>
      </c>
      <c r="S199" s="29">
        <f>IFERROR(IF(AND('Real results'!C194&lt;&gt;"",'Raw data'!S194&lt;&gt;"",UPPER(TRIM('Real results'!C194))=UPPER(TRIM('Raw data'!S194))),1,0),0)</f>
        <v>0</v>
      </c>
      <c r="U199" s="29">
        <f>IFERROR(IF(AND('Real results'!C194&lt;&gt;"",'Raw data'!U194&lt;&gt;"",UPPER(TRIM('Real results'!C194))=UPPER(TRIM('Raw data'!U194))),1,0),0)</f>
        <v>0</v>
      </c>
      <c r="W199" s="29">
        <f>IFERROR(IF(AND('Real results'!C194&lt;&gt;"",'Raw data'!W194&lt;&gt;"",UPPER(TRIM('Real results'!C194))=UPPER(TRIM('Raw data'!W194))),1,0),0)</f>
        <v>0</v>
      </c>
      <c r="Y199" s="29">
        <f>IFERROR(IF(AND('Real results'!C194&lt;&gt;"",'Raw data'!Y194&lt;&gt;"",UPPER(TRIM('Real results'!C194))=UPPER(TRIM('Raw data'!Y194))),1,0),0)</f>
        <v>0</v>
      </c>
      <c r="AA199" s="29">
        <f>IFERROR(IF(AND('Real results'!C194&lt;&gt;"",'Raw data'!AA194&lt;&gt;"",UPPER(TRIM('Real results'!C194))=UPPER(TRIM('Raw data'!AA194))),1,0),0)</f>
        <v>0</v>
      </c>
      <c r="AC199" s="29">
        <f>IFERROR(IF(AND('Real results'!C194&lt;&gt;"",'Raw data'!AC194&lt;&gt;"",UPPER(TRIM('Real results'!C194))=UPPER(TRIM('Raw data'!AC194))),1,0),0)</f>
        <v>0</v>
      </c>
      <c r="AE199" s="29">
        <f>IFERROR(IF(AND('Real results'!C194&lt;&gt;"",'Raw data'!AE194&lt;&gt;"",UPPER(TRIM('Real results'!C194))=UPPER(TRIM('Raw data'!AE194))),1,0),0)</f>
        <v>0</v>
      </c>
      <c r="AG199" s="29">
        <f>IFERROR(IF(AND('Real results'!C194&lt;&gt;"",'Raw data'!AG194&lt;&gt;"",UPPER(TRIM('Real results'!C194))=UPPER(TRIM('Raw data'!AG194))),1,0),0)</f>
        <v>0</v>
      </c>
      <c r="AI199" s="29">
        <f>IFERROR(IF(AND('Real results'!C194&lt;&gt;"",'Raw data'!AI194&lt;&gt;"",UPPER(TRIM('Real results'!C194))=UPPER(TRIM('Raw data'!AI194))),1,0),0)</f>
        <v>0</v>
      </c>
      <c r="AK199" s="29">
        <f>IFERROR(IF(AND('Real results'!C194&lt;&gt;"",'Raw data'!AK194&lt;&gt;"",UPPER(TRIM('Real results'!C194))=UPPER(TRIM('Raw data'!AK194))),1,0),0)</f>
        <v>0</v>
      </c>
      <c r="AM199" s="29">
        <f>IFERROR(IF(AND('Real results'!C194&lt;&gt;"",'Raw data'!AM194&lt;&gt;"",UPPER(TRIM('Real results'!C194))=UPPER(TRIM('Raw data'!AM194))),1,0),0)</f>
        <v>0</v>
      </c>
      <c r="AO199" s="29">
        <f>IFERROR(IF(AND('Real results'!C194&lt;&gt;"",'Raw data'!AO194&lt;&gt;"",UPPER(TRIM('Real results'!C194))=UPPER(TRIM('Raw data'!AO194))),1,0),0)</f>
        <v>0</v>
      </c>
      <c r="AQ199" s="29">
        <f>IFERROR(IF(AND('Real results'!C194&lt;&gt;"",'Raw data'!AQ194&lt;&gt;"",UPPER(TRIM('Real results'!C194))=UPPER(TRIM('Raw data'!AQ194))),1,0),0)</f>
        <v>0</v>
      </c>
      <c r="AS199" s="29">
        <f>IFERROR(IF(AND('Real results'!C194&lt;&gt;"",'Raw data'!AS194&lt;&gt;"",UPPER(TRIM('Real results'!C194))=UPPER(TRIM('Raw data'!AS194))),1,0),0)</f>
        <v>0</v>
      </c>
      <c r="AU199" s="29">
        <f>IFERROR(IF(AND('Real results'!C194&lt;&gt;"",'Raw data'!AU194&lt;&gt;"",UPPER(TRIM('Real results'!C194))=UPPER(TRIM('Raw data'!AU194))),1,0),0)</f>
        <v>0</v>
      </c>
      <c r="AW199" s="29">
        <f>IFERROR(IF(AND('Real results'!C194&lt;&gt;"",'Raw data'!AW194&lt;&gt;"",UPPER(TRIM('Real results'!C194))=UPPER(TRIM('Raw data'!AW194))),1,0),0)</f>
        <v>0</v>
      </c>
      <c r="AY199" s="29">
        <f>IFERROR(IF(AND('Real results'!C194&lt;&gt;"",'Raw data'!AY194&lt;&gt;"",UPPER(TRIM('Real results'!C194))=UPPER(TRIM('Raw data'!AY194))),1,0),0)</f>
        <v>0</v>
      </c>
      <c r="BA199" s="29">
        <f>IFERROR(IF(AND('Real results'!C194&lt;&gt;"",'Raw data'!BA194&lt;&gt;"",UPPER(TRIM('Real results'!C194))=UPPER(TRIM('Raw data'!BA194))),1,0),0)</f>
        <v>0</v>
      </c>
      <c r="BC199" s="29">
        <f>IFERROR(IF(AND('Real results'!C194&lt;&gt;"",'Raw data'!BC194&lt;&gt;"",UPPER(TRIM('Real results'!C194))=UPPER(TRIM('Raw data'!BC194))),1,0),0)</f>
        <v>0</v>
      </c>
      <c r="BE199" s="29">
        <f>IFERROR(IF(AND('Real results'!C194&lt;&gt;"",'Raw data'!BE194&lt;&gt;"",UPPER(TRIM('Real results'!C194))=UPPER(TRIM('Raw data'!BE194))),1,0),0)</f>
        <v>0</v>
      </c>
      <c r="BG199" s="29">
        <f>IFERROR(IF(AND('Real results'!C194&lt;&gt;"",'Raw data'!BG194&lt;&gt;"",UPPER(TRIM('Real results'!C194))=UPPER(TRIM('Raw data'!BG194))),1,0),0)</f>
        <v>0</v>
      </c>
      <c r="BI199" s="29">
        <f>IFERROR(IF(AND('Real results'!C194&lt;&gt;"",'Raw data'!BI194&lt;&gt;"",UPPER(TRIM('Real results'!C194))=UPPER(TRIM('Raw data'!BI194))),1,0),0)</f>
        <v>0</v>
      </c>
    </row>
    <row r="200" ht="18.0" customHeight="1">
      <c r="A200" s="1"/>
      <c r="B200" s="13" t="s">
        <v>481</v>
      </c>
      <c r="C200" s="29">
        <f>IFERROR(IF(AND('Real results'!C195&lt;&gt;"",'Raw data'!C195&lt;&gt;"",UPPER(TRIM('Real results'!C195))=UPPER(TRIM('Raw data'!C195))),2,0),0)</f>
        <v>0</v>
      </c>
      <c r="E200" s="29">
        <f>IFERROR(IF(AND('Real results'!C195&lt;&gt;"",'Raw data'!E195&lt;&gt;"",UPPER(TRIM('Real results'!C195))=UPPER(TRIM('Raw data'!E195))),2,0),0)</f>
        <v>0</v>
      </c>
      <c r="G200" s="29">
        <f>IFERROR(IF(AND('Real results'!C195&lt;&gt;"",'Raw data'!G195&lt;&gt;"",UPPER(TRIM('Real results'!C195))=UPPER(TRIM('Raw data'!G195))),2,0),0)</f>
        <v>0</v>
      </c>
      <c r="I200" s="29">
        <f>IFERROR(IF(AND('Real results'!C195&lt;&gt;"",'Raw data'!I195&lt;&gt;"",UPPER(TRIM('Real results'!C195))=UPPER(TRIM('Raw data'!I195))),2,0),0)</f>
        <v>0</v>
      </c>
      <c r="K200" s="29">
        <f>IFERROR(IF(AND('Real results'!C195&lt;&gt;"",'Raw data'!K195&lt;&gt;"",UPPER(TRIM('Real results'!C195))=UPPER(TRIM('Raw data'!K195))),2,0),0)</f>
        <v>0</v>
      </c>
      <c r="M200" s="29">
        <f>IFERROR(IF(AND('Real results'!C195&lt;&gt;"",'Raw data'!M195&lt;&gt;"",UPPER(TRIM('Real results'!C195))=UPPER(TRIM('Raw data'!M195))),2,0),0)</f>
        <v>0</v>
      </c>
      <c r="O200" s="29">
        <f>IFERROR(IF(AND('Real results'!C195&lt;&gt;"",'Raw data'!O195&lt;&gt;"",UPPER(TRIM('Real results'!C195))=UPPER(TRIM('Raw data'!O195))),2,0),0)</f>
        <v>0</v>
      </c>
      <c r="Q200" s="29">
        <f>IFERROR(IF(AND('Real results'!C195&lt;&gt;"",'Raw data'!Q195&lt;&gt;"",UPPER(TRIM('Real results'!C195))=UPPER(TRIM('Raw data'!Q195))),2,0),0)</f>
        <v>0</v>
      </c>
      <c r="S200" s="29">
        <f>IFERROR(IF(AND('Real results'!C195&lt;&gt;"",'Raw data'!S195&lt;&gt;"",UPPER(TRIM('Real results'!C195))=UPPER(TRIM('Raw data'!S195))),2,0),0)</f>
        <v>0</v>
      </c>
      <c r="U200" s="29">
        <f>IFERROR(IF(AND('Real results'!C195&lt;&gt;"",'Raw data'!U195&lt;&gt;"",UPPER(TRIM('Real results'!C195))=UPPER(TRIM('Raw data'!U195))),2,0),0)</f>
        <v>0</v>
      </c>
      <c r="W200" s="29">
        <f>IFERROR(IF(AND('Real results'!C195&lt;&gt;"",'Raw data'!W195&lt;&gt;"",UPPER(TRIM('Real results'!C195))=UPPER(TRIM('Raw data'!W195))),2,0),0)</f>
        <v>0</v>
      </c>
      <c r="Y200" s="29">
        <f>IFERROR(IF(AND('Real results'!C195&lt;&gt;"",'Raw data'!Y195&lt;&gt;"",UPPER(TRIM('Real results'!C195))=UPPER(TRIM('Raw data'!Y195))),2,0),0)</f>
        <v>0</v>
      </c>
      <c r="AA200" s="29">
        <f>IFERROR(IF(AND('Real results'!C195&lt;&gt;"",'Raw data'!AA195&lt;&gt;"",UPPER(TRIM('Real results'!C195))=UPPER(TRIM('Raw data'!AA195))),2,0),0)</f>
        <v>0</v>
      </c>
      <c r="AC200" s="29">
        <f>IFERROR(IF(AND('Real results'!C195&lt;&gt;"",'Raw data'!AC195&lt;&gt;"",UPPER(TRIM('Real results'!C195))=UPPER(TRIM('Raw data'!AC195))),2,0),0)</f>
        <v>0</v>
      </c>
      <c r="AE200" s="29">
        <f>IFERROR(IF(AND('Real results'!C195&lt;&gt;"",'Raw data'!AE195&lt;&gt;"",UPPER(TRIM('Real results'!C195))=UPPER(TRIM('Raw data'!AE195))),2,0),0)</f>
        <v>0</v>
      </c>
      <c r="AG200" s="29">
        <f>IFERROR(IF(AND('Real results'!C195&lt;&gt;"",'Raw data'!AG195&lt;&gt;"",UPPER(TRIM('Real results'!C195))=UPPER(TRIM('Raw data'!AG195))),2,0),0)</f>
        <v>0</v>
      </c>
      <c r="AI200" s="29">
        <f>IFERROR(IF(AND('Real results'!C195&lt;&gt;"",'Raw data'!AI195&lt;&gt;"",UPPER(TRIM('Real results'!C195))=UPPER(TRIM('Raw data'!AI195))),2,0),0)</f>
        <v>0</v>
      </c>
      <c r="AK200" s="29">
        <f>IFERROR(IF(AND('Real results'!C195&lt;&gt;"",'Raw data'!AK195&lt;&gt;"",UPPER(TRIM('Real results'!C195))=UPPER(TRIM('Raw data'!AK195))),2,0),0)</f>
        <v>0</v>
      </c>
      <c r="AM200" s="29">
        <f>IFERROR(IF(AND('Real results'!C195&lt;&gt;"",'Raw data'!AM195&lt;&gt;"",UPPER(TRIM('Real results'!C195))=UPPER(TRIM('Raw data'!AM195))),2,0),0)</f>
        <v>0</v>
      </c>
      <c r="AO200" s="29">
        <f>IFERROR(IF(AND('Real results'!C195&lt;&gt;"",'Raw data'!AO195&lt;&gt;"",UPPER(TRIM('Real results'!C195))=UPPER(TRIM('Raw data'!AO195))),2,0),0)</f>
        <v>0</v>
      </c>
      <c r="AQ200" s="29">
        <f>IFERROR(IF(AND('Real results'!C195&lt;&gt;"",'Raw data'!AQ195&lt;&gt;"",UPPER(TRIM('Real results'!C195))=UPPER(TRIM('Raw data'!AQ195))),2,0),0)</f>
        <v>0</v>
      </c>
      <c r="AS200" s="29">
        <f>IFERROR(IF(AND('Real results'!C195&lt;&gt;"",'Raw data'!AS195&lt;&gt;"",UPPER(TRIM('Real results'!C195))=UPPER(TRIM('Raw data'!AS195))),2,0),0)</f>
        <v>0</v>
      </c>
      <c r="AU200" s="29">
        <f>IFERROR(IF(AND('Real results'!C195&lt;&gt;"",'Raw data'!AU195&lt;&gt;"",UPPER(TRIM('Real results'!C195))=UPPER(TRIM('Raw data'!AU195))),2,0),0)</f>
        <v>0</v>
      </c>
      <c r="AW200" s="29">
        <f>IFERROR(IF(AND('Real results'!C195&lt;&gt;"",'Raw data'!AW195&lt;&gt;"",UPPER(TRIM('Real results'!C195))=UPPER(TRIM('Raw data'!AW195))),2,0),0)</f>
        <v>0</v>
      </c>
      <c r="AY200" s="29">
        <f>IFERROR(IF(AND('Real results'!C195&lt;&gt;"",'Raw data'!AY195&lt;&gt;"",UPPER(TRIM('Real results'!C195))=UPPER(TRIM('Raw data'!AY195))),2,0),0)</f>
        <v>0</v>
      </c>
      <c r="BA200" s="29">
        <f>IFERROR(IF(AND('Real results'!C195&lt;&gt;"",'Raw data'!BA195&lt;&gt;"",UPPER(TRIM('Real results'!C195))=UPPER(TRIM('Raw data'!BA195))),2,0),0)</f>
        <v>0</v>
      </c>
      <c r="BC200" s="29">
        <f>IFERROR(IF(AND('Real results'!C195&lt;&gt;"",'Raw data'!BC195&lt;&gt;"",UPPER(TRIM('Real results'!C195))=UPPER(TRIM('Raw data'!BC195))),2,0),0)</f>
        <v>0</v>
      </c>
      <c r="BE200" s="29">
        <f>IFERROR(IF(AND('Real results'!C195&lt;&gt;"",'Raw data'!BE195&lt;&gt;"",UPPER(TRIM('Real results'!C195))=UPPER(TRIM('Raw data'!BE195))),2,0),0)</f>
        <v>0</v>
      </c>
      <c r="BG200" s="29">
        <f>IFERROR(IF(AND('Real results'!C195&lt;&gt;"",'Raw data'!BG195&lt;&gt;"",UPPER(TRIM('Real results'!C195))=UPPER(TRIM('Raw data'!BG195))),2,0),0)</f>
        <v>0</v>
      </c>
      <c r="BI200" s="29">
        <f>IFERROR(IF(AND('Real results'!C195&lt;&gt;"",'Raw data'!BI195&lt;&gt;"",UPPER(TRIM('Real results'!C195))=UPPER(TRIM('Raw data'!BI195))),2,0),0)</f>
        <v>0</v>
      </c>
    </row>
    <row r="201" ht="18.0" customHeight="1">
      <c r="A201" s="1"/>
      <c r="B201" s="13" t="s">
        <v>482</v>
      </c>
      <c r="C201" s="29">
        <f>IFERROR(IF(AND(ISNUMBER('Real results'!C196),ISNUMBER('Real results'!D196),ISNUMBER('Raw data'!C196),ISNUMBER('Raw data'!D196)),IF(SIGN('Raw data'!C196-'Raw data'!D196)=SIGN('Real results'!C196-'Real results'!D196),3+IF(AND('Raw data'!C196='Real results'!C196,'Raw data'!D196='Real results'!D196),2,0),0),0),0)</f>
        <v>0</v>
      </c>
      <c r="E201" s="29">
        <f>IFERROR(IF(AND(ISNUMBER('Real results'!C196),ISNUMBER('Real results'!D196),ISNUMBER('Raw data'!E196),ISNUMBER('Raw data'!F196)),IF(SIGN('Raw data'!E196-'Raw data'!F196)=SIGN('Real results'!C196-'Real results'!D196),3+IF(AND('Raw data'!E196='Real results'!C196,'Raw data'!F196='Real results'!D196),2,0),0),0),0)</f>
        <v>0</v>
      </c>
      <c r="G201" s="29">
        <f>IFERROR(IF(AND(ISNUMBER('Real results'!C196),ISNUMBER('Real results'!D196),ISNUMBER('Raw data'!G196),ISNUMBER('Raw data'!H196)),IF(SIGN('Raw data'!G196-'Raw data'!H196)=SIGN('Real results'!C196-'Real results'!D196),3+IF(AND('Raw data'!G196='Real results'!C196,'Raw data'!H196='Real results'!D196),2,0),0),0),0)</f>
        <v>0</v>
      </c>
      <c r="I201" s="29">
        <f>IFERROR(IF(AND(ISNUMBER('Real results'!C196),ISNUMBER('Real results'!D196),ISNUMBER('Raw data'!I196),ISNUMBER('Raw data'!J196)),IF(SIGN('Raw data'!I196-'Raw data'!J196)=SIGN('Real results'!C196-'Real results'!D196),3+IF(AND('Raw data'!I196='Real results'!C196,'Raw data'!J196='Real results'!D196),2,0),0),0),0)</f>
        <v>0</v>
      </c>
      <c r="K201" s="29">
        <f>IFERROR(IF(AND(ISNUMBER('Real results'!C196),ISNUMBER('Real results'!D196),ISNUMBER('Raw data'!K196),ISNUMBER('Raw data'!L196)),IF(SIGN('Raw data'!K196-'Raw data'!L196)=SIGN('Real results'!C196-'Real results'!D196),3+IF(AND('Raw data'!K196='Real results'!C196,'Raw data'!L196='Real results'!D196),2,0),0),0),0)</f>
        <v>0</v>
      </c>
      <c r="M201" s="29">
        <f>IFERROR(IF(AND(ISNUMBER('Real results'!C196),ISNUMBER('Real results'!D196),ISNUMBER('Raw data'!M196),ISNUMBER('Raw data'!N196)),IF(SIGN('Raw data'!M196-'Raw data'!N196)=SIGN('Real results'!C196-'Real results'!D196),3+IF(AND('Raw data'!M196='Real results'!C196,'Raw data'!N196='Real results'!D196),2,0),0),0),0)</f>
        <v>0</v>
      </c>
      <c r="O201" s="29">
        <f>IFERROR(IF(AND(ISNUMBER('Real results'!C196),ISNUMBER('Real results'!D196),ISNUMBER('Raw data'!O196),ISNUMBER('Raw data'!P196)),IF(SIGN('Raw data'!O196-'Raw data'!P196)=SIGN('Real results'!C196-'Real results'!D196),3+IF(AND('Raw data'!O196='Real results'!C196,'Raw data'!P196='Real results'!D196),2,0),0),0),0)</f>
        <v>0</v>
      </c>
      <c r="Q201" s="29">
        <f>IFERROR(IF(AND(ISNUMBER('Real results'!C196),ISNUMBER('Real results'!D196),ISNUMBER('Raw data'!Q196),ISNUMBER('Raw data'!R196)),IF(SIGN('Raw data'!Q196-'Raw data'!R196)=SIGN('Real results'!C196-'Real results'!D196),3+IF(AND('Raw data'!Q196='Real results'!C196,'Raw data'!R196='Real results'!D196),2,0),0),0),0)</f>
        <v>0</v>
      </c>
      <c r="S201" s="29">
        <f>IFERROR(IF(AND(ISNUMBER('Real results'!C196),ISNUMBER('Real results'!D196),ISNUMBER('Raw data'!S196),ISNUMBER('Raw data'!T196)),IF(SIGN('Raw data'!S196-'Raw data'!T196)=SIGN('Real results'!C196-'Real results'!D196),3+IF(AND('Raw data'!S196='Real results'!C196,'Raw data'!T196='Real results'!D196),2,0),0),0),0)</f>
        <v>0</v>
      </c>
      <c r="U201" s="29">
        <f>IFERROR(IF(AND(ISNUMBER('Real results'!C196),ISNUMBER('Real results'!D196),ISNUMBER('Raw data'!U196),ISNUMBER('Raw data'!V196)),IF(SIGN('Raw data'!U196-'Raw data'!V196)=SIGN('Real results'!C196-'Real results'!D196),3+IF(AND('Raw data'!U196='Real results'!C196,'Raw data'!V196='Real results'!D196),2,0),0),0),0)</f>
        <v>0</v>
      </c>
      <c r="W201" s="29">
        <f>IFERROR(IF(AND(ISNUMBER('Real results'!C196),ISNUMBER('Real results'!D196),ISNUMBER('Raw data'!W196),ISNUMBER('Raw data'!X196)),IF(SIGN('Raw data'!W196-'Raw data'!X196)=SIGN('Real results'!C196-'Real results'!D196),3+IF(AND('Raw data'!W196='Real results'!C196,'Raw data'!X196='Real results'!D196),2,0),0),0),0)</f>
        <v>0</v>
      </c>
      <c r="Y201" s="29">
        <f>IFERROR(IF(AND(ISNUMBER('Real results'!C196),ISNUMBER('Real results'!D196),ISNUMBER('Raw data'!Y196),ISNUMBER('Raw data'!Z196)),IF(SIGN('Raw data'!Y196-'Raw data'!Z196)=SIGN('Real results'!C196-'Real results'!D196),3+IF(AND('Raw data'!Y196='Real results'!C196,'Raw data'!Z196='Real results'!D196),2,0),0),0),0)</f>
        <v>0</v>
      </c>
      <c r="AA201" s="29">
        <f>IFERROR(IF(AND(ISNUMBER('Real results'!C196),ISNUMBER('Real results'!D196),ISNUMBER('Raw data'!AA196),ISNUMBER('Raw data'!AB196)),IF(SIGN('Raw data'!AA196-'Raw data'!AB196)=SIGN('Real results'!C196-'Real results'!D196),3+IF(AND('Raw data'!AA196='Real results'!C196,'Raw data'!AB196='Real results'!D196),2,0),0),0),0)</f>
        <v>0</v>
      </c>
      <c r="AC201" s="29">
        <f>IFERROR(IF(AND(ISNUMBER('Real results'!C196),ISNUMBER('Real results'!D196),ISNUMBER('Raw data'!AC196),ISNUMBER('Raw data'!AD196)),IF(SIGN('Raw data'!AC196-'Raw data'!AD196)=SIGN('Real results'!C196-'Real results'!D196),3+IF(AND('Raw data'!AC196='Real results'!C196,'Raw data'!AD196='Real results'!D196),2,0),0),0),0)</f>
        <v>0</v>
      </c>
      <c r="AE201" s="29">
        <f>IFERROR(IF(AND(ISNUMBER('Real results'!C196),ISNUMBER('Real results'!D196),ISNUMBER('Raw data'!AE196),ISNUMBER('Raw data'!AF196)),IF(SIGN('Raw data'!AE196-'Raw data'!AF196)=SIGN('Real results'!C196-'Real results'!D196),3+IF(AND('Raw data'!AE196='Real results'!C196,'Raw data'!AF196='Real results'!D196),2,0),0),0),0)</f>
        <v>0</v>
      </c>
      <c r="AG201" s="29">
        <f>IFERROR(IF(AND(ISNUMBER('Real results'!C196),ISNUMBER('Real results'!D196),ISNUMBER('Raw data'!AG196),ISNUMBER('Raw data'!AH196)),IF(SIGN('Raw data'!AG196-'Raw data'!AH196)=SIGN('Real results'!C196-'Real results'!D196),3+IF(AND('Raw data'!AG196='Real results'!C196,'Raw data'!AH196='Real results'!D196),2,0),0),0),0)</f>
        <v>0</v>
      </c>
      <c r="AI201" s="29">
        <f>IFERROR(IF(AND(ISNUMBER('Real results'!C196),ISNUMBER('Real results'!D196),ISNUMBER('Raw data'!AI196),ISNUMBER('Raw data'!AJ196)),IF(SIGN('Raw data'!AI196-'Raw data'!AJ196)=SIGN('Real results'!C196-'Real results'!D196),3+IF(AND('Raw data'!AI196='Real results'!C196,'Raw data'!AJ196='Real results'!D196),2,0),0),0),0)</f>
        <v>0</v>
      </c>
      <c r="AK201" s="29">
        <f>IFERROR(IF(AND(ISNUMBER('Real results'!C196),ISNUMBER('Real results'!D196),ISNUMBER('Raw data'!AK196),ISNUMBER('Raw data'!AL196)),IF(SIGN('Raw data'!AK196-'Raw data'!AL196)=SIGN('Real results'!C196-'Real results'!D196),3+IF(AND('Raw data'!AK196='Real results'!C196,'Raw data'!AL196='Real results'!D196),2,0),0),0),0)</f>
        <v>0</v>
      </c>
      <c r="AM201" s="29">
        <f>IFERROR(IF(AND(ISNUMBER('Real results'!C196),ISNUMBER('Real results'!D196),ISNUMBER('Raw data'!AM196),ISNUMBER('Raw data'!AN196)),IF(SIGN('Raw data'!AM196-'Raw data'!AN196)=SIGN('Real results'!C196-'Real results'!D196),3+IF(AND('Raw data'!AM196='Real results'!C196,'Raw data'!AN196='Real results'!D196),2,0),0),0),0)</f>
        <v>0</v>
      </c>
      <c r="AO201" s="29">
        <f>IFERROR(IF(AND(ISNUMBER('Real results'!C196),ISNUMBER('Real results'!D196),ISNUMBER('Raw data'!AO196),ISNUMBER('Raw data'!AP196)),IF(SIGN('Raw data'!AO196-'Raw data'!AP196)=SIGN('Real results'!C196-'Real results'!D196),3+IF(AND('Raw data'!AO196='Real results'!C196,'Raw data'!AP196='Real results'!D196),2,0),0),0),0)</f>
        <v>0</v>
      </c>
      <c r="AQ201" s="29">
        <f>IFERROR(IF(AND(ISNUMBER('Real results'!C196),ISNUMBER('Real results'!D196),ISNUMBER('Raw data'!AQ196),ISNUMBER('Raw data'!AR196)),IF(SIGN('Raw data'!AQ196-'Raw data'!AR196)=SIGN('Real results'!C196-'Real results'!D196),3+IF(AND('Raw data'!AQ196='Real results'!C196,'Raw data'!AR196='Real results'!D196),2,0),0),0),0)</f>
        <v>0</v>
      </c>
      <c r="AS201" s="29">
        <f>IFERROR(IF(AND(ISNUMBER('Real results'!C196),ISNUMBER('Real results'!D196),ISNUMBER('Raw data'!AS196),ISNUMBER('Raw data'!AT196)),IF(SIGN('Raw data'!AS196-'Raw data'!AT196)=SIGN('Real results'!C196-'Real results'!D196),3+IF(AND('Raw data'!AS196='Real results'!C196,'Raw data'!AT196='Real results'!D196),2,0),0),0),0)</f>
        <v>0</v>
      </c>
      <c r="AU201" s="29">
        <f>IFERROR(IF(AND(ISNUMBER('Real results'!C196),ISNUMBER('Real results'!D196),ISNUMBER('Raw data'!AU196),ISNUMBER('Raw data'!AV196)),IF(SIGN('Raw data'!AU196-'Raw data'!AV196)=SIGN('Real results'!C196-'Real results'!D196),3+IF(AND('Raw data'!AU196='Real results'!C196,'Raw data'!AV196='Real results'!D196),2,0),0),0),0)</f>
        <v>0</v>
      </c>
      <c r="AW201" s="29">
        <f>IFERROR(IF(AND(ISNUMBER('Real results'!C196),ISNUMBER('Real results'!D196),ISNUMBER('Raw data'!AW196),ISNUMBER('Raw data'!AX196)),IF(SIGN('Raw data'!AW196-'Raw data'!AX196)=SIGN('Real results'!C196-'Real results'!D196),3+IF(AND('Raw data'!AW196='Real results'!C196,'Raw data'!AX196='Real results'!D196),2,0),0),0),0)</f>
        <v>0</v>
      </c>
      <c r="AY201" s="29">
        <f>IFERROR(IF(AND(ISNUMBER('Real results'!C196),ISNUMBER('Real results'!D196),ISNUMBER('Raw data'!AY196),ISNUMBER('Raw data'!AZ196)),IF(SIGN('Raw data'!AY196-'Raw data'!AZ196)=SIGN('Real results'!C196-'Real results'!D196),3+IF(AND('Raw data'!AY196='Real results'!C196,'Raw data'!AZ196='Real results'!D196),2,0),0),0),0)</f>
        <v>0</v>
      </c>
      <c r="BA201" s="29">
        <f>IFERROR(IF(AND(ISNUMBER('Real results'!C196),ISNUMBER('Real results'!D196),ISNUMBER('Raw data'!BA196),ISNUMBER('Raw data'!BB196)),IF(SIGN('Raw data'!BA196-'Raw data'!BB196)=SIGN('Real results'!C196-'Real results'!D196),3+IF(AND('Raw data'!BA196='Real results'!C196,'Raw data'!BB196='Real results'!D196),2,0),0),0),0)</f>
        <v>0</v>
      </c>
      <c r="BC201" s="29">
        <f>IFERROR(IF(AND(ISNUMBER('Real results'!C196),ISNUMBER('Real results'!D196),ISNUMBER('Raw data'!BC196),ISNUMBER('Raw data'!BD196)),IF(SIGN('Raw data'!BC196-'Raw data'!BD196)=SIGN('Real results'!C196-'Real results'!D196),3+IF(AND('Raw data'!BC196='Real results'!C196,'Raw data'!BD196='Real results'!D196),2,0),0),0),0)</f>
        <v>0</v>
      </c>
      <c r="BE201" s="29">
        <f>IFERROR(IF(AND(ISNUMBER('Real results'!C196),ISNUMBER('Real results'!D196),ISNUMBER('Raw data'!BE196),ISNUMBER('Raw data'!BF196)),IF(SIGN('Raw data'!BE196-'Raw data'!BF196)=SIGN('Real results'!C196-'Real results'!D196),3+IF(AND('Raw data'!BE196='Real results'!C196,'Raw data'!BF196='Real results'!D196),2,0),0),0),0)</f>
        <v>0</v>
      </c>
      <c r="BG201" s="29">
        <f>IFERROR(IF(AND(ISNUMBER('Real results'!C196),ISNUMBER('Real results'!D196),ISNUMBER('Raw data'!BG196),ISNUMBER('Raw data'!BH196)),IF(SIGN('Raw data'!BG196-'Raw data'!BH196)=SIGN('Real results'!C196-'Real results'!D196),3+IF(AND('Raw data'!BG196='Real results'!C196,'Raw data'!BH196='Real results'!D196),2,0),0),0),0)</f>
        <v>0</v>
      </c>
      <c r="BI201" s="29">
        <f>IFERROR(IF(AND(ISNUMBER('Real results'!C196),ISNUMBER('Real results'!D196),ISNUMBER('Raw data'!BI196),ISNUMBER('Raw data'!BJ196)),IF(SIGN('Raw data'!BI196-'Raw data'!BJ196)=SIGN('Real results'!C196-'Real results'!D196),3+IF(AND('Raw data'!BI196='Real results'!C196,'Raw data'!BJ196='Real results'!D196),2,0),0),0),0)</f>
        <v>0</v>
      </c>
    </row>
    <row r="202" ht="18.0" customHeight="1">
      <c r="A202" s="1"/>
      <c r="B202" s="13" t="s">
        <v>483</v>
      </c>
      <c r="C202" s="29">
        <f>IFERROR(IF(AND('Real results'!C197&lt;&gt;"",'Raw data'!C197&lt;&gt;"",UPPER(TRIM('Real results'!C197))=UPPER(TRIM('Raw data'!C197))),1,0),0)</f>
        <v>0</v>
      </c>
      <c r="E202" s="29">
        <f>IFERROR(IF(AND('Real results'!C197&lt;&gt;"",'Raw data'!E197&lt;&gt;"",UPPER(TRIM('Real results'!C197))=UPPER(TRIM('Raw data'!E197))),1,0),0)</f>
        <v>0</v>
      </c>
      <c r="G202" s="29">
        <f>IFERROR(IF(AND('Real results'!C197&lt;&gt;"",'Raw data'!G197&lt;&gt;"",UPPER(TRIM('Real results'!C197))=UPPER(TRIM('Raw data'!G197))),1,0),0)</f>
        <v>0</v>
      </c>
      <c r="I202" s="29">
        <f>IFERROR(IF(AND('Real results'!C197&lt;&gt;"",'Raw data'!I197&lt;&gt;"",UPPER(TRIM('Real results'!C197))=UPPER(TRIM('Raw data'!I197))),1,0),0)</f>
        <v>0</v>
      </c>
      <c r="K202" s="29">
        <f>IFERROR(IF(AND('Real results'!C197&lt;&gt;"",'Raw data'!K197&lt;&gt;"",UPPER(TRIM('Real results'!C197))=UPPER(TRIM('Raw data'!K197))),1,0),0)</f>
        <v>0</v>
      </c>
      <c r="M202" s="29">
        <f>IFERROR(IF(AND('Real results'!C197&lt;&gt;"",'Raw data'!M197&lt;&gt;"",UPPER(TRIM('Real results'!C197))=UPPER(TRIM('Raw data'!M197))),1,0),0)</f>
        <v>0</v>
      </c>
      <c r="O202" s="29">
        <f>IFERROR(IF(AND('Real results'!C197&lt;&gt;"",'Raw data'!O197&lt;&gt;"",UPPER(TRIM('Real results'!C197))=UPPER(TRIM('Raw data'!O197))),1,0),0)</f>
        <v>0</v>
      </c>
      <c r="Q202" s="29">
        <f>IFERROR(IF(AND('Real results'!C197&lt;&gt;"",'Raw data'!Q197&lt;&gt;"",UPPER(TRIM('Real results'!C197))=UPPER(TRIM('Raw data'!Q197))),1,0),0)</f>
        <v>0</v>
      </c>
      <c r="S202" s="29">
        <f>IFERROR(IF(AND('Real results'!C197&lt;&gt;"",'Raw data'!S197&lt;&gt;"",UPPER(TRIM('Real results'!C197))=UPPER(TRIM('Raw data'!S197))),1,0),0)</f>
        <v>0</v>
      </c>
      <c r="U202" s="29">
        <f>IFERROR(IF(AND('Real results'!C197&lt;&gt;"",'Raw data'!U197&lt;&gt;"",UPPER(TRIM('Real results'!C197))=UPPER(TRIM('Raw data'!U197))),1,0),0)</f>
        <v>0</v>
      </c>
      <c r="W202" s="29">
        <f>IFERROR(IF(AND('Real results'!C197&lt;&gt;"",'Raw data'!W197&lt;&gt;"",UPPER(TRIM('Real results'!C197))=UPPER(TRIM('Raw data'!W197))),1,0),0)</f>
        <v>0</v>
      </c>
      <c r="Y202" s="29">
        <f>IFERROR(IF(AND('Real results'!C197&lt;&gt;"",'Raw data'!Y197&lt;&gt;"",UPPER(TRIM('Real results'!C197))=UPPER(TRIM('Raw data'!Y197))),1,0),0)</f>
        <v>0</v>
      </c>
      <c r="AA202" s="29">
        <f>IFERROR(IF(AND('Real results'!C197&lt;&gt;"",'Raw data'!AA197&lt;&gt;"",UPPER(TRIM('Real results'!C197))=UPPER(TRIM('Raw data'!AA197))),1,0),0)</f>
        <v>0</v>
      </c>
      <c r="AC202" s="29">
        <f>IFERROR(IF(AND('Real results'!C197&lt;&gt;"",'Raw data'!AC197&lt;&gt;"",UPPER(TRIM('Real results'!C197))=UPPER(TRIM('Raw data'!AC197))),1,0),0)</f>
        <v>0</v>
      </c>
      <c r="AE202" s="29">
        <f>IFERROR(IF(AND('Real results'!C197&lt;&gt;"",'Raw data'!AE197&lt;&gt;"",UPPER(TRIM('Real results'!C197))=UPPER(TRIM('Raw data'!AE197))),1,0),0)</f>
        <v>0</v>
      </c>
      <c r="AG202" s="29">
        <f>IFERROR(IF(AND('Real results'!C197&lt;&gt;"",'Raw data'!AG197&lt;&gt;"",UPPER(TRIM('Real results'!C197))=UPPER(TRIM('Raw data'!AG197))),1,0),0)</f>
        <v>0</v>
      </c>
      <c r="AI202" s="29">
        <f>IFERROR(IF(AND('Real results'!C197&lt;&gt;"",'Raw data'!AI197&lt;&gt;"",UPPER(TRIM('Real results'!C197))=UPPER(TRIM('Raw data'!AI197))),1,0),0)</f>
        <v>0</v>
      </c>
      <c r="AK202" s="29">
        <f>IFERROR(IF(AND('Real results'!C197&lt;&gt;"",'Raw data'!AK197&lt;&gt;"",UPPER(TRIM('Real results'!C197))=UPPER(TRIM('Raw data'!AK197))),1,0),0)</f>
        <v>0</v>
      </c>
      <c r="AM202" s="29">
        <f>IFERROR(IF(AND('Real results'!C197&lt;&gt;"",'Raw data'!AM197&lt;&gt;"",UPPER(TRIM('Real results'!C197))=UPPER(TRIM('Raw data'!AM197))),1,0),0)</f>
        <v>0</v>
      </c>
      <c r="AO202" s="29">
        <f>IFERROR(IF(AND('Real results'!C197&lt;&gt;"",'Raw data'!AO197&lt;&gt;"",UPPER(TRIM('Real results'!C197))=UPPER(TRIM('Raw data'!AO197))),1,0),0)</f>
        <v>0</v>
      </c>
      <c r="AQ202" s="29">
        <f>IFERROR(IF(AND('Real results'!C197&lt;&gt;"",'Raw data'!AQ197&lt;&gt;"",UPPER(TRIM('Real results'!C197))=UPPER(TRIM('Raw data'!AQ197))),1,0),0)</f>
        <v>0</v>
      </c>
      <c r="AS202" s="29">
        <f>IFERROR(IF(AND('Real results'!C197&lt;&gt;"",'Raw data'!AS197&lt;&gt;"",UPPER(TRIM('Real results'!C197))=UPPER(TRIM('Raw data'!AS197))),1,0),0)</f>
        <v>0</v>
      </c>
      <c r="AU202" s="29">
        <f>IFERROR(IF(AND('Real results'!C197&lt;&gt;"",'Raw data'!AU197&lt;&gt;"",UPPER(TRIM('Real results'!C197))=UPPER(TRIM('Raw data'!AU197))),1,0),0)</f>
        <v>0</v>
      </c>
      <c r="AW202" s="29">
        <f>IFERROR(IF(AND('Real results'!C197&lt;&gt;"",'Raw data'!AW197&lt;&gt;"",UPPER(TRIM('Real results'!C197))=UPPER(TRIM('Raw data'!AW197))),1,0),0)</f>
        <v>0</v>
      </c>
      <c r="AY202" s="29">
        <f>IFERROR(IF(AND('Real results'!C197&lt;&gt;"",'Raw data'!AY197&lt;&gt;"",UPPER(TRIM('Real results'!C197))=UPPER(TRIM('Raw data'!AY197))),1,0),0)</f>
        <v>0</v>
      </c>
      <c r="BA202" s="29">
        <f>IFERROR(IF(AND('Real results'!C197&lt;&gt;"",'Raw data'!BA197&lt;&gt;"",UPPER(TRIM('Real results'!C197))=UPPER(TRIM('Raw data'!BA197))),1,0),0)</f>
        <v>0</v>
      </c>
      <c r="BC202" s="29">
        <f>IFERROR(IF(AND('Real results'!C197&lt;&gt;"",'Raw data'!BC197&lt;&gt;"",UPPER(TRIM('Real results'!C197))=UPPER(TRIM('Raw data'!BC197))),1,0),0)</f>
        <v>0</v>
      </c>
      <c r="BE202" s="29">
        <f>IFERROR(IF(AND('Real results'!C197&lt;&gt;"",'Raw data'!BE197&lt;&gt;"",UPPER(TRIM('Real results'!C197))=UPPER(TRIM('Raw data'!BE197))),1,0),0)</f>
        <v>0</v>
      </c>
      <c r="BG202" s="29">
        <f>IFERROR(IF(AND('Real results'!C197&lt;&gt;"",'Raw data'!BG197&lt;&gt;"",UPPER(TRIM('Real results'!C197))=UPPER(TRIM('Raw data'!BG197))),1,0),0)</f>
        <v>0</v>
      </c>
      <c r="BI202" s="29">
        <f>IFERROR(IF(AND('Real results'!C197&lt;&gt;"",'Raw data'!BI197&lt;&gt;"",UPPER(TRIM('Real results'!C197))=UPPER(TRIM('Raw data'!BI197))),1,0),0)</f>
        <v>0</v>
      </c>
    </row>
    <row r="203" ht="18.0" customHeight="1">
      <c r="A203" s="1"/>
      <c r="B203" s="13" t="s">
        <v>484</v>
      </c>
      <c r="C203" s="29">
        <f>IFERROR(IF(AND('Real results'!C198&lt;&gt;"",'Raw data'!C198&lt;&gt;"",UPPER(TRIM('Real results'!C198))=UPPER(TRIM('Raw data'!C198))),2,0),0)</f>
        <v>0</v>
      </c>
      <c r="E203" s="29">
        <f>IFERROR(IF(AND('Real results'!C198&lt;&gt;"",'Raw data'!E198&lt;&gt;"",UPPER(TRIM('Real results'!C198))=UPPER(TRIM('Raw data'!E198))),2,0),0)</f>
        <v>0</v>
      </c>
      <c r="G203" s="29">
        <f>IFERROR(IF(AND('Real results'!C198&lt;&gt;"",'Raw data'!G198&lt;&gt;"",UPPER(TRIM('Real results'!C198))=UPPER(TRIM('Raw data'!G198))),2,0),0)</f>
        <v>0</v>
      </c>
      <c r="I203" s="29">
        <f>IFERROR(IF(AND('Real results'!C198&lt;&gt;"",'Raw data'!I198&lt;&gt;"",UPPER(TRIM('Real results'!C198))=UPPER(TRIM('Raw data'!I198))),2,0),0)</f>
        <v>0</v>
      </c>
      <c r="K203" s="29">
        <f>IFERROR(IF(AND('Real results'!C198&lt;&gt;"",'Raw data'!K198&lt;&gt;"",UPPER(TRIM('Real results'!C198))=UPPER(TRIM('Raw data'!K198))),2,0),0)</f>
        <v>0</v>
      </c>
      <c r="M203" s="29">
        <f>IFERROR(IF(AND('Real results'!C198&lt;&gt;"",'Raw data'!M198&lt;&gt;"",UPPER(TRIM('Real results'!C198))=UPPER(TRIM('Raw data'!M198))),2,0),0)</f>
        <v>0</v>
      </c>
      <c r="O203" s="29">
        <f>IFERROR(IF(AND('Real results'!C198&lt;&gt;"",'Raw data'!O198&lt;&gt;"",UPPER(TRIM('Real results'!C198))=UPPER(TRIM('Raw data'!O198))),2,0),0)</f>
        <v>0</v>
      </c>
      <c r="Q203" s="29">
        <f>IFERROR(IF(AND('Real results'!C198&lt;&gt;"",'Raw data'!Q198&lt;&gt;"",UPPER(TRIM('Real results'!C198))=UPPER(TRIM('Raw data'!Q198))),2,0),0)</f>
        <v>0</v>
      </c>
      <c r="S203" s="29">
        <f>IFERROR(IF(AND('Real results'!C198&lt;&gt;"",'Raw data'!S198&lt;&gt;"",UPPER(TRIM('Real results'!C198))=UPPER(TRIM('Raw data'!S198))),2,0),0)</f>
        <v>0</v>
      </c>
      <c r="U203" s="29">
        <f>IFERROR(IF(AND('Real results'!C198&lt;&gt;"",'Raw data'!U198&lt;&gt;"",UPPER(TRIM('Real results'!C198))=UPPER(TRIM('Raw data'!U198))),2,0),0)</f>
        <v>0</v>
      </c>
      <c r="W203" s="29">
        <f>IFERROR(IF(AND('Real results'!C198&lt;&gt;"",'Raw data'!W198&lt;&gt;"",UPPER(TRIM('Real results'!C198))=UPPER(TRIM('Raw data'!W198))),2,0),0)</f>
        <v>0</v>
      </c>
      <c r="Y203" s="29">
        <f>IFERROR(IF(AND('Real results'!C198&lt;&gt;"",'Raw data'!Y198&lt;&gt;"",UPPER(TRIM('Real results'!C198))=UPPER(TRIM('Raw data'!Y198))),2,0),0)</f>
        <v>0</v>
      </c>
      <c r="AA203" s="29">
        <f>IFERROR(IF(AND('Real results'!C198&lt;&gt;"",'Raw data'!AA198&lt;&gt;"",UPPER(TRIM('Real results'!C198))=UPPER(TRIM('Raw data'!AA198))),2,0),0)</f>
        <v>0</v>
      </c>
      <c r="AC203" s="29">
        <f>IFERROR(IF(AND('Real results'!C198&lt;&gt;"",'Raw data'!AC198&lt;&gt;"",UPPER(TRIM('Real results'!C198))=UPPER(TRIM('Raw data'!AC198))),2,0),0)</f>
        <v>0</v>
      </c>
      <c r="AE203" s="29">
        <f>IFERROR(IF(AND('Real results'!C198&lt;&gt;"",'Raw data'!AE198&lt;&gt;"",UPPER(TRIM('Real results'!C198))=UPPER(TRIM('Raw data'!AE198))),2,0),0)</f>
        <v>0</v>
      </c>
      <c r="AG203" s="29">
        <f>IFERROR(IF(AND('Real results'!C198&lt;&gt;"",'Raw data'!AG198&lt;&gt;"",UPPER(TRIM('Real results'!C198))=UPPER(TRIM('Raw data'!AG198))),2,0),0)</f>
        <v>0</v>
      </c>
      <c r="AI203" s="29">
        <f>IFERROR(IF(AND('Real results'!C198&lt;&gt;"",'Raw data'!AI198&lt;&gt;"",UPPER(TRIM('Real results'!C198))=UPPER(TRIM('Raw data'!AI198))),2,0),0)</f>
        <v>0</v>
      </c>
      <c r="AK203" s="29">
        <f>IFERROR(IF(AND('Real results'!C198&lt;&gt;"",'Raw data'!AK198&lt;&gt;"",UPPER(TRIM('Real results'!C198))=UPPER(TRIM('Raw data'!AK198))),2,0),0)</f>
        <v>0</v>
      </c>
      <c r="AM203" s="29">
        <f>IFERROR(IF(AND('Real results'!C198&lt;&gt;"",'Raw data'!AM198&lt;&gt;"",UPPER(TRIM('Real results'!C198))=UPPER(TRIM('Raw data'!AM198))),2,0),0)</f>
        <v>0</v>
      </c>
      <c r="AO203" s="29">
        <f>IFERROR(IF(AND('Real results'!C198&lt;&gt;"",'Raw data'!AO198&lt;&gt;"",UPPER(TRIM('Real results'!C198))=UPPER(TRIM('Raw data'!AO198))),2,0),0)</f>
        <v>0</v>
      </c>
      <c r="AQ203" s="29">
        <f>IFERROR(IF(AND('Real results'!C198&lt;&gt;"",'Raw data'!AQ198&lt;&gt;"",UPPER(TRIM('Real results'!C198))=UPPER(TRIM('Raw data'!AQ198))),2,0),0)</f>
        <v>0</v>
      </c>
      <c r="AS203" s="29">
        <f>IFERROR(IF(AND('Real results'!C198&lt;&gt;"",'Raw data'!AS198&lt;&gt;"",UPPER(TRIM('Real results'!C198))=UPPER(TRIM('Raw data'!AS198))),2,0),0)</f>
        <v>0</v>
      </c>
      <c r="AU203" s="29">
        <f>IFERROR(IF(AND('Real results'!C198&lt;&gt;"",'Raw data'!AU198&lt;&gt;"",UPPER(TRIM('Real results'!C198))=UPPER(TRIM('Raw data'!AU198))),2,0),0)</f>
        <v>0</v>
      </c>
      <c r="AW203" s="29">
        <f>IFERROR(IF(AND('Real results'!C198&lt;&gt;"",'Raw data'!AW198&lt;&gt;"",UPPER(TRIM('Real results'!C198))=UPPER(TRIM('Raw data'!AW198))),2,0),0)</f>
        <v>0</v>
      </c>
      <c r="AY203" s="29">
        <f>IFERROR(IF(AND('Real results'!C198&lt;&gt;"",'Raw data'!AY198&lt;&gt;"",UPPER(TRIM('Real results'!C198))=UPPER(TRIM('Raw data'!AY198))),2,0),0)</f>
        <v>0</v>
      </c>
      <c r="BA203" s="29">
        <f>IFERROR(IF(AND('Real results'!C198&lt;&gt;"",'Raw data'!BA198&lt;&gt;"",UPPER(TRIM('Real results'!C198))=UPPER(TRIM('Raw data'!BA198))),2,0),0)</f>
        <v>0</v>
      </c>
      <c r="BC203" s="29">
        <f>IFERROR(IF(AND('Real results'!C198&lt;&gt;"",'Raw data'!BC198&lt;&gt;"",UPPER(TRIM('Real results'!C198))=UPPER(TRIM('Raw data'!BC198))),2,0),0)</f>
        <v>0</v>
      </c>
      <c r="BE203" s="29">
        <f>IFERROR(IF(AND('Real results'!C198&lt;&gt;"",'Raw data'!BE198&lt;&gt;"",UPPER(TRIM('Real results'!C198))=UPPER(TRIM('Raw data'!BE198))),2,0),0)</f>
        <v>0</v>
      </c>
      <c r="BG203" s="29">
        <f>IFERROR(IF(AND('Real results'!C198&lt;&gt;"",'Raw data'!BG198&lt;&gt;"",UPPER(TRIM('Real results'!C198))=UPPER(TRIM('Raw data'!BG198))),2,0),0)</f>
        <v>0</v>
      </c>
      <c r="BI203" s="29">
        <f>IFERROR(IF(AND('Real results'!C198&lt;&gt;"",'Raw data'!BI198&lt;&gt;"",UPPER(TRIM('Real results'!C198))=UPPER(TRIM('Raw data'!BI198))),2,0),0)</f>
        <v>0</v>
      </c>
    </row>
    <row r="204" ht="21.75" customHeight="1">
      <c r="A204" s="1"/>
      <c r="B204" s="30" t="s">
        <v>485</v>
      </c>
      <c r="C204" s="31">
        <f>SUM(C180:C203)</f>
        <v>0</v>
      </c>
      <c r="E204" s="31">
        <f>SUM(E180:E203)</f>
        <v>0</v>
      </c>
      <c r="G204" s="31">
        <f>SUM(G180:G203)</f>
        <v>0</v>
      </c>
      <c r="I204" s="31">
        <f>SUM(I180:I203)</f>
        <v>0</v>
      </c>
      <c r="K204" s="31">
        <f>SUM(K180:K203)</f>
        <v>0</v>
      </c>
      <c r="M204" s="31">
        <f>SUM(M180:M203)</f>
        <v>0</v>
      </c>
      <c r="O204" s="31">
        <f>SUM(O180:O203)</f>
        <v>0</v>
      </c>
      <c r="Q204" s="31">
        <f>SUM(Q180:Q203)</f>
        <v>0</v>
      </c>
      <c r="S204" s="31">
        <f>SUM(S180:S203)</f>
        <v>0</v>
      </c>
      <c r="U204" s="31">
        <f>SUM(U180:U203)</f>
        <v>0</v>
      </c>
      <c r="W204" s="31">
        <f>SUM(W180:W203)</f>
        <v>0</v>
      </c>
      <c r="Y204" s="31">
        <f>SUM(Y180:Y203)</f>
        <v>0</v>
      </c>
      <c r="AA204" s="31">
        <f>SUM(AA180:AA203)</f>
        <v>0</v>
      </c>
      <c r="AC204" s="31">
        <f>SUM(AC180:AC203)</f>
        <v>0</v>
      </c>
      <c r="AE204" s="31">
        <f>SUM(AE180:AE203)</f>
        <v>0</v>
      </c>
      <c r="AG204" s="31">
        <f>SUM(AG180:AG203)</f>
        <v>0</v>
      </c>
      <c r="AI204" s="31">
        <f>SUM(AI180:AI203)</f>
        <v>0</v>
      </c>
      <c r="AK204" s="31">
        <f>SUM(AK180:AK203)</f>
        <v>0</v>
      </c>
      <c r="AM204" s="31">
        <f>SUM(AM180:AM203)</f>
        <v>0</v>
      </c>
      <c r="AO204" s="31">
        <f>SUM(AO180:AO203)</f>
        <v>0</v>
      </c>
      <c r="AQ204" s="31">
        <f>SUM(AQ180:AQ203)</f>
        <v>0</v>
      </c>
      <c r="AS204" s="31">
        <f>SUM(AS180:AS203)</f>
        <v>0</v>
      </c>
      <c r="AU204" s="31">
        <f>SUM(AU180:AU203)</f>
        <v>0</v>
      </c>
      <c r="AW204" s="31">
        <f>SUM(AW180:AW203)</f>
        <v>0</v>
      </c>
      <c r="AY204" s="31">
        <f>SUM(AY180:AY203)</f>
        <v>0</v>
      </c>
      <c r="BA204" s="31">
        <f>SUM(BA180:BA203)</f>
        <v>0</v>
      </c>
      <c r="BC204" s="31">
        <f>SUM(BC180:BC203)</f>
        <v>0</v>
      </c>
      <c r="BE204" s="31">
        <f>SUM(BE180:BE203)</f>
        <v>0</v>
      </c>
      <c r="BG204" s="31">
        <f>SUM(BG180:BG203)</f>
        <v>0</v>
      </c>
      <c r="BI204" s="31">
        <f>SUM(BI180:BI203)</f>
        <v>0</v>
      </c>
    </row>
    <row r="205" ht="19.5" customHeight="1">
      <c r="A205" s="1"/>
      <c r="B205" s="28" t="s">
        <v>486</v>
      </c>
      <c r="C205" s="12"/>
      <c r="E205" s="12"/>
      <c r="G205" s="12"/>
      <c r="I205" s="12"/>
      <c r="K205" s="12"/>
      <c r="M205" s="12"/>
      <c r="O205" s="12"/>
      <c r="Q205" s="12"/>
      <c r="S205" s="12"/>
      <c r="U205" s="12"/>
      <c r="W205" s="12"/>
      <c r="Y205" s="12"/>
      <c r="AA205" s="12"/>
      <c r="AC205" s="12"/>
      <c r="AE205" s="12"/>
      <c r="AG205" s="12"/>
      <c r="AI205" s="12"/>
      <c r="AK205" s="12"/>
      <c r="AM205" s="12"/>
      <c r="AO205" s="12"/>
      <c r="AQ205" s="12"/>
      <c r="AS205" s="12"/>
      <c r="AU205" s="12"/>
      <c r="AW205" s="12"/>
      <c r="AY205" s="12"/>
      <c r="BA205" s="12"/>
      <c r="BC205" s="12"/>
      <c r="BE205" s="12"/>
      <c r="BG205" s="12"/>
      <c r="BI205" s="12"/>
    </row>
    <row r="206" ht="18.0" customHeight="1">
      <c r="A206" s="1"/>
      <c r="B206" s="13" t="s">
        <v>487</v>
      </c>
      <c r="C206" s="29">
        <f>IFERROR(IF(AND(ISNUMBER('Real results'!C200),ISNUMBER('Real results'!D200),ISNUMBER('Raw data'!C200),ISNUMBER('Raw data'!D200)),IF(SIGN('Raw data'!C200-'Raw data'!D200)=SIGN('Real results'!C200-'Real results'!D200),3+IF(AND('Raw data'!C200='Real results'!C200,'Raw data'!D200='Real results'!D200),2,0),0),0),0)</f>
        <v>0</v>
      </c>
      <c r="E206" s="29">
        <f>IFERROR(IF(AND(ISNUMBER('Real results'!C200),ISNUMBER('Real results'!D200),ISNUMBER('Raw data'!E200),ISNUMBER('Raw data'!F200)),IF(SIGN('Raw data'!E200-'Raw data'!F200)=SIGN('Real results'!C200-'Real results'!D200),3+IF(AND('Raw data'!E200='Real results'!C200,'Raw data'!F200='Real results'!D200),2,0),0),0),0)</f>
        <v>0</v>
      </c>
      <c r="G206" s="29">
        <f>IFERROR(IF(AND(ISNUMBER('Real results'!C200),ISNUMBER('Real results'!D200),ISNUMBER('Raw data'!G200),ISNUMBER('Raw data'!H200)),IF(SIGN('Raw data'!G200-'Raw data'!H200)=SIGN('Real results'!C200-'Real results'!D200),3+IF(AND('Raw data'!G200='Real results'!C200,'Raw data'!H200='Real results'!D200),2,0),0),0),0)</f>
        <v>0</v>
      </c>
      <c r="I206" s="29">
        <f>IFERROR(IF(AND(ISNUMBER('Real results'!C200),ISNUMBER('Real results'!D200),ISNUMBER('Raw data'!I200),ISNUMBER('Raw data'!J200)),IF(SIGN('Raw data'!I200-'Raw data'!J200)=SIGN('Real results'!C200-'Real results'!D200),3+IF(AND('Raw data'!I200='Real results'!C200,'Raw data'!J200='Real results'!D200),2,0),0),0),0)</f>
        <v>0</v>
      </c>
      <c r="K206" s="29">
        <f>IFERROR(IF(AND(ISNUMBER('Real results'!C200),ISNUMBER('Real results'!D200),ISNUMBER('Raw data'!K200),ISNUMBER('Raw data'!L200)),IF(SIGN('Raw data'!K200-'Raw data'!L200)=SIGN('Real results'!C200-'Real results'!D200),3+IF(AND('Raw data'!K200='Real results'!C200,'Raw data'!L200='Real results'!D200),2,0),0),0),0)</f>
        <v>0</v>
      </c>
      <c r="M206" s="29">
        <f>IFERROR(IF(AND(ISNUMBER('Real results'!C200),ISNUMBER('Real results'!D200),ISNUMBER('Raw data'!M200),ISNUMBER('Raw data'!N200)),IF(SIGN('Raw data'!M200-'Raw data'!N200)=SIGN('Real results'!C200-'Real results'!D200),3+IF(AND('Raw data'!M200='Real results'!C200,'Raw data'!N200='Real results'!D200),2,0),0),0),0)</f>
        <v>0</v>
      </c>
      <c r="O206" s="29">
        <f>IFERROR(IF(AND(ISNUMBER('Real results'!C200),ISNUMBER('Real results'!D200),ISNUMBER('Raw data'!O200),ISNUMBER('Raw data'!P200)),IF(SIGN('Raw data'!O200-'Raw data'!P200)=SIGN('Real results'!C200-'Real results'!D200),3+IF(AND('Raw data'!O200='Real results'!C200,'Raw data'!P200='Real results'!D200),2,0),0),0),0)</f>
        <v>0</v>
      </c>
      <c r="Q206" s="29">
        <f>IFERROR(IF(AND(ISNUMBER('Real results'!C200),ISNUMBER('Real results'!D200),ISNUMBER('Raw data'!Q200),ISNUMBER('Raw data'!R200)),IF(SIGN('Raw data'!Q200-'Raw data'!R200)=SIGN('Real results'!C200-'Real results'!D200),3+IF(AND('Raw data'!Q200='Real results'!C200,'Raw data'!R200='Real results'!D200),2,0),0),0),0)</f>
        <v>0</v>
      </c>
      <c r="S206" s="29">
        <f>IFERROR(IF(AND(ISNUMBER('Real results'!C200),ISNUMBER('Real results'!D200),ISNUMBER('Raw data'!S200),ISNUMBER('Raw data'!T200)),IF(SIGN('Raw data'!S200-'Raw data'!T200)=SIGN('Real results'!C200-'Real results'!D200),3+IF(AND('Raw data'!S200='Real results'!C200,'Raw data'!T200='Real results'!D200),2,0),0),0),0)</f>
        <v>0</v>
      </c>
      <c r="U206" s="29">
        <f>IFERROR(IF(AND(ISNUMBER('Real results'!C200),ISNUMBER('Real results'!D200),ISNUMBER('Raw data'!U200),ISNUMBER('Raw data'!V200)),IF(SIGN('Raw data'!U200-'Raw data'!V200)=SIGN('Real results'!C200-'Real results'!D200),3+IF(AND('Raw data'!U200='Real results'!C200,'Raw data'!V200='Real results'!D200),2,0),0),0),0)</f>
        <v>0</v>
      </c>
      <c r="W206" s="29">
        <f>IFERROR(IF(AND(ISNUMBER('Real results'!C200),ISNUMBER('Real results'!D200),ISNUMBER('Raw data'!W200),ISNUMBER('Raw data'!X200)),IF(SIGN('Raw data'!W200-'Raw data'!X200)=SIGN('Real results'!C200-'Real results'!D200),3+IF(AND('Raw data'!W200='Real results'!C200,'Raw data'!X200='Real results'!D200),2,0),0),0),0)</f>
        <v>0</v>
      </c>
      <c r="Y206" s="29">
        <f>IFERROR(IF(AND(ISNUMBER('Real results'!C200),ISNUMBER('Real results'!D200),ISNUMBER('Raw data'!Y200),ISNUMBER('Raw data'!Z200)),IF(SIGN('Raw data'!Y200-'Raw data'!Z200)=SIGN('Real results'!C200-'Real results'!D200),3+IF(AND('Raw data'!Y200='Real results'!C200,'Raw data'!Z200='Real results'!D200),2,0),0),0),0)</f>
        <v>0</v>
      </c>
      <c r="AA206" s="29">
        <f>IFERROR(IF(AND(ISNUMBER('Real results'!C200),ISNUMBER('Real results'!D200),ISNUMBER('Raw data'!AA200),ISNUMBER('Raw data'!AB200)),IF(SIGN('Raw data'!AA200-'Raw data'!AB200)=SIGN('Real results'!C200-'Real results'!D200),3+IF(AND('Raw data'!AA200='Real results'!C200,'Raw data'!AB200='Real results'!D200),2,0),0),0),0)</f>
        <v>0</v>
      </c>
      <c r="AC206" s="29">
        <f>IFERROR(IF(AND(ISNUMBER('Real results'!C200),ISNUMBER('Real results'!D200),ISNUMBER('Raw data'!AC200),ISNUMBER('Raw data'!AD200)),IF(SIGN('Raw data'!AC200-'Raw data'!AD200)=SIGN('Real results'!C200-'Real results'!D200),3+IF(AND('Raw data'!AC200='Real results'!C200,'Raw data'!AD200='Real results'!D200),2,0),0),0),0)</f>
        <v>0</v>
      </c>
      <c r="AE206" s="29">
        <f>IFERROR(IF(AND(ISNUMBER('Real results'!C200),ISNUMBER('Real results'!D200),ISNUMBER('Raw data'!AE200),ISNUMBER('Raw data'!AF200)),IF(SIGN('Raw data'!AE200-'Raw data'!AF200)=SIGN('Real results'!C200-'Real results'!D200),3+IF(AND('Raw data'!AE200='Real results'!C200,'Raw data'!AF200='Real results'!D200),2,0),0),0),0)</f>
        <v>0</v>
      </c>
      <c r="AG206" s="29">
        <f>IFERROR(IF(AND(ISNUMBER('Real results'!C200),ISNUMBER('Real results'!D200),ISNUMBER('Raw data'!AG200),ISNUMBER('Raw data'!AH200)),IF(SIGN('Raw data'!AG200-'Raw data'!AH200)=SIGN('Real results'!C200-'Real results'!D200),3+IF(AND('Raw data'!AG200='Real results'!C200,'Raw data'!AH200='Real results'!D200),2,0),0),0),0)</f>
        <v>0</v>
      </c>
      <c r="AI206" s="29">
        <f>IFERROR(IF(AND(ISNUMBER('Real results'!C200),ISNUMBER('Real results'!D200),ISNUMBER('Raw data'!AI200),ISNUMBER('Raw data'!AJ200)),IF(SIGN('Raw data'!AI200-'Raw data'!AJ200)=SIGN('Real results'!C200-'Real results'!D200),3+IF(AND('Raw data'!AI200='Real results'!C200,'Raw data'!AJ200='Real results'!D200),2,0),0),0),0)</f>
        <v>0</v>
      </c>
      <c r="AK206" s="29">
        <f>IFERROR(IF(AND(ISNUMBER('Real results'!C200),ISNUMBER('Real results'!D200),ISNUMBER('Raw data'!AK200),ISNUMBER('Raw data'!AL200)),IF(SIGN('Raw data'!AK200-'Raw data'!AL200)=SIGN('Real results'!C200-'Real results'!D200),3+IF(AND('Raw data'!AK200='Real results'!C200,'Raw data'!AL200='Real results'!D200),2,0),0),0),0)</f>
        <v>0</v>
      </c>
      <c r="AM206" s="29">
        <f>IFERROR(IF(AND(ISNUMBER('Real results'!C200),ISNUMBER('Real results'!D200),ISNUMBER('Raw data'!AM200),ISNUMBER('Raw data'!AN200)),IF(SIGN('Raw data'!AM200-'Raw data'!AN200)=SIGN('Real results'!C200-'Real results'!D200),3+IF(AND('Raw data'!AM200='Real results'!C200,'Raw data'!AN200='Real results'!D200),2,0),0),0),0)</f>
        <v>0</v>
      </c>
      <c r="AO206" s="29">
        <f>IFERROR(IF(AND(ISNUMBER('Real results'!C200),ISNUMBER('Real results'!D200),ISNUMBER('Raw data'!AO200),ISNUMBER('Raw data'!AP200)),IF(SIGN('Raw data'!AO200-'Raw data'!AP200)=SIGN('Real results'!C200-'Real results'!D200),3+IF(AND('Raw data'!AO200='Real results'!C200,'Raw data'!AP200='Real results'!D200),2,0),0),0),0)</f>
        <v>0</v>
      </c>
      <c r="AQ206" s="29">
        <f>IFERROR(IF(AND(ISNUMBER('Real results'!C200),ISNUMBER('Real results'!D200),ISNUMBER('Raw data'!AQ200),ISNUMBER('Raw data'!AR200)),IF(SIGN('Raw data'!AQ200-'Raw data'!AR200)=SIGN('Real results'!C200-'Real results'!D200),3+IF(AND('Raw data'!AQ200='Real results'!C200,'Raw data'!AR200='Real results'!D200),2,0),0),0),0)</f>
        <v>0</v>
      </c>
      <c r="AS206" s="29">
        <f>IFERROR(IF(AND(ISNUMBER('Real results'!C200),ISNUMBER('Real results'!D200),ISNUMBER('Raw data'!AS200),ISNUMBER('Raw data'!AT200)),IF(SIGN('Raw data'!AS200-'Raw data'!AT200)=SIGN('Real results'!C200-'Real results'!D200),3+IF(AND('Raw data'!AS200='Real results'!C200,'Raw data'!AT200='Real results'!D200),2,0),0),0),0)</f>
        <v>0</v>
      </c>
      <c r="AU206" s="29">
        <f>IFERROR(IF(AND(ISNUMBER('Real results'!C200),ISNUMBER('Real results'!D200),ISNUMBER('Raw data'!AU200),ISNUMBER('Raw data'!AV200)),IF(SIGN('Raw data'!AU200-'Raw data'!AV200)=SIGN('Real results'!C200-'Real results'!D200),3+IF(AND('Raw data'!AU200='Real results'!C200,'Raw data'!AV200='Real results'!D200),2,0),0),0),0)</f>
        <v>0</v>
      </c>
      <c r="AW206" s="29">
        <f>IFERROR(IF(AND(ISNUMBER('Real results'!C200),ISNUMBER('Real results'!D200),ISNUMBER('Raw data'!AW200),ISNUMBER('Raw data'!AX200)),IF(SIGN('Raw data'!AW200-'Raw data'!AX200)=SIGN('Real results'!C200-'Real results'!D200),3+IF(AND('Raw data'!AW200='Real results'!C200,'Raw data'!AX200='Real results'!D200),2,0),0),0),0)</f>
        <v>0</v>
      </c>
      <c r="AY206" s="29">
        <f>IFERROR(IF(AND(ISNUMBER('Real results'!C200),ISNUMBER('Real results'!D200),ISNUMBER('Raw data'!AY200),ISNUMBER('Raw data'!AZ200)),IF(SIGN('Raw data'!AY200-'Raw data'!AZ200)=SIGN('Real results'!C200-'Real results'!D200),3+IF(AND('Raw data'!AY200='Real results'!C200,'Raw data'!AZ200='Real results'!D200),2,0),0),0),0)</f>
        <v>0</v>
      </c>
      <c r="BA206" s="29">
        <f>IFERROR(IF(AND(ISNUMBER('Real results'!C200),ISNUMBER('Real results'!D200),ISNUMBER('Raw data'!BA200),ISNUMBER('Raw data'!BB200)),IF(SIGN('Raw data'!BA200-'Raw data'!BB200)=SIGN('Real results'!C200-'Real results'!D200),3+IF(AND('Raw data'!BA200='Real results'!C200,'Raw data'!BB200='Real results'!D200),2,0),0),0),0)</f>
        <v>0</v>
      </c>
      <c r="BC206" s="29">
        <f>IFERROR(IF(AND(ISNUMBER('Real results'!C200),ISNUMBER('Real results'!D200),ISNUMBER('Raw data'!BC200),ISNUMBER('Raw data'!BD200)),IF(SIGN('Raw data'!BC200-'Raw data'!BD200)=SIGN('Real results'!C200-'Real results'!D200),3+IF(AND('Raw data'!BC200='Real results'!C200,'Raw data'!BD200='Real results'!D200),2,0),0),0),0)</f>
        <v>0</v>
      </c>
      <c r="BE206" s="29">
        <f>IFERROR(IF(AND(ISNUMBER('Real results'!C200),ISNUMBER('Real results'!D200),ISNUMBER('Raw data'!BE200),ISNUMBER('Raw data'!BF200)),IF(SIGN('Raw data'!BE200-'Raw data'!BF200)=SIGN('Real results'!C200-'Real results'!D200),3+IF(AND('Raw data'!BE200='Real results'!C200,'Raw data'!BF200='Real results'!D200),2,0),0),0),0)</f>
        <v>0</v>
      </c>
      <c r="BG206" s="29">
        <f>IFERROR(IF(AND(ISNUMBER('Real results'!C200),ISNUMBER('Real results'!D200),ISNUMBER('Raw data'!BG200),ISNUMBER('Raw data'!BH200)),IF(SIGN('Raw data'!BG200-'Raw data'!BH200)=SIGN('Real results'!C200-'Real results'!D200),3+IF(AND('Raw data'!BG200='Real results'!C200,'Raw data'!BH200='Real results'!D200),2,0),0),0),0)</f>
        <v>0</v>
      </c>
      <c r="BI206" s="29">
        <f>IFERROR(IF(AND(ISNUMBER('Real results'!C200),ISNUMBER('Real results'!D200),ISNUMBER('Raw data'!BI200),ISNUMBER('Raw data'!BJ200)),IF(SIGN('Raw data'!BI200-'Raw data'!BJ200)=SIGN('Real results'!C200-'Real results'!D200),3+IF(AND('Raw data'!BI200='Real results'!C200,'Raw data'!BJ200='Real results'!D200),2,0),0),0),0)</f>
        <v>0</v>
      </c>
    </row>
    <row r="207" ht="18.0" customHeight="1">
      <c r="A207" s="1"/>
      <c r="B207" s="13" t="s">
        <v>488</v>
      </c>
      <c r="C207" s="29">
        <f>IFERROR(IF(AND('Real results'!C201&lt;&gt;"",'Raw data'!C201&lt;&gt;"",UPPER(TRIM('Real results'!C201))=UPPER(TRIM('Raw data'!C201))),1,0),0)</f>
        <v>0</v>
      </c>
      <c r="E207" s="29">
        <f>IFERROR(IF(AND('Real results'!C201&lt;&gt;"",'Raw data'!E201&lt;&gt;"",UPPER(TRIM('Real results'!C201))=UPPER(TRIM('Raw data'!E201))),1,0),0)</f>
        <v>0</v>
      </c>
      <c r="G207" s="29">
        <f>IFERROR(IF(AND('Real results'!C201&lt;&gt;"",'Raw data'!G201&lt;&gt;"",UPPER(TRIM('Real results'!C201))=UPPER(TRIM('Raw data'!G201))),1,0),0)</f>
        <v>0</v>
      </c>
      <c r="I207" s="29">
        <f>IFERROR(IF(AND('Real results'!C201&lt;&gt;"",'Raw data'!I201&lt;&gt;"",UPPER(TRIM('Real results'!C201))=UPPER(TRIM('Raw data'!I201))),1,0),0)</f>
        <v>0</v>
      </c>
      <c r="K207" s="29">
        <f>IFERROR(IF(AND('Real results'!C201&lt;&gt;"",'Raw data'!K201&lt;&gt;"",UPPER(TRIM('Real results'!C201))=UPPER(TRIM('Raw data'!K201))),1,0),0)</f>
        <v>0</v>
      </c>
      <c r="M207" s="29">
        <f>IFERROR(IF(AND('Real results'!C201&lt;&gt;"",'Raw data'!M201&lt;&gt;"",UPPER(TRIM('Real results'!C201))=UPPER(TRIM('Raw data'!M201))),1,0),0)</f>
        <v>0</v>
      </c>
      <c r="O207" s="29">
        <f>IFERROR(IF(AND('Real results'!C201&lt;&gt;"",'Raw data'!O201&lt;&gt;"",UPPER(TRIM('Real results'!C201))=UPPER(TRIM('Raw data'!O201))),1,0),0)</f>
        <v>0</v>
      </c>
      <c r="Q207" s="29">
        <f>IFERROR(IF(AND('Real results'!C201&lt;&gt;"",'Raw data'!Q201&lt;&gt;"",UPPER(TRIM('Real results'!C201))=UPPER(TRIM('Raw data'!Q201))),1,0),0)</f>
        <v>0</v>
      </c>
      <c r="S207" s="29">
        <f>IFERROR(IF(AND('Real results'!C201&lt;&gt;"",'Raw data'!S201&lt;&gt;"",UPPER(TRIM('Real results'!C201))=UPPER(TRIM('Raw data'!S201))),1,0),0)</f>
        <v>0</v>
      </c>
      <c r="U207" s="29">
        <f>IFERROR(IF(AND('Real results'!C201&lt;&gt;"",'Raw data'!U201&lt;&gt;"",UPPER(TRIM('Real results'!C201))=UPPER(TRIM('Raw data'!U201))),1,0),0)</f>
        <v>0</v>
      </c>
      <c r="W207" s="29">
        <f>IFERROR(IF(AND('Real results'!C201&lt;&gt;"",'Raw data'!W201&lt;&gt;"",UPPER(TRIM('Real results'!C201))=UPPER(TRIM('Raw data'!W201))),1,0),0)</f>
        <v>0</v>
      </c>
      <c r="Y207" s="29">
        <f>IFERROR(IF(AND('Real results'!C201&lt;&gt;"",'Raw data'!Y201&lt;&gt;"",UPPER(TRIM('Real results'!C201))=UPPER(TRIM('Raw data'!Y201))),1,0),0)</f>
        <v>0</v>
      </c>
      <c r="AA207" s="29">
        <f>IFERROR(IF(AND('Real results'!C201&lt;&gt;"",'Raw data'!AA201&lt;&gt;"",UPPER(TRIM('Real results'!C201))=UPPER(TRIM('Raw data'!AA201))),1,0),0)</f>
        <v>0</v>
      </c>
      <c r="AC207" s="29">
        <f>IFERROR(IF(AND('Real results'!C201&lt;&gt;"",'Raw data'!AC201&lt;&gt;"",UPPER(TRIM('Real results'!C201))=UPPER(TRIM('Raw data'!AC201))),1,0),0)</f>
        <v>0</v>
      </c>
      <c r="AE207" s="29">
        <f>IFERROR(IF(AND('Real results'!C201&lt;&gt;"",'Raw data'!AE201&lt;&gt;"",UPPER(TRIM('Real results'!C201))=UPPER(TRIM('Raw data'!AE201))),1,0),0)</f>
        <v>0</v>
      </c>
      <c r="AG207" s="29">
        <f>IFERROR(IF(AND('Real results'!C201&lt;&gt;"",'Raw data'!AG201&lt;&gt;"",UPPER(TRIM('Real results'!C201))=UPPER(TRIM('Raw data'!AG201))),1,0),0)</f>
        <v>0</v>
      </c>
      <c r="AI207" s="29">
        <f>IFERROR(IF(AND('Real results'!C201&lt;&gt;"",'Raw data'!AI201&lt;&gt;"",UPPER(TRIM('Real results'!C201))=UPPER(TRIM('Raw data'!AI201))),1,0),0)</f>
        <v>0</v>
      </c>
      <c r="AK207" s="29">
        <f>IFERROR(IF(AND('Real results'!C201&lt;&gt;"",'Raw data'!AK201&lt;&gt;"",UPPER(TRIM('Real results'!C201))=UPPER(TRIM('Raw data'!AK201))),1,0),0)</f>
        <v>0</v>
      </c>
      <c r="AM207" s="29">
        <f>IFERROR(IF(AND('Real results'!C201&lt;&gt;"",'Raw data'!AM201&lt;&gt;"",UPPER(TRIM('Real results'!C201))=UPPER(TRIM('Raw data'!AM201))),1,0),0)</f>
        <v>0</v>
      </c>
      <c r="AO207" s="29">
        <f>IFERROR(IF(AND('Real results'!C201&lt;&gt;"",'Raw data'!AO201&lt;&gt;"",UPPER(TRIM('Real results'!C201))=UPPER(TRIM('Raw data'!AO201))),1,0),0)</f>
        <v>0</v>
      </c>
      <c r="AQ207" s="29">
        <f>IFERROR(IF(AND('Real results'!C201&lt;&gt;"",'Raw data'!AQ201&lt;&gt;"",UPPER(TRIM('Real results'!C201))=UPPER(TRIM('Raw data'!AQ201))),1,0),0)</f>
        <v>0</v>
      </c>
      <c r="AS207" s="29">
        <f>IFERROR(IF(AND('Real results'!C201&lt;&gt;"",'Raw data'!AS201&lt;&gt;"",UPPER(TRIM('Real results'!C201))=UPPER(TRIM('Raw data'!AS201))),1,0),0)</f>
        <v>0</v>
      </c>
      <c r="AU207" s="29">
        <f>IFERROR(IF(AND('Real results'!C201&lt;&gt;"",'Raw data'!AU201&lt;&gt;"",UPPER(TRIM('Real results'!C201))=UPPER(TRIM('Raw data'!AU201))),1,0),0)</f>
        <v>0</v>
      </c>
      <c r="AW207" s="29">
        <f>IFERROR(IF(AND('Real results'!C201&lt;&gt;"",'Raw data'!AW201&lt;&gt;"",UPPER(TRIM('Real results'!C201))=UPPER(TRIM('Raw data'!AW201))),1,0),0)</f>
        <v>0</v>
      </c>
      <c r="AY207" s="29">
        <f>IFERROR(IF(AND('Real results'!C201&lt;&gt;"",'Raw data'!AY201&lt;&gt;"",UPPER(TRIM('Real results'!C201))=UPPER(TRIM('Raw data'!AY201))),1,0),0)</f>
        <v>0</v>
      </c>
      <c r="BA207" s="29">
        <f>IFERROR(IF(AND('Real results'!C201&lt;&gt;"",'Raw data'!BA201&lt;&gt;"",UPPER(TRIM('Real results'!C201))=UPPER(TRIM('Raw data'!BA201))),1,0),0)</f>
        <v>0</v>
      </c>
      <c r="BC207" s="29">
        <f>IFERROR(IF(AND('Real results'!C201&lt;&gt;"",'Raw data'!BC201&lt;&gt;"",UPPER(TRIM('Real results'!C201))=UPPER(TRIM('Raw data'!BC201))),1,0),0)</f>
        <v>0</v>
      </c>
      <c r="BE207" s="29">
        <f>IFERROR(IF(AND('Real results'!C201&lt;&gt;"",'Raw data'!BE201&lt;&gt;"",UPPER(TRIM('Real results'!C201))=UPPER(TRIM('Raw data'!BE201))),1,0),0)</f>
        <v>0</v>
      </c>
      <c r="BG207" s="29">
        <f>IFERROR(IF(AND('Real results'!C201&lt;&gt;"",'Raw data'!BG201&lt;&gt;"",UPPER(TRIM('Real results'!C201))=UPPER(TRIM('Raw data'!BG201))),1,0),0)</f>
        <v>0</v>
      </c>
      <c r="BI207" s="29">
        <f>IFERROR(IF(AND('Real results'!C201&lt;&gt;"",'Raw data'!BI201&lt;&gt;"",UPPER(TRIM('Real results'!C201))=UPPER(TRIM('Raw data'!BI201))),1,0),0)</f>
        <v>0</v>
      </c>
    </row>
    <row r="208" ht="18.0" customHeight="1">
      <c r="A208" s="1"/>
      <c r="B208" s="13" t="s">
        <v>489</v>
      </c>
      <c r="C208" s="29">
        <f>IFERROR(IF(AND('Real results'!C202&lt;&gt;"",'Raw data'!C202&lt;&gt;"",UPPER(TRIM('Real results'!C202))=UPPER(TRIM('Raw data'!C202))),4,0),0)</f>
        <v>0</v>
      </c>
      <c r="E208" s="29">
        <f>IFERROR(IF(AND('Real results'!C202&lt;&gt;"",'Raw data'!E202&lt;&gt;"",UPPER(TRIM('Real results'!C202))=UPPER(TRIM('Raw data'!E202))),4,0),0)</f>
        <v>0</v>
      </c>
      <c r="G208" s="29">
        <f>IFERROR(IF(AND('Real results'!C202&lt;&gt;"",'Raw data'!G202&lt;&gt;"",UPPER(TRIM('Real results'!C202))=UPPER(TRIM('Raw data'!G202))),4,0),0)</f>
        <v>0</v>
      </c>
      <c r="I208" s="29">
        <f>IFERROR(IF(AND('Real results'!C202&lt;&gt;"",'Raw data'!I202&lt;&gt;"",UPPER(TRIM('Real results'!C202))=UPPER(TRIM('Raw data'!I202))),4,0),0)</f>
        <v>0</v>
      </c>
      <c r="K208" s="29">
        <f>IFERROR(IF(AND('Real results'!C202&lt;&gt;"",'Raw data'!K202&lt;&gt;"",UPPER(TRIM('Real results'!C202))=UPPER(TRIM('Raw data'!K202))),4,0),0)</f>
        <v>0</v>
      </c>
      <c r="M208" s="29">
        <f>IFERROR(IF(AND('Real results'!C202&lt;&gt;"",'Raw data'!M202&lt;&gt;"",UPPER(TRIM('Real results'!C202))=UPPER(TRIM('Raw data'!M202))),4,0),0)</f>
        <v>0</v>
      </c>
      <c r="O208" s="29">
        <f>IFERROR(IF(AND('Real results'!C202&lt;&gt;"",'Raw data'!O202&lt;&gt;"",UPPER(TRIM('Real results'!C202))=UPPER(TRIM('Raw data'!O202))),4,0),0)</f>
        <v>0</v>
      </c>
      <c r="Q208" s="29">
        <f>IFERROR(IF(AND('Real results'!C202&lt;&gt;"",'Raw data'!Q202&lt;&gt;"",UPPER(TRIM('Real results'!C202))=UPPER(TRIM('Raw data'!Q202))),4,0),0)</f>
        <v>0</v>
      </c>
      <c r="S208" s="29">
        <f>IFERROR(IF(AND('Real results'!C202&lt;&gt;"",'Raw data'!S202&lt;&gt;"",UPPER(TRIM('Real results'!C202))=UPPER(TRIM('Raw data'!S202))),4,0),0)</f>
        <v>0</v>
      </c>
      <c r="U208" s="29">
        <f>IFERROR(IF(AND('Real results'!C202&lt;&gt;"",'Raw data'!U202&lt;&gt;"",UPPER(TRIM('Real results'!C202))=UPPER(TRIM('Raw data'!U202))),4,0),0)</f>
        <v>0</v>
      </c>
      <c r="W208" s="29">
        <f>IFERROR(IF(AND('Real results'!C202&lt;&gt;"",'Raw data'!W202&lt;&gt;"",UPPER(TRIM('Real results'!C202))=UPPER(TRIM('Raw data'!W202))),4,0),0)</f>
        <v>0</v>
      </c>
      <c r="Y208" s="29">
        <f>IFERROR(IF(AND('Real results'!C202&lt;&gt;"",'Raw data'!Y202&lt;&gt;"",UPPER(TRIM('Real results'!C202))=UPPER(TRIM('Raw data'!Y202))),4,0),0)</f>
        <v>0</v>
      </c>
      <c r="AA208" s="29">
        <f>IFERROR(IF(AND('Real results'!C202&lt;&gt;"",'Raw data'!AA202&lt;&gt;"",UPPER(TRIM('Real results'!C202))=UPPER(TRIM('Raw data'!AA202))),4,0),0)</f>
        <v>0</v>
      </c>
      <c r="AC208" s="29">
        <f>IFERROR(IF(AND('Real results'!C202&lt;&gt;"",'Raw data'!AC202&lt;&gt;"",UPPER(TRIM('Real results'!C202))=UPPER(TRIM('Raw data'!AC202))),4,0),0)</f>
        <v>0</v>
      </c>
      <c r="AE208" s="29">
        <f>IFERROR(IF(AND('Real results'!C202&lt;&gt;"",'Raw data'!AE202&lt;&gt;"",UPPER(TRIM('Real results'!C202))=UPPER(TRIM('Raw data'!AE202))),4,0),0)</f>
        <v>0</v>
      </c>
      <c r="AG208" s="29">
        <f>IFERROR(IF(AND('Real results'!C202&lt;&gt;"",'Raw data'!AG202&lt;&gt;"",UPPER(TRIM('Real results'!C202))=UPPER(TRIM('Raw data'!AG202))),4,0),0)</f>
        <v>0</v>
      </c>
      <c r="AI208" s="29">
        <f>IFERROR(IF(AND('Real results'!C202&lt;&gt;"",'Raw data'!AI202&lt;&gt;"",UPPER(TRIM('Real results'!C202))=UPPER(TRIM('Raw data'!AI202))),4,0),0)</f>
        <v>0</v>
      </c>
      <c r="AK208" s="29">
        <f>IFERROR(IF(AND('Real results'!C202&lt;&gt;"",'Raw data'!AK202&lt;&gt;"",UPPER(TRIM('Real results'!C202))=UPPER(TRIM('Raw data'!AK202))),4,0),0)</f>
        <v>0</v>
      </c>
      <c r="AM208" s="29">
        <f>IFERROR(IF(AND('Real results'!C202&lt;&gt;"",'Raw data'!AM202&lt;&gt;"",UPPER(TRIM('Real results'!C202))=UPPER(TRIM('Raw data'!AM202))),4,0),0)</f>
        <v>0</v>
      </c>
      <c r="AO208" s="29">
        <f>IFERROR(IF(AND('Real results'!C202&lt;&gt;"",'Raw data'!AO202&lt;&gt;"",UPPER(TRIM('Real results'!C202))=UPPER(TRIM('Raw data'!AO202))),4,0),0)</f>
        <v>0</v>
      </c>
      <c r="AQ208" s="29">
        <f>IFERROR(IF(AND('Real results'!C202&lt;&gt;"",'Raw data'!AQ202&lt;&gt;"",UPPER(TRIM('Real results'!C202))=UPPER(TRIM('Raw data'!AQ202))),4,0),0)</f>
        <v>0</v>
      </c>
      <c r="AS208" s="29">
        <f>IFERROR(IF(AND('Real results'!C202&lt;&gt;"",'Raw data'!AS202&lt;&gt;"",UPPER(TRIM('Real results'!C202))=UPPER(TRIM('Raw data'!AS202))),4,0),0)</f>
        <v>0</v>
      </c>
      <c r="AU208" s="29">
        <f>IFERROR(IF(AND('Real results'!C202&lt;&gt;"",'Raw data'!AU202&lt;&gt;"",UPPER(TRIM('Real results'!C202))=UPPER(TRIM('Raw data'!AU202))),4,0),0)</f>
        <v>0</v>
      </c>
      <c r="AW208" s="29">
        <f>IFERROR(IF(AND('Real results'!C202&lt;&gt;"",'Raw data'!AW202&lt;&gt;"",UPPER(TRIM('Real results'!C202))=UPPER(TRIM('Raw data'!AW202))),4,0),0)</f>
        <v>0</v>
      </c>
      <c r="AY208" s="29">
        <f>IFERROR(IF(AND('Real results'!C202&lt;&gt;"",'Raw data'!AY202&lt;&gt;"",UPPER(TRIM('Real results'!C202))=UPPER(TRIM('Raw data'!AY202))),4,0),0)</f>
        <v>0</v>
      </c>
      <c r="BA208" s="29">
        <f>IFERROR(IF(AND('Real results'!C202&lt;&gt;"",'Raw data'!BA202&lt;&gt;"",UPPER(TRIM('Real results'!C202))=UPPER(TRIM('Raw data'!BA202))),4,0),0)</f>
        <v>0</v>
      </c>
      <c r="BC208" s="29">
        <f>IFERROR(IF(AND('Real results'!C202&lt;&gt;"",'Raw data'!BC202&lt;&gt;"",UPPER(TRIM('Real results'!C202))=UPPER(TRIM('Raw data'!BC202))),4,0),0)</f>
        <v>0</v>
      </c>
      <c r="BE208" s="29">
        <f>IFERROR(IF(AND('Real results'!C202&lt;&gt;"",'Raw data'!BE202&lt;&gt;"",UPPER(TRIM('Real results'!C202))=UPPER(TRIM('Raw data'!BE202))),4,0),0)</f>
        <v>0</v>
      </c>
      <c r="BG208" s="29">
        <f>IFERROR(IF(AND('Real results'!C202&lt;&gt;"",'Raw data'!BG202&lt;&gt;"",UPPER(TRIM('Real results'!C202))=UPPER(TRIM('Raw data'!BG202))),4,0),0)</f>
        <v>0</v>
      </c>
      <c r="BI208" s="29">
        <f>IFERROR(IF(AND('Real results'!C202&lt;&gt;"",'Raw data'!BI202&lt;&gt;"",UPPER(TRIM('Real results'!C202))=UPPER(TRIM('Raw data'!BI202))),4,0),0)</f>
        <v>0</v>
      </c>
    </row>
    <row r="209" ht="18.0" customHeight="1">
      <c r="A209" s="1"/>
      <c r="B209" s="13" t="s">
        <v>490</v>
      </c>
      <c r="C209" s="29">
        <f>IFERROR(IF(AND(ISNUMBER('Real results'!C203),ISNUMBER('Real results'!D203),ISNUMBER('Raw data'!C203),ISNUMBER('Raw data'!D203)),IF(SIGN('Raw data'!C203-'Raw data'!D203)=SIGN('Real results'!C203-'Real results'!D203),3+IF(AND('Raw data'!C203='Real results'!C203,'Raw data'!D203='Real results'!D203),2,0),0),0),0)</f>
        <v>0</v>
      </c>
      <c r="E209" s="29">
        <f>IFERROR(IF(AND(ISNUMBER('Real results'!C203),ISNUMBER('Real results'!D203),ISNUMBER('Raw data'!E203),ISNUMBER('Raw data'!F203)),IF(SIGN('Raw data'!E203-'Raw data'!F203)=SIGN('Real results'!C203-'Real results'!D203),3+IF(AND('Raw data'!E203='Real results'!C203,'Raw data'!F203='Real results'!D203),2,0),0),0),0)</f>
        <v>0</v>
      </c>
      <c r="G209" s="29">
        <f>IFERROR(IF(AND(ISNUMBER('Real results'!C203),ISNUMBER('Real results'!D203),ISNUMBER('Raw data'!G203),ISNUMBER('Raw data'!H203)),IF(SIGN('Raw data'!G203-'Raw data'!H203)=SIGN('Real results'!C203-'Real results'!D203),3+IF(AND('Raw data'!G203='Real results'!C203,'Raw data'!H203='Real results'!D203),2,0),0),0),0)</f>
        <v>0</v>
      </c>
      <c r="I209" s="29">
        <f>IFERROR(IF(AND(ISNUMBER('Real results'!C203),ISNUMBER('Real results'!D203),ISNUMBER('Raw data'!I203),ISNUMBER('Raw data'!J203)),IF(SIGN('Raw data'!I203-'Raw data'!J203)=SIGN('Real results'!C203-'Real results'!D203),3+IF(AND('Raw data'!I203='Real results'!C203,'Raw data'!J203='Real results'!D203),2,0),0),0),0)</f>
        <v>0</v>
      </c>
      <c r="K209" s="29">
        <f>IFERROR(IF(AND(ISNUMBER('Real results'!C203),ISNUMBER('Real results'!D203),ISNUMBER('Raw data'!K203),ISNUMBER('Raw data'!L203)),IF(SIGN('Raw data'!K203-'Raw data'!L203)=SIGN('Real results'!C203-'Real results'!D203),3+IF(AND('Raw data'!K203='Real results'!C203,'Raw data'!L203='Real results'!D203),2,0),0),0),0)</f>
        <v>0</v>
      </c>
      <c r="M209" s="29">
        <f>IFERROR(IF(AND(ISNUMBER('Real results'!C203),ISNUMBER('Real results'!D203),ISNUMBER('Raw data'!M203),ISNUMBER('Raw data'!N203)),IF(SIGN('Raw data'!M203-'Raw data'!N203)=SIGN('Real results'!C203-'Real results'!D203),3+IF(AND('Raw data'!M203='Real results'!C203,'Raw data'!N203='Real results'!D203),2,0),0),0),0)</f>
        <v>0</v>
      </c>
      <c r="O209" s="29">
        <f>IFERROR(IF(AND(ISNUMBER('Real results'!C203),ISNUMBER('Real results'!D203),ISNUMBER('Raw data'!O203),ISNUMBER('Raw data'!P203)),IF(SIGN('Raw data'!O203-'Raw data'!P203)=SIGN('Real results'!C203-'Real results'!D203),3+IF(AND('Raw data'!O203='Real results'!C203,'Raw data'!P203='Real results'!D203),2,0),0),0),0)</f>
        <v>0</v>
      </c>
      <c r="Q209" s="29">
        <f>IFERROR(IF(AND(ISNUMBER('Real results'!C203),ISNUMBER('Real results'!D203),ISNUMBER('Raw data'!Q203),ISNUMBER('Raw data'!R203)),IF(SIGN('Raw data'!Q203-'Raw data'!R203)=SIGN('Real results'!C203-'Real results'!D203),3+IF(AND('Raw data'!Q203='Real results'!C203,'Raw data'!R203='Real results'!D203),2,0),0),0),0)</f>
        <v>0</v>
      </c>
      <c r="S209" s="29">
        <f>IFERROR(IF(AND(ISNUMBER('Real results'!C203),ISNUMBER('Real results'!D203),ISNUMBER('Raw data'!S203),ISNUMBER('Raw data'!T203)),IF(SIGN('Raw data'!S203-'Raw data'!T203)=SIGN('Real results'!C203-'Real results'!D203),3+IF(AND('Raw data'!S203='Real results'!C203,'Raw data'!T203='Real results'!D203),2,0),0),0),0)</f>
        <v>0</v>
      </c>
      <c r="U209" s="29">
        <f>IFERROR(IF(AND(ISNUMBER('Real results'!C203),ISNUMBER('Real results'!D203),ISNUMBER('Raw data'!U203),ISNUMBER('Raw data'!V203)),IF(SIGN('Raw data'!U203-'Raw data'!V203)=SIGN('Real results'!C203-'Real results'!D203),3+IF(AND('Raw data'!U203='Real results'!C203,'Raw data'!V203='Real results'!D203),2,0),0),0),0)</f>
        <v>0</v>
      </c>
      <c r="W209" s="29">
        <f>IFERROR(IF(AND(ISNUMBER('Real results'!C203),ISNUMBER('Real results'!D203),ISNUMBER('Raw data'!W203),ISNUMBER('Raw data'!X203)),IF(SIGN('Raw data'!W203-'Raw data'!X203)=SIGN('Real results'!C203-'Real results'!D203),3+IF(AND('Raw data'!W203='Real results'!C203,'Raw data'!X203='Real results'!D203),2,0),0),0),0)</f>
        <v>0</v>
      </c>
      <c r="Y209" s="29">
        <f>IFERROR(IF(AND(ISNUMBER('Real results'!C203),ISNUMBER('Real results'!D203),ISNUMBER('Raw data'!Y203),ISNUMBER('Raw data'!Z203)),IF(SIGN('Raw data'!Y203-'Raw data'!Z203)=SIGN('Real results'!C203-'Real results'!D203),3+IF(AND('Raw data'!Y203='Real results'!C203,'Raw data'!Z203='Real results'!D203),2,0),0),0),0)</f>
        <v>0</v>
      </c>
      <c r="AA209" s="29">
        <f>IFERROR(IF(AND(ISNUMBER('Real results'!C203),ISNUMBER('Real results'!D203),ISNUMBER('Raw data'!AA203),ISNUMBER('Raw data'!AB203)),IF(SIGN('Raw data'!AA203-'Raw data'!AB203)=SIGN('Real results'!C203-'Real results'!D203),3+IF(AND('Raw data'!AA203='Real results'!C203,'Raw data'!AB203='Real results'!D203),2,0),0),0),0)</f>
        <v>0</v>
      </c>
      <c r="AC209" s="29">
        <f>IFERROR(IF(AND(ISNUMBER('Real results'!C203),ISNUMBER('Real results'!D203),ISNUMBER('Raw data'!AC203),ISNUMBER('Raw data'!AD203)),IF(SIGN('Raw data'!AC203-'Raw data'!AD203)=SIGN('Real results'!C203-'Real results'!D203),3+IF(AND('Raw data'!AC203='Real results'!C203,'Raw data'!AD203='Real results'!D203),2,0),0),0),0)</f>
        <v>0</v>
      </c>
      <c r="AE209" s="29">
        <f>IFERROR(IF(AND(ISNUMBER('Real results'!C203),ISNUMBER('Real results'!D203),ISNUMBER('Raw data'!AE203),ISNUMBER('Raw data'!AF203)),IF(SIGN('Raw data'!AE203-'Raw data'!AF203)=SIGN('Real results'!C203-'Real results'!D203),3+IF(AND('Raw data'!AE203='Real results'!C203,'Raw data'!AF203='Real results'!D203),2,0),0),0),0)</f>
        <v>0</v>
      </c>
      <c r="AG209" s="29">
        <f>IFERROR(IF(AND(ISNUMBER('Real results'!C203),ISNUMBER('Real results'!D203),ISNUMBER('Raw data'!AG203),ISNUMBER('Raw data'!AH203)),IF(SIGN('Raw data'!AG203-'Raw data'!AH203)=SIGN('Real results'!C203-'Real results'!D203),3+IF(AND('Raw data'!AG203='Real results'!C203,'Raw data'!AH203='Real results'!D203),2,0),0),0),0)</f>
        <v>0</v>
      </c>
      <c r="AI209" s="29">
        <f>IFERROR(IF(AND(ISNUMBER('Real results'!C203),ISNUMBER('Real results'!D203),ISNUMBER('Raw data'!AI203),ISNUMBER('Raw data'!AJ203)),IF(SIGN('Raw data'!AI203-'Raw data'!AJ203)=SIGN('Real results'!C203-'Real results'!D203),3+IF(AND('Raw data'!AI203='Real results'!C203,'Raw data'!AJ203='Real results'!D203),2,0),0),0),0)</f>
        <v>0</v>
      </c>
      <c r="AK209" s="29">
        <f>IFERROR(IF(AND(ISNUMBER('Real results'!C203),ISNUMBER('Real results'!D203),ISNUMBER('Raw data'!AK203),ISNUMBER('Raw data'!AL203)),IF(SIGN('Raw data'!AK203-'Raw data'!AL203)=SIGN('Real results'!C203-'Real results'!D203),3+IF(AND('Raw data'!AK203='Real results'!C203,'Raw data'!AL203='Real results'!D203),2,0),0),0),0)</f>
        <v>0</v>
      </c>
      <c r="AM209" s="29">
        <f>IFERROR(IF(AND(ISNUMBER('Real results'!C203),ISNUMBER('Real results'!D203),ISNUMBER('Raw data'!AM203),ISNUMBER('Raw data'!AN203)),IF(SIGN('Raw data'!AM203-'Raw data'!AN203)=SIGN('Real results'!C203-'Real results'!D203),3+IF(AND('Raw data'!AM203='Real results'!C203,'Raw data'!AN203='Real results'!D203),2,0),0),0),0)</f>
        <v>0</v>
      </c>
      <c r="AO209" s="29">
        <f>IFERROR(IF(AND(ISNUMBER('Real results'!C203),ISNUMBER('Real results'!D203),ISNUMBER('Raw data'!AO203),ISNUMBER('Raw data'!AP203)),IF(SIGN('Raw data'!AO203-'Raw data'!AP203)=SIGN('Real results'!C203-'Real results'!D203),3+IF(AND('Raw data'!AO203='Real results'!C203,'Raw data'!AP203='Real results'!D203),2,0),0),0),0)</f>
        <v>0</v>
      </c>
      <c r="AQ209" s="29">
        <f>IFERROR(IF(AND(ISNUMBER('Real results'!C203),ISNUMBER('Real results'!D203),ISNUMBER('Raw data'!AQ203),ISNUMBER('Raw data'!AR203)),IF(SIGN('Raw data'!AQ203-'Raw data'!AR203)=SIGN('Real results'!C203-'Real results'!D203),3+IF(AND('Raw data'!AQ203='Real results'!C203,'Raw data'!AR203='Real results'!D203),2,0),0),0),0)</f>
        <v>0</v>
      </c>
      <c r="AS209" s="29">
        <f>IFERROR(IF(AND(ISNUMBER('Real results'!C203),ISNUMBER('Real results'!D203),ISNUMBER('Raw data'!AS203),ISNUMBER('Raw data'!AT203)),IF(SIGN('Raw data'!AS203-'Raw data'!AT203)=SIGN('Real results'!C203-'Real results'!D203),3+IF(AND('Raw data'!AS203='Real results'!C203,'Raw data'!AT203='Real results'!D203),2,0),0),0),0)</f>
        <v>0</v>
      </c>
      <c r="AU209" s="29">
        <f>IFERROR(IF(AND(ISNUMBER('Real results'!C203),ISNUMBER('Real results'!D203),ISNUMBER('Raw data'!AU203),ISNUMBER('Raw data'!AV203)),IF(SIGN('Raw data'!AU203-'Raw data'!AV203)=SIGN('Real results'!C203-'Real results'!D203),3+IF(AND('Raw data'!AU203='Real results'!C203,'Raw data'!AV203='Real results'!D203),2,0),0),0),0)</f>
        <v>0</v>
      </c>
      <c r="AW209" s="29">
        <f>IFERROR(IF(AND(ISNUMBER('Real results'!C203),ISNUMBER('Real results'!D203),ISNUMBER('Raw data'!AW203),ISNUMBER('Raw data'!AX203)),IF(SIGN('Raw data'!AW203-'Raw data'!AX203)=SIGN('Real results'!C203-'Real results'!D203),3+IF(AND('Raw data'!AW203='Real results'!C203,'Raw data'!AX203='Real results'!D203),2,0),0),0),0)</f>
        <v>0</v>
      </c>
      <c r="AY209" s="29">
        <f>IFERROR(IF(AND(ISNUMBER('Real results'!C203),ISNUMBER('Real results'!D203),ISNUMBER('Raw data'!AY203),ISNUMBER('Raw data'!AZ203)),IF(SIGN('Raw data'!AY203-'Raw data'!AZ203)=SIGN('Real results'!C203-'Real results'!D203),3+IF(AND('Raw data'!AY203='Real results'!C203,'Raw data'!AZ203='Real results'!D203),2,0),0),0),0)</f>
        <v>0</v>
      </c>
      <c r="BA209" s="29">
        <f>IFERROR(IF(AND(ISNUMBER('Real results'!C203),ISNUMBER('Real results'!D203),ISNUMBER('Raw data'!BA203),ISNUMBER('Raw data'!BB203)),IF(SIGN('Raw data'!BA203-'Raw data'!BB203)=SIGN('Real results'!C203-'Real results'!D203),3+IF(AND('Raw data'!BA203='Real results'!C203,'Raw data'!BB203='Real results'!D203),2,0),0),0),0)</f>
        <v>0</v>
      </c>
      <c r="BC209" s="29">
        <f>IFERROR(IF(AND(ISNUMBER('Real results'!C203),ISNUMBER('Real results'!D203),ISNUMBER('Raw data'!BC203),ISNUMBER('Raw data'!BD203)),IF(SIGN('Raw data'!BC203-'Raw data'!BD203)=SIGN('Real results'!C203-'Real results'!D203),3+IF(AND('Raw data'!BC203='Real results'!C203,'Raw data'!BD203='Real results'!D203),2,0),0),0),0)</f>
        <v>0</v>
      </c>
      <c r="BE209" s="29">
        <f>IFERROR(IF(AND(ISNUMBER('Real results'!C203),ISNUMBER('Real results'!D203),ISNUMBER('Raw data'!BE203),ISNUMBER('Raw data'!BF203)),IF(SIGN('Raw data'!BE203-'Raw data'!BF203)=SIGN('Real results'!C203-'Real results'!D203),3+IF(AND('Raw data'!BE203='Real results'!C203,'Raw data'!BF203='Real results'!D203),2,0),0),0),0)</f>
        <v>0</v>
      </c>
      <c r="BG209" s="29">
        <f>IFERROR(IF(AND(ISNUMBER('Real results'!C203),ISNUMBER('Real results'!D203),ISNUMBER('Raw data'!BG203),ISNUMBER('Raw data'!BH203)),IF(SIGN('Raw data'!BG203-'Raw data'!BH203)=SIGN('Real results'!C203-'Real results'!D203),3+IF(AND('Raw data'!BG203='Real results'!C203,'Raw data'!BH203='Real results'!D203),2,0),0),0),0)</f>
        <v>0</v>
      </c>
      <c r="BI209" s="29">
        <f>IFERROR(IF(AND(ISNUMBER('Real results'!C203),ISNUMBER('Real results'!D203),ISNUMBER('Raw data'!BI203),ISNUMBER('Raw data'!BJ203)),IF(SIGN('Raw data'!BI203-'Raw data'!BJ203)=SIGN('Real results'!C203-'Real results'!D203),3+IF(AND('Raw data'!BI203='Real results'!C203,'Raw data'!BJ203='Real results'!D203),2,0),0),0),0)</f>
        <v>0</v>
      </c>
    </row>
    <row r="210" ht="18.0" customHeight="1">
      <c r="A210" s="1"/>
      <c r="B210" s="13" t="s">
        <v>491</v>
      </c>
      <c r="C210" s="29">
        <f>IFERROR(IF(AND('Real results'!C204&lt;&gt;"",'Raw data'!C204&lt;&gt;"",UPPER(TRIM('Real results'!C204))=UPPER(TRIM('Raw data'!C204))),1,0),0)</f>
        <v>0</v>
      </c>
      <c r="E210" s="29">
        <f>IFERROR(IF(AND('Real results'!C204&lt;&gt;"",'Raw data'!E204&lt;&gt;"",UPPER(TRIM('Real results'!C204))=UPPER(TRIM('Raw data'!E204))),1,0),0)</f>
        <v>0</v>
      </c>
      <c r="G210" s="29">
        <f>IFERROR(IF(AND('Real results'!C204&lt;&gt;"",'Raw data'!G204&lt;&gt;"",UPPER(TRIM('Real results'!C204))=UPPER(TRIM('Raw data'!G204))),1,0),0)</f>
        <v>0</v>
      </c>
      <c r="I210" s="29">
        <f>IFERROR(IF(AND('Real results'!C204&lt;&gt;"",'Raw data'!I204&lt;&gt;"",UPPER(TRIM('Real results'!C204))=UPPER(TRIM('Raw data'!I204))),1,0),0)</f>
        <v>0</v>
      </c>
      <c r="K210" s="29">
        <f>IFERROR(IF(AND('Real results'!C204&lt;&gt;"",'Raw data'!K204&lt;&gt;"",UPPER(TRIM('Real results'!C204))=UPPER(TRIM('Raw data'!K204))),1,0),0)</f>
        <v>0</v>
      </c>
      <c r="M210" s="29">
        <f>IFERROR(IF(AND('Real results'!C204&lt;&gt;"",'Raw data'!M204&lt;&gt;"",UPPER(TRIM('Real results'!C204))=UPPER(TRIM('Raw data'!M204))),1,0),0)</f>
        <v>0</v>
      </c>
      <c r="O210" s="29">
        <f>IFERROR(IF(AND('Real results'!C204&lt;&gt;"",'Raw data'!O204&lt;&gt;"",UPPER(TRIM('Real results'!C204))=UPPER(TRIM('Raw data'!O204))),1,0),0)</f>
        <v>0</v>
      </c>
      <c r="Q210" s="29">
        <f>IFERROR(IF(AND('Real results'!C204&lt;&gt;"",'Raw data'!Q204&lt;&gt;"",UPPER(TRIM('Real results'!C204))=UPPER(TRIM('Raw data'!Q204))),1,0),0)</f>
        <v>0</v>
      </c>
      <c r="S210" s="29">
        <f>IFERROR(IF(AND('Real results'!C204&lt;&gt;"",'Raw data'!S204&lt;&gt;"",UPPER(TRIM('Real results'!C204))=UPPER(TRIM('Raw data'!S204))),1,0),0)</f>
        <v>0</v>
      </c>
      <c r="U210" s="29">
        <f>IFERROR(IF(AND('Real results'!C204&lt;&gt;"",'Raw data'!U204&lt;&gt;"",UPPER(TRIM('Real results'!C204))=UPPER(TRIM('Raw data'!U204))),1,0),0)</f>
        <v>0</v>
      </c>
      <c r="W210" s="29">
        <f>IFERROR(IF(AND('Real results'!C204&lt;&gt;"",'Raw data'!W204&lt;&gt;"",UPPER(TRIM('Real results'!C204))=UPPER(TRIM('Raw data'!W204))),1,0),0)</f>
        <v>0</v>
      </c>
      <c r="Y210" s="29">
        <f>IFERROR(IF(AND('Real results'!C204&lt;&gt;"",'Raw data'!Y204&lt;&gt;"",UPPER(TRIM('Real results'!C204))=UPPER(TRIM('Raw data'!Y204))),1,0),0)</f>
        <v>0</v>
      </c>
      <c r="AA210" s="29">
        <f>IFERROR(IF(AND('Real results'!C204&lt;&gt;"",'Raw data'!AA204&lt;&gt;"",UPPER(TRIM('Real results'!C204))=UPPER(TRIM('Raw data'!AA204))),1,0),0)</f>
        <v>0</v>
      </c>
      <c r="AC210" s="29">
        <f>IFERROR(IF(AND('Real results'!C204&lt;&gt;"",'Raw data'!AC204&lt;&gt;"",UPPER(TRIM('Real results'!C204))=UPPER(TRIM('Raw data'!AC204))),1,0),0)</f>
        <v>0</v>
      </c>
      <c r="AE210" s="29">
        <f>IFERROR(IF(AND('Real results'!C204&lt;&gt;"",'Raw data'!AE204&lt;&gt;"",UPPER(TRIM('Real results'!C204))=UPPER(TRIM('Raw data'!AE204))),1,0),0)</f>
        <v>0</v>
      </c>
      <c r="AG210" s="29">
        <f>IFERROR(IF(AND('Real results'!C204&lt;&gt;"",'Raw data'!AG204&lt;&gt;"",UPPER(TRIM('Real results'!C204))=UPPER(TRIM('Raw data'!AG204))),1,0),0)</f>
        <v>0</v>
      </c>
      <c r="AI210" s="29">
        <f>IFERROR(IF(AND('Real results'!C204&lt;&gt;"",'Raw data'!AI204&lt;&gt;"",UPPER(TRIM('Real results'!C204))=UPPER(TRIM('Raw data'!AI204))),1,0),0)</f>
        <v>0</v>
      </c>
      <c r="AK210" s="29">
        <f>IFERROR(IF(AND('Real results'!C204&lt;&gt;"",'Raw data'!AK204&lt;&gt;"",UPPER(TRIM('Real results'!C204))=UPPER(TRIM('Raw data'!AK204))),1,0),0)</f>
        <v>0</v>
      </c>
      <c r="AM210" s="29">
        <f>IFERROR(IF(AND('Real results'!C204&lt;&gt;"",'Raw data'!AM204&lt;&gt;"",UPPER(TRIM('Real results'!C204))=UPPER(TRIM('Raw data'!AM204))),1,0),0)</f>
        <v>0</v>
      </c>
      <c r="AO210" s="29">
        <f>IFERROR(IF(AND('Real results'!C204&lt;&gt;"",'Raw data'!AO204&lt;&gt;"",UPPER(TRIM('Real results'!C204))=UPPER(TRIM('Raw data'!AO204))),1,0),0)</f>
        <v>0</v>
      </c>
      <c r="AQ210" s="29">
        <f>IFERROR(IF(AND('Real results'!C204&lt;&gt;"",'Raw data'!AQ204&lt;&gt;"",UPPER(TRIM('Real results'!C204))=UPPER(TRIM('Raw data'!AQ204))),1,0),0)</f>
        <v>0</v>
      </c>
      <c r="AS210" s="29">
        <f>IFERROR(IF(AND('Real results'!C204&lt;&gt;"",'Raw data'!AS204&lt;&gt;"",UPPER(TRIM('Real results'!C204))=UPPER(TRIM('Raw data'!AS204))),1,0),0)</f>
        <v>0</v>
      </c>
      <c r="AU210" s="29">
        <f>IFERROR(IF(AND('Real results'!C204&lt;&gt;"",'Raw data'!AU204&lt;&gt;"",UPPER(TRIM('Real results'!C204))=UPPER(TRIM('Raw data'!AU204))),1,0),0)</f>
        <v>0</v>
      </c>
      <c r="AW210" s="29">
        <f>IFERROR(IF(AND('Real results'!C204&lt;&gt;"",'Raw data'!AW204&lt;&gt;"",UPPER(TRIM('Real results'!C204))=UPPER(TRIM('Raw data'!AW204))),1,0),0)</f>
        <v>0</v>
      </c>
      <c r="AY210" s="29">
        <f>IFERROR(IF(AND('Real results'!C204&lt;&gt;"",'Raw data'!AY204&lt;&gt;"",UPPER(TRIM('Real results'!C204))=UPPER(TRIM('Raw data'!AY204))),1,0),0)</f>
        <v>0</v>
      </c>
      <c r="BA210" s="29">
        <f>IFERROR(IF(AND('Real results'!C204&lt;&gt;"",'Raw data'!BA204&lt;&gt;"",UPPER(TRIM('Real results'!C204))=UPPER(TRIM('Raw data'!BA204))),1,0),0)</f>
        <v>0</v>
      </c>
      <c r="BC210" s="29">
        <f>IFERROR(IF(AND('Real results'!C204&lt;&gt;"",'Raw data'!BC204&lt;&gt;"",UPPER(TRIM('Real results'!C204))=UPPER(TRIM('Raw data'!BC204))),1,0),0)</f>
        <v>0</v>
      </c>
      <c r="BE210" s="29">
        <f>IFERROR(IF(AND('Real results'!C204&lt;&gt;"",'Raw data'!BE204&lt;&gt;"",UPPER(TRIM('Real results'!C204))=UPPER(TRIM('Raw data'!BE204))),1,0),0)</f>
        <v>0</v>
      </c>
      <c r="BG210" s="29">
        <f>IFERROR(IF(AND('Real results'!C204&lt;&gt;"",'Raw data'!BG204&lt;&gt;"",UPPER(TRIM('Real results'!C204))=UPPER(TRIM('Raw data'!BG204))),1,0),0)</f>
        <v>0</v>
      </c>
      <c r="BI210" s="29">
        <f>IFERROR(IF(AND('Real results'!C204&lt;&gt;"",'Raw data'!BI204&lt;&gt;"",UPPER(TRIM('Real results'!C204))=UPPER(TRIM('Raw data'!BI204))),1,0),0)</f>
        <v>0</v>
      </c>
    </row>
    <row r="211" ht="18.0" customHeight="1">
      <c r="A211" s="1"/>
      <c r="B211" s="13" t="s">
        <v>492</v>
      </c>
      <c r="C211" s="29">
        <f>IFERROR(IF(AND('Real results'!C205&lt;&gt;"",'Raw data'!C205&lt;&gt;"",UPPER(TRIM('Real results'!C205))=UPPER(TRIM('Raw data'!C205))),4,0),0)</f>
        <v>0</v>
      </c>
      <c r="E211" s="29">
        <f>IFERROR(IF(AND('Real results'!C205&lt;&gt;"",'Raw data'!E205&lt;&gt;"",UPPER(TRIM('Real results'!C205))=UPPER(TRIM('Raw data'!E205))),4,0),0)</f>
        <v>0</v>
      </c>
      <c r="G211" s="29">
        <f>IFERROR(IF(AND('Real results'!C205&lt;&gt;"",'Raw data'!G205&lt;&gt;"",UPPER(TRIM('Real results'!C205))=UPPER(TRIM('Raw data'!G205))),4,0),0)</f>
        <v>0</v>
      </c>
      <c r="I211" s="29">
        <f>IFERROR(IF(AND('Real results'!C205&lt;&gt;"",'Raw data'!I205&lt;&gt;"",UPPER(TRIM('Real results'!C205))=UPPER(TRIM('Raw data'!I205))),4,0),0)</f>
        <v>0</v>
      </c>
      <c r="K211" s="29">
        <f>IFERROR(IF(AND('Real results'!C205&lt;&gt;"",'Raw data'!K205&lt;&gt;"",UPPER(TRIM('Real results'!C205))=UPPER(TRIM('Raw data'!K205))),4,0),0)</f>
        <v>0</v>
      </c>
      <c r="M211" s="29">
        <f>IFERROR(IF(AND('Real results'!C205&lt;&gt;"",'Raw data'!M205&lt;&gt;"",UPPER(TRIM('Real results'!C205))=UPPER(TRIM('Raw data'!M205))),4,0),0)</f>
        <v>0</v>
      </c>
      <c r="O211" s="29">
        <f>IFERROR(IF(AND('Real results'!C205&lt;&gt;"",'Raw data'!O205&lt;&gt;"",UPPER(TRIM('Real results'!C205))=UPPER(TRIM('Raw data'!O205))),4,0),0)</f>
        <v>0</v>
      </c>
      <c r="Q211" s="29">
        <f>IFERROR(IF(AND('Real results'!C205&lt;&gt;"",'Raw data'!Q205&lt;&gt;"",UPPER(TRIM('Real results'!C205))=UPPER(TRIM('Raw data'!Q205))),4,0),0)</f>
        <v>0</v>
      </c>
      <c r="S211" s="29">
        <f>IFERROR(IF(AND('Real results'!C205&lt;&gt;"",'Raw data'!S205&lt;&gt;"",UPPER(TRIM('Real results'!C205))=UPPER(TRIM('Raw data'!S205))),4,0),0)</f>
        <v>0</v>
      </c>
      <c r="U211" s="29">
        <f>IFERROR(IF(AND('Real results'!C205&lt;&gt;"",'Raw data'!U205&lt;&gt;"",UPPER(TRIM('Real results'!C205))=UPPER(TRIM('Raw data'!U205))),4,0),0)</f>
        <v>0</v>
      </c>
      <c r="W211" s="29">
        <f>IFERROR(IF(AND('Real results'!C205&lt;&gt;"",'Raw data'!W205&lt;&gt;"",UPPER(TRIM('Real results'!C205))=UPPER(TRIM('Raw data'!W205))),4,0),0)</f>
        <v>0</v>
      </c>
      <c r="Y211" s="29">
        <f>IFERROR(IF(AND('Real results'!C205&lt;&gt;"",'Raw data'!Y205&lt;&gt;"",UPPER(TRIM('Real results'!C205))=UPPER(TRIM('Raw data'!Y205))),4,0),0)</f>
        <v>0</v>
      </c>
      <c r="AA211" s="29">
        <f>IFERROR(IF(AND('Real results'!C205&lt;&gt;"",'Raw data'!AA205&lt;&gt;"",UPPER(TRIM('Real results'!C205))=UPPER(TRIM('Raw data'!AA205))),4,0),0)</f>
        <v>0</v>
      </c>
      <c r="AC211" s="29">
        <f>IFERROR(IF(AND('Real results'!C205&lt;&gt;"",'Raw data'!AC205&lt;&gt;"",UPPER(TRIM('Real results'!C205))=UPPER(TRIM('Raw data'!AC205))),4,0),0)</f>
        <v>0</v>
      </c>
      <c r="AE211" s="29">
        <f>IFERROR(IF(AND('Real results'!C205&lt;&gt;"",'Raw data'!AE205&lt;&gt;"",UPPER(TRIM('Real results'!C205))=UPPER(TRIM('Raw data'!AE205))),4,0),0)</f>
        <v>0</v>
      </c>
      <c r="AG211" s="29">
        <f>IFERROR(IF(AND('Real results'!C205&lt;&gt;"",'Raw data'!AG205&lt;&gt;"",UPPER(TRIM('Real results'!C205))=UPPER(TRIM('Raw data'!AG205))),4,0),0)</f>
        <v>0</v>
      </c>
      <c r="AI211" s="29">
        <f>IFERROR(IF(AND('Real results'!C205&lt;&gt;"",'Raw data'!AI205&lt;&gt;"",UPPER(TRIM('Real results'!C205))=UPPER(TRIM('Raw data'!AI205))),4,0),0)</f>
        <v>0</v>
      </c>
      <c r="AK211" s="29">
        <f>IFERROR(IF(AND('Real results'!C205&lt;&gt;"",'Raw data'!AK205&lt;&gt;"",UPPER(TRIM('Real results'!C205))=UPPER(TRIM('Raw data'!AK205))),4,0),0)</f>
        <v>0</v>
      </c>
      <c r="AM211" s="29">
        <f>IFERROR(IF(AND('Real results'!C205&lt;&gt;"",'Raw data'!AM205&lt;&gt;"",UPPER(TRIM('Real results'!C205))=UPPER(TRIM('Raw data'!AM205))),4,0),0)</f>
        <v>0</v>
      </c>
      <c r="AO211" s="29">
        <f>IFERROR(IF(AND('Real results'!C205&lt;&gt;"",'Raw data'!AO205&lt;&gt;"",UPPER(TRIM('Real results'!C205))=UPPER(TRIM('Raw data'!AO205))),4,0),0)</f>
        <v>0</v>
      </c>
      <c r="AQ211" s="29">
        <f>IFERROR(IF(AND('Real results'!C205&lt;&gt;"",'Raw data'!AQ205&lt;&gt;"",UPPER(TRIM('Real results'!C205))=UPPER(TRIM('Raw data'!AQ205))),4,0),0)</f>
        <v>0</v>
      </c>
      <c r="AS211" s="29">
        <f>IFERROR(IF(AND('Real results'!C205&lt;&gt;"",'Raw data'!AS205&lt;&gt;"",UPPER(TRIM('Real results'!C205))=UPPER(TRIM('Raw data'!AS205))),4,0),0)</f>
        <v>0</v>
      </c>
      <c r="AU211" s="29">
        <f>IFERROR(IF(AND('Real results'!C205&lt;&gt;"",'Raw data'!AU205&lt;&gt;"",UPPER(TRIM('Real results'!C205))=UPPER(TRIM('Raw data'!AU205))),4,0),0)</f>
        <v>0</v>
      </c>
      <c r="AW211" s="29">
        <f>IFERROR(IF(AND('Real results'!C205&lt;&gt;"",'Raw data'!AW205&lt;&gt;"",UPPER(TRIM('Real results'!C205))=UPPER(TRIM('Raw data'!AW205))),4,0),0)</f>
        <v>0</v>
      </c>
      <c r="AY211" s="29">
        <f>IFERROR(IF(AND('Real results'!C205&lt;&gt;"",'Raw data'!AY205&lt;&gt;"",UPPER(TRIM('Real results'!C205))=UPPER(TRIM('Raw data'!AY205))),4,0),0)</f>
        <v>0</v>
      </c>
      <c r="BA211" s="29">
        <f>IFERROR(IF(AND('Real results'!C205&lt;&gt;"",'Raw data'!BA205&lt;&gt;"",UPPER(TRIM('Real results'!C205))=UPPER(TRIM('Raw data'!BA205))),4,0),0)</f>
        <v>0</v>
      </c>
      <c r="BC211" s="29">
        <f>IFERROR(IF(AND('Real results'!C205&lt;&gt;"",'Raw data'!BC205&lt;&gt;"",UPPER(TRIM('Real results'!C205))=UPPER(TRIM('Raw data'!BC205))),4,0),0)</f>
        <v>0</v>
      </c>
      <c r="BE211" s="29">
        <f>IFERROR(IF(AND('Real results'!C205&lt;&gt;"",'Raw data'!BE205&lt;&gt;"",UPPER(TRIM('Real results'!C205))=UPPER(TRIM('Raw data'!BE205))),4,0),0)</f>
        <v>0</v>
      </c>
      <c r="BG211" s="29">
        <f>IFERROR(IF(AND('Real results'!C205&lt;&gt;"",'Raw data'!BG205&lt;&gt;"",UPPER(TRIM('Real results'!C205))=UPPER(TRIM('Raw data'!BG205))),4,0),0)</f>
        <v>0</v>
      </c>
      <c r="BI211" s="29">
        <f>IFERROR(IF(AND('Real results'!C205&lt;&gt;"",'Raw data'!BI205&lt;&gt;"",UPPER(TRIM('Real results'!C205))=UPPER(TRIM('Raw data'!BI205))),4,0),0)</f>
        <v>0</v>
      </c>
    </row>
    <row r="212" ht="18.0" customHeight="1">
      <c r="A212" s="1"/>
      <c r="B212" s="13" t="s">
        <v>493</v>
      </c>
      <c r="C212" s="29">
        <f>IFERROR(IF(AND(ISNUMBER('Real results'!C206),ISNUMBER('Real results'!D206),ISNUMBER('Raw data'!C206),ISNUMBER('Raw data'!D206)),IF(SIGN('Raw data'!C206-'Raw data'!D206)=SIGN('Real results'!C206-'Real results'!D206),3+IF(AND('Raw data'!C206='Real results'!C206,'Raw data'!D206='Real results'!D206),2,0),0),0),0)</f>
        <v>0</v>
      </c>
      <c r="E212" s="29">
        <f>IFERROR(IF(AND(ISNUMBER('Real results'!C206),ISNUMBER('Real results'!D206),ISNUMBER('Raw data'!E206),ISNUMBER('Raw data'!F206)),IF(SIGN('Raw data'!E206-'Raw data'!F206)=SIGN('Real results'!C206-'Real results'!D206),3+IF(AND('Raw data'!E206='Real results'!C206,'Raw data'!F206='Real results'!D206),2,0),0),0),0)</f>
        <v>0</v>
      </c>
      <c r="G212" s="29">
        <f>IFERROR(IF(AND(ISNUMBER('Real results'!C206),ISNUMBER('Real results'!D206),ISNUMBER('Raw data'!G206),ISNUMBER('Raw data'!H206)),IF(SIGN('Raw data'!G206-'Raw data'!H206)=SIGN('Real results'!C206-'Real results'!D206),3+IF(AND('Raw data'!G206='Real results'!C206,'Raw data'!H206='Real results'!D206),2,0),0),0),0)</f>
        <v>0</v>
      </c>
      <c r="I212" s="29">
        <f>IFERROR(IF(AND(ISNUMBER('Real results'!C206),ISNUMBER('Real results'!D206),ISNUMBER('Raw data'!I206),ISNUMBER('Raw data'!J206)),IF(SIGN('Raw data'!I206-'Raw data'!J206)=SIGN('Real results'!C206-'Real results'!D206),3+IF(AND('Raw data'!I206='Real results'!C206,'Raw data'!J206='Real results'!D206),2,0),0),0),0)</f>
        <v>0</v>
      </c>
      <c r="K212" s="29">
        <f>IFERROR(IF(AND(ISNUMBER('Real results'!C206),ISNUMBER('Real results'!D206),ISNUMBER('Raw data'!K206),ISNUMBER('Raw data'!L206)),IF(SIGN('Raw data'!K206-'Raw data'!L206)=SIGN('Real results'!C206-'Real results'!D206),3+IF(AND('Raw data'!K206='Real results'!C206,'Raw data'!L206='Real results'!D206),2,0),0),0),0)</f>
        <v>0</v>
      </c>
      <c r="M212" s="29">
        <f>IFERROR(IF(AND(ISNUMBER('Real results'!C206),ISNUMBER('Real results'!D206),ISNUMBER('Raw data'!M206),ISNUMBER('Raw data'!N206)),IF(SIGN('Raw data'!M206-'Raw data'!N206)=SIGN('Real results'!C206-'Real results'!D206),3+IF(AND('Raw data'!M206='Real results'!C206,'Raw data'!N206='Real results'!D206),2,0),0),0),0)</f>
        <v>0</v>
      </c>
      <c r="O212" s="29">
        <f>IFERROR(IF(AND(ISNUMBER('Real results'!C206),ISNUMBER('Real results'!D206),ISNUMBER('Raw data'!O206),ISNUMBER('Raw data'!P206)),IF(SIGN('Raw data'!O206-'Raw data'!P206)=SIGN('Real results'!C206-'Real results'!D206),3+IF(AND('Raw data'!O206='Real results'!C206,'Raw data'!P206='Real results'!D206),2,0),0),0),0)</f>
        <v>0</v>
      </c>
      <c r="Q212" s="29">
        <f>IFERROR(IF(AND(ISNUMBER('Real results'!C206),ISNUMBER('Real results'!D206),ISNUMBER('Raw data'!Q206),ISNUMBER('Raw data'!R206)),IF(SIGN('Raw data'!Q206-'Raw data'!R206)=SIGN('Real results'!C206-'Real results'!D206),3+IF(AND('Raw data'!Q206='Real results'!C206,'Raw data'!R206='Real results'!D206),2,0),0),0),0)</f>
        <v>0</v>
      </c>
      <c r="S212" s="29">
        <f>IFERROR(IF(AND(ISNUMBER('Real results'!C206),ISNUMBER('Real results'!D206),ISNUMBER('Raw data'!S206),ISNUMBER('Raw data'!T206)),IF(SIGN('Raw data'!S206-'Raw data'!T206)=SIGN('Real results'!C206-'Real results'!D206),3+IF(AND('Raw data'!S206='Real results'!C206,'Raw data'!T206='Real results'!D206),2,0),0),0),0)</f>
        <v>0</v>
      </c>
      <c r="U212" s="29">
        <f>IFERROR(IF(AND(ISNUMBER('Real results'!C206),ISNUMBER('Real results'!D206),ISNUMBER('Raw data'!U206),ISNUMBER('Raw data'!V206)),IF(SIGN('Raw data'!U206-'Raw data'!V206)=SIGN('Real results'!C206-'Real results'!D206),3+IF(AND('Raw data'!U206='Real results'!C206,'Raw data'!V206='Real results'!D206),2,0),0),0),0)</f>
        <v>0</v>
      </c>
      <c r="W212" s="29">
        <f>IFERROR(IF(AND(ISNUMBER('Real results'!C206),ISNUMBER('Real results'!D206),ISNUMBER('Raw data'!W206),ISNUMBER('Raw data'!X206)),IF(SIGN('Raw data'!W206-'Raw data'!X206)=SIGN('Real results'!C206-'Real results'!D206),3+IF(AND('Raw data'!W206='Real results'!C206,'Raw data'!X206='Real results'!D206),2,0),0),0),0)</f>
        <v>0</v>
      </c>
      <c r="Y212" s="29">
        <f>IFERROR(IF(AND(ISNUMBER('Real results'!C206),ISNUMBER('Real results'!D206),ISNUMBER('Raw data'!Y206),ISNUMBER('Raw data'!Z206)),IF(SIGN('Raw data'!Y206-'Raw data'!Z206)=SIGN('Real results'!C206-'Real results'!D206),3+IF(AND('Raw data'!Y206='Real results'!C206,'Raw data'!Z206='Real results'!D206),2,0),0),0),0)</f>
        <v>0</v>
      </c>
      <c r="AA212" s="29">
        <f>IFERROR(IF(AND(ISNUMBER('Real results'!C206),ISNUMBER('Real results'!D206),ISNUMBER('Raw data'!AA206),ISNUMBER('Raw data'!AB206)),IF(SIGN('Raw data'!AA206-'Raw data'!AB206)=SIGN('Real results'!C206-'Real results'!D206),3+IF(AND('Raw data'!AA206='Real results'!C206,'Raw data'!AB206='Real results'!D206),2,0),0),0),0)</f>
        <v>0</v>
      </c>
      <c r="AC212" s="29">
        <f>IFERROR(IF(AND(ISNUMBER('Real results'!C206),ISNUMBER('Real results'!D206),ISNUMBER('Raw data'!AC206),ISNUMBER('Raw data'!AD206)),IF(SIGN('Raw data'!AC206-'Raw data'!AD206)=SIGN('Real results'!C206-'Real results'!D206),3+IF(AND('Raw data'!AC206='Real results'!C206,'Raw data'!AD206='Real results'!D206),2,0),0),0),0)</f>
        <v>0</v>
      </c>
      <c r="AE212" s="29">
        <f>IFERROR(IF(AND(ISNUMBER('Real results'!C206),ISNUMBER('Real results'!D206),ISNUMBER('Raw data'!AE206),ISNUMBER('Raw data'!AF206)),IF(SIGN('Raw data'!AE206-'Raw data'!AF206)=SIGN('Real results'!C206-'Real results'!D206),3+IF(AND('Raw data'!AE206='Real results'!C206,'Raw data'!AF206='Real results'!D206),2,0),0),0),0)</f>
        <v>0</v>
      </c>
      <c r="AG212" s="29">
        <f>IFERROR(IF(AND(ISNUMBER('Real results'!C206),ISNUMBER('Real results'!D206),ISNUMBER('Raw data'!AG206),ISNUMBER('Raw data'!AH206)),IF(SIGN('Raw data'!AG206-'Raw data'!AH206)=SIGN('Real results'!C206-'Real results'!D206),3+IF(AND('Raw data'!AG206='Real results'!C206,'Raw data'!AH206='Real results'!D206),2,0),0),0),0)</f>
        <v>0</v>
      </c>
      <c r="AI212" s="29">
        <f>IFERROR(IF(AND(ISNUMBER('Real results'!C206),ISNUMBER('Real results'!D206),ISNUMBER('Raw data'!AI206),ISNUMBER('Raw data'!AJ206)),IF(SIGN('Raw data'!AI206-'Raw data'!AJ206)=SIGN('Real results'!C206-'Real results'!D206),3+IF(AND('Raw data'!AI206='Real results'!C206,'Raw data'!AJ206='Real results'!D206),2,0),0),0),0)</f>
        <v>0</v>
      </c>
      <c r="AK212" s="29">
        <f>IFERROR(IF(AND(ISNUMBER('Real results'!C206),ISNUMBER('Real results'!D206),ISNUMBER('Raw data'!AK206),ISNUMBER('Raw data'!AL206)),IF(SIGN('Raw data'!AK206-'Raw data'!AL206)=SIGN('Real results'!C206-'Real results'!D206),3+IF(AND('Raw data'!AK206='Real results'!C206,'Raw data'!AL206='Real results'!D206),2,0),0),0),0)</f>
        <v>0</v>
      </c>
      <c r="AM212" s="29">
        <f>IFERROR(IF(AND(ISNUMBER('Real results'!C206),ISNUMBER('Real results'!D206),ISNUMBER('Raw data'!AM206),ISNUMBER('Raw data'!AN206)),IF(SIGN('Raw data'!AM206-'Raw data'!AN206)=SIGN('Real results'!C206-'Real results'!D206),3+IF(AND('Raw data'!AM206='Real results'!C206,'Raw data'!AN206='Real results'!D206),2,0),0),0),0)</f>
        <v>0</v>
      </c>
      <c r="AO212" s="29">
        <f>IFERROR(IF(AND(ISNUMBER('Real results'!C206),ISNUMBER('Real results'!D206),ISNUMBER('Raw data'!AO206),ISNUMBER('Raw data'!AP206)),IF(SIGN('Raw data'!AO206-'Raw data'!AP206)=SIGN('Real results'!C206-'Real results'!D206),3+IF(AND('Raw data'!AO206='Real results'!C206,'Raw data'!AP206='Real results'!D206),2,0),0),0),0)</f>
        <v>0</v>
      </c>
      <c r="AQ212" s="29">
        <f>IFERROR(IF(AND(ISNUMBER('Real results'!C206),ISNUMBER('Real results'!D206),ISNUMBER('Raw data'!AQ206),ISNUMBER('Raw data'!AR206)),IF(SIGN('Raw data'!AQ206-'Raw data'!AR206)=SIGN('Real results'!C206-'Real results'!D206),3+IF(AND('Raw data'!AQ206='Real results'!C206,'Raw data'!AR206='Real results'!D206),2,0),0),0),0)</f>
        <v>0</v>
      </c>
      <c r="AS212" s="29">
        <f>IFERROR(IF(AND(ISNUMBER('Real results'!C206),ISNUMBER('Real results'!D206),ISNUMBER('Raw data'!AS206),ISNUMBER('Raw data'!AT206)),IF(SIGN('Raw data'!AS206-'Raw data'!AT206)=SIGN('Real results'!C206-'Real results'!D206),3+IF(AND('Raw data'!AS206='Real results'!C206,'Raw data'!AT206='Real results'!D206),2,0),0),0),0)</f>
        <v>0</v>
      </c>
      <c r="AU212" s="29">
        <f>IFERROR(IF(AND(ISNUMBER('Real results'!C206),ISNUMBER('Real results'!D206),ISNUMBER('Raw data'!AU206),ISNUMBER('Raw data'!AV206)),IF(SIGN('Raw data'!AU206-'Raw data'!AV206)=SIGN('Real results'!C206-'Real results'!D206),3+IF(AND('Raw data'!AU206='Real results'!C206,'Raw data'!AV206='Real results'!D206),2,0),0),0),0)</f>
        <v>0</v>
      </c>
      <c r="AW212" s="29">
        <f>IFERROR(IF(AND(ISNUMBER('Real results'!C206),ISNUMBER('Real results'!D206),ISNUMBER('Raw data'!AW206),ISNUMBER('Raw data'!AX206)),IF(SIGN('Raw data'!AW206-'Raw data'!AX206)=SIGN('Real results'!C206-'Real results'!D206),3+IF(AND('Raw data'!AW206='Real results'!C206,'Raw data'!AX206='Real results'!D206),2,0),0),0),0)</f>
        <v>0</v>
      </c>
      <c r="AY212" s="29">
        <f>IFERROR(IF(AND(ISNUMBER('Real results'!C206),ISNUMBER('Real results'!D206),ISNUMBER('Raw data'!AY206),ISNUMBER('Raw data'!AZ206)),IF(SIGN('Raw data'!AY206-'Raw data'!AZ206)=SIGN('Real results'!C206-'Real results'!D206),3+IF(AND('Raw data'!AY206='Real results'!C206,'Raw data'!AZ206='Real results'!D206),2,0),0),0),0)</f>
        <v>0</v>
      </c>
      <c r="BA212" s="29">
        <f>IFERROR(IF(AND(ISNUMBER('Real results'!C206),ISNUMBER('Real results'!D206),ISNUMBER('Raw data'!BA206),ISNUMBER('Raw data'!BB206)),IF(SIGN('Raw data'!BA206-'Raw data'!BB206)=SIGN('Real results'!C206-'Real results'!D206),3+IF(AND('Raw data'!BA206='Real results'!C206,'Raw data'!BB206='Real results'!D206),2,0),0),0),0)</f>
        <v>0</v>
      </c>
      <c r="BC212" s="29">
        <f>IFERROR(IF(AND(ISNUMBER('Real results'!C206),ISNUMBER('Real results'!D206),ISNUMBER('Raw data'!BC206),ISNUMBER('Raw data'!BD206)),IF(SIGN('Raw data'!BC206-'Raw data'!BD206)=SIGN('Real results'!C206-'Real results'!D206),3+IF(AND('Raw data'!BC206='Real results'!C206,'Raw data'!BD206='Real results'!D206),2,0),0),0),0)</f>
        <v>0</v>
      </c>
      <c r="BE212" s="29">
        <f>IFERROR(IF(AND(ISNUMBER('Real results'!C206),ISNUMBER('Real results'!D206),ISNUMBER('Raw data'!BE206),ISNUMBER('Raw data'!BF206)),IF(SIGN('Raw data'!BE206-'Raw data'!BF206)=SIGN('Real results'!C206-'Real results'!D206),3+IF(AND('Raw data'!BE206='Real results'!C206,'Raw data'!BF206='Real results'!D206),2,0),0),0),0)</f>
        <v>0</v>
      </c>
      <c r="BG212" s="29">
        <f>IFERROR(IF(AND(ISNUMBER('Real results'!C206),ISNUMBER('Real results'!D206),ISNUMBER('Raw data'!BG206),ISNUMBER('Raw data'!BH206)),IF(SIGN('Raw data'!BG206-'Raw data'!BH206)=SIGN('Real results'!C206-'Real results'!D206),3+IF(AND('Raw data'!BG206='Real results'!C206,'Raw data'!BH206='Real results'!D206),2,0),0),0),0)</f>
        <v>0</v>
      </c>
      <c r="BI212" s="29">
        <f>IFERROR(IF(AND(ISNUMBER('Real results'!C206),ISNUMBER('Real results'!D206),ISNUMBER('Raw data'!BI206),ISNUMBER('Raw data'!BJ206)),IF(SIGN('Raw data'!BI206-'Raw data'!BJ206)=SIGN('Real results'!C206-'Real results'!D206),3+IF(AND('Raw data'!BI206='Real results'!C206,'Raw data'!BJ206='Real results'!D206),2,0),0),0),0)</f>
        <v>0</v>
      </c>
    </row>
    <row r="213" ht="18.0" customHeight="1">
      <c r="A213" s="1"/>
      <c r="B213" s="13" t="s">
        <v>494</v>
      </c>
      <c r="C213" s="29">
        <f>IFERROR(IF(AND('Real results'!C207&lt;&gt;"",'Raw data'!C207&lt;&gt;"",UPPER(TRIM('Real results'!C207))=UPPER(TRIM('Raw data'!C207))),1,0),0)</f>
        <v>0</v>
      </c>
      <c r="E213" s="29">
        <f>IFERROR(IF(AND('Real results'!C207&lt;&gt;"",'Raw data'!E207&lt;&gt;"",UPPER(TRIM('Real results'!C207))=UPPER(TRIM('Raw data'!E207))),1,0),0)</f>
        <v>0</v>
      </c>
      <c r="G213" s="29">
        <f>IFERROR(IF(AND('Real results'!C207&lt;&gt;"",'Raw data'!G207&lt;&gt;"",UPPER(TRIM('Real results'!C207))=UPPER(TRIM('Raw data'!G207))),1,0),0)</f>
        <v>0</v>
      </c>
      <c r="I213" s="29">
        <f>IFERROR(IF(AND('Real results'!C207&lt;&gt;"",'Raw data'!I207&lt;&gt;"",UPPER(TRIM('Real results'!C207))=UPPER(TRIM('Raw data'!I207))),1,0),0)</f>
        <v>0</v>
      </c>
      <c r="K213" s="29">
        <f>IFERROR(IF(AND('Real results'!C207&lt;&gt;"",'Raw data'!K207&lt;&gt;"",UPPER(TRIM('Real results'!C207))=UPPER(TRIM('Raw data'!K207))),1,0),0)</f>
        <v>0</v>
      </c>
      <c r="M213" s="29">
        <f>IFERROR(IF(AND('Real results'!C207&lt;&gt;"",'Raw data'!M207&lt;&gt;"",UPPER(TRIM('Real results'!C207))=UPPER(TRIM('Raw data'!M207))),1,0),0)</f>
        <v>0</v>
      </c>
      <c r="O213" s="29">
        <f>IFERROR(IF(AND('Real results'!C207&lt;&gt;"",'Raw data'!O207&lt;&gt;"",UPPER(TRIM('Real results'!C207))=UPPER(TRIM('Raw data'!O207))),1,0),0)</f>
        <v>0</v>
      </c>
      <c r="Q213" s="29">
        <f>IFERROR(IF(AND('Real results'!C207&lt;&gt;"",'Raw data'!Q207&lt;&gt;"",UPPER(TRIM('Real results'!C207))=UPPER(TRIM('Raw data'!Q207))),1,0),0)</f>
        <v>0</v>
      </c>
      <c r="S213" s="29">
        <f>IFERROR(IF(AND('Real results'!C207&lt;&gt;"",'Raw data'!S207&lt;&gt;"",UPPER(TRIM('Real results'!C207))=UPPER(TRIM('Raw data'!S207))),1,0),0)</f>
        <v>0</v>
      </c>
      <c r="U213" s="29">
        <f>IFERROR(IF(AND('Real results'!C207&lt;&gt;"",'Raw data'!U207&lt;&gt;"",UPPER(TRIM('Real results'!C207))=UPPER(TRIM('Raw data'!U207))),1,0),0)</f>
        <v>0</v>
      </c>
      <c r="W213" s="29">
        <f>IFERROR(IF(AND('Real results'!C207&lt;&gt;"",'Raw data'!W207&lt;&gt;"",UPPER(TRIM('Real results'!C207))=UPPER(TRIM('Raw data'!W207))),1,0),0)</f>
        <v>0</v>
      </c>
      <c r="Y213" s="29">
        <f>IFERROR(IF(AND('Real results'!C207&lt;&gt;"",'Raw data'!Y207&lt;&gt;"",UPPER(TRIM('Real results'!C207))=UPPER(TRIM('Raw data'!Y207))),1,0),0)</f>
        <v>0</v>
      </c>
      <c r="AA213" s="29">
        <f>IFERROR(IF(AND('Real results'!C207&lt;&gt;"",'Raw data'!AA207&lt;&gt;"",UPPER(TRIM('Real results'!C207))=UPPER(TRIM('Raw data'!AA207))),1,0),0)</f>
        <v>0</v>
      </c>
      <c r="AC213" s="29">
        <f>IFERROR(IF(AND('Real results'!C207&lt;&gt;"",'Raw data'!AC207&lt;&gt;"",UPPER(TRIM('Real results'!C207))=UPPER(TRIM('Raw data'!AC207))),1,0),0)</f>
        <v>0</v>
      </c>
      <c r="AE213" s="29">
        <f>IFERROR(IF(AND('Real results'!C207&lt;&gt;"",'Raw data'!AE207&lt;&gt;"",UPPER(TRIM('Real results'!C207))=UPPER(TRIM('Raw data'!AE207))),1,0),0)</f>
        <v>0</v>
      </c>
      <c r="AG213" s="29">
        <f>IFERROR(IF(AND('Real results'!C207&lt;&gt;"",'Raw data'!AG207&lt;&gt;"",UPPER(TRIM('Real results'!C207))=UPPER(TRIM('Raw data'!AG207))),1,0),0)</f>
        <v>0</v>
      </c>
      <c r="AI213" s="29">
        <f>IFERROR(IF(AND('Real results'!C207&lt;&gt;"",'Raw data'!AI207&lt;&gt;"",UPPER(TRIM('Real results'!C207))=UPPER(TRIM('Raw data'!AI207))),1,0),0)</f>
        <v>0</v>
      </c>
      <c r="AK213" s="29">
        <f>IFERROR(IF(AND('Real results'!C207&lt;&gt;"",'Raw data'!AK207&lt;&gt;"",UPPER(TRIM('Real results'!C207))=UPPER(TRIM('Raw data'!AK207))),1,0),0)</f>
        <v>0</v>
      </c>
      <c r="AM213" s="29">
        <f>IFERROR(IF(AND('Real results'!C207&lt;&gt;"",'Raw data'!AM207&lt;&gt;"",UPPER(TRIM('Real results'!C207))=UPPER(TRIM('Raw data'!AM207))),1,0),0)</f>
        <v>0</v>
      </c>
      <c r="AO213" s="29">
        <f>IFERROR(IF(AND('Real results'!C207&lt;&gt;"",'Raw data'!AO207&lt;&gt;"",UPPER(TRIM('Real results'!C207))=UPPER(TRIM('Raw data'!AO207))),1,0),0)</f>
        <v>0</v>
      </c>
      <c r="AQ213" s="29">
        <f>IFERROR(IF(AND('Real results'!C207&lt;&gt;"",'Raw data'!AQ207&lt;&gt;"",UPPER(TRIM('Real results'!C207))=UPPER(TRIM('Raw data'!AQ207))),1,0),0)</f>
        <v>0</v>
      </c>
      <c r="AS213" s="29">
        <f>IFERROR(IF(AND('Real results'!C207&lt;&gt;"",'Raw data'!AS207&lt;&gt;"",UPPER(TRIM('Real results'!C207))=UPPER(TRIM('Raw data'!AS207))),1,0),0)</f>
        <v>0</v>
      </c>
      <c r="AU213" s="29">
        <f>IFERROR(IF(AND('Real results'!C207&lt;&gt;"",'Raw data'!AU207&lt;&gt;"",UPPER(TRIM('Real results'!C207))=UPPER(TRIM('Raw data'!AU207))),1,0),0)</f>
        <v>0</v>
      </c>
      <c r="AW213" s="29">
        <f>IFERROR(IF(AND('Real results'!C207&lt;&gt;"",'Raw data'!AW207&lt;&gt;"",UPPER(TRIM('Real results'!C207))=UPPER(TRIM('Raw data'!AW207))),1,0),0)</f>
        <v>0</v>
      </c>
      <c r="AY213" s="29">
        <f>IFERROR(IF(AND('Real results'!C207&lt;&gt;"",'Raw data'!AY207&lt;&gt;"",UPPER(TRIM('Real results'!C207))=UPPER(TRIM('Raw data'!AY207))),1,0),0)</f>
        <v>0</v>
      </c>
      <c r="BA213" s="29">
        <f>IFERROR(IF(AND('Real results'!C207&lt;&gt;"",'Raw data'!BA207&lt;&gt;"",UPPER(TRIM('Real results'!C207))=UPPER(TRIM('Raw data'!BA207))),1,0),0)</f>
        <v>0</v>
      </c>
      <c r="BC213" s="29">
        <f>IFERROR(IF(AND('Real results'!C207&lt;&gt;"",'Raw data'!BC207&lt;&gt;"",UPPER(TRIM('Real results'!C207))=UPPER(TRIM('Raw data'!BC207))),1,0),0)</f>
        <v>0</v>
      </c>
      <c r="BE213" s="29">
        <f>IFERROR(IF(AND('Real results'!C207&lt;&gt;"",'Raw data'!BE207&lt;&gt;"",UPPER(TRIM('Real results'!C207))=UPPER(TRIM('Raw data'!BE207))),1,0),0)</f>
        <v>0</v>
      </c>
      <c r="BG213" s="29">
        <f>IFERROR(IF(AND('Real results'!C207&lt;&gt;"",'Raw data'!BG207&lt;&gt;"",UPPER(TRIM('Real results'!C207))=UPPER(TRIM('Raw data'!BG207))),1,0),0)</f>
        <v>0</v>
      </c>
      <c r="BI213" s="29">
        <f>IFERROR(IF(AND('Real results'!C207&lt;&gt;"",'Raw data'!BI207&lt;&gt;"",UPPER(TRIM('Real results'!C207))=UPPER(TRIM('Raw data'!BI207))),1,0),0)</f>
        <v>0</v>
      </c>
    </row>
    <row r="214" ht="18.0" customHeight="1">
      <c r="A214" s="1"/>
      <c r="B214" s="13" t="s">
        <v>495</v>
      </c>
      <c r="C214" s="29">
        <f>IFERROR(IF(AND('Real results'!C208&lt;&gt;"",'Raw data'!C208&lt;&gt;"",UPPER(TRIM('Real results'!C208))=UPPER(TRIM('Raw data'!C208))),4,0),0)</f>
        <v>0</v>
      </c>
      <c r="E214" s="29">
        <f>IFERROR(IF(AND('Real results'!C208&lt;&gt;"",'Raw data'!E208&lt;&gt;"",UPPER(TRIM('Real results'!C208))=UPPER(TRIM('Raw data'!E208))),4,0),0)</f>
        <v>0</v>
      </c>
      <c r="G214" s="29">
        <f>IFERROR(IF(AND('Real results'!C208&lt;&gt;"",'Raw data'!G208&lt;&gt;"",UPPER(TRIM('Real results'!C208))=UPPER(TRIM('Raw data'!G208))),4,0),0)</f>
        <v>0</v>
      </c>
      <c r="I214" s="29">
        <f>IFERROR(IF(AND('Real results'!C208&lt;&gt;"",'Raw data'!I208&lt;&gt;"",UPPER(TRIM('Real results'!C208))=UPPER(TRIM('Raw data'!I208))),4,0),0)</f>
        <v>0</v>
      </c>
      <c r="K214" s="29">
        <f>IFERROR(IF(AND('Real results'!C208&lt;&gt;"",'Raw data'!K208&lt;&gt;"",UPPER(TRIM('Real results'!C208))=UPPER(TRIM('Raw data'!K208))),4,0),0)</f>
        <v>0</v>
      </c>
      <c r="M214" s="29">
        <f>IFERROR(IF(AND('Real results'!C208&lt;&gt;"",'Raw data'!M208&lt;&gt;"",UPPER(TRIM('Real results'!C208))=UPPER(TRIM('Raw data'!M208))),4,0),0)</f>
        <v>0</v>
      </c>
      <c r="O214" s="29">
        <f>IFERROR(IF(AND('Real results'!C208&lt;&gt;"",'Raw data'!O208&lt;&gt;"",UPPER(TRIM('Real results'!C208))=UPPER(TRIM('Raw data'!O208))),4,0),0)</f>
        <v>0</v>
      </c>
      <c r="Q214" s="29">
        <f>IFERROR(IF(AND('Real results'!C208&lt;&gt;"",'Raw data'!Q208&lt;&gt;"",UPPER(TRIM('Real results'!C208))=UPPER(TRIM('Raw data'!Q208))),4,0),0)</f>
        <v>0</v>
      </c>
      <c r="S214" s="29">
        <f>IFERROR(IF(AND('Real results'!C208&lt;&gt;"",'Raw data'!S208&lt;&gt;"",UPPER(TRIM('Real results'!C208))=UPPER(TRIM('Raw data'!S208))),4,0),0)</f>
        <v>0</v>
      </c>
      <c r="U214" s="29">
        <f>IFERROR(IF(AND('Real results'!C208&lt;&gt;"",'Raw data'!U208&lt;&gt;"",UPPER(TRIM('Real results'!C208))=UPPER(TRIM('Raw data'!U208))),4,0),0)</f>
        <v>0</v>
      </c>
      <c r="W214" s="29">
        <f>IFERROR(IF(AND('Real results'!C208&lt;&gt;"",'Raw data'!W208&lt;&gt;"",UPPER(TRIM('Real results'!C208))=UPPER(TRIM('Raw data'!W208))),4,0),0)</f>
        <v>0</v>
      </c>
      <c r="Y214" s="29">
        <f>IFERROR(IF(AND('Real results'!C208&lt;&gt;"",'Raw data'!Y208&lt;&gt;"",UPPER(TRIM('Real results'!C208))=UPPER(TRIM('Raw data'!Y208))),4,0),0)</f>
        <v>0</v>
      </c>
      <c r="AA214" s="29">
        <f>IFERROR(IF(AND('Real results'!C208&lt;&gt;"",'Raw data'!AA208&lt;&gt;"",UPPER(TRIM('Real results'!C208))=UPPER(TRIM('Raw data'!AA208))),4,0),0)</f>
        <v>0</v>
      </c>
      <c r="AC214" s="29">
        <f>IFERROR(IF(AND('Real results'!C208&lt;&gt;"",'Raw data'!AC208&lt;&gt;"",UPPER(TRIM('Real results'!C208))=UPPER(TRIM('Raw data'!AC208))),4,0),0)</f>
        <v>0</v>
      </c>
      <c r="AE214" s="29">
        <f>IFERROR(IF(AND('Real results'!C208&lt;&gt;"",'Raw data'!AE208&lt;&gt;"",UPPER(TRIM('Real results'!C208))=UPPER(TRIM('Raw data'!AE208))),4,0),0)</f>
        <v>0</v>
      </c>
      <c r="AG214" s="29">
        <f>IFERROR(IF(AND('Real results'!C208&lt;&gt;"",'Raw data'!AG208&lt;&gt;"",UPPER(TRIM('Real results'!C208))=UPPER(TRIM('Raw data'!AG208))),4,0),0)</f>
        <v>0</v>
      </c>
      <c r="AI214" s="29">
        <f>IFERROR(IF(AND('Real results'!C208&lt;&gt;"",'Raw data'!AI208&lt;&gt;"",UPPER(TRIM('Real results'!C208))=UPPER(TRIM('Raw data'!AI208))),4,0),0)</f>
        <v>0</v>
      </c>
      <c r="AK214" s="29">
        <f>IFERROR(IF(AND('Real results'!C208&lt;&gt;"",'Raw data'!AK208&lt;&gt;"",UPPER(TRIM('Real results'!C208))=UPPER(TRIM('Raw data'!AK208))),4,0),0)</f>
        <v>0</v>
      </c>
      <c r="AM214" s="29">
        <f>IFERROR(IF(AND('Real results'!C208&lt;&gt;"",'Raw data'!AM208&lt;&gt;"",UPPER(TRIM('Real results'!C208))=UPPER(TRIM('Raw data'!AM208))),4,0),0)</f>
        <v>0</v>
      </c>
      <c r="AO214" s="29">
        <f>IFERROR(IF(AND('Real results'!C208&lt;&gt;"",'Raw data'!AO208&lt;&gt;"",UPPER(TRIM('Real results'!C208))=UPPER(TRIM('Raw data'!AO208))),4,0),0)</f>
        <v>0</v>
      </c>
      <c r="AQ214" s="29">
        <f>IFERROR(IF(AND('Real results'!C208&lt;&gt;"",'Raw data'!AQ208&lt;&gt;"",UPPER(TRIM('Real results'!C208))=UPPER(TRIM('Raw data'!AQ208))),4,0),0)</f>
        <v>0</v>
      </c>
      <c r="AS214" s="29">
        <f>IFERROR(IF(AND('Real results'!C208&lt;&gt;"",'Raw data'!AS208&lt;&gt;"",UPPER(TRIM('Real results'!C208))=UPPER(TRIM('Raw data'!AS208))),4,0),0)</f>
        <v>0</v>
      </c>
      <c r="AU214" s="29">
        <f>IFERROR(IF(AND('Real results'!C208&lt;&gt;"",'Raw data'!AU208&lt;&gt;"",UPPER(TRIM('Real results'!C208))=UPPER(TRIM('Raw data'!AU208))),4,0),0)</f>
        <v>0</v>
      </c>
      <c r="AW214" s="29">
        <f>IFERROR(IF(AND('Real results'!C208&lt;&gt;"",'Raw data'!AW208&lt;&gt;"",UPPER(TRIM('Real results'!C208))=UPPER(TRIM('Raw data'!AW208))),4,0),0)</f>
        <v>0</v>
      </c>
      <c r="AY214" s="29">
        <f>IFERROR(IF(AND('Real results'!C208&lt;&gt;"",'Raw data'!AY208&lt;&gt;"",UPPER(TRIM('Real results'!C208))=UPPER(TRIM('Raw data'!AY208))),4,0),0)</f>
        <v>0</v>
      </c>
      <c r="BA214" s="29">
        <f>IFERROR(IF(AND('Real results'!C208&lt;&gt;"",'Raw data'!BA208&lt;&gt;"",UPPER(TRIM('Real results'!C208))=UPPER(TRIM('Raw data'!BA208))),4,0),0)</f>
        <v>0</v>
      </c>
      <c r="BC214" s="29">
        <f>IFERROR(IF(AND('Real results'!C208&lt;&gt;"",'Raw data'!BC208&lt;&gt;"",UPPER(TRIM('Real results'!C208))=UPPER(TRIM('Raw data'!BC208))),4,0),0)</f>
        <v>0</v>
      </c>
      <c r="BE214" s="29">
        <f>IFERROR(IF(AND('Real results'!C208&lt;&gt;"",'Raw data'!BE208&lt;&gt;"",UPPER(TRIM('Real results'!C208))=UPPER(TRIM('Raw data'!BE208))),4,0),0)</f>
        <v>0</v>
      </c>
      <c r="BG214" s="29">
        <f>IFERROR(IF(AND('Real results'!C208&lt;&gt;"",'Raw data'!BG208&lt;&gt;"",UPPER(TRIM('Real results'!C208))=UPPER(TRIM('Raw data'!BG208))),4,0),0)</f>
        <v>0</v>
      </c>
      <c r="BI214" s="29">
        <f>IFERROR(IF(AND('Real results'!C208&lt;&gt;"",'Raw data'!BI208&lt;&gt;"",UPPER(TRIM('Real results'!C208))=UPPER(TRIM('Raw data'!BI208))),4,0),0)</f>
        <v>0</v>
      </c>
    </row>
    <row r="215" ht="18.0" customHeight="1">
      <c r="A215" s="1"/>
      <c r="B215" s="13" t="s">
        <v>496</v>
      </c>
      <c r="C215" s="29">
        <f>IFERROR(IF(AND(ISNUMBER('Real results'!C209),ISNUMBER('Real results'!D209),ISNUMBER('Raw data'!C209),ISNUMBER('Raw data'!D209)),IF(SIGN('Raw data'!C209-'Raw data'!D209)=SIGN('Real results'!C209-'Real results'!D209),3+IF(AND('Raw data'!C209='Real results'!C209,'Raw data'!D209='Real results'!D209),2,0),0),0),0)</f>
        <v>0</v>
      </c>
      <c r="E215" s="29">
        <f>IFERROR(IF(AND(ISNUMBER('Real results'!C209),ISNUMBER('Real results'!D209),ISNUMBER('Raw data'!E209),ISNUMBER('Raw data'!F209)),IF(SIGN('Raw data'!E209-'Raw data'!F209)=SIGN('Real results'!C209-'Real results'!D209),3+IF(AND('Raw data'!E209='Real results'!C209,'Raw data'!F209='Real results'!D209),2,0),0),0),0)</f>
        <v>0</v>
      </c>
      <c r="G215" s="29">
        <f>IFERROR(IF(AND(ISNUMBER('Real results'!C209),ISNUMBER('Real results'!D209),ISNUMBER('Raw data'!G209),ISNUMBER('Raw data'!H209)),IF(SIGN('Raw data'!G209-'Raw data'!H209)=SIGN('Real results'!C209-'Real results'!D209),3+IF(AND('Raw data'!G209='Real results'!C209,'Raw data'!H209='Real results'!D209),2,0),0),0),0)</f>
        <v>0</v>
      </c>
      <c r="I215" s="29">
        <f>IFERROR(IF(AND(ISNUMBER('Real results'!C209),ISNUMBER('Real results'!D209),ISNUMBER('Raw data'!I209),ISNUMBER('Raw data'!J209)),IF(SIGN('Raw data'!I209-'Raw data'!J209)=SIGN('Real results'!C209-'Real results'!D209),3+IF(AND('Raw data'!I209='Real results'!C209,'Raw data'!J209='Real results'!D209),2,0),0),0),0)</f>
        <v>0</v>
      </c>
      <c r="K215" s="29">
        <f>IFERROR(IF(AND(ISNUMBER('Real results'!C209),ISNUMBER('Real results'!D209),ISNUMBER('Raw data'!K209),ISNUMBER('Raw data'!L209)),IF(SIGN('Raw data'!K209-'Raw data'!L209)=SIGN('Real results'!C209-'Real results'!D209),3+IF(AND('Raw data'!K209='Real results'!C209,'Raw data'!L209='Real results'!D209),2,0),0),0),0)</f>
        <v>0</v>
      </c>
      <c r="M215" s="29">
        <f>IFERROR(IF(AND(ISNUMBER('Real results'!C209),ISNUMBER('Real results'!D209),ISNUMBER('Raw data'!M209),ISNUMBER('Raw data'!N209)),IF(SIGN('Raw data'!M209-'Raw data'!N209)=SIGN('Real results'!C209-'Real results'!D209),3+IF(AND('Raw data'!M209='Real results'!C209,'Raw data'!N209='Real results'!D209),2,0),0),0),0)</f>
        <v>0</v>
      </c>
      <c r="O215" s="29">
        <f>IFERROR(IF(AND(ISNUMBER('Real results'!C209),ISNUMBER('Real results'!D209),ISNUMBER('Raw data'!O209),ISNUMBER('Raw data'!P209)),IF(SIGN('Raw data'!O209-'Raw data'!P209)=SIGN('Real results'!C209-'Real results'!D209),3+IF(AND('Raw data'!O209='Real results'!C209,'Raw data'!P209='Real results'!D209),2,0),0),0),0)</f>
        <v>0</v>
      </c>
      <c r="Q215" s="29">
        <f>IFERROR(IF(AND(ISNUMBER('Real results'!C209),ISNUMBER('Real results'!D209),ISNUMBER('Raw data'!Q209),ISNUMBER('Raw data'!R209)),IF(SIGN('Raw data'!Q209-'Raw data'!R209)=SIGN('Real results'!C209-'Real results'!D209),3+IF(AND('Raw data'!Q209='Real results'!C209,'Raw data'!R209='Real results'!D209),2,0),0),0),0)</f>
        <v>0</v>
      </c>
      <c r="S215" s="29">
        <f>IFERROR(IF(AND(ISNUMBER('Real results'!C209),ISNUMBER('Real results'!D209),ISNUMBER('Raw data'!S209),ISNUMBER('Raw data'!T209)),IF(SIGN('Raw data'!S209-'Raw data'!T209)=SIGN('Real results'!C209-'Real results'!D209),3+IF(AND('Raw data'!S209='Real results'!C209,'Raw data'!T209='Real results'!D209),2,0),0),0),0)</f>
        <v>0</v>
      </c>
      <c r="U215" s="29">
        <f>IFERROR(IF(AND(ISNUMBER('Real results'!C209),ISNUMBER('Real results'!D209),ISNUMBER('Raw data'!U209),ISNUMBER('Raw data'!V209)),IF(SIGN('Raw data'!U209-'Raw data'!V209)=SIGN('Real results'!C209-'Real results'!D209),3+IF(AND('Raw data'!U209='Real results'!C209,'Raw data'!V209='Real results'!D209),2,0),0),0),0)</f>
        <v>0</v>
      </c>
      <c r="W215" s="29">
        <f>IFERROR(IF(AND(ISNUMBER('Real results'!C209),ISNUMBER('Real results'!D209),ISNUMBER('Raw data'!W209),ISNUMBER('Raw data'!X209)),IF(SIGN('Raw data'!W209-'Raw data'!X209)=SIGN('Real results'!C209-'Real results'!D209),3+IF(AND('Raw data'!W209='Real results'!C209,'Raw data'!X209='Real results'!D209),2,0),0),0),0)</f>
        <v>0</v>
      </c>
      <c r="Y215" s="29">
        <f>IFERROR(IF(AND(ISNUMBER('Real results'!C209),ISNUMBER('Real results'!D209),ISNUMBER('Raw data'!Y209),ISNUMBER('Raw data'!Z209)),IF(SIGN('Raw data'!Y209-'Raw data'!Z209)=SIGN('Real results'!C209-'Real results'!D209),3+IF(AND('Raw data'!Y209='Real results'!C209,'Raw data'!Z209='Real results'!D209),2,0),0),0),0)</f>
        <v>0</v>
      </c>
      <c r="AA215" s="29">
        <f>IFERROR(IF(AND(ISNUMBER('Real results'!C209),ISNUMBER('Real results'!D209),ISNUMBER('Raw data'!AA209),ISNUMBER('Raw data'!AB209)),IF(SIGN('Raw data'!AA209-'Raw data'!AB209)=SIGN('Real results'!C209-'Real results'!D209),3+IF(AND('Raw data'!AA209='Real results'!C209,'Raw data'!AB209='Real results'!D209),2,0),0),0),0)</f>
        <v>0</v>
      </c>
      <c r="AC215" s="29">
        <f>IFERROR(IF(AND(ISNUMBER('Real results'!C209),ISNUMBER('Real results'!D209),ISNUMBER('Raw data'!AC209),ISNUMBER('Raw data'!AD209)),IF(SIGN('Raw data'!AC209-'Raw data'!AD209)=SIGN('Real results'!C209-'Real results'!D209),3+IF(AND('Raw data'!AC209='Real results'!C209,'Raw data'!AD209='Real results'!D209),2,0),0),0),0)</f>
        <v>0</v>
      </c>
      <c r="AE215" s="29">
        <f>IFERROR(IF(AND(ISNUMBER('Real results'!C209),ISNUMBER('Real results'!D209),ISNUMBER('Raw data'!AE209),ISNUMBER('Raw data'!AF209)),IF(SIGN('Raw data'!AE209-'Raw data'!AF209)=SIGN('Real results'!C209-'Real results'!D209),3+IF(AND('Raw data'!AE209='Real results'!C209,'Raw data'!AF209='Real results'!D209),2,0),0),0),0)</f>
        <v>0</v>
      </c>
      <c r="AG215" s="29">
        <f>IFERROR(IF(AND(ISNUMBER('Real results'!C209),ISNUMBER('Real results'!D209),ISNUMBER('Raw data'!AG209),ISNUMBER('Raw data'!AH209)),IF(SIGN('Raw data'!AG209-'Raw data'!AH209)=SIGN('Real results'!C209-'Real results'!D209),3+IF(AND('Raw data'!AG209='Real results'!C209,'Raw data'!AH209='Real results'!D209),2,0),0),0),0)</f>
        <v>0</v>
      </c>
      <c r="AI215" s="29">
        <f>IFERROR(IF(AND(ISNUMBER('Real results'!C209),ISNUMBER('Real results'!D209),ISNUMBER('Raw data'!AI209),ISNUMBER('Raw data'!AJ209)),IF(SIGN('Raw data'!AI209-'Raw data'!AJ209)=SIGN('Real results'!C209-'Real results'!D209),3+IF(AND('Raw data'!AI209='Real results'!C209,'Raw data'!AJ209='Real results'!D209),2,0),0),0),0)</f>
        <v>0</v>
      </c>
      <c r="AK215" s="29">
        <f>IFERROR(IF(AND(ISNUMBER('Real results'!C209),ISNUMBER('Real results'!D209),ISNUMBER('Raw data'!AK209),ISNUMBER('Raw data'!AL209)),IF(SIGN('Raw data'!AK209-'Raw data'!AL209)=SIGN('Real results'!C209-'Real results'!D209),3+IF(AND('Raw data'!AK209='Real results'!C209,'Raw data'!AL209='Real results'!D209),2,0),0),0),0)</f>
        <v>0</v>
      </c>
      <c r="AM215" s="29">
        <f>IFERROR(IF(AND(ISNUMBER('Real results'!C209),ISNUMBER('Real results'!D209),ISNUMBER('Raw data'!AM209),ISNUMBER('Raw data'!AN209)),IF(SIGN('Raw data'!AM209-'Raw data'!AN209)=SIGN('Real results'!C209-'Real results'!D209),3+IF(AND('Raw data'!AM209='Real results'!C209,'Raw data'!AN209='Real results'!D209),2,0),0),0),0)</f>
        <v>0</v>
      </c>
      <c r="AO215" s="29">
        <f>IFERROR(IF(AND(ISNUMBER('Real results'!C209),ISNUMBER('Real results'!D209),ISNUMBER('Raw data'!AO209),ISNUMBER('Raw data'!AP209)),IF(SIGN('Raw data'!AO209-'Raw data'!AP209)=SIGN('Real results'!C209-'Real results'!D209),3+IF(AND('Raw data'!AO209='Real results'!C209,'Raw data'!AP209='Real results'!D209),2,0),0),0),0)</f>
        <v>0</v>
      </c>
      <c r="AQ215" s="29">
        <f>IFERROR(IF(AND(ISNUMBER('Real results'!C209),ISNUMBER('Real results'!D209),ISNUMBER('Raw data'!AQ209),ISNUMBER('Raw data'!AR209)),IF(SIGN('Raw data'!AQ209-'Raw data'!AR209)=SIGN('Real results'!C209-'Real results'!D209),3+IF(AND('Raw data'!AQ209='Real results'!C209,'Raw data'!AR209='Real results'!D209),2,0),0),0),0)</f>
        <v>0</v>
      </c>
      <c r="AS215" s="29">
        <f>IFERROR(IF(AND(ISNUMBER('Real results'!C209),ISNUMBER('Real results'!D209),ISNUMBER('Raw data'!AS209),ISNUMBER('Raw data'!AT209)),IF(SIGN('Raw data'!AS209-'Raw data'!AT209)=SIGN('Real results'!C209-'Real results'!D209),3+IF(AND('Raw data'!AS209='Real results'!C209,'Raw data'!AT209='Real results'!D209),2,0),0),0),0)</f>
        <v>0</v>
      </c>
      <c r="AU215" s="29">
        <f>IFERROR(IF(AND(ISNUMBER('Real results'!C209),ISNUMBER('Real results'!D209),ISNUMBER('Raw data'!AU209),ISNUMBER('Raw data'!AV209)),IF(SIGN('Raw data'!AU209-'Raw data'!AV209)=SIGN('Real results'!C209-'Real results'!D209),3+IF(AND('Raw data'!AU209='Real results'!C209,'Raw data'!AV209='Real results'!D209),2,0),0),0),0)</f>
        <v>0</v>
      </c>
      <c r="AW215" s="29">
        <f>IFERROR(IF(AND(ISNUMBER('Real results'!C209),ISNUMBER('Real results'!D209),ISNUMBER('Raw data'!AW209),ISNUMBER('Raw data'!AX209)),IF(SIGN('Raw data'!AW209-'Raw data'!AX209)=SIGN('Real results'!C209-'Real results'!D209),3+IF(AND('Raw data'!AW209='Real results'!C209,'Raw data'!AX209='Real results'!D209),2,0),0),0),0)</f>
        <v>0</v>
      </c>
      <c r="AY215" s="29">
        <f>IFERROR(IF(AND(ISNUMBER('Real results'!C209),ISNUMBER('Real results'!D209),ISNUMBER('Raw data'!AY209),ISNUMBER('Raw data'!AZ209)),IF(SIGN('Raw data'!AY209-'Raw data'!AZ209)=SIGN('Real results'!C209-'Real results'!D209),3+IF(AND('Raw data'!AY209='Real results'!C209,'Raw data'!AZ209='Real results'!D209),2,0),0),0),0)</f>
        <v>0</v>
      </c>
      <c r="BA215" s="29">
        <f>IFERROR(IF(AND(ISNUMBER('Real results'!C209),ISNUMBER('Real results'!D209),ISNUMBER('Raw data'!BA209),ISNUMBER('Raw data'!BB209)),IF(SIGN('Raw data'!BA209-'Raw data'!BB209)=SIGN('Real results'!C209-'Real results'!D209),3+IF(AND('Raw data'!BA209='Real results'!C209,'Raw data'!BB209='Real results'!D209),2,0),0),0),0)</f>
        <v>0</v>
      </c>
      <c r="BC215" s="29">
        <f>IFERROR(IF(AND(ISNUMBER('Real results'!C209),ISNUMBER('Real results'!D209),ISNUMBER('Raw data'!BC209),ISNUMBER('Raw data'!BD209)),IF(SIGN('Raw data'!BC209-'Raw data'!BD209)=SIGN('Real results'!C209-'Real results'!D209),3+IF(AND('Raw data'!BC209='Real results'!C209,'Raw data'!BD209='Real results'!D209),2,0),0),0),0)</f>
        <v>0</v>
      </c>
      <c r="BE215" s="29">
        <f>IFERROR(IF(AND(ISNUMBER('Real results'!C209),ISNUMBER('Real results'!D209),ISNUMBER('Raw data'!BE209),ISNUMBER('Raw data'!BF209)),IF(SIGN('Raw data'!BE209-'Raw data'!BF209)=SIGN('Real results'!C209-'Real results'!D209),3+IF(AND('Raw data'!BE209='Real results'!C209,'Raw data'!BF209='Real results'!D209),2,0),0),0),0)</f>
        <v>0</v>
      </c>
      <c r="BG215" s="29">
        <f>IFERROR(IF(AND(ISNUMBER('Real results'!C209),ISNUMBER('Real results'!D209),ISNUMBER('Raw data'!BG209),ISNUMBER('Raw data'!BH209)),IF(SIGN('Raw data'!BG209-'Raw data'!BH209)=SIGN('Real results'!C209-'Real results'!D209),3+IF(AND('Raw data'!BG209='Real results'!C209,'Raw data'!BH209='Real results'!D209),2,0),0),0),0)</f>
        <v>0</v>
      </c>
      <c r="BI215" s="29">
        <f>IFERROR(IF(AND(ISNUMBER('Real results'!C209),ISNUMBER('Real results'!D209),ISNUMBER('Raw data'!BI209),ISNUMBER('Raw data'!BJ209)),IF(SIGN('Raw data'!BI209-'Raw data'!BJ209)=SIGN('Real results'!C209-'Real results'!D209),3+IF(AND('Raw data'!BI209='Real results'!C209,'Raw data'!BJ209='Real results'!D209),2,0),0),0),0)</f>
        <v>0</v>
      </c>
    </row>
    <row r="216" ht="18.0" customHeight="1">
      <c r="A216" s="1"/>
      <c r="B216" s="13" t="s">
        <v>497</v>
      </c>
      <c r="C216" s="29">
        <f>IFERROR(IF(AND('Real results'!C210&lt;&gt;"",'Raw data'!C210&lt;&gt;"",UPPER(TRIM('Real results'!C210))=UPPER(TRIM('Raw data'!C210))),1,0),0)</f>
        <v>0</v>
      </c>
      <c r="E216" s="29">
        <f>IFERROR(IF(AND('Real results'!C210&lt;&gt;"",'Raw data'!E210&lt;&gt;"",UPPER(TRIM('Real results'!C210))=UPPER(TRIM('Raw data'!E210))),1,0),0)</f>
        <v>0</v>
      </c>
      <c r="G216" s="29">
        <f>IFERROR(IF(AND('Real results'!C210&lt;&gt;"",'Raw data'!G210&lt;&gt;"",UPPER(TRIM('Real results'!C210))=UPPER(TRIM('Raw data'!G210))),1,0),0)</f>
        <v>0</v>
      </c>
      <c r="I216" s="29">
        <f>IFERROR(IF(AND('Real results'!C210&lt;&gt;"",'Raw data'!I210&lt;&gt;"",UPPER(TRIM('Real results'!C210))=UPPER(TRIM('Raw data'!I210))),1,0),0)</f>
        <v>0</v>
      </c>
      <c r="K216" s="29">
        <f>IFERROR(IF(AND('Real results'!C210&lt;&gt;"",'Raw data'!K210&lt;&gt;"",UPPER(TRIM('Real results'!C210))=UPPER(TRIM('Raw data'!K210))),1,0),0)</f>
        <v>0</v>
      </c>
      <c r="M216" s="29">
        <f>IFERROR(IF(AND('Real results'!C210&lt;&gt;"",'Raw data'!M210&lt;&gt;"",UPPER(TRIM('Real results'!C210))=UPPER(TRIM('Raw data'!M210))),1,0),0)</f>
        <v>0</v>
      </c>
      <c r="O216" s="29">
        <f>IFERROR(IF(AND('Real results'!C210&lt;&gt;"",'Raw data'!O210&lt;&gt;"",UPPER(TRIM('Real results'!C210))=UPPER(TRIM('Raw data'!O210))),1,0),0)</f>
        <v>0</v>
      </c>
      <c r="Q216" s="29">
        <f>IFERROR(IF(AND('Real results'!C210&lt;&gt;"",'Raw data'!Q210&lt;&gt;"",UPPER(TRIM('Real results'!C210))=UPPER(TRIM('Raw data'!Q210))),1,0),0)</f>
        <v>0</v>
      </c>
      <c r="S216" s="29">
        <f>IFERROR(IF(AND('Real results'!C210&lt;&gt;"",'Raw data'!S210&lt;&gt;"",UPPER(TRIM('Real results'!C210))=UPPER(TRIM('Raw data'!S210))),1,0),0)</f>
        <v>0</v>
      </c>
      <c r="U216" s="29">
        <f>IFERROR(IF(AND('Real results'!C210&lt;&gt;"",'Raw data'!U210&lt;&gt;"",UPPER(TRIM('Real results'!C210))=UPPER(TRIM('Raw data'!U210))),1,0),0)</f>
        <v>0</v>
      </c>
      <c r="W216" s="29">
        <f>IFERROR(IF(AND('Real results'!C210&lt;&gt;"",'Raw data'!W210&lt;&gt;"",UPPER(TRIM('Real results'!C210))=UPPER(TRIM('Raw data'!W210))),1,0),0)</f>
        <v>0</v>
      </c>
      <c r="Y216" s="29">
        <f>IFERROR(IF(AND('Real results'!C210&lt;&gt;"",'Raw data'!Y210&lt;&gt;"",UPPER(TRIM('Real results'!C210))=UPPER(TRIM('Raw data'!Y210))),1,0),0)</f>
        <v>0</v>
      </c>
      <c r="AA216" s="29">
        <f>IFERROR(IF(AND('Real results'!C210&lt;&gt;"",'Raw data'!AA210&lt;&gt;"",UPPER(TRIM('Real results'!C210))=UPPER(TRIM('Raw data'!AA210))),1,0),0)</f>
        <v>0</v>
      </c>
      <c r="AC216" s="29">
        <f>IFERROR(IF(AND('Real results'!C210&lt;&gt;"",'Raw data'!AC210&lt;&gt;"",UPPER(TRIM('Real results'!C210))=UPPER(TRIM('Raw data'!AC210))),1,0),0)</f>
        <v>0</v>
      </c>
      <c r="AE216" s="29">
        <f>IFERROR(IF(AND('Real results'!C210&lt;&gt;"",'Raw data'!AE210&lt;&gt;"",UPPER(TRIM('Real results'!C210))=UPPER(TRIM('Raw data'!AE210))),1,0),0)</f>
        <v>0</v>
      </c>
      <c r="AG216" s="29">
        <f>IFERROR(IF(AND('Real results'!C210&lt;&gt;"",'Raw data'!AG210&lt;&gt;"",UPPER(TRIM('Real results'!C210))=UPPER(TRIM('Raw data'!AG210))),1,0),0)</f>
        <v>0</v>
      </c>
      <c r="AI216" s="29">
        <f>IFERROR(IF(AND('Real results'!C210&lt;&gt;"",'Raw data'!AI210&lt;&gt;"",UPPER(TRIM('Real results'!C210))=UPPER(TRIM('Raw data'!AI210))),1,0),0)</f>
        <v>0</v>
      </c>
      <c r="AK216" s="29">
        <f>IFERROR(IF(AND('Real results'!C210&lt;&gt;"",'Raw data'!AK210&lt;&gt;"",UPPER(TRIM('Real results'!C210))=UPPER(TRIM('Raw data'!AK210))),1,0),0)</f>
        <v>0</v>
      </c>
      <c r="AM216" s="29">
        <f>IFERROR(IF(AND('Real results'!C210&lt;&gt;"",'Raw data'!AM210&lt;&gt;"",UPPER(TRIM('Real results'!C210))=UPPER(TRIM('Raw data'!AM210))),1,0),0)</f>
        <v>0</v>
      </c>
      <c r="AO216" s="29">
        <f>IFERROR(IF(AND('Real results'!C210&lt;&gt;"",'Raw data'!AO210&lt;&gt;"",UPPER(TRIM('Real results'!C210))=UPPER(TRIM('Raw data'!AO210))),1,0),0)</f>
        <v>0</v>
      </c>
      <c r="AQ216" s="29">
        <f>IFERROR(IF(AND('Real results'!C210&lt;&gt;"",'Raw data'!AQ210&lt;&gt;"",UPPER(TRIM('Real results'!C210))=UPPER(TRIM('Raw data'!AQ210))),1,0),0)</f>
        <v>0</v>
      </c>
      <c r="AS216" s="29">
        <f>IFERROR(IF(AND('Real results'!C210&lt;&gt;"",'Raw data'!AS210&lt;&gt;"",UPPER(TRIM('Real results'!C210))=UPPER(TRIM('Raw data'!AS210))),1,0),0)</f>
        <v>0</v>
      </c>
      <c r="AU216" s="29">
        <f>IFERROR(IF(AND('Real results'!C210&lt;&gt;"",'Raw data'!AU210&lt;&gt;"",UPPER(TRIM('Real results'!C210))=UPPER(TRIM('Raw data'!AU210))),1,0),0)</f>
        <v>0</v>
      </c>
      <c r="AW216" s="29">
        <f>IFERROR(IF(AND('Real results'!C210&lt;&gt;"",'Raw data'!AW210&lt;&gt;"",UPPER(TRIM('Real results'!C210))=UPPER(TRIM('Raw data'!AW210))),1,0),0)</f>
        <v>0</v>
      </c>
      <c r="AY216" s="29">
        <f>IFERROR(IF(AND('Real results'!C210&lt;&gt;"",'Raw data'!AY210&lt;&gt;"",UPPER(TRIM('Real results'!C210))=UPPER(TRIM('Raw data'!AY210))),1,0),0)</f>
        <v>0</v>
      </c>
      <c r="BA216" s="29">
        <f>IFERROR(IF(AND('Real results'!C210&lt;&gt;"",'Raw data'!BA210&lt;&gt;"",UPPER(TRIM('Real results'!C210))=UPPER(TRIM('Raw data'!BA210))),1,0),0)</f>
        <v>0</v>
      </c>
      <c r="BC216" s="29">
        <f>IFERROR(IF(AND('Real results'!C210&lt;&gt;"",'Raw data'!BC210&lt;&gt;"",UPPER(TRIM('Real results'!C210))=UPPER(TRIM('Raw data'!BC210))),1,0),0)</f>
        <v>0</v>
      </c>
      <c r="BE216" s="29">
        <f>IFERROR(IF(AND('Real results'!C210&lt;&gt;"",'Raw data'!BE210&lt;&gt;"",UPPER(TRIM('Real results'!C210))=UPPER(TRIM('Raw data'!BE210))),1,0),0)</f>
        <v>0</v>
      </c>
      <c r="BG216" s="29">
        <f>IFERROR(IF(AND('Real results'!C210&lt;&gt;"",'Raw data'!BG210&lt;&gt;"",UPPER(TRIM('Real results'!C210))=UPPER(TRIM('Raw data'!BG210))),1,0),0)</f>
        <v>0</v>
      </c>
      <c r="BI216" s="29">
        <f>IFERROR(IF(AND('Real results'!C210&lt;&gt;"",'Raw data'!BI210&lt;&gt;"",UPPER(TRIM('Real results'!C210))=UPPER(TRIM('Raw data'!BI210))),1,0),0)</f>
        <v>0</v>
      </c>
    </row>
    <row r="217" ht="18.0" customHeight="1">
      <c r="A217" s="1"/>
      <c r="B217" s="13" t="s">
        <v>498</v>
      </c>
      <c r="C217" s="29">
        <f>IFERROR(IF(AND('Real results'!C211&lt;&gt;"",'Raw data'!C211&lt;&gt;"",UPPER(TRIM('Real results'!C211))=UPPER(TRIM('Raw data'!C211))),4,0),0)</f>
        <v>0</v>
      </c>
      <c r="E217" s="29">
        <f>IFERROR(IF(AND('Real results'!C211&lt;&gt;"",'Raw data'!E211&lt;&gt;"",UPPER(TRIM('Real results'!C211))=UPPER(TRIM('Raw data'!E211))),4,0),0)</f>
        <v>0</v>
      </c>
      <c r="G217" s="29">
        <f>IFERROR(IF(AND('Real results'!C211&lt;&gt;"",'Raw data'!G211&lt;&gt;"",UPPER(TRIM('Real results'!C211))=UPPER(TRIM('Raw data'!G211))),4,0),0)</f>
        <v>0</v>
      </c>
      <c r="I217" s="29">
        <f>IFERROR(IF(AND('Real results'!C211&lt;&gt;"",'Raw data'!I211&lt;&gt;"",UPPER(TRIM('Real results'!C211))=UPPER(TRIM('Raw data'!I211))),4,0),0)</f>
        <v>0</v>
      </c>
      <c r="K217" s="29">
        <f>IFERROR(IF(AND('Real results'!C211&lt;&gt;"",'Raw data'!K211&lt;&gt;"",UPPER(TRIM('Real results'!C211))=UPPER(TRIM('Raw data'!K211))),4,0),0)</f>
        <v>0</v>
      </c>
      <c r="M217" s="29">
        <f>IFERROR(IF(AND('Real results'!C211&lt;&gt;"",'Raw data'!M211&lt;&gt;"",UPPER(TRIM('Real results'!C211))=UPPER(TRIM('Raw data'!M211))),4,0),0)</f>
        <v>0</v>
      </c>
      <c r="O217" s="29">
        <f>IFERROR(IF(AND('Real results'!C211&lt;&gt;"",'Raw data'!O211&lt;&gt;"",UPPER(TRIM('Real results'!C211))=UPPER(TRIM('Raw data'!O211))),4,0),0)</f>
        <v>0</v>
      </c>
      <c r="Q217" s="29">
        <f>IFERROR(IF(AND('Real results'!C211&lt;&gt;"",'Raw data'!Q211&lt;&gt;"",UPPER(TRIM('Real results'!C211))=UPPER(TRIM('Raw data'!Q211))),4,0),0)</f>
        <v>0</v>
      </c>
      <c r="S217" s="29">
        <f>IFERROR(IF(AND('Real results'!C211&lt;&gt;"",'Raw data'!S211&lt;&gt;"",UPPER(TRIM('Real results'!C211))=UPPER(TRIM('Raw data'!S211))),4,0),0)</f>
        <v>0</v>
      </c>
      <c r="U217" s="29">
        <f>IFERROR(IF(AND('Real results'!C211&lt;&gt;"",'Raw data'!U211&lt;&gt;"",UPPER(TRIM('Real results'!C211))=UPPER(TRIM('Raw data'!U211))),4,0),0)</f>
        <v>0</v>
      </c>
      <c r="W217" s="29">
        <f>IFERROR(IF(AND('Real results'!C211&lt;&gt;"",'Raw data'!W211&lt;&gt;"",UPPER(TRIM('Real results'!C211))=UPPER(TRIM('Raw data'!W211))),4,0),0)</f>
        <v>0</v>
      </c>
      <c r="Y217" s="29">
        <f>IFERROR(IF(AND('Real results'!C211&lt;&gt;"",'Raw data'!Y211&lt;&gt;"",UPPER(TRIM('Real results'!C211))=UPPER(TRIM('Raw data'!Y211))),4,0),0)</f>
        <v>0</v>
      </c>
      <c r="AA217" s="29">
        <f>IFERROR(IF(AND('Real results'!C211&lt;&gt;"",'Raw data'!AA211&lt;&gt;"",UPPER(TRIM('Real results'!C211))=UPPER(TRIM('Raw data'!AA211))),4,0),0)</f>
        <v>0</v>
      </c>
      <c r="AC217" s="29">
        <f>IFERROR(IF(AND('Real results'!C211&lt;&gt;"",'Raw data'!AC211&lt;&gt;"",UPPER(TRIM('Real results'!C211))=UPPER(TRIM('Raw data'!AC211))),4,0),0)</f>
        <v>0</v>
      </c>
      <c r="AE217" s="29">
        <f>IFERROR(IF(AND('Real results'!C211&lt;&gt;"",'Raw data'!AE211&lt;&gt;"",UPPER(TRIM('Real results'!C211))=UPPER(TRIM('Raw data'!AE211))),4,0),0)</f>
        <v>0</v>
      </c>
      <c r="AG217" s="29">
        <f>IFERROR(IF(AND('Real results'!C211&lt;&gt;"",'Raw data'!AG211&lt;&gt;"",UPPER(TRIM('Real results'!C211))=UPPER(TRIM('Raw data'!AG211))),4,0),0)</f>
        <v>0</v>
      </c>
      <c r="AI217" s="29">
        <f>IFERROR(IF(AND('Real results'!C211&lt;&gt;"",'Raw data'!AI211&lt;&gt;"",UPPER(TRIM('Real results'!C211))=UPPER(TRIM('Raw data'!AI211))),4,0),0)</f>
        <v>0</v>
      </c>
      <c r="AK217" s="29">
        <f>IFERROR(IF(AND('Real results'!C211&lt;&gt;"",'Raw data'!AK211&lt;&gt;"",UPPER(TRIM('Real results'!C211))=UPPER(TRIM('Raw data'!AK211))),4,0),0)</f>
        <v>0</v>
      </c>
      <c r="AM217" s="29">
        <f>IFERROR(IF(AND('Real results'!C211&lt;&gt;"",'Raw data'!AM211&lt;&gt;"",UPPER(TRIM('Real results'!C211))=UPPER(TRIM('Raw data'!AM211))),4,0),0)</f>
        <v>0</v>
      </c>
      <c r="AO217" s="29">
        <f>IFERROR(IF(AND('Real results'!C211&lt;&gt;"",'Raw data'!AO211&lt;&gt;"",UPPER(TRIM('Real results'!C211))=UPPER(TRIM('Raw data'!AO211))),4,0),0)</f>
        <v>0</v>
      </c>
      <c r="AQ217" s="29">
        <f>IFERROR(IF(AND('Real results'!C211&lt;&gt;"",'Raw data'!AQ211&lt;&gt;"",UPPER(TRIM('Real results'!C211))=UPPER(TRIM('Raw data'!AQ211))),4,0),0)</f>
        <v>0</v>
      </c>
      <c r="AS217" s="29">
        <f>IFERROR(IF(AND('Real results'!C211&lt;&gt;"",'Raw data'!AS211&lt;&gt;"",UPPER(TRIM('Real results'!C211))=UPPER(TRIM('Raw data'!AS211))),4,0),0)</f>
        <v>0</v>
      </c>
      <c r="AU217" s="29">
        <f>IFERROR(IF(AND('Real results'!C211&lt;&gt;"",'Raw data'!AU211&lt;&gt;"",UPPER(TRIM('Real results'!C211))=UPPER(TRIM('Raw data'!AU211))),4,0),0)</f>
        <v>0</v>
      </c>
      <c r="AW217" s="29">
        <f>IFERROR(IF(AND('Real results'!C211&lt;&gt;"",'Raw data'!AW211&lt;&gt;"",UPPER(TRIM('Real results'!C211))=UPPER(TRIM('Raw data'!AW211))),4,0),0)</f>
        <v>0</v>
      </c>
      <c r="AY217" s="29">
        <f>IFERROR(IF(AND('Real results'!C211&lt;&gt;"",'Raw data'!AY211&lt;&gt;"",UPPER(TRIM('Real results'!C211))=UPPER(TRIM('Raw data'!AY211))),4,0),0)</f>
        <v>0</v>
      </c>
      <c r="BA217" s="29">
        <f>IFERROR(IF(AND('Real results'!C211&lt;&gt;"",'Raw data'!BA211&lt;&gt;"",UPPER(TRIM('Real results'!C211))=UPPER(TRIM('Raw data'!BA211))),4,0),0)</f>
        <v>0</v>
      </c>
      <c r="BC217" s="29">
        <f>IFERROR(IF(AND('Real results'!C211&lt;&gt;"",'Raw data'!BC211&lt;&gt;"",UPPER(TRIM('Real results'!C211))=UPPER(TRIM('Raw data'!BC211))),4,0),0)</f>
        <v>0</v>
      </c>
      <c r="BE217" s="29">
        <f>IFERROR(IF(AND('Real results'!C211&lt;&gt;"",'Raw data'!BE211&lt;&gt;"",UPPER(TRIM('Real results'!C211))=UPPER(TRIM('Raw data'!BE211))),4,0),0)</f>
        <v>0</v>
      </c>
      <c r="BG217" s="29">
        <f>IFERROR(IF(AND('Real results'!C211&lt;&gt;"",'Raw data'!BG211&lt;&gt;"",UPPER(TRIM('Real results'!C211))=UPPER(TRIM('Raw data'!BG211))),4,0),0)</f>
        <v>0</v>
      </c>
      <c r="BI217" s="29">
        <f>IFERROR(IF(AND('Real results'!C211&lt;&gt;"",'Raw data'!BI211&lt;&gt;"",UPPER(TRIM('Real results'!C211))=UPPER(TRIM('Raw data'!BI211))),4,0),0)</f>
        <v>0</v>
      </c>
    </row>
    <row r="218" ht="21.75" customHeight="1">
      <c r="A218" s="1"/>
      <c r="B218" s="30" t="s">
        <v>499</v>
      </c>
      <c r="C218" s="31">
        <f>SUM(C206:C217)</f>
        <v>0</v>
      </c>
      <c r="E218" s="31">
        <f>SUM(E206:E217)</f>
        <v>0</v>
      </c>
      <c r="G218" s="31">
        <f>SUM(G206:G217)</f>
        <v>0</v>
      </c>
      <c r="I218" s="31">
        <f>SUM(I206:I217)</f>
        <v>0</v>
      </c>
      <c r="K218" s="31">
        <f>SUM(K206:K217)</f>
        <v>0</v>
      </c>
      <c r="M218" s="31">
        <f>SUM(M206:M217)</f>
        <v>0</v>
      </c>
      <c r="O218" s="31">
        <f>SUM(O206:O217)</f>
        <v>0</v>
      </c>
      <c r="Q218" s="31">
        <f>SUM(Q206:Q217)</f>
        <v>0</v>
      </c>
      <c r="S218" s="31">
        <f>SUM(S206:S217)</f>
        <v>0</v>
      </c>
      <c r="U218" s="31">
        <f>SUM(U206:U217)</f>
        <v>0</v>
      </c>
      <c r="W218" s="31">
        <f>SUM(W206:W217)</f>
        <v>0</v>
      </c>
      <c r="Y218" s="31">
        <f>SUM(Y206:Y217)</f>
        <v>0</v>
      </c>
      <c r="AA218" s="31">
        <f>SUM(AA206:AA217)</f>
        <v>0</v>
      </c>
      <c r="AC218" s="31">
        <f>SUM(AC206:AC217)</f>
        <v>0</v>
      </c>
      <c r="AE218" s="31">
        <f>SUM(AE206:AE217)</f>
        <v>0</v>
      </c>
      <c r="AG218" s="31">
        <f>SUM(AG206:AG217)</f>
        <v>0</v>
      </c>
      <c r="AI218" s="31">
        <f>SUM(AI206:AI217)</f>
        <v>0</v>
      </c>
      <c r="AK218" s="31">
        <f>SUM(AK206:AK217)</f>
        <v>0</v>
      </c>
      <c r="AM218" s="31">
        <f>SUM(AM206:AM217)</f>
        <v>0</v>
      </c>
      <c r="AO218" s="31">
        <f>SUM(AO206:AO217)</f>
        <v>0</v>
      </c>
      <c r="AQ218" s="31">
        <f>SUM(AQ206:AQ217)</f>
        <v>0</v>
      </c>
      <c r="AS218" s="31">
        <f>SUM(AS206:AS217)</f>
        <v>0</v>
      </c>
      <c r="AU218" s="31">
        <f>SUM(AU206:AU217)</f>
        <v>0</v>
      </c>
      <c r="AW218" s="31">
        <f>SUM(AW206:AW217)</f>
        <v>0</v>
      </c>
      <c r="AY218" s="31">
        <f>SUM(AY206:AY217)</f>
        <v>0</v>
      </c>
      <c r="BA218" s="31">
        <f>SUM(BA206:BA217)</f>
        <v>0</v>
      </c>
      <c r="BC218" s="31">
        <f>SUM(BC206:BC217)</f>
        <v>0</v>
      </c>
      <c r="BE218" s="31">
        <f>SUM(BE206:BE217)</f>
        <v>0</v>
      </c>
      <c r="BG218" s="31">
        <f>SUM(BG206:BG217)</f>
        <v>0</v>
      </c>
      <c r="BI218" s="31">
        <f>SUM(BI206:BI217)</f>
        <v>0</v>
      </c>
    </row>
    <row r="219" ht="19.5" customHeight="1">
      <c r="A219" s="1"/>
      <c r="B219" s="28" t="s">
        <v>500</v>
      </c>
      <c r="C219" s="12"/>
      <c r="E219" s="12"/>
      <c r="G219" s="12"/>
      <c r="I219" s="12"/>
      <c r="K219" s="12"/>
      <c r="M219" s="12"/>
      <c r="O219" s="12"/>
      <c r="Q219" s="12"/>
      <c r="S219" s="12"/>
      <c r="U219" s="12"/>
      <c r="W219" s="12"/>
      <c r="Y219" s="12"/>
      <c r="AA219" s="12"/>
      <c r="AC219" s="12"/>
      <c r="AE219" s="12"/>
      <c r="AG219" s="12"/>
      <c r="AI219" s="12"/>
      <c r="AK219" s="12"/>
      <c r="AM219" s="12"/>
      <c r="AO219" s="12"/>
      <c r="AQ219" s="12"/>
      <c r="AS219" s="12"/>
      <c r="AU219" s="12"/>
      <c r="AW219" s="12"/>
      <c r="AY219" s="12"/>
      <c r="BA219" s="12"/>
      <c r="BC219" s="12"/>
      <c r="BE219" s="12"/>
      <c r="BG219" s="12"/>
      <c r="BI219" s="12"/>
    </row>
    <row r="220" ht="18.0" customHeight="1">
      <c r="A220" s="1"/>
      <c r="B220" s="13" t="s">
        <v>501</v>
      </c>
      <c r="C220" s="29">
        <f>IFERROR(IF(AND(ISNUMBER('Real results'!C213),ISNUMBER('Real results'!D213),ISNUMBER('Raw data'!C213),ISNUMBER('Raw data'!D213)),IF(SIGN('Raw data'!C213-'Raw data'!D213)=SIGN('Real results'!C213-'Real results'!D213),3+IF(AND('Raw data'!C213='Real results'!C213,'Raw data'!D213='Real results'!D213),2,0),0),0),0)</f>
        <v>0</v>
      </c>
      <c r="E220" s="29">
        <f>IFERROR(IF(AND(ISNUMBER('Real results'!C213),ISNUMBER('Real results'!D213),ISNUMBER('Raw data'!E213),ISNUMBER('Raw data'!F213)),IF(SIGN('Raw data'!E213-'Raw data'!F213)=SIGN('Real results'!C213-'Real results'!D213),3+IF(AND('Raw data'!E213='Real results'!C213,'Raw data'!F213='Real results'!D213),2,0),0),0),0)</f>
        <v>0</v>
      </c>
      <c r="G220" s="29">
        <f>IFERROR(IF(AND(ISNUMBER('Real results'!C213),ISNUMBER('Real results'!D213),ISNUMBER('Raw data'!G213),ISNUMBER('Raw data'!H213)),IF(SIGN('Raw data'!G213-'Raw data'!H213)=SIGN('Real results'!C213-'Real results'!D213),3+IF(AND('Raw data'!G213='Real results'!C213,'Raw data'!H213='Real results'!D213),2,0),0),0),0)</f>
        <v>0</v>
      </c>
      <c r="I220" s="29">
        <f>IFERROR(IF(AND(ISNUMBER('Real results'!C213),ISNUMBER('Real results'!D213),ISNUMBER('Raw data'!I213),ISNUMBER('Raw data'!J213)),IF(SIGN('Raw data'!I213-'Raw data'!J213)=SIGN('Real results'!C213-'Real results'!D213),3+IF(AND('Raw data'!I213='Real results'!C213,'Raw data'!J213='Real results'!D213),2,0),0),0),0)</f>
        <v>0</v>
      </c>
      <c r="K220" s="29">
        <f>IFERROR(IF(AND(ISNUMBER('Real results'!C213),ISNUMBER('Real results'!D213),ISNUMBER('Raw data'!K213),ISNUMBER('Raw data'!L213)),IF(SIGN('Raw data'!K213-'Raw data'!L213)=SIGN('Real results'!C213-'Real results'!D213),3+IF(AND('Raw data'!K213='Real results'!C213,'Raw data'!L213='Real results'!D213),2,0),0),0),0)</f>
        <v>0</v>
      </c>
      <c r="M220" s="29">
        <f>IFERROR(IF(AND(ISNUMBER('Real results'!C213),ISNUMBER('Real results'!D213),ISNUMBER('Raw data'!M213),ISNUMBER('Raw data'!N213)),IF(SIGN('Raw data'!M213-'Raw data'!N213)=SIGN('Real results'!C213-'Real results'!D213),3+IF(AND('Raw data'!M213='Real results'!C213,'Raw data'!N213='Real results'!D213),2,0),0),0),0)</f>
        <v>0</v>
      </c>
      <c r="O220" s="29">
        <f>IFERROR(IF(AND(ISNUMBER('Real results'!C213),ISNUMBER('Real results'!D213),ISNUMBER('Raw data'!O213),ISNUMBER('Raw data'!P213)),IF(SIGN('Raw data'!O213-'Raw data'!P213)=SIGN('Real results'!C213-'Real results'!D213),3+IF(AND('Raw data'!O213='Real results'!C213,'Raw data'!P213='Real results'!D213),2,0),0),0),0)</f>
        <v>0</v>
      </c>
      <c r="Q220" s="29">
        <f>IFERROR(IF(AND(ISNUMBER('Real results'!C213),ISNUMBER('Real results'!D213),ISNUMBER('Raw data'!Q213),ISNUMBER('Raw data'!R213)),IF(SIGN('Raw data'!Q213-'Raw data'!R213)=SIGN('Real results'!C213-'Real results'!D213),3+IF(AND('Raw data'!Q213='Real results'!C213,'Raw data'!R213='Real results'!D213),2,0),0),0),0)</f>
        <v>0</v>
      </c>
      <c r="S220" s="29">
        <f>IFERROR(IF(AND(ISNUMBER('Real results'!C213),ISNUMBER('Real results'!D213),ISNUMBER('Raw data'!S213),ISNUMBER('Raw data'!T213)),IF(SIGN('Raw data'!S213-'Raw data'!T213)=SIGN('Real results'!C213-'Real results'!D213),3+IF(AND('Raw data'!S213='Real results'!C213,'Raw data'!T213='Real results'!D213),2,0),0),0),0)</f>
        <v>0</v>
      </c>
      <c r="U220" s="29">
        <f>IFERROR(IF(AND(ISNUMBER('Real results'!C213),ISNUMBER('Real results'!D213),ISNUMBER('Raw data'!U213),ISNUMBER('Raw data'!V213)),IF(SIGN('Raw data'!U213-'Raw data'!V213)=SIGN('Real results'!C213-'Real results'!D213),3+IF(AND('Raw data'!U213='Real results'!C213,'Raw data'!V213='Real results'!D213),2,0),0),0),0)</f>
        <v>0</v>
      </c>
      <c r="W220" s="29">
        <f>IFERROR(IF(AND(ISNUMBER('Real results'!C213),ISNUMBER('Real results'!D213),ISNUMBER('Raw data'!W213),ISNUMBER('Raw data'!X213)),IF(SIGN('Raw data'!W213-'Raw data'!X213)=SIGN('Real results'!C213-'Real results'!D213),3+IF(AND('Raw data'!W213='Real results'!C213,'Raw data'!X213='Real results'!D213),2,0),0),0),0)</f>
        <v>0</v>
      </c>
      <c r="Y220" s="29">
        <f>IFERROR(IF(AND(ISNUMBER('Real results'!C213),ISNUMBER('Real results'!D213),ISNUMBER('Raw data'!Y213),ISNUMBER('Raw data'!Z213)),IF(SIGN('Raw data'!Y213-'Raw data'!Z213)=SIGN('Real results'!C213-'Real results'!D213),3+IF(AND('Raw data'!Y213='Real results'!C213,'Raw data'!Z213='Real results'!D213),2,0),0),0),0)</f>
        <v>0</v>
      </c>
      <c r="AA220" s="29">
        <f>IFERROR(IF(AND(ISNUMBER('Real results'!C213),ISNUMBER('Real results'!D213),ISNUMBER('Raw data'!AA213),ISNUMBER('Raw data'!AB213)),IF(SIGN('Raw data'!AA213-'Raw data'!AB213)=SIGN('Real results'!C213-'Real results'!D213),3+IF(AND('Raw data'!AA213='Real results'!C213,'Raw data'!AB213='Real results'!D213),2,0),0),0),0)</f>
        <v>0</v>
      </c>
      <c r="AC220" s="29">
        <f>IFERROR(IF(AND(ISNUMBER('Real results'!C213),ISNUMBER('Real results'!D213),ISNUMBER('Raw data'!AC213),ISNUMBER('Raw data'!AD213)),IF(SIGN('Raw data'!AC213-'Raw data'!AD213)=SIGN('Real results'!C213-'Real results'!D213),3+IF(AND('Raw data'!AC213='Real results'!C213,'Raw data'!AD213='Real results'!D213),2,0),0),0),0)</f>
        <v>0</v>
      </c>
      <c r="AE220" s="29">
        <f>IFERROR(IF(AND(ISNUMBER('Real results'!C213),ISNUMBER('Real results'!D213),ISNUMBER('Raw data'!AE213),ISNUMBER('Raw data'!AF213)),IF(SIGN('Raw data'!AE213-'Raw data'!AF213)=SIGN('Real results'!C213-'Real results'!D213),3+IF(AND('Raw data'!AE213='Real results'!C213,'Raw data'!AF213='Real results'!D213),2,0),0),0),0)</f>
        <v>0</v>
      </c>
      <c r="AG220" s="29">
        <f>IFERROR(IF(AND(ISNUMBER('Real results'!C213),ISNUMBER('Real results'!D213),ISNUMBER('Raw data'!AG213),ISNUMBER('Raw data'!AH213)),IF(SIGN('Raw data'!AG213-'Raw data'!AH213)=SIGN('Real results'!C213-'Real results'!D213),3+IF(AND('Raw data'!AG213='Real results'!C213,'Raw data'!AH213='Real results'!D213),2,0),0),0),0)</f>
        <v>0</v>
      </c>
      <c r="AI220" s="29">
        <f>IFERROR(IF(AND(ISNUMBER('Real results'!C213),ISNUMBER('Real results'!D213),ISNUMBER('Raw data'!AI213),ISNUMBER('Raw data'!AJ213)),IF(SIGN('Raw data'!AI213-'Raw data'!AJ213)=SIGN('Real results'!C213-'Real results'!D213),3+IF(AND('Raw data'!AI213='Real results'!C213,'Raw data'!AJ213='Real results'!D213),2,0),0),0),0)</f>
        <v>0</v>
      </c>
      <c r="AK220" s="29">
        <f>IFERROR(IF(AND(ISNUMBER('Real results'!C213),ISNUMBER('Real results'!D213),ISNUMBER('Raw data'!AK213),ISNUMBER('Raw data'!AL213)),IF(SIGN('Raw data'!AK213-'Raw data'!AL213)=SIGN('Real results'!C213-'Real results'!D213),3+IF(AND('Raw data'!AK213='Real results'!C213,'Raw data'!AL213='Real results'!D213),2,0),0),0),0)</f>
        <v>0</v>
      </c>
      <c r="AM220" s="29">
        <f>IFERROR(IF(AND(ISNUMBER('Real results'!C213),ISNUMBER('Real results'!D213),ISNUMBER('Raw data'!AM213),ISNUMBER('Raw data'!AN213)),IF(SIGN('Raw data'!AM213-'Raw data'!AN213)=SIGN('Real results'!C213-'Real results'!D213),3+IF(AND('Raw data'!AM213='Real results'!C213,'Raw data'!AN213='Real results'!D213),2,0),0),0),0)</f>
        <v>0</v>
      </c>
      <c r="AO220" s="29">
        <f>IFERROR(IF(AND(ISNUMBER('Real results'!C213),ISNUMBER('Real results'!D213),ISNUMBER('Raw data'!AO213),ISNUMBER('Raw data'!AP213)),IF(SIGN('Raw data'!AO213-'Raw data'!AP213)=SIGN('Real results'!C213-'Real results'!D213),3+IF(AND('Raw data'!AO213='Real results'!C213,'Raw data'!AP213='Real results'!D213),2,0),0),0),0)</f>
        <v>0</v>
      </c>
      <c r="AQ220" s="29">
        <f>IFERROR(IF(AND(ISNUMBER('Real results'!C213),ISNUMBER('Real results'!D213),ISNUMBER('Raw data'!AQ213),ISNUMBER('Raw data'!AR213)),IF(SIGN('Raw data'!AQ213-'Raw data'!AR213)=SIGN('Real results'!C213-'Real results'!D213),3+IF(AND('Raw data'!AQ213='Real results'!C213,'Raw data'!AR213='Real results'!D213),2,0),0),0),0)</f>
        <v>0</v>
      </c>
      <c r="AS220" s="29">
        <f>IFERROR(IF(AND(ISNUMBER('Real results'!C213),ISNUMBER('Real results'!D213),ISNUMBER('Raw data'!AS213),ISNUMBER('Raw data'!AT213)),IF(SIGN('Raw data'!AS213-'Raw data'!AT213)=SIGN('Real results'!C213-'Real results'!D213),3+IF(AND('Raw data'!AS213='Real results'!C213,'Raw data'!AT213='Real results'!D213),2,0),0),0),0)</f>
        <v>0</v>
      </c>
      <c r="AU220" s="29">
        <f>IFERROR(IF(AND(ISNUMBER('Real results'!C213),ISNUMBER('Real results'!D213),ISNUMBER('Raw data'!AU213),ISNUMBER('Raw data'!AV213)),IF(SIGN('Raw data'!AU213-'Raw data'!AV213)=SIGN('Real results'!C213-'Real results'!D213),3+IF(AND('Raw data'!AU213='Real results'!C213,'Raw data'!AV213='Real results'!D213),2,0),0),0),0)</f>
        <v>0</v>
      </c>
      <c r="AW220" s="29">
        <f>IFERROR(IF(AND(ISNUMBER('Real results'!C213),ISNUMBER('Real results'!D213),ISNUMBER('Raw data'!AW213),ISNUMBER('Raw data'!AX213)),IF(SIGN('Raw data'!AW213-'Raw data'!AX213)=SIGN('Real results'!C213-'Real results'!D213),3+IF(AND('Raw data'!AW213='Real results'!C213,'Raw data'!AX213='Real results'!D213),2,0),0),0),0)</f>
        <v>0</v>
      </c>
      <c r="AY220" s="29">
        <f>IFERROR(IF(AND(ISNUMBER('Real results'!C213),ISNUMBER('Real results'!D213),ISNUMBER('Raw data'!AY213),ISNUMBER('Raw data'!AZ213)),IF(SIGN('Raw data'!AY213-'Raw data'!AZ213)=SIGN('Real results'!C213-'Real results'!D213),3+IF(AND('Raw data'!AY213='Real results'!C213,'Raw data'!AZ213='Real results'!D213),2,0),0),0),0)</f>
        <v>0</v>
      </c>
      <c r="BA220" s="29">
        <f>IFERROR(IF(AND(ISNUMBER('Real results'!C213),ISNUMBER('Real results'!D213),ISNUMBER('Raw data'!BA213),ISNUMBER('Raw data'!BB213)),IF(SIGN('Raw data'!BA213-'Raw data'!BB213)=SIGN('Real results'!C213-'Real results'!D213),3+IF(AND('Raw data'!BA213='Real results'!C213,'Raw data'!BB213='Real results'!D213),2,0),0),0),0)</f>
        <v>0</v>
      </c>
      <c r="BC220" s="29">
        <f>IFERROR(IF(AND(ISNUMBER('Real results'!C213),ISNUMBER('Real results'!D213),ISNUMBER('Raw data'!BC213),ISNUMBER('Raw data'!BD213)),IF(SIGN('Raw data'!BC213-'Raw data'!BD213)=SIGN('Real results'!C213-'Real results'!D213),3+IF(AND('Raw data'!BC213='Real results'!C213,'Raw data'!BD213='Real results'!D213),2,0),0),0),0)</f>
        <v>0</v>
      </c>
      <c r="BE220" s="29">
        <f>IFERROR(IF(AND(ISNUMBER('Real results'!C213),ISNUMBER('Real results'!D213),ISNUMBER('Raw data'!BE213),ISNUMBER('Raw data'!BF213)),IF(SIGN('Raw data'!BE213-'Raw data'!BF213)=SIGN('Real results'!C213-'Real results'!D213),3+IF(AND('Raw data'!BE213='Real results'!C213,'Raw data'!BF213='Real results'!D213),2,0),0),0),0)</f>
        <v>0</v>
      </c>
      <c r="BG220" s="29">
        <f>IFERROR(IF(AND(ISNUMBER('Real results'!C213),ISNUMBER('Real results'!D213),ISNUMBER('Raw data'!BG213),ISNUMBER('Raw data'!BH213)),IF(SIGN('Raw data'!BG213-'Raw data'!BH213)=SIGN('Real results'!C213-'Real results'!D213),3+IF(AND('Raw data'!BG213='Real results'!C213,'Raw data'!BH213='Real results'!D213),2,0),0),0),0)</f>
        <v>0</v>
      </c>
      <c r="BI220" s="29">
        <f>IFERROR(IF(AND(ISNUMBER('Real results'!C213),ISNUMBER('Real results'!D213),ISNUMBER('Raw data'!BI213),ISNUMBER('Raw data'!BJ213)),IF(SIGN('Raw data'!BI213-'Raw data'!BJ213)=SIGN('Real results'!C213-'Real results'!D213),3+IF(AND('Raw data'!BI213='Real results'!C213,'Raw data'!BJ213='Real results'!D213),2,0),0),0),0)</f>
        <v>0</v>
      </c>
    </row>
    <row r="221" ht="18.0" customHeight="1">
      <c r="A221" s="1"/>
      <c r="B221" s="13" t="s">
        <v>502</v>
      </c>
      <c r="C221" s="29">
        <f>IFERROR(IF(AND('Real results'!C214&lt;&gt;"",'Raw data'!C214&lt;&gt;"",UPPER(TRIM('Real results'!C214))=UPPER(TRIM('Raw data'!C214))),1,0),0)</f>
        <v>0</v>
      </c>
      <c r="E221" s="29">
        <f>IFERROR(IF(AND('Real results'!C214&lt;&gt;"",'Raw data'!E214&lt;&gt;"",UPPER(TRIM('Real results'!C214))=UPPER(TRIM('Raw data'!E214))),1,0),0)</f>
        <v>0</v>
      </c>
      <c r="G221" s="29">
        <f>IFERROR(IF(AND('Real results'!C214&lt;&gt;"",'Raw data'!G214&lt;&gt;"",UPPER(TRIM('Real results'!C214))=UPPER(TRIM('Raw data'!G214))),1,0),0)</f>
        <v>0</v>
      </c>
      <c r="I221" s="29">
        <f>IFERROR(IF(AND('Real results'!C214&lt;&gt;"",'Raw data'!I214&lt;&gt;"",UPPER(TRIM('Real results'!C214))=UPPER(TRIM('Raw data'!I214))),1,0),0)</f>
        <v>0</v>
      </c>
      <c r="K221" s="29">
        <f>IFERROR(IF(AND('Real results'!C214&lt;&gt;"",'Raw data'!K214&lt;&gt;"",UPPER(TRIM('Real results'!C214))=UPPER(TRIM('Raw data'!K214))),1,0),0)</f>
        <v>0</v>
      </c>
      <c r="M221" s="29">
        <f>IFERROR(IF(AND('Real results'!C214&lt;&gt;"",'Raw data'!M214&lt;&gt;"",UPPER(TRIM('Real results'!C214))=UPPER(TRIM('Raw data'!M214))),1,0),0)</f>
        <v>0</v>
      </c>
      <c r="O221" s="29">
        <f>IFERROR(IF(AND('Real results'!C214&lt;&gt;"",'Raw data'!O214&lt;&gt;"",UPPER(TRIM('Real results'!C214))=UPPER(TRIM('Raw data'!O214))),1,0),0)</f>
        <v>0</v>
      </c>
      <c r="Q221" s="29">
        <f>IFERROR(IF(AND('Real results'!C214&lt;&gt;"",'Raw data'!Q214&lt;&gt;"",UPPER(TRIM('Real results'!C214))=UPPER(TRIM('Raw data'!Q214))),1,0),0)</f>
        <v>0</v>
      </c>
      <c r="S221" s="29">
        <f>IFERROR(IF(AND('Real results'!C214&lt;&gt;"",'Raw data'!S214&lt;&gt;"",UPPER(TRIM('Real results'!C214))=UPPER(TRIM('Raw data'!S214))),1,0),0)</f>
        <v>0</v>
      </c>
      <c r="U221" s="29">
        <f>IFERROR(IF(AND('Real results'!C214&lt;&gt;"",'Raw data'!U214&lt;&gt;"",UPPER(TRIM('Real results'!C214))=UPPER(TRIM('Raw data'!U214))),1,0),0)</f>
        <v>0</v>
      </c>
      <c r="W221" s="29">
        <f>IFERROR(IF(AND('Real results'!C214&lt;&gt;"",'Raw data'!W214&lt;&gt;"",UPPER(TRIM('Real results'!C214))=UPPER(TRIM('Raw data'!W214))),1,0),0)</f>
        <v>0</v>
      </c>
      <c r="Y221" s="29">
        <f>IFERROR(IF(AND('Real results'!C214&lt;&gt;"",'Raw data'!Y214&lt;&gt;"",UPPER(TRIM('Real results'!C214))=UPPER(TRIM('Raw data'!Y214))),1,0),0)</f>
        <v>0</v>
      </c>
      <c r="AA221" s="29">
        <f>IFERROR(IF(AND('Real results'!C214&lt;&gt;"",'Raw data'!AA214&lt;&gt;"",UPPER(TRIM('Real results'!C214))=UPPER(TRIM('Raw data'!AA214))),1,0),0)</f>
        <v>0</v>
      </c>
      <c r="AC221" s="29">
        <f>IFERROR(IF(AND('Real results'!C214&lt;&gt;"",'Raw data'!AC214&lt;&gt;"",UPPER(TRIM('Real results'!C214))=UPPER(TRIM('Raw data'!AC214))),1,0),0)</f>
        <v>0</v>
      </c>
      <c r="AE221" s="29">
        <f>IFERROR(IF(AND('Real results'!C214&lt;&gt;"",'Raw data'!AE214&lt;&gt;"",UPPER(TRIM('Real results'!C214))=UPPER(TRIM('Raw data'!AE214))),1,0),0)</f>
        <v>0</v>
      </c>
      <c r="AG221" s="29">
        <f>IFERROR(IF(AND('Real results'!C214&lt;&gt;"",'Raw data'!AG214&lt;&gt;"",UPPER(TRIM('Real results'!C214))=UPPER(TRIM('Raw data'!AG214))),1,0),0)</f>
        <v>0</v>
      </c>
      <c r="AI221" s="29">
        <f>IFERROR(IF(AND('Real results'!C214&lt;&gt;"",'Raw data'!AI214&lt;&gt;"",UPPER(TRIM('Real results'!C214))=UPPER(TRIM('Raw data'!AI214))),1,0),0)</f>
        <v>0</v>
      </c>
      <c r="AK221" s="29">
        <f>IFERROR(IF(AND('Real results'!C214&lt;&gt;"",'Raw data'!AK214&lt;&gt;"",UPPER(TRIM('Real results'!C214))=UPPER(TRIM('Raw data'!AK214))),1,0),0)</f>
        <v>0</v>
      </c>
      <c r="AM221" s="29">
        <f>IFERROR(IF(AND('Real results'!C214&lt;&gt;"",'Raw data'!AM214&lt;&gt;"",UPPER(TRIM('Real results'!C214))=UPPER(TRIM('Raw data'!AM214))),1,0),0)</f>
        <v>0</v>
      </c>
      <c r="AO221" s="29">
        <f>IFERROR(IF(AND('Real results'!C214&lt;&gt;"",'Raw data'!AO214&lt;&gt;"",UPPER(TRIM('Real results'!C214))=UPPER(TRIM('Raw data'!AO214))),1,0),0)</f>
        <v>0</v>
      </c>
      <c r="AQ221" s="29">
        <f>IFERROR(IF(AND('Real results'!C214&lt;&gt;"",'Raw data'!AQ214&lt;&gt;"",UPPER(TRIM('Real results'!C214))=UPPER(TRIM('Raw data'!AQ214))),1,0),0)</f>
        <v>0</v>
      </c>
      <c r="AS221" s="29">
        <f>IFERROR(IF(AND('Real results'!C214&lt;&gt;"",'Raw data'!AS214&lt;&gt;"",UPPER(TRIM('Real results'!C214))=UPPER(TRIM('Raw data'!AS214))),1,0),0)</f>
        <v>0</v>
      </c>
      <c r="AU221" s="29">
        <f>IFERROR(IF(AND('Real results'!C214&lt;&gt;"",'Raw data'!AU214&lt;&gt;"",UPPER(TRIM('Real results'!C214))=UPPER(TRIM('Raw data'!AU214))),1,0),0)</f>
        <v>0</v>
      </c>
      <c r="AW221" s="29">
        <f>IFERROR(IF(AND('Real results'!C214&lt;&gt;"",'Raw data'!AW214&lt;&gt;"",UPPER(TRIM('Real results'!C214))=UPPER(TRIM('Raw data'!AW214))),1,0),0)</f>
        <v>0</v>
      </c>
      <c r="AY221" s="29">
        <f>IFERROR(IF(AND('Real results'!C214&lt;&gt;"",'Raw data'!AY214&lt;&gt;"",UPPER(TRIM('Real results'!C214))=UPPER(TRIM('Raw data'!AY214))),1,0),0)</f>
        <v>0</v>
      </c>
      <c r="BA221" s="29">
        <f>IFERROR(IF(AND('Real results'!C214&lt;&gt;"",'Raw data'!BA214&lt;&gt;"",UPPER(TRIM('Real results'!C214))=UPPER(TRIM('Raw data'!BA214))),1,0),0)</f>
        <v>0</v>
      </c>
      <c r="BC221" s="29">
        <f>IFERROR(IF(AND('Real results'!C214&lt;&gt;"",'Raw data'!BC214&lt;&gt;"",UPPER(TRIM('Real results'!C214))=UPPER(TRIM('Raw data'!BC214))),1,0),0)</f>
        <v>0</v>
      </c>
      <c r="BE221" s="29">
        <f>IFERROR(IF(AND('Real results'!C214&lt;&gt;"",'Raw data'!BE214&lt;&gt;"",UPPER(TRIM('Real results'!C214))=UPPER(TRIM('Raw data'!BE214))),1,0),0)</f>
        <v>0</v>
      </c>
      <c r="BG221" s="29">
        <f>IFERROR(IF(AND('Real results'!C214&lt;&gt;"",'Raw data'!BG214&lt;&gt;"",UPPER(TRIM('Real results'!C214))=UPPER(TRIM('Raw data'!BG214))),1,0),0)</f>
        <v>0</v>
      </c>
      <c r="BI221" s="29">
        <f>IFERROR(IF(AND('Real results'!C214&lt;&gt;"",'Raw data'!BI214&lt;&gt;"",UPPER(TRIM('Real results'!C214))=UPPER(TRIM('Raw data'!BI214))),1,0),0)</f>
        <v>0</v>
      </c>
    </row>
    <row r="222" ht="18.0" customHeight="1">
      <c r="A222" s="1"/>
      <c r="B222" s="13" t="s">
        <v>503</v>
      </c>
      <c r="C222" s="29">
        <f>IFERROR(IF(AND('Real results'!C215&lt;&gt;"",'Raw data'!C215&lt;&gt;"",UPPER(TRIM('Real results'!C215))=UPPER(TRIM('Raw data'!C215))),6,0),0)</f>
        <v>0</v>
      </c>
      <c r="E222" s="29">
        <f>IFERROR(IF(AND('Real results'!C215&lt;&gt;"",'Raw data'!E215&lt;&gt;"",UPPER(TRIM('Real results'!C215))=UPPER(TRIM('Raw data'!E215))),6,0),0)</f>
        <v>0</v>
      </c>
      <c r="G222" s="29">
        <f>IFERROR(IF(AND('Real results'!C215&lt;&gt;"",'Raw data'!G215&lt;&gt;"",UPPER(TRIM('Real results'!C215))=UPPER(TRIM('Raw data'!G215))),6,0),0)</f>
        <v>0</v>
      </c>
      <c r="I222" s="29">
        <f>IFERROR(IF(AND('Real results'!C215&lt;&gt;"",'Raw data'!I215&lt;&gt;"",UPPER(TRIM('Real results'!C215))=UPPER(TRIM('Raw data'!I215))),6,0),0)</f>
        <v>0</v>
      </c>
      <c r="K222" s="29">
        <f>IFERROR(IF(AND('Real results'!C215&lt;&gt;"",'Raw data'!K215&lt;&gt;"",UPPER(TRIM('Real results'!C215))=UPPER(TRIM('Raw data'!K215))),6,0),0)</f>
        <v>0</v>
      </c>
      <c r="M222" s="29">
        <f>IFERROR(IF(AND('Real results'!C215&lt;&gt;"",'Raw data'!M215&lt;&gt;"",UPPER(TRIM('Real results'!C215))=UPPER(TRIM('Raw data'!M215))),6,0),0)</f>
        <v>0</v>
      </c>
      <c r="O222" s="29">
        <f>IFERROR(IF(AND('Real results'!C215&lt;&gt;"",'Raw data'!O215&lt;&gt;"",UPPER(TRIM('Real results'!C215))=UPPER(TRIM('Raw data'!O215))),6,0),0)</f>
        <v>0</v>
      </c>
      <c r="Q222" s="29">
        <f>IFERROR(IF(AND('Real results'!C215&lt;&gt;"",'Raw data'!Q215&lt;&gt;"",UPPER(TRIM('Real results'!C215))=UPPER(TRIM('Raw data'!Q215))),6,0),0)</f>
        <v>0</v>
      </c>
      <c r="S222" s="29">
        <f>IFERROR(IF(AND('Real results'!C215&lt;&gt;"",'Raw data'!S215&lt;&gt;"",UPPER(TRIM('Real results'!C215))=UPPER(TRIM('Raw data'!S215))),6,0),0)</f>
        <v>0</v>
      </c>
      <c r="U222" s="29">
        <f>IFERROR(IF(AND('Real results'!C215&lt;&gt;"",'Raw data'!U215&lt;&gt;"",UPPER(TRIM('Real results'!C215))=UPPER(TRIM('Raw data'!U215))),6,0),0)</f>
        <v>0</v>
      </c>
      <c r="W222" s="29">
        <f>IFERROR(IF(AND('Real results'!C215&lt;&gt;"",'Raw data'!W215&lt;&gt;"",UPPER(TRIM('Real results'!C215))=UPPER(TRIM('Raw data'!W215))),6,0),0)</f>
        <v>0</v>
      </c>
      <c r="Y222" s="29">
        <f>IFERROR(IF(AND('Real results'!C215&lt;&gt;"",'Raw data'!Y215&lt;&gt;"",UPPER(TRIM('Real results'!C215))=UPPER(TRIM('Raw data'!Y215))),6,0),0)</f>
        <v>0</v>
      </c>
      <c r="AA222" s="29">
        <f>IFERROR(IF(AND('Real results'!C215&lt;&gt;"",'Raw data'!AA215&lt;&gt;"",UPPER(TRIM('Real results'!C215))=UPPER(TRIM('Raw data'!AA215))),6,0),0)</f>
        <v>0</v>
      </c>
      <c r="AC222" s="29">
        <f>IFERROR(IF(AND('Real results'!C215&lt;&gt;"",'Raw data'!AC215&lt;&gt;"",UPPER(TRIM('Real results'!C215))=UPPER(TRIM('Raw data'!AC215))),6,0),0)</f>
        <v>0</v>
      </c>
      <c r="AE222" s="29">
        <f>IFERROR(IF(AND('Real results'!C215&lt;&gt;"",'Raw data'!AE215&lt;&gt;"",UPPER(TRIM('Real results'!C215))=UPPER(TRIM('Raw data'!AE215))),6,0),0)</f>
        <v>0</v>
      </c>
      <c r="AG222" s="29">
        <f>IFERROR(IF(AND('Real results'!C215&lt;&gt;"",'Raw data'!AG215&lt;&gt;"",UPPER(TRIM('Real results'!C215))=UPPER(TRIM('Raw data'!AG215))),6,0),0)</f>
        <v>0</v>
      </c>
      <c r="AI222" s="29">
        <f>IFERROR(IF(AND('Real results'!C215&lt;&gt;"",'Raw data'!AI215&lt;&gt;"",UPPER(TRIM('Real results'!C215))=UPPER(TRIM('Raw data'!AI215))),6,0),0)</f>
        <v>0</v>
      </c>
      <c r="AK222" s="29">
        <f>IFERROR(IF(AND('Real results'!C215&lt;&gt;"",'Raw data'!AK215&lt;&gt;"",UPPER(TRIM('Real results'!C215))=UPPER(TRIM('Raw data'!AK215))),6,0),0)</f>
        <v>0</v>
      </c>
      <c r="AM222" s="29">
        <f>IFERROR(IF(AND('Real results'!C215&lt;&gt;"",'Raw data'!AM215&lt;&gt;"",UPPER(TRIM('Real results'!C215))=UPPER(TRIM('Raw data'!AM215))),6,0),0)</f>
        <v>0</v>
      </c>
      <c r="AO222" s="29">
        <f>IFERROR(IF(AND('Real results'!C215&lt;&gt;"",'Raw data'!AO215&lt;&gt;"",UPPER(TRIM('Real results'!C215))=UPPER(TRIM('Raw data'!AO215))),6,0),0)</f>
        <v>0</v>
      </c>
      <c r="AQ222" s="29">
        <f>IFERROR(IF(AND('Real results'!C215&lt;&gt;"",'Raw data'!AQ215&lt;&gt;"",UPPER(TRIM('Real results'!C215))=UPPER(TRIM('Raw data'!AQ215))),6,0),0)</f>
        <v>0</v>
      </c>
      <c r="AS222" s="29">
        <f>IFERROR(IF(AND('Real results'!C215&lt;&gt;"",'Raw data'!AS215&lt;&gt;"",UPPER(TRIM('Real results'!C215))=UPPER(TRIM('Raw data'!AS215))),6,0),0)</f>
        <v>0</v>
      </c>
      <c r="AU222" s="29">
        <f>IFERROR(IF(AND('Real results'!C215&lt;&gt;"",'Raw data'!AU215&lt;&gt;"",UPPER(TRIM('Real results'!C215))=UPPER(TRIM('Raw data'!AU215))),6,0),0)</f>
        <v>0</v>
      </c>
      <c r="AW222" s="29">
        <f>IFERROR(IF(AND('Real results'!C215&lt;&gt;"",'Raw data'!AW215&lt;&gt;"",UPPER(TRIM('Real results'!C215))=UPPER(TRIM('Raw data'!AW215))),6,0),0)</f>
        <v>0</v>
      </c>
      <c r="AY222" s="29">
        <f>IFERROR(IF(AND('Real results'!C215&lt;&gt;"",'Raw data'!AY215&lt;&gt;"",UPPER(TRIM('Real results'!C215))=UPPER(TRIM('Raw data'!AY215))),6,0),0)</f>
        <v>0</v>
      </c>
      <c r="BA222" s="29">
        <f>IFERROR(IF(AND('Real results'!C215&lt;&gt;"",'Raw data'!BA215&lt;&gt;"",UPPER(TRIM('Real results'!C215))=UPPER(TRIM('Raw data'!BA215))),6,0),0)</f>
        <v>0</v>
      </c>
      <c r="BC222" s="29">
        <f>IFERROR(IF(AND('Real results'!C215&lt;&gt;"",'Raw data'!BC215&lt;&gt;"",UPPER(TRIM('Real results'!C215))=UPPER(TRIM('Raw data'!BC215))),6,0),0)</f>
        <v>0</v>
      </c>
      <c r="BE222" s="29">
        <f>IFERROR(IF(AND('Real results'!C215&lt;&gt;"",'Raw data'!BE215&lt;&gt;"",UPPER(TRIM('Real results'!C215))=UPPER(TRIM('Raw data'!BE215))),6,0),0)</f>
        <v>0</v>
      </c>
      <c r="BG222" s="29">
        <f>IFERROR(IF(AND('Real results'!C215&lt;&gt;"",'Raw data'!BG215&lt;&gt;"",UPPER(TRIM('Real results'!C215))=UPPER(TRIM('Raw data'!BG215))),6,0),0)</f>
        <v>0</v>
      </c>
      <c r="BI222" s="29">
        <f>IFERROR(IF(AND('Real results'!C215&lt;&gt;"",'Raw data'!BI215&lt;&gt;"",UPPER(TRIM('Real results'!C215))=UPPER(TRIM('Raw data'!BI215))),6,0),0)</f>
        <v>0</v>
      </c>
    </row>
    <row r="223" ht="18.0" customHeight="1">
      <c r="A223" s="1"/>
      <c r="B223" s="13" t="s">
        <v>504</v>
      </c>
      <c r="C223" s="29">
        <f>IFERROR(IF(AND(ISNUMBER('Real results'!C216),ISNUMBER('Real results'!D216),ISNUMBER('Raw data'!C216),ISNUMBER('Raw data'!D216)),IF(SIGN('Raw data'!C216-'Raw data'!D216)=SIGN('Real results'!C216-'Real results'!D216),3+IF(AND('Raw data'!C216='Real results'!C216,'Raw data'!D216='Real results'!D216),2,0),0),0),0)</f>
        <v>0</v>
      </c>
      <c r="E223" s="29">
        <f>IFERROR(IF(AND(ISNUMBER('Real results'!C216),ISNUMBER('Real results'!D216),ISNUMBER('Raw data'!E216),ISNUMBER('Raw data'!F216)),IF(SIGN('Raw data'!E216-'Raw data'!F216)=SIGN('Real results'!C216-'Real results'!D216),3+IF(AND('Raw data'!E216='Real results'!C216,'Raw data'!F216='Real results'!D216),2,0),0),0),0)</f>
        <v>0</v>
      </c>
      <c r="G223" s="29">
        <f>IFERROR(IF(AND(ISNUMBER('Real results'!C216),ISNUMBER('Real results'!D216),ISNUMBER('Raw data'!G216),ISNUMBER('Raw data'!H216)),IF(SIGN('Raw data'!G216-'Raw data'!H216)=SIGN('Real results'!C216-'Real results'!D216),3+IF(AND('Raw data'!G216='Real results'!C216,'Raw data'!H216='Real results'!D216),2,0),0),0),0)</f>
        <v>0</v>
      </c>
      <c r="I223" s="29">
        <f>IFERROR(IF(AND(ISNUMBER('Real results'!C216),ISNUMBER('Real results'!D216),ISNUMBER('Raw data'!I216),ISNUMBER('Raw data'!J216)),IF(SIGN('Raw data'!I216-'Raw data'!J216)=SIGN('Real results'!C216-'Real results'!D216),3+IF(AND('Raw data'!I216='Real results'!C216,'Raw data'!J216='Real results'!D216),2,0),0),0),0)</f>
        <v>0</v>
      </c>
      <c r="K223" s="29">
        <f>IFERROR(IF(AND(ISNUMBER('Real results'!C216),ISNUMBER('Real results'!D216),ISNUMBER('Raw data'!K216),ISNUMBER('Raw data'!L216)),IF(SIGN('Raw data'!K216-'Raw data'!L216)=SIGN('Real results'!C216-'Real results'!D216),3+IF(AND('Raw data'!K216='Real results'!C216,'Raw data'!L216='Real results'!D216),2,0),0),0),0)</f>
        <v>0</v>
      </c>
      <c r="M223" s="29">
        <f>IFERROR(IF(AND(ISNUMBER('Real results'!C216),ISNUMBER('Real results'!D216),ISNUMBER('Raw data'!M216),ISNUMBER('Raw data'!N216)),IF(SIGN('Raw data'!M216-'Raw data'!N216)=SIGN('Real results'!C216-'Real results'!D216),3+IF(AND('Raw data'!M216='Real results'!C216,'Raw data'!N216='Real results'!D216),2,0),0),0),0)</f>
        <v>0</v>
      </c>
      <c r="O223" s="29">
        <f>IFERROR(IF(AND(ISNUMBER('Real results'!C216),ISNUMBER('Real results'!D216),ISNUMBER('Raw data'!O216),ISNUMBER('Raw data'!P216)),IF(SIGN('Raw data'!O216-'Raw data'!P216)=SIGN('Real results'!C216-'Real results'!D216),3+IF(AND('Raw data'!O216='Real results'!C216,'Raw data'!P216='Real results'!D216),2,0),0),0),0)</f>
        <v>0</v>
      </c>
      <c r="Q223" s="29">
        <f>IFERROR(IF(AND(ISNUMBER('Real results'!C216),ISNUMBER('Real results'!D216),ISNUMBER('Raw data'!Q216),ISNUMBER('Raw data'!R216)),IF(SIGN('Raw data'!Q216-'Raw data'!R216)=SIGN('Real results'!C216-'Real results'!D216),3+IF(AND('Raw data'!Q216='Real results'!C216,'Raw data'!R216='Real results'!D216),2,0),0),0),0)</f>
        <v>0</v>
      </c>
      <c r="S223" s="29">
        <f>IFERROR(IF(AND(ISNUMBER('Real results'!C216),ISNUMBER('Real results'!D216),ISNUMBER('Raw data'!S216),ISNUMBER('Raw data'!T216)),IF(SIGN('Raw data'!S216-'Raw data'!T216)=SIGN('Real results'!C216-'Real results'!D216),3+IF(AND('Raw data'!S216='Real results'!C216,'Raw data'!T216='Real results'!D216),2,0),0),0),0)</f>
        <v>0</v>
      </c>
      <c r="U223" s="29">
        <f>IFERROR(IF(AND(ISNUMBER('Real results'!C216),ISNUMBER('Real results'!D216),ISNUMBER('Raw data'!U216),ISNUMBER('Raw data'!V216)),IF(SIGN('Raw data'!U216-'Raw data'!V216)=SIGN('Real results'!C216-'Real results'!D216),3+IF(AND('Raw data'!U216='Real results'!C216,'Raw data'!V216='Real results'!D216),2,0),0),0),0)</f>
        <v>0</v>
      </c>
      <c r="W223" s="29">
        <f>IFERROR(IF(AND(ISNUMBER('Real results'!C216),ISNUMBER('Real results'!D216),ISNUMBER('Raw data'!W216),ISNUMBER('Raw data'!X216)),IF(SIGN('Raw data'!W216-'Raw data'!X216)=SIGN('Real results'!C216-'Real results'!D216),3+IF(AND('Raw data'!W216='Real results'!C216,'Raw data'!X216='Real results'!D216),2,0),0),0),0)</f>
        <v>0</v>
      </c>
      <c r="Y223" s="29">
        <f>IFERROR(IF(AND(ISNUMBER('Real results'!C216),ISNUMBER('Real results'!D216),ISNUMBER('Raw data'!Y216),ISNUMBER('Raw data'!Z216)),IF(SIGN('Raw data'!Y216-'Raw data'!Z216)=SIGN('Real results'!C216-'Real results'!D216),3+IF(AND('Raw data'!Y216='Real results'!C216,'Raw data'!Z216='Real results'!D216),2,0),0),0),0)</f>
        <v>0</v>
      </c>
      <c r="AA223" s="29">
        <f>IFERROR(IF(AND(ISNUMBER('Real results'!C216),ISNUMBER('Real results'!D216),ISNUMBER('Raw data'!AA216),ISNUMBER('Raw data'!AB216)),IF(SIGN('Raw data'!AA216-'Raw data'!AB216)=SIGN('Real results'!C216-'Real results'!D216),3+IF(AND('Raw data'!AA216='Real results'!C216,'Raw data'!AB216='Real results'!D216),2,0),0),0),0)</f>
        <v>0</v>
      </c>
      <c r="AC223" s="29">
        <f>IFERROR(IF(AND(ISNUMBER('Real results'!C216),ISNUMBER('Real results'!D216),ISNUMBER('Raw data'!AC216),ISNUMBER('Raw data'!AD216)),IF(SIGN('Raw data'!AC216-'Raw data'!AD216)=SIGN('Real results'!C216-'Real results'!D216),3+IF(AND('Raw data'!AC216='Real results'!C216,'Raw data'!AD216='Real results'!D216),2,0),0),0),0)</f>
        <v>0</v>
      </c>
      <c r="AE223" s="29">
        <f>IFERROR(IF(AND(ISNUMBER('Real results'!C216),ISNUMBER('Real results'!D216),ISNUMBER('Raw data'!AE216),ISNUMBER('Raw data'!AF216)),IF(SIGN('Raw data'!AE216-'Raw data'!AF216)=SIGN('Real results'!C216-'Real results'!D216),3+IF(AND('Raw data'!AE216='Real results'!C216,'Raw data'!AF216='Real results'!D216),2,0),0),0),0)</f>
        <v>0</v>
      </c>
      <c r="AG223" s="29">
        <f>IFERROR(IF(AND(ISNUMBER('Real results'!C216),ISNUMBER('Real results'!D216),ISNUMBER('Raw data'!AG216),ISNUMBER('Raw data'!AH216)),IF(SIGN('Raw data'!AG216-'Raw data'!AH216)=SIGN('Real results'!C216-'Real results'!D216),3+IF(AND('Raw data'!AG216='Real results'!C216,'Raw data'!AH216='Real results'!D216),2,0),0),0),0)</f>
        <v>0</v>
      </c>
      <c r="AI223" s="29">
        <f>IFERROR(IF(AND(ISNUMBER('Real results'!C216),ISNUMBER('Real results'!D216),ISNUMBER('Raw data'!AI216),ISNUMBER('Raw data'!AJ216)),IF(SIGN('Raw data'!AI216-'Raw data'!AJ216)=SIGN('Real results'!C216-'Real results'!D216),3+IF(AND('Raw data'!AI216='Real results'!C216,'Raw data'!AJ216='Real results'!D216),2,0),0),0),0)</f>
        <v>0</v>
      </c>
      <c r="AK223" s="29">
        <f>IFERROR(IF(AND(ISNUMBER('Real results'!C216),ISNUMBER('Real results'!D216),ISNUMBER('Raw data'!AK216),ISNUMBER('Raw data'!AL216)),IF(SIGN('Raw data'!AK216-'Raw data'!AL216)=SIGN('Real results'!C216-'Real results'!D216),3+IF(AND('Raw data'!AK216='Real results'!C216,'Raw data'!AL216='Real results'!D216),2,0),0),0),0)</f>
        <v>0</v>
      </c>
      <c r="AM223" s="29">
        <f>IFERROR(IF(AND(ISNUMBER('Real results'!C216),ISNUMBER('Real results'!D216),ISNUMBER('Raw data'!AM216),ISNUMBER('Raw data'!AN216)),IF(SIGN('Raw data'!AM216-'Raw data'!AN216)=SIGN('Real results'!C216-'Real results'!D216),3+IF(AND('Raw data'!AM216='Real results'!C216,'Raw data'!AN216='Real results'!D216),2,0),0),0),0)</f>
        <v>0</v>
      </c>
      <c r="AO223" s="29">
        <f>IFERROR(IF(AND(ISNUMBER('Real results'!C216),ISNUMBER('Real results'!D216),ISNUMBER('Raw data'!AO216),ISNUMBER('Raw data'!AP216)),IF(SIGN('Raw data'!AO216-'Raw data'!AP216)=SIGN('Real results'!C216-'Real results'!D216),3+IF(AND('Raw data'!AO216='Real results'!C216,'Raw data'!AP216='Real results'!D216),2,0),0),0),0)</f>
        <v>0</v>
      </c>
      <c r="AQ223" s="29">
        <f>IFERROR(IF(AND(ISNUMBER('Real results'!C216),ISNUMBER('Real results'!D216),ISNUMBER('Raw data'!AQ216),ISNUMBER('Raw data'!AR216)),IF(SIGN('Raw data'!AQ216-'Raw data'!AR216)=SIGN('Real results'!C216-'Real results'!D216),3+IF(AND('Raw data'!AQ216='Real results'!C216,'Raw data'!AR216='Real results'!D216),2,0),0),0),0)</f>
        <v>0</v>
      </c>
      <c r="AS223" s="29">
        <f>IFERROR(IF(AND(ISNUMBER('Real results'!C216),ISNUMBER('Real results'!D216),ISNUMBER('Raw data'!AS216),ISNUMBER('Raw data'!AT216)),IF(SIGN('Raw data'!AS216-'Raw data'!AT216)=SIGN('Real results'!C216-'Real results'!D216),3+IF(AND('Raw data'!AS216='Real results'!C216,'Raw data'!AT216='Real results'!D216),2,0),0),0),0)</f>
        <v>0</v>
      </c>
      <c r="AU223" s="29">
        <f>IFERROR(IF(AND(ISNUMBER('Real results'!C216),ISNUMBER('Real results'!D216),ISNUMBER('Raw data'!AU216),ISNUMBER('Raw data'!AV216)),IF(SIGN('Raw data'!AU216-'Raw data'!AV216)=SIGN('Real results'!C216-'Real results'!D216),3+IF(AND('Raw data'!AU216='Real results'!C216,'Raw data'!AV216='Real results'!D216),2,0),0),0),0)</f>
        <v>0</v>
      </c>
      <c r="AW223" s="29">
        <f>IFERROR(IF(AND(ISNUMBER('Real results'!C216),ISNUMBER('Real results'!D216),ISNUMBER('Raw data'!AW216),ISNUMBER('Raw data'!AX216)),IF(SIGN('Raw data'!AW216-'Raw data'!AX216)=SIGN('Real results'!C216-'Real results'!D216),3+IF(AND('Raw data'!AW216='Real results'!C216,'Raw data'!AX216='Real results'!D216),2,0),0),0),0)</f>
        <v>0</v>
      </c>
      <c r="AY223" s="29">
        <f>IFERROR(IF(AND(ISNUMBER('Real results'!C216),ISNUMBER('Real results'!D216),ISNUMBER('Raw data'!AY216),ISNUMBER('Raw data'!AZ216)),IF(SIGN('Raw data'!AY216-'Raw data'!AZ216)=SIGN('Real results'!C216-'Real results'!D216),3+IF(AND('Raw data'!AY216='Real results'!C216,'Raw data'!AZ216='Real results'!D216),2,0),0),0),0)</f>
        <v>0</v>
      </c>
      <c r="BA223" s="29">
        <f>IFERROR(IF(AND(ISNUMBER('Real results'!C216),ISNUMBER('Real results'!D216),ISNUMBER('Raw data'!BA216),ISNUMBER('Raw data'!BB216)),IF(SIGN('Raw data'!BA216-'Raw data'!BB216)=SIGN('Real results'!C216-'Real results'!D216),3+IF(AND('Raw data'!BA216='Real results'!C216,'Raw data'!BB216='Real results'!D216),2,0),0),0),0)</f>
        <v>0</v>
      </c>
      <c r="BC223" s="29">
        <f>IFERROR(IF(AND(ISNUMBER('Real results'!C216),ISNUMBER('Real results'!D216),ISNUMBER('Raw data'!BC216),ISNUMBER('Raw data'!BD216)),IF(SIGN('Raw data'!BC216-'Raw data'!BD216)=SIGN('Real results'!C216-'Real results'!D216),3+IF(AND('Raw data'!BC216='Real results'!C216,'Raw data'!BD216='Real results'!D216),2,0),0),0),0)</f>
        <v>0</v>
      </c>
      <c r="BE223" s="29">
        <f>IFERROR(IF(AND(ISNUMBER('Real results'!C216),ISNUMBER('Real results'!D216),ISNUMBER('Raw data'!BE216),ISNUMBER('Raw data'!BF216)),IF(SIGN('Raw data'!BE216-'Raw data'!BF216)=SIGN('Real results'!C216-'Real results'!D216),3+IF(AND('Raw data'!BE216='Real results'!C216,'Raw data'!BF216='Real results'!D216),2,0),0),0),0)</f>
        <v>0</v>
      </c>
      <c r="BG223" s="29">
        <f>IFERROR(IF(AND(ISNUMBER('Real results'!C216),ISNUMBER('Real results'!D216),ISNUMBER('Raw data'!BG216),ISNUMBER('Raw data'!BH216)),IF(SIGN('Raw data'!BG216-'Raw data'!BH216)=SIGN('Real results'!C216-'Real results'!D216),3+IF(AND('Raw data'!BG216='Real results'!C216,'Raw data'!BH216='Real results'!D216),2,0),0),0),0)</f>
        <v>0</v>
      </c>
      <c r="BI223" s="29">
        <f>IFERROR(IF(AND(ISNUMBER('Real results'!C216),ISNUMBER('Real results'!D216),ISNUMBER('Raw data'!BI216),ISNUMBER('Raw data'!BJ216)),IF(SIGN('Raw data'!BI216-'Raw data'!BJ216)=SIGN('Real results'!C216-'Real results'!D216),3+IF(AND('Raw data'!BI216='Real results'!C216,'Raw data'!BJ216='Real results'!D216),2,0),0),0),0)</f>
        <v>0</v>
      </c>
    </row>
    <row r="224" ht="18.0" customHeight="1">
      <c r="A224" s="1"/>
      <c r="B224" s="13" t="s">
        <v>505</v>
      </c>
      <c r="C224" s="29">
        <f>IFERROR(IF(AND('Real results'!C217&lt;&gt;"",'Raw data'!C217&lt;&gt;"",UPPER(TRIM('Real results'!C217))=UPPER(TRIM('Raw data'!C217))),1,0),0)</f>
        <v>0</v>
      </c>
      <c r="E224" s="29">
        <f>IFERROR(IF(AND('Real results'!C217&lt;&gt;"",'Raw data'!E217&lt;&gt;"",UPPER(TRIM('Real results'!C217))=UPPER(TRIM('Raw data'!E217))),1,0),0)</f>
        <v>0</v>
      </c>
      <c r="G224" s="29">
        <f>IFERROR(IF(AND('Real results'!C217&lt;&gt;"",'Raw data'!G217&lt;&gt;"",UPPER(TRIM('Real results'!C217))=UPPER(TRIM('Raw data'!G217))),1,0),0)</f>
        <v>0</v>
      </c>
      <c r="I224" s="29">
        <f>IFERROR(IF(AND('Real results'!C217&lt;&gt;"",'Raw data'!I217&lt;&gt;"",UPPER(TRIM('Real results'!C217))=UPPER(TRIM('Raw data'!I217))),1,0),0)</f>
        <v>0</v>
      </c>
      <c r="K224" s="29">
        <f>IFERROR(IF(AND('Real results'!C217&lt;&gt;"",'Raw data'!K217&lt;&gt;"",UPPER(TRIM('Real results'!C217))=UPPER(TRIM('Raw data'!K217))),1,0),0)</f>
        <v>0</v>
      </c>
      <c r="M224" s="29">
        <f>IFERROR(IF(AND('Real results'!C217&lt;&gt;"",'Raw data'!M217&lt;&gt;"",UPPER(TRIM('Real results'!C217))=UPPER(TRIM('Raw data'!M217))),1,0),0)</f>
        <v>0</v>
      </c>
      <c r="O224" s="29">
        <f>IFERROR(IF(AND('Real results'!C217&lt;&gt;"",'Raw data'!O217&lt;&gt;"",UPPER(TRIM('Real results'!C217))=UPPER(TRIM('Raw data'!O217))),1,0),0)</f>
        <v>0</v>
      </c>
      <c r="Q224" s="29">
        <f>IFERROR(IF(AND('Real results'!C217&lt;&gt;"",'Raw data'!Q217&lt;&gt;"",UPPER(TRIM('Real results'!C217))=UPPER(TRIM('Raw data'!Q217))),1,0),0)</f>
        <v>0</v>
      </c>
      <c r="S224" s="29">
        <f>IFERROR(IF(AND('Real results'!C217&lt;&gt;"",'Raw data'!S217&lt;&gt;"",UPPER(TRIM('Real results'!C217))=UPPER(TRIM('Raw data'!S217))),1,0),0)</f>
        <v>0</v>
      </c>
      <c r="U224" s="29">
        <f>IFERROR(IF(AND('Real results'!C217&lt;&gt;"",'Raw data'!U217&lt;&gt;"",UPPER(TRIM('Real results'!C217))=UPPER(TRIM('Raw data'!U217))),1,0),0)</f>
        <v>0</v>
      </c>
      <c r="W224" s="29">
        <f>IFERROR(IF(AND('Real results'!C217&lt;&gt;"",'Raw data'!W217&lt;&gt;"",UPPER(TRIM('Real results'!C217))=UPPER(TRIM('Raw data'!W217))),1,0),0)</f>
        <v>0</v>
      </c>
      <c r="Y224" s="29">
        <f>IFERROR(IF(AND('Real results'!C217&lt;&gt;"",'Raw data'!Y217&lt;&gt;"",UPPER(TRIM('Real results'!C217))=UPPER(TRIM('Raw data'!Y217))),1,0),0)</f>
        <v>0</v>
      </c>
      <c r="AA224" s="29">
        <f>IFERROR(IF(AND('Real results'!C217&lt;&gt;"",'Raw data'!AA217&lt;&gt;"",UPPER(TRIM('Real results'!C217))=UPPER(TRIM('Raw data'!AA217))),1,0),0)</f>
        <v>0</v>
      </c>
      <c r="AC224" s="29">
        <f>IFERROR(IF(AND('Real results'!C217&lt;&gt;"",'Raw data'!AC217&lt;&gt;"",UPPER(TRIM('Real results'!C217))=UPPER(TRIM('Raw data'!AC217))),1,0),0)</f>
        <v>0</v>
      </c>
      <c r="AE224" s="29">
        <f>IFERROR(IF(AND('Real results'!C217&lt;&gt;"",'Raw data'!AE217&lt;&gt;"",UPPER(TRIM('Real results'!C217))=UPPER(TRIM('Raw data'!AE217))),1,0),0)</f>
        <v>0</v>
      </c>
      <c r="AG224" s="29">
        <f>IFERROR(IF(AND('Real results'!C217&lt;&gt;"",'Raw data'!AG217&lt;&gt;"",UPPER(TRIM('Real results'!C217))=UPPER(TRIM('Raw data'!AG217))),1,0),0)</f>
        <v>0</v>
      </c>
      <c r="AI224" s="29">
        <f>IFERROR(IF(AND('Real results'!C217&lt;&gt;"",'Raw data'!AI217&lt;&gt;"",UPPER(TRIM('Real results'!C217))=UPPER(TRIM('Raw data'!AI217))),1,0),0)</f>
        <v>0</v>
      </c>
      <c r="AK224" s="29">
        <f>IFERROR(IF(AND('Real results'!C217&lt;&gt;"",'Raw data'!AK217&lt;&gt;"",UPPER(TRIM('Real results'!C217))=UPPER(TRIM('Raw data'!AK217))),1,0),0)</f>
        <v>0</v>
      </c>
      <c r="AM224" s="29">
        <f>IFERROR(IF(AND('Real results'!C217&lt;&gt;"",'Raw data'!AM217&lt;&gt;"",UPPER(TRIM('Real results'!C217))=UPPER(TRIM('Raw data'!AM217))),1,0),0)</f>
        <v>0</v>
      </c>
      <c r="AO224" s="29">
        <f>IFERROR(IF(AND('Real results'!C217&lt;&gt;"",'Raw data'!AO217&lt;&gt;"",UPPER(TRIM('Real results'!C217))=UPPER(TRIM('Raw data'!AO217))),1,0),0)</f>
        <v>0</v>
      </c>
      <c r="AQ224" s="29">
        <f>IFERROR(IF(AND('Real results'!C217&lt;&gt;"",'Raw data'!AQ217&lt;&gt;"",UPPER(TRIM('Real results'!C217))=UPPER(TRIM('Raw data'!AQ217))),1,0),0)</f>
        <v>0</v>
      </c>
      <c r="AS224" s="29">
        <f>IFERROR(IF(AND('Real results'!C217&lt;&gt;"",'Raw data'!AS217&lt;&gt;"",UPPER(TRIM('Real results'!C217))=UPPER(TRIM('Raw data'!AS217))),1,0),0)</f>
        <v>0</v>
      </c>
      <c r="AU224" s="29">
        <f>IFERROR(IF(AND('Real results'!C217&lt;&gt;"",'Raw data'!AU217&lt;&gt;"",UPPER(TRIM('Real results'!C217))=UPPER(TRIM('Raw data'!AU217))),1,0),0)</f>
        <v>0</v>
      </c>
      <c r="AW224" s="29">
        <f>IFERROR(IF(AND('Real results'!C217&lt;&gt;"",'Raw data'!AW217&lt;&gt;"",UPPER(TRIM('Real results'!C217))=UPPER(TRIM('Raw data'!AW217))),1,0),0)</f>
        <v>0</v>
      </c>
      <c r="AY224" s="29">
        <f>IFERROR(IF(AND('Real results'!C217&lt;&gt;"",'Raw data'!AY217&lt;&gt;"",UPPER(TRIM('Real results'!C217))=UPPER(TRIM('Raw data'!AY217))),1,0),0)</f>
        <v>0</v>
      </c>
      <c r="BA224" s="29">
        <f>IFERROR(IF(AND('Real results'!C217&lt;&gt;"",'Raw data'!BA217&lt;&gt;"",UPPER(TRIM('Real results'!C217))=UPPER(TRIM('Raw data'!BA217))),1,0),0)</f>
        <v>0</v>
      </c>
      <c r="BC224" s="29">
        <f>IFERROR(IF(AND('Real results'!C217&lt;&gt;"",'Raw data'!BC217&lt;&gt;"",UPPER(TRIM('Real results'!C217))=UPPER(TRIM('Raw data'!BC217))),1,0),0)</f>
        <v>0</v>
      </c>
      <c r="BE224" s="29">
        <f>IFERROR(IF(AND('Real results'!C217&lt;&gt;"",'Raw data'!BE217&lt;&gt;"",UPPER(TRIM('Real results'!C217))=UPPER(TRIM('Raw data'!BE217))),1,0),0)</f>
        <v>0</v>
      </c>
      <c r="BG224" s="29">
        <f>IFERROR(IF(AND('Real results'!C217&lt;&gt;"",'Raw data'!BG217&lt;&gt;"",UPPER(TRIM('Real results'!C217))=UPPER(TRIM('Raw data'!BG217))),1,0),0)</f>
        <v>0</v>
      </c>
      <c r="BI224" s="29">
        <f>IFERROR(IF(AND('Real results'!C217&lt;&gt;"",'Raw data'!BI217&lt;&gt;"",UPPER(TRIM('Real results'!C217))=UPPER(TRIM('Raw data'!BI217))),1,0),0)</f>
        <v>0</v>
      </c>
    </row>
    <row r="225" ht="18.0" customHeight="1">
      <c r="A225" s="1"/>
      <c r="B225" s="13" t="s">
        <v>506</v>
      </c>
      <c r="C225" s="29">
        <f>IFERROR(IF(AND('Real results'!C218&lt;&gt;"",'Raw data'!C218&lt;&gt;"",UPPER(TRIM('Real results'!C218))=UPPER(TRIM('Raw data'!C218))),6,0),0)</f>
        <v>0</v>
      </c>
      <c r="E225" s="29">
        <f>IFERROR(IF(AND('Real results'!C218&lt;&gt;"",'Raw data'!E218&lt;&gt;"",UPPER(TRIM('Real results'!C218))=UPPER(TRIM('Raw data'!E218))),6,0),0)</f>
        <v>0</v>
      </c>
      <c r="G225" s="29">
        <f>IFERROR(IF(AND('Real results'!C218&lt;&gt;"",'Raw data'!G218&lt;&gt;"",UPPER(TRIM('Real results'!C218))=UPPER(TRIM('Raw data'!G218))),6,0),0)</f>
        <v>0</v>
      </c>
      <c r="I225" s="29">
        <f>IFERROR(IF(AND('Real results'!C218&lt;&gt;"",'Raw data'!I218&lt;&gt;"",UPPER(TRIM('Real results'!C218))=UPPER(TRIM('Raw data'!I218))),6,0),0)</f>
        <v>0</v>
      </c>
      <c r="K225" s="29">
        <f>IFERROR(IF(AND('Real results'!C218&lt;&gt;"",'Raw data'!K218&lt;&gt;"",UPPER(TRIM('Real results'!C218))=UPPER(TRIM('Raw data'!K218))),6,0),0)</f>
        <v>0</v>
      </c>
      <c r="M225" s="29">
        <f>IFERROR(IF(AND('Real results'!C218&lt;&gt;"",'Raw data'!M218&lt;&gt;"",UPPER(TRIM('Real results'!C218))=UPPER(TRIM('Raw data'!M218))),6,0),0)</f>
        <v>0</v>
      </c>
      <c r="O225" s="29">
        <f>IFERROR(IF(AND('Real results'!C218&lt;&gt;"",'Raw data'!O218&lt;&gt;"",UPPER(TRIM('Real results'!C218))=UPPER(TRIM('Raw data'!O218))),6,0),0)</f>
        <v>0</v>
      </c>
      <c r="Q225" s="29">
        <f>IFERROR(IF(AND('Real results'!C218&lt;&gt;"",'Raw data'!Q218&lt;&gt;"",UPPER(TRIM('Real results'!C218))=UPPER(TRIM('Raw data'!Q218))),6,0),0)</f>
        <v>0</v>
      </c>
      <c r="S225" s="29">
        <f>IFERROR(IF(AND('Real results'!C218&lt;&gt;"",'Raw data'!S218&lt;&gt;"",UPPER(TRIM('Real results'!C218))=UPPER(TRIM('Raw data'!S218))),6,0),0)</f>
        <v>0</v>
      </c>
      <c r="U225" s="29">
        <f>IFERROR(IF(AND('Real results'!C218&lt;&gt;"",'Raw data'!U218&lt;&gt;"",UPPER(TRIM('Real results'!C218))=UPPER(TRIM('Raw data'!U218))),6,0),0)</f>
        <v>0</v>
      </c>
      <c r="W225" s="29">
        <f>IFERROR(IF(AND('Real results'!C218&lt;&gt;"",'Raw data'!W218&lt;&gt;"",UPPER(TRIM('Real results'!C218))=UPPER(TRIM('Raw data'!W218))),6,0),0)</f>
        <v>0</v>
      </c>
      <c r="Y225" s="29">
        <f>IFERROR(IF(AND('Real results'!C218&lt;&gt;"",'Raw data'!Y218&lt;&gt;"",UPPER(TRIM('Real results'!C218))=UPPER(TRIM('Raw data'!Y218))),6,0),0)</f>
        <v>0</v>
      </c>
      <c r="AA225" s="29">
        <f>IFERROR(IF(AND('Real results'!C218&lt;&gt;"",'Raw data'!AA218&lt;&gt;"",UPPER(TRIM('Real results'!C218))=UPPER(TRIM('Raw data'!AA218))),6,0),0)</f>
        <v>0</v>
      </c>
      <c r="AC225" s="29">
        <f>IFERROR(IF(AND('Real results'!C218&lt;&gt;"",'Raw data'!AC218&lt;&gt;"",UPPER(TRIM('Real results'!C218))=UPPER(TRIM('Raw data'!AC218))),6,0),0)</f>
        <v>0</v>
      </c>
      <c r="AE225" s="29">
        <f>IFERROR(IF(AND('Real results'!C218&lt;&gt;"",'Raw data'!AE218&lt;&gt;"",UPPER(TRIM('Real results'!C218))=UPPER(TRIM('Raw data'!AE218))),6,0),0)</f>
        <v>0</v>
      </c>
      <c r="AG225" s="29">
        <f>IFERROR(IF(AND('Real results'!C218&lt;&gt;"",'Raw data'!AG218&lt;&gt;"",UPPER(TRIM('Real results'!C218))=UPPER(TRIM('Raw data'!AG218))),6,0),0)</f>
        <v>0</v>
      </c>
      <c r="AI225" s="29">
        <f>IFERROR(IF(AND('Real results'!C218&lt;&gt;"",'Raw data'!AI218&lt;&gt;"",UPPER(TRIM('Real results'!C218))=UPPER(TRIM('Raw data'!AI218))),6,0),0)</f>
        <v>0</v>
      </c>
      <c r="AK225" s="29">
        <f>IFERROR(IF(AND('Real results'!C218&lt;&gt;"",'Raw data'!AK218&lt;&gt;"",UPPER(TRIM('Real results'!C218))=UPPER(TRIM('Raw data'!AK218))),6,0),0)</f>
        <v>0</v>
      </c>
      <c r="AM225" s="29">
        <f>IFERROR(IF(AND('Real results'!C218&lt;&gt;"",'Raw data'!AM218&lt;&gt;"",UPPER(TRIM('Real results'!C218))=UPPER(TRIM('Raw data'!AM218))),6,0),0)</f>
        <v>0</v>
      </c>
      <c r="AO225" s="29">
        <f>IFERROR(IF(AND('Real results'!C218&lt;&gt;"",'Raw data'!AO218&lt;&gt;"",UPPER(TRIM('Real results'!C218))=UPPER(TRIM('Raw data'!AO218))),6,0),0)</f>
        <v>0</v>
      </c>
      <c r="AQ225" s="29">
        <f>IFERROR(IF(AND('Real results'!C218&lt;&gt;"",'Raw data'!AQ218&lt;&gt;"",UPPER(TRIM('Real results'!C218))=UPPER(TRIM('Raw data'!AQ218))),6,0),0)</f>
        <v>0</v>
      </c>
      <c r="AS225" s="29">
        <f>IFERROR(IF(AND('Real results'!C218&lt;&gt;"",'Raw data'!AS218&lt;&gt;"",UPPER(TRIM('Real results'!C218))=UPPER(TRIM('Raw data'!AS218))),6,0),0)</f>
        <v>0</v>
      </c>
      <c r="AU225" s="29">
        <f>IFERROR(IF(AND('Real results'!C218&lt;&gt;"",'Raw data'!AU218&lt;&gt;"",UPPER(TRIM('Real results'!C218))=UPPER(TRIM('Raw data'!AU218))),6,0),0)</f>
        <v>0</v>
      </c>
      <c r="AW225" s="29">
        <f>IFERROR(IF(AND('Real results'!C218&lt;&gt;"",'Raw data'!AW218&lt;&gt;"",UPPER(TRIM('Real results'!C218))=UPPER(TRIM('Raw data'!AW218))),6,0),0)</f>
        <v>0</v>
      </c>
      <c r="AY225" s="29">
        <f>IFERROR(IF(AND('Real results'!C218&lt;&gt;"",'Raw data'!AY218&lt;&gt;"",UPPER(TRIM('Real results'!C218))=UPPER(TRIM('Raw data'!AY218))),6,0),0)</f>
        <v>0</v>
      </c>
      <c r="BA225" s="29">
        <f>IFERROR(IF(AND('Real results'!C218&lt;&gt;"",'Raw data'!BA218&lt;&gt;"",UPPER(TRIM('Real results'!C218))=UPPER(TRIM('Raw data'!BA218))),6,0),0)</f>
        <v>0</v>
      </c>
      <c r="BC225" s="29">
        <f>IFERROR(IF(AND('Real results'!C218&lt;&gt;"",'Raw data'!BC218&lt;&gt;"",UPPER(TRIM('Real results'!C218))=UPPER(TRIM('Raw data'!BC218))),6,0),0)</f>
        <v>0</v>
      </c>
      <c r="BE225" s="29">
        <f>IFERROR(IF(AND('Real results'!C218&lt;&gt;"",'Raw data'!BE218&lt;&gt;"",UPPER(TRIM('Real results'!C218))=UPPER(TRIM('Raw data'!BE218))),6,0),0)</f>
        <v>0</v>
      </c>
      <c r="BG225" s="29">
        <f>IFERROR(IF(AND('Real results'!C218&lt;&gt;"",'Raw data'!BG218&lt;&gt;"",UPPER(TRIM('Real results'!C218))=UPPER(TRIM('Raw data'!BG218))),6,0),0)</f>
        <v>0</v>
      </c>
      <c r="BI225" s="29">
        <f>IFERROR(IF(AND('Real results'!C218&lt;&gt;"",'Raw data'!BI218&lt;&gt;"",UPPER(TRIM('Real results'!C218))=UPPER(TRIM('Raw data'!BI218))),6,0),0)</f>
        <v>0</v>
      </c>
    </row>
    <row r="226" ht="21.75" customHeight="1">
      <c r="A226" s="1"/>
      <c r="B226" s="30" t="s">
        <v>507</v>
      </c>
      <c r="C226" s="31">
        <f>SUM(C220:C225)</f>
        <v>0</v>
      </c>
      <c r="E226" s="31">
        <f>SUM(E220:E225)</f>
        <v>0</v>
      </c>
      <c r="G226" s="31">
        <f>SUM(G220:G225)</f>
        <v>0</v>
      </c>
      <c r="I226" s="31">
        <f>SUM(I220:I225)</f>
        <v>0</v>
      </c>
      <c r="K226" s="31">
        <f>SUM(K220:K225)</f>
        <v>0</v>
      </c>
      <c r="M226" s="31">
        <f>SUM(M220:M225)</f>
        <v>0</v>
      </c>
      <c r="O226" s="31">
        <f>SUM(O220:O225)</f>
        <v>0</v>
      </c>
      <c r="Q226" s="31">
        <f>SUM(Q220:Q225)</f>
        <v>0</v>
      </c>
      <c r="S226" s="31">
        <f>SUM(S220:S225)</f>
        <v>0</v>
      </c>
      <c r="U226" s="31">
        <f>SUM(U220:U225)</f>
        <v>0</v>
      </c>
      <c r="W226" s="31">
        <f>SUM(W220:W225)</f>
        <v>0</v>
      </c>
      <c r="Y226" s="31">
        <f>SUM(Y220:Y225)</f>
        <v>0</v>
      </c>
      <c r="AA226" s="31">
        <f>SUM(AA220:AA225)</f>
        <v>0</v>
      </c>
      <c r="AC226" s="31">
        <f>SUM(AC220:AC225)</f>
        <v>0</v>
      </c>
      <c r="AE226" s="31">
        <f>SUM(AE220:AE225)</f>
        <v>0</v>
      </c>
      <c r="AG226" s="31">
        <f>SUM(AG220:AG225)</f>
        <v>0</v>
      </c>
      <c r="AI226" s="31">
        <f>SUM(AI220:AI225)</f>
        <v>0</v>
      </c>
      <c r="AK226" s="31">
        <f>SUM(AK220:AK225)</f>
        <v>0</v>
      </c>
      <c r="AM226" s="31">
        <f>SUM(AM220:AM225)</f>
        <v>0</v>
      </c>
      <c r="AO226" s="31">
        <f>SUM(AO220:AO225)</f>
        <v>0</v>
      </c>
      <c r="AQ226" s="31">
        <f>SUM(AQ220:AQ225)</f>
        <v>0</v>
      </c>
      <c r="AS226" s="31">
        <f>SUM(AS220:AS225)</f>
        <v>0</v>
      </c>
      <c r="AU226" s="31">
        <f>SUM(AU220:AU225)</f>
        <v>0</v>
      </c>
      <c r="AW226" s="31">
        <f>SUM(AW220:AW225)</f>
        <v>0</v>
      </c>
      <c r="AY226" s="31">
        <f>SUM(AY220:AY225)</f>
        <v>0</v>
      </c>
      <c r="BA226" s="31">
        <f>SUM(BA220:BA225)</f>
        <v>0</v>
      </c>
      <c r="BC226" s="31">
        <f>SUM(BC220:BC225)</f>
        <v>0</v>
      </c>
      <c r="BE226" s="31">
        <f>SUM(BE220:BE225)</f>
        <v>0</v>
      </c>
      <c r="BG226" s="31">
        <f>SUM(BG220:BG225)</f>
        <v>0</v>
      </c>
      <c r="BI226" s="31">
        <f>SUM(BI220:BI225)</f>
        <v>0</v>
      </c>
    </row>
    <row r="227" ht="19.5" customHeight="1">
      <c r="A227" s="1"/>
      <c r="B227" s="28" t="s">
        <v>508</v>
      </c>
      <c r="C227" s="12"/>
      <c r="E227" s="12"/>
      <c r="G227" s="12"/>
      <c r="I227" s="12"/>
      <c r="K227" s="12"/>
      <c r="M227" s="12"/>
      <c r="O227" s="12"/>
      <c r="Q227" s="12"/>
      <c r="S227" s="12"/>
      <c r="U227" s="12"/>
      <c r="W227" s="12"/>
      <c r="Y227" s="12"/>
      <c r="AA227" s="12"/>
      <c r="AC227" s="12"/>
      <c r="AE227" s="12"/>
      <c r="AG227" s="12"/>
      <c r="AI227" s="12"/>
      <c r="AK227" s="12"/>
      <c r="AM227" s="12"/>
      <c r="AO227" s="12"/>
      <c r="AQ227" s="12"/>
      <c r="AS227" s="12"/>
      <c r="AU227" s="12"/>
      <c r="AW227" s="12"/>
      <c r="AY227" s="12"/>
      <c r="BA227" s="12"/>
      <c r="BC227" s="12"/>
      <c r="BE227" s="12"/>
      <c r="BG227" s="12"/>
      <c r="BI227" s="12"/>
    </row>
    <row r="228" ht="18.0" customHeight="1">
      <c r="A228" s="1"/>
      <c r="B228" s="13" t="s">
        <v>240</v>
      </c>
      <c r="C228" s="29">
        <f>IFERROR(IF(AND(ISNUMBER('Real results'!C220),ISNUMBER('Real results'!D220),ISNUMBER('Raw data'!C220),ISNUMBER('Raw data'!D220)),IF(SIGN('Raw data'!C220-'Raw data'!D220)=SIGN('Real results'!C220-'Real results'!D220),3+IF(AND('Raw data'!C220='Real results'!C220,'Raw data'!D220='Real results'!D220),2,0),0),0),0)</f>
        <v>0</v>
      </c>
      <c r="E228" s="29">
        <f>IFERROR(IF(AND(ISNUMBER('Real results'!C220),ISNUMBER('Real results'!D220),ISNUMBER('Raw data'!E220),ISNUMBER('Raw data'!F220)),IF(SIGN('Raw data'!E220-'Raw data'!F220)=SIGN('Real results'!C220-'Real results'!D220),3+IF(AND('Raw data'!E220='Real results'!C220,'Raw data'!F220='Real results'!D220),2,0),0),0),0)</f>
        <v>0</v>
      </c>
      <c r="G228" s="29">
        <f>IFERROR(IF(AND(ISNUMBER('Real results'!C220),ISNUMBER('Real results'!D220),ISNUMBER('Raw data'!G220),ISNUMBER('Raw data'!H220)),IF(SIGN('Raw data'!G220-'Raw data'!H220)=SIGN('Real results'!C220-'Real results'!D220),3+IF(AND('Raw data'!G220='Real results'!C220,'Raw data'!H220='Real results'!D220),2,0),0),0),0)</f>
        <v>0</v>
      </c>
      <c r="I228" s="29">
        <f>IFERROR(IF(AND(ISNUMBER('Real results'!C220),ISNUMBER('Real results'!D220),ISNUMBER('Raw data'!I220),ISNUMBER('Raw data'!J220)),IF(SIGN('Raw data'!I220-'Raw data'!J220)=SIGN('Real results'!C220-'Real results'!D220),3+IF(AND('Raw data'!I220='Real results'!C220,'Raw data'!J220='Real results'!D220),2,0),0),0),0)</f>
        <v>0</v>
      </c>
      <c r="K228" s="29">
        <f>IFERROR(IF(AND(ISNUMBER('Real results'!C220),ISNUMBER('Real results'!D220),ISNUMBER('Raw data'!K220),ISNUMBER('Raw data'!L220)),IF(SIGN('Raw data'!K220-'Raw data'!L220)=SIGN('Real results'!C220-'Real results'!D220),3+IF(AND('Raw data'!K220='Real results'!C220,'Raw data'!L220='Real results'!D220),2,0),0),0),0)</f>
        <v>0</v>
      </c>
      <c r="M228" s="29">
        <f>IFERROR(IF(AND(ISNUMBER('Real results'!C220),ISNUMBER('Real results'!D220),ISNUMBER('Raw data'!M220),ISNUMBER('Raw data'!N220)),IF(SIGN('Raw data'!M220-'Raw data'!N220)=SIGN('Real results'!C220-'Real results'!D220),3+IF(AND('Raw data'!M220='Real results'!C220,'Raw data'!N220='Real results'!D220),2,0),0),0),0)</f>
        <v>0</v>
      </c>
      <c r="O228" s="29">
        <f>IFERROR(IF(AND(ISNUMBER('Real results'!C220),ISNUMBER('Real results'!D220),ISNUMBER('Raw data'!O220),ISNUMBER('Raw data'!P220)),IF(SIGN('Raw data'!O220-'Raw data'!P220)=SIGN('Real results'!C220-'Real results'!D220),3+IF(AND('Raw data'!O220='Real results'!C220,'Raw data'!P220='Real results'!D220),2,0),0),0),0)</f>
        <v>0</v>
      </c>
      <c r="Q228" s="29">
        <f>IFERROR(IF(AND(ISNUMBER('Real results'!C220),ISNUMBER('Real results'!D220),ISNUMBER('Raw data'!Q220),ISNUMBER('Raw data'!R220)),IF(SIGN('Raw data'!Q220-'Raw data'!R220)=SIGN('Real results'!C220-'Real results'!D220),3+IF(AND('Raw data'!Q220='Real results'!C220,'Raw data'!R220='Real results'!D220),2,0),0),0),0)</f>
        <v>0</v>
      </c>
      <c r="S228" s="29">
        <f>IFERROR(IF(AND(ISNUMBER('Real results'!C220),ISNUMBER('Real results'!D220),ISNUMBER('Raw data'!S220),ISNUMBER('Raw data'!T220)),IF(SIGN('Raw data'!S220-'Raw data'!T220)=SIGN('Real results'!C220-'Real results'!D220),3+IF(AND('Raw data'!S220='Real results'!C220,'Raw data'!T220='Real results'!D220),2,0),0),0),0)</f>
        <v>0</v>
      </c>
      <c r="U228" s="29">
        <f>IFERROR(IF(AND(ISNUMBER('Real results'!C220),ISNUMBER('Real results'!D220),ISNUMBER('Raw data'!U220),ISNUMBER('Raw data'!V220)),IF(SIGN('Raw data'!U220-'Raw data'!V220)=SIGN('Real results'!C220-'Real results'!D220),3+IF(AND('Raw data'!U220='Real results'!C220,'Raw data'!V220='Real results'!D220),2,0),0),0),0)</f>
        <v>0</v>
      </c>
      <c r="W228" s="29">
        <f>IFERROR(IF(AND(ISNUMBER('Real results'!C220),ISNUMBER('Real results'!D220),ISNUMBER('Raw data'!W220),ISNUMBER('Raw data'!X220)),IF(SIGN('Raw data'!W220-'Raw data'!X220)=SIGN('Real results'!C220-'Real results'!D220),3+IF(AND('Raw data'!W220='Real results'!C220,'Raw data'!X220='Real results'!D220),2,0),0),0),0)</f>
        <v>0</v>
      </c>
      <c r="Y228" s="29">
        <f>IFERROR(IF(AND(ISNUMBER('Real results'!C220),ISNUMBER('Real results'!D220),ISNUMBER('Raw data'!Y220),ISNUMBER('Raw data'!Z220)),IF(SIGN('Raw data'!Y220-'Raw data'!Z220)=SIGN('Real results'!C220-'Real results'!D220),3+IF(AND('Raw data'!Y220='Real results'!C220,'Raw data'!Z220='Real results'!D220),2,0),0),0),0)</f>
        <v>0</v>
      </c>
      <c r="AA228" s="29">
        <f>IFERROR(IF(AND(ISNUMBER('Real results'!C220),ISNUMBER('Real results'!D220),ISNUMBER('Raw data'!AA220),ISNUMBER('Raw data'!AB220)),IF(SIGN('Raw data'!AA220-'Raw data'!AB220)=SIGN('Real results'!C220-'Real results'!D220),3+IF(AND('Raw data'!AA220='Real results'!C220,'Raw data'!AB220='Real results'!D220),2,0),0),0),0)</f>
        <v>0</v>
      </c>
      <c r="AC228" s="29">
        <f>IFERROR(IF(AND(ISNUMBER('Real results'!C220),ISNUMBER('Real results'!D220),ISNUMBER('Raw data'!AC220),ISNUMBER('Raw data'!AD220)),IF(SIGN('Raw data'!AC220-'Raw data'!AD220)=SIGN('Real results'!C220-'Real results'!D220),3+IF(AND('Raw data'!AC220='Real results'!C220,'Raw data'!AD220='Real results'!D220),2,0),0),0),0)</f>
        <v>0</v>
      </c>
      <c r="AE228" s="29">
        <f>IFERROR(IF(AND(ISNUMBER('Real results'!C220),ISNUMBER('Real results'!D220),ISNUMBER('Raw data'!AE220),ISNUMBER('Raw data'!AF220)),IF(SIGN('Raw data'!AE220-'Raw data'!AF220)=SIGN('Real results'!C220-'Real results'!D220),3+IF(AND('Raw data'!AE220='Real results'!C220,'Raw data'!AF220='Real results'!D220),2,0),0),0),0)</f>
        <v>0</v>
      </c>
      <c r="AG228" s="29">
        <f>IFERROR(IF(AND(ISNUMBER('Real results'!C220),ISNUMBER('Real results'!D220),ISNUMBER('Raw data'!AG220),ISNUMBER('Raw data'!AH220)),IF(SIGN('Raw data'!AG220-'Raw data'!AH220)=SIGN('Real results'!C220-'Real results'!D220),3+IF(AND('Raw data'!AG220='Real results'!C220,'Raw data'!AH220='Real results'!D220),2,0),0),0),0)</f>
        <v>0</v>
      </c>
      <c r="AI228" s="29">
        <f>IFERROR(IF(AND(ISNUMBER('Real results'!C220),ISNUMBER('Real results'!D220),ISNUMBER('Raw data'!AI220),ISNUMBER('Raw data'!AJ220)),IF(SIGN('Raw data'!AI220-'Raw data'!AJ220)=SIGN('Real results'!C220-'Real results'!D220),3+IF(AND('Raw data'!AI220='Real results'!C220,'Raw data'!AJ220='Real results'!D220),2,0),0),0),0)</f>
        <v>0</v>
      </c>
      <c r="AK228" s="29">
        <f>IFERROR(IF(AND(ISNUMBER('Real results'!C220),ISNUMBER('Real results'!D220),ISNUMBER('Raw data'!AK220),ISNUMBER('Raw data'!AL220)),IF(SIGN('Raw data'!AK220-'Raw data'!AL220)=SIGN('Real results'!C220-'Real results'!D220),3+IF(AND('Raw data'!AK220='Real results'!C220,'Raw data'!AL220='Real results'!D220),2,0),0),0),0)</f>
        <v>0</v>
      </c>
      <c r="AM228" s="29">
        <f>IFERROR(IF(AND(ISNUMBER('Real results'!C220),ISNUMBER('Real results'!D220),ISNUMBER('Raw data'!AM220),ISNUMBER('Raw data'!AN220)),IF(SIGN('Raw data'!AM220-'Raw data'!AN220)=SIGN('Real results'!C220-'Real results'!D220),3+IF(AND('Raw data'!AM220='Real results'!C220,'Raw data'!AN220='Real results'!D220),2,0),0),0),0)</f>
        <v>0</v>
      </c>
      <c r="AO228" s="29">
        <f>IFERROR(IF(AND(ISNUMBER('Real results'!C220),ISNUMBER('Real results'!D220),ISNUMBER('Raw data'!AO220),ISNUMBER('Raw data'!AP220)),IF(SIGN('Raw data'!AO220-'Raw data'!AP220)=SIGN('Real results'!C220-'Real results'!D220),3+IF(AND('Raw data'!AO220='Real results'!C220,'Raw data'!AP220='Real results'!D220),2,0),0),0),0)</f>
        <v>0</v>
      </c>
      <c r="AQ228" s="29">
        <f>IFERROR(IF(AND(ISNUMBER('Real results'!C220),ISNUMBER('Real results'!D220),ISNUMBER('Raw data'!AQ220),ISNUMBER('Raw data'!AR220)),IF(SIGN('Raw data'!AQ220-'Raw data'!AR220)=SIGN('Real results'!C220-'Real results'!D220),3+IF(AND('Raw data'!AQ220='Real results'!C220,'Raw data'!AR220='Real results'!D220),2,0),0),0),0)</f>
        <v>0</v>
      </c>
      <c r="AS228" s="29">
        <f>IFERROR(IF(AND(ISNUMBER('Real results'!C220),ISNUMBER('Real results'!D220),ISNUMBER('Raw data'!AS220),ISNUMBER('Raw data'!AT220)),IF(SIGN('Raw data'!AS220-'Raw data'!AT220)=SIGN('Real results'!C220-'Real results'!D220),3+IF(AND('Raw data'!AS220='Real results'!C220,'Raw data'!AT220='Real results'!D220),2,0),0),0),0)</f>
        <v>0</v>
      </c>
      <c r="AU228" s="29">
        <f>IFERROR(IF(AND(ISNUMBER('Real results'!C220),ISNUMBER('Real results'!D220),ISNUMBER('Raw data'!AU220),ISNUMBER('Raw data'!AV220)),IF(SIGN('Raw data'!AU220-'Raw data'!AV220)=SIGN('Real results'!C220-'Real results'!D220),3+IF(AND('Raw data'!AU220='Real results'!C220,'Raw data'!AV220='Real results'!D220),2,0),0),0),0)</f>
        <v>0</v>
      </c>
      <c r="AW228" s="29">
        <f>IFERROR(IF(AND(ISNUMBER('Real results'!C220),ISNUMBER('Real results'!D220),ISNUMBER('Raw data'!AW220),ISNUMBER('Raw data'!AX220)),IF(SIGN('Raw data'!AW220-'Raw data'!AX220)=SIGN('Real results'!C220-'Real results'!D220),3+IF(AND('Raw data'!AW220='Real results'!C220,'Raw data'!AX220='Real results'!D220),2,0),0),0),0)</f>
        <v>0</v>
      </c>
      <c r="AY228" s="29">
        <f>IFERROR(IF(AND(ISNUMBER('Real results'!C220),ISNUMBER('Real results'!D220),ISNUMBER('Raw data'!AY220),ISNUMBER('Raw data'!AZ220)),IF(SIGN('Raw data'!AY220-'Raw data'!AZ220)=SIGN('Real results'!C220-'Real results'!D220),3+IF(AND('Raw data'!AY220='Real results'!C220,'Raw data'!AZ220='Real results'!D220),2,0),0),0),0)</f>
        <v>0</v>
      </c>
      <c r="BA228" s="29">
        <f>IFERROR(IF(AND(ISNUMBER('Real results'!C220),ISNUMBER('Real results'!D220),ISNUMBER('Raw data'!BA220),ISNUMBER('Raw data'!BB220)),IF(SIGN('Raw data'!BA220-'Raw data'!BB220)=SIGN('Real results'!C220-'Real results'!D220),3+IF(AND('Raw data'!BA220='Real results'!C220,'Raw data'!BB220='Real results'!D220),2,0),0),0),0)</f>
        <v>0</v>
      </c>
      <c r="BC228" s="29">
        <f>IFERROR(IF(AND(ISNUMBER('Real results'!C220),ISNUMBER('Real results'!D220),ISNUMBER('Raw data'!BC220),ISNUMBER('Raw data'!BD220)),IF(SIGN('Raw data'!BC220-'Raw data'!BD220)=SIGN('Real results'!C220-'Real results'!D220),3+IF(AND('Raw data'!BC220='Real results'!C220,'Raw data'!BD220='Real results'!D220),2,0),0),0),0)</f>
        <v>0</v>
      </c>
      <c r="BE228" s="29">
        <f>IFERROR(IF(AND(ISNUMBER('Real results'!C220),ISNUMBER('Real results'!D220),ISNUMBER('Raw data'!BE220),ISNUMBER('Raw data'!BF220)),IF(SIGN('Raw data'!BE220-'Raw data'!BF220)=SIGN('Real results'!C220-'Real results'!D220),3+IF(AND('Raw data'!BE220='Real results'!C220,'Raw data'!BF220='Real results'!D220),2,0),0),0),0)</f>
        <v>0</v>
      </c>
      <c r="BG228" s="29">
        <f>IFERROR(IF(AND(ISNUMBER('Real results'!C220),ISNUMBER('Real results'!D220),ISNUMBER('Raw data'!BG220),ISNUMBER('Raw data'!BH220)),IF(SIGN('Raw data'!BG220-'Raw data'!BH220)=SIGN('Real results'!C220-'Real results'!D220),3+IF(AND('Raw data'!BG220='Real results'!C220,'Raw data'!BH220='Real results'!D220),2,0),0),0),0)</f>
        <v>0</v>
      </c>
      <c r="BI228" s="29">
        <f>IFERROR(IF(AND(ISNUMBER('Real results'!C220),ISNUMBER('Real results'!D220),ISNUMBER('Raw data'!BI220),ISNUMBER('Raw data'!BJ220)),IF(SIGN('Raw data'!BI220-'Raw data'!BJ220)=SIGN('Real results'!C220-'Real results'!D220),3+IF(AND('Raw data'!BI220='Real results'!C220,'Raw data'!BJ220='Real results'!D220),2,0),0),0),0)</f>
        <v>0</v>
      </c>
    </row>
    <row r="229" ht="18.0" customHeight="1">
      <c r="A229" s="1"/>
      <c r="B229" s="13" t="s">
        <v>241</v>
      </c>
      <c r="C229" s="29">
        <f>IFERROR(IF(AND('Real results'!C221&lt;&gt;"",'Raw data'!C221&lt;&gt;"",UPPER(TRIM('Real results'!C221))=UPPER(TRIM('Raw data'!C221))),1,0),0)</f>
        <v>0</v>
      </c>
      <c r="E229" s="29">
        <f>IFERROR(IF(AND('Real results'!C221&lt;&gt;"",'Raw data'!E221&lt;&gt;"",UPPER(TRIM('Real results'!C221))=UPPER(TRIM('Raw data'!E221))),1,0),0)</f>
        <v>0</v>
      </c>
      <c r="G229" s="29">
        <f>IFERROR(IF(AND('Real results'!C221&lt;&gt;"",'Raw data'!G221&lt;&gt;"",UPPER(TRIM('Real results'!C221))=UPPER(TRIM('Raw data'!G221))),1,0),0)</f>
        <v>0</v>
      </c>
      <c r="I229" s="29">
        <f>IFERROR(IF(AND('Real results'!C221&lt;&gt;"",'Raw data'!I221&lt;&gt;"",UPPER(TRIM('Real results'!C221))=UPPER(TRIM('Raw data'!I221))),1,0),0)</f>
        <v>0</v>
      </c>
      <c r="K229" s="29">
        <f>IFERROR(IF(AND('Real results'!C221&lt;&gt;"",'Raw data'!K221&lt;&gt;"",UPPER(TRIM('Real results'!C221))=UPPER(TRIM('Raw data'!K221))),1,0),0)</f>
        <v>0</v>
      </c>
      <c r="M229" s="29">
        <f>IFERROR(IF(AND('Real results'!C221&lt;&gt;"",'Raw data'!M221&lt;&gt;"",UPPER(TRIM('Real results'!C221))=UPPER(TRIM('Raw data'!M221))),1,0),0)</f>
        <v>0</v>
      </c>
      <c r="O229" s="29">
        <f>IFERROR(IF(AND('Real results'!C221&lt;&gt;"",'Raw data'!O221&lt;&gt;"",UPPER(TRIM('Real results'!C221))=UPPER(TRIM('Raw data'!O221))),1,0),0)</f>
        <v>0</v>
      </c>
      <c r="Q229" s="29">
        <f>IFERROR(IF(AND('Real results'!C221&lt;&gt;"",'Raw data'!Q221&lt;&gt;"",UPPER(TRIM('Real results'!C221))=UPPER(TRIM('Raw data'!Q221))),1,0),0)</f>
        <v>0</v>
      </c>
      <c r="S229" s="29">
        <f>IFERROR(IF(AND('Real results'!C221&lt;&gt;"",'Raw data'!S221&lt;&gt;"",UPPER(TRIM('Real results'!C221))=UPPER(TRIM('Raw data'!S221))),1,0),0)</f>
        <v>0</v>
      </c>
      <c r="U229" s="29">
        <f>IFERROR(IF(AND('Real results'!C221&lt;&gt;"",'Raw data'!U221&lt;&gt;"",UPPER(TRIM('Real results'!C221))=UPPER(TRIM('Raw data'!U221))),1,0),0)</f>
        <v>0</v>
      </c>
      <c r="W229" s="29">
        <f>IFERROR(IF(AND('Real results'!C221&lt;&gt;"",'Raw data'!W221&lt;&gt;"",UPPER(TRIM('Real results'!C221))=UPPER(TRIM('Raw data'!W221))),1,0),0)</f>
        <v>0</v>
      </c>
      <c r="Y229" s="29">
        <f>IFERROR(IF(AND('Real results'!C221&lt;&gt;"",'Raw data'!Y221&lt;&gt;"",UPPER(TRIM('Real results'!C221))=UPPER(TRIM('Raw data'!Y221))),1,0),0)</f>
        <v>0</v>
      </c>
      <c r="AA229" s="29">
        <f>IFERROR(IF(AND('Real results'!C221&lt;&gt;"",'Raw data'!AA221&lt;&gt;"",UPPER(TRIM('Real results'!C221))=UPPER(TRIM('Raw data'!AA221))),1,0),0)</f>
        <v>0</v>
      </c>
      <c r="AC229" s="29">
        <f>IFERROR(IF(AND('Real results'!C221&lt;&gt;"",'Raw data'!AC221&lt;&gt;"",UPPER(TRIM('Real results'!C221))=UPPER(TRIM('Raw data'!AC221))),1,0),0)</f>
        <v>0</v>
      </c>
      <c r="AE229" s="29">
        <f>IFERROR(IF(AND('Real results'!C221&lt;&gt;"",'Raw data'!AE221&lt;&gt;"",UPPER(TRIM('Real results'!C221))=UPPER(TRIM('Raw data'!AE221))),1,0),0)</f>
        <v>0</v>
      </c>
      <c r="AG229" s="29">
        <f>IFERROR(IF(AND('Real results'!C221&lt;&gt;"",'Raw data'!AG221&lt;&gt;"",UPPER(TRIM('Real results'!C221))=UPPER(TRIM('Raw data'!AG221))),1,0),0)</f>
        <v>0</v>
      </c>
      <c r="AI229" s="29">
        <f>IFERROR(IF(AND('Real results'!C221&lt;&gt;"",'Raw data'!AI221&lt;&gt;"",UPPER(TRIM('Real results'!C221))=UPPER(TRIM('Raw data'!AI221))),1,0),0)</f>
        <v>0</v>
      </c>
      <c r="AK229" s="29">
        <f>IFERROR(IF(AND('Real results'!C221&lt;&gt;"",'Raw data'!AK221&lt;&gt;"",UPPER(TRIM('Real results'!C221))=UPPER(TRIM('Raw data'!AK221))),1,0),0)</f>
        <v>0</v>
      </c>
      <c r="AM229" s="29">
        <f>IFERROR(IF(AND('Real results'!C221&lt;&gt;"",'Raw data'!AM221&lt;&gt;"",UPPER(TRIM('Real results'!C221))=UPPER(TRIM('Raw data'!AM221))),1,0),0)</f>
        <v>0</v>
      </c>
      <c r="AO229" s="29">
        <f>IFERROR(IF(AND('Real results'!C221&lt;&gt;"",'Raw data'!AO221&lt;&gt;"",UPPER(TRIM('Real results'!C221))=UPPER(TRIM('Raw data'!AO221))),1,0),0)</f>
        <v>0</v>
      </c>
      <c r="AQ229" s="29">
        <f>IFERROR(IF(AND('Real results'!C221&lt;&gt;"",'Raw data'!AQ221&lt;&gt;"",UPPER(TRIM('Real results'!C221))=UPPER(TRIM('Raw data'!AQ221))),1,0),0)</f>
        <v>0</v>
      </c>
      <c r="AS229" s="29">
        <f>IFERROR(IF(AND('Real results'!C221&lt;&gt;"",'Raw data'!AS221&lt;&gt;"",UPPER(TRIM('Real results'!C221))=UPPER(TRIM('Raw data'!AS221))),1,0),0)</f>
        <v>0</v>
      </c>
      <c r="AU229" s="29">
        <f>IFERROR(IF(AND('Real results'!C221&lt;&gt;"",'Raw data'!AU221&lt;&gt;"",UPPER(TRIM('Real results'!C221))=UPPER(TRIM('Raw data'!AU221))),1,0),0)</f>
        <v>0</v>
      </c>
      <c r="AW229" s="29">
        <f>IFERROR(IF(AND('Real results'!C221&lt;&gt;"",'Raw data'!AW221&lt;&gt;"",UPPER(TRIM('Real results'!C221))=UPPER(TRIM('Raw data'!AW221))),1,0),0)</f>
        <v>0</v>
      </c>
      <c r="AY229" s="29">
        <f>IFERROR(IF(AND('Real results'!C221&lt;&gt;"",'Raw data'!AY221&lt;&gt;"",UPPER(TRIM('Real results'!C221))=UPPER(TRIM('Raw data'!AY221))),1,0),0)</f>
        <v>0</v>
      </c>
      <c r="BA229" s="29">
        <f>IFERROR(IF(AND('Real results'!C221&lt;&gt;"",'Raw data'!BA221&lt;&gt;"",UPPER(TRIM('Real results'!C221))=UPPER(TRIM('Raw data'!BA221))),1,0),0)</f>
        <v>0</v>
      </c>
      <c r="BC229" s="29">
        <f>IFERROR(IF(AND('Real results'!C221&lt;&gt;"",'Raw data'!BC221&lt;&gt;"",UPPER(TRIM('Real results'!C221))=UPPER(TRIM('Raw data'!BC221))),1,0),0)</f>
        <v>0</v>
      </c>
      <c r="BE229" s="29">
        <f>IFERROR(IF(AND('Real results'!C221&lt;&gt;"",'Raw data'!BE221&lt;&gt;"",UPPER(TRIM('Real results'!C221))=UPPER(TRIM('Raw data'!BE221))),1,0),0)</f>
        <v>0</v>
      </c>
      <c r="BG229" s="29">
        <f>IFERROR(IF(AND('Real results'!C221&lt;&gt;"",'Raw data'!BG221&lt;&gt;"",UPPER(TRIM('Real results'!C221))=UPPER(TRIM('Raw data'!BG221))),1,0),0)</f>
        <v>0</v>
      </c>
      <c r="BI229" s="29">
        <f>IFERROR(IF(AND('Real results'!C221&lt;&gt;"",'Raw data'!BI221&lt;&gt;"",UPPER(TRIM('Real results'!C221))=UPPER(TRIM('Raw data'!BI221))),1,0),0)</f>
        <v>0</v>
      </c>
    </row>
    <row r="230" ht="18.0" customHeight="1">
      <c r="A230" s="1"/>
      <c r="B230" s="13" t="s">
        <v>242</v>
      </c>
      <c r="C230" s="29">
        <f>IFERROR(IF(AND('Real results'!C222&lt;&gt;"",'Raw data'!C222&lt;&gt;"",UPPER(TRIM('Real results'!C222))=UPPER(TRIM('Raw data'!C222))),4,0),0)</f>
        <v>0</v>
      </c>
      <c r="E230" s="29">
        <f>IFERROR(IF(AND('Real results'!C222&lt;&gt;"",'Raw data'!E222&lt;&gt;"",UPPER(TRIM('Real results'!C222))=UPPER(TRIM('Raw data'!E222))),4,0),0)</f>
        <v>0</v>
      </c>
      <c r="G230" s="29">
        <f>IFERROR(IF(AND('Real results'!C222&lt;&gt;"",'Raw data'!G222&lt;&gt;"",UPPER(TRIM('Real results'!C222))=UPPER(TRIM('Raw data'!G222))),4,0),0)</f>
        <v>0</v>
      </c>
      <c r="I230" s="29">
        <f>IFERROR(IF(AND('Real results'!C222&lt;&gt;"",'Raw data'!I222&lt;&gt;"",UPPER(TRIM('Real results'!C222))=UPPER(TRIM('Raw data'!I222))),4,0),0)</f>
        <v>0</v>
      </c>
      <c r="K230" s="29">
        <f>IFERROR(IF(AND('Real results'!C222&lt;&gt;"",'Raw data'!K222&lt;&gt;"",UPPER(TRIM('Real results'!C222))=UPPER(TRIM('Raw data'!K222))),4,0),0)</f>
        <v>0</v>
      </c>
      <c r="M230" s="29">
        <f>IFERROR(IF(AND('Real results'!C222&lt;&gt;"",'Raw data'!M222&lt;&gt;"",UPPER(TRIM('Real results'!C222))=UPPER(TRIM('Raw data'!M222))),4,0),0)</f>
        <v>0</v>
      </c>
      <c r="O230" s="29">
        <f>IFERROR(IF(AND('Real results'!C222&lt;&gt;"",'Raw data'!O222&lt;&gt;"",UPPER(TRIM('Real results'!C222))=UPPER(TRIM('Raw data'!O222))),4,0),0)</f>
        <v>0</v>
      </c>
      <c r="Q230" s="29">
        <f>IFERROR(IF(AND('Real results'!C222&lt;&gt;"",'Raw data'!Q222&lt;&gt;"",UPPER(TRIM('Real results'!C222))=UPPER(TRIM('Raw data'!Q222))),4,0),0)</f>
        <v>0</v>
      </c>
      <c r="S230" s="29">
        <f>IFERROR(IF(AND('Real results'!C222&lt;&gt;"",'Raw data'!S222&lt;&gt;"",UPPER(TRIM('Real results'!C222))=UPPER(TRIM('Raw data'!S222))),4,0),0)</f>
        <v>0</v>
      </c>
      <c r="U230" s="29">
        <f>IFERROR(IF(AND('Real results'!C222&lt;&gt;"",'Raw data'!U222&lt;&gt;"",UPPER(TRIM('Real results'!C222))=UPPER(TRIM('Raw data'!U222))),4,0),0)</f>
        <v>0</v>
      </c>
      <c r="W230" s="29">
        <f>IFERROR(IF(AND('Real results'!C222&lt;&gt;"",'Raw data'!W222&lt;&gt;"",UPPER(TRIM('Real results'!C222))=UPPER(TRIM('Raw data'!W222))),4,0),0)</f>
        <v>0</v>
      </c>
      <c r="Y230" s="29">
        <f>IFERROR(IF(AND('Real results'!C222&lt;&gt;"",'Raw data'!Y222&lt;&gt;"",UPPER(TRIM('Real results'!C222))=UPPER(TRIM('Raw data'!Y222))),4,0),0)</f>
        <v>0</v>
      </c>
      <c r="AA230" s="29">
        <f>IFERROR(IF(AND('Real results'!C222&lt;&gt;"",'Raw data'!AA222&lt;&gt;"",UPPER(TRIM('Real results'!C222))=UPPER(TRIM('Raw data'!AA222))),4,0),0)</f>
        <v>0</v>
      </c>
      <c r="AC230" s="29">
        <f>IFERROR(IF(AND('Real results'!C222&lt;&gt;"",'Raw data'!AC222&lt;&gt;"",UPPER(TRIM('Real results'!C222))=UPPER(TRIM('Raw data'!AC222))),4,0),0)</f>
        <v>0</v>
      </c>
      <c r="AE230" s="29">
        <f>IFERROR(IF(AND('Real results'!C222&lt;&gt;"",'Raw data'!AE222&lt;&gt;"",UPPER(TRIM('Real results'!C222))=UPPER(TRIM('Raw data'!AE222))),4,0),0)</f>
        <v>0</v>
      </c>
      <c r="AG230" s="29">
        <f>IFERROR(IF(AND('Real results'!C222&lt;&gt;"",'Raw data'!AG222&lt;&gt;"",UPPER(TRIM('Real results'!C222))=UPPER(TRIM('Raw data'!AG222))),4,0),0)</f>
        <v>0</v>
      </c>
      <c r="AI230" s="29">
        <f>IFERROR(IF(AND('Real results'!C222&lt;&gt;"",'Raw data'!AI222&lt;&gt;"",UPPER(TRIM('Real results'!C222))=UPPER(TRIM('Raw data'!AI222))),4,0),0)</f>
        <v>0</v>
      </c>
      <c r="AK230" s="29">
        <f>IFERROR(IF(AND('Real results'!C222&lt;&gt;"",'Raw data'!AK222&lt;&gt;"",UPPER(TRIM('Real results'!C222))=UPPER(TRIM('Raw data'!AK222))),4,0),0)</f>
        <v>0</v>
      </c>
      <c r="AM230" s="29">
        <f>IFERROR(IF(AND('Real results'!C222&lt;&gt;"",'Raw data'!AM222&lt;&gt;"",UPPER(TRIM('Real results'!C222))=UPPER(TRIM('Raw data'!AM222))),4,0),0)</f>
        <v>0</v>
      </c>
      <c r="AO230" s="29">
        <f>IFERROR(IF(AND('Real results'!C222&lt;&gt;"",'Raw data'!AO222&lt;&gt;"",UPPER(TRIM('Real results'!C222))=UPPER(TRIM('Raw data'!AO222))),4,0),0)</f>
        <v>0</v>
      </c>
      <c r="AQ230" s="29">
        <f>IFERROR(IF(AND('Real results'!C222&lt;&gt;"",'Raw data'!AQ222&lt;&gt;"",UPPER(TRIM('Real results'!C222))=UPPER(TRIM('Raw data'!AQ222))),4,0),0)</f>
        <v>0</v>
      </c>
      <c r="AS230" s="29">
        <f>IFERROR(IF(AND('Real results'!C222&lt;&gt;"",'Raw data'!AS222&lt;&gt;"",UPPER(TRIM('Real results'!C222))=UPPER(TRIM('Raw data'!AS222))),4,0),0)</f>
        <v>0</v>
      </c>
      <c r="AU230" s="29">
        <f>IFERROR(IF(AND('Real results'!C222&lt;&gt;"",'Raw data'!AU222&lt;&gt;"",UPPER(TRIM('Real results'!C222))=UPPER(TRIM('Raw data'!AU222))),4,0),0)</f>
        <v>0</v>
      </c>
      <c r="AW230" s="29">
        <f>IFERROR(IF(AND('Real results'!C222&lt;&gt;"",'Raw data'!AW222&lt;&gt;"",UPPER(TRIM('Real results'!C222))=UPPER(TRIM('Raw data'!AW222))),4,0),0)</f>
        <v>0</v>
      </c>
      <c r="AY230" s="29">
        <f>IFERROR(IF(AND('Real results'!C222&lt;&gt;"",'Raw data'!AY222&lt;&gt;"",UPPER(TRIM('Real results'!C222))=UPPER(TRIM('Raw data'!AY222))),4,0),0)</f>
        <v>0</v>
      </c>
      <c r="BA230" s="29">
        <f>IFERROR(IF(AND('Real results'!C222&lt;&gt;"",'Raw data'!BA222&lt;&gt;"",UPPER(TRIM('Real results'!C222))=UPPER(TRIM('Raw data'!BA222))),4,0),0)</f>
        <v>0</v>
      </c>
      <c r="BC230" s="29">
        <f>IFERROR(IF(AND('Real results'!C222&lt;&gt;"",'Raw data'!BC222&lt;&gt;"",UPPER(TRIM('Real results'!C222))=UPPER(TRIM('Raw data'!BC222))),4,0),0)</f>
        <v>0</v>
      </c>
      <c r="BE230" s="29">
        <f>IFERROR(IF(AND('Real results'!C222&lt;&gt;"",'Raw data'!BE222&lt;&gt;"",UPPER(TRIM('Real results'!C222))=UPPER(TRIM('Raw data'!BE222))),4,0),0)</f>
        <v>0</v>
      </c>
      <c r="BG230" s="29">
        <f>IFERROR(IF(AND('Real results'!C222&lt;&gt;"",'Raw data'!BG222&lt;&gt;"",UPPER(TRIM('Real results'!C222))=UPPER(TRIM('Raw data'!BG222))),4,0),0)</f>
        <v>0</v>
      </c>
      <c r="BI230" s="29">
        <f>IFERROR(IF(AND('Real results'!C222&lt;&gt;"",'Raw data'!BI222&lt;&gt;"",UPPER(TRIM('Real results'!C222))=UPPER(TRIM('Raw data'!BI222))),4,0),0)</f>
        <v>0</v>
      </c>
    </row>
    <row r="231" ht="18.0" customHeight="1">
      <c r="A231" s="1"/>
      <c r="B231" s="13" t="s">
        <v>243</v>
      </c>
      <c r="C231" s="29">
        <f>IFERROR(IF(AND(ISNUMBER('Real results'!C223),ISNUMBER('Real results'!D223),ISNUMBER('Raw data'!C223),ISNUMBER('Raw data'!D223)),IF(SIGN('Raw data'!C223-'Raw data'!D223)=SIGN('Real results'!C223-'Real results'!D223),3+IF(AND('Raw data'!C223='Real results'!C223,'Raw data'!D223='Real results'!D223),2,0),0),0),0)</f>
        <v>0</v>
      </c>
      <c r="E231" s="29">
        <f>IFERROR(IF(AND(ISNUMBER('Real results'!C223),ISNUMBER('Real results'!D223),ISNUMBER('Raw data'!E223),ISNUMBER('Raw data'!F223)),IF(SIGN('Raw data'!E223-'Raw data'!F223)=SIGN('Real results'!C223-'Real results'!D223),3+IF(AND('Raw data'!E223='Real results'!C223,'Raw data'!F223='Real results'!D223),2,0),0),0),0)</f>
        <v>0</v>
      </c>
      <c r="G231" s="29">
        <f>IFERROR(IF(AND(ISNUMBER('Real results'!C223),ISNUMBER('Real results'!D223),ISNUMBER('Raw data'!G223),ISNUMBER('Raw data'!H223)),IF(SIGN('Raw data'!G223-'Raw data'!H223)=SIGN('Real results'!C223-'Real results'!D223),3+IF(AND('Raw data'!G223='Real results'!C223,'Raw data'!H223='Real results'!D223),2,0),0),0),0)</f>
        <v>0</v>
      </c>
      <c r="I231" s="29">
        <f>IFERROR(IF(AND(ISNUMBER('Real results'!C223),ISNUMBER('Real results'!D223),ISNUMBER('Raw data'!I223),ISNUMBER('Raw data'!J223)),IF(SIGN('Raw data'!I223-'Raw data'!J223)=SIGN('Real results'!C223-'Real results'!D223),3+IF(AND('Raw data'!I223='Real results'!C223,'Raw data'!J223='Real results'!D223),2,0),0),0),0)</f>
        <v>0</v>
      </c>
      <c r="K231" s="29">
        <f>IFERROR(IF(AND(ISNUMBER('Real results'!C223),ISNUMBER('Real results'!D223),ISNUMBER('Raw data'!K223),ISNUMBER('Raw data'!L223)),IF(SIGN('Raw data'!K223-'Raw data'!L223)=SIGN('Real results'!C223-'Real results'!D223),3+IF(AND('Raw data'!K223='Real results'!C223,'Raw data'!L223='Real results'!D223),2,0),0),0),0)</f>
        <v>0</v>
      </c>
      <c r="M231" s="29">
        <f>IFERROR(IF(AND(ISNUMBER('Real results'!C223),ISNUMBER('Real results'!D223),ISNUMBER('Raw data'!M223),ISNUMBER('Raw data'!N223)),IF(SIGN('Raw data'!M223-'Raw data'!N223)=SIGN('Real results'!C223-'Real results'!D223),3+IF(AND('Raw data'!M223='Real results'!C223,'Raw data'!N223='Real results'!D223),2,0),0),0),0)</f>
        <v>0</v>
      </c>
      <c r="O231" s="29">
        <f>IFERROR(IF(AND(ISNUMBER('Real results'!C223),ISNUMBER('Real results'!D223),ISNUMBER('Raw data'!O223),ISNUMBER('Raw data'!P223)),IF(SIGN('Raw data'!O223-'Raw data'!P223)=SIGN('Real results'!C223-'Real results'!D223),3+IF(AND('Raw data'!O223='Real results'!C223,'Raw data'!P223='Real results'!D223),2,0),0),0),0)</f>
        <v>0</v>
      </c>
      <c r="Q231" s="29">
        <f>IFERROR(IF(AND(ISNUMBER('Real results'!C223),ISNUMBER('Real results'!D223),ISNUMBER('Raw data'!Q223),ISNUMBER('Raw data'!R223)),IF(SIGN('Raw data'!Q223-'Raw data'!R223)=SIGN('Real results'!C223-'Real results'!D223),3+IF(AND('Raw data'!Q223='Real results'!C223,'Raw data'!R223='Real results'!D223),2,0),0),0),0)</f>
        <v>0</v>
      </c>
      <c r="S231" s="29">
        <f>IFERROR(IF(AND(ISNUMBER('Real results'!C223),ISNUMBER('Real results'!D223),ISNUMBER('Raw data'!S223),ISNUMBER('Raw data'!T223)),IF(SIGN('Raw data'!S223-'Raw data'!T223)=SIGN('Real results'!C223-'Real results'!D223),3+IF(AND('Raw data'!S223='Real results'!C223,'Raw data'!T223='Real results'!D223),2,0),0),0),0)</f>
        <v>0</v>
      </c>
      <c r="U231" s="29">
        <f>IFERROR(IF(AND(ISNUMBER('Real results'!C223),ISNUMBER('Real results'!D223),ISNUMBER('Raw data'!U223),ISNUMBER('Raw data'!V223)),IF(SIGN('Raw data'!U223-'Raw data'!V223)=SIGN('Real results'!C223-'Real results'!D223),3+IF(AND('Raw data'!U223='Real results'!C223,'Raw data'!V223='Real results'!D223),2,0),0),0),0)</f>
        <v>0</v>
      </c>
      <c r="W231" s="29">
        <f>IFERROR(IF(AND(ISNUMBER('Real results'!C223),ISNUMBER('Real results'!D223),ISNUMBER('Raw data'!W223),ISNUMBER('Raw data'!X223)),IF(SIGN('Raw data'!W223-'Raw data'!X223)=SIGN('Real results'!C223-'Real results'!D223),3+IF(AND('Raw data'!W223='Real results'!C223,'Raw data'!X223='Real results'!D223),2,0),0),0),0)</f>
        <v>0</v>
      </c>
      <c r="Y231" s="29">
        <f>IFERROR(IF(AND(ISNUMBER('Real results'!C223),ISNUMBER('Real results'!D223),ISNUMBER('Raw data'!Y223),ISNUMBER('Raw data'!Z223)),IF(SIGN('Raw data'!Y223-'Raw data'!Z223)=SIGN('Real results'!C223-'Real results'!D223),3+IF(AND('Raw data'!Y223='Real results'!C223,'Raw data'!Z223='Real results'!D223),2,0),0),0),0)</f>
        <v>0</v>
      </c>
      <c r="AA231" s="29">
        <f>IFERROR(IF(AND(ISNUMBER('Real results'!C223),ISNUMBER('Real results'!D223),ISNUMBER('Raw data'!AA223),ISNUMBER('Raw data'!AB223)),IF(SIGN('Raw data'!AA223-'Raw data'!AB223)=SIGN('Real results'!C223-'Real results'!D223),3+IF(AND('Raw data'!AA223='Real results'!C223,'Raw data'!AB223='Real results'!D223),2,0),0),0),0)</f>
        <v>0</v>
      </c>
      <c r="AC231" s="29">
        <f>IFERROR(IF(AND(ISNUMBER('Real results'!C223),ISNUMBER('Real results'!D223),ISNUMBER('Raw data'!AC223),ISNUMBER('Raw data'!AD223)),IF(SIGN('Raw data'!AC223-'Raw data'!AD223)=SIGN('Real results'!C223-'Real results'!D223),3+IF(AND('Raw data'!AC223='Real results'!C223,'Raw data'!AD223='Real results'!D223),2,0),0),0),0)</f>
        <v>0</v>
      </c>
      <c r="AE231" s="29">
        <f>IFERROR(IF(AND(ISNUMBER('Real results'!C223),ISNUMBER('Real results'!D223),ISNUMBER('Raw data'!AE223),ISNUMBER('Raw data'!AF223)),IF(SIGN('Raw data'!AE223-'Raw data'!AF223)=SIGN('Real results'!C223-'Real results'!D223),3+IF(AND('Raw data'!AE223='Real results'!C223,'Raw data'!AF223='Real results'!D223),2,0),0),0),0)</f>
        <v>0</v>
      </c>
      <c r="AG231" s="29">
        <f>IFERROR(IF(AND(ISNUMBER('Real results'!C223),ISNUMBER('Real results'!D223),ISNUMBER('Raw data'!AG223),ISNUMBER('Raw data'!AH223)),IF(SIGN('Raw data'!AG223-'Raw data'!AH223)=SIGN('Real results'!C223-'Real results'!D223),3+IF(AND('Raw data'!AG223='Real results'!C223,'Raw data'!AH223='Real results'!D223),2,0),0),0),0)</f>
        <v>0</v>
      </c>
      <c r="AI231" s="29">
        <f>IFERROR(IF(AND(ISNUMBER('Real results'!C223),ISNUMBER('Real results'!D223),ISNUMBER('Raw data'!AI223),ISNUMBER('Raw data'!AJ223)),IF(SIGN('Raw data'!AI223-'Raw data'!AJ223)=SIGN('Real results'!C223-'Real results'!D223),3+IF(AND('Raw data'!AI223='Real results'!C223,'Raw data'!AJ223='Real results'!D223),2,0),0),0),0)</f>
        <v>0</v>
      </c>
      <c r="AK231" s="29">
        <f>IFERROR(IF(AND(ISNUMBER('Real results'!C223),ISNUMBER('Real results'!D223),ISNUMBER('Raw data'!AK223),ISNUMBER('Raw data'!AL223)),IF(SIGN('Raw data'!AK223-'Raw data'!AL223)=SIGN('Real results'!C223-'Real results'!D223),3+IF(AND('Raw data'!AK223='Real results'!C223,'Raw data'!AL223='Real results'!D223),2,0),0),0),0)</f>
        <v>0</v>
      </c>
      <c r="AM231" s="29">
        <f>IFERROR(IF(AND(ISNUMBER('Real results'!C223),ISNUMBER('Real results'!D223),ISNUMBER('Raw data'!AM223),ISNUMBER('Raw data'!AN223)),IF(SIGN('Raw data'!AM223-'Raw data'!AN223)=SIGN('Real results'!C223-'Real results'!D223),3+IF(AND('Raw data'!AM223='Real results'!C223,'Raw data'!AN223='Real results'!D223),2,0),0),0),0)</f>
        <v>0</v>
      </c>
      <c r="AO231" s="29">
        <f>IFERROR(IF(AND(ISNUMBER('Real results'!C223),ISNUMBER('Real results'!D223),ISNUMBER('Raw data'!AO223),ISNUMBER('Raw data'!AP223)),IF(SIGN('Raw data'!AO223-'Raw data'!AP223)=SIGN('Real results'!C223-'Real results'!D223),3+IF(AND('Raw data'!AO223='Real results'!C223,'Raw data'!AP223='Real results'!D223),2,0),0),0),0)</f>
        <v>0</v>
      </c>
      <c r="AQ231" s="29">
        <f>IFERROR(IF(AND(ISNUMBER('Real results'!C223),ISNUMBER('Real results'!D223),ISNUMBER('Raw data'!AQ223),ISNUMBER('Raw data'!AR223)),IF(SIGN('Raw data'!AQ223-'Raw data'!AR223)=SIGN('Real results'!C223-'Real results'!D223),3+IF(AND('Raw data'!AQ223='Real results'!C223,'Raw data'!AR223='Real results'!D223),2,0),0),0),0)</f>
        <v>0</v>
      </c>
      <c r="AS231" s="29">
        <f>IFERROR(IF(AND(ISNUMBER('Real results'!C223),ISNUMBER('Real results'!D223),ISNUMBER('Raw data'!AS223),ISNUMBER('Raw data'!AT223)),IF(SIGN('Raw data'!AS223-'Raw data'!AT223)=SIGN('Real results'!C223-'Real results'!D223),3+IF(AND('Raw data'!AS223='Real results'!C223,'Raw data'!AT223='Real results'!D223),2,0),0),0),0)</f>
        <v>0</v>
      </c>
      <c r="AU231" s="29">
        <f>IFERROR(IF(AND(ISNUMBER('Real results'!C223),ISNUMBER('Real results'!D223),ISNUMBER('Raw data'!AU223),ISNUMBER('Raw data'!AV223)),IF(SIGN('Raw data'!AU223-'Raw data'!AV223)=SIGN('Real results'!C223-'Real results'!D223),3+IF(AND('Raw data'!AU223='Real results'!C223,'Raw data'!AV223='Real results'!D223),2,0),0),0),0)</f>
        <v>0</v>
      </c>
      <c r="AW231" s="29">
        <f>IFERROR(IF(AND(ISNUMBER('Real results'!C223),ISNUMBER('Real results'!D223),ISNUMBER('Raw data'!AW223),ISNUMBER('Raw data'!AX223)),IF(SIGN('Raw data'!AW223-'Raw data'!AX223)=SIGN('Real results'!C223-'Real results'!D223),3+IF(AND('Raw data'!AW223='Real results'!C223,'Raw data'!AX223='Real results'!D223),2,0),0),0),0)</f>
        <v>0</v>
      </c>
      <c r="AY231" s="29">
        <f>IFERROR(IF(AND(ISNUMBER('Real results'!C223),ISNUMBER('Real results'!D223),ISNUMBER('Raw data'!AY223),ISNUMBER('Raw data'!AZ223)),IF(SIGN('Raw data'!AY223-'Raw data'!AZ223)=SIGN('Real results'!C223-'Real results'!D223),3+IF(AND('Raw data'!AY223='Real results'!C223,'Raw data'!AZ223='Real results'!D223),2,0),0),0),0)</f>
        <v>0</v>
      </c>
      <c r="BA231" s="29">
        <f>IFERROR(IF(AND(ISNUMBER('Real results'!C223),ISNUMBER('Real results'!D223),ISNUMBER('Raw data'!BA223),ISNUMBER('Raw data'!BB223)),IF(SIGN('Raw data'!BA223-'Raw data'!BB223)=SIGN('Real results'!C223-'Real results'!D223),3+IF(AND('Raw data'!BA223='Real results'!C223,'Raw data'!BB223='Real results'!D223),2,0),0),0),0)</f>
        <v>0</v>
      </c>
      <c r="BC231" s="29">
        <f>IFERROR(IF(AND(ISNUMBER('Real results'!C223),ISNUMBER('Real results'!D223),ISNUMBER('Raw data'!BC223),ISNUMBER('Raw data'!BD223)),IF(SIGN('Raw data'!BC223-'Raw data'!BD223)=SIGN('Real results'!C223-'Real results'!D223),3+IF(AND('Raw data'!BC223='Real results'!C223,'Raw data'!BD223='Real results'!D223),2,0),0),0),0)</f>
        <v>0</v>
      </c>
      <c r="BE231" s="29">
        <f>IFERROR(IF(AND(ISNUMBER('Real results'!C223),ISNUMBER('Real results'!D223),ISNUMBER('Raw data'!BE223),ISNUMBER('Raw data'!BF223)),IF(SIGN('Raw data'!BE223-'Raw data'!BF223)=SIGN('Real results'!C223-'Real results'!D223),3+IF(AND('Raw data'!BE223='Real results'!C223,'Raw data'!BF223='Real results'!D223),2,0),0),0),0)</f>
        <v>0</v>
      </c>
      <c r="BG231" s="29">
        <f>IFERROR(IF(AND(ISNUMBER('Real results'!C223),ISNUMBER('Real results'!D223),ISNUMBER('Raw data'!BG223),ISNUMBER('Raw data'!BH223)),IF(SIGN('Raw data'!BG223-'Raw data'!BH223)=SIGN('Real results'!C223-'Real results'!D223),3+IF(AND('Raw data'!BG223='Real results'!C223,'Raw data'!BH223='Real results'!D223),2,0),0),0),0)</f>
        <v>0</v>
      </c>
      <c r="BI231" s="29">
        <f>IFERROR(IF(AND(ISNUMBER('Real results'!C223),ISNUMBER('Real results'!D223),ISNUMBER('Raw data'!BI223),ISNUMBER('Raw data'!BJ223)),IF(SIGN('Raw data'!BI223-'Raw data'!BJ223)=SIGN('Real results'!C223-'Real results'!D223),3+IF(AND('Raw data'!BI223='Real results'!C223,'Raw data'!BJ223='Real results'!D223),2,0),0),0),0)</f>
        <v>0</v>
      </c>
    </row>
    <row r="232" ht="18.0" customHeight="1">
      <c r="A232" s="1"/>
      <c r="B232" s="13" t="s">
        <v>244</v>
      </c>
      <c r="C232" s="29">
        <f>IFERROR(IF(AND('Real results'!C224&lt;&gt;"",'Raw data'!C224&lt;&gt;"",UPPER(TRIM('Real results'!C224))=UPPER(TRIM('Raw data'!C224))),1,0),0)</f>
        <v>0</v>
      </c>
      <c r="E232" s="29">
        <f>IFERROR(IF(AND('Real results'!C224&lt;&gt;"",'Raw data'!E224&lt;&gt;"",UPPER(TRIM('Real results'!C224))=UPPER(TRIM('Raw data'!E224))),1,0),0)</f>
        <v>0</v>
      </c>
      <c r="G232" s="29">
        <f>IFERROR(IF(AND('Real results'!C224&lt;&gt;"",'Raw data'!G224&lt;&gt;"",UPPER(TRIM('Real results'!C224))=UPPER(TRIM('Raw data'!G224))),1,0),0)</f>
        <v>0</v>
      </c>
      <c r="I232" s="29">
        <f>IFERROR(IF(AND('Real results'!C224&lt;&gt;"",'Raw data'!I224&lt;&gt;"",UPPER(TRIM('Real results'!C224))=UPPER(TRIM('Raw data'!I224))),1,0),0)</f>
        <v>0</v>
      </c>
      <c r="K232" s="29">
        <f>IFERROR(IF(AND('Real results'!C224&lt;&gt;"",'Raw data'!K224&lt;&gt;"",UPPER(TRIM('Real results'!C224))=UPPER(TRIM('Raw data'!K224))),1,0),0)</f>
        <v>0</v>
      </c>
      <c r="M232" s="29">
        <f>IFERROR(IF(AND('Real results'!C224&lt;&gt;"",'Raw data'!M224&lt;&gt;"",UPPER(TRIM('Real results'!C224))=UPPER(TRIM('Raw data'!M224))),1,0),0)</f>
        <v>0</v>
      </c>
      <c r="O232" s="29">
        <f>IFERROR(IF(AND('Real results'!C224&lt;&gt;"",'Raw data'!O224&lt;&gt;"",UPPER(TRIM('Real results'!C224))=UPPER(TRIM('Raw data'!O224))),1,0),0)</f>
        <v>0</v>
      </c>
      <c r="Q232" s="29">
        <f>IFERROR(IF(AND('Real results'!C224&lt;&gt;"",'Raw data'!Q224&lt;&gt;"",UPPER(TRIM('Real results'!C224))=UPPER(TRIM('Raw data'!Q224))),1,0),0)</f>
        <v>0</v>
      </c>
      <c r="S232" s="29">
        <f>IFERROR(IF(AND('Real results'!C224&lt;&gt;"",'Raw data'!S224&lt;&gt;"",UPPER(TRIM('Real results'!C224))=UPPER(TRIM('Raw data'!S224))),1,0),0)</f>
        <v>0</v>
      </c>
      <c r="U232" s="29">
        <f>IFERROR(IF(AND('Real results'!C224&lt;&gt;"",'Raw data'!U224&lt;&gt;"",UPPER(TRIM('Real results'!C224))=UPPER(TRIM('Raw data'!U224))),1,0),0)</f>
        <v>0</v>
      </c>
      <c r="W232" s="29">
        <f>IFERROR(IF(AND('Real results'!C224&lt;&gt;"",'Raw data'!W224&lt;&gt;"",UPPER(TRIM('Real results'!C224))=UPPER(TRIM('Raw data'!W224))),1,0),0)</f>
        <v>0</v>
      </c>
      <c r="Y232" s="29">
        <f>IFERROR(IF(AND('Real results'!C224&lt;&gt;"",'Raw data'!Y224&lt;&gt;"",UPPER(TRIM('Real results'!C224))=UPPER(TRIM('Raw data'!Y224))),1,0),0)</f>
        <v>0</v>
      </c>
      <c r="AA232" s="29">
        <f>IFERROR(IF(AND('Real results'!C224&lt;&gt;"",'Raw data'!AA224&lt;&gt;"",UPPER(TRIM('Real results'!C224))=UPPER(TRIM('Raw data'!AA224))),1,0),0)</f>
        <v>0</v>
      </c>
      <c r="AC232" s="29">
        <f>IFERROR(IF(AND('Real results'!C224&lt;&gt;"",'Raw data'!AC224&lt;&gt;"",UPPER(TRIM('Real results'!C224))=UPPER(TRIM('Raw data'!AC224))),1,0),0)</f>
        <v>0</v>
      </c>
      <c r="AE232" s="29">
        <f>IFERROR(IF(AND('Real results'!C224&lt;&gt;"",'Raw data'!AE224&lt;&gt;"",UPPER(TRIM('Real results'!C224))=UPPER(TRIM('Raw data'!AE224))),1,0),0)</f>
        <v>0</v>
      </c>
      <c r="AG232" s="29">
        <f>IFERROR(IF(AND('Real results'!C224&lt;&gt;"",'Raw data'!AG224&lt;&gt;"",UPPER(TRIM('Real results'!C224))=UPPER(TRIM('Raw data'!AG224))),1,0),0)</f>
        <v>0</v>
      </c>
      <c r="AI232" s="29">
        <f>IFERROR(IF(AND('Real results'!C224&lt;&gt;"",'Raw data'!AI224&lt;&gt;"",UPPER(TRIM('Real results'!C224))=UPPER(TRIM('Raw data'!AI224))),1,0),0)</f>
        <v>0</v>
      </c>
      <c r="AK232" s="29">
        <f>IFERROR(IF(AND('Real results'!C224&lt;&gt;"",'Raw data'!AK224&lt;&gt;"",UPPER(TRIM('Real results'!C224))=UPPER(TRIM('Raw data'!AK224))),1,0),0)</f>
        <v>0</v>
      </c>
      <c r="AM232" s="29">
        <f>IFERROR(IF(AND('Real results'!C224&lt;&gt;"",'Raw data'!AM224&lt;&gt;"",UPPER(TRIM('Real results'!C224))=UPPER(TRIM('Raw data'!AM224))),1,0),0)</f>
        <v>0</v>
      </c>
      <c r="AO232" s="29">
        <f>IFERROR(IF(AND('Real results'!C224&lt;&gt;"",'Raw data'!AO224&lt;&gt;"",UPPER(TRIM('Real results'!C224))=UPPER(TRIM('Raw data'!AO224))),1,0),0)</f>
        <v>0</v>
      </c>
      <c r="AQ232" s="29">
        <f>IFERROR(IF(AND('Real results'!C224&lt;&gt;"",'Raw data'!AQ224&lt;&gt;"",UPPER(TRIM('Real results'!C224))=UPPER(TRIM('Raw data'!AQ224))),1,0),0)</f>
        <v>0</v>
      </c>
      <c r="AS232" s="29">
        <f>IFERROR(IF(AND('Real results'!C224&lt;&gt;"",'Raw data'!AS224&lt;&gt;"",UPPER(TRIM('Real results'!C224))=UPPER(TRIM('Raw data'!AS224))),1,0),0)</f>
        <v>0</v>
      </c>
      <c r="AU232" s="29">
        <f>IFERROR(IF(AND('Real results'!C224&lt;&gt;"",'Raw data'!AU224&lt;&gt;"",UPPER(TRIM('Real results'!C224))=UPPER(TRIM('Raw data'!AU224))),1,0),0)</f>
        <v>0</v>
      </c>
      <c r="AW232" s="29">
        <f>IFERROR(IF(AND('Real results'!C224&lt;&gt;"",'Raw data'!AW224&lt;&gt;"",UPPER(TRIM('Real results'!C224))=UPPER(TRIM('Raw data'!AW224))),1,0),0)</f>
        <v>0</v>
      </c>
      <c r="AY232" s="29">
        <f>IFERROR(IF(AND('Real results'!C224&lt;&gt;"",'Raw data'!AY224&lt;&gt;"",UPPER(TRIM('Real results'!C224))=UPPER(TRIM('Raw data'!AY224))),1,0),0)</f>
        <v>0</v>
      </c>
      <c r="BA232" s="29">
        <f>IFERROR(IF(AND('Real results'!C224&lt;&gt;"",'Raw data'!BA224&lt;&gt;"",UPPER(TRIM('Real results'!C224))=UPPER(TRIM('Raw data'!BA224))),1,0),0)</f>
        <v>0</v>
      </c>
      <c r="BC232" s="29">
        <f>IFERROR(IF(AND('Real results'!C224&lt;&gt;"",'Raw data'!BC224&lt;&gt;"",UPPER(TRIM('Real results'!C224))=UPPER(TRIM('Raw data'!BC224))),1,0),0)</f>
        <v>0</v>
      </c>
      <c r="BE232" s="29">
        <f>IFERROR(IF(AND('Real results'!C224&lt;&gt;"",'Raw data'!BE224&lt;&gt;"",UPPER(TRIM('Real results'!C224))=UPPER(TRIM('Raw data'!BE224))),1,0),0)</f>
        <v>0</v>
      </c>
      <c r="BG232" s="29">
        <f>IFERROR(IF(AND('Real results'!C224&lt;&gt;"",'Raw data'!BG224&lt;&gt;"",UPPER(TRIM('Real results'!C224))=UPPER(TRIM('Raw data'!BG224))),1,0),0)</f>
        <v>0</v>
      </c>
      <c r="BI232" s="29">
        <f>IFERROR(IF(AND('Real results'!C224&lt;&gt;"",'Raw data'!BI224&lt;&gt;"",UPPER(TRIM('Real results'!C224))=UPPER(TRIM('Raw data'!BI224))),1,0),0)</f>
        <v>0</v>
      </c>
    </row>
    <row r="233" ht="18.0" customHeight="1">
      <c r="A233" s="1"/>
      <c r="B233" s="13" t="s">
        <v>509</v>
      </c>
      <c r="C233" s="29">
        <f>IFERROR(IF(AND('Real results'!C225&lt;&gt;"",'Raw data'!C225&lt;&gt;"",UPPER(TRIM('Real results'!C225))=UPPER(TRIM('Raw data'!C225))),12,0),0)</f>
        <v>0</v>
      </c>
      <c r="E233" s="29">
        <f>IFERROR(IF(AND('Real results'!C225&lt;&gt;"",'Raw data'!E225&lt;&gt;"",UPPER(TRIM('Real results'!C225))=UPPER(TRIM('Raw data'!E225))),12,0),0)</f>
        <v>0</v>
      </c>
      <c r="G233" s="29">
        <f>IFERROR(IF(AND('Real results'!C225&lt;&gt;"",'Raw data'!G225&lt;&gt;"",UPPER(TRIM('Real results'!C225))=UPPER(TRIM('Raw data'!G225))),12,0),0)</f>
        <v>0</v>
      </c>
      <c r="I233" s="29">
        <f>IFERROR(IF(AND('Real results'!C225&lt;&gt;"",'Raw data'!I225&lt;&gt;"",UPPER(TRIM('Real results'!C225))=UPPER(TRIM('Raw data'!I225))),12,0),0)</f>
        <v>0</v>
      </c>
      <c r="K233" s="29">
        <f>IFERROR(IF(AND('Real results'!C225&lt;&gt;"",'Raw data'!K225&lt;&gt;"",UPPER(TRIM('Real results'!C225))=UPPER(TRIM('Raw data'!K225))),12,0),0)</f>
        <v>0</v>
      </c>
      <c r="M233" s="29">
        <f>IFERROR(IF(AND('Real results'!C225&lt;&gt;"",'Raw data'!M225&lt;&gt;"",UPPER(TRIM('Real results'!C225))=UPPER(TRIM('Raw data'!M225))),12,0),0)</f>
        <v>0</v>
      </c>
      <c r="O233" s="29">
        <f>IFERROR(IF(AND('Real results'!C225&lt;&gt;"",'Raw data'!O225&lt;&gt;"",UPPER(TRIM('Real results'!C225))=UPPER(TRIM('Raw data'!O225))),12,0),0)</f>
        <v>0</v>
      </c>
      <c r="Q233" s="29">
        <f>IFERROR(IF(AND('Real results'!C225&lt;&gt;"",'Raw data'!Q225&lt;&gt;"",UPPER(TRIM('Real results'!C225))=UPPER(TRIM('Raw data'!Q225))),12,0),0)</f>
        <v>0</v>
      </c>
      <c r="S233" s="29">
        <f>IFERROR(IF(AND('Real results'!C225&lt;&gt;"",'Raw data'!S225&lt;&gt;"",UPPER(TRIM('Real results'!C225))=UPPER(TRIM('Raw data'!S225))),12,0),0)</f>
        <v>0</v>
      </c>
      <c r="U233" s="29">
        <f>IFERROR(IF(AND('Real results'!C225&lt;&gt;"",'Raw data'!U225&lt;&gt;"",UPPER(TRIM('Real results'!C225))=UPPER(TRIM('Raw data'!U225))),12,0),0)</f>
        <v>0</v>
      </c>
      <c r="W233" s="29">
        <f>IFERROR(IF(AND('Real results'!C225&lt;&gt;"",'Raw data'!W225&lt;&gt;"",UPPER(TRIM('Real results'!C225))=UPPER(TRIM('Raw data'!W225))),12,0),0)</f>
        <v>0</v>
      </c>
      <c r="Y233" s="29">
        <f>IFERROR(IF(AND('Real results'!C225&lt;&gt;"",'Raw data'!Y225&lt;&gt;"",UPPER(TRIM('Real results'!C225))=UPPER(TRIM('Raw data'!Y225))),12,0),0)</f>
        <v>0</v>
      </c>
      <c r="AA233" s="29">
        <f>IFERROR(IF(AND('Real results'!C225&lt;&gt;"",'Raw data'!AA225&lt;&gt;"",UPPER(TRIM('Real results'!C225))=UPPER(TRIM('Raw data'!AA225))),12,0),0)</f>
        <v>0</v>
      </c>
      <c r="AC233" s="29">
        <f>IFERROR(IF(AND('Real results'!C225&lt;&gt;"",'Raw data'!AC225&lt;&gt;"",UPPER(TRIM('Real results'!C225))=UPPER(TRIM('Raw data'!AC225))),12,0),0)</f>
        <v>0</v>
      </c>
      <c r="AE233" s="29">
        <f>IFERROR(IF(AND('Real results'!C225&lt;&gt;"",'Raw data'!AE225&lt;&gt;"",UPPER(TRIM('Real results'!C225))=UPPER(TRIM('Raw data'!AE225))),12,0),0)</f>
        <v>0</v>
      </c>
      <c r="AG233" s="29">
        <f>IFERROR(IF(AND('Real results'!C225&lt;&gt;"",'Raw data'!AG225&lt;&gt;"",UPPER(TRIM('Real results'!C225))=UPPER(TRIM('Raw data'!AG225))),12,0),0)</f>
        <v>0</v>
      </c>
      <c r="AI233" s="29">
        <f>IFERROR(IF(AND('Real results'!C225&lt;&gt;"",'Raw data'!AI225&lt;&gt;"",UPPER(TRIM('Real results'!C225))=UPPER(TRIM('Raw data'!AI225))),12,0),0)</f>
        <v>0</v>
      </c>
      <c r="AK233" s="29">
        <f>IFERROR(IF(AND('Real results'!C225&lt;&gt;"",'Raw data'!AK225&lt;&gt;"",UPPER(TRIM('Real results'!C225))=UPPER(TRIM('Raw data'!AK225))),12,0),0)</f>
        <v>0</v>
      </c>
      <c r="AM233" s="29">
        <f>IFERROR(IF(AND('Real results'!C225&lt;&gt;"",'Raw data'!AM225&lt;&gt;"",UPPER(TRIM('Real results'!C225))=UPPER(TRIM('Raw data'!AM225))),12,0),0)</f>
        <v>0</v>
      </c>
      <c r="AO233" s="29">
        <f>IFERROR(IF(AND('Real results'!C225&lt;&gt;"",'Raw data'!AO225&lt;&gt;"",UPPER(TRIM('Real results'!C225))=UPPER(TRIM('Raw data'!AO225))),12,0),0)</f>
        <v>0</v>
      </c>
      <c r="AQ233" s="29">
        <f>IFERROR(IF(AND('Real results'!C225&lt;&gt;"",'Raw data'!AQ225&lt;&gt;"",UPPER(TRIM('Real results'!C225))=UPPER(TRIM('Raw data'!AQ225))),12,0),0)</f>
        <v>0</v>
      </c>
      <c r="AS233" s="29">
        <f>IFERROR(IF(AND('Real results'!C225&lt;&gt;"",'Raw data'!AS225&lt;&gt;"",UPPER(TRIM('Real results'!C225))=UPPER(TRIM('Raw data'!AS225))),12,0),0)</f>
        <v>0</v>
      </c>
      <c r="AU233" s="29">
        <f>IFERROR(IF(AND('Real results'!C225&lt;&gt;"",'Raw data'!AU225&lt;&gt;"",UPPER(TRIM('Real results'!C225))=UPPER(TRIM('Raw data'!AU225))),12,0),0)</f>
        <v>0</v>
      </c>
      <c r="AW233" s="29">
        <f>IFERROR(IF(AND('Real results'!C225&lt;&gt;"",'Raw data'!AW225&lt;&gt;"",UPPER(TRIM('Real results'!C225))=UPPER(TRIM('Raw data'!AW225))),12,0),0)</f>
        <v>0</v>
      </c>
      <c r="AY233" s="29">
        <f>IFERROR(IF(AND('Real results'!C225&lt;&gt;"",'Raw data'!AY225&lt;&gt;"",UPPER(TRIM('Real results'!C225))=UPPER(TRIM('Raw data'!AY225))),12,0),0)</f>
        <v>0</v>
      </c>
      <c r="BA233" s="29">
        <f>IFERROR(IF(AND('Real results'!C225&lt;&gt;"",'Raw data'!BA225&lt;&gt;"",UPPER(TRIM('Real results'!C225))=UPPER(TRIM('Raw data'!BA225))),12,0),0)</f>
        <v>0</v>
      </c>
      <c r="BC233" s="29">
        <f>IFERROR(IF(AND('Real results'!C225&lt;&gt;"",'Raw data'!BC225&lt;&gt;"",UPPER(TRIM('Real results'!C225))=UPPER(TRIM('Raw data'!BC225))),12,0),0)</f>
        <v>0</v>
      </c>
      <c r="BE233" s="29">
        <f>IFERROR(IF(AND('Real results'!C225&lt;&gt;"",'Raw data'!BE225&lt;&gt;"",UPPER(TRIM('Real results'!C225))=UPPER(TRIM('Raw data'!BE225))),12,0),0)</f>
        <v>0</v>
      </c>
      <c r="BG233" s="29">
        <f>IFERROR(IF(AND('Real results'!C225&lt;&gt;"",'Raw data'!BG225&lt;&gt;"",UPPER(TRIM('Real results'!C225))=UPPER(TRIM('Raw data'!BG225))),12,0),0)</f>
        <v>0</v>
      </c>
      <c r="BI233" s="29">
        <f>IFERROR(IF(AND('Real results'!C225&lt;&gt;"",'Raw data'!BI225&lt;&gt;"",UPPER(TRIM('Real results'!C225))=UPPER(TRIM('Raw data'!BI225))),12,0),0)</f>
        <v>0</v>
      </c>
    </row>
    <row r="234" ht="18.0" customHeight="1">
      <c r="A234" s="1"/>
      <c r="B234" s="13" t="s">
        <v>510</v>
      </c>
      <c r="C234" s="29">
        <f>IFERROR(IF(AND('Real results'!C226&lt;&gt;"",'Raw data'!C226&lt;&gt;"",UPPER(TRIM('Real results'!C226))=UPPER(TRIM('Raw data'!C226))),8,0),0)</f>
        <v>0</v>
      </c>
      <c r="E234" s="29">
        <f>IFERROR(IF(AND('Real results'!C226&lt;&gt;"",'Raw data'!E226&lt;&gt;"",UPPER(TRIM('Real results'!C226))=UPPER(TRIM('Raw data'!E226))),8,0),0)</f>
        <v>0</v>
      </c>
      <c r="G234" s="29">
        <f>IFERROR(IF(AND('Real results'!C226&lt;&gt;"",'Raw data'!G226&lt;&gt;"",UPPER(TRIM('Real results'!C226))=UPPER(TRIM('Raw data'!G226))),8,0),0)</f>
        <v>0</v>
      </c>
      <c r="I234" s="29">
        <f>IFERROR(IF(AND('Real results'!C226&lt;&gt;"",'Raw data'!I226&lt;&gt;"",UPPER(TRIM('Real results'!C226))=UPPER(TRIM('Raw data'!I226))),8,0),0)</f>
        <v>0</v>
      </c>
      <c r="K234" s="29">
        <f>IFERROR(IF(AND('Real results'!C226&lt;&gt;"",'Raw data'!K226&lt;&gt;"",UPPER(TRIM('Real results'!C226))=UPPER(TRIM('Raw data'!K226))),8,0),0)</f>
        <v>0</v>
      </c>
      <c r="M234" s="29">
        <f>IFERROR(IF(AND('Real results'!C226&lt;&gt;"",'Raw data'!M226&lt;&gt;"",UPPER(TRIM('Real results'!C226))=UPPER(TRIM('Raw data'!M226))),8,0),0)</f>
        <v>0</v>
      </c>
      <c r="O234" s="29">
        <f>IFERROR(IF(AND('Real results'!C226&lt;&gt;"",'Raw data'!O226&lt;&gt;"",UPPER(TRIM('Real results'!C226))=UPPER(TRIM('Raw data'!O226))),8,0),0)</f>
        <v>0</v>
      </c>
      <c r="Q234" s="29">
        <f>IFERROR(IF(AND('Real results'!C226&lt;&gt;"",'Raw data'!Q226&lt;&gt;"",UPPER(TRIM('Real results'!C226))=UPPER(TRIM('Raw data'!Q226))),8,0),0)</f>
        <v>0</v>
      </c>
      <c r="S234" s="29">
        <f>IFERROR(IF(AND('Real results'!C226&lt;&gt;"",'Raw data'!S226&lt;&gt;"",UPPER(TRIM('Real results'!C226))=UPPER(TRIM('Raw data'!S226))),8,0),0)</f>
        <v>0</v>
      </c>
      <c r="U234" s="29">
        <f>IFERROR(IF(AND('Real results'!C226&lt;&gt;"",'Raw data'!U226&lt;&gt;"",UPPER(TRIM('Real results'!C226))=UPPER(TRIM('Raw data'!U226))),8,0),0)</f>
        <v>0</v>
      </c>
      <c r="W234" s="29">
        <f>IFERROR(IF(AND('Real results'!C226&lt;&gt;"",'Raw data'!W226&lt;&gt;"",UPPER(TRIM('Real results'!C226))=UPPER(TRIM('Raw data'!W226))),8,0),0)</f>
        <v>0</v>
      </c>
      <c r="Y234" s="29">
        <f>IFERROR(IF(AND('Real results'!C226&lt;&gt;"",'Raw data'!Y226&lt;&gt;"",UPPER(TRIM('Real results'!C226))=UPPER(TRIM('Raw data'!Y226))),8,0),0)</f>
        <v>0</v>
      </c>
      <c r="AA234" s="29">
        <f>IFERROR(IF(AND('Real results'!C226&lt;&gt;"",'Raw data'!AA226&lt;&gt;"",UPPER(TRIM('Real results'!C226))=UPPER(TRIM('Raw data'!AA226))),8,0),0)</f>
        <v>0</v>
      </c>
      <c r="AC234" s="29">
        <f>IFERROR(IF(AND('Real results'!C226&lt;&gt;"",'Raw data'!AC226&lt;&gt;"",UPPER(TRIM('Real results'!C226))=UPPER(TRIM('Raw data'!AC226))),8,0),0)</f>
        <v>0</v>
      </c>
      <c r="AE234" s="29">
        <f>IFERROR(IF(AND('Real results'!C226&lt;&gt;"",'Raw data'!AE226&lt;&gt;"",UPPER(TRIM('Real results'!C226))=UPPER(TRIM('Raw data'!AE226))),8,0),0)</f>
        <v>0</v>
      </c>
      <c r="AG234" s="29">
        <f>IFERROR(IF(AND('Real results'!C226&lt;&gt;"",'Raw data'!AG226&lt;&gt;"",UPPER(TRIM('Real results'!C226))=UPPER(TRIM('Raw data'!AG226))),8,0),0)</f>
        <v>0</v>
      </c>
      <c r="AI234" s="29">
        <f>IFERROR(IF(AND('Real results'!C226&lt;&gt;"",'Raw data'!AI226&lt;&gt;"",UPPER(TRIM('Real results'!C226))=UPPER(TRIM('Raw data'!AI226))),8,0),0)</f>
        <v>0</v>
      </c>
      <c r="AK234" s="29">
        <f>IFERROR(IF(AND('Real results'!C226&lt;&gt;"",'Raw data'!AK226&lt;&gt;"",UPPER(TRIM('Real results'!C226))=UPPER(TRIM('Raw data'!AK226))),8,0),0)</f>
        <v>0</v>
      </c>
      <c r="AM234" s="29">
        <f>IFERROR(IF(AND('Real results'!C226&lt;&gt;"",'Raw data'!AM226&lt;&gt;"",UPPER(TRIM('Real results'!C226))=UPPER(TRIM('Raw data'!AM226))),8,0),0)</f>
        <v>0</v>
      </c>
      <c r="AO234" s="29">
        <f>IFERROR(IF(AND('Real results'!C226&lt;&gt;"",'Raw data'!AO226&lt;&gt;"",UPPER(TRIM('Real results'!C226))=UPPER(TRIM('Raw data'!AO226))),8,0),0)</f>
        <v>0</v>
      </c>
      <c r="AQ234" s="29">
        <f>IFERROR(IF(AND('Real results'!C226&lt;&gt;"",'Raw data'!AQ226&lt;&gt;"",UPPER(TRIM('Real results'!C226))=UPPER(TRIM('Raw data'!AQ226))),8,0),0)</f>
        <v>0</v>
      </c>
      <c r="AS234" s="29">
        <f>IFERROR(IF(AND('Real results'!C226&lt;&gt;"",'Raw data'!AS226&lt;&gt;"",UPPER(TRIM('Real results'!C226))=UPPER(TRIM('Raw data'!AS226))),8,0),0)</f>
        <v>0</v>
      </c>
      <c r="AU234" s="29">
        <f>IFERROR(IF(AND('Real results'!C226&lt;&gt;"",'Raw data'!AU226&lt;&gt;"",UPPER(TRIM('Real results'!C226))=UPPER(TRIM('Raw data'!AU226))),8,0),0)</f>
        <v>0</v>
      </c>
      <c r="AW234" s="29">
        <f>IFERROR(IF(AND('Real results'!C226&lt;&gt;"",'Raw data'!AW226&lt;&gt;"",UPPER(TRIM('Real results'!C226))=UPPER(TRIM('Raw data'!AW226))),8,0),0)</f>
        <v>0</v>
      </c>
      <c r="AY234" s="29">
        <f>IFERROR(IF(AND('Real results'!C226&lt;&gt;"",'Raw data'!AY226&lt;&gt;"",UPPER(TRIM('Real results'!C226))=UPPER(TRIM('Raw data'!AY226))),8,0),0)</f>
        <v>0</v>
      </c>
      <c r="BA234" s="29">
        <f>IFERROR(IF(AND('Real results'!C226&lt;&gt;"",'Raw data'!BA226&lt;&gt;"",UPPER(TRIM('Real results'!C226))=UPPER(TRIM('Raw data'!BA226))),8,0),0)</f>
        <v>0</v>
      </c>
      <c r="BC234" s="29">
        <f>IFERROR(IF(AND('Real results'!C226&lt;&gt;"",'Raw data'!BC226&lt;&gt;"",UPPER(TRIM('Real results'!C226))=UPPER(TRIM('Raw data'!BC226))),8,0),0)</f>
        <v>0</v>
      </c>
      <c r="BE234" s="29">
        <f>IFERROR(IF(AND('Real results'!C226&lt;&gt;"",'Raw data'!BE226&lt;&gt;"",UPPER(TRIM('Real results'!C226))=UPPER(TRIM('Raw data'!BE226))),8,0),0)</f>
        <v>0</v>
      </c>
      <c r="BG234" s="29">
        <f>IFERROR(IF(AND('Real results'!C226&lt;&gt;"",'Raw data'!BG226&lt;&gt;"",UPPER(TRIM('Real results'!C226))=UPPER(TRIM('Raw data'!BG226))),8,0),0)</f>
        <v>0</v>
      </c>
      <c r="BI234" s="29">
        <f>IFERROR(IF(AND('Real results'!C226&lt;&gt;"",'Raw data'!BI226&lt;&gt;"",UPPER(TRIM('Real results'!C226))=UPPER(TRIM('Raw data'!BI226))),8,0),0)</f>
        <v>0</v>
      </c>
    </row>
    <row r="235" ht="21.75" customHeight="1">
      <c r="A235" s="1"/>
      <c r="B235" s="30" t="s">
        <v>511</v>
      </c>
      <c r="C235" s="31">
        <f>SUM(C228:C234)</f>
        <v>0</v>
      </c>
      <c r="E235" s="31">
        <f>SUM(E228:E234)</f>
        <v>0</v>
      </c>
      <c r="G235" s="31">
        <f>SUM(G228:G234)</f>
        <v>0</v>
      </c>
      <c r="I235" s="31">
        <f>SUM(I228:I234)</f>
        <v>0</v>
      </c>
      <c r="K235" s="31">
        <f>SUM(K228:K234)</f>
        <v>0</v>
      </c>
      <c r="M235" s="31">
        <f>SUM(M228:M234)</f>
        <v>0</v>
      </c>
      <c r="O235" s="31">
        <f>SUM(O228:O234)</f>
        <v>0</v>
      </c>
      <c r="Q235" s="31">
        <f>SUM(Q228:Q234)</f>
        <v>0</v>
      </c>
      <c r="S235" s="31">
        <f>SUM(S228:S234)</f>
        <v>0</v>
      </c>
      <c r="U235" s="31">
        <f>SUM(U228:U234)</f>
        <v>0</v>
      </c>
      <c r="W235" s="31">
        <f>SUM(W228:W234)</f>
        <v>0</v>
      </c>
      <c r="Y235" s="31">
        <f>SUM(Y228:Y234)</f>
        <v>0</v>
      </c>
      <c r="AA235" s="31">
        <f>SUM(AA228:AA234)</f>
        <v>0</v>
      </c>
      <c r="AC235" s="31">
        <f>SUM(AC228:AC234)</f>
        <v>0</v>
      </c>
      <c r="AE235" s="31">
        <f>SUM(AE228:AE234)</f>
        <v>0</v>
      </c>
      <c r="AG235" s="31">
        <f>SUM(AG228:AG234)</f>
        <v>0</v>
      </c>
      <c r="AI235" s="31">
        <f>SUM(AI228:AI234)</f>
        <v>0</v>
      </c>
      <c r="AK235" s="31">
        <f>SUM(AK228:AK234)</f>
        <v>0</v>
      </c>
      <c r="AM235" s="31">
        <f>SUM(AM228:AM234)</f>
        <v>0</v>
      </c>
      <c r="AO235" s="31">
        <f>SUM(AO228:AO234)</f>
        <v>0</v>
      </c>
      <c r="AQ235" s="31">
        <f>SUM(AQ228:AQ234)</f>
        <v>0</v>
      </c>
      <c r="AS235" s="31">
        <f>SUM(AS228:AS234)</f>
        <v>0</v>
      </c>
      <c r="AU235" s="31">
        <f>SUM(AU228:AU234)</f>
        <v>0</v>
      </c>
      <c r="AW235" s="31">
        <f>SUM(AW228:AW234)</f>
        <v>0</v>
      </c>
      <c r="AY235" s="31">
        <f>SUM(AY228:AY234)</f>
        <v>0</v>
      </c>
      <c r="BA235" s="31">
        <f>SUM(BA228:BA234)</f>
        <v>0</v>
      </c>
      <c r="BC235" s="31">
        <f>SUM(BC228:BC234)</f>
        <v>0</v>
      </c>
      <c r="BE235" s="31">
        <f>SUM(BE228:BE234)</f>
        <v>0</v>
      </c>
      <c r="BG235" s="31">
        <f>SUM(BG228:BG234)</f>
        <v>0</v>
      </c>
      <c r="BI235" s="31">
        <f>SUM(BI228:BI234)</f>
        <v>0</v>
      </c>
    </row>
    <row r="236" ht="19.5" customHeight="1">
      <c r="A236" s="1"/>
      <c r="B236" s="28" t="s">
        <v>19</v>
      </c>
      <c r="C236" s="12"/>
      <c r="E236" s="12"/>
      <c r="G236" s="12"/>
      <c r="I236" s="12"/>
      <c r="K236" s="12"/>
      <c r="M236" s="12"/>
      <c r="O236" s="12"/>
      <c r="Q236" s="12"/>
      <c r="S236" s="12"/>
      <c r="U236" s="12"/>
      <c r="W236" s="12"/>
      <c r="Y236" s="12"/>
      <c r="AA236" s="12"/>
      <c r="AC236" s="12"/>
      <c r="AE236" s="12"/>
      <c r="AG236" s="12"/>
      <c r="AI236" s="12"/>
      <c r="AK236" s="12"/>
      <c r="AM236" s="12"/>
      <c r="AO236" s="12"/>
      <c r="AQ236" s="12"/>
      <c r="AS236" s="12"/>
      <c r="AU236" s="12"/>
      <c r="AW236" s="12"/>
      <c r="AY236" s="12"/>
      <c r="BA236" s="12"/>
      <c r="BC236" s="12"/>
      <c r="BE236" s="12"/>
      <c r="BG236" s="12"/>
      <c r="BI236" s="12"/>
    </row>
    <row r="237" ht="18.0" customHeight="1">
      <c r="A237" s="1"/>
      <c r="B237" s="13" t="s">
        <v>248</v>
      </c>
      <c r="C237" s="29">
        <f>IFERROR(IF(AND('Real results'!C228&lt;&gt;"",'Raw data'!C228&lt;&gt;"",UPPER(TRIM('Real results'!C228))=UPPER(TRIM('Raw data'!C228))),8,0),0)</f>
        <v>0</v>
      </c>
      <c r="E237" s="29">
        <f>IFERROR(IF(AND('Real results'!C228&lt;&gt;"",'Raw data'!E228&lt;&gt;"",UPPER(TRIM('Real results'!C228))=UPPER(TRIM('Raw data'!E228))),8,0),0)</f>
        <v>0</v>
      </c>
      <c r="G237" s="29">
        <f>IFERROR(IF(AND('Real results'!C228&lt;&gt;"",'Raw data'!G228&lt;&gt;"",UPPER(TRIM('Real results'!C228))=UPPER(TRIM('Raw data'!G228))),8,0),0)</f>
        <v>0</v>
      </c>
      <c r="I237" s="29">
        <f>IFERROR(IF(AND('Real results'!C228&lt;&gt;"",'Raw data'!I228&lt;&gt;"",UPPER(TRIM('Real results'!C228))=UPPER(TRIM('Raw data'!I228))),8,0),0)</f>
        <v>0</v>
      </c>
      <c r="K237" s="29">
        <f>IFERROR(IF(AND('Real results'!C228&lt;&gt;"",'Raw data'!K228&lt;&gt;"",UPPER(TRIM('Real results'!C228))=UPPER(TRIM('Raw data'!K228))),8,0),0)</f>
        <v>0</v>
      </c>
      <c r="M237" s="29">
        <f>IFERROR(IF(AND('Real results'!C228&lt;&gt;"",'Raw data'!M228&lt;&gt;"",UPPER(TRIM('Real results'!C228))=UPPER(TRIM('Raw data'!M228))),8,0),0)</f>
        <v>0</v>
      </c>
      <c r="O237" s="29">
        <f>IFERROR(IF(AND('Real results'!C228&lt;&gt;"",'Raw data'!O228&lt;&gt;"",UPPER(TRIM('Real results'!C228))=UPPER(TRIM('Raw data'!O228))),8,0),0)</f>
        <v>0</v>
      </c>
      <c r="Q237" s="29">
        <f>IFERROR(IF(AND('Real results'!C228&lt;&gt;"",'Raw data'!Q228&lt;&gt;"",UPPER(TRIM('Real results'!C228))=UPPER(TRIM('Raw data'!Q228))),8,0),0)</f>
        <v>0</v>
      </c>
      <c r="S237" s="29">
        <f>IFERROR(IF(AND('Real results'!C228&lt;&gt;"",'Raw data'!S228&lt;&gt;"",UPPER(TRIM('Real results'!C228))=UPPER(TRIM('Raw data'!S228))),8,0),0)</f>
        <v>0</v>
      </c>
      <c r="U237" s="29">
        <f>IFERROR(IF(AND('Real results'!C228&lt;&gt;"",'Raw data'!U228&lt;&gt;"",UPPER(TRIM('Real results'!C228))=UPPER(TRIM('Raw data'!U228))),8,0),0)</f>
        <v>0</v>
      </c>
      <c r="W237" s="29">
        <f>IFERROR(IF(AND('Real results'!C228&lt;&gt;"",'Raw data'!W228&lt;&gt;"",UPPER(TRIM('Real results'!C228))=UPPER(TRIM('Raw data'!W228))),8,0),0)</f>
        <v>0</v>
      </c>
      <c r="Y237" s="29">
        <f>IFERROR(IF(AND('Real results'!C228&lt;&gt;"",'Raw data'!Y228&lt;&gt;"",UPPER(TRIM('Real results'!C228))=UPPER(TRIM('Raw data'!Y228))),8,0),0)</f>
        <v>0</v>
      </c>
      <c r="AA237" s="29">
        <f>IFERROR(IF(AND('Real results'!C228&lt;&gt;"",'Raw data'!AA228&lt;&gt;"",UPPER(TRIM('Real results'!C228))=UPPER(TRIM('Raw data'!AA228))),8,0),0)</f>
        <v>0</v>
      </c>
      <c r="AC237" s="29">
        <f>IFERROR(IF(AND('Real results'!C228&lt;&gt;"",'Raw data'!AC228&lt;&gt;"",UPPER(TRIM('Real results'!C228))=UPPER(TRIM('Raw data'!AC228))),8,0),0)</f>
        <v>0</v>
      </c>
      <c r="AE237" s="29">
        <f>IFERROR(IF(AND('Real results'!C228&lt;&gt;"",'Raw data'!AE228&lt;&gt;"",UPPER(TRIM('Real results'!C228))=UPPER(TRIM('Raw data'!AE228))),8,0),0)</f>
        <v>0</v>
      </c>
      <c r="AG237" s="29">
        <f>IFERROR(IF(AND('Real results'!C228&lt;&gt;"",'Raw data'!AG228&lt;&gt;"",UPPER(TRIM('Real results'!C228))=UPPER(TRIM('Raw data'!AG228))),8,0),0)</f>
        <v>0</v>
      </c>
      <c r="AI237" s="29">
        <f>IFERROR(IF(AND('Real results'!C228&lt;&gt;"",'Raw data'!AI228&lt;&gt;"",UPPER(TRIM('Real results'!C228))=UPPER(TRIM('Raw data'!AI228))),8,0),0)</f>
        <v>0</v>
      </c>
      <c r="AK237" s="29">
        <f>IFERROR(IF(AND('Real results'!C228&lt;&gt;"",'Raw data'!AK228&lt;&gt;"",UPPER(TRIM('Real results'!C228))=UPPER(TRIM('Raw data'!AK228))),8,0),0)</f>
        <v>0</v>
      </c>
      <c r="AM237" s="29">
        <f>IFERROR(IF(AND('Real results'!C228&lt;&gt;"",'Raw data'!AM228&lt;&gt;"",UPPER(TRIM('Real results'!C228))=UPPER(TRIM('Raw data'!AM228))),8,0),0)</f>
        <v>0</v>
      </c>
      <c r="AO237" s="29">
        <f>IFERROR(IF(AND('Real results'!C228&lt;&gt;"",'Raw data'!AO228&lt;&gt;"",UPPER(TRIM('Real results'!C228))=UPPER(TRIM('Raw data'!AO228))),8,0),0)</f>
        <v>0</v>
      </c>
      <c r="AQ237" s="29">
        <f>IFERROR(IF(AND('Real results'!C228&lt;&gt;"",'Raw data'!AQ228&lt;&gt;"",UPPER(TRIM('Real results'!C228))=UPPER(TRIM('Raw data'!AQ228))),8,0),0)</f>
        <v>0</v>
      </c>
      <c r="AS237" s="29">
        <f>IFERROR(IF(AND('Real results'!C228&lt;&gt;"",'Raw data'!AS228&lt;&gt;"",UPPER(TRIM('Real results'!C228))=UPPER(TRIM('Raw data'!AS228))),8,0),0)</f>
        <v>0</v>
      </c>
      <c r="AU237" s="29">
        <f>IFERROR(IF(AND('Real results'!C228&lt;&gt;"",'Raw data'!AU228&lt;&gt;"",UPPER(TRIM('Real results'!C228))=UPPER(TRIM('Raw data'!AU228))),8,0),0)</f>
        <v>0</v>
      </c>
      <c r="AW237" s="29">
        <f>IFERROR(IF(AND('Real results'!C228&lt;&gt;"",'Raw data'!AW228&lt;&gt;"",UPPER(TRIM('Real results'!C228))=UPPER(TRIM('Raw data'!AW228))),8,0),0)</f>
        <v>0</v>
      </c>
      <c r="AY237" s="29">
        <f>IFERROR(IF(AND('Real results'!C228&lt;&gt;"",'Raw data'!AY228&lt;&gt;"",UPPER(TRIM('Real results'!C228))=UPPER(TRIM('Raw data'!AY228))),8,0),0)</f>
        <v>0</v>
      </c>
      <c r="BA237" s="29">
        <f>IFERROR(IF(AND('Real results'!C228&lt;&gt;"",'Raw data'!BA228&lt;&gt;"",UPPER(TRIM('Real results'!C228))=UPPER(TRIM('Raw data'!BA228))),8,0),0)</f>
        <v>0</v>
      </c>
      <c r="BC237" s="29">
        <f>IFERROR(IF(AND('Real results'!C228&lt;&gt;"",'Raw data'!BC228&lt;&gt;"",UPPER(TRIM('Real results'!C228))=UPPER(TRIM('Raw data'!BC228))),8,0),0)</f>
        <v>0</v>
      </c>
      <c r="BE237" s="29">
        <f>IFERROR(IF(AND('Real results'!C228&lt;&gt;"",'Raw data'!BE228&lt;&gt;"",UPPER(TRIM('Real results'!C228))=UPPER(TRIM('Raw data'!BE228))),8,0),0)</f>
        <v>0</v>
      </c>
      <c r="BG237" s="29">
        <f>IFERROR(IF(AND('Real results'!C228&lt;&gt;"",'Raw data'!BG228&lt;&gt;"",UPPER(TRIM('Real results'!C228))=UPPER(TRIM('Raw data'!BG228))),8,0),0)</f>
        <v>0</v>
      </c>
      <c r="BI237" s="29">
        <f>IFERROR(IF(AND('Real results'!C228&lt;&gt;"",'Raw data'!BI228&lt;&gt;"",UPPER(TRIM('Real results'!C228))=UPPER(TRIM('Raw data'!BI228))),8,0),0)</f>
        <v>0</v>
      </c>
    </row>
    <row r="238" ht="18.0" customHeight="1">
      <c r="A238" s="1"/>
      <c r="B238" s="13" t="s">
        <v>249</v>
      </c>
      <c r="C238" s="29">
        <f>IFERROR(IF(AND('Real results'!C229&lt;&gt;"",'Raw data'!C229&lt;&gt;"",UPPER(TRIM('Real results'!C229))=UPPER(TRIM('Raw data'!C229))),8,0),0)</f>
        <v>0</v>
      </c>
      <c r="E238" s="29">
        <f>IFERROR(IF(AND('Real results'!C229&lt;&gt;"",'Raw data'!E229&lt;&gt;"",UPPER(TRIM('Real results'!C229))=UPPER(TRIM('Raw data'!E229))),8,0),0)</f>
        <v>0</v>
      </c>
      <c r="G238" s="29">
        <f>IFERROR(IF(AND('Real results'!C229&lt;&gt;"",'Raw data'!G229&lt;&gt;"",UPPER(TRIM('Real results'!C229))=UPPER(TRIM('Raw data'!G229))),8,0),0)</f>
        <v>0</v>
      </c>
      <c r="I238" s="29">
        <f>IFERROR(IF(AND('Real results'!C229&lt;&gt;"",'Raw data'!I229&lt;&gt;"",UPPER(TRIM('Real results'!C229))=UPPER(TRIM('Raw data'!I229))),8,0),0)</f>
        <v>0</v>
      </c>
      <c r="K238" s="29">
        <f>IFERROR(IF(AND('Real results'!C229&lt;&gt;"",'Raw data'!K229&lt;&gt;"",UPPER(TRIM('Real results'!C229))=UPPER(TRIM('Raw data'!K229))),8,0),0)</f>
        <v>0</v>
      </c>
      <c r="M238" s="29">
        <f>IFERROR(IF(AND('Real results'!C229&lt;&gt;"",'Raw data'!M229&lt;&gt;"",UPPER(TRIM('Real results'!C229))=UPPER(TRIM('Raw data'!M229))),8,0),0)</f>
        <v>0</v>
      </c>
      <c r="O238" s="29">
        <f>IFERROR(IF(AND('Real results'!C229&lt;&gt;"",'Raw data'!O229&lt;&gt;"",UPPER(TRIM('Real results'!C229))=UPPER(TRIM('Raw data'!O229))),8,0),0)</f>
        <v>0</v>
      </c>
      <c r="Q238" s="29">
        <f>IFERROR(IF(AND('Real results'!C229&lt;&gt;"",'Raw data'!Q229&lt;&gt;"",UPPER(TRIM('Real results'!C229))=UPPER(TRIM('Raw data'!Q229))),8,0),0)</f>
        <v>0</v>
      </c>
      <c r="S238" s="29">
        <f>IFERROR(IF(AND('Real results'!C229&lt;&gt;"",'Raw data'!S229&lt;&gt;"",UPPER(TRIM('Real results'!C229))=UPPER(TRIM('Raw data'!S229))),8,0),0)</f>
        <v>0</v>
      </c>
      <c r="U238" s="29">
        <f>IFERROR(IF(AND('Real results'!C229&lt;&gt;"",'Raw data'!U229&lt;&gt;"",UPPER(TRIM('Real results'!C229))=UPPER(TRIM('Raw data'!U229))),8,0),0)</f>
        <v>0</v>
      </c>
      <c r="W238" s="29">
        <f>IFERROR(IF(AND('Real results'!C229&lt;&gt;"",'Raw data'!W229&lt;&gt;"",UPPER(TRIM('Real results'!C229))=UPPER(TRIM('Raw data'!W229))),8,0),0)</f>
        <v>0</v>
      </c>
      <c r="Y238" s="29">
        <f>IFERROR(IF(AND('Real results'!C229&lt;&gt;"",'Raw data'!Y229&lt;&gt;"",UPPER(TRIM('Real results'!C229))=UPPER(TRIM('Raw data'!Y229))),8,0),0)</f>
        <v>0</v>
      </c>
      <c r="AA238" s="29">
        <f>IFERROR(IF(AND('Real results'!C229&lt;&gt;"",'Raw data'!AA229&lt;&gt;"",UPPER(TRIM('Real results'!C229))=UPPER(TRIM('Raw data'!AA229))),8,0),0)</f>
        <v>0</v>
      </c>
      <c r="AC238" s="29">
        <f>IFERROR(IF(AND('Real results'!C229&lt;&gt;"",'Raw data'!AC229&lt;&gt;"",UPPER(TRIM('Real results'!C229))=UPPER(TRIM('Raw data'!AC229))),8,0),0)</f>
        <v>0</v>
      </c>
      <c r="AE238" s="29">
        <f>IFERROR(IF(AND('Real results'!C229&lt;&gt;"",'Raw data'!AE229&lt;&gt;"",UPPER(TRIM('Real results'!C229))=UPPER(TRIM('Raw data'!AE229))),8,0),0)</f>
        <v>0</v>
      </c>
      <c r="AG238" s="29">
        <f>IFERROR(IF(AND('Real results'!C229&lt;&gt;"",'Raw data'!AG229&lt;&gt;"",UPPER(TRIM('Real results'!C229))=UPPER(TRIM('Raw data'!AG229))),8,0),0)</f>
        <v>0</v>
      </c>
      <c r="AI238" s="29">
        <f>IFERROR(IF(AND('Real results'!C229&lt;&gt;"",'Raw data'!AI229&lt;&gt;"",UPPER(TRIM('Real results'!C229))=UPPER(TRIM('Raw data'!AI229))),8,0),0)</f>
        <v>0</v>
      </c>
      <c r="AK238" s="29">
        <f>IFERROR(IF(AND('Real results'!C229&lt;&gt;"",'Raw data'!AK229&lt;&gt;"",UPPER(TRIM('Real results'!C229))=UPPER(TRIM('Raw data'!AK229))),8,0),0)</f>
        <v>0</v>
      </c>
      <c r="AM238" s="29">
        <f>IFERROR(IF(AND('Real results'!C229&lt;&gt;"",'Raw data'!AM229&lt;&gt;"",UPPER(TRIM('Real results'!C229))=UPPER(TRIM('Raw data'!AM229))),8,0),0)</f>
        <v>0</v>
      </c>
      <c r="AO238" s="29">
        <f>IFERROR(IF(AND('Real results'!C229&lt;&gt;"",'Raw data'!AO229&lt;&gt;"",UPPER(TRIM('Real results'!C229))=UPPER(TRIM('Raw data'!AO229))),8,0),0)</f>
        <v>0</v>
      </c>
      <c r="AQ238" s="29">
        <f>IFERROR(IF(AND('Real results'!C229&lt;&gt;"",'Raw data'!AQ229&lt;&gt;"",UPPER(TRIM('Real results'!C229))=UPPER(TRIM('Raw data'!AQ229))),8,0),0)</f>
        <v>0</v>
      </c>
      <c r="AS238" s="29">
        <f>IFERROR(IF(AND('Real results'!C229&lt;&gt;"",'Raw data'!AS229&lt;&gt;"",UPPER(TRIM('Real results'!C229))=UPPER(TRIM('Raw data'!AS229))),8,0),0)</f>
        <v>0</v>
      </c>
      <c r="AU238" s="29">
        <f>IFERROR(IF(AND('Real results'!C229&lt;&gt;"",'Raw data'!AU229&lt;&gt;"",UPPER(TRIM('Real results'!C229))=UPPER(TRIM('Raw data'!AU229))),8,0),0)</f>
        <v>0</v>
      </c>
      <c r="AW238" s="29">
        <f>IFERROR(IF(AND('Real results'!C229&lt;&gt;"",'Raw data'!AW229&lt;&gt;"",UPPER(TRIM('Real results'!C229))=UPPER(TRIM('Raw data'!AW229))),8,0),0)</f>
        <v>0</v>
      </c>
      <c r="AY238" s="29">
        <f>IFERROR(IF(AND('Real results'!C229&lt;&gt;"",'Raw data'!AY229&lt;&gt;"",UPPER(TRIM('Real results'!C229))=UPPER(TRIM('Raw data'!AY229))),8,0),0)</f>
        <v>0</v>
      </c>
      <c r="BA238" s="29">
        <f>IFERROR(IF(AND('Real results'!C229&lt;&gt;"",'Raw data'!BA229&lt;&gt;"",UPPER(TRIM('Real results'!C229))=UPPER(TRIM('Raw data'!BA229))),8,0),0)</f>
        <v>0</v>
      </c>
      <c r="BC238" s="29">
        <f>IFERROR(IF(AND('Real results'!C229&lt;&gt;"",'Raw data'!BC229&lt;&gt;"",UPPER(TRIM('Real results'!C229))=UPPER(TRIM('Raw data'!BC229))),8,0),0)</f>
        <v>0</v>
      </c>
      <c r="BE238" s="29">
        <f>IFERROR(IF(AND('Real results'!C229&lt;&gt;"",'Raw data'!BE229&lt;&gt;"",UPPER(TRIM('Real results'!C229))=UPPER(TRIM('Raw data'!BE229))),8,0),0)</f>
        <v>0</v>
      </c>
      <c r="BG238" s="29">
        <f>IFERROR(IF(AND('Real results'!C229&lt;&gt;"",'Raw data'!BG229&lt;&gt;"",UPPER(TRIM('Real results'!C229))=UPPER(TRIM('Raw data'!BG229))),8,0),0)</f>
        <v>0</v>
      </c>
      <c r="BI238" s="29">
        <f>IFERROR(IF(AND('Real results'!C229&lt;&gt;"",'Raw data'!BI229&lt;&gt;"",UPPER(TRIM('Real results'!C229))=UPPER(TRIM('Raw data'!BI229))),8,0),0)</f>
        <v>0</v>
      </c>
    </row>
    <row r="239" ht="21.75" customHeight="1">
      <c r="A239" s="1"/>
      <c r="B239" s="30" t="s">
        <v>512</v>
      </c>
      <c r="C239" s="31">
        <f>SUM(C237:C238)</f>
        <v>0</v>
      </c>
      <c r="E239" s="31">
        <f>SUM(E237:E238)</f>
        <v>0</v>
      </c>
      <c r="G239" s="31">
        <f>SUM(G237:G238)</f>
        <v>0</v>
      </c>
      <c r="I239" s="31">
        <f>SUM(I237:I238)</f>
        <v>0</v>
      </c>
      <c r="K239" s="31">
        <f>SUM(K237:K238)</f>
        <v>0</v>
      </c>
      <c r="M239" s="31">
        <f>SUM(M237:M238)</f>
        <v>0</v>
      </c>
      <c r="O239" s="31">
        <f>SUM(O237:O238)</f>
        <v>0</v>
      </c>
      <c r="Q239" s="31">
        <f>SUM(Q237:Q238)</f>
        <v>0</v>
      </c>
      <c r="S239" s="31">
        <f>SUM(S237:S238)</f>
        <v>0</v>
      </c>
      <c r="U239" s="31">
        <f>SUM(U237:U238)</f>
        <v>0</v>
      </c>
      <c r="W239" s="31">
        <f>SUM(W237:W238)</f>
        <v>0</v>
      </c>
      <c r="Y239" s="31">
        <f>SUM(Y237:Y238)</f>
        <v>0</v>
      </c>
      <c r="AA239" s="31">
        <f>SUM(AA237:AA238)</f>
        <v>0</v>
      </c>
      <c r="AC239" s="31">
        <f>SUM(AC237:AC238)</f>
        <v>0</v>
      </c>
      <c r="AE239" s="31">
        <f>SUM(AE237:AE238)</f>
        <v>0</v>
      </c>
      <c r="AG239" s="31">
        <f>SUM(AG237:AG238)</f>
        <v>0</v>
      </c>
      <c r="AI239" s="31">
        <f>SUM(AI237:AI238)</f>
        <v>0</v>
      </c>
      <c r="AK239" s="31">
        <f>SUM(AK237:AK238)</f>
        <v>0</v>
      </c>
      <c r="AM239" s="31">
        <f>SUM(AM237:AM238)</f>
        <v>0</v>
      </c>
      <c r="AO239" s="31">
        <f>SUM(AO237:AO238)</f>
        <v>0</v>
      </c>
      <c r="AQ239" s="31">
        <f>SUM(AQ237:AQ238)</f>
        <v>0</v>
      </c>
      <c r="AS239" s="31">
        <f>SUM(AS237:AS238)</f>
        <v>0</v>
      </c>
      <c r="AU239" s="31">
        <f>SUM(AU237:AU238)</f>
        <v>0</v>
      </c>
      <c r="AW239" s="31">
        <f>SUM(AW237:AW238)</f>
        <v>0</v>
      </c>
      <c r="AY239" s="31">
        <f>SUM(AY237:AY238)</f>
        <v>0</v>
      </c>
      <c r="BA239" s="31">
        <f>SUM(BA237:BA238)</f>
        <v>0</v>
      </c>
      <c r="BC239" s="31">
        <f>SUM(BC237:BC238)</f>
        <v>0</v>
      </c>
      <c r="BE239" s="31">
        <f>SUM(BE237:BE238)</f>
        <v>0</v>
      </c>
      <c r="BG239" s="31">
        <f>SUM(BG237:BG238)</f>
        <v>0</v>
      </c>
      <c r="BI239" s="31">
        <f>SUM(BI237:BI238)</f>
        <v>0</v>
      </c>
    </row>
    <row r="240" ht="15.75" customHeight="1">
      <c r="A240" s="1"/>
      <c r="B240" s="1"/>
      <c r="C240" s="1"/>
      <c r="E240" s="1"/>
      <c r="G240" s="1"/>
      <c r="I240" s="1"/>
      <c r="K240" s="1"/>
      <c r="M240" s="1"/>
      <c r="O240" s="1"/>
      <c r="Q240" s="1"/>
      <c r="S240" s="1"/>
      <c r="U240" s="1"/>
      <c r="W240" s="1"/>
      <c r="Y240" s="1"/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  <c r="AW240" s="1"/>
      <c r="AY240" s="1"/>
      <c r="BA240" s="1"/>
      <c r="BC240" s="1"/>
      <c r="BE240" s="1"/>
      <c r="BG240" s="1"/>
      <c r="BI240" s="1"/>
    </row>
    <row r="241" ht="30.0" customHeight="1">
      <c r="A241" s="1"/>
      <c r="B241" s="32" t="s">
        <v>513</v>
      </c>
      <c r="C241" s="33">
        <f>SUMIF($B$7:$B$240,"Subtotal*",C$7:C$240)</f>
        <v>0</v>
      </c>
      <c r="E241" s="33">
        <f>SUMIF($B$7:$B$240,"Subtotal*",E$7:E$240)</f>
        <v>0</v>
      </c>
      <c r="G241" s="33">
        <f>SUMIF($B$7:$B$240,"Subtotal*",G$7:G$240)</f>
        <v>0</v>
      </c>
      <c r="I241" s="33">
        <f>SUMIF($B$7:$B$240,"Subtotal*",I$7:I$240)</f>
        <v>0</v>
      </c>
      <c r="K241" s="33">
        <f>SUMIF($B$7:$B$240,"Subtotal*",K$7:K$240)</f>
        <v>0</v>
      </c>
      <c r="M241" s="33">
        <f>SUMIF($B$7:$B$240,"Subtotal*",M$7:M$240)</f>
        <v>0</v>
      </c>
      <c r="O241" s="33">
        <f>SUMIF($B$7:$B$240,"Subtotal*",O$7:O$240)</f>
        <v>0</v>
      </c>
      <c r="Q241" s="33">
        <f>SUMIF($B$7:$B$240,"Subtotal*",Q$7:Q$240)</f>
        <v>0</v>
      </c>
      <c r="S241" s="33">
        <f>SUMIF($B$7:$B$240,"Subtotal*",S$7:S$240)</f>
        <v>0</v>
      </c>
      <c r="U241" s="33">
        <f>SUMIF($B$7:$B$240,"Subtotal*",U$7:U$240)</f>
        <v>0</v>
      </c>
      <c r="W241" s="33">
        <f>SUMIF($B$7:$B$240,"Subtotal*",W$7:W$240)</f>
        <v>0</v>
      </c>
      <c r="Y241" s="33">
        <f>SUMIF($B$7:$B$240,"Subtotal*",Y$7:Y$240)</f>
        <v>0</v>
      </c>
      <c r="AA241" s="33">
        <f>SUMIF($B$7:$B$240,"Subtotal*",AA$7:AA$240)</f>
        <v>0</v>
      </c>
      <c r="AC241" s="33">
        <f>SUMIF($B$7:$B$240,"Subtotal*",AC$7:AC$240)</f>
        <v>0</v>
      </c>
      <c r="AE241" s="33">
        <f>SUMIF($B$7:$B$240,"Subtotal*",AE$7:AE$240)</f>
        <v>0</v>
      </c>
      <c r="AG241" s="33">
        <f>SUMIF($B$7:$B$240,"Subtotal*",AG$7:AG$240)</f>
        <v>0</v>
      </c>
      <c r="AI241" s="33">
        <f>SUMIF($B$7:$B$240,"Subtotal*",AI$7:AI$240)</f>
        <v>0</v>
      </c>
      <c r="AK241" s="33">
        <f>SUMIF($B$7:$B$240,"Subtotal*",AK$7:AK$240)</f>
        <v>0</v>
      </c>
      <c r="AM241" s="33">
        <f>SUMIF($B$7:$B$240,"Subtotal*",AM$7:AM$240)</f>
        <v>0</v>
      </c>
      <c r="AO241" s="33">
        <f>SUMIF($B$7:$B$240,"Subtotal*",AO$7:AO$240)</f>
        <v>0</v>
      </c>
      <c r="AQ241" s="33">
        <f>SUMIF($B$7:$B$240,"Subtotal*",AQ$7:AQ$240)</f>
        <v>0</v>
      </c>
      <c r="AS241" s="33">
        <f>SUMIF($B$7:$B$240,"Subtotal*",AS$7:AS$240)</f>
        <v>0</v>
      </c>
      <c r="AU241" s="33">
        <f>SUMIF($B$7:$B$240,"Subtotal*",AU$7:AU$240)</f>
        <v>0</v>
      </c>
      <c r="AW241" s="33">
        <f>SUMIF($B$7:$B$240,"Subtotal*",AW$7:AW$240)</f>
        <v>0</v>
      </c>
      <c r="AY241" s="33">
        <f>SUMIF($B$7:$B$240,"Subtotal*",AY$7:AY$240)</f>
        <v>0</v>
      </c>
      <c r="BA241" s="33">
        <f>SUMIF($B$7:$B$240,"Subtotal*",BA$7:BA$240)</f>
        <v>0</v>
      </c>
      <c r="BC241" s="33">
        <f>SUMIF($B$7:$B$240,"Subtotal*",BC$7:BC$240)</f>
        <v>0</v>
      </c>
      <c r="BE241" s="33">
        <f>SUMIF($B$7:$B$240,"Subtotal*",BE$7:BE$240)</f>
        <v>0</v>
      </c>
      <c r="BG241" s="33">
        <f>SUMIF($B$7:$B$240,"Subtotal*",BG$7:BG$240)</f>
        <v>0</v>
      </c>
      <c r="BI241" s="33">
        <f>SUMIF($B$7:$B$240,"Subtotal*",BI$7:BI$240)</f>
        <v>0</v>
      </c>
    </row>
    <row r="242" ht="15.75" customHeight="1">
      <c r="A242" s="1"/>
      <c r="B242" s="1"/>
      <c r="C242" s="1"/>
      <c r="E242" s="1"/>
      <c r="G242" s="1"/>
      <c r="I242" s="1"/>
      <c r="K242" s="1"/>
      <c r="M242" s="1"/>
      <c r="O242" s="1"/>
      <c r="Q242" s="1"/>
      <c r="S242" s="1"/>
      <c r="U242" s="1"/>
      <c r="W242" s="1"/>
      <c r="Y242" s="1"/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  <c r="AW242" s="1"/>
      <c r="AY242" s="1"/>
      <c r="BA242" s="1"/>
      <c r="BC242" s="1"/>
      <c r="BE242" s="1"/>
      <c r="BG242" s="1"/>
      <c r="BI242" s="1"/>
    </row>
    <row r="243" ht="15.75" customHeight="1">
      <c r="A243" s="1"/>
      <c r="B243" s="1"/>
      <c r="C243" s="1"/>
      <c r="E243" s="1"/>
      <c r="G243" s="1"/>
      <c r="I243" s="1"/>
      <c r="K243" s="1"/>
      <c r="M243" s="1"/>
      <c r="O243" s="1"/>
      <c r="Q243" s="1"/>
      <c r="S243" s="1"/>
      <c r="U243" s="1"/>
      <c r="W243" s="1"/>
      <c r="Y243" s="1"/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  <c r="AW243" s="1"/>
      <c r="AY243" s="1"/>
      <c r="BA243" s="1"/>
      <c r="BC243" s="1"/>
      <c r="BE243" s="1"/>
      <c r="BG243" s="1"/>
      <c r="BI243" s="1"/>
    </row>
    <row r="244" ht="15.75" customHeight="1">
      <c r="A244" s="1"/>
      <c r="B244" s="1"/>
      <c r="C244" s="1"/>
      <c r="E244" s="1"/>
      <c r="G244" s="1"/>
      <c r="I244" s="1"/>
      <c r="K244" s="1"/>
      <c r="M244" s="1"/>
      <c r="O244" s="1"/>
      <c r="Q244" s="1"/>
      <c r="S244" s="1"/>
      <c r="U244" s="1"/>
      <c r="W244" s="1"/>
      <c r="Y244" s="1"/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  <c r="AW244" s="1"/>
      <c r="AY244" s="1"/>
      <c r="BA244" s="1"/>
      <c r="BC244" s="1"/>
      <c r="BE244" s="1"/>
      <c r="BG244" s="1"/>
      <c r="BI244" s="1"/>
    </row>
    <row r="245" ht="15.75" customHeight="1">
      <c r="A245" s="1"/>
      <c r="B245" s="1"/>
      <c r="C245" s="1"/>
      <c r="E245" s="1"/>
      <c r="G245" s="1"/>
      <c r="I245" s="1"/>
      <c r="K245" s="1"/>
      <c r="M245" s="1"/>
      <c r="O245" s="1"/>
      <c r="Q245" s="1"/>
      <c r="S245" s="1"/>
      <c r="U245" s="1"/>
      <c r="W245" s="1"/>
      <c r="Y245" s="1"/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  <c r="AW245" s="1"/>
      <c r="AY245" s="1"/>
      <c r="BA245" s="1"/>
      <c r="BC245" s="1"/>
      <c r="BE245" s="1"/>
      <c r="BG245" s="1"/>
      <c r="BI245" s="1"/>
    </row>
    <row r="246" ht="15.75" customHeight="1">
      <c r="A246" s="1"/>
      <c r="B246" s="1"/>
      <c r="C246" s="1"/>
      <c r="E246" s="1"/>
      <c r="G246" s="1"/>
      <c r="I246" s="1"/>
      <c r="K246" s="1"/>
      <c r="M246" s="1"/>
      <c r="O246" s="1"/>
      <c r="Q246" s="1"/>
      <c r="S246" s="1"/>
      <c r="U246" s="1"/>
      <c r="W246" s="1"/>
      <c r="Y246" s="1"/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  <c r="AW246" s="1"/>
      <c r="AY246" s="1"/>
      <c r="BA246" s="1"/>
      <c r="BC246" s="1"/>
      <c r="BE246" s="1"/>
      <c r="BG246" s="1"/>
      <c r="BI246" s="1"/>
    </row>
    <row r="247" ht="15.75" customHeight="1">
      <c r="A247" s="1"/>
      <c r="B247" s="1"/>
      <c r="C247" s="1"/>
      <c r="E247" s="1"/>
      <c r="G247" s="1"/>
      <c r="I247" s="1"/>
      <c r="K247" s="1"/>
      <c r="M247" s="1"/>
      <c r="O247" s="1"/>
      <c r="Q247" s="1"/>
      <c r="S247" s="1"/>
      <c r="U247" s="1"/>
      <c r="W247" s="1"/>
      <c r="Y247" s="1"/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  <c r="AW247" s="1"/>
      <c r="AY247" s="1"/>
      <c r="BA247" s="1"/>
      <c r="BC247" s="1"/>
      <c r="BE247" s="1"/>
      <c r="BG247" s="1"/>
      <c r="BI247" s="1"/>
    </row>
    <row r="248" ht="15.75" customHeight="1">
      <c r="A248" s="1"/>
      <c r="B248" s="1"/>
      <c r="C248" s="1"/>
      <c r="E248" s="1"/>
      <c r="G248" s="1"/>
      <c r="I248" s="1"/>
      <c r="K248" s="1"/>
      <c r="M248" s="1"/>
      <c r="O248" s="1"/>
      <c r="Q248" s="1"/>
      <c r="S248" s="1"/>
      <c r="U248" s="1"/>
      <c r="W248" s="1"/>
      <c r="Y248" s="1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  <c r="AW248" s="1"/>
      <c r="AY248" s="1"/>
      <c r="BA248" s="1"/>
      <c r="BC248" s="1"/>
      <c r="BE248" s="1"/>
      <c r="BG248" s="1"/>
      <c r="BI248" s="1"/>
    </row>
    <row r="249" ht="15.75" customHeight="1">
      <c r="A249" s="1"/>
      <c r="B249" s="1"/>
      <c r="C249" s="1"/>
      <c r="E249" s="1"/>
      <c r="G249" s="1"/>
      <c r="I249" s="1"/>
      <c r="K249" s="1"/>
      <c r="M249" s="1"/>
      <c r="O249" s="1"/>
      <c r="Q249" s="1"/>
      <c r="S249" s="1"/>
      <c r="U249" s="1"/>
      <c r="W249" s="1"/>
      <c r="Y249" s="1"/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  <c r="AW249" s="1"/>
      <c r="AY249" s="1"/>
      <c r="BA249" s="1"/>
      <c r="BC249" s="1"/>
      <c r="BE249" s="1"/>
      <c r="BG249" s="1"/>
      <c r="BI249" s="1"/>
    </row>
    <row r="250" ht="15.75" customHeight="1">
      <c r="A250" s="1"/>
      <c r="B250" s="1"/>
      <c r="C250" s="1"/>
      <c r="E250" s="1"/>
      <c r="G250" s="1"/>
      <c r="I250" s="1"/>
      <c r="K250" s="1"/>
      <c r="M250" s="1"/>
      <c r="O250" s="1"/>
      <c r="Q250" s="1"/>
      <c r="S250" s="1"/>
      <c r="U250" s="1"/>
      <c r="W250" s="1"/>
      <c r="Y250" s="1"/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  <c r="AW250" s="1"/>
      <c r="AY250" s="1"/>
      <c r="BA250" s="1"/>
      <c r="BC250" s="1"/>
      <c r="BE250" s="1"/>
      <c r="BG250" s="1"/>
      <c r="BI250" s="1"/>
    </row>
    <row r="251" ht="15.75" customHeight="1">
      <c r="A251" s="1"/>
      <c r="B251" s="1"/>
      <c r="C251" s="1"/>
      <c r="E251" s="1"/>
      <c r="G251" s="1"/>
      <c r="I251" s="1"/>
      <c r="K251" s="1"/>
      <c r="M251" s="1"/>
      <c r="O251" s="1"/>
      <c r="Q251" s="1"/>
      <c r="S251" s="1"/>
      <c r="U251" s="1"/>
      <c r="W251" s="1"/>
      <c r="Y251" s="1"/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  <c r="AW251" s="1"/>
      <c r="AY251" s="1"/>
      <c r="BA251" s="1"/>
      <c r="BC251" s="1"/>
      <c r="BE251" s="1"/>
      <c r="BG251" s="1"/>
      <c r="BI251" s="1"/>
    </row>
    <row r="252" ht="15.75" customHeight="1">
      <c r="A252" s="1"/>
      <c r="B252" s="1"/>
      <c r="C252" s="1"/>
      <c r="E252" s="1"/>
      <c r="G252" s="1"/>
      <c r="I252" s="1"/>
      <c r="K252" s="1"/>
      <c r="M252" s="1"/>
      <c r="O252" s="1"/>
      <c r="Q252" s="1"/>
      <c r="S252" s="1"/>
      <c r="U252" s="1"/>
      <c r="W252" s="1"/>
      <c r="Y252" s="1"/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  <c r="AW252" s="1"/>
      <c r="AY252" s="1"/>
      <c r="BA252" s="1"/>
      <c r="BC252" s="1"/>
      <c r="BE252" s="1"/>
      <c r="BG252" s="1"/>
      <c r="BI252" s="1"/>
    </row>
    <row r="253" ht="15.75" customHeight="1">
      <c r="A253" s="1"/>
      <c r="B253" s="1"/>
      <c r="C253" s="1"/>
      <c r="E253" s="1"/>
      <c r="G253" s="1"/>
      <c r="I253" s="1"/>
      <c r="K253" s="1"/>
      <c r="M253" s="1"/>
      <c r="O253" s="1"/>
      <c r="Q253" s="1"/>
      <c r="S253" s="1"/>
      <c r="U253" s="1"/>
      <c r="W253" s="1"/>
      <c r="Y253" s="1"/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  <c r="AW253" s="1"/>
      <c r="AY253" s="1"/>
      <c r="BA253" s="1"/>
      <c r="BC253" s="1"/>
      <c r="BE253" s="1"/>
      <c r="BG253" s="1"/>
      <c r="BI253" s="1"/>
    </row>
    <row r="254" ht="15.75" customHeight="1">
      <c r="A254" s="1"/>
      <c r="B254" s="1"/>
      <c r="C254" s="1"/>
      <c r="E254" s="1"/>
      <c r="G254" s="1"/>
      <c r="I254" s="1"/>
      <c r="K254" s="1"/>
      <c r="M254" s="1"/>
      <c r="O254" s="1"/>
      <c r="Q254" s="1"/>
      <c r="S254" s="1"/>
      <c r="U254" s="1"/>
      <c r="W254" s="1"/>
      <c r="Y254" s="1"/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  <c r="AW254" s="1"/>
      <c r="AY254" s="1"/>
      <c r="BA254" s="1"/>
      <c r="BC254" s="1"/>
      <c r="BE254" s="1"/>
      <c r="BG254" s="1"/>
      <c r="BI254" s="1"/>
    </row>
    <row r="255" ht="15.75" customHeight="1">
      <c r="A255" s="1"/>
      <c r="B255" s="1"/>
      <c r="C255" s="1"/>
      <c r="E255" s="1"/>
      <c r="G255" s="1"/>
      <c r="I255" s="1"/>
      <c r="K255" s="1"/>
      <c r="M255" s="1"/>
      <c r="O255" s="1"/>
      <c r="Q255" s="1"/>
      <c r="S255" s="1"/>
      <c r="U255" s="1"/>
      <c r="W255" s="1"/>
      <c r="Y255" s="1"/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  <c r="AW255" s="1"/>
      <c r="AY255" s="1"/>
      <c r="BA255" s="1"/>
      <c r="BC255" s="1"/>
      <c r="BE255" s="1"/>
      <c r="BG255" s="1"/>
      <c r="BI255" s="1"/>
    </row>
    <row r="256" ht="15.75" customHeight="1">
      <c r="A256" s="1"/>
      <c r="B256" s="1"/>
      <c r="C256" s="1"/>
      <c r="E256" s="1"/>
      <c r="G256" s="1"/>
      <c r="I256" s="1"/>
      <c r="K256" s="1"/>
      <c r="M256" s="1"/>
      <c r="O256" s="1"/>
      <c r="Q256" s="1"/>
      <c r="S256" s="1"/>
      <c r="U256" s="1"/>
      <c r="W256" s="1"/>
      <c r="Y256" s="1"/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  <c r="AW256" s="1"/>
      <c r="AY256" s="1"/>
      <c r="BA256" s="1"/>
      <c r="BC256" s="1"/>
      <c r="BE256" s="1"/>
      <c r="BG256" s="1"/>
      <c r="BI256" s="1"/>
    </row>
    <row r="257" ht="15.75" customHeight="1">
      <c r="A257" s="1"/>
      <c r="B257" s="1"/>
      <c r="C257" s="1"/>
      <c r="E257" s="1"/>
      <c r="G257" s="1"/>
      <c r="I257" s="1"/>
      <c r="K257" s="1"/>
      <c r="M257" s="1"/>
      <c r="O257" s="1"/>
      <c r="Q257" s="1"/>
      <c r="S257" s="1"/>
      <c r="U257" s="1"/>
      <c r="W257" s="1"/>
      <c r="Y257" s="1"/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  <c r="AW257" s="1"/>
      <c r="AY257" s="1"/>
      <c r="BA257" s="1"/>
      <c r="BC257" s="1"/>
      <c r="BE257" s="1"/>
      <c r="BG257" s="1"/>
      <c r="BI257" s="1"/>
    </row>
    <row r="258" ht="15.75" customHeight="1">
      <c r="A258" s="1"/>
      <c r="B258" s="1"/>
      <c r="C258" s="1"/>
      <c r="E258" s="1"/>
      <c r="G258" s="1"/>
      <c r="I258" s="1"/>
      <c r="K258" s="1"/>
      <c r="M258" s="1"/>
      <c r="O258" s="1"/>
      <c r="Q258" s="1"/>
      <c r="S258" s="1"/>
      <c r="U258" s="1"/>
      <c r="W258" s="1"/>
      <c r="Y258" s="1"/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  <c r="AW258" s="1"/>
      <c r="AY258" s="1"/>
      <c r="BA258" s="1"/>
      <c r="BC258" s="1"/>
      <c r="BE258" s="1"/>
      <c r="BG258" s="1"/>
      <c r="BI258" s="1"/>
    </row>
    <row r="259" ht="15.75" customHeight="1">
      <c r="A259" s="1"/>
      <c r="B259" s="1"/>
      <c r="C259" s="1"/>
      <c r="E259" s="1"/>
      <c r="G259" s="1"/>
      <c r="I259" s="1"/>
      <c r="K259" s="1"/>
      <c r="M259" s="1"/>
      <c r="O259" s="1"/>
      <c r="Q259" s="1"/>
      <c r="S259" s="1"/>
      <c r="U259" s="1"/>
      <c r="W259" s="1"/>
      <c r="Y259" s="1"/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  <c r="AW259" s="1"/>
      <c r="AY259" s="1"/>
      <c r="BA259" s="1"/>
      <c r="BC259" s="1"/>
      <c r="BE259" s="1"/>
      <c r="BG259" s="1"/>
      <c r="BI259" s="1"/>
    </row>
    <row r="260" ht="15.75" customHeight="1">
      <c r="A260" s="1"/>
      <c r="B260" s="1"/>
      <c r="C260" s="1"/>
      <c r="E260" s="1"/>
      <c r="G260" s="1"/>
      <c r="I260" s="1"/>
      <c r="K260" s="1"/>
      <c r="M260" s="1"/>
      <c r="O260" s="1"/>
      <c r="Q260" s="1"/>
      <c r="S260" s="1"/>
      <c r="U260" s="1"/>
      <c r="W260" s="1"/>
      <c r="Y260" s="1"/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  <c r="AW260" s="1"/>
      <c r="AY260" s="1"/>
      <c r="BA260" s="1"/>
      <c r="BC260" s="1"/>
      <c r="BE260" s="1"/>
      <c r="BG260" s="1"/>
      <c r="BI260" s="1"/>
    </row>
    <row r="261" ht="15.75" customHeight="1">
      <c r="A261" s="1"/>
      <c r="B261" s="1"/>
      <c r="C261" s="1"/>
      <c r="E261" s="1"/>
      <c r="G261" s="1"/>
      <c r="I261" s="1"/>
      <c r="K261" s="1"/>
      <c r="M261" s="1"/>
      <c r="O261" s="1"/>
      <c r="Q261" s="1"/>
      <c r="S261" s="1"/>
      <c r="U261" s="1"/>
      <c r="W261" s="1"/>
      <c r="Y261" s="1"/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  <c r="AW261" s="1"/>
      <c r="AY261" s="1"/>
      <c r="BA261" s="1"/>
      <c r="BC261" s="1"/>
      <c r="BE261" s="1"/>
      <c r="BG261" s="1"/>
      <c r="BI261" s="1"/>
    </row>
    <row r="262" ht="15.75" customHeight="1">
      <c r="A262" s="1"/>
      <c r="B262" s="1"/>
      <c r="C262" s="1"/>
      <c r="E262" s="1"/>
      <c r="G262" s="1"/>
      <c r="I262" s="1"/>
      <c r="K262" s="1"/>
      <c r="M262" s="1"/>
      <c r="O262" s="1"/>
      <c r="Q262" s="1"/>
      <c r="S262" s="1"/>
      <c r="U262" s="1"/>
      <c r="W262" s="1"/>
      <c r="Y262" s="1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  <c r="AW262" s="1"/>
      <c r="AY262" s="1"/>
      <c r="BA262" s="1"/>
      <c r="BC262" s="1"/>
      <c r="BE262" s="1"/>
      <c r="BG262" s="1"/>
      <c r="BI262" s="1"/>
    </row>
    <row r="263" ht="15.75" customHeight="1">
      <c r="A263" s="1"/>
      <c r="B263" s="1"/>
      <c r="C263" s="1"/>
      <c r="E263" s="1"/>
      <c r="G263" s="1"/>
      <c r="I263" s="1"/>
      <c r="K263" s="1"/>
      <c r="M263" s="1"/>
      <c r="O263" s="1"/>
      <c r="Q263" s="1"/>
      <c r="S263" s="1"/>
      <c r="U263" s="1"/>
      <c r="W263" s="1"/>
      <c r="Y263" s="1"/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  <c r="AW263" s="1"/>
      <c r="AY263" s="1"/>
      <c r="BA263" s="1"/>
      <c r="BC263" s="1"/>
      <c r="BE263" s="1"/>
      <c r="BG263" s="1"/>
      <c r="BI263" s="1"/>
    </row>
    <row r="264" ht="15.75" customHeight="1">
      <c r="A264" s="1"/>
      <c r="B264" s="1"/>
      <c r="C264" s="1"/>
      <c r="E264" s="1"/>
      <c r="G264" s="1"/>
      <c r="I264" s="1"/>
      <c r="K264" s="1"/>
      <c r="M264" s="1"/>
      <c r="O264" s="1"/>
      <c r="Q264" s="1"/>
      <c r="S264" s="1"/>
      <c r="U264" s="1"/>
      <c r="W264" s="1"/>
      <c r="Y264" s="1"/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  <c r="AW264" s="1"/>
      <c r="AY264" s="1"/>
      <c r="BA264" s="1"/>
      <c r="BC264" s="1"/>
      <c r="BE264" s="1"/>
      <c r="BG264" s="1"/>
      <c r="BI264" s="1"/>
    </row>
    <row r="265" ht="15.75" customHeight="1">
      <c r="A265" s="1"/>
      <c r="B265" s="1"/>
      <c r="C265" s="1"/>
      <c r="E265" s="1"/>
      <c r="G265" s="1"/>
      <c r="I265" s="1"/>
      <c r="K265" s="1"/>
      <c r="M265" s="1"/>
      <c r="O265" s="1"/>
      <c r="Q265" s="1"/>
      <c r="S265" s="1"/>
      <c r="U265" s="1"/>
      <c r="W265" s="1"/>
      <c r="Y265" s="1"/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  <c r="AW265" s="1"/>
      <c r="AY265" s="1"/>
      <c r="BA265" s="1"/>
      <c r="BC265" s="1"/>
      <c r="BE265" s="1"/>
      <c r="BG265" s="1"/>
      <c r="BI265" s="1"/>
    </row>
    <row r="266" ht="15.75" customHeight="1">
      <c r="A266" s="1"/>
      <c r="B266" s="1"/>
      <c r="C266" s="1"/>
      <c r="E266" s="1"/>
      <c r="G266" s="1"/>
      <c r="I266" s="1"/>
      <c r="K266" s="1"/>
      <c r="M266" s="1"/>
      <c r="O266" s="1"/>
      <c r="Q266" s="1"/>
      <c r="S266" s="1"/>
      <c r="U266" s="1"/>
      <c r="W266" s="1"/>
      <c r="Y266" s="1"/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  <c r="AW266" s="1"/>
      <c r="AY266" s="1"/>
      <c r="BA266" s="1"/>
      <c r="BC266" s="1"/>
      <c r="BE266" s="1"/>
      <c r="BG266" s="1"/>
      <c r="BI266" s="1"/>
    </row>
    <row r="267" ht="15.75" customHeight="1">
      <c r="A267" s="1"/>
      <c r="B267" s="1"/>
      <c r="C267" s="1"/>
      <c r="E267" s="1"/>
      <c r="G267" s="1"/>
      <c r="I267" s="1"/>
      <c r="K267" s="1"/>
      <c r="M267" s="1"/>
      <c r="O267" s="1"/>
      <c r="Q267" s="1"/>
      <c r="S267" s="1"/>
      <c r="U267" s="1"/>
      <c r="W267" s="1"/>
      <c r="Y267" s="1"/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  <c r="AW267" s="1"/>
      <c r="AY267" s="1"/>
      <c r="BA267" s="1"/>
      <c r="BC267" s="1"/>
      <c r="BE267" s="1"/>
      <c r="BG267" s="1"/>
      <c r="BI267" s="1"/>
    </row>
    <row r="268" ht="15.75" customHeight="1">
      <c r="A268" s="1"/>
      <c r="B268" s="1"/>
      <c r="C268" s="1"/>
      <c r="E268" s="1"/>
      <c r="G268" s="1"/>
      <c r="I268" s="1"/>
      <c r="K268" s="1"/>
      <c r="M268" s="1"/>
      <c r="O268" s="1"/>
      <c r="Q268" s="1"/>
      <c r="S268" s="1"/>
      <c r="U268" s="1"/>
      <c r="W268" s="1"/>
      <c r="Y268" s="1"/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  <c r="AW268" s="1"/>
      <c r="AY268" s="1"/>
      <c r="BA268" s="1"/>
      <c r="BC268" s="1"/>
      <c r="BE268" s="1"/>
      <c r="BG268" s="1"/>
      <c r="BI268" s="1"/>
    </row>
    <row r="269" ht="15.75" customHeight="1">
      <c r="A269" s="1"/>
      <c r="B269" s="1"/>
      <c r="C269" s="1"/>
      <c r="E269" s="1"/>
      <c r="G269" s="1"/>
      <c r="I269" s="1"/>
      <c r="K269" s="1"/>
      <c r="M269" s="1"/>
      <c r="O269" s="1"/>
      <c r="Q269" s="1"/>
      <c r="S269" s="1"/>
      <c r="U269" s="1"/>
      <c r="W269" s="1"/>
      <c r="Y269" s="1"/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  <c r="AW269" s="1"/>
      <c r="AY269" s="1"/>
      <c r="BA269" s="1"/>
      <c r="BC269" s="1"/>
      <c r="BE269" s="1"/>
      <c r="BG269" s="1"/>
      <c r="BI269" s="1"/>
    </row>
    <row r="270" ht="15.75" customHeight="1">
      <c r="A270" s="1"/>
      <c r="B270" s="1"/>
      <c r="C270" s="1"/>
      <c r="E270" s="1"/>
      <c r="G270" s="1"/>
      <c r="I270" s="1"/>
      <c r="K270" s="1"/>
      <c r="M270" s="1"/>
      <c r="O270" s="1"/>
      <c r="Q270" s="1"/>
      <c r="S270" s="1"/>
      <c r="U270" s="1"/>
      <c r="W270" s="1"/>
      <c r="Y270" s="1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  <c r="AW270" s="1"/>
      <c r="AY270" s="1"/>
      <c r="BA270" s="1"/>
      <c r="BC270" s="1"/>
      <c r="BE270" s="1"/>
      <c r="BG270" s="1"/>
      <c r="BI270" s="1"/>
    </row>
    <row r="271" ht="15.75" customHeight="1">
      <c r="A271" s="1"/>
      <c r="B271" s="1"/>
      <c r="C271" s="1"/>
      <c r="E271" s="1"/>
      <c r="G271" s="1"/>
      <c r="I271" s="1"/>
      <c r="K271" s="1"/>
      <c r="M271" s="1"/>
      <c r="O271" s="1"/>
      <c r="Q271" s="1"/>
      <c r="S271" s="1"/>
      <c r="U271" s="1"/>
      <c r="W271" s="1"/>
      <c r="Y271" s="1"/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  <c r="AW271" s="1"/>
      <c r="AY271" s="1"/>
      <c r="BA271" s="1"/>
      <c r="BC271" s="1"/>
      <c r="BE271" s="1"/>
      <c r="BG271" s="1"/>
      <c r="BI271" s="1"/>
    </row>
    <row r="272" ht="15.75" customHeight="1">
      <c r="A272" s="1"/>
      <c r="B272" s="1"/>
      <c r="C272" s="1"/>
      <c r="E272" s="1"/>
      <c r="G272" s="1"/>
      <c r="I272" s="1"/>
      <c r="K272" s="1"/>
      <c r="M272" s="1"/>
      <c r="O272" s="1"/>
      <c r="Q272" s="1"/>
      <c r="S272" s="1"/>
      <c r="U272" s="1"/>
      <c r="W272" s="1"/>
      <c r="Y272" s="1"/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  <c r="AW272" s="1"/>
      <c r="AY272" s="1"/>
      <c r="BA272" s="1"/>
      <c r="BC272" s="1"/>
      <c r="BE272" s="1"/>
      <c r="BG272" s="1"/>
      <c r="BI272" s="1"/>
    </row>
    <row r="273" ht="15.75" customHeight="1">
      <c r="A273" s="1"/>
      <c r="B273" s="1"/>
      <c r="C273" s="1"/>
      <c r="E273" s="1"/>
      <c r="G273" s="1"/>
      <c r="I273" s="1"/>
      <c r="K273" s="1"/>
      <c r="M273" s="1"/>
      <c r="O273" s="1"/>
      <c r="Q273" s="1"/>
      <c r="S273" s="1"/>
      <c r="U273" s="1"/>
      <c r="W273" s="1"/>
      <c r="Y273" s="1"/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  <c r="AW273" s="1"/>
      <c r="AY273" s="1"/>
      <c r="BA273" s="1"/>
      <c r="BC273" s="1"/>
      <c r="BE273" s="1"/>
      <c r="BG273" s="1"/>
      <c r="BI273" s="1"/>
    </row>
    <row r="274" ht="15.75" customHeight="1">
      <c r="A274" s="1"/>
      <c r="B274" s="1"/>
      <c r="C274" s="1"/>
      <c r="E274" s="1"/>
      <c r="G274" s="1"/>
      <c r="I274" s="1"/>
      <c r="K274" s="1"/>
      <c r="M274" s="1"/>
      <c r="O274" s="1"/>
      <c r="Q274" s="1"/>
      <c r="S274" s="1"/>
      <c r="U274" s="1"/>
      <c r="W274" s="1"/>
      <c r="Y274" s="1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  <c r="AW274" s="1"/>
      <c r="AY274" s="1"/>
      <c r="BA274" s="1"/>
      <c r="BC274" s="1"/>
      <c r="BE274" s="1"/>
      <c r="BG274" s="1"/>
      <c r="BI274" s="1"/>
    </row>
    <row r="275" ht="15.75" customHeight="1">
      <c r="A275" s="1"/>
      <c r="B275" s="1"/>
      <c r="C275" s="1"/>
      <c r="E275" s="1"/>
      <c r="G275" s="1"/>
      <c r="I275" s="1"/>
      <c r="K275" s="1"/>
      <c r="M275" s="1"/>
      <c r="O275" s="1"/>
      <c r="Q275" s="1"/>
      <c r="S275" s="1"/>
      <c r="U275" s="1"/>
      <c r="W275" s="1"/>
      <c r="Y275" s="1"/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  <c r="AW275" s="1"/>
      <c r="AY275" s="1"/>
      <c r="BA275" s="1"/>
      <c r="BC275" s="1"/>
      <c r="BE275" s="1"/>
      <c r="BG275" s="1"/>
      <c r="BI275" s="1"/>
    </row>
    <row r="276" ht="15.75" customHeight="1">
      <c r="A276" s="1"/>
      <c r="B276" s="1"/>
      <c r="C276" s="1"/>
      <c r="E276" s="1"/>
      <c r="G276" s="1"/>
      <c r="I276" s="1"/>
      <c r="K276" s="1"/>
      <c r="M276" s="1"/>
      <c r="O276" s="1"/>
      <c r="Q276" s="1"/>
      <c r="S276" s="1"/>
      <c r="U276" s="1"/>
      <c r="W276" s="1"/>
      <c r="Y276" s="1"/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  <c r="AW276" s="1"/>
      <c r="AY276" s="1"/>
      <c r="BA276" s="1"/>
      <c r="BC276" s="1"/>
      <c r="BE276" s="1"/>
      <c r="BG276" s="1"/>
      <c r="BI276" s="1"/>
    </row>
    <row r="277" ht="15.75" customHeight="1">
      <c r="A277" s="1"/>
      <c r="B277" s="1"/>
      <c r="C277" s="1"/>
      <c r="E277" s="1"/>
      <c r="G277" s="1"/>
      <c r="I277" s="1"/>
      <c r="K277" s="1"/>
      <c r="M277" s="1"/>
      <c r="O277" s="1"/>
      <c r="Q277" s="1"/>
      <c r="S277" s="1"/>
      <c r="U277" s="1"/>
      <c r="W277" s="1"/>
      <c r="Y277" s="1"/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  <c r="AW277" s="1"/>
      <c r="AY277" s="1"/>
      <c r="BA277" s="1"/>
      <c r="BC277" s="1"/>
      <c r="BE277" s="1"/>
      <c r="BG277" s="1"/>
      <c r="BI277" s="1"/>
    </row>
    <row r="278" ht="15.75" customHeight="1">
      <c r="A278" s="1"/>
      <c r="B278" s="1"/>
      <c r="C278" s="1"/>
      <c r="E278" s="1"/>
      <c r="G278" s="1"/>
      <c r="I278" s="1"/>
      <c r="K278" s="1"/>
      <c r="M278" s="1"/>
      <c r="O278" s="1"/>
      <c r="Q278" s="1"/>
      <c r="S278" s="1"/>
      <c r="U278" s="1"/>
      <c r="W278" s="1"/>
      <c r="Y278" s="1"/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  <c r="AW278" s="1"/>
      <c r="AY278" s="1"/>
      <c r="BA278" s="1"/>
      <c r="BC278" s="1"/>
      <c r="BE278" s="1"/>
      <c r="BG278" s="1"/>
      <c r="BI278" s="1"/>
    </row>
    <row r="279" ht="15.75" customHeight="1">
      <c r="A279" s="1"/>
      <c r="B279" s="1"/>
      <c r="C279" s="1"/>
      <c r="E279" s="1"/>
      <c r="G279" s="1"/>
      <c r="I279" s="1"/>
      <c r="K279" s="1"/>
      <c r="M279" s="1"/>
      <c r="O279" s="1"/>
      <c r="Q279" s="1"/>
      <c r="S279" s="1"/>
      <c r="U279" s="1"/>
      <c r="W279" s="1"/>
      <c r="Y279" s="1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  <c r="AW279" s="1"/>
      <c r="AY279" s="1"/>
      <c r="BA279" s="1"/>
      <c r="BC279" s="1"/>
      <c r="BE279" s="1"/>
      <c r="BG279" s="1"/>
      <c r="BI279" s="1"/>
    </row>
    <row r="280" ht="15.75" customHeight="1">
      <c r="A280" s="1"/>
      <c r="B280" s="1"/>
      <c r="C280" s="1"/>
      <c r="E280" s="1"/>
      <c r="G280" s="1"/>
      <c r="I280" s="1"/>
      <c r="K280" s="1"/>
      <c r="M280" s="1"/>
      <c r="O280" s="1"/>
      <c r="Q280" s="1"/>
      <c r="S280" s="1"/>
      <c r="U280" s="1"/>
      <c r="W280" s="1"/>
      <c r="Y280" s="1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  <c r="AW280" s="1"/>
      <c r="AY280" s="1"/>
      <c r="BA280" s="1"/>
      <c r="BC280" s="1"/>
      <c r="BE280" s="1"/>
      <c r="BG280" s="1"/>
      <c r="BI280" s="1"/>
    </row>
    <row r="281" ht="15.75" customHeight="1">
      <c r="A281" s="1"/>
      <c r="B281" s="1"/>
      <c r="C281" s="1"/>
      <c r="E281" s="1"/>
      <c r="G281" s="1"/>
      <c r="I281" s="1"/>
      <c r="K281" s="1"/>
      <c r="M281" s="1"/>
      <c r="O281" s="1"/>
      <c r="Q281" s="1"/>
      <c r="S281" s="1"/>
      <c r="U281" s="1"/>
      <c r="W281" s="1"/>
      <c r="Y281" s="1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  <c r="AW281" s="1"/>
      <c r="AY281" s="1"/>
      <c r="BA281" s="1"/>
      <c r="BC281" s="1"/>
      <c r="BE281" s="1"/>
      <c r="BG281" s="1"/>
      <c r="BI281" s="1"/>
    </row>
    <row r="282" ht="15.75" customHeight="1">
      <c r="A282" s="1"/>
      <c r="B282" s="1"/>
      <c r="C282" s="1"/>
      <c r="E282" s="1"/>
      <c r="G282" s="1"/>
      <c r="I282" s="1"/>
      <c r="K282" s="1"/>
      <c r="M282" s="1"/>
      <c r="O282" s="1"/>
      <c r="Q282" s="1"/>
      <c r="S282" s="1"/>
      <c r="U282" s="1"/>
      <c r="W282" s="1"/>
      <c r="Y282" s="1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  <c r="AW282" s="1"/>
      <c r="AY282" s="1"/>
      <c r="BA282" s="1"/>
      <c r="BC282" s="1"/>
      <c r="BE282" s="1"/>
      <c r="BG282" s="1"/>
      <c r="BI282" s="1"/>
    </row>
    <row r="283" ht="15.75" customHeight="1">
      <c r="A283" s="1"/>
      <c r="B283" s="1"/>
      <c r="C283" s="1"/>
      <c r="E283" s="1"/>
      <c r="G283" s="1"/>
      <c r="I283" s="1"/>
      <c r="K283" s="1"/>
      <c r="M283" s="1"/>
      <c r="O283" s="1"/>
      <c r="Q283" s="1"/>
      <c r="S283" s="1"/>
      <c r="U283" s="1"/>
      <c r="W283" s="1"/>
      <c r="Y283" s="1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  <c r="AW283" s="1"/>
      <c r="AY283" s="1"/>
      <c r="BA283" s="1"/>
      <c r="BC283" s="1"/>
      <c r="BE283" s="1"/>
      <c r="BG283" s="1"/>
      <c r="BI283" s="1"/>
    </row>
    <row r="284" ht="15.75" customHeight="1">
      <c r="A284" s="1"/>
      <c r="B284" s="1"/>
      <c r="C284" s="1"/>
      <c r="E284" s="1"/>
      <c r="G284" s="1"/>
      <c r="I284" s="1"/>
      <c r="K284" s="1"/>
      <c r="M284" s="1"/>
      <c r="O284" s="1"/>
      <c r="Q284" s="1"/>
      <c r="S284" s="1"/>
      <c r="U284" s="1"/>
      <c r="W284" s="1"/>
      <c r="Y284" s="1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  <c r="AW284" s="1"/>
      <c r="AY284" s="1"/>
      <c r="BA284" s="1"/>
      <c r="BC284" s="1"/>
      <c r="BE284" s="1"/>
      <c r="BG284" s="1"/>
      <c r="BI284" s="1"/>
    </row>
    <row r="285" ht="15.75" customHeight="1">
      <c r="A285" s="1"/>
      <c r="B285" s="1"/>
      <c r="C285" s="1"/>
      <c r="E285" s="1"/>
      <c r="G285" s="1"/>
      <c r="I285" s="1"/>
      <c r="K285" s="1"/>
      <c r="M285" s="1"/>
      <c r="O285" s="1"/>
      <c r="Q285" s="1"/>
      <c r="S285" s="1"/>
      <c r="U285" s="1"/>
      <c r="W285" s="1"/>
      <c r="Y285" s="1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  <c r="AW285" s="1"/>
      <c r="AY285" s="1"/>
      <c r="BA285" s="1"/>
      <c r="BC285" s="1"/>
      <c r="BE285" s="1"/>
      <c r="BG285" s="1"/>
      <c r="BI285" s="1"/>
    </row>
    <row r="286" ht="15.75" customHeight="1">
      <c r="A286" s="1"/>
      <c r="B286" s="1"/>
      <c r="C286" s="1"/>
      <c r="E286" s="1"/>
      <c r="G286" s="1"/>
      <c r="I286" s="1"/>
      <c r="K286" s="1"/>
      <c r="M286" s="1"/>
      <c r="O286" s="1"/>
      <c r="Q286" s="1"/>
      <c r="S286" s="1"/>
      <c r="U286" s="1"/>
      <c r="W286" s="1"/>
      <c r="Y286" s="1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  <c r="AW286" s="1"/>
      <c r="AY286" s="1"/>
      <c r="BA286" s="1"/>
      <c r="BC286" s="1"/>
      <c r="BE286" s="1"/>
      <c r="BG286" s="1"/>
      <c r="BI286" s="1"/>
    </row>
    <row r="287" ht="15.75" customHeight="1">
      <c r="A287" s="1"/>
      <c r="B287" s="1"/>
      <c r="C287" s="1"/>
      <c r="E287" s="1"/>
      <c r="G287" s="1"/>
      <c r="I287" s="1"/>
      <c r="K287" s="1"/>
      <c r="M287" s="1"/>
      <c r="O287" s="1"/>
      <c r="Q287" s="1"/>
      <c r="S287" s="1"/>
      <c r="U287" s="1"/>
      <c r="W287" s="1"/>
      <c r="Y287" s="1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  <c r="AW287" s="1"/>
      <c r="AY287" s="1"/>
      <c r="BA287" s="1"/>
      <c r="BC287" s="1"/>
      <c r="BE287" s="1"/>
      <c r="BG287" s="1"/>
      <c r="BI287" s="1"/>
    </row>
    <row r="288" ht="15.75" customHeight="1">
      <c r="A288" s="1"/>
      <c r="B288" s="1"/>
      <c r="C288" s="1"/>
      <c r="E288" s="1"/>
      <c r="G288" s="1"/>
      <c r="I288" s="1"/>
      <c r="K288" s="1"/>
      <c r="M288" s="1"/>
      <c r="O288" s="1"/>
      <c r="Q288" s="1"/>
      <c r="S288" s="1"/>
      <c r="U288" s="1"/>
      <c r="W288" s="1"/>
      <c r="Y288" s="1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  <c r="AW288" s="1"/>
      <c r="AY288" s="1"/>
      <c r="BA288" s="1"/>
      <c r="BC288" s="1"/>
      <c r="BE288" s="1"/>
      <c r="BG288" s="1"/>
      <c r="BI288" s="1"/>
    </row>
    <row r="289" ht="15.75" customHeight="1">
      <c r="A289" s="1"/>
      <c r="B289" s="1"/>
      <c r="C289" s="1"/>
      <c r="E289" s="1"/>
      <c r="G289" s="1"/>
      <c r="I289" s="1"/>
      <c r="K289" s="1"/>
      <c r="M289" s="1"/>
      <c r="O289" s="1"/>
      <c r="Q289" s="1"/>
      <c r="S289" s="1"/>
      <c r="U289" s="1"/>
      <c r="W289" s="1"/>
      <c r="Y289" s="1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  <c r="AW289" s="1"/>
      <c r="AY289" s="1"/>
      <c r="BA289" s="1"/>
      <c r="BC289" s="1"/>
      <c r="BE289" s="1"/>
      <c r="BG289" s="1"/>
      <c r="BI289" s="1"/>
    </row>
    <row r="290" ht="15.75" customHeight="1">
      <c r="A290" s="1"/>
      <c r="B290" s="1"/>
      <c r="C290" s="1"/>
      <c r="E290" s="1"/>
      <c r="G290" s="1"/>
      <c r="I290" s="1"/>
      <c r="K290" s="1"/>
      <c r="M290" s="1"/>
      <c r="O290" s="1"/>
      <c r="Q290" s="1"/>
      <c r="S290" s="1"/>
      <c r="U290" s="1"/>
      <c r="W290" s="1"/>
      <c r="Y290" s="1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  <c r="AW290" s="1"/>
      <c r="AY290" s="1"/>
      <c r="BA290" s="1"/>
      <c r="BC290" s="1"/>
      <c r="BE290" s="1"/>
      <c r="BG290" s="1"/>
      <c r="BI290" s="1"/>
    </row>
    <row r="291" ht="15.75" customHeight="1">
      <c r="A291" s="1"/>
      <c r="B291" s="1"/>
      <c r="C291" s="1"/>
      <c r="E291" s="1"/>
      <c r="G291" s="1"/>
      <c r="I291" s="1"/>
      <c r="K291" s="1"/>
      <c r="M291" s="1"/>
      <c r="O291" s="1"/>
      <c r="Q291" s="1"/>
      <c r="S291" s="1"/>
      <c r="U291" s="1"/>
      <c r="W291" s="1"/>
      <c r="Y291" s="1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  <c r="AW291" s="1"/>
      <c r="AY291" s="1"/>
      <c r="BA291" s="1"/>
      <c r="BC291" s="1"/>
      <c r="BE291" s="1"/>
      <c r="BG291" s="1"/>
      <c r="BI291" s="1"/>
    </row>
    <row r="292" ht="15.75" customHeight="1">
      <c r="A292" s="1"/>
      <c r="B292" s="1"/>
      <c r="C292" s="1"/>
      <c r="E292" s="1"/>
      <c r="G292" s="1"/>
      <c r="I292" s="1"/>
      <c r="K292" s="1"/>
      <c r="M292" s="1"/>
      <c r="O292" s="1"/>
      <c r="Q292" s="1"/>
      <c r="S292" s="1"/>
      <c r="U292" s="1"/>
      <c r="W292" s="1"/>
      <c r="Y292" s="1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  <c r="AW292" s="1"/>
      <c r="AY292" s="1"/>
      <c r="BA292" s="1"/>
      <c r="BC292" s="1"/>
      <c r="BE292" s="1"/>
      <c r="BG292" s="1"/>
      <c r="BI292" s="1"/>
    </row>
    <row r="293" ht="15.75" customHeight="1">
      <c r="A293" s="1"/>
      <c r="B293" s="1"/>
      <c r="C293" s="1"/>
      <c r="E293" s="1"/>
      <c r="G293" s="1"/>
      <c r="I293" s="1"/>
      <c r="K293" s="1"/>
      <c r="M293" s="1"/>
      <c r="O293" s="1"/>
      <c r="Q293" s="1"/>
      <c r="S293" s="1"/>
      <c r="U293" s="1"/>
      <c r="W293" s="1"/>
      <c r="Y293" s="1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  <c r="AW293" s="1"/>
      <c r="AY293" s="1"/>
      <c r="BA293" s="1"/>
      <c r="BC293" s="1"/>
      <c r="BE293" s="1"/>
      <c r="BG293" s="1"/>
      <c r="BI293" s="1"/>
    </row>
    <row r="294" ht="15.75" customHeight="1">
      <c r="A294" s="1"/>
      <c r="B294" s="1"/>
      <c r="C294" s="1"/>
      <c r="E294" s="1"/>
      <c r="G294" s="1"/>
      <c r="I294" s="1"/>
      <c r="K294" s="1"/>
      <c r="M294" s="1"/>
      <c r="O294" s="1"/>
      <c r="Q294" s="1"/>
      <c r="S294" s="1"/>
      <c r="U294" s="1"/>
      <c r="W294" s="1"/>
      <c r="Y294" s="1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  <c r="AW294" s="1"/>
      <c r="AY294" s="1"/>
      <c r="BA294" s="1"/>
      <c r="BC294" s="1"/>
      <c r="BE294" s="1"/>
      <c r="BG294" s="1"/>
      <c r="BI294" s="1"/>
    </row>
    <row r="295" ht="15.75" customHeight="1">
      <c r="A295" s="1"/>
      <c r="B295" s="1"/>
      <c r="C295" s="1"/>
      <c r="E295" s="1"/>
      <c r="G295" s="1"/>
      <c r="I295" s="1"/>
      <c r="K295" s="1"/>
      <c r="M295" s="1"/>
      <c r="O295" s="1"/>
      <c r="Q295" s="1"/>
      <c r="S295" s="1"/>
      <c r="U295" s="1"/>
      <c r="W295" s="1"/>
      <c r="Y295" s="1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  <c r="AW295" s="1"/>
      <c r="AY295" s="1"/>
      <c r="BA295" s="1"/>
      <c r="BC295" s="1"/>
      <c r="BE295" s="1"/>
      <c r="BG295" s="1"/>
      <c r="BI295" s="1"/>
    </row>
    <row r="296" ht="15.75" customHeight="1">
      <c r="A296" s="1"/>
      <c r="B296" s="1"/>
      <c r="C296" s="1"/>
      <c r="E296" s="1"/>
      <c r="G296" s="1"/>
      <c r="I296" s="1"/>
      <c r="K296" s="1"/>
      <c r="M296" s="1"/>
      <c r="O296" s="1"/>
      <c r="Q296" s="1"/>
      <c r="S296" s="1"/>
      <c r="U296" s="1"/>
      <c r="W296" s="1"/>
      <c r="Y296" s="1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  <c r="AW296" s="1"/>
      <c r="AY296" s="1"/>
      <c r="BA296" s="1"/>
      <c r="BC296" s="1"/>
      <c r="BE296" s="1"/>
      <c r="BG296" s="1"/>
      <c r="BI296" s="1"/>
    </row>
    <row r="297" ht="15.75" customHeight="1">
      <c r="A297" s="1"/>
      <c r="B297" s="1"/>
      <c r="C297" s="1"/>
      <c r="E297" s="1"/>
      <c r="G297" s="1"/>
      <c r="I297" s="1"/>
      <c r="K297" s="1"/>
      <c r="M297" s="1"/>
      <c r="O297" s="1"/>
      <c r="Q297" s="1"/>
      <c r="S297" s="1"/>
      <c r="U297" s="1"/>
      <c r="W297" s="1"/>
      <c r="Y297" s="1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  <c r="AW297" s="1"/>
      <c r="AY297" s="1"/>
      <c r="BA297" s="1"/>
      <c r="BC297" s="1"/>
      <c r="BE297" s="1"/>
      <c r="BG297" s="1"/>
      <c r="BI297" s="1"/>
    </row>
    <row r="298" ht="15.75" customHeight="1">
      <c r="A298" s="1"/>
      <c r="B298" s="1"/>
      <c r="C298" s="1"/>
      <c r="E298" s="1"/>
      <c r="G298" s="1"/>
      <c r="I298" s="1"/>
      <c r="K298" s="1"/>
      <c r="M298" s="1"/>
      <c r="O298" s="1"/>
      <c r="Q298" s="1"/>
      <c r="S298" s="1"/>
      <c r="U298" s="1"/>
      <c r="W298" s="1"/>
      <c r="Y298" s="1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  <c r="AW298" s="1"/>
      <c r="AY298" s="1"/>
      <c r="BA298" s="1"/>
      <c r="BC298" s="1"/>
      <c r="BE298" s="1"/>
      <c r="BG298" s="1"/>
      <c r="BI298" s="1"/>
    </row>
    <row r="299" ht="15.75" customHeight="1">
      <c r="A299" s="1"/>
      <c r="B299" s="1"/>
      <c r="C299" s="1"/>
      <c r="E299" s="1"/>
      <c r="G299" s="1"/>
      <c r="I299" s="1"/>
      <c r="K299" s="1"/>
      <c r="M299" s="1"/>
      <c r="O299" s="1"/>
      <c r="Q299" s="1"/>
      <c r="S299" s="1"/>
      <c r="U299" s="1"/>
      <c r="W299" s="1"/>
      <c r="Y299" s="1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  <c r="AW299" s="1"/>
      <c r="AY299" s="1"/>
      <c r="BA299" s="1"/>
      <c r="BC299" s="1"/>
      <c r="BE299" s="1"/>
      <c r="BG299" s="1"/>
      <c r="BI299" s="1"/>
    </row>
    <row r="300" ht="15.75" customHeight="1">
      <c r="A300" s="1"/>
      <c r="B300" s="1"/>
      <c r="C300" s="1"/>
      <c r="E300" s="1"/>
      <c r="G300" s="1"/>
      <c r="I300" s="1"/>
      <c r="K300" s="1"/>
      <c r="M300" s="1"/>
      <c r="O300" s="1"/>
      <c r="Q300" s="1"/>
      <c r="S300" s="1"/>
      <c r="U300" s="1"/>
      <c r="W300" s="1"/>
      <c r="Y300" s="1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  <c r="AW300" s="1"/>
      <c r="AY300" s="1"/>
      <c r="BA300" s="1"/>
      <c r="BC300" s="1"/>
      <c r="BE300" s="1"/>
      <c r="BG300" s="1"/>
      <c r="BI300" s="1"/>
    </row>
    <row r="301" ht="15.75" customHeight="1">
      <c r="A301" s="1"/>
      <c r="B301" s="1"/>
      <c r="C301" s="1"/>
      <c r="E301" s="1"/>
      <c r="G301" s="1"/>
      <c r="I301" s="1"/>
      <c r="K301" s="1"/>
      <c r="M301" s="1"/>
      <c r="O301" s="1"/>
      <c r="Q301" s="1"/>
      <c r="S301" s="1"/>
      <c r="U301" s="1"/>
      <c r="W301" s="1"/>
      <c r="Y301" s="1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  <c r="AW301" s="1"/>
      <c r="AY301" s="1"/>
      <c r="BA301" s="1"/>
      <c r="BC301" s="1"/>
      <c r="BE301" s="1"/>
      <c r="BG301" s="1"/>
      <c r="BI301" s="1"/>
    </row>
    <row r="302" ht="15.75" customHeight="1">
      <c r="A302" s="1"/>
      <c r="B302" s="1"/>
      <c r="C302" s="1"/>
      <c r="E302" s="1"/>
      <c r="G302" s="1"/>
      <c r="I302" s="1"/>
      <c r="K302" s="1"/>
      <c r="M302" s="1"/>
      <c r="O302" s="1"/>
      <c r="Q302" s="1"/>
      <c r="S302" s="1"/>
      <c r="U302" s="1"/>
      <c r="W302" s="1"/>
      <c r="Y302" s="1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  <c r="AW302" s="1"/>
      <c r="AY302" s="1"/>
      <c r="BA302" s="1"/>
      <c r="BC302" s="1"/>
      <c r="BE302" s="1"/>
      <c r="BG302" s="1"/>
      <c r="BI302" s="1"/>
    </row>
    <row r="303" ht="15.75" customHeight="1">
      <c r="A303" s="1"/>
      <c r="B303" s="1"/>
      <c r="C303" s="1"/>
      <c r="E303" s="1"/>
      <c r="G303" s="1"/>
      <c r="I303" s="1"/>
      <c r="K303" s="1"/>
      <c r="M303" s="1"/>
      <c r="O303" s="1"/>
      <c r="Q303" s="1"/>
      <c r="S303" s="1"/>
      <c r="U303" s="1"/>
      <c r="W303" s="1"/>
      <c r="Y303" s="1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  <c r="AW303" s="1"/>
      <c r="AY303" s="1"/>
      <c r="BA303" s="1"/>
      <c r="BC303" s="1"/>
      <c r="BE303" s="1"/>
      <c r="BG303" s="1"/>
      <c r="BI303" s="1"/>
    </row>
    <row r="304" ht="15.75" customHeight="1">
      <c r="A304" s="1"/>
      <c r="B304" s="1"/>
      <c r="C304" s="1"/>
      <c r="E304" s="1"/>
      <c r="G304" s="1"/>
      <c r="I304" s="1"/>
      <c r="K304" s="1"/>
      <c r="M304" s="1"/>
      <c r="O304" s="1"/>
      <c r="Q304" s="1"/>
      <c r="S304" s="1"/>
      <c r="U304" s="1"/>
      <c r="W304" s="1"/>
      <c r="Y304" s="1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  <c r="AW304" s="1"/>
      <c r="AY304" s="1"/>
      <c r="BA304" s="1"/>
      <c r="BC304" s="1"/>
      <c r="BE304" s="1"/>
      <c r="BG304" s="1"/>
      <c r="BI304" s="1"/>
    </row>
    <row r="305" ht="15.75" customHeight="1">
      <c r="A305" s="1"/>
      <c r="B305" s="1"/>
      <c r="C305" s="1"/>
      <c r="E305" s="1"/>
      <c r="G305" s="1"/>
      <c r="I305" s="1"/>
      <c r="K305" s="1"/>
      <c r="M305" s="1"/>
      <c r="O305" s="1"/>
      <c r="Q305" s="1"/>
      <c r="S305" s="1"/>
      <c r="U305" s="1"/>
      <c r="W305" s="1"/>
      <c r="Y305" s="1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  <c r="AW305" s="1"/>
      <c r="AY305" s="1"/>
      <c r="BA305" s="1"/>
      <c r="BC305" s="1"/>
      <c r="BE305" s="1"/>
      <c r="BG305" s="1"/>
      <c r="BI305" s="1"/>
    </row>
    <row r="306" ht="15.75" customHeight="1">
      <c r="A306" s="1"/>
      <c r="B306" s="1"/>
      <c r="C306" s="1"/>
      <c r="E306" s="1"/>
      <c r="G306" s="1"/>
      <c r="I306" s="1"/>
      <c r="K306" s="1"/>
      <c r="M306" s="1"/>
      <c r="O306" s="1"/>
      <c r="Q306" s="1"/>
      <c r="S306" s="1"/>
      <c r="U306" s="1"/>
      <c r="W306" s="1"/>
      <c r="Y306" s="1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  <c r="AW306" s="1"/>
      <c r="AY306" s="1"/>
      <c r="BA306" s="1"/>
      <c r="BC306" s="1"/>
      <c r="BE306" s="1"/>
      <c r="BG306" s="1"/>
      <c r="BI306" s="1"/>
    </row>
    <row r="307" ht="15.75" customHeight="1">
      <c r="A307" s="1"/>
      <c r="B307" s="1"/>
      <c r="C307" s="1"/>
      <c r="E307" s="1"/>
      <c r="G307" s="1"/>
      <c r="I307" s="1"/>
      <c r="K307" s="1"/>
      <c r="M307" s="1"/>
      <c r="O307" s="1"/>
      <c r="Q307" s="1"/>
      <c r="S307" s="1"/>
      <c r="U307" s="1"/>
      <c r="W307" s="1"/>
      <c r="Y307" s="1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  <c r="AW307" s="1"/>
      <c r="AY307" s="1"/>
      <c r="BA307" s="1"/>
      <c r="BC307" s="1"/>
      <c r="BE307" s="1"/>
      <c r="BG307" s="1"/>
      <c r="BI307" s="1"/>
    </row>
    <row r="308" ht="15.75" customHeight="1">
      <c r="A308" s="1"/>
      <c r="B308" s="1"/>
      <c r="C308" s="1"/>
      <c r="E308" s="1"/>
      <c r="G308" s="1"/>
      <c r="I308" s="1"/>
      <c r="K308" s="1"/>
      <c r="M308" s="1"/>
      <c r="O308" s="1"/>
      <c r="Q308" s="1"/>
      <c r="S308" s="1"/>
      <c r="U308" s="1"/>
      <c r="W308" s="1"/>
      <c r="Y308" s="1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  <c r="AW308" s="1"/>
      <c r="AY308" s="1"/>
      <c r="BA308" s="1"/>
      <c r="BC308" s="1"/>
      <c r="BE308" s="1"/>
      <c r="BG308" s="1"/>
      <c r="BI308" s="1"/>
    </row>
    <row r="309" ht="15.75" customHeight="1">
      <c r="A309" s="1"/>
      <c r="B309" s="1"/>
      <c r="C309" s="1"/>
      <c r="E309" s="1"/>
      <c r="G309" s="1"/>
      <c r="I309" s="1"/>
      <c r="K309" s="1"/>
      <c r="M309" s="1"/>
      <c r="O309" s="1"/>
      <c r="Q309" s="1"/>
      <c r="S309" s="1"/>
      <c r="U309" s="1"/>
      <c r="W309" s="1"/>
      <c r="Y309" s="1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  <c r="AW309" s="1"/>
      <c r="AY309" s="1"/>
      <c r="BA309" s="1"/>
      <c r="BC309" s="1"/>
      <c r="BE309" s="1"/>
      <c r="BG309" s="1"/>
      <c r="BI309" s="1"/>
    </row>
    <row r="310" ht="15.75" customHeight="1">
      <c r="A310" s="1"/>
      <c r="B310" s="1"/>
      <c r="C310" s="1"/>
      <c r="E310" s="1"/>
      <c r="G310" s="1"/>
      <c r="I310" s="1"/>
      <c r="K310" s="1"/>
      <c r="M310" s="1"/>
      <c r="O310" s="1"/>
      <c r="Q310" s="1"/>
      <c r="S310" s="1"/>
      <c r="U310" s="1"/>
      <c r="W310" s="1"/>
      <c r="Y310" s="1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  <c r="AW310" s="1"/>
      <c r="AY310" s="1"/>
      <c r="BA310" s="1"/>
      <c r="BC310" s="1"/>
      <c r="BE310" s="1"/>
      <c r="BG310" s="1"/>
      <c r="BI310" s="1"/>
    </row>
    <row r="311" ht="15.75" customHeight="1">
      <c r="A311" s="1"/>
      <c r="B311" s="1"/>
      <c r="C311" s="1"/>
      <c r="E311" s="1"/>
      <c r="G311" s="1"/>
      <c r="I311" s="1"/>
      <c r="K311" s="1"/>
      <c r="M311" s="1"/>
      <c r="O311" s="1"/>
      <c r="Q311" s="1"/>
      <c r="S311" s="1"/>
      <c r="U311" s="1"/>
      <c r="W311" s="1"/>
      <c r="Y311" s="1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  <c r="AW311" s="1"/>
      <c r="AY311" s="1"/>
      <c r="BA311" s="1"/>
      <c r="BC311" s="1"/>
      <c r="BE311" s="1"/>
      <c r="BG311" s="1"/>
      <c r="BI311" s="1"/>
    </row>
    <row r="312" ht="15.75" customHeight="1">
      <c r="A312" s="1"/>
      <c r="B312" s="1"/>
      <c r="C312" s="1"/>
      <c r="E312" s="1"/>
      <c r="G312" s="1"/>
      <c r="I312" s="1"/>
      <c r="K312" s="1"/>
      <c r="M312" s="1"/>
      <c r="O312" s="1"/>
      <c r="Q312" s="1"/>
      <c r="S312" s="1"/>
      <c r="U312" s="1"/>
      <c r="W312" s="1"/>
      <c r="Y312" s="1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  <c r="AW312" s="1"/>
      <c r="AY312" s="1"/>
      <c r="BA312" s="1"/>
      <c r="BC312" s="1"/>
      <c r="BE312" s="1"/>
      <c r="BG312" s="1"/>
      <c r="BI312" s="1"/>
    </row>
    <row r="313" ht="15.75" customHeight="1">
      <c r="A313" s="1"/>
      <c r="B313" s="1"/>
      <c r="C313" s="1"/>
      <c r="E313" s="1"/>
      <c r="G313" s="1"/>
      <c r="I313" s="1"/>
      <c r="K313" s="1"/>
      <c r="M313" s="1"/>
      <c r="O313" s="1"/>
      <c r="Q313" s="1"/>
      <c r="S313" s="1"/>
      <c r="U313" s="1"/>
      <c r="W313" s="1"/>
      <c r="Y313" s="1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  <c r="AW313" s="1"/>
      <c r="AY313" s="1"/>
      <c r="BA313" s="1"/>
      <c r="BC313" s="1"/>
      <c r="BE313" s="1"/>
      <c r="BG313" s="1"/>
      <c r="BI313" s="1"/>
    </row>
    <row r="314" ht="15.75" customHeight="1">
      <c r="A314" s="1"/>
      <c r="B314" s="1"/>
      <c r="C314" s="1"/>
      <c r="E314" s="1"/>
      <c r="G314" s="1"/>
      <c r="I314" s="1"/>
      <c r="K314" s="1"/>
      <c r="M314" s="1"/>
      <c r="O314" s="1"/>
      <c r="Q314" s="1"/>
      <c r="S314" s="1"/>
      <c r="U314" s="1"/>
      <c r="W314" s="1"/>
      <c r="Y314" s="1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  <c r="AW314" s="1"/>
      <c r="AY314" s="1"/>
      <c r="BA314" s="1"/>
      <c r="BC314" s="1"/>
      <c r="BE314" s="1"/>
      <c r="BG314" s="1"/>
      <c r="BI314" s="1"/>
    </row>
    <row r="315" ht="15.75" customHeight="1">
      <c r="A315" s="1"/>
      <c r="B315" s="1"/>
      <c r="C315" s="1"/>
      <c r="E315" s="1"/>
      <c r="G315" s="1"/>
      <c r="I315" s="1"/>
      <c r="K315" s="1"/>
      <c r="M315" s="1"/>
      <c r="O315" s="1"/>
      <c r="Q315" s="1"/>
      <c r="S315" s="1"/>
      <c r="U315" s="1"/>
      <c r="W315" s="1"/>
      <c r="Y315" s="1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  <c r="AW315" s="1"/>
      <c r="AY315" s="1"/>
      <c r="BA315" s="1"/>
      <c r="BC315" s="1"/>
      <c r="BE315" s="1"/>
      <c r="BG315" s="1"/>
      <c r="BI315" s="1"/>
    </row>
    <row r="316" ht="15.75" customHeight="1">
      <c r="A316" s="1"/>
      <c r="B316" s="1"/>
      <c r="C316" s="1"/>
      <c r="E316" s="1"/>
      <c r="G316" s="1"/>
      <c r="I316" s="1"/>
      <c r="K316" s="1"/>
      <c r="M316" s="1"/>
      <c r="O316" s="1"/>
      <c r="Q316" s="1"/>
      <c r="S316" s="1"/>
      <c r="U316" s="1"/>
      <c r="W316" s="1"/>
      <c r="Y316" s="1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  <c r="AW316" s="1"/>
      <c r="AY316" s="1"/>
      <c r="BA316" s="1"/>
      <c r="BC316" s="1"/>
      <c r="BE316" s="1"/>
      <c r="BG316" s="1"/>
      <c r="BI316" s="1"/>
    </row>
    <row r="317" ht="15.75" customHeight="1">
      <c r="A317" s="1"/>
      <c r="B317" s="1"/>
      <c r="C317" s="1"/>
      <c r="E317" s="1"/>
      <c r="G317" s="1"/>
      <c r="I317" s="1"/>
      <c r="K317" s="1"/>
      <c r="M317" s="1"/>
      <c r="O317" s="1"/>
      <c r="Q317" s="1"/>
      <c r="S317" s="1"/>
      <c r="U317" s="1"/>
      <c r="W317" s="1"/>
      <c r="Y317" s="1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  <c r="AW317" s="1"/>
      <c r="AY317" s="1"/>
      <c r="BA317" s="1"/>
      <c r="BC317" s="1"/>
      <c r="BE317" s="1"/>
      <c r="BG317" s="1"/>
      <c r="BI317" s="1"/>
    </row>
    <row r="318" ht="15.75" customHeight="1">
      <c r="A318" s="1"/>
      <c r="B318" s="1"/>
      <c r="C318" s="1"/>
      <c r="E318" s="1"/>
      <c r="G318" s="1"/>
      <c r="I318" s="1"/>
      <c r="K318" s="1"/>
      <c r="M318" s="1"/>
      <c r="O318" s="1"/>
      <c r="Q318" s="1"/>
      <c r="S318" s="1"/>
      <c r="U318" s="1"/>
      <c r="W318" s="1"/>
      <c r="Y318" s="1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  <c r="AW318" s="1"/>
      <c r="AY318" s="1"/>
      <c r="BA318" s="1"/>
      <c r="BC318" s="1"/>
      <c r="BE318" s="1"/>
      <c r="BG318" s="1"/>
      <c r="BI318" s="1"/>
    </row>
    <row r="319" ht="15.75" customHeight="1">
      <c r="A319" s="1"/>
      <c r="B319" s="1"/>
      <c r="C319" s="1"/>
      <c r="E319" s="1"/>
      <c r="G319" s="1"/>
      <c r="I319" s="1"/>
      <c r="K319" s="1"/>
      <c r="M319" s="1"/>
      <c r="O319" s="1"/>
      <c r="Q319" s="1"/>
      <c r="S319" s="1"/>
      <c r="U319" s="1"/>
      <c r="W319" s="1"/>
      <c r="Y319" s="1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  <c r="AW319" s="1"/>
      <c r="AY319" s="1"/>
      <c r="BA319" s="1"/>
      <c r="BC319" s="1"/>
      <c r="BE319" s="1"/>
      <c r="BG319" s="1"/>
      <c r="BI319" s="1"/>
    </row>
    <row r="320" ht="15.75" customHeight="1">
      <c r="A320" s="1"/>
      <c r="B320" s="1"/>
      <c r="C320" s="1"/>
      <c r="E320" s="1"/>
      <c r="G320" s="1"/>
      <c r="I320" s="1"/>
      <c r="K320" s="1"/>
      <c r="M320" s="1"/>
      <c r="O320" s="1"/>
      <c r="Q320" s="1"/>
      <c r="S320" s="1"/>
      <c r="U320" s="1"/>
      <c r="W320" s="1"/>
      <c r="Y320" s="1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  <c r="AW320" s="1"/>
      <c r="AY320" s="1"/>
      <c r="BA320" s="1"/>
      <c r="BC320" s="1"/>
      <c r="BE320" s="1"/>
      <c r="BG320" s="1"/>
      <c r="BI320" s="1"/>
    </row>
    <row r="321" ht="15.75" customHeight="1">
      <c r="A321" s="1"/>
      <c r="B321" s="1"/>
      <c r="C321" s="1"/>
      <c r="E321" s="1"/>
      <c r="G321" s="1"/>
      <c r="I321" s="1"/>
      <c r="K321" s="1"/>
      <c r="M321" s="1"/>
      <c r="O321" s="1"/>
      <c r="Q321" s="1"/>
      <c r="S321" s="1"/>
      <c r="U321" s="1"/>
      <c r="W321" s="1"/>
      <c r="Y321" s="1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  <c r="AW321" s="1"/>
      <c r="AY321" s="1"/>
      <c r="BA321" s="1"/>
      <c r="BC321" s="1"/>
      <c r="BE321" s="1"/>
      <c r="BG321" s="1"/>
      <c r="BI321" s="1"/>
    </row>
    <row r="322" ht="15.75" customHeight="1">
      <c r="A322" s="1"/>
      <c r="B322" s="1"/>
      <c r="C322" s="1"/>
      <c r="E322" s="1"/>
      <c r="G322" s="1"/>
      <c r="I322" s="1"/>
      <c r="K322" s="1"/>
      <c r="M322" s="1"/>
      <c r="O322" s="1"/>
      <c r="Q322" s="1"/>
      <c r="S322" s="1"/>
      <c r="U322" s="1"/>
      <c r="W322" s="1"/>
      <c r="Y322" s="1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  <c r="AW322" s="1"/>
      <c r="AY322" s="1"/>
      <c r="BA322" s="1"/>
      <c r="BC322" s="1"/>
      <c r="BE322" s="1"/>
      <c r="BG322" s="1"/>
      <c r="BI322" s="1"/>
    </row>
    <row r="323" ht="15.75" customHeight="1">
      <c r="A323" s="1"/>
      <c r="B323" s="1"/>
      <c r="C323" s="1"/>
      <c r="E323" s="1"/>
      <c r="G323" s="1"/>
      <c r="I323" s="1"/>
      <c r="K323" s="1"/>
      <c r="M323" s="1"/>
      <c r="O323" s="1"/>
      <c r="Q323" s="1"/>
      <c r="S323" s="1"/>
      <c r="U323" s="1"/>
      <c r="W323" s="1"/>
      <c r="Y323" s="1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  <c r="AW323" s="1"/>
      <c r="AY323" s="1"/>
      <c r="BA323" s="1"/>
      <c r="BC323" s="1"/>
      <c r="BE323" s="1"/>
      <c r="BG323" s="1"/>
      <c r="BI323" s="1"/>
    </row>
    <row r="324" ht="15.75" customHeight="1">
      <c r="A324" s="1"/>
      <c r="B324" s="1"/>
      <c r="C324" s="1"/>
      <c r="E324" s="1"/>
      <c r="G324" s="1"/>
      <c r="I324" s="1"/>
      <c r="K324" s="1"/>
      <c r="M324" s="1"/>
      <c r="O324" s="1"/>
      <c r="Q324" s="1"/>
      <c r="S324" s="1"/>
      <c r="U324" s="1"/>
      <c r="W324" s="1"/>
      <c r="Y324" s="1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  <c r="AW324" s="1"/>
      <c r="AY324" s="1"/>
      <c r="BA324" s="1"/>
      <c r="BC324" s="1"/>
      <c r="BE324" s="1"/>
      <c r="BG324" s="1"/>
      <c r="BI324" s="1"/>
    </row>
    <row r="325" ht="15.75" customHeight="1">
      <c r="A325" s="1"/>
      <c r="B325" s="1"/>
      <c r="C325" s="1"/>
      <c r="E325" s="1"/>
      <c r="G325" s="1"/>
      <c r="I325" s="1"/>
      <c r="K325" s="1"/>
      <c r="M325" s="1"/>
      <c r="O325" s="1"/>
      <c r="Q325" s="1"/>
      <c r="S325" s="1"/>
      <c r="U325" s="1"/>
      <c r="W325" s="1"/>
      <c r="Y325" s="1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  <c r="AW325" s="1"/>
      <c r="AY325" s="1"/>
      <c r="BA325" s="1"/>
      <c r="BC325" s="1"/>
      <c r="BE325" s="1"/>
      <c r="BG325" s="1"/>
      <c r="BI325" s="1"/>
    </row>
    <row r="326" ht="15.75" customHeight="1">
      <c r="A326" s="1"/>
      <c r="B326" s="1"/>
      <c r="C326" s="1"/>
      <c r="E326" s="1"/>
      <c r="G326" s="1"/>
      <c r="I326" s="1"/>
      <c r="K326" s="1"/>
      <c r="M326" s="1"/>
      <c r="O326" s="1"/>
      <c r="Q326" s="1"/>
      <c r="S326" s="1"/>
      <c r="U326" s="1"/>
      <c r="W326" s="1"/>
      <c r="Y326" s="1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  <c r="AW326" s="1"/>
      <c r="AY326" s="1"/>
      <c r="BA326" s="1"/>
      <c r="BC326" s="1"/>
      <c r="BE326" s="1"/>
      <c r="BG326" s="1"/>
      <c r="BI326" s="1"/>
    </row>
    <row r="327" ht="15.75" customHeight="1">
      <c r="A327" s="1"/>
      <c r="B327" s="1"/>
      <c r="C327" s="1"/>
      <c r="E327" s="1"/>
      <c r="G327" s="1"/>
      <c r="I327" s="1"/>
      <c r="K327" s="1"/>
      <c r="M327" s="1"/>
      <c r="O327" s="1"/>
      <c r="Q327" s="1"/>
      <c r="S327" s="1"/>
      <c r="U327" s="1"/>
      <c r="W327" s="1"/>
      <c r="Y327" s="1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  <c r="AW327" s="1"/>
      <c r="AY327" s="1"/>
      <c r="BA327" s="1"/>
      <c r="BC327" s="1"/>
      <c r="BE327" s="1"/>
      <c r="BG327" s="1"/>
      <c r="BI327" s="1"/>
    </row>
    <row r="328" ht="15.75" customHeight="1">
      <c r="A328" s="1"/>
      <c r="B328" s="1"/>
      <c r="C328" s="1"/>
      <c r="E328" s="1"/>
      <c r="G328" s="1"/>
      <c r="I328" s="1"/>
      <c r="K328" s="1"/>
      <c r="M328" s="1"/>
      <c r="O328" s="1"/>
      <c r="Q328" s="1"/>
      <c r="S328" s="1"/>
      <c r="U328" s="1"/>
      <c r="W328" s="1"/>
      <c r="Y328" s="1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  <c r="AW328" s="1"/>
      <c r="AY328" s="1"/>
      <c r="BA328" s="1"/>
      <c r="BC328" s="1"/>
      <c r="BE328" s="1"/>
      <c r="BG328" s="1"/>
      <c r="BI328" s="1"/>
    </row>
    <row r="329" ht="15.75" customHeight="1">
      <c r="A329" s="1"/>
      <c r="B329" s="1"/>
      <c r="C329" s="1"/>
      <c r="E329" s="1"/>
      <c r="G329" s="1"/>
      <c r="I329" s="1"/>
      <c r="K329" s="1"/>
      <c r="M329" s="1"/>
      <c r="O329" s="1"/>
      <c r="Q329" s="1"/>
      <c r="S329" s="1"/>
      <c r="U329" s="1"/>
      <c r="W329" s="1"/>
      <c r="Y329" s="1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  <c r="AW329" s="1"/>
      <c r="AY329" s="1"/>
      <c r="BA329" s="1"/>
      <c r="BC329" s="1"/>
      <c r="BE329" s="1"/>
      <c r="BG329" s="1"/>
      <c r="BI329" s="1"/>
    </row>
    <row r="330" ht="15.75" customHeight="1">
      <c r="A330" s="1"/>
      <c r="B330" s="1"/>
      <c r="C330" s="1"/>
      <c r="E330" s="1"/>
      <c r="G330" s="1"/>
      <c r="I330" s="1"/>
      <c r="K330" s="1"/>
      <c r="M330" s="1"/>
      <c r="O330" s="1"/>
      <c r="Q330" s="1"/>
      <c r="S330" s="1"/>
      <c r="U330" s="1"/>
      <c r="W330" s="1"/>
      <c r="Y330" s="1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  <c r="AW330" s="1"/>
      <c r="AY330" s="1"/>
      <c r="BA330" s="1"/>
      <c r="BC330" s="1"/>
      <c r="BE330" s="1"/>
      <c r="BG330" s="1"/>
      <c r="BI330" s="1"/>
    </row>
    <row r="331" ht="15.75" customHeight="1">
      <c r="A331" s="1"/>
      <c r="B331" s="1"/>
      <c r="C331" s="1"/>
      <c r="E331" s="1"/>
      <c r="G331" s="1"/>
      <c r="I331" s="1"/>
      <c r="K331" s="1"/>
      <c r="M331" s="1"/>
      <c r="O331" s="1"/>
      <c r="Q331" s="1"/>
      <c r="S331" s="1"/>
      <c r="U331" s="1"/>
      <c r="W331" s="1"/>
      <c r="Y331" s="1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  <c r="AW331" s="1"/>
      <c r="AY331" s="1"/>
      <c r="BA331" s="1"/>
      <c r="BC331" s="1"/>
      <c r="BE331" s="1"/>
      <c r="BG331" s="1"/>
      <c r="BI331" s="1"/>
    </row>
    <row r="332" ht="15.75" customHeight="1">
      <c r="A332" s="1"/>
      <c r="B332" s="1"/>
      <c r="C332" s="1"/>
      <c r="E332" s="1"/>
      <c r="G332" s="1"/>
      <c r="I332" s="1"/>
      <c r="K332" s="1"/>
      <c r="M332" s="1"/>
      <c r="O332" s="1"/>
      <c r="Q332" s="1"/>
      <c r="S332" s="1"/>
      <c r="U332" s="1"/>
      <c r="W332" s="1"/>
      <c r="Y332" s="1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  <c r="AW332" s="1"/>
      <c r="AY332" s="1"/>
      <c r="BA332" s="1"/>
      <c r="BC332" s="1"/>
      <c r="BE332" s="1"/>
      <c r="BG332" s="1"/>
      <c r="BI332" s="1"/>
    </row>
    <row r="333" ht="15.75" customHeight="1">
      <c r="A333" s="1"/>
      <c r="B333" s="1"/>
      <c r="C333" s="1"/>
      <c r="E333" s="1"/>
      <c r="G333" s="1"/>
      <c r="I333" s="1"/>
      <c r="K333" s="1"/>
      <c r="M333" s="1"/>
      <c r="O333" s="1"/>
      <c r="Q333" s="1"/>
      <c r="S333" s="1"/>
      <c r="U333" s="1"/>
      <c r="W333" s="1"/>
      <c r="Y333" s="1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  <c r="AW333" s="1"/>
      <c r="AY333" s="1"/>
      <c r="BA333" s="1"/>
      <c r="BC333" s="1"/>
      <c r="BE333" s="1"/>
      <c r="BG333" s="1"/>
      <c r="BI333" s="1"/>
    </row>
    <row r="334" ht="15.75" customHeight="1">
      <c r="A334" s="1"/>
      <c r="B334" s="1"/>
      <c r="C334" s="1"/>
      <c r="E334" s="1"/>
      <c r="G334" s="1"/>
      <c r="I334" s="1"/>
      <c r="K334" s="1"/>
      <c r="M334" s="1"/>
      <c r="O334" s="1"/>
      <c r="Q334" s="1"/>
      <c r="S334" s="1"/>
      <c r="U334" s="1"/>
      <c r="W334" s="1"/>
      <c r="Y334" s="1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  <c r="AW334" s="1"/>
      <c r="AY334" s="1"/>
      <c r="BA334" s="1"/>
      <c r="BC334" s="1"/>
      <c r="BE334" s="1"/>
      <c r="BG334" s="1"/>
      <c r="BI334" s="1"/>
    </row>
    <row r="335" ht="15.75" customHeight="1">
      <c r="A335" s="1"/>
      <c r="B335" s="1"/>
      <c r="C335" s="1"/>
      <c r="E335" s="1"/>
      <c r="G335" s="1"/>
      <c r="I335" s="1"/>
      <c r="K335" s="1"/>
      <c r="M335" s="1"/>
      <c r="O335" s="1"/>
      <c r="Q335" s="1"/>
      <c r="S335" s="1"/>
      <c r="U335" s="1"/>
      <c r="W335" s="1"/>
      <c r="Y335" s="1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  <c r="AW335" s="1"/>
      <c r="AY335" s="1"/>
      <c r="BA335" s="1"/>
      <c r="BC335" s="1"/>
      <c r="BE335" s="1"/>
      <c r="BG335" s="1"/>
      <c r="BI335" s="1"/>
    </row>
    <row r="336" ht="15.75" customHeight="1">
      <c r="A336" s="1"/>
      <c r="B336" s="1"/>
      <c r="C336" s="1"/>
      <c r="E336" s="1"/>
      <c r="G336" s="1"/>
      <c r="I336" s="1"/>
      <c r="K336" s="1"/>
      <c r="M336" s="1"/>
      <c r="O336" s="1"/>
      <c r="Q336" s="1"/>
      <c r="S336" s="1"/>
      <c r="U336" s="1"/>
      <c r="W336" s="1"/>
      <c r="Y336" s="1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  <c r="AW336" s="1"/>
      <c r="AY336" s="1"/>
      <c r="BA336" s="1"/>
      <c r="BC336" s="1"/>
      <c r="BE336" s="1"/>
      <c r="BG336" s="1"/>
      <c r="BI336" s="1"/>
    </row>
    <row r="337" ht="15.75" customHeight="1">
      <c r="A337" s="1"/>
      <c r="B337" s="1"/>
      <c r="C337" s="1"/>
      <c r="E337" s="1"/>
      <c r="G337" s="1"/>
      <c r="I337" s="1"/>
      <c r="K337" s="1"/>
      <c r="M337" s="1"/>
      <c r="O337" s="1"/>
      <c r="Q337" s="1"/>
      <c r="S337" s="1"/>
      <c r="U337" s="1"/>
      <c r="W337" s="1"/>
      <c r="Y337" s="1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  <c r="AW337" s="1"/>
      <c r="AY337" s="1"/>
      <c r="BA337" s="1"/>
      <c r="BC337" s="1"/>
      <c r="BE337" s="1"/>
      <c r="BG337" s="1"/>
      <c r="BI337" s="1"/>
    </row>
    <row r="338" ht="15.75" customHeight="1">
      <c r="A338" s="1"/>
      <c r="B338" s="1"/>
      <c r="C338" s="1"/>
      <c r="E338" s="1"/>
      <c r="G338" s="1"/>
      <c r="I338" s="1"/>
      <c r="K338" s="1"/>
      <c r="M338" s="1"/>
      <c r="O338" s="1"/>
      <c r="Q338" s="1"/>
      <c r="S338" s="1"/>
      <c r="U338" s="1"/>
      <c r="W338" s="1"/>
      <c r="Y338" s="1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  <c r="AW338" s="1"/>
      <c r="AY338" s="1"/>
      <c r="BA338" s="1"/>
      <c r="BC338" s="1"/>
      <c r="BE338" s="1"/>
      <c r="BG338" s="1"/>
      <c r="BI338" s="1"/>
    </row>
    <row r="339" ht="15.75" customHeight="1">
      <c r="A339" s="1"/>
      <c r="B339" s="1"/>
      <c r="C339" s="1"/>
      <c r="E339" s="1"/>
      <c r="G339" s="1"/>
      <c r="I339" s="1"/>
      <c r="K339" s="1"/>
      <c r="M339" s="1"/>
      <c r="O339" s="1"/>
      <c r="Q339" s="1"/>
      <c r="S339" s="1"/>
      <c r="U339" s="1"/>
      <c r="W339" s="1"/>
      <c r="Y339" s="1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  <c r="AW339" s="1"/>
      <c r="AY339" s="1"/>
      <c r="BA339" s="1"/>
      <c r="BC339" s="1"/>
      <c r="BE339" s="1"/>
      <c r="BG339" s="1"/>
      <c r="BI339" s="1"/>
    </row>
    <row r="340" ht="15.75" customHeight="1">
      <c r="A340" s="1"/>
      <c r="B340" s="1"/>
      <c r="C340" s="1"/>
      <c r="E340" s="1"/>
      <c r="G340" s="1"/>
      <c r="I340" s="1"/>
      <c r="K340" s="1"/>
      <c r="M340" s="1"/>
      <c r="O340" s="1"/>
      <c r="Q340" s="1"/>
      <c r="S340" s="1"/>
      <c r="U340" s="1"/>
      <c r="W340" s="1"/>
      <c r="Y340" s="1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  <c r="AW340" s="1"/>
      <c r="AY340" s="1"/>
      <c r="BA340" s="1"/>
      <c r="BC340" s="1"/>
      <c r="BE340" s="1"/>
      <c r="BG340" s="1"/>
      <c r="BI340" s="1"/>
    </row>
    <row r="341" ht="15.75" customHeight="1">
      <c r="A341" s="1"/>
      <c r="B341" s="1"/>
      <c r="C341" s="1"/>
      <c r="E341" s="1"/>
      <c r="G341" s="1"/>
      <c r="I341" s="1"/>
      <c r="K341" s="1"/>
      <c r="M341" s="1"/>
      <c r="O341" s="1"/>
      <c r="Q341" s="1"/>
      <c r="S341" s="1"/>
      <c r="U341" s="1"/>
      <c r="W341" s="1"/>
      <c r="Y341" s="1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  <c r="AW341" s="1"/>
      <c r="AY341" s="1"/>
      <c r="BA341" s="1"/>
      <c r="BC341" s="1"/>
      <c r="BE341" s="1"/>
      <c r="BG341" s="1"/>
      <c r="BI341" s="1"/>
    </row>
    <row r="342" ht="15.75" customHeight="1">
      <c r="A342" s="1"/>
      <c r="B342" s="1"/>
      <c r="C342" s="1"/>
      <c r="E342" s="1"/>
      <c r="G342" s="1"/>
      <c r="I342" s="1"/>
      <c r="K342" s="1"/>
      <c r="M342" s="1"/>
      <c r="O342" s="1"/>
      <c r="Q342" s="1"/>
      <c r="S342" s="1"/>
      <c r="U342" s="1"/>
      <c r="W342" s="1"/>
      <c r="Y342" s="1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  <c r="AW342" s="1"/>
      <c r="AY342" s="1"/>
      <c r="BA342" s="1"/>
      <c r="BC342" s="1"/>
      <c r="BE342" s="1"/>
      <c r="BG342" s="1"/>
      <c r="BI342" s="1"/>
    </row>
    <row r="343" ht="15.75" customHeight="1">
      <c r="A343" s="1"/>
      <c r="B343" s="1"/>
      <c r="C343" s="1"/>
      <c r="E343" s="1"/>
      <c r="G343" s="1"/>
      <c r="I343" s="1"/>
      <c r="K343" s="1"/>
      <c r="M343" s="1"/>
      <c r="O343" s="1"/>
      <c r="Q343" s="1"/>
      <c r="S343" s="1"/>
      <c r="U343" s="1"/>
      <c r="W343" s="1"/>
      <c r="Y343" s="1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  <c r="AW343" s="1"/>
      <c r="AY343" s="1"/>
      <c r="BA343" s="1"/>
      <c r="BC343" s="1"/>
      <c r="BE343" s="1"/>
      <c r="BG343" s="1"/>
      <c r="BI343" s="1"/>
    </row>
    <row r="344" ht="15.75" customHeight="1">
      <c r="A344" s="1"/>
      <c r="B344" s="1"/>
      <c r="C344" s="1"/>
      <c r="E344" s="1"/>
      <c r="G344" s="1"/>
      <c r="I344" s="1"/>
      <c r="K344" s="1"/>
      <c r="M344" s="1"/>
      <c r="O344" s="1"/>
      <c r="Q344" s="1"/>
      <c r="S344" s="1"/>
      <c r="U344" s="1"/>
      <c r="W344" s="1"/>
      <c r="Y344" s="1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  <c r="AW344" s="1"/>
      <c r="AY344" s="1"/>
      <c r="BA344" s="1"/>
      <c r="BC344" s="1"/>
      <c r="BE344" s="1"/>
      <c r="BG344" s="1"/>
      <c r="BI344" s="1"/>
    </row>
    <row r="345" ht="15.75" customHeight="1">
      <c r="A345" s="1"/>
      <c r="B345" s="1"/>
      <c r="C345" s="1"/>
      <c r="E345" s="1"/>
      <c r="G345" s="1"/>
      <c r="I345" s="1"/>
      <c r="K345" s="1"/>
      <c r="M345" s="1"/>
      <c r="O345" s="1"/>
      <c r="Q345" s="1"/>
      <c r="S345" s="1"/>
      <c r="U345" s="1"/>
      <c r="W345" s="1"/>
      <c r="Y345" s="1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  <c r="AW345" s="1"/>
      <c r="AY345" s="1"/>
      <c r="BA345" s="1"/>
      <c r="BC345" s="1"/>
      <c r="BE345" s="1"/>
      <c r="BG345" s="1"/>
      <c r="BI345" s="1"/>
    </row>
    <row r="346" ht="15.75" customHeight="1">
      <c r="A346" s="1"/>
      <c r="B346" s="1"/>
      <c r="C346" s="1"/>
      <c r="E346" s="1"/>
      <c r="G346" s="1"/>
      <c r="I346" s="1"/>
      <c r="K346" s="1"/>
      <c r="M346" s="1"/>
      <c r="O346" s="1"/>
      <c r="Q346" s="1"/>
      <c r="S346" s="1"/>
      <c r="U346" s="1"/>
      <c r="W346" s="1"/>
      <c r="Y346" s="1"/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  <c r="AW346" s="1"/>
      <c r="AY346" s="1"/>
      <c r="BA346" s="1"/>
      <c r="BC346" s="1"/>
      <c r="BE346" s="1"/>
      <c r="BG346" s="1"/>
      <c r="BI346" s="1"/>
    </row>
    <row r="347" ht="15.75" customHeight="1">
      <c r="A347" s="1"/>
      <c r="B347" s="1"/>
      <c r="C347" s="1"/>
      <c r="E347" s="1"/>
      <c r="G347" s="1"/>
      <c r="I347" s="1"/>
      <c r="K347" s="1"/>
      <c r="M347" s="1"/>
      <c r="O347" s="1"/>
      <c r="Q347" s="1"/>
      <c r="S347" s="1"/>
      <c r="U347" s="1"/>
      <c r="W347" s="1"/>
      <c r="Y347" s="1"/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  <c r="AW347" s="1"/>
      <c r="AY347" s="1"/>
      <c r="BA347" s="1"/>
      <c r="BC347" s="1"/>
      <c r="BE347" s="1"/>
      <c r="BG347" s="1"/>
      <c r="BI347" s="1"/>
    </row>
    <row r="348" ht="15.75" customHeight="1">
      <c r="A348" s="1"/>
      <c r="B348" s="1"/>
      <c r="C348" s="1"/>
      <c r="E348" s="1"/>
      <c r="G348" s="1"/>
      <c r="I348" s="1"/>
      <c r="K348" s="1"/>
      <c r="M348" s="1"/>
      <c r="O348" s="1"/>
      <c r="Q348" s="1"/>
      <c r="S348" s="1"/>
      <c r="U348" s="1"/>
      <c r="W348" s="1"/>
      <c r="Y348" s="1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  <c r="AW348" s="1"/>
      <c r="AY348" s="1"/>
      <c r="BA348" s="1"/>
      <c r="BC348" s="1"/>
      <c r="BE348" s="1"/>
      <c r="BG348" s="1"/>
      <c r="BI348" s="1"/>
    </row>
    <row r="349" ht="15.75" customHeight="1">
      <c r="A349" s="1"/>
      <c r="B349" s="1"/>
      <c r="C349" s="1"/>
      <c r="E349" s="1"/>
      <c r="G349" s="1"/>
      <c r="I349" s="1"/>
      <c r="K349" s="1"/>
      <c r="M349" s="1"/>
      <c r="O349" s="1"/>
      <c r="Q349" s="1"/>
      <c r="S349" s="1"/>
      <c r="U349" s="1"/>
      <c r="W349" s="1"/>
      <c r="Y349" s="1"/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  <c r="AW349" s="1"/>
      <c r="AY349" s="1"/>
      <c r="BA349" s="1"/>
      <c r="BC349" s="1"/>
      <c r="BE349" s="1"/>
      <c r="BG349" s="1"/>
      <c r="BI349" s="1"/>
    </row>
    <row r="350" ht="15.75" customHeight="1">
      <c r="A350" s="1"/>
      <c r="B350" s="1"/>
      <c r="C350" s="1"/>
      <c r="E350" s="1"/>
      <c r="G350" s="1"/>
      <c r="I350" s="1"/>
      <c r="K350" s="1"/>
      <c r="M350" s="1"/>
      <c r="O350" s="1"/>
      <c r="Q350" s="1"/>
      <c r="S350" s="1"/>
      <c r="U350" s="1"/>
      <c r="W350" s="1"/>
      <c r="Y350" s="1"/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  <c r="AW350" s="1"/>
      <c r="AY350" s="1"/>
      <c r="BA350" s="1"/>
      <c r="BC350" s="1"/>
      <c r="BE350" s="1"/>
      <c r="BG350" s="1"/>
      <c r="BI350" s="1"/>
    </row>
    <row r="351" ht="15.75" customHeight="1">
      <c r="A351" s="1"/>
      <c r="B351" s="1"/>
      <c r="C351" s="1"/>
      <c r="E351" s="1"/>
      <c r="G351" s="1"/>
      <c r="I351" s="1"/>
      <c r="K351" s="1"/>
      <c r="M351" s="1"/>
      <c r="O351" s="1"/>
      <c r="Q351" s="1"/>
      <c r="S351" s="1"/>
      <c r="U351" s="1"/>
      <c r="W351" s="1"/>
      <c r="Y351" s="1"/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  <c r="AW351" s="1"/>
      <c r="AY351" s="1"/>
      <c r="BA351" s="1"/>
      <c r="BC351" s="1"/>
      <c r="BE351" s="1"/>
      <c r="BG351" s="1"/>
      <c r="BI351" s="1"/>
    </row>
    <row r="352" ht="15.75" customHeight="1">
      <c r="A352" s="1"/>
      <c r="B352" s="1"/>
      <c r="C352" s="1"/>
      <c r="E352" s="1"/>
      <c r="G352" s="1"/>
      <c r="I352" s="1"/>
      <c r="K352" s="1"/>
      <c r="M352" s="1"/>
      <c r="O352" s="1"/>
      <c r="Q352" s="1"/>
      <c r="S352" s="1"/>
      <c r="U352" s="1"/>
      <c r="W352" s="1"/>
      <c r="Y352" s="1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  <c r="AW352" s="1"/>
      <c r="AY352" s="1"/>
      <c r="BA352" s="1"/>
      <c r="BC352" s="1"/>
      <c r="BE352" s="1"/>
      <c r="BG352" s="1"/>
      <c r="BI352" s="1"/>
    </row>
    <row r="353" ht="15.75" customHeight="1">
      <c r="A353" s="1"/>
      <c r="B353" s="1"/>
      <c r="C353" s="1"/>
      <c r="E353" s="1"/>
      <c r="G353" s="1"/>
      <c r="I353" s="1"/>
      <c r="K353" s="1"/>
      <c r="M353" s="1"/>
      <c r="O353" s="1"/>
      <c r="Q353" s="1"/>
      <c r="S353" s="1"/>
      <c r="U353" s="1"/>
      <c r="W353" s="1"/>
      <c r="Y353" s="1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  <c r="AW353" s="1"/>
      <c r="AY353" s="1"/>
      <c r="BA353" s="1"/>
      <c r="BC353" s="1"/>
      <c r="BE353" s="1"/>
      <c r="BG353" s="1"/>
      <c r="BI353" s="1"/>
    </row>
    <row r="354" ht="15.75" customHeight="1">
      <c r="A354" s="1"/>
      <c r="B354" s="1"/>
      <c r="C354" s="1"/>
      <c r="E354" s="1"/>
      <c r="G354" s="1"/>
      <c r="I354" s="1"/>
      <c r="K354" s="1"/>
      <c r="M354" s="1"/>
      <c r="O354" s="1"/>
      <c r="Q354" s="1"/>
      <c r="S354" s="1"/>
      <c r="U354" s="1"/>
      <c r="W354" s="1"/>
      <c r="Y354" s="1"/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  <c r="AW354" s="1"/>
      <c r="AY354" s="1"/>
      <c r="BA354" s="1"/>
      <c r="BC354" s="1"/>
      <c r="BE354" s="1"/>
      <c r="BG354" s="1"/>
      <c r="BI354" s="1"/>
    </row>
    <row r="355" ht="15.75" customHeight="1">
      <c r="A355" s="1"/>
      <c r="B355" s="1"/>
      <c r="C355" s="1"/>
      <c r="E355" s="1"/>
      <c r="G355" s="1"/>
      <c r="I355" s="1"/>
      <c r="K355" s="1"/>
      <c r="M355" s="1"/>
      <c r="O355" s="1"/>
      <c r="Q355" s="1"/>
      <c r="S355" s="1"/>
      <c r="U355" s="1"/>
      <c r="W355" s="1"/>
      <c r="Y355" s="1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  <c r="AW355" s="1"/>
      <c r="AY355" s="1"/>
      <c r="BA355" s="1"/>
      <c r="BC355" s="1"/>
      <c r="BE355" s="1"/>
      <c r="BG355" s="1"/>
      <c r="BI355" s="1"/>
    </row>
    <row r="356" ht="15.75" customHeight="1">
      <c r="A356" s="1"/>
      <c r="B356" s="1"/>
      <c r="C356" s="1"/>
      <c r="E356" s="1"/>
      <c r="G356" s="1"/>
      <c r="I356" s="1"/>
      <c r="K356" s="1"/>
      <c r="M356" s="1"/>
      <c r="O356" s="1"/>
      <c r="Q356" s="1"/>
      <c r="S356" s="1"/>
      <c r="U356" s="1"/>
      <c r="W356" s="1"/>
      <c r="Y356" s="1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  <c r="AW356" s="1"/>
      <c r="AY356" s="1"/>
      <c r="BA356" s="1"/>
      <c r="BC356" s="1"/>
      <c r="BE356" s="1"/>
      <c r="BG356" s="1"/>
      <c r="BI356" s="1"/>
    </row>
    <row r="357" ht="15.75" customHeight="1">
      <c r="A357" s="1"/>
      <c r="B357" s="1"/>
      <c r="C357" s="1"/>
      <c r="E357" s="1"/>
      <c r="G357" s="1"/>
      <c r="I357" s="1"/>
      <c r="K357" s="1"/>
      <c r="M357" s="1"/>
      <c r="O357" s="1"/>
      <c r="Q357" s="1"/>
      <c r="S357" s="1"/>
      <c r="U357" s="1"/>
      <c r="W357" s="1"/>
      <c r="Y357" s="1"/>
      <c r="AA357" s="1"/>
      <c r="AC357" s="1"/>
      <c r="AE357" s="1"/>
      <c r="AG357" s="1"/>
      <c r="AI357" s="1"/>
      <c r="AK357" s="1"/>
      <c r="AM357" s="1"/>
      <c r="AO357" s="1"/>
      <c r="AQ357" s="1"/>
      <c r="AS357" s="1"/>
      <c r="AU357" s="1"/>
      <c r="AW357" s="1"/>
      <c r="AY357" s="1"/>
      <c r="BA357" s="1"/>
      <c r="BC357" s="1"/>
      <c r="BE357" s="1"/>
      <c r="BG357" s="1"/>
      <c r="BI357" s="1"/>
    </row>
    <row r="358" ht="15.75" customHeight="1">
      <c r="A358" s="1"/>
      <c r="B358" s="1"/>
      <c r="C358" s="1"/>
      <c r="E358" s="1"/>
      <c r="G358" s="1"/>
      <c r="I358" s="1"/>
      <c r="K358" s="1"/>
      <c r="M358" s="1"/>
      <c r="O358" s="1"/>
      <c r="Q358" s="1"/>
      <c r="S358" s="1"/>
      <c r="U358" s="1"/>
      <c r="W358" s="1"/>
      <c r="Y358" s="1"/>
      <c r="AA358" s="1"/>
      <c r="AC358" s="1"/>
      <c r="AE358" s="1"/>
      <c r="AG358" s="1"/>
      <c r="AI358" s="1"/>
      <c r="AK358" s="1"/>
      <c r="AM358" s="1"/>
      <c r="AO358" s="1"/>
      <c r="AQ358" s="1"/>
      <c r="AS358" s="1"/>
      <c r="AU358" s="1"/>
      <c r="AW358" s="1"/>
      <c r="AY358" s="1"/>
      <c r="BA358" s="1"/>
      <c r="BC358" s="1"/>
      <c r="BE358" s="1"/>
      <c r="BG358" s="1"/>
      <c r="BI358" s="1"/>
    </row>
    <row r="359" ht="15.75" customHeight="1">
      <c r="A359" s="1"/>
      <c r="B359" s="1"/>
      <c r="C359" s="1"/>
      <c r="E359" s="1"/>
      <c r="G359" s="1"/>
      <c r="I359" s="1"/>
      <c r="K359" s="1"/>
      <c r="M359" s="1"/>
      <c r="O359" s="1"/>
      <c r="Q359" s="1"/>
      <c r="S359" s="1"/>
      <c r="U359" s="1"/>
      <c r="W359" s="1"/>
      <c r="Y359" s="1"/>
      <c r="AA359" s="1"/>
      <c r="AC359" s="1"/>
      <c r="AE359" s="1"/>
      <c r="AG359" s="1"/>
      <c r="AI359" s="1"/>
      <c r="AK359" s="1"/>
      <c r="AM359" s="1"/>
      <c r="AO359" s="1"/>
      <c r="AQ359" s="1"/>
      <c r="AS359" s="1"/>
      <c r="AU359" s="1"/>
      <c r="AW359" s="1"/>
      <c r="AY359" s="1"/>
      <c r="BA359" s="1"/>
      <c r="BC359" s="1"/>
      <c r="BE359" s="1"/>
      <c r="BG359" s="1"/>
      <c r="BI359" s="1"/>
    </row>
    <row r="360" ht="15.75" customHeight="1">
      <c r="A360" s="1"/>
      <c r="B360" s="1"/>
      <c r="C360" s="1"/>
      <c r="E360" s="1"/>
      <c r="G360" s="1"/>
      <c r="I360" s="1"/>
      <c r="K360" s="1"/>
      <c r="M360" s="1"/>
      <c r="O360" s="1"/>
      <c r="Q360" s="1"/>
      <c r="S360" s="1"/>
      <c r="U360" s="1"/>
      <c r="W360" s="1"/>
      <c r="Y360" s="1"/>
      <c r="AA360" s="1"/>
      <c r="AC360" s="1"/>
      <c r="AE360" s="1"/>
      <c r="AG360" s="1"/>
      <c r="AI360" s="1"/>
      <c r="AK360" s="1"/>
      <c r="AM360" s="1"/>
      <c r="AO360" s="1"/>
      <c r="AQ360" s="1"/>
      <c r="AS360" s="1"/>
      <c r="AU360" s="1"/>
      <c r="AW360" s="1"/>
      <c r="AY360" s="1"/>
      <c r="BA360" s="1"/>
      <c r="BC360" s="1"/>
      <c r="BE360" s="1"/>
      <c r="BG360" s="1"/>
      <c r="BI360" s="1"/>
    </row>
    <row r="361" ht="15.75" customHeight="1">
      <c r="A361" s="1"/>
      <c r="B361" s="1"/>
      <c r="C361" s="1"/>
      <c r="E361" s="1"/>
      <c r="G361" s="1"/>
      <c r="I361" s="1"/>
      <c r="K361" s="1"/>
      <c r="M361" s="1"/>
      <c r="O361" s="1"/>
      <c r="Q361" s="1"/>
      <c r="S361" s="1"/>
      <c r="U361" s="1"/>
      <c r="W361" s="1"/>
      <c r="Y361" s="1"/>
      <c r="AA361" s="1"/>
      <c r="AC361" s="1"/>
      <c r="AE361" s="1"/>
      <c r="AG361" s="1"/>
      <c r="AI361" s="1"/>
      <c r="AK361" s="1"/>
      <c r="AM361" s="1"/>
      <c r="AO361" s="1"/>
      <c r="AQ361" s="1"/>
      <c r="AS361" s="1"/>
      <c r="AU361" s="1"/>
      <c r="AW361" s="1"/>
      <c r="AY361" s="1"/>
      <c r="BA361" s="1"/>
      <c r="BC361" s="1"/>
      <c r="BE361" s="1"/>
      <c r="BG361" s="1"/>
      <c r="BI361" s="1"/>
    </row>
    <row r="362" ht="15.75" customHeight="1">
      <c r="A362" s="1"/>
      <c r="B362" s="1"/>
      <c r="C362" s="1"/>
      <c r="E362" s="1"/>
      <c r="G362" s="1"/>
      <c r="I362" s="1"/>
      <c r="K362" s="1"/>
      <c r="M362" s="1"/>
      <c r="O362" s="1"/>
      <c r="Q362" s="1"/>
      <c r="S362" s="1"/>
      <c r="U362" s="1"/>
      <c r="W362" s="1"/>
      <c r="Y362" s="1"/>
      <c r="AA362" s="1"/>
      <c r="AC362" s="1"/>
      <c r="AE362" s="1"/>
      <c r="AG362" s="1"/>
      <c r="AI362" s="1"/>
      <c r="AK362" s="1"/>
      <c r="AM362" s="1"/>
      <c r="AO362" s="1"/>
      <c r="AQ362" s="1"/>
      <c r="AS362" s="1"/>
      <c r="AU362" s="1"/>
      <c r="AW362" s="1"/>
      <c r="AY362" s="1"/>
      <c r="BA362" s="1"/>
      <c r="BC362" s="1"/>
      <c r="BE362" s="1"/>
      <c r="BG362" s="1"/>
      <c r="BI362" s="1"/>
    </row>
    <row r="363" ht="15.75" customHeight="1">
      <c r="A363" s="1"/>
      <c r="B363" s="1"/>
      <c r="C363" s="1"/>
      <c r="E363" s="1"/>
      <c r="G363" s="1"/>
      <c r="I363" s="1"/>
      <c r="K363" s="1"/>
      <c r="M363" s="1"/>
      <c r="O363" s="1"/>
      <c r="Q363" s="1"/>
      <c r="S363" s="1"/>
      <c r="U363" s="1"/>
      <c r="W363" s="1"/>
      <c r="Y363" s="1"/>
      <c r="AA363" s="1"/>
      <c r="AC363" s="1"/>
      <c r="AE363" s="1"/>
      <c r="AG363" s="1"/>
      <c r="AI363" s="1"/>
      <c r="AK363" s="1"/>
      <c r="AM363" s="1"/>
      <c r="AO363" s="1"/>
      <c r="AQ363" s="1"/>
      <c r="AS363" s="1"/>
      <c r="AU363" s="1"/>
      <c r="AW363" s="1"/>
      <c r="AY363" s="1"/>
      <c r="BA363" s="1"/>
      <c r="BC363" s="1"/>
      <c r="BE363" s="1"/>
      <c r="BG363" s="1"/>
      <c r="BI363" s="1"/>
    </row>
    <row r="364" ht="15.75" customHeight="1">
      <c r="A364" s="1"/>
      <c r="B364" s="1"/>
      <c r="C364" s="1"/>
      <c r="E364" s="1"/>
      <c r="G364" s="1"/>
      <c r="I364" s="1"/>
      <c r="K364" s="1"/>
      <c r="M364" s="1"/>
      <c r="O364" s="1"/>
      <c r="Q364" s="1"/>
      <c r="S364" s="1"/>
      <c r="U364" s="1"/>
      <c r="W364" s="1"/>
      <c r="Y364" s="1"/>
      <c r="AA364" s="1"/>
      <c r="AC364" s="1"/>
      <c r="AE364" s="1"/>
      <c r="AG364" s="1"/>
      <c r="AI364" s="1"/>
      <c r="AK364" s="1"/>
      <c r="AM364" s="1"/>
      <c r="AO364" s="1"/>
      <c r="AQ364" s="1"/>
      <c r="AS364" s="1"/>
      <c r="AU364" s="1"/>
      <c r="AW364" s="1"/>
      <c r="AY364" s="1"/>
      <c r="BA364" s="1"/>
      <c r="BC364" s="1"/>
      <c r="BE364" s="1"/>
      <c r="BG364" s="1"/>
      <c r="BI364" s="1"/>
    </row>
    <row r="365" ht="15.75" customHeight="1">
      <c r="A365" s="1"/>
      <c r="B365" s="1"/>
      <c r="C365" s="1"/>
      <c r="E365" s="1"/>
      <c r="G365" s="1"/>
      <c r="I365" s="1"/>
      <c r="K365" s="1"/>
      <c r="M365" s="1"/>
      <c r="O365" s="1"/>
      <c r="Q365" s="1"/>
      <c r="S365" s="1"/>
      <c r="U365" s="1"/>
      <c r="W365" s="1"/>
      <c r="Y365" s="1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  <c r="AW365" s="1"/>
      <c r="AY365" s="1"/>
      <c r="BA365" s="1"/>
      <c r="BC365" s="1"/>
      <c r="BE365" s="1"/>
      <c r="BG365" s="1"/>
      <c r="BI365" s="1"/>
    </row>
    <row r="366" ht="15.75" customHeight="1">
      <c r="A366" s="1"/>
      <c r="B366" s="1"/>
      <c r="C366" s="1"/>
      <c r="E366" s="1"/>
      <c r="G366" s="1"/>
      <c r="I366" s="1"/>
      <c r="K366" s="1"/>
      <c r="M366" s="1"/>
      <c r="O366" s="1"/>
      <c r="Q366" s="1"/>
      <c r="S366" s="1"/>
      <c r="U366" s="1"/>
      <c r="W366" s="1"/>
      <c r="Y366" s="1"/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  <c r="AW366" s="1"/>
      <c r="AY366" s="1"/>
      <c r="BA366" s="1"/>
      <c r="BC366" s="1"/>
      <c r="BE366" s="1"/>
      <c r="BG366" s="1"/>
      <c r="BI366" s="1"/>
    </row>
    <row r="367" ht="15.75" customHeight="1">
      <c r="A367" s="1"/>
      <c r="B367" s="1"/>
      <c r="C367" s="1"/>
      <c r="E367" s="1"/>
      <c r="G367" s="1"/>
      <c r="I367" s="1"/>
      <c r="K367" s="1"/>
      <c r="M367" s="1"/>
      <c r="O367" s="1"/>
      <c r="Q367" s="1"/>
      <c r="S367" s="1"/>
      <c r="U367" s="1"/>
      <c r="W367" s="1"/>
      <c r="Y367" s="1"/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  <c r="AW367" s="1"/>
      <c r="AY367" s="1"/>
      <c r="BA367" s="1"/>
      <c r="BC367" s="1"/>
      <c r="BE367" s="1"/>
      <c r="BG367" s="1"/>
      <c r="BI367" s="1"/>
    </row>
    <row r="368" ht="15.75" customHeight="1">
      <c r="A368" s="1"/>
      <c r="B368" s="1"/>
      <c r="C368" s="1"/>
      <c r="E368" s="1"/>
      <c r="G368" s="1"/>
      <c r="I368" s="1"/>
      <c r="K368" s="1"/>
      <c r="M368" s="1"/>
      <c r="O368" s="1"/>
      <c r="Q368" s="1"/>
      <c r="S368" s="1"/>
      <c r="U368" s="1"/>
      <c r="W368" s="1"/>
      <c r="Y368" s="1"/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  <c r="AW368" s="1"/>
      <c r="AY368" s="1"/>
      <c r="BA368" s="1"/>
      <c r="BC368" s="1"/>
      <c r="BE368" s="1"/>
      <c r="BG368" s="1"/>
      <c r="BI368" s="1"/>
    </row>
    <row r="369" ht="15.75" customHeight="1">
      <c r="A369" s="1"/>
      <c r="B369" s="1"/>
      <c r="C369" s="1"/>
      <c r="E369" s="1"/>
      <c r="G369" s="1"/>
      <c r="I369" s="1"/>
      <c r="K369" s="1"/>
      <c r="M369" s="1"/>
      <c r="O369" s="1"/>
      <c r="Q369" s="1"/>
      <c r="S369" s="1"/>
      <c r="U369" s="1"/>
      <c r="W369" s="1"/>
      <c r="Y369" s="1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  <c r="AW369" s="1"/>
      <c r="AY369" s="1"/>
      <c r="BA369" s="1"/>
      <c r="BC369" s="1"/>
      <c r="BE369" s="1"/>
      <c r="BG369" s="1"/>
      <c r="BI369" s="1"/>
    </row>
    <row r="370" ht="15.75" customHeight="1">
      <c r="A370" s="1"/>
      <c r="B370" s="1"/>
      <c r="C370" s="1"/>
      <c r="E370" s="1"/>
      <c r="G370" s="1"/>
      <c r="I370" s="1"/>
      <c r="K370" s="1"/>
      <c r="M370" s="1"/>
      <c r="O370" s="1"/>
      <c r="Q370" s="1"/>
      <c r="S370" s="1"/>
      <c r="U370" s="1"/>
      <c r="W370" s="1"/>
      <c r="Y370" s="1"/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  <c r="AW370" s="1"/>
      <c r="AY370" s="1"/>
      <c r="BA370" s="1"/>
      <c r="BC370" s="1"/>
      <c r="BE370" s="1"/>
      <c r="BG370" s="1"/>
      <c r="BI370" s="1"/>
    </row>
    <row r="371" ht="15.75" customHeight="1">
      <c r="A371" s="1"/>
      <c r="B371" s="1"/>
      <c r="C371" s="1"/>
      <c r="E371" s="1"/>
      <c r="G371" s="1"/>
      <c r="I371" s="1"/>
      <c r="K371" s="1"/>
      <c r="M371" s="1"/>
      <c r="O371" s="1"/>
      <c r="Q371" s="1"/>
      <c r="S371" s="1"/>
      <c r="U371" s="1"/>
      <c r="W371" s="1"/>
      <c r="Y371" s="1"/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  <c r="AW371" s="1"/>
      <c r="AY371" s="1"/>
      <c r="BA371" s="1"/>
      <c r="BC371" s="1"/>
      <c r="BE371" s="1"/>
      <c r="BG371" s="1"/>
      <c r="BI371" s="1"/>
    </row>
    <row r="372" ht="15.75" customHeight="1">
      <c r="A372" s="1"/>
      <c r="B372" s="1"/>
      <c r="C372" s="1"/>
      <c r="E372" s="1"/>
      <c r="G372" s="1"/>
      <c r="I372" s="1"/>
      <c r="K372" s="1"/>
      <c r="M372" s="1"/>
      <c r="O372" s="1"/>
      <c r="Q372" s="1"/>
      <c r="S372" s="1"/>
      <c r="U372" s="1"/>
      <c r="W372" s="1"/>
      <c r="Y372" s="1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  <c r="AW372" s="1"/>
      <c r="AY372" s="1"/>
      <c r="BA372" s="1"/>
      <c r="BC372" s="1"/>
      <c r="BE372" s="1"/>
      <c r="BG372" s="1"/>
      <c r="BI372" s="1"/>
    </row>
    <row r="373" ht="15.75" customHeight="1">
      <c r="A373" s="1"/>
      <c r="B373" s="1"/>
      <c r="C373" s="1"/>
      <c r="E373" s="1"/>
      <c r="G373" s="1"/>
      <c r="I373" s="1"/>
      <c r="K373" s="1"/>
      <c r="M373" s="1"/>
      <c r="O373" s="1"/>
      <c r="Q373" s="1"/>
      <c r="S373" s="1"/>
      <c r="U373" s="1"/>
      <c r="W373" s="1"/>
      <c r="Y373" s="1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  <c r="AW373" s="1"/>
      <c r="AY373" s="1"/>
      <c r="BA373" s="1"/>
      <c r="BC373" s="1"/>
      <c r="BE373" s="1"/>
      <c r="BG373" s="1"/>
      <c r="BI373" s="1"/>
    </row>
    <row r="374" ht="15.75" customHeight="1">
      <c r="A374" s="1"/>
      <c r="B374" s="1"/>
      <c r="C374" s="1"/>
      <c r="E374" s="1"/>
      <c r="G374" s="1"/>
      <c r="I374" s="1"/>
      <c r="K374" s="1"/>
      <c r="M374" s="1"/>
      <c r="O374" s="1"/>
      <c r="Q374" s="1"/>
      <c r="S374" s="1"/>
      <c r="U374" s="1"/>
      <c r="W374" s="1"/>
      <c r="Y374" s="1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  <c r="AW374" s="1"/>
      <c r="AY374" s="1"/>
      <c r="BA374" s="1"/>
      <c r="BC374" s="1"/>
      <c r="BE374" s="1"/>
      <c r="BG374" s="1"/>
      <c r="BI374" s="1"/>
    </row>
    <row r="375" ht="15.75" customHeight="1">
      <c r="A375" s="1"/>
      <c r="B375" s="1"/>
      <c r="C375" s="1"/>
      <c r="E375" s="1"/>
      <c r="G375" s="1"/>
      <c r="I375" s="1"/>
      <c r="K375" s="1"/>
      <c r="M375" s="1"/>
      <c r="O375" s="1"/>
      <c r="Q375" s="1"/>
      <c r="S375" s="1"/>
      <c r="U375" s="1"/>
      <c r="W375" s="1"/>
      <c r="Y375" s="1"/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  <c r="AW375" s="1"/>
      <c r="AY375" s="1"/>
      <c r="BA375" s="1"/>
      <c r="BC375" s="1"/>
      <c r="BE375" s="1"/>
      <c r="BG375" s="1"/>
      <c r="BI375" s="1"/>
    </row>
    <row r="376" ht="15.75" customHeight="1">
      <c r="A376" s="1"/>
      <c r="B376" s="1"/>
      <c r="C376" s="1"/>
      <c r="E376" s="1"/>
      <c r="G376" s="1"/>
      <c r="I376" s="1"/>
      <c r="K376" s="1"/>
      <c r="M376" s="1"/>
      <c r="O376" s="1"/>
      <c r="Q376" s="1"/>
      <c r="S376" s="1"/>
      <c r="U376" s="1"/>
      <c r="W376" s="1"/>
      <c r="Y376" s="1"/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  <c r="AW376" s="1"/>
      <c r="AY376" s="1"/>
      <c r="BA376" s="1"/>
      <c r="BC376" s="1"/>
      <c r="BE376" s="1"/>
      <c r="BG376" s="1"/>
      <c r="BI376" s="1"/>
    </row>
    <row r="377" ht="15.75" customHeight="1">
      <c r="A377" s="1"/>
      <c r="B377" s="1"/>
      <c r="C377" s="1"/>
      <c r="E377" s="1"/>
      <c r="G377" s="1"/>
      <c r="I377" s="1"/>
      <c r="K377" s="1"/>
      <c r="M377" s="1"/>
      <c r="O377" s="1"/>
      <c r="Q377" s="1"/>
      <c r="S377" s="1"/>
      <c r="U377" s="1"/>
      <c r="W377" s="1"/>
      <c r="Y377" s="1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  <c r="AW377" s="1"/>
      <c r="AY377" s="1"/>
      <c r="BA377" s="1"/>
      <c r="BC377" s="1"/>
      <c r="BE377" s="1"/>
      <c r="BG377" s="1"/>
      <c r="BI377" s="1"/>
    </row>
    <row r="378" ht="15.75" customHeight="1">
      <c r="A378" s="1"/>
      <c r="B378" s="1"/>
      <c r="C378" s="1"/>
      <c r="E378" s="1"/>
      <c r="G378" s="1"/>
      <c r="I378" s="1"/>
      <c r="K378" s="1"/>
      <c r="M378" s="1"/>
      <c r="O378" s="1"/>
      <c r="Q378" s="1"/>
      <c r="S378" s="1"/>
      <c r="U378" s="1"/>
      <c r="W378" s="1"/>
      <c r="Y378" s="1"/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  <c r="AW378" s="1"/>
      <c r="AY378" s="1"/>
      <c r="BA378" s="1"/>
      <c r="BC378" s="1"/>
      <c r="BE378" s="1"/>
      <c r="BG378" s="1"/>
      <c r="BI378" s="1"/>
    </row>
    <row r="379" ht="15.75" customHeight="1">
      <c r="A379" s="1"/>
      <c r="B379" s="1"/>
      <c r="C379" s="1"/>
      <c r="E379" s="1"/>
      <c r="G379" s="1"/>
      <c r="I379" s="1"/>
      <c r="K379" s="1"/>
      <c r="M379" s="1"/>
      <c r="O379" s="1"/>
      <c r="Q379" s="1"/>
      <c r="S379" s="1"/>
      <c r="U379" s="1"/>
      <c r="W379" s="1"/>
      <c r="Y379" s="1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  <c r="AW379" s="1"/>
      <c r="AY379" s="1"/>
      <c r="BA379" s="1"/>
      <c r="BC379" s="1"/>
      <c r="BE379" s="1"/>
      <c r="BG379" s="1"/>
      <c r="BI379" s="1"/>
    </row>
    <row r="380" ht="15.75" customHeight="1">
      <c r="A380" s="1"/>
      <c r="B380" s="1"/>
      <c r="C380" s="1"/>
      <c r="E380" s="1"/>
      <c r="G380" s="1"/>
      <c r="I380" s="1"/>
      <c r="K380" s="1"/>
      <c r="M380" s="1"/>
      <c r="O380" s="1"/>
      <c r="Q380" s="1"/>
      <c r="S380" s="1"/>
      <c r="U380" s="1"/>
      <c r="W380" s="1"/>
      <c r="Y380" s="1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  <c r="AW380" s="1"/>
      <c r="AY380" s="1"/>
      <c r="BA380" s="1"/>
      <c r="BC380" s="1"/>
      <c r="BE380" s="1"/>
      <c r="BG380" s="1"/>
      <c r="BI380" s="1"/>
    </row>
    <row r="381" ht="15.75" customHeight="1">
      <c r="A381" s="1"/>
      <c r="B381" s="1"/>
      <c r="C381" s="1"/>
      <c r="E381" s="1"/>
      <c r="G381" s="1"/>
      <c r="I381" s="1"/>
      <c r="K381" s="1"/>
      <c r="M381" s="1"/>
      <c r="O381" s="1"/>
      <c r="Q381" s="1"/>
      <c r="S381" s="1"/>
      <c r="U381" s="1"/>
      <c r="W381" s="1"/>
      <c r="Y381" s="1"/>
      <c r="AA381" s="1"/>
      <c r="AC381" s="1"/>
      <c r="AE381" s="1"/>
      <c r="AG381" s="1"/>
      <c r="AI381" s="1"/>
      <c r="AK381" s="1"/>
      <c r="AM381" s="1"/>
      <c r="AO381" s="1"/>
      <c r="AQ381" s="1"/>
      <c r="AS381" s="1"/>
      <c r="AU381" s="1"/>
      <c r="AW381" s="1"/>
      <c r="AY381" s="1"/>
      <c r="BA381" s="1"/>
      <c r="BC381" s="1"/>
      <c r="BE381" s="1"/>
      <c r="BG381" s="1"/>
      <c r="BI381" s="1"/>
    </row>
    <row r="382" ht="15.75" customHeight="1">
      <c r="A382" s="1"/>
      <c r="B382" s="1"/>
      <c r="C382" s="1"/>
      <c r="E382" s="1"/>
      <c r="G382" s="1"/>
      <c r="I382" s="1"/>
      <c r="K382" s="1"/>
      <c r="M382" s="1"/>
      <c r="O382" s="1"/>
      <c r="Q382" s="1"/>
      <c r="S382" s="1"/>
      <c r="U382" s="1"/>
      <c r="W382" s="1"/>
      <c r="Y382" s="1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  <c r="AW382" s="1"/>
      <c r="AY382" s="1"/>
      <c r="BA382" s="1"/>
      <c r="BC382" s="1"/>
      <c r="BE382" s="1"/>
      <c r="BG382" s="1"/>
      <c r="BI382" s="1"/>
    </row>
    <row r="383" ht="15.75" customHeight="1">
      <c r="A383" s="1"/>
      <c r="B383" s="1"/>
      <c r="C383" s="1"/>
      <c r="E383" s="1"/>
      <c r="G383" s="1"/>
      <c r="I383" s="1"/>
      <c r="K383" s="1"/>
      <c r="M383" s="1"/>
      <c r="O383" s="1"/>
      <c r="Q383" s="1"/>
      <c r="S383" s="1"/>
      <c r="U383" s="1"/>
      <c r="W383" s="1"/>
      <c r="Y383" s="1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  <c r="AW383" s="1"/>
      <c r="AY383" s="1"/>
      <c r="BA383" s="1"/>
      <c r="BC383" s="1"/>
      <c r="BE383" s="1"/>
      <c r="BG383" s="1"/>
      <c r="BI383" s="1"/>
    </row>
    <row r="384" ht="15.75" customHeight="1">
      <c r="A384" s="1"/>
      <c r="B384" s="1"/>
      <c r="C384" s="1"/>
      <c r="E384" s="1"/>
      <c r="G384" s="1"/>
      <c r="I384" s="1"/>
      <c r="K384" s="1"/>
      <c r="M384" s="1"/>
      <c r="O384" s="1"/>
      <c r="Q384" s="1"/>
      <c r="S384" s="1"/>
      <c r="U384" s="1"/>
      <c r="W384" s="1"/>
      <c r="Y384" s="1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  <c r="AW384" s="1"/>
      <c r="AY384" s="1"/>
      <c r="BA384" s="1"/>
      <c r="BC384" s="1"/>
      <c r="BE384" s="1"/>
      <c r="BG384" s="1"/>
      <c r="BI384" s="1"/>
    </row>
    <row r="385" ht="15.75" customHeight="1">
      <c r="A385" s="1"/>
      <c r="B385" s="1"/>
      <c r="C385" s="1"/>
      <c r="E385" s="1"/>
      <c r="G385" s="1"/>
      <c r="I385" s="1"/>
      <c r="K385" s="1"/>
      <c r="M385" s="1"/>
      <c r="O385" s="1"/>
      <c r="Q385" s="1"/>
      <c r="S385" s="1"/>
      <c r="U385" s="1"/>
      <c r="W385" s="1"/>
      <c r="Y385" s="1"/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  <c r="AW385" s="1"/>
      <c r="AY385" s="1"/>
      <c r="BA385" s="1"/>
      <c r="BC385" s="1"/>
      <c r="BE385" s="1"/>
      <c r="BG385" s="1"/>
      <c r="BI385" s="1"/>
    </row>
    <row r="386" ht="15.75" customHeight="1">
      <c r="A386" s="1"/>
      <c r="B386" s="1"/>
      <c r="C386" s="1"/>
      <c r="E386" s="1"/>
      <c r="G386" s="1"/>
      <c r="I386" s="1"/>
      <c r="K386" s="1"/>
      <c r="M386" s="1"/>
      <c r="O386" s="1"/>
      <c r="Q386" s="1"/>
      <c r="S386" s="1"/>
      <c r="U386" s="1"/>
      <c r="W386" s="1"/>
      <c r="Y386" s="1"/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  <c r="AW386" s="1"/>
      <c r="AY386" s="1"/>
      <c r="BA386" s="1"/>
      <c r="BC386" s="1"/>
      <c r="BE386" s="1"/>
      <c r="BG386" s="1"/>
      <c r="BI386" s="1"/>
    </row>
    <row r="387" ht="15.75" customHeight="1">
      <c r="A387" s="1"/>
      <c r="B387" s="1"/>
      <c r="C387" s="1"/>
      <c r="E387" s="1"/>
      <c r="G387" s="1"/>
      <c r="I387" s="1"/>
      <c r="K387" s="1"/>
      <c r="M387" s="1"/>
      <c r="O387" s="1"/>
      <c r="Q387" s="1"/>
      <c r="S387" s="1"/>
      <c r="U387" s="1"/>
      <c r="W387" s="1"/>
      <c r="Y387" s="1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  <c r="AW387" s="1"/>
      <c r="AY387" s="1"/>
      <c r="BA387" s="1"/>
      <c r="BC387" s="1"/>
      <c r="BE387" s="1"/>
      <c r="BG387" s="1"/>
      <c r="BI387" s="1"/>
    </row>
    <row r="388" ht="15.75" customHeight="1">
      <c r="A388" s="1"/>
      <c r="B388" s="1"/>
      <c r="C388" s="1"/>
      <c r="E388" s="1"/>
      <c r="G388" s="1"/>
      <c r="I388" s="1"/>
      <c r="K388" s="1"/>
      <c r="M388" s="1"/>
      <c r="O388" s="1"/>
      <c r="Q388" s="1"/>
      <c r="S388" s="1"/>
      <c r="U388" s="1"/>
      <c r="W388" s="1"/>
      <c r="Y388" s="1"/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  <c r="AW388" s="1"/>
      <c r="AY388" s="1"/>
      <c r="BA388" s="1"/>
      <c r="BC388" s="1"/>
      <c r="BE388" s="1"/>
      <c r="BG388" s="1"/>
      <c r="BI388" s="1"/>
    </row>
    <row r="389" ht="15.75" customHeight="1">
      <c r="A389" s="1"/>
      <c r="B389" s="1"/>
      <c r="C389" s="1"/>
      <c r="E389" s="1"/>
      <c r="G389" s="1"/>
      <c r="I389" s="1"/>
      <c r="K389" s="1"/>
      <c r="M389" s="1"/>
      <c r="O389" s="1"/>
      <c r="Q389" s="1"/>
      <c r="S389" s="1"/>
      <c r="U389" s="1"/>
      <c r="W389" s="1"/>
      <c r="Y389" s="1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  <c r="AW389" s="1"/>
      <c r="AY389" s="1"/>
      <c r="BA389" s="1"/>
      <c r="BC389" s="1"/>
      <c r="BE389" s="1"/>
      <c r="BG389" s="1"/>
      <c r="BI389" s="1"/>
    </row>
    <row r="390" ht="15.75" customHeight="1">
      <c r="A390" s="1"/>
      <c r="B390" s="1"/>
      <c r="C390" s="1"/>
      <c r="E390" s="1"/>
      <c r="G390" s="1"/>
      <c r="I390" s="1"/>
      <c r="K390" s="1"/>
      <c r="M390" s="1"/>
      <c r="O390" s="1"/>
      <c r="Q390" s="1"/>
      <c r="S390" s="1"/>
      <c r="U390" s="1"/>
      <c r="W390" s="1"/>
      <c r="Y390" s="1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  <c r="AW390" s="1"/>
      <c r="AY390" s="1"/>
      <c r="BA390" s="1"/>
      <c r="BC390" s="1"/>
      <c r="BE390" s="1"/>
      <c r="BG390" s="1"/>
      <c r="BI390" s="1"/>
    </row>
    <row r="391" ht="15.75" customHeight="1">
      <c r="A391" s="1"/>
      <c r="B391" s="1"/>
      <c r="C391" s="1"/>
      <c r="E391" s="1"/>
      <c r="G391" s="1"/>
      <c r="I391" s="1"/>
      <c r="K391" s="1"/>
      <c r="M391" s="1"/>
      <c r="O391" s="1"/>
      <c r="Q391" s="1"/>
      <c r="S391" s="1"/>
      <c r="U391" s="1"/>
      <c r="W391" s="1"/>
      <c r="Y391" s="1"/>
      <c r="AA391" s="1"/>
      <c r="AC391" s="1"/>
      <c r="AE391" s="1"/>
      <c r="AG391" s="1"/>
      <c r="AI391" s="1"/>
      <c r="AK391" s="1"/>
      <c r="AM391" s="1"/>
      <c r="AO391" s="1"/>
      <c r="AQ391" s="1"/>
      <c r="AS391" s="1"/>
      <c r="AU391" s="1"/>
      <c r="AW391" s="1"/>
      <c r="AY391" s="1"/>
      <c r="BA391" s="1"/>
      <c r="BC391" s="1"/>
      <c r="BE391" s="1"/>
      <c r="BG391" s="1"/>
      <c r="BI391" s="1"/>
    </row>
    <row r="392" ht="15.75" customHeight="1">
      <c r="A392" s="1"/>
      <c r="B392" s="1"/>
      <c r="C392" s="1"/>
      <c r="E392" s="1"/>
      <c r="G392" s="1"/>
      <c r="I392" s="1"/>
      <c r="K392" s="1"/>
      <c r="M392" s="1"/>
      <c r="O392" s="1"/>
      <c r="Q392" s="1"/>
      <c r="S392" s="1"/>
      <c r="U392" s="1"/>
      <c r="W392" s="1"/>
      <c r="Y392" s="1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  <c r="AW392" s="1"/>
      <c r="AY392" s="1"/>
      <c r="BA392" s="1"/>
      <c r="BC392" s="1"/>
      <c r="BE392" s="1"/>
      <c r="BG392" s="1"/>
      <c r="BI392" s="1"/>
    </row>
    <row r="393" ht="15.75" customHeight="1">
      <c r="A393" s="1"/>
      <c r="B393" s="1"/>
      <c r="C393" s="1"/>
      <c r="E393" s="1"/>
      <c r="G393" s="1"/>
      <c r="I393" s="1"/>
      <c r="K393" s="1"/>
      <c r="M393" s="1"/>
      <c r="O393" s="1"/>
      <c r="Q393" s="1"/>
      <c r="S393" s="1"/>
      <c r="U393" s="1"/>
      <c r="W393" s="1"/>
      <c r="Y393" s="1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  <c r="AW393" s="1"/>
      <c r="AY393" s="1"/>
      <c r="BA393" s="1"/>
      <c r="BC393" s="1"/>
      <c r="BE393" s="1"/>
      <c r="BG393" s="1"/>
      <c r="BI393" s="1"/>
    </row>
    <row r="394" ht="15.75" customHeight="1">
      <c r="A394" s="1"/>
      <c r="B394" s="1"/>
      <c r="C394" s="1"/>
      <c r="E394" s="1"/>
      <c r="G394" s="1"/>
      <c r="I394" s="1"/>
      <c r="K394" s="1"/>
      <c r="M394" s="1"/>
      <c r="O394" s="1"/>
      <c r="Q394" s="1"/>
      <c r="S394" s="1"/>
      <c r="U394" s="1"/>
      <c r="W394" s="1"/>
      <c r="Y394" s="1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  <c r="AW394" s="1"/>
      <c r="AY394" s="1"/>
      <c r="BA394" s="1"/>
      <c r="BC394" s="1"/>
      <c r="BE394" s="1"/>
      <c r="BG394" s="1"/>
      <c r="BI394" s="1"/>
    </row>
    <row r="395" ht="15.75" customHeight="1">
      <c r="A395" s="1"/>
      <c r="B395" s="1"/>
      <c r="C395" s="1"/>
      <c r="E395" s="1"/>
      <c r="G395" s="1"/>
      <c r="I395" s="1"/>
      <c r="K395" s="1"/>
      <c r="M395" s="1"/>
      <c r="O395" s="1"/>
      <c r="Q395" s="1"/>
      <c r="S395" s="1"/>
      <c r="U395" s="1"/>
      <c r="W395" s="1"/>
      <c r="Y395" s="1"/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  <c r="AW395" s="1"/>
      <c r="AY395" s="1"/>
      <c r="BA395" s="1"/>
      <c r="BC395" s="1"/>
      <c r="BE395" s="1"/>
      <c r="BG395" s="1"/>
      <c r="BI395" s="1"/>
    </row>
    <row r="396" ht="15.75" customHeight="1">
      <c r="A396" s="1"/>
      <c r="B396" s="1"/>
      <c r="C396" s="1"/>
      <c r="E396" s="1"/>
      <c r="G396" s="1"/>
      <c r="I396" s="1"/>
      <c r="K396" s="1"/>
      <c r="M396" s="1"/>
      <c r="O396" s="1"/>
      <c r="Q396" s="1"/>
      <c r="S396" s="1"/>
      <c r="U396" s="1"/>
      <c r="W396" s="1"/>
      <c r="Y396" s="1"/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  <c r="AW396" s="1"/>
      <c r="AY396" s="1"/>
      <c r="BA396" s="1"/>
      <c r="BC396" s="1"/>
      <c r="BE396" s="1"/>
      <c r="BG396" s="1"/>
      <c r="BI396" s="1"/>
    </row>
    <row r="397" ht="15.75" customHeight="1">
      <c r="A397" s="1"/>
      <c r="B397" s="1"/>
      <c r="C397" s="1"/>
      <c r="E397" s="1"/>
      <c r="G397" s="1"/>
      <c r="I397" s="1"/>
      <c r="K397" s="1"/>
      <c r="M397" s="1"/>
      <c r="O397" s="1"/>
      <c r="Q397" s="1"/>
      <c r="S397" s="1"/>
      <c r="U397" s="1"/>
      <c r="W397" s="1"/>
      <c r="Y397" s="1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  <c r="AW397" s="1"/>
      <c r="AY397" s="1"/>
      <c r="BA397" s="1"/>
      <c r="BC397" s="1"/>
      <c r="BE397" s="1"/>
      <c r="BG397" s="1"/>
      <c r="BI397" s="1"/>
    </row>
    <row r="398" ht="15.75" customHeight="1">
      <c r="A398" s="1"/>
      <c r="B398" s="1"/>
      <c r="C398" s="1"/>
      <c r="E398" s="1"/>
      <c r="G398" s="1"/>
      <c r="I398" s="1"/>
      <c r="K398" s="1"/>
      <c r="M398" s="1"/>
      <c r="O398" s="1"/>
      <c r="Q398" s="1"/>
      <c r="S398" s="1"/>
      <c r="U398" s="1"/>
      <c r="W398" s="1"/>
      <c r="Y398" s="1"/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  <c r="AW398" s="1"/>
      <c r="AY398" s="1"/>
      <c r="BA398" s="1"/>
      <c r="BC398" s="1"/>
      <c r="BE398" s="1"/>
      <c r="BG398" s="1"/>
      <c r="BI398" s="1"/>
    </row>
    <row r="399" ht="15.75" customHeight="1">
      <c r="A399" s="1"/>
      <c r="B399" s="1"/>
      <c r="C399" s="1"/>
      <c r="E399" s="1"/>
      <c r="G399" s="1"/>
      <c r="I399" s="1"/>
      <c r="K399" s="1"/>
      <c r="M399" s="1"/>
      <c r="O399" s="1"/>
      <c r="Q399" s="1"/>
      <c r="S399" s="1"/>
      <c r="U399" s="1"/>
      <c r="W399" s="1"/>
      <c r="Y399" s="1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  <c r="AW399" s="1"/>
      <c r="AY399" s="1"/>
      <c r="BA399" s="1"/>
      <c r="BC399" s="1"/>
      <c r="BE399" s="1"/>
      <c r="BG399" s="1"/>
      <c r="BI399" s="1"/>
    </row>
    <row r="400" ht="15.75" customHeight="1">
      <c r="A400" s="1"/>
      <c r="B400" s="1"/>
      <c r="C400" s="1"/>
      <c r="E400" s="1"/>
      <c r="G400" s="1"/>
      <c r="I400" s="1"/>
      <c r="K400" s="1"/>
      <c r="M400" s="1"/>
      <c r="O400" s="1"/>
      <c r="Q400" s="1"/>
      <c r="S400" s="1"/>
      <c r="U400" s="1"/>
      <c r="W400" s="1"/>
      <c r="Y400" s="1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  <c r="AW400" s="1"/>
      <c r="AY400" s="1"/>
      <c r="BA400" s="1"/>
      <c r="BC400" s="1"/>
      <c r="BE400" s="1"/>
      <c r="BG400" s="1"/>
      <c r="BI400" s="1"/>
    </row>
    <row r="401" ht="15.75" customHeight="1">
      <c r="A401" s="1"/>
      <c r="B401" s="1"/>
      <c r="C401" s="1"/>
      <c r="E401" s="1"/>
      <c r="G401" s="1"/>
      <c r="I401" s="1"/>
      <c r="K401" s="1"/>
      <c r="M401" s="1"/>
      <c r="O401" s="1"/>
      <c r="Q401" s="1"/>
      <c r="S401" s="1"/>
      <c r="U401" s="1"/>
      <c r="W401" s="1"/>
      <c r="Y401" s="1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  <c r="AW401" s="1"/>
      <c r="AY401" s="1"/>
      <c r="BA401" s="1"/>
      <c r="BC401" s="1"/>
      <c r="BE401" s="1"/>
      <c r="BG401" s="1"/>
      <c r="BI401" s="1"/>
    </row>
    <row r="402" ht="15.75" customHeight="1">
      <c r="A402" s="1"/>
      <c r="B402" s="1"/>
      <c r="C402" s="1"/>
      <c r="E402" s="1"/>
      <c r="G402" s="1"/>
      <c r="I402" s="1"/>
      <c r="K402" s="1"/>
      <c r="M402" s="1"/>
      <c r="O402" s="1"/>
      <c r="Q402" s="1"/>
      <c r="S402" s="1"/>
      <c r="U402" s="1"/>
      <c r="W402" s="1"/>
      <c r="Y402" s="1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  <c r="AW402" s="1"/>
      <c r="AY402" s="1"/>
      <c r="BA402" s="1"/>
      <c r="BC402" s="1"/>
      <c r="BE402" s="1"/>
      <c r="BG402" s="1"/>
      <c r="BI402" s="1"/>
    </row>
    <row r="403" ht="15.75" customHeight="1">
      <c r="A403" s="1"/>
      <c r="B403" s="1"/>
      <c r="C403" s="1"/>
      <c r="E403" s="1"/>
      <c r="G403" s="1"/>
      <c r="I403" s="1"/>
      <c r="K403" s="1"/>
      <c r="M403" s="1"/>
      <c r="O403" s="1"/>
      <c r="Q403" s="1"/>
      <c r="S403" s="1"/>
      <c r="U403" s="1"/>
      <c r="W403" s="1"/>
      <c r="Y403" s="1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  <c r="AW403" s="1"/>
      <c r="AY403" s="1"/>
      <c r="BA403" s="1"/>
      <c r="BC403" s="1"/>
      <c r="BE403" s="1"/>
      <c r="BG403" s="1"/>
      <c r="BI403" s="1"/>
    </row>
    <row r="404" ht="15.75" customHeight="1">
      <c r="A404" s="1"/>
      <c r="B404" s="1"/>
      <c r="C404" s="1"/>
      <c r="E404" s="1"/>
      <c r="G404" s="1"/>
      <c r="I404" s="1"/>
      <c r="K404" s="1"/>
      <c r="M404" s="1"/>
      <c r="O404" s="1"/>
      <c r="Q404" s="1"/>
      <c r="S404" s="1"/>
      <c r="U404" s="1"/>
      <c r="W404" s="1"/>
      <c r="Y404" s="1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  <c r="AW404" s="1"/>
      <c r="AY404" s="1"/>
      <c r="BA404" s="1"/>
      <c r="BC404" s="1"/>
      <c r="BE404" s="1"/>
      <c r="BG404" s="1"/>
      <c r="BI404" s="1"/>
    </row>
    <row r="405" ht="15.75" customHeight="1">
      <c r="A405" s="1"/>
      <c r="B405" s="1"/>
      <c r="C405" s="1"/>
      <c r="E405" s="1"/>
      <c r="G405" s="1"/>
      <c r="I405" s="1"/>
      <c r="K405" s="1"/>
      <c r="M405" s="1"/>
      <c r="O405" s="1"/>
      <c r="Q405" s="1"/>
      <c r="S405" s="1"/>
      <c r="U405" s="1"/>
      <c r="W405" s="1"/>
      <c r="Y405" s="1"/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  <c r="AW405" s="1"/>
      <c r="AY405" s="1"/>
      <c r="BA405" s="1"/>
      <c r="BC405" s="1"/>
      <c r="BE405" s="1"/>
      <c r="BG405" s="1"/>
      <c r="BI405" s="1"/>
    </row>
    <row r="406" ht="15.75" customHeight="1">
      <c r="A406" s="1"/>
      <c r="B406" s="1"/>
      <c r="C406" s="1"/>
      <c r="E406" s="1"/>
      <c r="G406" s="1"/>
      <c r="I406" s="1"/>
      <c r="K406" s="1"/>
      <c r="M406" s="1"/>
      <c r="O406" s="1"/>
      <c r="Q406" s="1"/>
      <c r="S406" s="1"/>
      <c r="U406" s="1"/>
      <c r="W406" s="1"/>
      <c r="Y406" s="1"/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  <c r="AW406" s="1"/>
      <c r="AY406" s="1"/>
      <c r="BA406" s="1"/>
      <c r="BC406" s="1"/>
      <c r="BE406" s="1"/>
      <c r="BG406" s="1"/>
      <c r="BI406" s="1"/>
    </row>
    <row r="407" ht="15.75" customHeight="1">
      <c r="A407" s="1"/>
      <c r="B407" s="1"/>
      <c r="C407" s="1"/>
      <c r="E407" s="1"/>
      <c r="G407" s="1"/>
      <c r="I407" s="1"/>
      <c r="K407" s="1"/>
      <c r="M407" s="1"/>
      <c r="O407" s="1"/>
      <c r="Q407" s="1"/>
      <c r="S407" s="1"/>
      <c r="U407" s="1"/>
      <c r="W407" s="1"/>
      <c r="Y407" s="1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  <c r="AW407" s="1"/>
      <c r="AY407" s="1"/>
      <c r="BA407" s="1"/>
      <c r="BC407" s="1"/>
      <c r="BE407" s="1"/>
      <c r="BG407" s="1"/>
      <c r="BI407" s="1"/>
    </row>
    <row r="408" ht="15.75" customHeight="1">
      <c r="A408" s="1"/>
      <c r="B408" s="1"/>
      <c r="C408" s="1"/>
      <c r="E408" s="1"/>
      <c r="G408" s="1"/>
      <c r="I408" s="1"/>
      <c r="K408" s="1"/>
      <c r="M408" s="1"/>
      <c r="O408" s="1"/>
      <c r="Q408" s="1"/>
      <c r="S408" s="1"/>
      <c r="U408" s="1"/>
      <c r="W408" s="1"/>
      <c r="Y408" s="1"/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  <c r="AW408" s="1"/>
      <c r="AY408" s="1"/>
      <c r="BA408" s="1"/>
      <c r="BC408" s="1"/>
      <c r="BE408" s="1"/>
      <c r="BG408" s="1"/>
      <c r="BI408" s="1"/>
    </row>
    <row r="409" ht="15.75" customHeight="1">
      <c r="A409" s="1"/>
      <c r="B409" s="1"/>
      <c r="C409" s="1"/>
      <c r="E409" s="1"/>
      <c r="G409" s="1"/>
      <c r="I409" s="1"/>
      <c r="K409" s="1"/>
      <c r="M409" s="1"/>
      <c r="O409" s="1"/>
      <c r="Q409" s="1"/>
      <c r="S409" s="1"/>
      <c r="U409" s="1"/>
      <c r="W409" s="1"/>
      <c r="Y409" s="1"/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  <c r="AW409" s="1"/>
      <c r="AY409" s="1"/>
      <c r="BA409" s="1"/>
      <c r="BC409" s="1"/>
      <c r="BE409" s="1"/>
      <c r="BG409" s="1"/>
      <c r="BI409" s="1"/>
    </row>
    <row r="410" ht="15.75" customHeight="1">
      <c r="A410" s="1"/>
      <c r="B410" s="1"/>
      <c r="C410" s="1"/>
      <c r="E410" s="1"/>
      <c r="G410" s="1"/>
      <c r="I410" s="1"/>
      <c r="K410" s="1"/>
      <c r="M410" s="1"/>
      <c r="O410" s="1"/>
      <c r="Q410" s="1"/>
      <c r="S410" s="1"/>
      <c r="U410" s="1"/>
      <c r="W410" s="1"/>
      <c r="Y410" s="1"/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  <c r="AW410" s="1"/>
      <c r="AY410" s="1"/>
      <c r="BA410" s="1"/>
      <c r="BC410" s="1"/>
      <c r="BE410" s="1"/>
      <c r="BG410" s="1"/>
      <c r="BI410" s="1"/>
    </row>
    <row r="411" ht="15.75" customHeight="1">
      <c r="A411" s="1"/>
      <c r="B411" s="1"/>
      <c r="C411" s="1"/>
      <c r="E411" s="1"/>
      <c r="G411" s="1"/>
      <c r="I411" s="1"/>
      <c r="K411" s="1"/>
      <c r="M411" s="1"/>
      <c r="O411" s="1"/>
      <c r="Q411" s="1"/>
      <c r="S411" s="1"/>
      <c r="U411" s="1"/>
      <c r="W411" s="1"/>
      <c r="Y411" s="1"/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  <c r="AW411" s="1"/>
      <c r="AY411" s="1"/>
      <c r="BA411" s="1"/>
      <c r="BC411" s="1"/>
      <c r="BE411" s="1"/>
      <c r="BG411" s="1"/>
      <c r="BI411" s="1"/>
    </row>
    <row r="412" ht="15.75" customHeight="1">
      <c r="A412" s="1"/>
      <c r="B412" s="1"/>
      <c r="C412" s="1"/>
      <c r="E412" s="1"/>
      <c r="G412" s="1"/>
      <c r="I412" s="1"/>
      <c r="K412" s="1"/>
      <c r="M412" s="1"/>
      <c r="O412" s="1"/>
      <c r="Q412" s="1"/>
      <c r="S412" s="1"/>
      <c r="U412" s="1"/>
      <c r="W412" s="1"/>
      <c r="Y412" s="1"/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  <c r="AW412" s="1"/>
      <c r="AY412" s="1"/>
      <c r="BA412" s="1"/>
      <c r="BC412" s="1"/>
      <c r="BE412" s="1"/>
      <c r="BG412" s="1"/>
      <c r="BI412" s="1"/>
    </row>
    <row r="413" ht="15.75" customHeight="1">
      <c r="A413" s="1"/>
      <c r="B413" s="1"/>
      <c r="C413" s="1"/>
      <c r="E413" s="1"/>
      <c r="G413" s="1"/>
      <c r="I413" s="1"/>
      <c r="K413" s="1"/>
      <c r="M413" s="1"/>
      <c r="O413" s="1"/>
      <c r="Q413" s="1"/>
      <c r="S413" s="1"/>
      <c r="U413" s="1"/>
      <c r="W413" s="1"/>
      <c r="Y413" s="1"/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  <c r="AW413" s="1"/>
      <c r="AY413" s="1"/>
      <c r="BA413" s="1"/>
      <c r="BC413" s="1"/>
      <c r="BE413" s="1"/>
      <c r="BG413" s="1"/>
      <c r="BI413" s="1"/>
    </row>
    <row r="414" ht="15.75" customHeight="1">
      <c r="A414" s="1"/>
      <c r="B414" s="1"/>
      <c r="C414" s="1"/>
      <c r="E414" s="1"/>
      <c r="G414" s="1"/>
      <c r="I414" s="1"/>
      <c r="K414" s="1"/>
      <c r="M414" s="1"/>
      <c r="O414" s="1"/>
      <c r="Q414" s="1"/>
      <c r="S414" s="1"/>
      <c r="U414" s="1"/>
      <c r="W414" s="1"/>
      <c r="Y414" s="1"/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  <c r="AW414" s="1"/>
      <c r="AY414" s="1"/>
      <c r="BA414" s="1"/>
      <c r="BC414" s="1"/>
      <c r="BE414" s="1"/>
      <c r="BG414" s="1"/>
      <c r="BI414" s="1"/>
    </row>
    <row r="415" ht="15.75" customHeight="1">
      <c r="A415" s="1"/>
      <c r="B415" s="1"/>
      <c r="C415" s="1"/>
      <c r="E415" s="1"/>
      <c r="G415" s="1"/>
      <c r="I415" s="1"/>
      <c r="K415" s="1"/>
      <c r="M415" s="1"/>
      <c r="O415" s="1"/>
      <c r="Q415" s="1"/>
      <c r="S415" s="1"/>
      <c r="U415" s="1"/>
      <c r="W415" s="1"/>
      <c r="Y415" s="1"/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  <c r="AW415" s="1"/>
      <c r="AY415" s="1"/>
      <c r="BA415" s="1"/>
      <c r="BC415" s="1"/>
      <c r="BE415" s="1"/>
      <c r="BG415" s="1"/>
      <c r="BI415" s="1"/>
    </row>
    <row r="416" ht="15.75" customHeight="1">
      <c r="A416" s="1"/>
      <c r="B416" s="1"/>
      <c r="C416" s="1"/>
      <c r="E416" s="1"/>
      <c r="G416" s="1"/>
      <c r="I416" s="1"/>
      <c r="K416" s="1"/>
      <c r="M416" s="1"/>
      <c r="O416" s="1"/>
      <c r="Q416" s="1"/>
      <c r="S416" s="1"/>
      <c r="U416" s="1"/>
      <c r="W416" s="1"/>
      <c r="Y416" s="1"/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  <c r="AW416" s="1"/>
      <c r="AY416" s="1"/>
      <c r="BA416" s="1"/>
      <c r="BC416" s="1"/>
      <c r="BE416" s="1"/>
      <c r="BG416" s="1"/>
      <c r="BI416" s="1"/>
    </row>
    <row r="417" ht="15.75" customHeight="1">
      <c r="A417" s="1"/>
      <c r="B417" s="1"/>
      <c r="C417" s="1"/>
      <c r="E417" s="1"/>
      <c r="G417" s="1"/>
      <c r="I417" s="1"/>
      <c r="K417" s="1"/>
      <c r="M417" s="1"/>
      <c r="O417" s="1"/>
      <c r="Q417" s="1"/>
      <c r="S417" s="1"/>
      <c r="U417" s="1"/>
      <c r="W417" s="1"/>
      <c r="Y417" s="1"/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  <c r="AW417" s="1"/>
      <c r="AY417" s="1"/>
      <c r="BA417" s="1"/>
      <c r="BC417" s="1"/>
      <c r="BE417" s="1"/>
      <c r="BG417" s="1"/>
      <c r="BI417" s="1"/>
    </row>
    <row r="418" ht="15.75" customHeight="1">
      <c r="A418" s="1"/>
      <c r="B418" s="1"/>
      <c r="C418" s="1"/>
      <c r="E418" s="1"/>
      <c r="G418" s="1"/>
      <c r="I418" s="1"/>
      <c r="K418" s="1"/>
      <c r="M418" s="1"/>
      <c r="O418" s="1"/>
      <c r="Q418" s="1"/>
      <c r="S418" s="1"/>
      <c r="U418" s="1"/>
      <c r="W418" s="1"/>
      <c r="Y418" s="1"/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  <c r="AW418" s="1"/>
      <c r="AY418" s="1"/>
      <c r="BA418" s="1"/>
      <c r="BC418" s="1"/>
      <c r="BE418" s="1"/>
      <c r="BG418" s="1"/>
      <c r="BI418" s="1"/>
    </row>
    <row r="419" ht="15.75" customHeight="1">
      <c r="A419" s="1"/>
      <c r="B419" s="1"/>
      <c r="C419" s="1"/>
      <c r="E419" s="1"/>
      <c r="G419" s="1"/>
      <c r="I419" s="1"/>
      <c r="K419" s="1"/>
      <c r="M419" s="1"/>
      <c r="O419" s="1"/>
      <c r="Q419" s="1"/>
      <c r="S419" s="1"/>
      <c r="U419" s="1"/>
      <c r="W419" s="1"/>
      <c r="Y419" s="1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  <c r="AW419" s="1"/>
      <c r="AY419" s="1"/>
      <c r="BA419" s="1"/>
      <c r="BC419" s="1"/>
      <c r="BE419" s="1"/>
      <c r="BG419" s="1"/>
      <c r="BI419" s="1"/>
    </row>
    <row r="420" ht="15.75" customHeight="1">
      <c r="A420" s="1"/>
      <c r="B420" s="1"/>
      <c r="C420" s="1"/>
      <c r="E420" s="1"/>
      <c r="G420" s="1"/>
      <c r="I420" s="1"/>
      <c r="K420" s="1"/>
      <c r="M420" s="1"/>
      <c r="O420" s="1"/>
      <c r="Q420" s="1"/>
      <c r="S420" s="1"/>
      <c r="U420" s="1"/>
      <c r="W420" s="1"/>
      <c r="Y420" s="1"/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  <c r="AW420" s="1"/>
      <c r="AY420" s="1"/>
      <c r="BA420" s="1"/>
      <c r="BC420" s="1"/>
      <c r="BE420" s="1"/>
      <c r="BG420" s="1"/>
      <c r="BI420" s="1"/>
    </row>
    <row r="421" ht="15.75" customHeight="1">
      <c r="A421" s="1"/>
      <c r="B421" s="1"/>
      <c r="C421" s="1"/>
      <c r="E421" s="1"/>
      <c r="G421" s="1"/>
      <c r="I421" s="1"/>
      <c r="K421" s="1"/>
      <c r="M421" s="1"/>
      <c r="O421" s="1"/>
      <c r="Q421" s="1"/>
      <c r="S421" s="1"/>
      <c r="U421" s="1"/>
      <c r="W421" s="1"/>
      <c r="Y421" s="1"/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  <c r="AW421" s="1"/>
      <c r="AY421" s="1"/>
      <c r="BA421" s="1"/>
      <c r="BC421" s="1"/>
      <c r="BE421" s="1"/>
      <c r="BG421" s="1"/>
      <c r="BI421" s="1"/>
    </row>
    <row r="422" ht="15.75" customHeight="1">
      <c r="A422" s="1"/>
      <c r="B422" s="1"/>
      <c r="C422" s="1"/>
      <c r="E422" s="1"/>
      <c r="G422" s="1"/>
      <c r="I422" s="1"/>
      <c r="K422" s="1"/>
      <c r="M422" s="1"/>
      <c r="O422" s="1"/>
      <c r="Q422" s="1"/>
      <c r="S422" s="1"/>
      <c r="U422" s="1"/>
      <c r="W422" s="1"/>
      <c r="Y422" s="1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  <c r="AW422" s="1"/>
      <c r="AY422" s="1"/>
      <c r="BA422" s="1"/>
      <c r="BC422" s="1"/>
      <c r="BE422" s="1"/>
      <c r="BG422" s="1"/>
      <c r="BI422" s="1"/>
    </row>
    <row r="423" ht="15.75" customHeight="1">
      <c r="A423" s="1"/>
      <c r="B423" s="1"/>
      <c r="C423" s="1"/>
      <c r="E423" s="1"/>
      <c r="G423" s="1"/>
      <c r="I423" s="1"/>
      <c r="K423" s="1"/>
      <c r="M423" s="1"/>
      <c r="O423" s="1"/>
      <c r="Q423" s="1"/>
      <c r="S423" s="1"/>
      <c r="U423" s="1"/>
      <c r="W423" s="1"/>
      <c r="Y423" s="1"/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  <c r="AW423" s="1"/>
      <c r="AY423" s="1"/>
      <c r="BA423" s="1"/>
      <c r="BC423" s="1"/>
      <c r="BE423" s="1"/>
      <c r="BG423" s="1"/>
      <c r="BI423" s="1"/>
    </row>
    <row r="424" ht="15.75" customHeight="1">
      <c r="A424" s="1"/>
      <c r="B424" s="1"/>
      <c r="C424" s="1"/>
      <c r="E424" s="1"/>
      <c r="G424" s="1"/>
      <c r="I424" s="1"/>
      <c r="K424" s="1"/>
      <c r="M424" s="1"/>
      <c r="O424" s="1"/>
      <c r="Q424" s="1"/>
      <c r="S424" s="1"/>
      <c r="U424" s="1"/>
      <c r="W424" s="1"/>
      <c r="Y424" s="1"/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  <c r="AW424" s="1"/>
      <c r="AY424" s="1"/>
      <c r="BA424" s="1"/>
      <c r="BC424" s="1"/>
      <c r="BE424" s="1"/>
      <c r="BG424" s="1"/>
      <c r="BI424" s="1"/>
    </row>
    <row r="425" ht="15.75" customHeight="1">
      <c r="A425" s="1"/>
      <c r="B425" s="1"/>
      <c r="C425" s="1"/>
      <c r="E425" s="1"/>
      <c r="G425" s="1"/>
      <c r="I425" s="1"/>
      <c r="K425" s="1"/>
      <c r="M425" s="1"/>
      <c r="O425" s="1"/>
      <c r="Q425" s="1"/>
      <c r="S425" s="1"/>
      <c r="U425" s="1"/>
      <c r="W425" s="1"/>
      <c r="Y425" s="1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  <c r="AW425" s="1"/>
      <c r="AY425" s="1"/>
      <c r="BA425" s="1"/>
      <c r="BC425" s="1"/>
      <c r="BE425" s="1"/>
      <c r="BG425" s="1"/>
      <c r="BI425" s="1"/>
    </row>
    <row r="426" ht="15.75" customHeight="1">
      <c r="A426" s="1"/>
      <c r="B426" s="1"/>
      <c r="C426" s="1"/>
      <c r="E426" s="1"/>
      <c r="G426" s="1"/>
      <c r="I426" s="1"/>
      <c r="K426" s="1"/>
      <c r="M426" s="1"/>
      <c r="O426" s="1"/>
      <c r="Q426" s="1"/>
      <c r="S426" s="1"/>
      <c r="U426" s="1"/>
      <c r="W426" s="1"/>
      <c r="Y426" s="1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  <c r="AW426" s="1"/>
      <c r="AY426" s="1"/>
      <c r="BA426" s="1"/>
      <c r="BC426" s="1"/>
      <c r="BE426" s="1"/>
      <c r="BG426" s="1"/>
      <c r="BI426" s="1"/>
    </row>
    <row r="427" ht="15.75" customHeight="1">
      <c r="A427" s="1"/>
      <c r="B427" s="1"/>
      <c r="C427" s="1"/>
      <c r="E427" s="1"/>
      <c r="G427" s="1"/>
      <c r="I427" s="1"/>
      <c r="K427" s="1"/>
      <c r="M427" s="1"/>
      <c r="O427" s="1"/>
      <c r="Q427" s="1"/>
      <c r="S427" s="1"/>
      <c r="U427" s="1"/>
      <c r="W427" s="1"/>
      <c r="Y427" s="1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  <c r="AW427" s="1"/>
      <c r="AY427" s="1"/>
      <c r="BA427" s="1"/>
      <c r="BC427" s="1"/>
      <c r="BE427" s="1"/>
      <c r="BG427" s="1"/>
      <c r="BI427" s="1"/>
    </row>
    <row r="428" ht="15.75" customHeight="1">
      <c r="A428" s="1"/>
      <c r="B428" s="1"/>
      <c r="C428" s="1"/>
      <c r="E428" s="1"/>
      <c r="G428" s="1"/>
      <c r="I428" s="1"/>
      <c r="K428" s="1"/>
      <c r="M428" s="1"/>
      <c r="O428" s="1"/>
      <c r="Q428" s="1"/>
      <c r="S428" s="1"/>
      <c r="U428" s="1"/>
      <c r="W428" s="1"/>
      <c r="Y428" s="1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  <c r="AW428" s="1"/>
      <c r="AY428" s="1"/>
      <c r="BA428" s="1"/>
      <c r="BC428" s="1"/>
      <c r="BE428" s="1"/>
      <c r="BG428" s="1"/>
      <c r="BI428" s="1"/>
    </row>
    <row r="429" ht="15.75" customHeight="1">
      <c r="A429" s="1"/>
      <c r="B429" s="1"/>
      <c r="C429" s="1"/>
      <c r="E429" s="1"/>
      <c r="G429" s="1"/>
      <c r="I429" s="1"/>
      <c r="K429" s="1"/>
      <c r="M429" s="1"/>
      <c r="O429" s="1"/>
      <c r="Q429" s="1"/>
      <c r="S429" s="1"/>
      <c r="U429" s="1"/>
      <c r="W429" s="1"/>
      <c r="Y429" s="1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  <c r="AW429" s="1"/>
      <c r="AY429" s="1"/>
      <c r="BA429" s="1"/>
      <c r="BC429" s="1"/>
      <c r="BE429" s="1"/>
      <c r="BG429" s="1"/>
      <c r="BI429" s="1"/>
    </row>
    <row r="430" ht="15.75" customHeight="1">
      <c r="A430" s="1"/>
      <c r="B430" s="1"/>
      <c r="C430" s="1"/>
      <c r="E430" s="1"/>
      <c r="G430" s="1"/>
      <c r="I430" s="1"/>
      <c r="K430" s="1"/>
      <c r="M430" s="1"/>
      <c r="O430" s="1"/>
      <c r="Q430" s="1"/>
      <c r="S430" s="1"/>
      <c r="U430" s="1"/>
      <c r="W430" s="1"/>
      <c r="Y430" s="1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  <c r="AW430" s="1"/>
      <c r="AY430" s="1"/>
      <c r="BA430" s="1"/>
      <c r="BC430" s="1"/>
      <c r="BE430" s="1"/>
      <c r="BG430" s="1"/>
      <c r="BI430" s="1"/>
    </row>
    <row r="431" ht="15.75" customHeight="1">
      <c r="A431" s="1"/>
      <c r="B431" s="1"/>
      <c r="C431" s="1"/>
      <c r="E431" s="1"/>
      <c r="G431" s="1"/>
      <c r="I431" s="1"/>
      <c r="K431" s="1"/>
      <c r="M431" s="1"/>
      <c r="O431" s="1"/>
      <c r="Q431" s="1"/>
      <c r="S431" s="1"/>
      <c r="U431" s="1"/>
      <c r="W431" s="1"/>
      <c r="Y431" s="1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  <c r="AW431" s="1"/>
      <c r="AY431" s="1"/>
      <c r="BA431" s="1"/>
      <c r="BC431" s="1"/>
      <c r="BE431" s="1"/>
      <c r="BG431" s="1"/>
      <c r="BI431" s="1"/>
    </row>
    <row r="432" ht="15.75" customHeight="1">
      <c r="A432" s="1"/>
      <c r="B432" s="1"/>
      <c r="C432" s="1"/>
      <c r="E432" s="1"/>
      <c r="G432" s="1"/>
      <c r="I432" s="1"/>
      <c r="K432" s="1"/>
      <c r="M432" s="1"/>
      <c r="O432" s="1"/>
      <c r="Q432" s="1"/>
      <c r="S432" s="1"/>
      <c r="U432" s="1"/>
      <c r="W432" s="1"/>
      <c r="Y432" s="1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  <c r="AW432" s="1"/>
      <c r="AY432" s="1"/>
      <c r="BA432" s="1"/>
      <c r="BC432" s="1"/>
      <c r="BE432" s="1"/>
      <c r="BG432" s="1"/>
      <c r="BI432" s="1"/>
    </row>
    <row r="433" ht="15.75" customHeight="1">
      <c r="A433" s="1"/>
      <c r="B433" s="1"/>
      <c r="C433" s="1"/>
      <c r="E433" s="1"/>
      <c r="G433" s="1"/>
      <c r="I433" s="1"/>
      <c r="K433" s="1"/>
      <c r="M433" s="1"/>
      <c r="O433" s="1"/>
      <c r="Q433" s="1"/>
      <c r="S433" s="1"/>
      <c r="U433" s="1"/>
      <c r="W433" s="1"/>
      <c r="Y433" s="1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  <c r="AW433" s="1"/>
      <c r="AY433" s="1"/>
      <c r="BA433" s="1"/>
      <c r="BC433" s="1"/>
      <c r="BE433" s="1"/>
      <c r="BG433" s="1"/>
      <c r="BI433" s="1"/>
    </row>
    <row r="434" ht="15.75" customHeight="1">
      <c r="A434" s="1"/>
      <c r="B434" s="1"/>
      <c r="C434" s="1"/>
      <c r="E434" s="1"/>
      <c r="G434" s="1"/>
      <c r="I434" s="1"/>
      <c r="K434" s="1"/>
      <c r="M434" s="1"/>
      <c r="O434" s="1"/>
      <c r="Q434" s="1"/>
      <c r="S434" s="1"/>
      <c r="U434" s="1"/>
      <c r="W434" s="1"/>
      <c r="Y434" s="1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  <c r="AW434" s="1"/>
      <c r="AY434" s="1"/>
      <c r="BA434" s="1"/>
      <c r="BC434" s="1"/>
      <c r="BE434" s="1"/>
      <c r="BG434" s="1"/>
      <c r="BI434" s="1"/>
    </row>
    <row r="435" ht="15.75" customHeight="1">
      <c r="A435" s="1"/>
      <c r="B435" s="1"/>
      <c r="C435" s="1"/>
      <c r="E435" s="1"/>
      <c r="G435" s="1"/>
      <c r="I435" s="1"/>
      <c r="K435" s="1"/>
      <c r="M435" s="1"/>
      <c r="O435" s="1"/>
      <c r="Q435" s="1"/>
      <c r="S435" s="1"/>
      <c r="U435" s="1"/>
      <c r="W435" s="1"/>
      <c r="Y435" s="1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  <c r="AW435" s="1"/>
      <c r="AY435" s="1"/>
      <c r="BA435" s="1"/>
      <c r="BC435" s="1"/>
      <c r="BE435" s="1"/>
      <c r="BG435" s="1"/>
      <c r="BI435" s="1"/>
    </row>
    <row r="436" ht="15.75" customHeight="1">
      <c r="A436" s="1"/>
      <c r="B436" s="1"/>
      <c r="C436" s="1"/>
      <c r="E436" s="1"/>
      <c r="G436" s="1"/>
      <c r="I436" s="1"/>
      <c r="K436" s="1"/>
      <c r="M436" s="1"/>
      <c r="O436" s="1"/>
      <c r="Q436" s="1"/>
      <c r="S436" s="1"/>
      <c r="U436" s="1"/>
      <c r="W436" s="1"/>
      <c r="Y436" s="1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  <c r="AW436" s="1"/>
      <c r="AY436" s="1"/>
      <c r="BA436" s="1"/>
      <c r="BC436" s="1"/>
      <c r="BE436" s="1"/>
      <c r="BG436" s="1"/>
      <c r="BI436" s="1"/>
    </row>
    <row r="437" ht="15.75" customHeight="1">
      <c r="A437" s="1"/>
      <c r="B437" s="1"/>
      <c r="C437" s="1"/>
      <c r="E437" s="1"/>
      <c r="G437" s="1"/>
      <c r="I437" s="1"/>
      <c r="K437" s="1"/>
      <c r="M437" s="1"/>
      <c r="O437" s="1"/>
      <c r="Q437" s="1"/>
      <c r="S437" s="1"/>
      <c r="U437" s="1"/>
      <c r="W437" s="1"/>
      <c r="Y437" s="1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  <c r="AW437" s="1"/>
      <c r="AY437" s="1"/>
      <c r="BA437" s="1"/>
      <c r="BC437" s="1"/>
      <c r="BE437" s="1"/>
      <c r="BG437" s="1"/>
      <c r="BI437" s="1"/>
    </row>
    <row r="438" ht="15.75" customHeight="1">
      <c r="A438" s="1"/>
      <c r="B438" s="1"/>
      <c r="C438" s="1"/>
      <c r="E438" s="1"/>
      <c r="G438" s="1"/>
      <c r="I438" s="1"/>
      <c r="K438" s="1"/>
      <c r="M438" s="1"/>
      <c r="O438" s="1"/>
      <c r="Q438" s="1"/>
      <c r="S438" s="1"/>
      <c r="U438" s="1"/>
      <c r="W438" s="1"/>
      <c r="Y438" s="1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  <c r="AW438" s="1"/>
      <c r="AY438" s="1"/>
      <c r="BA438" s="1"/>
      <c r="BC438" s="1"/>
      <c r="BE438" s="1"/>
      <c r="BG438" s="1"/>
      <c r="BI438" s="1"/>
    </row>
    <row r="439" ht="15.75" customHeight="1">
      <c r="A439" s="1"/>
      <c r="B439" s="1"/>
      <c r="C439" s="1"/>
      <c r="E439" s="1"/>
      <c r="G439" s="1"/>
      <c r="I439" s="1"/>
      <c r="K439" s="1"/>
      <c r="M439" s="1"/>
      <c r="O439" s="1"/>
      <c r="Q439" s="1"/>
      <c r="S439" s="1"/>
      <c r="U439" s="1"/>
      <c r="W439" s="1"/>
      <c r="Y439" s="1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  <c r="AW439" s="1"/>
      <c r="AY439" s="1"/>
      <c r="BA439" s="1"/>
      <c r="BC439" s="1"/>
      <c r="BE439" s="1"/>
      <c r="BG439" s="1"/>
      <c r="BI439" s="1"/>
    </row>
    <row r="440" ht="15.75" customHeight="1">
      <c r="A440" s="1"/>
      <c r="B440" s="1"/>
      <c r="C440" s="1"/>
      <c r="E440" s="1"/>
      <c r="G440" s="1"/>
      <c r="I440" s="1"/>
      <c r="K440" s="1"/>
      <c r="M440" s="1"/>
      <c r="O440" s="1"/>
      <c r="Q440" s="1"/>
      <c r="S440" s="1"/>
      <c r="U440" s="1"/>
      <c r="W440" s="1"/>
      <c r="Y440" s="1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  <c r="AW440" s="1"/>
      <c r="AY440" s="1"/>
      <c r="BA440" s="1"/>
      <c r="BC440" s="1"/>
      <c r="BE440" s="1"/>
      <c r="BG440" s="1"/>
      <c r="BI440" s="1"/>
    </row>
    <row r="441" ht="15.75" customHeight="1">
      <c r="A441" s="1"/>
      <c r="B441" s="1"/>
      <c r="C441" s="1"/>
      <c r="E441" s="1"/>
      <c r="G441" s="1"/>
      <c r="I441" s="1"/>
      <c r="K441" s="1"/>
      <c r="M441" s="1"/>
      <c r="O441" s="1"/>
      <c r="Q441" s="1"/>
      <c r="S441" s="1"/>
      <c r="U441" s="1"/>
      <c r="W441" s="1"/>
      <c r="Y441" s="1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  <c r="AW441" s="1"/>
      <c r="AY441" s="1"/>
      <c r="BA441" s="1"/>
      <c r="BC441" s="1"/>
      <c r="BE441" s="1"/>
      <c r="BG441" s="1"/>
      <c r="BI441" s="1"/>
    </row>
    <row r="442" ht="15.75" customHeight="1">
      <c r="A442" s="1"/>
      <c r="B442" s="1"/>
      <c r="C442" s="1"/>
      <c r="E442" s="1"/>
      <c r="G442" s="1"/>
      <c r="I442" s="1"/>
      <c r="K442" s="1"/>
      <c r="M442" s="1"/>
      <c r="O442" s="1"/>
      <c r="Q442" s="1"/>
      <c r="S442" s="1"/>
      <c r="U442" s="1"/>
      <c r="W442" s="1"/>
      <c r="Y442" s="1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  <c r="AW442" s="1"/>
      <c r="AY442" s="1"/>
      <c r="BA442" s="1"/>
      <c r="BC442" s="1"/>
      <c r="BE442" s="1"/>
      <c r="BG442" s="1"/>
      <c r="BI442" s="1"/>
    </row>
    <row r="443" ht="15.75" customHeight="1">
      <c r="A443" s="1"/>
      <c r="B443" s="1"/>
      <c r="C443" s="1"/>
      <c r="E443" s="1"/>
      <c r="G443" s="1"/>
      <c r="I443" s="1"/>
      <c r="K443" s="1"/>
      <c r="M443" s="1"/>
      <c r="O443" s="1"/>
      <c r="Q443" s="1"/>
      <c r="S443" s="1"/>
      <c r="U443" s="1"/>
      <c r="W443" s="1"/>
      <c r="Y443" s="1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  <c r="AW443" s="1"/>
      <c r="AY443" s="1"/>
      <c r="BA443" s="1"/>
      <c r="BC443" s="1"/>
      <c r="BE443" s="1"/>
      <c r="BG443" s="1"/>
      <c r="BI443" s="1"/>
    </row>
    <row r="444" ht="15.75" customHeight="1">
      <c r="A444" s="1"/>
      <c r="B444" s="1"/>
      <c r="C444" s="1"/>
      <c r="E444" s="1"/>
      <c r="G444" s="1"/>
      <c r="I444" s="1"/>
      <c r="K444" s="1"/>
      <c r="M444" s="1"/>
      <c r="O444" s="1"/>
      <c r="Q444" s="1"/>
      <c r="S444" s="1"/>
      <c r="U444" s="1"/>
      <c r="W444" s="1"/>
      <c r="Y444" s="1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  <c r="AW444" s="1"/>
      <c r="AY444" s="1"/>
      <c r="BA444" s="1"/>
      <c r="BC444" s="1"/>
      <c r="BE444" s="1"/>
      <c r="BG444" s="1"/>
      <c r="BI444" s="1"/>
    </row>
    <row r="445" ht="15.75" customHeight="1">
      <c r="A445" s="1"/>
      <c r="B445" s="1"/>
      <c r="C445" s="1"/>
      <c r="E445" s="1"/>
      <c r="G445" s="1"/>
      <c r="I445" s="1"/>
      <c r="K445" s="1"/>
      <c r="M445" s="1"/>
      <c r="O445" s="1"/>
      <c r="Q445" s="1"/>
      <c r="S445" s="1"/>
      <c r="U445" s="1"/>
      <c r="W445" s="1"/>
      <c r="Y445" s="1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  <c r="AW445" s="1"/>
      <c r="AY445" s="1"/>
      <c r="BA445" s="1"/>
      <c r="BC445" s="1"/>
      <c r="BE445" s="1"/>
      <c r="BG445" s="1"/>
      <c r="BI445" s="1"/>
    </row>
    <row r="446" ht="15.75" customHeight="1">
      <c r="A446" s="1"/>
      <c r="B446" s="1"/>
      <c r="C446" s="1"/>
      <c r="E446" s="1"/>
      <c r="G446" s="1"/>
      <c r="I446" s="1"/>
      <c r="K446" s="1"/>
      <c r="M446" s="1"/>
      <c r="O446" s="1"/>
      <c r="Q446" s="1"/>
      <c r="S446" s="1"/>
      <c r="U446" s="1"/>
      <c r="W446" s="1"/>
      <c r="Y446" s="1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  <c r="AW446" s="1"/>
      <c r="AY446" s="1"/>
      <c r="BA446" s="1"/>
      <c r="BC446" s="1"/>
      <c r="BE446" s="1"/>
      <c r="BG446" s="1"/>
      <c r="BI446" s="1"/>
    </row>
    <row r="447" ht="15.75" customHeight="1">
      <c r="A447" s="1"/>
      <c r="B447" s="1"/>
      <c r="C447" s="1"/>
      <c r="E447" s="1"/>
      <c r="G447" s="1"/>
      <c r="I447" s="1"/>
      <c r="K447" s="1"/>
      <c r="M447" s="1"/>
      <c r="O447" s="1"/>
      <c r="Q447" s="1"/>
      <c r="S447" s="1"/>
      <c r="U447" s="1"/>
      <c r="W447" s="1"/>
      <c r="Y447" s="1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  <c r="AW447" s="1"/>
      <c r="AY447" s="1"/>
      <c r="BA447" s="1"/>
      <c r="BC447" s="1"/>
      <c r="BE447" s="1"/>
      <c r="BG447" s="1"/>
      <c r="BI447" s="1"/>
    </row>
    <row r="448" ht="15.75" customHeight="1">
      <c r="A448" s="1"/>
      <c r="B448" s="1"/>
      <c r="C448" s="1"/>
      <c r="E448" s="1"/>
      <c r="G448" s="1"/>
      <c r="I448" s="1"/>
      <c r="K448" s="1"/>
      <c r="M448" s="1"/>
      <c r="O448" s="1"/>
      <c r="Q448" s="1"/>
      <c r="S448" s="1"/>
      <c r="U448" s="1"/>
      <c r="W448" s="1"/>
      <c r="Y448" s="1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  <c r="AW448" s="1"/>
      <c r="AY448" s="1"/>
      <c r="BA448" s="1"/>
      <c r="BC448" s="1"/>
      <c r="BE448" s="1"/>
      <c r="BG448" s="1"/>
      <c r="BI448" s="1"/>
    </row>
    <row r="449" ht="15.75" customHeight="1">
      <c r="A449" s="1"/>
      <c r="B449" s="1"/>
      <c r="C449" s="1"/>
      <c r="E449" s="1"/>
      <c r="G449" s="1"/>
      <c r="I449" s="1"/>
      <c r="K449" s="1"/>
      <c r="M449" s="1"/>
      <c r="O449" s="1"/>
      <c r="Q449" s="1"/>
      <c r="S449" s="1"/>
      <c r="U449" s="1"/>
      <c r="W449" s="1"/>
      <c r="Y449" s="1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  <c r="AW449" s="1"/>
      <c r="AY449" s="1"/>
      <c r="BA449" s="1"/>
      <c r="BC449" s="1"/>
      <c r="BE449" s="1"/>
      <c r="BG449" s="1"/>
      <c r="BI449" s="1"/>
    </row>
    <row r="450" ht="15.75" customHeight="1">
      <c r="A450" s="1"/>
      <c r="B450" s="1"/>
      <c r="C450" s="1"/>
      <c r="E450" s="1"/>
      <c r="G450" s="1"/>
      <c r="I450" s="1"/>
      <c r="K450" s="1"/>
      <c r="M450" s="1"/>
      <c r="O450" s="1"/>
      <c r="Q450" s="1"/>
      <c r="S450" s="1"/>
      <c r="U450" s="1"/>
      <c r="W450" s="1"/>
      <c r="Y450" s="1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  <c r="AW450" s="1"/>
      <c r="AY450" s="1"/>
      <c r="BA450" s="1"/>
      <c r="BC450" s="1"/>
      <c r="BE450" s="1"/>
      <c r="BG450" s="1"/>
      <c r="BI450" s="1"/>
    </row>
    <row r="451" ht="15.75" customHeight="1">
      <c r="A451" s="1"/>
      <c r="B451" s="1"/>
      <c r="C451" s="1"/>
      <c r="E451" s="1"/>
      <c r="G451" s="1"/>
      <c r="I451" s="1"/>
      <c r="K451" s="1"/>
      <c r="M451" s="1"/>
      <c r="O451" s="1"/>
      <c r="Q451" s="1"/>
      <c r="S451" s="1"/>
      <c r="U451" s="1"/>
      <c r="W451" s="1"/>
      <c r="Y451" s="1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  <c r="AW451" s="1"/>
      <c r="AY451" s="1"/>
      <c r="BA451" s="1"/>
      <c r="BC451" s="1"/>
      <c r="BE451" s="1"/>
      <c r="BG451" s="1"/>
      <c r="BI451" s="1"/>
    </row>
    <row r="452" ht="15.75" customHeight="1">
      <c r="A452" s="1"/>
      <c r="B452" s="1"/>
      <c r="C452" s="1"/>
      <c r="E452" s="1"/>
      <c r="G452" s="1"/>
      <c r="I452" s="1"/>
      <c r="K452" s="1"/>
      <c r="M452" s="1"/>
      <c r="O452" s="1"/>
      <c r="Q452" s="1"/>
      <c r="S452" s="1"/>
      <c r="U452" s="1"/>
      <c r="W452" s="1"/>
      <c r="Y452" s="1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  <c r="AW452" s="1"/>
      <c r="AY452" s="1"/>
      <c r="BA452" s="1"/>
      <c r="BC452" s="1"/>
      <c r="BE452" s="1"/>
      <c r="BG452" s="1"/>
      <c r="BI452" s="1"/>
    </row>
    <row r="453" ht="15.75" customHeight="1">
      <c r="A453" s="1"/>
      <c r="B453" s="1"/>
      <c r="C453" s="1"/>
      <c r="E453" s="1"/>
      <c r="G453" s="1"/>
      <c r="I453" s="1"/>
      <c r="K453" s="1"/>
      <c r="M453" s="1"/>
      <c r="O453" s="1"/>
      <c r="Q453" s="1"/>
      <c r="S453" s="1"/>
      <c r="U453" s="1"/>
      <c r="W453" s="1"/>
      <c r="Y453" s="1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  <c r="AW453" s="1"/>
      <c r="AY453" s="1"/>
      <c r="BA453" s="1"/>
      <c r="BC453" s="1"/>
      <c r="BE453" s="1"/>
      <c r="BG453" s="1"/>
      <c r="BI453" s="1"/>
    </row>
    <row r="454" ht="15.75" customHeight="1">
      <c r="A454" s="1"/>
      <c r="B454" s="1"/>
      <c r="C454" s="1"/>
      <c r="E454" s="1"/>
      <c r="G454" s="1"/>
      <c r="I454" s="1"/>
      <c r="K454" s="1"/>
      <c r="M454" s="1"/>
      <c r="O454" s="1"/>
      <c r="Q454" s="1"/>
      <c r="S454" s="1"/>
      <c r="U454" s="1"/>
      <c r="W454" s="1"/>
      <c r="Y454" s="1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  <c r="AW454" s="1"/>
      <c r="AY454" s="1"/>
      <c r="BA454" s="1"/>
      <c r="BC454" s="1"/>
      <c r="BE454" s="1"/>
      <c r="BG454" s="1"/>
      <c r="BI454" s="1"/>
    </row>
    <row r="455" ht="15.75" customHeight="1">
      <c r="A455" s="1"/>
      <c r="B455" s="1"/>
      <c r="C455" s="1"/>
      <c r="E455" s="1"/>
      <c r="G455" s="1"/>
      <c r="I455" s="1"/>
      <c r="K455" s="1"/>
      <c r="M455" s="1"/>
      <c r="O455" s="1"/>
      <c r="Q455" s="1"/>
      <c r="S455" s="1"/>
      <c r="U455" s="1"/>
      <c r="W455" s="1"/>
      <c r="Y455" s="1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  <c r="AW455" s="1"/>
      <c r="AY455" s="1"/>
      <c r="BA455" s="1"/>
      <c r="BC455" s="1"/>
      <c r="BE455" s="1"/>
      <c r="BG455" s="1"/>
      <c r="BI455" s="1"/>
    </row>
    <row r="456" ht="15.75" customHeight="1">
      <c r="A456" s="1"/>
      <c r="B456" s="1"/>
      <c r="C456" s="1"/>
      <c r="E456" s="1"/>
      <c r="G456" s="1"/>
      <c r="I456" s="1"/>
      <c r="K456" s="1"/>
      <c r="M456" s="1"/>
      <c r="O456" s="1"/>
      <c r="Q456" s="1"/>
      <c r="S456" s="1"/>
      <c r="U456" s="1"/>
      <c r="W456" s="1"/>
      <c r="Y456" s="1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  <c r="AW456" s="1"/>
      <c r="AY456" s="1"/>
      <c r="BA456" s="1"/>
      <c r="BC456" s="1"/>
      <c r="BE456" s="1"/>
      <c r="BG456" s="1"/>
      <c r="BI456" s="1"/>
    </row>
    <row r="457" ht="15.75" customHeight="1">
      <c r="A457" s="1"/>
      <c r="B457" s="1"/>
      <c r="C457" s="1"/>
      <c r="E457" s="1"/>
      <c r="G457" s="1"/>
      <c r="I457" s="1"/>
      <c r="K457" s="1"/>
      <c r="M457" s="1"/>
      <c r="O457" s="1"/>
      <c r="Q457" s="1"/>
      <c r="S457" s="1"/>
      <c r="U457" s="1"/>
      <c r="W457" s="1"/>
      <c r="Y457" s="1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  <c r="AW457" s="1"/>
      <c r="AY457" s="1"/>
      <c r="BA457" s="1"/>
      <c r="BC457" s="1"/>
      <c r="BE457" s="1"/>
      <c r="BG457" s="1"/>
      <c r="BI457" s="1"/>
    </row>
    <row r="458" ht="15.75" customHeight="1">
      <c r="A458" s="1"/>
      <c r="B458" s="1"/>
      <c r="C458" s="1"/>
      <c r="E458" s="1"/>
      <c r="G458" s="1"/>
      <c r="I458" s="1"/>
      <c r="K458" s="1"/>
      <c r="M458" s="1"/>
      <c r="O458" s="1"/>
      <c r="Q458" s="1"/>
      <c r="S458" s="1"/>
      <c r="U458" s="1"/>
      <c r="W458" s="1"/>
      <c r="Y458" s="1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  <c r="AW458" s="1"/>
      <c r="AY458" s="1"/>
      <c r="BA458" s="1"/>
      <c r="BC458" s="1"/>
      <c r="BE458" s="1"/>
      <c r="BG458" s="1"/>
      <c r="BI458" s="1"/>
    </row>
    <row r="459" ht="15.75" customHeight="1">
      <c r="A459" s="1"/>
      <c r="B459" s="1"/>
      <c r="C459" s="1"/>
      <c r="E459" s="1"/>
      <c r="G459" s="1"/>
      <c r="I459" s="1"/>
      <c r="K459" s="1"/>
      <c r="M459" s="1"/>
      <c r="O459" s="1"/>
      <c r="Q459" s="1"/>
      <c r="S459" s="1"/>
      <c r="U459" s="1"/>
      <c r="W459" s="1"/>
      <c r="Y459" s="1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  <c r="AW459" s="1"/>
      <c r="AY459" s="1"/>
      <c r="BA459" s="1"/>
      <c r="BC459" s="1"/>
      <c r="BE459" s="1"/>
      <c r="BG459" s="1"/>
      <c r="BI459" s="1"/>
    </row>
    <row r="460" ht="15.75" customHeight="1">
      <c r="A460" s="1"/>
      <c r="B460" s="1"/>
      <c r="C460" s="1"/>
      <c r="E460" s="1"/>
      <c r="G460" s="1"/>
      <c r="I460" s="1"/>
      <c r="K460" s="1"/>
      <c r="M460" s="1"/>
      <c r="O460" s="1"/>
      <c r="Q460" s="1"/>
      <c r="S460" s="1"/>
      <c r="U460" s="1"/>
      <c r="W460" s="1"/>
      <c r="Y460" s="1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  <c r="AW460" s="1"/>
      <c r="AY460" s="1"/>
      <c r="BA460" s="1"/>
      <c r="BC460" s="1"/>
      <c r="BE460" s="1"/>
      <c r="BG460" s="1"/>
      <c r="BI460" s="1"/>
    </row>
    <row r="461" ht="15.75" customHeight="1">
      <c r="A461" s="1"/>
      <c r="B461" s="1"/>
      <c r="C461" s="1"/>
      <c r="E461" s="1"/>
      <c r="G461" s="1"/>
      <c r="I461" s="1"/>
      <c r="K461" s="1"/>
      <c r="M461" s="1"/>
      <c r="O461" s="1"/>
      <c r="Q461" s="1"/>
      <c r="S461" s="1"/>
      <c r="U461" s="1"/>
      <c r="W461" s="1"/>
      <c r="Y461" s="1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  <c r="AW461" s="1"/>
      <c r="AY461" s="1"/>
      <c r="BA461" s="1"/>
      <c r="BC461" s="1"/>
      <c r="BE461" s="1"/>
      <c r="BG461" s="1"/>
      <c r="BI461" s="1"/>
    </row>
    <row r="462" ht="15.75" customHeight="1">
      <c r="A462" s="1"/>
      <c r="B462" s="1"/>
      <c r="C462" s="1"/>
      <c r="E462" s="1"/>
      <c r="G462" s="1"/>
      <c r="I462" s="1"/>
      <c r="K462" s="1"/>
      <c r="M462" s="1"/>
      <c r="O462" s="1"/>
      <c r="Q462" s="1"/>
      <c r="S462" s="1"/>
      <c r="U462" s="1"/>
      <c r="W462" s="1"/>
      <c r="Y462" s="1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  <c r="AW462" s="1"/>
      <c r="AY462" s="1"/>
      <c r="BA462" s="1"/>
      <c r="BC462" s="1"/>
      <c r="BE462" s="1"/>
      <c r="BG462" s="1"/>
      <c r="BI462" s="1"/>
    </row>
    <row r="463" ht="15.75" customHeight="1">
      <c r="A463" s="1"/>
      <c r="B463" s="1"/>
      <c r="C463" s="1"/>
      <c r="E463" s="1"/>
      <c r="G463" s="1"/>
      <c r="I463" s="1"/>
      <c r="K463" s="1"/>
      <c r="M463" s="1"/>
      <c r="O463" s="1"/>
      <c r="Q463" s="1"/>
      <c r="S463" s="1"/>
      <c r="U463" s="1"/>
      <c r="W463" s="1"/>
      <c r="Y463" s="1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  <c r="AW463" s="1"/>
      <c r="AY463" s="1"/>
      <c r="BA463" s="1"/>
      <c r="BC463" s="1"/>
      <c r="BE463" s="1"/>
      <c r="BG463" s="1"/>
      <c r="BI463" s="1"/>
    </row>
    <row r="464" ht="15.75" customHeight="1">
      <c r="A464" s="1"/>
      <c r="B464" s="1"/>
      <c r="C464" s="1"/>
      <c r="E464" s="1"/>
      <c r="G464" s="1"/>
      <c r="I464" s="1"/>
      <c r="K464" s="1"/>
      <c r="M464" s="1"/>
      <c r="O464" s="1"/>
      <c r="Q464" s="1"/>
      <c r="S464" s="1"/>
      <c r="U464" s="1"/>
      <c r="W464" s="1"/>
      <c r="Y464" s="1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  <c r="AW464" s="1"/>
      <c r="AY464" s="1"/>
      <c r="BA464" s="1"/>
      <c r="BC464" s="1"/>
      <c r="BE464" s="1"/>
      <c r="BG464" s="1"/>
      <c r="BI464" s="1"/>
    </row>
    <row r="465" ht="15.75" customHeight="1">
      <c r="A465" s="1"/>
      <c r="B465" s="1"/>
      <c r="C465" s="1"/>
      <c r="E465" s="1"/>
      <c r="G465" s="1"/>
      <c r="I465" s="1"/>
      <c r="K465" s="1"/>
      <c r="M465" s="1"/>
      <c r="O465" s="1"/>
      <c r="Q465" s="1"/>
      <c r="S465" s="1"/>
      <c r="U465" s="1"/>
      <c r="W465" s="1"/>
      <c r="Y465" s="1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  <c r="AW465" s="1"/>
      <c r="AY465" s="1"/>
      <c r="BA465" s="1"/>
      <c r="BC465" s="1"/>
      <c r="BE465" s="1"/>
      <c r="BG465" s="1"/>
      <c r="BI465" s="1"/>
    </row>
    <row r="466" ht="15.75" customHeight="1">
      <c r="A466" s="1"/>
      <c r="B466" s="1"/>
      <c r="C466" s="1"/>
      <c r="E466" s="1"/>
      <c r="G466" s="1"/>
      <c r="I466" s="1"/>
      <c r="K466" s="1"/>
      <c r="M466" s="1"/>
      <c r="O466" s="1"/>
      <c r="Q466" s="1"/>
      <c r="S466" s="1"/>
      <c r="U466" s="1"/>
      <c r="W466" s="1"/>
      <c r="Y466" s="1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  <c r="AW466" s="1"/>
      <c r="AY466" s="1"/>
      <c r="BA466" s="1"/>
      <c r="BC466" s="1"/>
      <c r="BE466" s="1"/>
      <c r="BG466" s="1"/>
      <c r="BI466" s="1"/>
    </row>
    <row r="467" ht="15.75" customHeight="1">
      <c r="A467" s="1"/>
      <c r="B467" s="1"/>
      <c r="C467" s="1"/>
      <c r="E467" s="1"/>
      <c r="G467" s="1"/>
      <c r="I467" s="1"/>
      <c r="K467" s="1"/>
      <c r="M467" s="1"/>
      <c r="O467" s="1"/>
      <c r="Q467" s="1"/>
      <c r="S467" s="1"/>
      <c r="U467" s="1"/>
      <c r="W467" s="1"/>
      <c r="Y467" s="1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  <c r="AW467" s="1"/>
      <c r="AY467" s="1"/>
      <c r="BA467" s="1"/>
      <c r="BC467" s="1"/>
      <c r="BE467" s="1"/>
      <c r="BG467" s="1"/>
      <c r="BI467" s="1"/>
    </row>
    <row r="468" ht="15.75" customHeight="1">
      <c r="A468" s="1"/>
      <c r="B468" s="1"/>
      <c r="C468" s="1"/>
      <c r="E468" s="1"/>
      <c r="G468" s="1"/>
      <c r="I468" s="1"/>
      <c r="K468" s="1"/>
      <c r="M468" s="1"/>
      <c r="O468" s="1"/>
      <c r="Q468" s="1"/>
      <c r="S468" s="1"/>
      <c r="U468" s="1"/>
      <c r="W468" s="1"/>
      <c r="Y468" s="1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  <c r="AW468" s="1"/>
      <c r="AY468" s="1"/>
      <c r="BA468" s="1"/>
      <c r="BC468" s="1"/>
      <c r="BE468" s="1"/>
      <c r="BG468" s="1"/>
      <c r="BI468" s="1"/>
    </row>
    <row r="469" ht="15.75" customHeight="1">
      <c r="A469" s="1"/>
      <c r="B469" s="1"/>
      <c r="C469" s="1"/>
      <c r="E469" s="1"/>
      <c r="G469" s="1"/>
      <c r="I469" s="1"/>
      <c r="K469" s="1"/>
      <c r="M469" s="1"/>
      <c r="O469" s="1"/>
      <c r="Q469" s="1"/>
      <c r="S469" s="1"/>
      <c r="U469" s="1"/>
      <c r="W469" s="1"/>
      <c r="Y469" s="1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  <c r="AW469" s="1"/>
      <c r="AY469" s="1"/>
      <c r="BA469" s="1"/>
      <c r="BC469" s="1"/>
      <c r="BE469" s="1"/>
      <c r="BG469" s="1"/>
      <c r="BI469" s="1"/>
    </row>
    <row r="470" ht="15.75" customHeight="1">
      <c r="A470" s="1"/>
      <c r="B470" s="1"/>
      <c r="C470" s="1"/>
      <c r="E470" s="1"/>
      <c r="G470" s="1"/>
      <c r="I470" s="1"/>
      <c r="K470" s="1"/>
      <c r="M470" s="1"/>
      <c r="O470" s="1"/>
      <c r="Q470" s="1"/>
      <c r="S470" s="1"/>
      <c r="U470" s="1"/>
      <c r="W470" s="1"/>
      <c r="Y470" s="1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  <c r="AW470" s="1"/>
      <c r="AY470" s="1"/>
      <c r="BA470" s="1"/>
      <c r="BC470" s="1"/>
      <c r="BE470" s="1"/>
      <c r="BG470" s="1"/>
      <c r="BI470" s="1"/>
    </row>
    <row r="471" ht="15.75" customHeight="1">
      <c r="A471" s="1"/>
      <c r="B471" s="1"/>
      <c r="C471" s="1"/>
      <c r="E471" s="1"/>
      <c r="G471" s="1"/>
      <c r="I471" s="1"/>
      <c r="K471" s="1"/>
      <c r="M471" s="1"/>
      <c r="O471" s="1"/>
      <c r="Q471" s="1"/>
      <c r="S471" s="1"/>
      <c r="U471" s="1"/>
      <c r="W471" s="1"/>
      <c r="Y471" s="1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  <c r="AW471" s="1"/>
      <c r="AY471" s="1"/>
      <c r="BA471" s="1"/>
      <c r="BC471" s="1"/>
      <c r="BE471" s="1"/>
      <c r="BG471" s="1"/>
      <c r="BI471" s="1"/>
    </row>
    <row r="472" ht="15.75" customHeight="1">
      <c r="A472" s="1"/>
      <c r="B472" s="1"/>
      <c r="C472" s="1"/>
      <c r="E472" s="1"/>
      <c r="G472" s="1"/>
      <c r="I472" s="1"/>
      <c r="K472" s="1"/>
      <c r="M472" s="1"/>
      <c r="O472" s="1"/>
      <c r="Q472" s="1"/>
      <c r="S472" s="1"/>
      <c r="U472" s="1"/>
      <c r="W472" s="1"/>
      <c r="Y472" s="1"/>
      <c r="AA472" s="1"/>
      <c r="AC472" s="1"/>
      <c r="AE472" s="1"/>
      <c r="AG472" s="1"/>
      <c r="AI472" s="1"/>
      <c r="AK472" s="1"/>
      <c r="AM472" s="1"/>
      <c r="AO472" s="1"/>
      <c r="AQ472" s="1"/>
      <c r="AS472" s="1"/>
      <c r="AU472" s="1"/>
      <c r="AW472" s="1"/>
      <c r="AY472" s="1"/>
      <c r="BA472" s="1"/>
      <c r="BC472" s="1"/>
      <c r="BE472" s="1"/>
      <c r="BG472" s="1"/>
      <c r="BI472" s="1"/>
    </row>
    <row r="473" ht="15.75" customHeight="1">
      <c r="A473" s="1"/>
      <c r="B473" s="1"/>
      <c r="C473" s="1"/>
      <c r="E473" s="1"/>
      <c r="G473" s="1"/>
      <c r="I473" s="1"/>
      <c r="K473" s="1"/>
      <c r="M473" s="1"/>
      <c r="O473" s="1"/>
      <c r="Q473" s="1"/>
      <c r="S473" s="1"/>
      <c r="U473" s="1"/>
      <c r="W473" s="1"/>
      <c r="Y473" s="1"/>
      <c r="AA473" s="1"/>
      <c r="AC473" s="1"/>
      <c r="AE473" s="1"/>
      <c r="AG473" s="1"/>
      <c r="AI473" s="1"/>
      <c r="AK473" s="1"/>
      <c r="AM473" s="1"/>
      <c r="AO473" s="1"/>
      <c r="AQ473" s="1"/>
      <c r="AS473" s="1"/>
      <c r="AU473" s="1"/>
      <c r="AW473" s="1"/>
      <c r="AY473" s="1"/>
      <c r="BA473" s="1"/>
      <c r="BC473" s="1"/>
      <c r="BE473" s="1"/>
      <c r="BG473" s="1"/>
      <c r="BI473" s="1"/>
    </row>
    <row r="474" ht="15.75" customHeight="1">
      <c r="A474" s="1"/>
      <c r="B474" s="1"/>
      <c r="C474" s="1"/>
      <c r="E474" s="1"/>
      <c r="G474" s="1"/>
      <c r="I474" s="1"/>
      <c r="K474" s="1"/>
      <c r="M474" s="1"/>
      <c r="O474" s="1"/>
      <c r="Q474" s="1"/>
      <c r="S474" s="1"/>
      <c r="U474" s="1"/>
      <c r="W474" s="1"/>
      <c r="Y474" s="1"/>
      <c r="AA474" s="1"/>
      <c r="AC474" s="1"/>
      <c r="AE474" s="1"/>
      <c r="AG474" s="1"/>
      <c r="AI474" s="1"/>
      <c r="AK474" s="1"/>
      <c r="AM474" s="1"/>
      <c r="AO474" s="1"/>
      <c r="AQ474" s="1"/>
      <c r="AS474" s="1"/>
      <c r="AU474" s="1"/>
      <c r="AW474" s="1"/>
      <c r="AY474" s="1"/>
      <c r="BA474" s="1"/>
      <c r="BC474" s="1"/>
      <c r="BE474" s="1"/>
      <c r="BG474" s="1"/>
      <c r="BI474" s="1"/>
    </row>
    <row r="475" ht="15.75" customHeight="1">
      <c r="A475" s="1"/>
      <c r="B475" s="1"/>
      <c r="C475" s="1"/>
      <c r="E475" s="1"/>
      <c r="G475" s="1"/>
      <c r="I475" s="1"/>
      <c r="K475" s="1"/>
      <c r="M475" s="1"/>
      <c r="O475" s="1"/>
      <c r="Q475" s="1"/>
      <c r="S475" s="1"/>
      <c r="U475" s="1"/>
      <c r="W475" s="1"/>
      <c r="Y475" s="1"/>
      <c r="AA475" s="1"/>
      <c r="AC475" s="1"/>
      <c r="AE475" s="1"/>
      <c r="AG475" s="1"/>
      <c r="AI475" s="1"/>
      <c r="AK475" s="1"/>
      <c r="AM475" s="1"/>
      <c r="AO475" s="1"/>
      <c r="AQ475" s="1"/>
      <c r="AS475" s="1"/>
      <c r="AU475" s="1"/>
      <c r="AW475" s="1"/>
      <c r="AY475" s="1"/>
      <c r="BA475" s="1"/>
      <c r="BC475" s="1"/>
      <c r="BE475" s="1"/>
      <c r="BG475" s="1"/>
      <c r="BI475" s="1"/>
    </row>
    <row r="476" ht="15.75" customHeight="1">
      <c r="A476" s="1"/>
      <c r="B476" s="1"/>
      <c r="C476" s="1"/>
      <c r="E476" s="1"/>
      <c r="G476" s="1"/>
      <c r="I476" s="1"/>
      <c r="K476" s="1"/>
      <c r="M476" s="1"/>
      <c r="O476" s="1"/>
      <c r="Q476" s="1"/>
      <c r="S476" s="1"/>
      <c r="U476" s="1"/>
      <c r="W476" s="1"/>
      <c r="Y476" s="1"/>
      <c r="AA476" s="1"/>
      <c r="AC476" s="1"/>
      <c r="AE476" s="1"/>
      <c r="AG476" s="1"/>
      <c r="AI476" s="1"/>
      <c r="AK476" s="1"/>
      <c r="AM476" s="1"/>
      <c r="AO476" s="1"/>
      <c r="AQ476" s="1"/>
      <c r="AS476" s="1"/>
      <c r="AU476" s="1"/>
      <c r="AW476" s="1"/>
      <c r="AY476" s="1"/>
      <c r="BA476" s="1"/>
      <c r="BC476" s="1"/>
      <c r="BE476" s="1"/>
      <c r="BG476" s="1"/>
      <c r="BI476" s="1"/>
    </row>
    <row r="477" ht="15.75" customHeight="1">
      <c r="A477" s="1"/>
      <c r="B477" s="1"/>
      <c r="C477" s="1"/>
      <c r="E477" s="1"/>
      <c r="G477" s="1"/>
      <c r="I477" s="1"/>
      <c r="K477" s="1"/>
      <c r="M477" s="1"/>
      <c r="O477" s="1"/>
      <c r="Q477" s="1"/>
      <c r="S477" s="1"/>
      <c r="U477" s="1"/>
      <c r="W477" s="1"/>
      <c r="Y477" s="1"/>
      <c r="AA477" s="1"/>
      <c r="AC477" s="1"/>
      <c r="AE477" s="1"/>
      <c r="AG477" s="1"/>
      <c r="AI477" s="1"/>
      <c r="AK477" s="1"/>
      <c r="AM477" s="1"/>
      <c r="AO477" s="1"/>
      <c r="AQ477" s="1"/>
      <c r="AS477" s="1"/>
      <c r="AU477" s="1"/>
      <c r="AW477" s="1"/>
      <c r="AY477" s="1"/>
      <c r="BA477" s="1"/>
      <c r="BC477" s="1"/>
      <c r="BE477" s="1"/>
      <c r="BG477" s="1"/>
      <c r="BI477" s="1"/>
    </row>
    <row r="478" ht="15.75" customHeight="1">
      <c r="A478" s="1"/>
      <c r="B478" s="1"/>
      <c r="C478" s="1"/>
      <c r="E478" s="1"/>
      <c r="G478" s="1"/>
      <c r="I478" s="1"/>
      <c r="K478" s="1"/>
      <c r="M478" s="1"/>
      <c r="O478" s="1"/>
      <c r="Q478" s="1"/>
      <c r="S478" s="1"/>
      <c r="U478" s="1"/>
      <c r="W478" s="1"/>
      <c r="Y478" s="1"/>
      <c r="AA478" s="1"/>
      <c r="AC478" s="1"/>
      <c r="AE478" s="1"/>
      <c r="AG478" s="1"/>
      <c r="AI478" s="1"/>
      <c r="AK478" s="1"/>
      <c r="AM478" s="1"/>
      <c r="AO478" s="1"/>
      <c r="AQ478" s="1"/>
      <c r="AS478" s="1"/>
      <c r="AU478" s="1"/>
      <c r="AW478" s="1"/>
      <c r="AY478" s="1"/>
      <c r="BA478" s="1"/>
      <c r="BC478" s="1"/>
      <c r="BE478" s="1"/>
      <c r="BG478" s="1"/>
      <c r="BI478" s="1"/>
    </row>
    <row r="479" ht="15.75" customHeight="1">
      <c r="A479" s="1"/>
      <c r="B479" s="1"/>
      <c r="C479" s="1"/>
      <c r="E479" s="1"/>
      <c r="G479" s="1"/>
      <c r="I479" s="1"/>
      <c r="K479" s="1"/>
      <c r="M479" s="1"/>
      <c r="O479" s="1"/>
      <c r="Q479" s="1"/>
      <c r="S479" s="1"/>
      <c r="U479" s="1"/>
      <c r="W479" s="1"/>
      <c r="Y479" s="1"/>
      <c r="AA479" s="1"/>
      <c r="AC479" s="1"/>
      <c r="AE479" s="1"/>
      <c r="AG479" s="1"/>
      <c r="AI479" s="1"/>
      <c r="AK479" s="1"/>
      <c r="AM479" s="1"/>
      <c r="AO479" s="1"/>
      <c r="AQ479" s="1"/>
      <c r="AS479" s="1"/>
      <c r="AU479" s="1"/>
      <c r="AW479" s="1"/>
      <c r="AY479" s="1"/>
      <c r="BA479" s="1"/>
      <c r="BC479" s="1"/>
      <c r="BE479" s="1"/>
      <c r="BG479" s="1"/>
      <c r="BI479" s="1"/>
    </row>
    <row r="480" ht="15.75" customHeight="1">
      <c r="A480" s="1"/>
      <c r="B480" s="1"/>
      <c r="C480" s="1"/>
      <c r="E480" s="1"/>
      <c r="G480" s="1"/>
      <c r="I480" s="1"/>
      <c r="K480" s="1"/>
      <c r="M480" s="1"/>
      <c r="O480" s="1"/>
      <c r="Q480" s="1"/>
      <c r="S480" s="1"/>
      <c r="U480" s="1"/>
      <c r="W480" s="1"/>
      <c r="Y480" s="1"/>
      <c r="AA480" s="1"/>
      <c r="AC480" s="1"/>
      <c r="AE480" s="1"/>
      <c r="AG480" s="1"/>
      <c r="AI480" s="1"/>
      <c r="AK480" s="1"/>
      <c r="AM480" s="1"/>
      <c r="AO480" s="1"/>
      <c r="AQ480" s="1"/>
      <c r="AS480" s="1"/>
      <c r="AU480" s="1"/>
      <c r="AW480" s="1"/>
      <c r="AY480" s="1"/>
      <c r="BA480" s="1"/>
      <c r="BC480" s="1"/>
      <c r="BE480" s="1"/>
      <c r="BG480" s="1"/>
      <c r="BI480" s="1"/>
    </row>
    <row r="481" ht="15.75" customHeight="1">
      <c r="A481" s="1"/>
      <c r="B481" s="1"/>
      <c r="C481" s="1"/>
      <c r="E481" s="1"/>
      <c r="G481" s="1"/>
      <c r="I481" s="1"/>
      <c r="K481" s="1"/>
      <c r="M481" s="1"/>
      <c r="O481" s="1"/>
      <c r="Q481" s="1"/>
      <c r="S481" s="1"/>
      <c r="U481" s="1"/>
      <c r="W481" s="1"/>
      <c r="Y481" s="1"/>
      <c r="AA481" s="1"/>
      <c r="AC481" s="1"/>
      <c r="AE481" s="1"/>
      <c r="AG481" s="1"/>
      <c r="AI481" s="1"/>
      <c r="AK481" s="1"/>
      <c r="AM481" s="1"/>
      <c r="AO481" s="1"/>
      <c r="AQ481" s="1"/>
      <c r="AS481" s="1"/>
      <c r="AU481" s="1"/>
      <c r="AW481" s="1"/>
      <c r="AY481" s="1"/>
      <c r="BA481" s="1"/>
      <c r="BC481" s="1"/>
      <c r="BE481" s="1"/>
      <c r="BG481" s="1"/>
      <c r="BI481" s="1"/>
    </row>
    <row r="482" ht="15.75" customHeight="1">
      <c r="A482" s="1"/>
      <c r="B482" s="1"/>
      <c r="C482" s="1"/>
      <c r="E482" s="1"/>
      <c r="G482" s="1"/>
      <c r="I482" s="1"/>
      <c r="K482" s="1"/>
      <c r="M482" s="1"/>
      <c r="O482" s="1"/>
      <c r="Q482" s="1"/>
      <c r="S482" s="1"/>
      <c r="U482" s="1"/>
      <c r="W482" s="1"/>
      <c r="Y482" s="1"/>
      <c r="AA482" s="1"/>
      <c r="AC482" s="1"/>
      <c r="AE482" s="1"/>
      <c r="AG482" s="1"/>
      <c r="AI482" s="1"/>
      <c r="AK482" s="1"/>
      <c r="AM482" s="1"/>
      <c r="AO482" s="1"/>
      <c r="AQ482" s="1"/>
      <c r="AS482" s="1"/>
      <c r="AU482" s="1"/>
      <c r="AW482" s="1"/>
      <c r="AY482" s="1"/>
      <c r="BA482" s="1"/>
      <c r="BC482" s="1"/>
      <c r="BE482" s="1"/>
      <c r="BG482" s="1"/>
      <c r="BI482" s="1"/>
    </row>
    <row r="483" ht="15.75" customHeight="1">
      <c r="A483" s="1"/>
      <c r="B483" s="1"/>
      <c r="C483" s="1"/>
      <c r="E483" s="1"/>
      <c r="G483" s="1"/>
      <c r="I483" s="1"/>
      <c r="K483" s="1"/>
      <c r="M483" s="1"/>
      <c r="O483" s="1"/>
      <c r="Q483" s="1"/>
      <c r="S483" s="1"/>
      <c r="U483" s="1"/>
      <c r="W483" s="1"/>
      <c r="Y483" s="1"/>
      <c r="AA483" s="1"/>
      <c r="AC483" s="1"/>
      <c r="AE483" s="1"/>
      <c r="AG483" s="1"/>
      <c r="AI483" s="1"/>
      <c r="AK483" s="1"/>
      <c r="AM483" s="1"/>
      <c r="AO483" s="1"/>
      <c r="AQ483" s="1"/>
      <c r="AS483" s="1"/>
      <c r="AU483" s="1"/>
      <c r="AW483" s="1"/>
      <c r="AY483" s="1"/>
      <c r="BA483" s="1"/>
      <c r="BC483" s="1"/>
      <c r="BE483" s="1"/>
      <c r="BG483" s="1"/>
      <c r="BI483" s="1"/>
    </row>
    <row r="484" ht="15.75" customHeight="1">
      <c r="A484" s="1"/>
      <c r="B484" s="1"/>
      <c r="C484" s="1"/>
      <c r="E484" s="1"/>
      <c r="G484" s="1"/>
      <c r="I484" s="1"/>
      <c r="K484" s="1"/>
      <c r="M484" s="1"/>
      <c r="O484" s="1"/>
      <c r="Q484" s="1"/>
      <c r="S484" s="1"/>
      <c r="U484" s="1"/>
      <c r="W484" s="1"/>
      <c r="Y484" s="1"/>
      <c r="AA484" s="1"/>
      <c r="AC484" s="1"/>
      <c r="AE484" s="1"/>
      <c r="AG484" s="1"/>
      <c r="AI484" s="1"/>
      <c r="AK484" s="1"/>
      <c r="AM484" s="1"/>
      <c r="AO484" s="1"/>
      <c r="AQ484" s="1"/>
      <c r="AS484" s="1"/>
      <c r="AU484" s="1"/>
      <c r="AW484" s="1"/>
      <c r="AY484" s="1"/>
      <c r="BA484" s="1"/>
      <c r="BC484" s="1"/>
      <c r="BE484" s="1"/>
      <c r="BG484" s="1"/>
      <c r="BI484" s="1"/>
    </row>
    <row r="485" ht="15.75" customHeight="1">
      <c r="A485" s="1"/>
      <c r="B485" s="1"/>
      <c r="C485" s="1"/>
      <c r="E485" s="1"/>
      <c r="G485" s="1"/>
      <c r="I485" s="1"/>
      <c r="K485" s="1"/>
      <c r="M485" s="1"/>
      <c r="O485" s="1"/>
      <c r="Q485" s="1"/>
      <c r="S485" s="1"/>
      <c r="U485" s="1"/>
      <c r="W485" s="1"/>
      <c r="Y485" s="1"/>
      <c r="AA485" s="1"/>
      <c r="AC485" s="1"/>
      <c r="AE485" s="1"/>
      <c r="AG485" s="1"/>
      <c r="AI485" s="1"/>
      <c r="AK485" s="1"/>
      <c r="AM485" s="1"/>
      <c r="AO485" s="1"/>
      <c r="AQ485" s="1"/>
      <c r="AS485" s="1"/>
      <c r="AU485" s="1"/>
      <c r="AW485" s="1"/>
      <c r="AY485" s="1"/>
      <c r="BA485" s="1"/>
      <c r="BC485" s="1"/>
      <c r="BE485" s="1"/>
      <c r="BG485" s="1"/>
      <c r="BI485" s="1"/>
    </row>
    <row r="486" ht="15.75" customHeight="1">
      <c r="A486" s="1"/>
      <c r="B486" s="1"/>
      <c r="C486" s="1"/>
      <c r="E486" s="1"/>
      <c r="G486" s="1"/>
      <c r="I486" s="1"/>
      <c r="K486" s="1"/>
      <c r="M486" s="1"/>
      <c r="O486" s="1"/>
      <c r="Q486" s="1"/>
      <c r="S486" s="1"/>
      <c r="U486" s="1"/>
      <c r="W486" s="1"/>
      <c r="Y486" s="1"/>
      <c r="AA486" s="1"/>
      <c r="AC486" s="1"/>
      <c r="AE486" s="1"/>
      <c r="AG486" s="1"/>
      <c r="AI486" s="1"/>
      <c r="AK486" s="1"/>
      <c r="AM486" s="1"/>
      <c r="AO486" s="1"/>
      <c r="AQ486" s="1"/>
      <c r="AS486" s="1"/>
      <c r="AU486" s="1"/>
      <c r="AW486" s="1"/>
      <c r="AY486" s="1"/>
      <c r="BA486" s="1"/>
      <c r="BC486" s="1"/>
      <c r="BE486" s="1"/>
      <c r="BG486" s="1"/>
      <c r="BI486" s="1"/>
    </row>
    <row r="487" ht="15.75" customHeight="1">
      <c r="A487" s="1"/>
      <c r="B487" s="1"/>
      <c r="C487" s="1"/>
      <c r="E487" s="1"/>
      <c r="G487" s="1"/>
      <c r="I487" s="1"/>
      <c r="K487" s="1"/>
      <c r="M487" s="1"/>
      <c r="O487" s="1"/>
      <c r="Q487" s="1"/>
      <c r="S487" s="1"/>
      <c r="U487" s="1"/>
      <c r="W487" s="1"/>
      <c r="Y487" s="1"/>
      <c r="AA487" s="1"/>
      <c r="AC487" s="1"/>
      <c r="AE487" s="1"/>
      <c r="AG487" s="1"/>
      <c r="AI487" s="1"/>
      <c r="AK487" s="1"/>
      <c r="AM487" s="1"/>
      <c r="AO487" s="1"/>
      <c r="AQ487" s="1"/>
      <c r="AS487" s="1"/>
      <c r="AU487" s="1"/>
      <c r="AW487" s="1"/>
      <c r="AY487" s="1"/>
      <c r="BA487" s="1"/>
      <c r="BC487" s="1"/>
      <c r="BE487" s="1"/>
      <c r="BG487" s="1"/>
      <c r="BI487" s="1"/>
    </row>
    <row r="488" ht="15.75" customHeight="1">
      <c r="A488" s="1"/>
      <c r="B488" s="1"/>
      <c r="C488" s="1"/>
      <c r="E488" s="1"/>
      <c r="G488" s="1"/>
      <c r="I488" s="1"/>
      <c r="K488" s="1"/>
      <c r="M488" s="1"/>
      <c r="O488" s="1"/>
      <c r="Q488" s="1"/>
      <c r="S488" s="1"/>
      <c r="U488" s="1"/>
      <c r="W488" s="1"/>
      <c r="Y488" s="1"/>
      <c r="AA488" s="1"/>
      <c r="AC488" s="1"/>
      <c r="AE488" s="1"/>
      <c r="AG488" s="1"/>
      <c r="AI488" s="1"/>
      <c r="AK488" s="1"/>
      <c r="AM488" s="1"/>
      <c r="AO488" s="1"/>
      <c r="AQ488" s="1"/>
      <c r="AS488" s="1"/>
      <c r="AU488" s="1"/>
      <c r="AW488" s="1"/>
      <c r="AY488" s="1"/>
      <c r="BA488" s="1"/>
      <c r="BC488" s="1"/>
      <c r="BE488" s="1"/>
      <c r="BG488" s="1"/>
      <c r="BI488" s="1"/>
    </row>
    <row r="489" ht="15.75" customHeight="1">
      <c r="A489" s="1"/>
      <c r="B489" s="1"/>
      <c r="C489" s="1"/>
      <c r="E489" s="1"/>
      <c r="G489" s="1"/>
      <c r="I489" s="1"/>
      <c r="K489" s="1"/>
      <c r="M489" s="1"/>
      <c r="O489" s="1"/>
      <c r="Q489" s="1"/>
      <c r="S489" s="1"/>
      <c r="U489" s="1"/>
      <c r="W489" s="1"/>
      <c r="Y489" s="1"/>
      <c r="AA489" s="1"/>
      <c r="AC489" s="1"/>
      <c r="AE489" s="1"/>
      <c r="AG489" s="1"/>
      <c r="AI489" s="1"/>
      <c r="AK489" s="1"/>
      <c r="AM489" s="1"/>
      <c r="AO489" s="1"/>
      <c r="AQ489" s="1"/>
      <c r="AS489" s="1"/>
      <c r="AU489" s="1"/>
      <c r="AW489" s="1"/>
      <c r="AY489" s="1"/>
      <c r="BA489" s="1"/>
      <c r="BC489" s="1"/>
      <c r="BE489" s="1"/>
      <c r="BG489" s="1"/>
      <c r="BI489" s="1"/>
    </row>
    <row r="490" ht="15.75" customHeight="1">
      <c r="A490" s="1"/>
      <c r="B490" s="1"/>
      <c r="C490" s="1"/>
      <c r="E490" s="1"/>
      <c r="G490" s="1"/>
      <c r="I490" s="1"/>
      <c r="K490" s="1"/>
      <c r="M490" s="1"/>
      <c r="O490" s="1"/>
      <c r="Q490" s="1"/>
      <c r="S490" s="1"/>
      <c r="U490" s="1"/>
      <c r="W490" s="1"/>
      <c r="Y490" s="1"/>
      <c r="AA490" s="1"/>
      <c r="AC490" s="1"/>
      <c r="AE490" s="1"/>
      <c r="AG490" s="1"/>
      <c r="AI490" s="1"/>
      <c r="AK490" s="1"/>
      <c r="AM490" s="1"/>
      <c r="AO490" s="1"/>
      <c r="AQ490" s="1"/>
      <c r="AS490" s="1"/>
      <c r="AU490" s="1"/>
      <c r="AW490" s="1"/>
      <c r="AY490" s="1"/>
      <c r="BA490" s="1"/>
      <c r="BC490" s="1"/>
      <c r="BE490" s="1"/>
      <c r="BG490" s="1"/>
      <c r="BI490" s="1"/>
    </row>
    <row r="491" ht="15.75" customHeight="1">
      <c r="A491" s="1"/>
      <c r="B491" s="1"/>
      <c r="C491" s="1"/>
      <c r="E491" s="1"/>
      <c r="G491" s="1"/>
      <c r="I491" s="1"/>
      <c r="K491" s="1"/>
      <c r="M491" s="1"/>
      <c r="O491" s="1"/>
      <c r="Q491" s="1"/>
      <c r="S491" s="1"/>
      <c r="U491" s="1"/>
      <c r="W491" s="1"/>
      <c r="Y491" s="1"/>
      <c r="AA491" s="1"/>
      <c r="AC491" s="1"/>
      <c r="AE491" s="1"/>
      <c r="AG491" s="1"/>
      <c r="AI491" s="1"/>
      <c r="AK491" s="1"/>
      <c r="AM491" s="1"/>
      <c r="AO491" s="1"/>
      <c r="AQ491" s="1"/>
      <c r="AS491" s="1"/>
      <c r="AU491" s="1"/>
      <c r="AW491" s="1"/>
      <c r="AY491" s="1"/>
      <c r="BA491" s="1"/>
      <c r="BC491" s="1"/>
      <c r="BE491" s="1"/>
      <c r="BG491" s="1"/>
      <c r="BI491" s="1"/>
    </row>
    <row r="492" ht="15.75" customHeight="1">
      <c r="A492" s="1"/>
      <c r="B492" s="1"/>
      <c r="C492" s="1"/>
      <c r="E492" s="1"/>
      <c r="G492" s="1"/>
      <c r="I492" s="1"/>
      <c r="K492" s="1"/>
      <c r="M492" s="1"/>
      <c r="O492" s="1"/>
      <c r="Q492" s="1"/>
      <c r="S492" s="1"/>
      <c r="U492" s="1"/>
      <c r="W492" s="1"/>
      <c r="Y492" s="1"/>
      <c r="AA492" s="1"/>
      <c r="AC492" s="1"/>
      <c r="AE492" s="1"/>
      <c r="AG492" s="1"/>
      <c r="AI492" s="1"/>
      <c r="AK492" s="1"/>
      <c r="AM492" s="1"/>
      <c r="AO492" s="1"/>
      <c r="AQ492" s="1"/>
      <c r="AS492" s="1"/>
      <c r="AU492" s="1"/>
      <c r="AW492" s="1"/>
      <c r="AY492" s="1"/>
      <c r="BA492" s="1"/>
      <c r="BC492" s="1"/>
      <c r="BE492" s="1"/>
      <c r="BG492" s="1"/>
      <c r="BI492" s="1"/>
    </row>
    <row r="493" ht="15.75" customHeight="1">
      <c r="A493" s="1"/>
      <c r="B493" s="1"/>
      <c r="C493" s="1"/>
      <c r="E493" s="1"/>
      <c r="G493" s="1"/>
      <c r="I493" s="1"/>
      <c r="K493" s="1"/>
      <c r="M493" s="1"/>
      <c r="O493" s="1"/>
      <c r="Q493" s="1"/>
      <c r="S493" s="1"/>
      <c r="U493" s="1"/>
      <c r="W493" s="1"/>
      <c r="Y493" s="1"/>
      <c r="AA493" s="1"/>
      <c r="AC493" s="1"/>
      <c r="AE493" s="1"/>
      <c r="AG493" s="1"/>
      <c r="AI493" s="1"/>
      <c r="AK493" s="1"/>
      <c r="AM493" s="1"/>
      <c r="AO493" s="1"/>
      <c r="AQ493" s="1"/>
      <c r="AS493" s="1"/>
      <c r="AU493" s="1"/>
      <c r="AW493" s="1"/>
      <c r="AY493" s="1"/>
      <c r="BA493" s="1"/>
      <c r="BC493" s="1"/>
      <c r="BE493" s="1"/>
      <c r="BG493" s="1"/>
      <c r="BI493" s="1"/>
    </row>
    <row r="494" ht="15.75" customHeight="1">
      <c r="A494" s="1"/>
      <c r="B494" s="1"/>
      <c r="C494" s="1"/>
      <c r="E494" s="1"/>
      <c r="G494" s="1"/>
      <c r="I494" s="1"/>
      <c r="K494" s="1"/>
      <c r="M494" s="1"/>
      <c r="O494" s="1"/>
      <c r="Q494" s="1"/>
      <c r="S494" s="1"/>
      <c r="U494" s="1"/>
      <c r="W494" s="1"/>
      <c r="Y494" s="1"/>
      <c r="AA494" s="1"/>
      <c r="AC494" s="1"/>
      <c r="AE494" s="1"/>
      <c r="AG494" s="1"/>
      <c r="AI494" s="1"/>
      <c r="AK494" s="1"/>
      <c r="AM494" s="1"/>
      <c r="AO494" s="1"/>
      <c r="AQ494" s="1"/>
      <c r="AS494" s="1"/>
      <c r="AU494" s="1"/>
      <c r="AW494" s="1"/>
      <c r="AY494" s="1"/>
      <c r="BA494" s="1"/>
      <c r="BC494" s="1"/>
      <c r="BE494" s="1"/>
      <c r="BG494" s="1"/>
      <c r="BI494" s="1"/>
    </row>
    <row r="495" ht="15.75" customHeight="1">
      <c r="A495" s="1"/>
      <c r="B495" s="1"/>
      <c r="C495" s="1"/>
      <c r="E495" s="1"/>
      <c r="G495" s="1"/>
      <c r="I495" s="1"/>
      <c r="K495" s="1"/>
      <c r="M495" s="1"/>
      <c r="O495" s="1"/>
      <c r="Q495" s="1"/>
      <c r="S495" s="1"/>
      <c r="U495" s="1"/>
      <c r="W495" s="1"/>
      <c r="Y495" s="1"/>
      <c r="AA495" s="1"/>
      <c r="AC495" s="1"/>
      <c r="AE495" s="1"/>
      <c r="AG495" s="1"/>
      <c r="AI495" s="1"/>
      <c r="AK495" s="1"/>
      <c r="AM495" s="1"/>
      <c r="AO495" s="1"/>
      <c r="AQ495" s="1"/>
      <c r="AS495" s="1"/>
      <c r="AU495" s="1"/>
      <c r="AW495" s="1"/>
      <c r="AY495" s="1"/>
      <c r="BA495" s="1"/>
      <c r="BC495" s="1"/>
      <c r="BE495" s="1"/>
      <c r="BG495" s="1"/>
      <c r="BI495" s="1"/>
    </row>
    <row r="496" ht="15.75" customHeight="1">
      <c r="A496" s="1"/>
      <c r="B496" s="1"/>
      <c r="C496" s="1"/>
      <c r="E496" s="1"/>
      <c r="G496" s="1"/>
      <c r="I496" s="1"/>
      <c r="K496" s="1"/>
      <c r="M496" s="1"/>
      <c r="O496" s="1"/>
      <c r="Q496" s="1"/>
      <c r="S496" s="1"/>
      <c r="U496" s="1"/>
      <c r="W496" s="1"/>
      <c r="Y496" s="1"/>
      <c r="AA496" s="1"/>
      <c r="AC496" s="1"/>
      <c r="AE496" s="1"/>
      <c r="AG496" s="1"/>
      <c r="AI496" s="1"/>
      <c r="AK496" s="1"/>
      <c r="AM496" s="1"/>
      <c r="AO496" s="1"/>
      <c r="AQ496" s="1"/>
      <c r="AS496" s="1"/>
      <c r="AU496" s="1"/>
      <c r="AW496" s="1"/>
      <c r="AY496" s="1"/>
      <c r="BA496" s="1"/>
      <c r="BC496" s="1"/>
      <c r="BE496" s="1"/>
      <c r="BG496" s="1"/>
      <c r="BI496" s="1"/>
    </row>
    <row r="497" ht="15.75" customHeight="1">
      <c r="A497" s="1"/>
      <c r="B497" s="1"/>
      <c r="C497" s="1"/>
      <c r="E497" s="1"/>
      <c r="G497" s="1"/>
      <c r="I497" s="1"/>
      <c r="K497" s="1"/>
      <c r="M497" s="1"/>
      <c r="O497" s="1"/>
      <c r="Q497" s="1"/>
      <c r="S497" s="1"/>
      <c r="U497" s="1"/>
      <c r="W497" s="1"/>
      <c r="Y497" s="1"/>
      <c r="AA497" s="1"/>
      <c r="AC497" s="1"/>
      <c r="AE497" s="1"/>
      <c r="AG497" s="1"/>
      <c r="AI497" s="1"/>
      <c r="AK497" s="1"/>
      <c r="AM497" s="1"/>
      <c r="AO497" s="1"/>
      <c r="AQ497" s="1"/>
      <c r="AS497" s="1"/>
      <c r="AU497" s="1"/>
      <c r="AW497" s="1"/>
      <c r="AY497" s="1"/>
      <c r="BA497" s="1"/>
      <c r="BC497" s="1"/>
      <c r="BE497" s="1"/>
      <c r="BG497" s="1"/>
      <c r="BI497" s="1"/>
    </row>
    <row r="498" ht="15.75" customHeight="1">
      <c r="A498" s="1"/>
      <c r="B498" s="1"/>
      <c r="C498" s="1"/>
      <c r="E498" s="1"/>
      <c r="G498" s="1"/>
      <c r="I498" s="1"/>
      <c r="K498" s="1"/>
      <c r="M498" s="1"/>
      <c r="O498" s="1"/>
      <c r="Q498" s="1"/>
      <c r="S498" s="1"/>
      <c r="U498" s="1"/>
      <c r="W498" s="1"/>
      <c r="Y498" s="1"/>
      <c r="AA498" s="1"/>
      <c r="AC498" s="1"/>
      <c r="AE498" s="1"/>
      <c r="AG498" s="1"/>
      <c r="AI498" s="1"/>
      <c r="AK498" s="1"/>
      <c r="AM498" s="1"/>
      <c r="AO498" s="1"/>
      <c r="AQ498" s="1"/>
      <c r="AS498" s="1"/>
      <c r="AU498" s="1"/>
      <c r="AW498" s="1"/>
      <c r="AY498" s="1"/>
      <c r="BA498" s="1"/>
      <c r="BC498" s="1"/>
      <c r="BE498" s="1"/>
      <c r="BG498" s="1"/>
      <c r="BI498" s="1"/>
    </row>
    <row r="499" ht="15.75" customHeight="1">
      <c r="A499" s="1"/>
      <c r="B499" s="1"/>
      <c r="C499" s="1"/>
      <c r="E499" s="1"/>
      <c r="G499" s="1"/>
      <c r="I499" s="1"/>
      <c r="K499" s="1"/>
      <c r="M499" s="1"/>
      <c r="O499" s="1"/>
      <c r="Q499" s="1"/>
      <c r="S499" s="1"/>
      <c r="U499" s="1"/>
      <c r="W499" s="1"/>
      <c r="Y499" s="1"/>
      <c r="AA499" s="1"/>
      <c r="AC499" s="1"/>
      <c r="AE499" s="1"/>
      <c r="AG499" s="1"/>
      <c r="AI499" s="1"/>
      <c r="AK499" s="1"/>
      <c r="AM499" s="1"/>
      <c r="AO499" s="1"/>
      <c r="AQ499" s="1"/>
      <c r="AS499" s="1"/>
      <c r="AU499" s="1"/>
      <c r="AW499" s="1"/>
      <c r="AY499" s="1"/>
      <c r="BA499" s="1"/>
      <c r="BC499" s="1"/>
      <c r="BE499" s="1"/>
      <c r="BG499" s="1"/>
      <c r="BI499" s="1"/>
    </row>
    <row r="500" ht="15.75" customHeight="1">
      <c r="A500" s="1"/>
      <c r="B500" s="1"/>
      <c r="C500" s="1"/>
      <c r="E500" s="1"/>
      <c r="G500" s="1"/>
      <c r="I500" s="1"/>
      <c r="K500" s="1"/>
      <c r="M500" s="1"/>
      <c r="O500" s="1"/>
      <c r="Q500" s="1"/>
      <c r="S500" s="1"/>
      <c r="U500" s="1"/>
      <c r="W500" s="1"/>
      <c r="Y500" s="1"/>
      <c r="AA500" s="1"/>
      <c r="AC500" s="1"/>
      <c r="AE500" s="1"/>
      <c r="AG500" s="1"/>
      <c r="AI500" s="1"/>
      <c r="AK500" s="1"/>
      <c r="AM500" s="1"/>
      <c r="AO500" s="1"/>
      <c r="AQ500" s="1"/>
      <c r="AS500" s="1"/>
      <c r="AU500" s="1"/>
      <c r="AW500" s="1"/>
      <c r="AY500" s="1"/>
      <c r="BA500" s="1"/>
      <c r="BC500" s="1"/>
      <c r="BE500" s="1"/>
      <c r="BG500" s="1"/>
      <c r="BI500" s="1"/>
    </row>
    <row r="501" ht="15.75" customHeight="1">
      <c r="A501" s="1"/>
      <c r="B501" s="1"/>
      <c r="C501" s="1"/>
      <c r="E501" s="1"/>
      <c r="G501" s="1"/>
      <c r="I501" s="1"/>
      <c r="K501" s="1"/>
      <c r="M501" s="1"/>
      <c r="O501" s="1"/>
      <c r="Q501" s="1"/>
      <c r="S501" s="1"/>
      <c r="U501" s="1"/>
      <c r="W501" s="1"/>
      <c r="Y501" s="1"/>
      <c r="AA501" s="1"/>
      <c r="AC501" s="1"/>
      <c r="AE501" s="1"/>
      <c r="AG501" s="1"/>
      <c r="AI501" s="1"/>
      <c r="AK501" s="1"/>
      <c r="AM501" s="1"/>
      <c r="AO501" s="1"/>
      <c r="AQ501" s="1"/>
      <c r="AS501" s="1"/>
      <c r="AU501" s="1"/>
      <c r="AW501" s="1"/>
      <c r="AY501" s="1"/>
      <c r="BA501" s="1"/>
      <c r="BC501" s="1"/>
      <c r="BE501" s="1"/>
      <c r="BG501" s="1"/>
      <c r="BI501" s="1"/>
    </row>
    <row r="502" ht="15.75" customHeight="1">
      <c r="A502" s="1"/>
      <c r="B502" s="1"/>
      <c r="C502" s="1"/>
      <c r="E502" s="1"/>
      <c r="G502" s="1"/>
      <c r="I502" s="1"/>
      <c r="K502" s="1"/>
      <c r="M502" s="1"/>
      <c r="O502" s="1"/>
      <c r="Q502" s="1"/>
      <c r="S502" s="1"/>
      <c r="U502" s="1"/>
      <c r="W502" s="1"/>
      <c r="Y502" s="1"/>
      <c r="AA502" s="1"/>
      <c r="AC502" s="1"/>
      <c r="AE502" s="1"/>
      <c r="AG502" s="1"/>
      <c r="AI502" s="1"/>
      <c r="AK502" s="1"/>
      <c r="AM502" s="1"/>
      <c r="AO502" s="1"/>
      <c r="AQ502" s="1"/>
      <c r="AS502" s="1"/>
      <c r="AU502" s="1"/>
      <c r="AW502" s="1"/>
      <c r="AY502" s="1"/>
      <c r="BA502" s="1"/>
      <c r="BC502" s="1"/>
      <c r="BE502" s="1"/>
      <c r="BG502" s="1"/>
      <c r="BI502" s="1"/>
    </row>
    <row r="503" ht="15.75" customHeight="1">
      <c r="A503" s="1"/>
      <c r="B503" s="1"/>
      <c r="C503" s="1"/>
      <c r="E503" s="1"/>
      <c r="G503" s="1"/>
      <c r="I503" s="1"/>
      <c r="K503" s="1"/>
      <c r="M503" s="1"/>
      <c r="O503" s="1"/>
      <c r="Q503" s="1"/>
      <c r="S503" s="1"/>
      <c r="U503" s="1"/>
      <c r="W503" s="1"/>
      <c r="Y503" s="1"/>
      <c r="AA503" s="1"/>
      <c r="AC503" s="1"/>
      <c r="AE503" s="1"/>
      <c r="AG503" s="1"/>
      <c r="AI503" s="1"/>
      <c r="AK503" s="1"/>
      <c r="AM503" s="1"/>
      <c r="AO503" s="1"/>
      <c r="AQ503" s="1"/>
      <c r="AS503" s="1"/>
      <c r="AU503" s="1"/>
      <c r="AW503" s="1"/>
      <c r="AY503" s="1"/>
      <c r="BA503" s="1"/>
      <c r="BC503" s="1"/>
      <c r="BE503" s="1"/>
      <c r="BG503" s="1"/>
      <c r="BI503" s="1"/>
    </row>
    <row r="504" ht="15.75" customHeight="1">
      <c r="A504" s="1"/>
      <c r="B504" s="1"/>
      <c r="C504" s="1"/>
      <c r="E504" s="1"/>
      <c r="G504" s="1"/>
      <c r="I504" s="1"/>
      <c r="K504" s="1"/>
      <c r="M504" s="1"/>
      <c r="O504" s="1"/>
      <c r="Q504" s="1"/>
      <c r="S504" s="1"/>
      <c r="U504" s="1"/>
      <c r="W504" s="1"/>
      <c r="Y504" s="1"/>
      <c r="AA504" s="1"/>
      <c r="AC504" s="1"/>
      <c r="AE504" s="1"/>
      <c r="AG504" s="1"/>
      <c r="AI504" s="1"/>
      <c r="AK504" s="1"/>
      <c r="AM504" s="1"/>
      <c r="AO504" s="1"/>
      <c r="AQ504" s="1"/>
      <c r="AS504" s="1"/>
      <c r="AU504" s="1"/>
      <c r="AW504" s="1"/>
      <c r="AY504" s="1"/>
      <c r="BA504" s="1"/>
      <c r="BC504" s="1"/>
      <c r="BE504" s="1"/>
      <c r="BG504" s="1"/>
      <c r="BI504" s="1"/>
    </row>
    <row r="505" ht="15.75" customHeight="1">
      <c r="A505" s="1"/>
      <c r="B505" s="1"/>
      <c r="C505" s="1"/>
      <c r="E505" s="1"/>
      <c r="G505" s="1"/>
      <c r="I505" s="1"/>
      <c r="K505" s="1"/>
      <c r="M505" s="1"/>
      <c r="O505" s="1"/>
      <c r="Q505" s="1"/>
      <c r="S505" s="1"/>
      <c r="U505" s="1"/>
      <c r="W505" s="1"/>
      <c r="Y505" s="1"/>
      <c r="AA505" s="1"/>
      <c r="AC505" s="1"/>
      <c r="AE505" s="1"/>
      <c r="AG505" s="1"/>
      <c r="AI505" s="1"/>
      <c r="AK505" s="1"/>
      <c r="AM505" s="1"/>
      <c r="AO505" s="1"/>
      <c r="AQ505" s="1"/>
      <c r="AS505" s="1"/>
      <c r="AU505" s="1"/>
      <c r="AW505" s="1"/>
      <c r="AY505" s="1"/>
      <c r="BA505" s="1"/>
      <c r="BC505" s="1"/>
      <c r="BE505" s="1"/>
      <c r="BG505" s="1"/>
      <c r="BI505" s="1"/>
    </row>
    <row r="506" ht="15.75" customHeight="1">
      <c r="A506" s="1"/>
      <c r="B506" s="1"/>
      <c r="C506" s="1"/>
      <c r="E506" s="1"/>
      <c r="G506" s="1"/>
      <c r="I506" s="1"/>
      <c r="K506" s="1"/>
      <c r="M506" s="1"/>
      <c r="O506" s="1"/>
      <c r="Q506" s="1"/>
      <c r="S506" s="1"/>
      <c r="U506" s="1"/>
      <c r="W506" s="1"/>
      <c r="Y506" s="1"/>
      <c r="AA506" s="1"/>
      <c r="AC506" s="1"/>
      <c r="AE506" s="1"/>
      <c r="AG506" s="1"/>
      <c r="AI506" s="1"/>
      <c r="AK506" s="1"/>
      <c r="AM506" s="1"/>
      <c r="AO506" s="1"/>
      <c r="AQ506" s="1"/>
      <c r="AS506" s="1"/>
      <c r="AU506" s="1"/>
      <c r="AW506" s="1"/>
      <c r="AY506" s="1"/>
      <c r="BA506" s="1"/>
      <c r="BC506" s="1"/>
      <c r="BE506" s="1"/>
      <c r="BG506" s="1"/>
      <c r="BI506" s="1"/>
    </row>
    <row r="507" ht="15.75" customHeight="1">
      <c r="A507" s="1"/>
      <c r="B507" s="1"/>
      <c r="C507" s="1"/>
      <c r="E507" s="1"/>
      <c r="G507" s="1"/>
      <c r="I507" s="1"/>
      <c r="K507" s="1"/>
      <c r="M507" s="1"/>
      <c r="O507" s="1"/>
      <c r="Q507" s="1"/>
      <c r="S507" s="1"/>
      <c r="U507" s="1"/>
      <c r="W507" s="1"/>
      <c r="Y507" s="1"/>
      <c r="AA507" s="1"/>
      <c r="AC507" s="1"/>
      <c r="AE507" s="1"/>
      <c r="AG507" s="1"/>
      <c r="AI507" s="1"/>
      <c r="AK507" s="1"/>
      <c r="AM507" s="1"/>
      <c r="AO507" s="1"/>
      <c r="AQ507" s="1"/>
      <c r="AS507" s="1"/>
      <c r="AU507" s="1"/>
      <c r="AW507" s="1"/>
      <c r="AY507" s="1"/>
      <c r="BA507" s="1"/>
      <c r="BC507" s="1"/>
      <c r="BE507" s="1"/>
      <c r="BG507" s="1"/>
      <c r="BI507" s="1"/>
    </row>
    <row r="508" ht="15.75" customHeight="1">
      <c r="A508" s="1"/>
      <c r="B508" s="1"/>
      <c r="C508" s="1"/>
      <c r="E508" s="1"/>
      <c r="G508" s="1"/>
      <c r="I508" s="1"/>
      <c r="K508" s="1"/>
      <c r="M508" s="1"/>
      <c r="O508" s="1"/>
      <c r="Q508" s="1"/>
      <c r="S508" s="1"/>
      <c r="U508" s="1"/>
      <c r="W508" s="1"/>
      <c r="Y508" s="1"/>
      <c r="AA508" s="1"/>
      <c r="AC508" s="1"/>
      <c r="AE508" s="1"/>
      <c r="AG508" s="1"/>
      <c r="AI508" s="1"/>
      <c r="AK508" s="1"/>
      <c r="AM508" s="1"/>
      <c r="AO508" s="1"/>
      <c r="AQ508" s="1"/>
      <c r="AS508" s="1"/>
      <c r="AU508" s="1"/>
      <c r="AW508" s="1"/>
      <c r="AY508" s="1"/>
      <c r="BA508" s="1"/>
      <c r="BC508" s="1"/>
      <c r="BE508" s="1"/>
      <c r="BG508" s="1"/>
      <c r="BI508" s="1"/>
    </row>
    <row r="509" ht="15.75" customHeight="1">
      <c r="A509" s="1"/>
      <c r="B509" s="1"/>
      <c r="C509" s="1"/>
      <c r="E509" s="1"/>
      <c r="G509" s="1"/>
      <c r="I509" s="1"/>
      <c r="K509" s="1"/>
      <c r="M509" s="1"/>
      <c r="O509" s="1"/>
      <c r="Q509" s="1"/>
      <c r="S509" s="1"/>
      <c r="U509" s="1"/>
      <c r="W509" s="1"/>
      <c r="Y509" s="1"/>
      <c r="AA509" s="1"/>
      <c r="AC509" s="1"/>
      <c r="AE509" s="1"/>
      <c r="AG509" s="1"/>
      <c r="AI509" s="1"/>
      <c r="AK509" s="1"/>
      <c r="AM509" s="1"/>
      <c r="AO509" s="1"/>
      <c r="AQ509" s="1"/>
      <c r="AS509" s="1"/>
      <c r="AU509" s="1"/>
      <c r="AW509" s="1"/>
      <c r="AY509" s="1"/>
      <c r="BA509" s="1"/>
      <c r="BC509" s="1"/>
      <c r="BE509" s="1"/>
      <c r="BG509" s="1"/>
      <c r="BI509" s="1"/>
    </row>
    <row r="510" ht="15.75" customHeight="1">
      <c r="A510" s="1"/>
      <c r="B510" s="1"/>
      <c r="C510" s="1"/>
      <c r="E510" s="1"/>
      <c r="G510" s="1"/>
      <c r="I510" s="1"/>
      <c r="K510" s="1"/>
      <c r="M510" s="1"/>
      <c r="O510" s="1"/>
      <c r="Q510" s="1"/>
      <c r="S510" s="1"/>
      <c r="U510" s="1"/>
      <c r="W510" s="1"/>
      <c r="Y510" s="1"/>
      <c r="AA510" s="1"/>
      <c r="AC510" s="1"/>
      <c r="AE510" s="1"/>
      <c r="AG510" s="1"/>
      <c r="AI510" s="1"/>
      <c r="AK510" s="1"/>
      <c r="AM510" s="1"/>
      <c r="AO510" s="1"/>
      <c r="AQ510" s="1"/>
      <c r="AS510" s="1"/>
      <c r="AU510" s="1"/>
      <c r="AW510" s="1"/>
      <c r="AY510" s="1"/>
      <c r="BA510" s="1"/>
      <c r="BC510" s="1"/>
      <c r="BE510" s="1"/>
      <c r="BG510" s="1"/>
      <c r="BI510" s="1"/>
    </row>
    <row r="511" ht="15.75" customHeight="1">
      <c r="A511" s="1"/>
      <c r="B511" s="1"/>
      <c r="C511" s="1"/>
      <c r="E511" s="1"/>
      <c r="G511" s="1"/>
      <c r="I511" s="1"/>
      <c r="K511" s="1"/>
      <c r="M511" s="1"/>
      <c r="O511" s="1"/>
      <c r="Q511" s="1"/>
      <c r="S511" s="1"/>
      <c r="U511" s="1"/>
      <c r="W511" s="1"/>
      <c r="Y511" s="1"/>
      <c r="AA511" s="1"/>
      <c r="AC511" s="1"/>
      <c r="AE511" s="1"/>
      <c r="AG511" s="1"/>
      <c r="AI511" s="1"/>
      <c r="AK511" s="1"/>
      <c r="AM511" s="1"/>
      <c r="AO511" s="1"/>
      <c r="AQ511" s="1"/>
      <c r="AS511" s="1"/>
      <c r="AU511" s="1"/>
      <c r="AW511" s="1"/>
      <c r="AY511" s="1"/>
      <c r="BA511" s="1"/>
      <c r="BC511" s="1"/>
      <c r="BE511" s="1"/>
      <c r="BG511" s="1"/>
      <c r="BI511" s="1"/>
    </row>
    <row r="512" ht="15.75" customHeight="1">
      <c r="A512" s="1"/>
      <c r="B512" s="1"/>
      <c r="C512" s="1"/>
      <c r="E512" s="1"/>
      <c r="G512" s="1"/>
      <c r="I512" s="1"/>
      <c r="K512" s="1"/>
      <c r="M512" s="1"/>
      <c r="O512" s="1"/>
      <c r="Q512" s="1"/>
      <c r="S512" s="1"/>
      <c r="U512" s="1"/>
      <c r="W512" s="1"/>
      <c r="Y512" s="1"/>
      <c r="AA512" s="1"/>
      <c r="AC512" s="1"/>
      <c r="AE512" s="1"/>
      <c r="AG512" s="1"/>
      <c r="AI512" s="1"/>
      <c r="AK512" s="1"/>
      <c r="AM512" s="1"/>
      <c r="AO512" s="1"/>
      <c r="AQ512" s="1"/>
      <c r="AS512" s="1"/>
      <c r="AU512" s="1"/>
      <c r="AW512" s="1"/>
      <c r="AY512" s="1"/>
      <c r="BA512" s="1"/>
      <c r="BC512" s="1"/>
      <c r="BE512" s="1"/>
      <c r="BG512" s="1"/>
      <c r="BI512" s="1"/>
    </row>
    <row r="513" ht="15.75" customHeight="1">
      <c r="A513" s="1"/>
      <c r="B513" s="1"/>
      <c r="C513" s="1"/>
      <c r="E513" s="1"/>
      <c r="G513" s="1"/>
      <c r="I513" s="1"/>
      <c r="K513" s="1"/>
      <c r="M513" s="1"/>
      <c r="O513" s="1"/>
      <c r="Q513" s="1"/>
      <c r="S513" s="1"/>
      <c r="U513" s="1"/>
      <c r="W513" s="1"/>
      <c r="Y513" s="1"/>
      <c r="AA513" s="1"/>
      <c r="AC513" s="1"/>
      <c r="AE513" s="1"/>
      <c r="AG513" s="1"/>
      <c r="AI513" s="1"/>
      <c r="AK513" s="1"/>
      <c r="AM513" s="1"/>
      <c r="AO513" s="1"/>
      <c r="AQ513" s="1"/>
      <c r="AS513" s="1"/>
      <c r="AU513" s="1"/>
      <c r="AW513" s="1"/>
      <c r="AY513" s="1"/>
      <c r="BA513" s="1"/>
      <c r="BC513" s="1"/>
      <c r="BE513" s="1"/>
      <c r="BG513" s="1"/>
      <c r="BI513" s="1"/>
    </row>
    <row r="514" ht="15.75" customHeight="1">
      <c r="A514" s="1"/>
      <c r="B514" s="1"/>
      <c r="C514" s="1"/>
      <c r="E514" s="1"/>
      <c r="G514" s="1"/>
      <c r="I514" s="1"/>
      <c r="K514" s="1"/>
      <c r="M514" s="1"/>
      <c r="O514" s="1"/>
      <c r="Q514" s="1"/>
      <c r="S514" s="1"/>
      <c r="U514" s="1"/>
      <c r="W514" s="1"/>
      <c r="Y514" s="1"/>
      <c r="AA514" s="1"/>
      <c r="AC514" s="1"/>
      <c r="AE514" s="1"/>
      <c r="AG514" s="1"/>
      <c r="AI514" s="1"/>
      <c r="AK514" s="1"/>
      <c r="AM514" s="1"/>
      <c r="AO514" s="1"/>
      <c r="AQ514" s="1"/>
      <c r="AS514" s="1"/>
      <c r="AU514" s="1"/>
      <c r="AW514" s="1"/>
      <c r="AY514" s="1"/>
      <c r="BA514" s="1"/>
      <c r="BC514" s="1"/>
      <c r="BE514" s="1"/>
      <c r="BG514" s="1"/>
      <c r="BI514" s="1"/>
    </row>
    <row r="515" ht="15.75" customHeight="1">
      <c r="A515" s="1"/>
      <c r="B515" s="1"/>
      <c r="C515" s="1"/>
      <c r="E515" s="1"/>
      <c r="G515" s="1"/>
      <c r="I515" s="1"/>
      <c r="K515" s="1"/>
      <c r="M515" s="1"/>
      <c r="O515" s="1"/>
      <c r="Q515" s="1"/>
      <c r="S515" s="1"/>
      <c r="U515" s="1"/>
      <c r="W515" s="1"/>
      <c r="Y515" s="1"/>
      <c r="AA515" s="1"/>
      <c r="AC515" s="1"/>
      <c r="AE515" s="1"/>
      <c r="AG515" s="1"/>
      <c r="AI515" s="1"/>
      <c r="AK515" s="1"/>
      <c r="AM515" s="1"/>
      <c r="AO515" s="1"/>
      <c r="AQ515" s="1"/>
      <c r="AS515" s="1"/>
      <c r="AU515" s="1"/>
      <c r="AW515" s="1"/>
      <c r="AY515" s="1"/>
      <c r="BA515" s="1"/>
      <c r="BC515" s="1"/>
      <c r="BE515" s="1"/>
      <c r="BG515" s="1"/>
      <c r="BI515" s="1"/>
    </row>
    <row r="516" ht="15.75" customHeight="1">
      <c r="A516" s="1"/>
      <c r="B516" s="1"/>
      <c r="C516" s="1"/>
      <c r="E516" s="1"/>
      <c r="G516" s="1"/>
      <c r="I516" s="1"/>
      <c r="K516" s="1"/>
      <c r="M516" s="1"/>
      <c r="O516" s="1"/>
      <c r="Q516" s="1"/>
      <c r="S516" s="1"/>
      <c r="U516" s="1"/>
      <c r="W516" s="1"/>
      <c r="Y516" s="1"/>
      <c r="AA516" s="1"/>
      <c r="AC516" s="1"/>
      <c r="AE516" s="1"/>
      <c r="AG516" s="1"/>
      <c r="AI516" s="1"/>
      <c r="AK516" s="1"/>
      <c r="AM516" s="1"/>
      <c r="AO516" s="1"/>
      <c r="AQ516" s="1"/>
      <c r="AS516" s="1"/>
      <c r="AU516" s="1"/>
      <c r="AW516" s="1"/>
      <c r="AY516" s="1"/>
      <c r="BA516" s="1"/>
      <c r="BC516" s="1"/>
      <c r="BE516" s="1"/>
      <c r="BG516" s="1"/>
      <c r="BI516" s="1"/>
    </row>
    <row r="517" ht="15.75" customHeight="1">
      <c r="A517" s="1"/>
      <c r="B517" s="1"/>
      <c r="C517" s="1"/>
      <c r="E517" s="1"/>
      <c r="G517" s="1"/>
      <c r="I517" s="1"/>
      <c r="K517" s="1"/>
      <c r="M517" s="1"/>
      <c r="O517" s="1"/>
      <c r="Q517" s="1"/>
      <c r="S517" s="1"/>
      <c r="U517" s="1"/>
      <c r="W517" s="1"/>
      <c r="Y517" s="1"/>
      <c r="AA517" s="1"/>
      <c r="AC517" s="1"/>
      <c r="AE517" s="1"/>
      <c r="AG517" s="1"/>
      <c r="AI517" s="1"/>
      <c r="AK517" s="1"/>
      <c r="AM517" s="1"/>
      <c r="AO517" s="1"/>
      <c r="AQ517" s="1"/>
      <c r="AS517" s="1"/>
      <c r="AU517" s="1"/>
      <c r="AW517" s="1"/>
      <c r="AY517" s="1"/>
      <c r="BA517" s="1"/>
      <c r="BC517" s="1"/>
      <c r="BE517" s="1"/>
      <c r="BG517" s="1"/>
      <c r="BI517" s="1"/>
    </row>
    <row r="518" ht="15.75" customHeight="1">
      <c r="A518" s="1"/>
      <c r="B518" s="1"/>
      <c r="C518" s="1"/>
      <c r="E518" s="1"/>
      <c r="G518" s="1"/>
      <c r="I518" s="1"/>
      <c r="K518" s="1"/>
      <c r="M518" s="1"/>
      <c r="O518" s="1"/>
      <c r="Q518" s="1"/>
      <c r="S518" s="1"/>
      <c r="U518" s="1"/>
      <c r="W518" s="1"/>
      <c r="Y518" s="1"/>
      <c r="AA518" s="1"/>
      <c r="AC518" s="1"/>
      <c r="AE518" s="1"/>
      <c r="AG518" s="1"/>
      <c r="AI518" s="1"/>
      <c r="AK518" s="1"/>
      <c r="AM518" s="1"/>
      <c r="AO518" s="1"/>
      <c r="AQ518" s="1"/>
      <c r="AS518" s="1"/>
      <c r="AU518" s="1"/>
      <c r="AW518" s="1"/>
      <c r="AY518" s="1"/>
      <c r="BA518" s="1"/>
      <c r="BC518" s="1"/>
      <c r="BE518" s="1"/>
      <c r="BG518" s="1"/>
      <c r="BI518" s="1"/>
    </row>
    <row r="519" ht="15.75" customHeight="1">
      <c r="A519" s="1"/>
      <c r="B519" s="1"/>
      <c r="C519" s="1"/>
      <c r="E519" s="1"/>
      <c r="G519" s="1"/>
      <c r="I519" s="1"/>
      <c r="K519" s="1"/>
      <c r="M519" s="1"/>
      <c r="O519" s="1"/>
      <c r="Q519" s="1"/>
      <c r="S519" s="1"/>
      <c r="U519" s="1"/>
      <c r="W519" s="1"/>
      <c r="Y519" s="1"/>
      <c r="AA519" s="1"/>
      <c r="AC519" s="1"/>
      <c r="AE519" s="1"/>
      <c r="AG519" s="1"/>
      <c r="AI519" s="1"/>
      <c r="AK519" s="1"/>
      <c r="AM519" s="1"/>
      <c r="AO519" s="1"/>
      <c r="AQ519" s="1"/>
      <c r="AS519" s="1"/>
      <c r="AU519" s="1"/>
      <c r="AW519" s="1"/>
      <c r="AY519" s="1"/>
      <c r="BA519" s="1"/>
      <c r="BC519" s="1"/>
      <c r="BE519" s="1"/>
      <c r="BG519" s="1"/>
      <c r="BI519" s="1"/>
    </row>
    <row r="520" ht="15.75" customHeight="1">
      <c r="A520" s="1"/>
      <c r="B520" s="1"/>
      <c r="C520" s="1"/>
      <c r="E520" s="1"/>
      <c r="G520" s="1"/>
      <c r="I520" s="1"/>
      <c r="K520" s="1"/>
      <c r="M520" s="1"/>
      <c r="O520" s="1"/>
      <c r="Q520" s="1"/>
      <c r="S520" s="1"/>
      <c r="U520" s="1"/>
      <c r="W520" s="1"/>
      <c r="Y520" s="1"/>
      <c r="AA520" s="1"/>
      <c r="AC520" s="1"/>
      <c r="AE520" s="1"/>
      <c r="AG520" s="1"/>
      <c r="AI520" s="1"/>
      <c r="AK520" s="1"/>
      <c r="AM520" s="1"/>
      <c r="AO520" s="1"/>
      <c r="AQ520" s="1"/>
      <c r="AS520" s="1"/>
      <c r="AU520" s="1"/>
      <c r="AW520" s="1"/>
      <c r="AY520" s="1"/>
      <c r="BA520" s="1"/>
      <c r="BC520" s="1"/>
      <c r="BE520" s="1"/>
      <c r="BG520" s="1"/>
      <c r="BI520" s="1"/>
    </row>
    <row r="521" ht="15.75" customHeight="1">
      <c r="A521" s="1"/>
      <c r="B521" s="1"/>
      <c r="C521" s="1"/>
      <c r="E521" s="1"/>
      <c r="G521" s="1"/>
      <c r="I521" s="1"/>
      <c r="K521" s="1"/>
      <c r="M521" s="1"/>
      <c r="O521" s="1"/>
      <c r="Q521" s="1"/>
      <c r="S521" s="1"/>
      <c r="U521" s="1"/>
      <c r="W521" s="1"/>
      <c r="Y521" s="1"/>
      <c r="AA521" s="1"/>
      <c r="AC521" s="1"/>
      <c r="AE521" s="1"/>
      <c r="AG521" s="1"/>
      <c r="AI521" s="1"/>
      <c r="AK521" s="1"/>
      <c r="AM521" s="1"/>
      <c r="AO521" s="1"/>
      <c r="AQ521" s="1"/>
      <c r="AS521" s="1"/>
      <c r="AU521" s="1"/>
      <c r="AW521" s="1"/>
      <c r="AY521" s="1"/>
      <c r="BA521" s="1"/>
      <c r="BC521" s="1"/>
      <c r="BE521" s="1"/>
      <c r="BG521" s="1"/>
      <c r="BI521" s="1"/>
    </row>
    <row r="522" ht="15.75" customHeight="1">
      <c r="A522" s="1"/>
      <c r="B522" s="1"/>
      <c r="C522" s="1"/>
      <c r="E522" s="1"/>
      <c r="G522" s="1"/>
      <c r="I522" s="1"/>
      <c r="K522" s="1"/>
      <c r="M522" s="1"/>
      <c r="O522" s="1"/>
      <c r="Q522" s="1"/>
      <c r="S522" s="1"/>
      <c r="U522" s="1"/>
      <c r="W522" s="1"/>
      <c r="Y522" s="1"/>
      <c r="AA522" s="1"/>
      <c r="AC522" s="1"/>
      <c r="AE522" s="1"/>
      <c r="AG522" s="1"/>
      <c r="AI522" s="1"/>
      <c r="AK522" s="1"/>
      <c r="AM522" s="1"/>
      <c r="AO522" s="1"/>
      <c r="AQ522" s="1"/>
      <c r="AS522" s="1"/>
      <c r="AU522" s="1"/>
      <c r="AW522" s="1"/>
      <c r="AY522" s="1"/>
      <c r="BA522" s="1"/>
      <c r="BC522" s="1"/>
      <c r="BE522" s="1"/>
      <c r="BG522" s="1"/>
      <c r="BI522" s="1"/>
    </row>
    <row r="523" ht="15.75" customHeight="1">
      <c r="A523" s="1"/>
      <c r="B523" s="1"/>
      <c r="C523" s="1"/>
      <c r="E523" s="1"/>
      <c r="G523" s="1"/>
      <c r="I523" s="1"/>
      <c r="K523" s="1"/>
      <c r="M523" s="1"/>
      <c r="O523" s="1"/>
      <c r="Q523" s="1"/>
      <c r="S523" s="1"/>
      <c r="U523" s="1"/>
      <c r="W523" s="1"/>
      <c r="Y523" s="1"/>
      <c r="AA523" s="1"/>
      <c r="AC523" s="1"/>
      <c r="AE523" s="1"/>
      <c r="AG523" s="1"/>
      <c r="AI523" s="1"/>
      <c r="AK523" s="1"/>
      <c r="AM523" s="1"/>
      <c r="AO523" s="1"/>
      <c r="AQ523" s="1"/>
      <c r="AS523" s="1"/>
      <c r="AU523" s="1"/>
      <c r="AW523" s="1"/>
      <c r="AY523" s="1"/>
      <c r="BA523" s="1"/>
      <c r="BC523" s="1"/>
      <c r="BE523" s="1"/>
      <c r="BG523" s="1"/>
      <c r="BI523" s="1"/>
    </row>
    <row r="524" ht="15.75" customHeight="1">
      <c r="A524" s="1"/>
      <c r="B524" s="1"/>
      <c r="C524" s="1"/>
      <c r="E524" s="1"/>
      <c r="G524" s="1"/>
      <c r="I524" s="1"/>
      <c r="K524" s="1"/>
      <c r="M524" s="1"/>
      <c r="O524" s="1"/>
      <c r="Q524" s="1"/>
      <c r="S524" s="1"/>
      <c r="U524" s="1"/>
      <c r="W524" s="1"/>
      <c r="Y524" s="1"/>
      <c r="AA524" s="1"/>
      <c r="AC524" s="1"/>
      <c r="AE524" s="1"/>
      <c r="AG524" s="1"/>
      <c r="AI524" s="1"/>
      <c r="AK524" s="1"/>
      <c r="AM524" s="1"/>
      <c r="AO524" s="1"/>
      <c r="AQ524" s="1"/>
      <c r="AS524" s="1"/>
      <c r="AU524" s="1"/>
      <c r="AW524" s="1"/>
      <c r="AY524" s="1"/>
      <c r="BA524" s="1"/>
      <c r="BC524" s="1"/>
      <c r="BE524" s="1"/>
      <c r="BG524" s="1"/>
      <c r="BI524" s="1"/>
    </row>
    <row r="525" ht="15.75" customHeight="1">
      <c r="A525" s="1"/>
      <c r="B525" s="1"/>
      <c r="C525" s="1"/>
      <c r="E525" s="1"/>
      <c r="G525" s="1"/>
      <c r="I525" s="1"/>
      <c r="K525" s="1"/>
      <c r="M525" s="1"/>
      <c r="O525" s="1"/>
      <c r="Q525" s="1"/>
      <c r="S525" s="1"/>
      <c r="U525" s="1"/>
      <c r="W525" s="1"/>
      <c r="Y525" s="1"/>
      <c r="AA525" s="1"/>
      <c r="AC525" s="1"/>
      <c r="AE525" s="1"/>
      <c r="AG525" s="1"/>
      <c r="AI525" s="1"/>
      <c r="AK525" s="1"/>
      <c r="AM525" s="1"/>
      <c r="AO525" s="1"/>
      <c r="AQ525" s="1"/>
      <c r="AS525" s="1"/>
      <c r="AU525" s="1"/>
      <c r="AW525" s="1"/>
      <c r="AY525" s="1"/>
      <c r="BA525" s="1"/>
      <c r="BC525" s="1"/>
      <c r="BE525" s="1"/>
      <c r="BG525" s="1"/>
      <c r="BI525" s="1"/>
    </row>
    <row r="526" ht="15.75" customHeight="1">
      <c r="A526" s="1"/>
      <c r="B526" s="1"/>
      <c r="C526" s="1"/>
      <c r="E526" s="1"/>
      <c r="G526" s="1"/>
      <c r="I526" s="1"/>
      <c r="K526" s="1"/>
      <c r="M526" s="1"/>
      <c r="O526" s="1"/>
      <c r="Q526" s="1"/>
      <c r="S526" s="1"/>
      <c r="U526" s="1"/>
      <c r="W526" s="1"/>
      <c r="Y526" s="1"/>
      <c r="AA526" s="1"/>
      <c r="AC526" s="1"/>
      <c r="AE526" s="1"/>
      <c r="AG526" s="1"/>
      <c r="AI526" s="1"/>
      <c r="AK526" s="1"/>
      <c r="AM526" s="1"/>
      <c r="AO526" s="1"/>
      <c r="AQ526" s="1"/>
      <c r="AS526" s="1"/>
      <c r="AU526" s="1"/>
      <c r="AW526" s="1"/>
      <c r="AY526" s="1"/>
      <c r="BA526" s="1"/>
      <c r="BC526" s="1"/>
      <c r="BE526" s="1"/>
      <c r="BG526" s="1"/>
      <c r="BI526" s="1"/>
    </row>
    <row r="527" ht="15.75" customHeight="1">
      <c r="A527" s="1"/>
      <c r="B527" s="1"/>
      <c r="C527" s="1"/>
      <c r="E527" s="1"/>
      <c r="G527" s="1"/>
      <c r="I527" s="1"/>
      <c r="K527" s="1"/>
      <c r="M527" s="1"/>
      <c r="O527" s="1"/>
      <c r="Q527" s="1"/>
      <c r="S527" s="1"/>
      <c r="U527" s="1"/>
      <c r="W527" s="1"/>
      <c r="Y527" s="1"/>
      <c r="AA527" s="1"/>
      <c r="AC527" s="1"/>
      <c r="AE527" s="1"/>
      <c r="AG527" s="1"/>
      <c r="AI527" s="1"/>
      <c r="AK527" s="1"/>
      <c r="AM527" s="1"/>
      <c r="AO527" s="1"/>
      <c r="AQ527" s="1"/>
      <c r="AS527" s="1"/>
      <c r="AU527" s="1"/>
      <c r="AW527" s="1"/>
      <c r="AY527" s="1"/>
      <c r="BA527" s="1"/>
      <c r="BC527" s="1"/>
      <c r="BE527" s="1"/>
      <c r="BG527" s="1"/>
      <c r="BI527" s="1"/>
    </row>
    <row r="528" ht="15.75" customHeight="1">
      <c r="A528" s="1"/>
      <c r="B528" s="1"/>
      <c r="C528" s="1"/>
      <c r="E528" s="1"/>
      <c r="G528" s="1"/>
      <c r="I528" s="1"/>
      <c r="K528" s="1"/>
      <c r="M528" s="1"/>
      <c r="O528" s="1"/>
      <c r="Q528" s="1"/>
      <c r="S528" s="1"/>
      <c r="U528" s="1"/>
      <c r="W528" s="1"/>
      <c r="Y528" s="1"/>
      <c r="AA528" s="1"/>
      <c r="AC528" s="1"/>
      <c r="AE528" s="1"/>
      <c r="AG528" s="1"/>
      <c r="AI528" s="1"/>
      <c r="AK528" s="1"/>
      <c r="AM528" s="1"/>
      <c r="AO528" s="1"/>
      <c r="AQ528" s="1"/>
      <c r="AS528" s="1"/>
      <c r="AU528" s="1"/>
      <c r="AW528" s="1"/>
      <c r="AY528" s="1"/>
      <c r="BA528" s="1"/>
      <c r="BC528" s="1"/>
      <c r="BE528" s="1"/>
      <c r="BG528" s="1"/>
      <c r="BI528" s="1"/>
    </row>
    <row r="529" ht="15.75" customHeight="1">
      <c r="A529" s="1"/>
      <c r="B529" s="1"/>
      <c r="C529" s="1"/>
      <c r="E529" s="1"/>
      <c r="G529" s="1"/>
      <c r="I529" s="1"/>
      <c r="K529" s="1"/>
      <c r="M529" s="1"/>
      <c r="O529" s="1"/>
      <c r="Q529" s="1"/>
      <c r="S529" s="1"/>
      <c r="U529" s="1"/>
      <c r="W529" s="1"/>
      <c r="Y529" s="1"/>
      <c r="AA529" s="1"/>
      <c r="AC529" s="1"/>
      <c r="AE529" s="1"/>
      <c r="AG529" s="1"/>
      <c r="AI529" s="1"/>
      <c r="AK529" s="1"/>
      <c r="AM529" s="1"/>
      <c r="AO529" s="1"/>
      <c r="AQ529" s="1"/>
      <c r="AS529" s="1"/>
      <c r="AU529" s="1"/>
      <c r="AW529" s="1"/>
      <c r="AY529" s="1"/>
      <c r="BA529" s="1"/>
      <c r="BC529" s="1"/>
      <c r="BE529" s="1"/>
      <c r="BG529" s="1"/>
      <c r="BI529" s="1"/>
    </row>
    <row r="530" ht="15.75" customHeight="1">
      <c r="A530" s="1"/>
      <c r="B530" s="1"/>
      <c r="C530" s="1"/>
      <c r="E530" s="1"/>
      <c r="G530" s="1"/>
      <c r="I530" s="1"/>
      <c r="K530" s="1"/>
      <c r="M530" s="1"/>
      <c r="O530" s="1"/>
      <c r="Q530" s="1"/>
      <c r="S530" s="1"/>
      <c r="U530" s="1"/>
      <c r="W530" s="1"/>
      <c r="Y530" s="1"/>
      <c r="AA530" s="1"/>
      <c r="AC530" s="1"/>
      <c r="AE530" s="1"/>
      <c r="AG530" s="1"/>
      <c r="AI530" s="1"/>
      <c r="AK530" s="1"/>
      <c r="AM530" s="1"/>
      <c r="AO530" s="1"/>
      <c r="AQ530" s="1"/>
      <c r="AS530" s="1"/>
      <c r="AU530" s="1"/>
      <c r="AW530" s="1"/>
      <c r="AY530" s="1"/>
      <c r="BA530" s="1"/>
      <c r="BC530" s="1"/>
      <c r="BE530" s="1"/>
      <c r="BG530" s="1"/>
      <c r="BI530" s="1"/>
    </row>
    <row r="531" ht="15.75" customHeight="1">
      <c r="A531" s="1"/>
      <c r="B531" s="1"/>
      <c r="C531" s="1"/>
      <c r="E531" s="1"/>
      <c r="G531" s="1"/>
      <c r="I531" s="1"/>
      <c r="K531" s="1"/>
      <c r="M531" s="1"/>
      <c r="O531" s="1"/>
      <c r="Q531" s="1"/>
      <c r="S531" s="1"/>
      <c r="U531" s="1"/>
      <c r="W531" s="1"/>
      <c r="Y531" s="1"/>
      <c r="AA531" s="1"/>
      <c r="AC531" s="1"/>
      <c r="AE531" s="1"/>
      <c r="AG531" s="1"/>
      <c r="AI531" s="1"/>
      <c r="AK531" s="1"/>
      <c r="AM531" s="1"/>
      <c r="AO531" s="1"/>
      <c r="AQ531" s="1"/>
      <c r="AS531" s="1"/>
      <c r="AU531" s="1"/>
      <c r="AW531" s="1"/>
      <c r="AY531" s="1"/>
      <c r="BA531" s="1"/>
      <c r="BC531" s="1"/>
      <c r="BE531" s="1"/>
      <c r="BG531" s="1"/>
      <c r="BI531" s="1"/>
    </row>
    <row r="532" ht="15.75" customHeight="1">
      <c r="A532" s="1"/>
      <c r="B532" s="1"/>
      <c r="C532" s="1"/>
      <c r="E532" s="1"/>
      <c r="G532" s="1"/>
      <c r="I532" s="1"/>
      <c r="K532" s="1"/>
      <c r="M532" s="1"/>
      <c r="O532" s="1"/>
      <c r="Q532" s="1"/>
      <c r="S532" s="1"/>
      <c r="U532" s="1"/>
      <c r="W532" s="1"/>
      <c r="Y532" s="1"/>
      <c r="AA532" s="1"/>
      <c r="AC532" s="1"/>
      <c r="AE532" s="1"/>
      <c r="AG532" s="1"/>
      <c r="AI532" s="1"/>
      <c r="AK532" s="1"/>
      <c r="AM532" s="1"/>
      <c r="AO532" s="1"/>
      <c r="AQ532" s="1"/>
      <c r="AS532" s="1"/>
      <c r="AU532" s="1"/>
      <c r="AW532" s="1"/>
      <c r="AY532" s="1"/>
      <c r="BA532" s="1"/>
      <c r="BC532" s="1"/>
      <c r="BE532" s="1"/>
      <c r="BG532" s="1"/>
      <c r="BI532" s="1"/>
    </row>
    <row r="533" ht="15.75" customHeight="1">
      <c r="A533" s="1"/>
      <c r="B533" s="1"/>
      <c r="C533" s="1"/>
      <c r="E533" s="1"/>
      <c r="G533" s="1"/>
      <c r="I533" s="1"/>
      <c r="K533" s="1"/>
      <c r="M533" s="1"/>
      <c r="O533" s="1"/>
      <c r="Q533" s="1"/>
      <c r="S533" s="1"/>
      <c r="U533" s="1"/>
      <c r="W533" s="1"/>
      <c r="Y533" s="1"/>
      <c r="AA533" s="1"/>
      <c r="AC533" s="1"/>
      <c r="AE533" s="1"/>
      <c r="AG533" s="1"/>
      <c r="AI533" s="1"/>
      <c r="AK533" s="1"/>
      <c r="AM533" s="1"/>
      <c r="AO533" s="1"/>
      <c r="AQ533" s="1"/>
      <c r="AS533" s="1"/>
      <c r="AU533" s="1"/>
      <c r="AW533" s="1"/>
      <c r="AY533" s="1"/>
      <c r="BA533" s="1"/>
      <c r="BC533" s="1"/>
      <c r="BE533" s="1"/>
      <c r="BG533" s="1"/>
      <c r="BI533" s="1"/>
    </row>
    <row r="534" ht="15.75" customHeight="1">
      <c r="A534" s="1"/>
      <c r="B534" s="1"/>
      <c r="C534" s="1"/>
      <c r="E534" s="1"/>
      <c r="G534" s="1"/>
      <c r="I534" s="1"/>
      <c r="K534" s="1"/>
      <c r="M534" s="1"/>
      <c r="O534" s="1"/>
      <c r="Q534" s="1"/>
      <c r="S534" s="1"/>
      <c r="U534" s="1"/>
      <c r="W534" s="1"/>
      <c r="Y534" s="1"/>
      <c r="AA534" s="1"/>
      <c r="AC534" s="1"/>
      <c r="AE534" s="1"/>
      <c r="AG534" s="1"/>
      <c r="AI534" s="1"/>
      <c r="AK534" s="1"/>
      <c r="AM534" s="1"/>
      <c r="AO534" s="1"/>
      <c r="AQ534" s="1"/>
      <c r="AS534" s="1"/>
      <c r="AU534" s="1"/>
      <c r="AW534" s="1"/>
      <c r="AY534" s="1"/>
      <c r="BA534" s="1"/>
      <c r="BC534" s="1"/>
      <c r="BE534" s="1"/>
      <c r="BG534" s="1"/>
      <c r="BI534" s="1"/>
    </row>
    <row r="535" ht="15.75" customHeight="1">
      <c r="A535" s="1"/>
      <c r="B535" s="1"/>
      <c r="C535" s="1"/>
      <c r="E535" s="1"/>
      <c r="G535" s="1"/>
      <c r="I535" s="1"/>
      <c r="K535" s="1"/>
      <c r="M535" s="1"/>
      <c r="O535" s="1"/>
      <c r="Q535" s="1"/>
      <c r="S535" s="1"/>
      <c r="U535" s="1"/>
      <c r="W535" s="1"/>
      <c r="Y535" s="1"/>
      <c r="AA535" s="1"/>
      <c r="AC535" s="1"/>
      <c r="AE535" s="1"/>
      <c r="AG535" s="1"/>
      <c r="AI535" s="1"/>
      <c r="AK535" s="1"/>
      <c r="AM535" s="1"/>
      <c r="AO535" s="1"/>
      <c r="AQ535" s="1"/>
      <c r="AS535" s="1"/>
      <c r="AU535" s="1"/>
      <c r="AW535" s="1"/>
      <c r="AY535" s="1"/>
      <c r="BA535" s="1"/>
      <c r="BC535" s="1"/>
      <c r="BE535" s="1"/>
      <c r="BG535" s="1"/>
      <c r="BI535" s="1"/>
    </row>
    <row r="536" ht="15.75" customHeight="1">
      <c r="A536" s="1"/>
      <c r="B536" s="1"/>
      <c r="C536" s="1"/>
      <c r="E536" s="1"/>
      <c r="G536" s="1"/>
      <c r="I536" s="1"/>
      <c r="K536" s="1"/>
      <c r="M536" s="1"/>
      <c r="O536" s="1"/>
      <c r="Q536" s="1"/>
      <c r="S536" s="1"/>
      <c r="U536" s="1"/>
      <c r="W536" s="1"/>
      <c r="Y536" s="1"/>
      <c r="AA536" s="1"/>
      <c r="AC536" s="1"/>
      <c r="AE536" s="1"/>
      <c r="AG536" s="1"/>
      <c r="AI536" s="1"/>
      <c r="AK536" s="1"/>
      <c r="AM536" s="1"/>
      <c r="AO536" s="1"/>
      <c r="AQ536" s="1"/>
      <c r="AS536" s="1"/>
      <c r="AU536" s="1"/>
      <c r="AW536" s="1"/>
      <c r="AY536" s="1"/>
      <c r="BA536" s="1"/>
      <c r="BC536" s="1"/>
      <c r="BE536" s="1"/>
      <c r="BG536" s="1"/>
      <c r="BI536" s="1"/>
    </row>
    <row r="537" ht="15.75" customHeight="1">
      <c r="A537" s="1"/>
      <c r="B537" s="1"/>
      <c r="C537" s="1"/>
      <c r="E537" s="1"/>
      <c r="G537" s="1"/>
      <c r="I537" s="1"/>
      <c r="K537" s="1"/>
      <c r="M537" s="1"/>
      <c r="O537" s="1"/>
      <c r="Q537" s="1"/>
      <c r="S537" s="1"/>
      <c r="U537" s="1"/>
      <c r="W537" s="1"/>
      <c r="Y537" s="1"/>
      <c r="AA537" s="1"/>
      <c r="AC537" s="1"/>
      <c r="AE537" s="1"/>
      <c r="AG537" s="1"/>
      <c r="AI537" s="1"/>
      <c r="AK537" s="1"/>
      <c r="AM537" s="1"/>
      <c r="AO537" s="1"/>
      <c r="AQ537" s="1"/>
      <c r="AS537" s="1"/>
      <c r="AU537" s="1"/>
      <c r="AW537" s="1"/>
      <c r="AY537" s="1"/>
      <c r="BA537" s="1"/>
      <c r="BC537" s="1"/>
      <c r="BE537" s="1"/>
      <c r="BG537" s="1"/>
      <c r="BI537" s="1"/>
    </row>
    <row r="538" ht="15.75" customHeight="1">
      <c r="A538" s="1"/>
      <c r="B538" s="1"/>
      <c r="C538" s="1"/>
      <c r="E538" s="1"/>
      <c r="G538" s="1"/>
      <c r="I538" s="1"/>
      <c r="K538" s="1"/>
      <c r="M538" s="1"/>
      <c r="O538" s="1"/>
      <c r="Q538" s="1"/>
      <c r="S538" s="1"/>
      <c r="U538" s="1"/>
      <c r="W538" s="1"/>
      <c r="Y538" s="1"/>
      <c r="AA538" s="1"/>
      <c r="AC538" s="1"/>
      <c r="AE538" s="1"/>
      <c r="AG538" s="1"/>
      <c r="AI538" s="1"/>
      <c r="AK538" s="1"/>
      <c r="AM538" s="1"/>
      <c r="AO538" s="1"/>
      <c r="AQ538" s="1"/>
      <c r="AS538" s="1"/>
      <c r="AU538" s="1"/>
      <c r="AW538" s="1"/>
      <c r="AY538" s="1"/>
      <c r="BA538" s="1"/>
      <c r="BC538" s="1"/>
      <c r="BE538" s="1"/>
      <c r="BG538" s="1"/>
      <c r="BI538" s="1"/>
    </row>
    <row r="539" ht="15.75" customHeight="1">
      <c r="A539" s="1"/>
      <c r="B539" s="1"/>
      <c r="C539" s="1"/>
      <c r="E539" s="1"/>
      <c r="G539" s="1"/>
      <c r="I539" s="1"/>
      <c r="K539" s="1"/>
      <c r="M539" s="1"/>
      <c r="O539" s="1"/>
      <c r="Q539" s="1"/>
      <c r="S539" s="1"/>
      <c r="U539" s="1"/>
      <c r="W539" s="1"/>
      <c r="Y539" s="1"/>
      <c r="AA539" s="1"/>
      <c r="AC539" s="1"/>
      <c r="AE539" s="1"/>
      <c r="AG539" s="1"/>
      <c r="AI539" s="1"/>
      <c r="AK539" s="1"/>
      <c r="AM539" s="1"/>
      <c r="AO539" s="1"/>
      <c r="AQ539" s="1"/>
      <c r="AS539" s="1"/>
      <c r="AU539" s="1"/>
      <c r="AW539" s="1"/>
      <c r="AY539" s="1"/>
      <c r="BA539" s="1"/>
      <c r="BC539" s="1"/>
      <c r="BE539" s="1"/>
      <c r="BG539" s="1"/>
      <c r="BI539" s="1"/>
    </row>
    <row r="540" ht="15.75" customHeight="1">
      <c r="A540" s="1"/>
      <c r="B540" s="1"/>
      <c r="C540" s="1"/>
      <c r="E540" s="1"/>
      <c r="G540" s="1"/>
      <c r="I540" s="1"/>
      <c r="K540" s="1"/>
      <c r="M540" s="1"/>
      <c r="O540" s="1"/>
      <c r="Q540" s="1"/>
      <c r="S540" s="1"/>
      <c r="U540" s="1"/>
      <c r="W540" s="1"/>
      <c r="Y540" s="1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  <c r="AW540" s="1"/>
      <c r="AY540" s="1"/>
      <c r="BA540" s="1"/>
      <c r="BC540" s="1"/>
      <c r="BE540" s="1"/>
      <c r="BG540" s="1"/>
      <c r="BI540" s="1"/>
    </row>
    <row r="541" ht="15.75" customHeight="1">
      <c r="A541" s="1"/>
      <c r="B541" s="1"/>
      <c r="C541" s="1"/>
      <c r="E541" s="1"/>
      <c r="G541" s="1"/>
      <c r="I541" s="1"/>
      <c r="K541" s="1"/>
      <c r="M541" s="1"/>
      <c r="O541" s="1"/>
      <c r="Q541" s="1"/>
      <c r="S541" s="1"/>
      <c r="U541" s="1"/>
      <c r="W541" s="1"/>
      <c r="Y541" s="1"/>
      <c r="AA541" s="1"/>
      <c r="AC541" s="1"/>
      <c r="AE541" s="1"/>
      <c r="AG541" s="1"/>
      <c r="AI541" s="1"/>
      <c r="AK541" s="1"/>
      <c r="AM541" s="1"/>
      <c r="AO541" s="1"/>
      <c r="AQ541" s="1"/>
      <c r="AS541" s="1"/>
      <c r="AU541" s="1"/>
      <c r="AW541" s="1"/>
      <c r="AY541" s="1"/>
      <c r="BA541" s="1"/>
      <c r="BC541" s="1"/>
      <c r="BE541" s="1"/>
      <c r="BG541" s="1"/>
      <c r="BI541" s="1"/>
    </row>
    <row r="542" ht="15.75" customHeight="1">
      <c r="A542" s="1"/>
      <c r="B542" s="1"/>
      <c r="C542" s="1"/>
      <c r="E542" s="1"/>
      <c r="G542" s="1"/>
      <c r="I542" s="1"/>
      <c r="K542" s="1"/>
      <c r="M542" s="1"/>
      <c r="O542" s="1"/>
      <c r="Q542" s="1"/>
      <c r="S542" s="1"/>
      <c r="U542" s="1"/>
      <c r="W542" s="1"/>
      <c r="Y542" s="1"/>
      <c r="AA542" s="1"/>
      <c r="AC542" s="1"/>
      <c r="AE542" s="1"/>
      <c r="AG542" s="1"/>
      <c r="AI542" s="1"/>
      <c r="AK542" s="1"/>
      <c r="AM542" s="1"/>
      <c r="AO542" s="1"/>
      <c r="AQ542" s="1"/>
      <c r="AS542" s="1"/>
      <c r="AU542" s="1"/>
      <c r="AW542" s="1"/>
      <c r="AY542" s="1"/>
      <c r="BA542" s="1"/>
      <c r="BC542" s="1"/>
      <c r="BE542" s="1"/>
      <c r="BG542" s="1"/>
      <c r="BI542" s="1"/>
    </row>
    <row r="543" ht="15.75" customHeight="1">
      <c r="A543" s="1"/>
      <c r="B543" s="1"/>
      <c r="C543" s="1"/>
      <c r="E543" s="1"/>
      <c r="G543" s="1"/>
      <c r="I543" s="1"/>
      <c r="K543" s="1"/>
      <c r="M543" s="1"/>
      <c r="O543" s="1"/>
      <c r="Q543" s="1"/>
      <c r="S543" s="1"/>
      <c r="U543" s="1"/>
      <c r="W543" s="1"/>
      <c r="Y543" s="1"/>
      <c r="AA543" s="1"/>
      <c r="AC543" s="1"/>
      <c r="AE543" s="1"/>
      <c r="AG543" s="1"/>
      <c r="AI543" s="1"/>
      <c r="AK543" s="1"/>
      <c r="AM543" s="1"/>
      <c r="AO543" s="1"/>
      <c r="AQ543" s="1"/>
      <c r="AS543" s="1"/>
      <c r="AU543" s="1"/>
      <c r="AW543" s="1"/>
      <c r="AY543" s="1"/>
      <c r="BA543" s="1"/>
      <c r="BC543" s="1"/>
      <c r="BE543" s="1"/>
      <c r="BG543" s="1"/>
      <c r="BI543" s="1"/>
    </row>
    <row r="544" ht="15.75" customHeight="1">
      <c r="A544" s="1"/>
      <c r="B544" s="1"/>
      <c r="C544" s="1"/>
      <c r="E544" s="1"/>
      <c r="G544" s="1"/>
      <c r="I544" s="1"/>
      <c r="K544" s="1"/>
      <c r="M544" s="1"/>
      <c r="O544" s="1"/>
      <c r="Q544" s="1"/>
      <c r="S544" s="1"/>
      <c r="U544" s="1"/>
      <c r="W544" s="1"/>
      <c r="Y544" s="1"/>
      <c r="AA544" s="1"/>
      <c r="AC544" s="1"/>
      <c r="AE544" s="1"/>
      <c r="AG544" s="1"/>
      <c r="AI544" s="1"/>
      <c r="AK544" s="1"/>
      <c r="AM544" s="1"/>
      <c r="AO544" s="1"/>
      <c r="AQ544" s="1"/>
      <c r="AS544" s="1"/>
      <c r="AU544" s="1"/>
      <c r="AW544" s="1"/>
      <c r="AY544" s="1"/>
      <c r="BA544" s="1"/>
      <c r="BC544" s="1"/>
      <c r="BE544" s="1"/>
      <c r="BG544" s="1"/>
      <c r="BI544" s="1"/>
    </row>
    <row r="545" ht="15.75" customHeight="1">
      <c r="A545" s="1"/>
      <c r="B545" s="1"/>
      <c r="C545" s="1"/>
      <c r="E545" s="1"/>
      <c r="G545" s="1"/>
      <c r="I545" s="1"/>
      <c r="K545" s="1"/>
      <c r="M545" s="1"/>
      <c r="O545" s="1"/>
      <c r="Q545" s="1"/>
      <c r="S545" s="1"/>
      <c r="U545" s="1"/>
      <c r="W545" s="1"/>
      <c r="Y545" s="1"/>
      <c r="AA545" s="1"/>
      <c r="AC545" s="1"/>
      <c r="AE545" s="1"/>
      <c r="AG545" s="1"/>
      <c r="AI545" s="1"/>
      <c r="AK545" s="1"/>
      <c r="AM545" s="1"/>
      <c r="AO545" s="1"/>
      <c r="AQ545" s="1"/>
      <c r="AS545" s="1"/>
      <c r="AU545" s="1"/>
      <c r="AW545" s="1"/>
      <c r="AY545" s="1"/>
      <c r="BA545" s="1"/>
      <c r="BC545" s="1"/>
      <c r="BE545" s="1"/>
      <c r="BG545" s="1"/>
      <c r="BI545" s="1"/>
    </row>
    <row r="546" ht="15.75" customHeight="1">
      <c r="A546" s="1"/>
      <c r="B546" s="1"/>
      <c r="C546" s="1"/>
      <c r="E546" s="1"/>
      <c r="G546" s="1"/>
      <c r="I546" s="1"/>
      <c r="K546" s="1"/>
      <c r="M546" s="1"/>
      <c r="O546" s="1"/>
      <c r="Q546" s="1"/>
      <c r="S546" s="1"/>
      <c r="U546" s="1"/>
      <c r="W546" s="1"/>
      <c r="Y546" s="1"/>
      <c r="AA546" s="1"/>
      <c r="AC546" s="1"/>
      <c r="AE546" s="1"/>
      <c r="AG546" s="1"/>
      <c r="AI546" s="1"/>
      <c r="AK546" s="1"/>
      <c r="AM546" s="1"/>
      <c r="AO546" s="1"/>
      <c r="AQ546" s="1"/>
      <c r="AS546" s="1"/>
      <c r="AU546" s="1"/>
      <c r="AW546" s="1"/>
      <c r="AY546" s="1"/>
      <c r="BA546" s="1"/>
      <c r="BC546" s="1"/>
      <c r="BE546" s="1"/>
      <c r="BG546" s="1"/>
      <c r="BI546" s="1"/>
    </row>
    <row r="547" ht="15.75" customHeight="1">
      <c r="A547" s="1"/>
      <c r="B547" s="1"/>
      <c r="C547" s="1"/>
      <c r="E547" s="1"/>
      <c r="G547" s="1"/>
      <c r="I547" s="1"/>
      <c r="K547" s="1"/>
      <c r="M547" s="1"/>
      <c r="O547" s="1"/>
      <c r="Q547" s="1"/>
      <c r="S547" s="1"/>
      <c r="U547" s="1"/>
      <c r="W547" s="1"/>
      <c r="Y547" s="1"/>
      <c r="AA547" s="1"/>
      <c r="AC547" s="1"/>
      <c r="AE547" s="1"/>
      <c r="AG547" s="1"/>
      <c r="AI547" s="1"/>
      <c r="AK547" s="1"/>
      <c r="AM547" s="1"/>
      <c r="AO547" s="1"/>
      <c r="AQ547" s="1"/>
      <c r="AS547" s="1"/>
      <c r="AU547" s="1"/>
      <c r="AW547" s="1"/>
      <c r="AY547" s="1"/>
      <c r="BA547" s="1"/>
      <c r="BC547" s="1"/>
      <c r="BE547" s="1"/>
      <c r="BG547" s="1"/>
      <c r="BI547" s="1"/>
    </row>
    <row r="548" ht="15.75" customHeight="1">
      <c r="A548" s="1"/>
      <c r="B548" s="1"/>
      <c r="C548" s="1"/>
      <c r="E548" s="1"/>
      <c r="G548" s="1"/>
      <c r="I548" s="1"/>
      <c r="K548" s="1"/>
      <c r="M548" s="1"/>
      <c r="O548" s="1"/>
      <c r="Q548" s="1"/>
      <c r="S548" s="1"/>
      <c r="U548" s="1"/>
      <c r="W548" s="1"/>
      <c r="Y548" s="1"/>
      <c r="AA548" s="1"/>
      <c r="AC548" s="1"/>
      <c r="AE548" s="1"/>
      <c r="AG548" s="1"/>
      <c r="AI548" s="1"/>
      <c r="AK548" s="1"/>
      <c r="AM548" s="1"/>
      <c r="AO548" s="1"/>
      <c r="AQ548" s="1"/>
      <c r="AS548" s="1"/>
      <c r="AU548" s="1"/>
      <c r="AW548" s="1"/>
      <c r="AY548" s="1"/>
      <c r="BA548" s="1"/>
      <c r="BC548" s="1"/>
      <c r="BE548" s="1"/>
      <c r="BG548" s="1"/>
      <c r="BI548" s="1"/>
    </row>
    <row r="549" ht="15.75" customHeight="1">
      <c r="A549" s="1"/>
      <c r="B549" s="1"/>
      <c r="C549" s="1"/>
      <c r="E549" s="1"/>
      <c r="G549" s="1"/>
      <c r="I549" s="1"/>
      <c r="K549" s="1"/>
      <c r="M549" s="1"/>
      <c r="O549" s="1"/>
      <c r="Q549" s="1"/>
      <c r="S549" s="1"/>
      <c r="U549" s="1"/>
      <c r="W549" s="1"/>
      <c r="Y549" s="1"/>
      <c r="AA549" s="1"/>
      <c r="AC549" s="1"/>
      <c r="AE549" s="1"/>
      <c r="AG549" s="1"/>
      <c r="AI549" s="1"/>
      <c r="AK549" s="1"/>
      <c r="AM549" s="1"/>
      <c r="AO549" s="1"/>
      <c r="AQ549" s="1"/>
      <c r="AS549" s="1"/>
      <c r="AU549" s="1"/>
      <c r="AW549" s="1"/>
      <c r="AY549" s="1"/>
      <c r="BA549" s="1"/>
      <c r="BC549" s="1"/>
      <c r="BE549" s="1"/>
      <c r="BG549" s="1"/>
      <c r="BI549" s="1"/>
    </row>
    <row r="550" ht="15.75" customHeight="1">
      <c r="A550" s="1"/>
      <c r="B550" s="1"/>
      <c r="C550" s="1"/>
      <c r="E550" s="1"/>
      <c r="G550" s="1"/>
      <c r="I550" s="1"/>
      <c r="K550" s="1"/>
      <c r="M550" s="1"/>
      <c r="O550" s="1"/>
      <c r="Q550" s="1"/>
      <c r="S550" s="1"/>
      <c r="U550" s="1"/>
      <c r="W550" s="1"/>
      <c r="Y550" s="1"/>
      <c r="AA550" s="1"/>
      <c r="AC550" s="1"/>
      <c r="AE550" s="1"/>
      <c r="AG550" s="1"/>
      <c r="AI550" s="1"/>
      <c r="AK550" s="1"/>
      <c r="AM550" s="1"/>
      <c r="AO550" s="1"/>
      <c r="AQ550" s="1"/>
      <c r="AS550" s="1"/>
      <c r="AU550" s="1"/>
      <c r="AW550" s="1"/>
      <c r="AY550" s="1"/>
      <c r="BA550" s="1"/>
      <c r="BC550" s="1"/>
      <c r="BE550" s="1"/>
      <c r="BG550" s="1"/>
      <c r="BI550" s="1"/>
    </row>
    <row r="551" ht="15.75" customHeight="1">
      <c r="A551" s="1"/>
      <c r="B551" s="1"/>
      <c r="C551" s="1"/>
      <c r="E551" s="1"/>
      <c r="G551" s="1"/>
      <c r="I551" s="1"/>
      <c r="K551" s="1"/>
      <c r="M551" s="1"/>
      <c r="O551" s="1"/>
      <c r="Q551" s="1"/>
      <c r="S551" s="1"/>
      <c r="U551" s="1"/>
      <c r="W551" s="1"/>
      <c r="Y551" s="1"/>
      <c r="AA551" s="1"/>
      <c r="AC551" s="1"/>
      <c r="AE551" s="1"/>
      <c r="AG551" s="1"/>
      <c r="AI551" s="1"/>
      <c r="AK551" s="1"/>
      <c r="AM551" s="1"/>
      <c r="AO551" s="1"/>
      <c r="AQ551" s="1"/>
      <c r="AS551" s="1"/>
      <c r="AU551" s="1"/>
      <c r="AW551" s="1"/>
      <c r="AY551" s="1"/>
      <c r="BA551" s="1"/>
      <c r="BC551" s="1"/>
      <c r="BE551" s="1"/>
      <c r="BG551" s="1"/>
      <c r="BI551" s="1"/>
    </row>
    <row r="552" ht="15.75" customHeight="1">
      <c r="A552" s="1"/>
      <c r="B552" s="1"/>
      <c r="C552" s="1"/>
      <c r="E552" s="1"/>
      <c r="G552" s="1"/>
      <c r="I552" s="1"/>
      <c r="K552" s="1"/>
      <c r="M552" s="1"/>
      <c r="O552" s="1"/>
      <c r="Q552" s="1"/>
      <c r="S552" s="1"/>
      <c r="U552" s="1"/>
      <c r="W552" s="1"/>
      <c r="Y552" s="1"/>
      <c r="AA552" s="1"/>
      <c r="AC552" s="1"/>
      <c r="AE552" s="1"/>
      <c r="AG552" s="1"/>
      <c r="AI552" s="1"/>
      <c r="AK552" s="1"/>
      <c r="AM552" s="1"/>
      <c r="AO552" s="1"/>
      <c r="AQ552" s="1"/>
      <c r="AS552" s="1"/>
      <c r="AU552" s="1"/>
      <c r="AW552" s="1"/>
      <c r="AY552" s="1"/>
      <c r="BA552" s="1"/>
      <c r="BC552" s="1"/>
      <c r="BE552" s="1"/>
      <c r="BG552" s="1"/>
      <c r="BI552" s="1"/>
    </row>
    <row r="553" ht="15.75" customHeight="1">
      <c r="A553" s="1"/>
      <c r="B553" s="1"/>
      <c r="C553" s="1"/>
      <c r="E553" s="1"/>
      <c r="G553" s="1"/>
      <c r="I553" s="1"/>
      <c r="K553" s="1"/>
      <c r="M553" s="1"/>
      <c r="O553" s="1"/>
      <c r="Q553" s="1"/>
      <c r="S553" s="1"/>
      <c r="U553" s="1"/>
      <c r="W553" s="1"/>
      <c r="Y553" s="1"/>
      <c r="AA553" s="1"/>
      <c r="AC553" s="1"/>
      <c r="AE553" s="1"/>
      <c r="AG553" s="1"/>
      <c r="AI553" s="1"/>
      <c r="AK553" s="1"/>
      <c r="AM553" s="1"/>
      <c r="AO553" s="1"/>
      <c r="AQ553" s="1"/>
      <c r="AS553" s="1"/>
      <c r="AU553" s="1"/>
      <c r="AW553" s="1"/>
      <c r="AY553" s="1"/>
      <c r="BA553" s="1"/>
      <c r="BC553" s="1"/>
      <c r="BE553" s="1"/>
      <c r="BG553" s="1"/>
      <c r="BI553" s="1"/>
    </row>
    <row r="554" ht="15.75" customHeight="1">
      <c r="A554" s="1"/>
      <c r="B554" s="1"/>
      <c r="C554" s="1"/>
      <c r="E554" s="1"/>
      <c r="G554" s="1"/>
      <c r="I554" s="1"/>
      <c r="K554" s="1"/>
      <c r="M554" s="1"/>
      <c r="O554" s="1"/>
      <c r="Q554" s="1"/>
      <c r="S554" s="1"/>
      <c r="U554" s="1"/>
      <c r="W554" s="1"/>
      <c r="Y554" s="1"/>
      <c r="AA554" s="1"/>
      <c r="AC554" s="1"/>
      <c r="AE554" s="1"/>
      <c r="AG554" s="1"/>
      <c r="AI554" s="1"/>
      <c r="AK554" s="1"/>
      <c r="AM554" s="1"/>
      <c r="AO554" s="1"/>
      <c r="AQ554" s="1"/>
      <c r="AS554" s="1"/>
      <c r="AU554" s="1"/>
      <c r="AW554" s="1"/>
      <c r="AY554" s="1"/>
      <c r="BA554" s="1"/>
      <c r="BC554" s="1"/>
      <c r="BE554" s="1"/>
      <c r="BG554" s="1"/>
      <c r="BI554" s="1"/>
    </row>
    <row r="555" ht="15.75" customHeight="1">
      <c r="A555" s="1"/>
      <c r="B555" s="1"/>
      <c r="C555" s="1"/>
      <c r="E555" s="1"/>
      <c r="G555" s="1"/>
      <c r="I555" s="1"/>
      <c r="K555" s="1"/>
      <c r="M555" s="1"/>
      <c r="O555" s="1"/>
      <c r="Q555" s="1"/>
      <c r="S555" s="1"/>
      <c r="U555" s="1"/>
      <c r="W555" s="1"/>
      <c r="Y555" s="1"/>
      <c r="AA555" s="1"/>
      <c r="AC555" s="1"/>
      <c r="AE555" s="1"/>
      <c r="AG555" s="1"/>
      <c r="AI555" s="1"/>
      <c r="AK555" s="1"/>
      <c r="AM555" s="1"/>
      <c r="AO555" s="1"/>
      <c r="AQ555" s="1"/>
      <c r="AS555" s="1"/>
      <c r="AU555" s="1"/>
      <c r="AW555" s="1"/>
      <c r="AY555" s="1"/>
      <c r="BA555" s="1"/>
      <c r="BC555" s="1"/>
      <c r="BE555" s="1"/>
      <c r="BG555" s="1"/>
      <c r="BI555" s="1"/>
    </row>
    <row r="556" ht="15.75" customHeight="1">
      <c r="A556" s="1"/>
      <c r="B556" s="1"/>
      <c r="C556" s="1"/>
      <c r="E556" s="1"/>
      <c r="G556" s="1"/>
      <c r="I556" s="1"/>
      <c r="K556" s="1"/>
      <c r="M556" s="1"/>
      <c r="O556" s="1"/>
      <c r="Q556" s="1"/>
      <c r="S556" s="1"/>
      <c r="U556" s="1"/>
      <c r="W556" s="1"/>
      <c r="Y556" s="1"/>
      <c r="AA556" s="1"/>
      <c r="AC556" s="1"/>
      <c r="AE556" s="1"/>
      <c r="AG556" s="1"/>
      <c r="AI556" s="1"/>
      <c r="AK556" s="1"/>
      <c r="AM556" s="1"/>
      <c r="AO556" s="1"/>
      <c r="AQ556" s="1"/>
      <c r="AS556" s="1"/>
      <c r="AU556" s="1"/>
      <c r="AW556" s="1"/>
      <c r="AY556" s="1"/>
      <c r="BA556" s="1"/>
      <c r="BC556" s="1"/>
      <c r="BE556" s="1"/>
      <c r="BG556" s="1"/>
      <c r="BI556" s="1"/>
    </row>
    <row r="557" ht="15.75" customHeight="1">
      <c r="A557" s="1"/>
      <c r="B557" s="1"/>
      <c r="C557" s="1"/>
      <c r="E557" s="1"/>
      <c r="G557" s="1"/>
      <c r="I557" s="1"/>
      <c r="K557" s="1"/>
      <c r="M557" s="1"/>
      <c r="O557" s="1"/>
      <c r="Q557" s="1"/>
      <c r="S557" s="1"/>
      <c r="U557" s="1"/>
      <c r="W557" s="1"/>
      <c r="Y557" s="1"/>
      <c r="AA557" s="1"/>
      <c r="AC557" s="1"/>
      <c r="AE557" s="1"/>
      <c r="AG557" s="1"/>
      <c r="AI557" s="1"/>
      <c r="AK557" s="1"/>
      <c r="AM557" s="1"/>
      <c r="AO557" s="1"/>
      <c r="AQ557" s="1"/>
      <c r="AS557" s="1"/>
      <c r="AU557" s="1"/>
      <c r="AW557" s="1"/>
      <c r="AY557" s="1"/>
      <c r="BA557" s="1"/>
      <c r="BC557" s="1"/>
      <c r="BE557" s="1"/>
      <c r="BG557" s="1"/>
      <c r="BI557" s="1"/>
    </row>
    <row r="558" ht="15.75" customHeight="1">
      <c r="A558" s="1"/>
      <c r="B558" s="1"/>
      <c r="C558" s="1"/>
      <c r="E558" s="1"/>
      <c r="G558" s="1"/>
      <c r="I558" s="1"/>
      <c r="K558" s="1"/>
      <c r="M558" s="1"/>
      <c r="O558" s="1"/>
      <c r="Q558" s="1"/>
      <c r="S558" s="1"/>
      <c r="U558" s="1"/>
      <c r="W558" s="1"/>
      <c r="Y558" s="1"/>
      <c r="AA558" s="1"/>
      <c r="AC558" s="1"/>
      <c r="AE558" s="1"/>
      <c r="AG558" s="1"/>
      <c r="AI558" s="1"/>
      <c r="AK558" s="1"/>
      <c r="AM558" s="1"/>
      <c r="AO558" s="1"/>
      <c r="AQ558" s="1"/>
      <c r="AS558" s="1"/>
      <c r="AU558" s="1"/>
      <c r="AW558" s="1"/>
      <c r="AY558" s="1"/>
      <c r="BA558" s="1"/>
      <c r="BC558" s="1"/>
      <c r="BE558" s="1"/>
      <c r="BG558" s="1"/>
      <c r="BI558" s="1"/>
    </row>
    <row r="559" ht="15.75" customHeight="1">
      <c r="A559" s="1"/>
      <c r="B559" s="1"/>
      <c r="C559" s="1"/>
      <c r="E559" s="1"/>
      <c r="G559" s="1"/>
      <c r="I559" s="1"/>
      <c r="K559" s="1"/>
      <c r="M559" s="1"/>
      <c r="O559" s="1"/>
      <c r="Q559" s="1"/>
      <c r="S559" s="1"/>
      <c r="U559" s="1"/>
      <c r="W559" s="1"/>
      <c r="Y559" s="1"/>
      <c r="AA559" s="1"/>
      <c r="AC559" s="1"/>
      <c r="AE559" s="1"/>
      <c r="AG559" s="1"/>
      <c r="AI559" s="1"/>
      <c r="AK559" s="1"/>
      <c r="AM559" s="1"/>
      <c r="AO559" s="1"/>
      <c r="AQ559" s="1"/>
      <c r="AS559" s="1"/>
      <c r="AU559" s="1"/>
      <c r="AW559" s="1"/>
      <c r="AY559" s="1"/>
      <c r="BA559" s="1"/>
      <c r="BC559" s="1"/>
      <c r="BE559" s="1"/>
      <c r="BG559" s="1"/>
      <c r="BI559" s="1"/>
    </row>
    <row r="560" ht="15.75" customHeight="1">
      <c r="A560" s="1"/>
      <c r="B560" s="1"/>
      <c r="C560" s="1"/>
      <c r="E560" s="1"/>
      <c r="G560" s="1"/>
      <c r="I560" s="1"/>
      <c r="K560" s="1"/>
      <c r="M560" s="1"/>
      <c r="O560" s="1"/>
      <c r="Q560" s="1"/>
      <c r="S560" s="1"/>
      <c r="U560" s="1"/>
      <c r="W560" s="1"/>
      <c r="Y560" s="1"/>
      <c r="AA560" s="1"/>
      <c r="AC560" s="1"/>
      <c r="AE560" s="1"/>
      <c r="AG560" s="1"/>
      <c r="AI560" s="1"/>
      <c r="AK560" s="1"/>
      <c r="AM560" s="1"/>
      <c r="AO560" s="1"/>
      <c r="AQ560" s="1"/>
      <c r="AS560" s="1"/>
      <c r="AU560" s="1"/>
      <c r="AW560" s="1"/>
      <c r="AY560" s="1"/>
      <c r="BA560" s="1"/>
      <c r="BC560" s="1"/>
      <c r="BE560" s="1"/>
      <c r="BG560" s="1"/>
      <c r="BI560" s="1"/>
    </row>
    <row r="561" ht="15.75" customHeight="1">
      <c r="A561" s="1"/>
      <c r="B561" s="1"/>
      <c r="C561" s="1"/>
      <c r="E561" s="1"/>
      <c r="G561" s="1"/>
      <c r="I561" s="1"/>
      <c r="K561" s="1"/>
      <c r="M561" s="1"/>
      <c r="O561" s="1"/>
      <c r="Q561" s="1"/>
      <c r="S561" s="1"/>
      <c r="U561" s="1"/>
      <c r="W561" s="1"/>
      <c r="Y561" s="1"/>
      <c r="AA561" s="1"/>
      <c r="AC561" s="1"/>
      <c r="AE561" s="1"/>
      <c r="AG561" s="1"/>
      <c r="AI561" s="1"/>
      <c r="AK561" s="1"/>
      <c r="AM561" s="1"/>
      <c r="AO561" s="1"/>
      <c r="AQ561" s="1"/>
      <c r="AS561" s="1"/>
      <c r="AU561" s="1"/>
      <c r="AW561" s="1"/>
      <c r="AY561" s="1"/>
      <c r="BA561" s="1"/>
      <c r="BC561" s="1"/>
      <c r="BE561" s="1"/>
      <c r="BG561" s="1"/>
      <c r="BI561" s="1"/>
    </row>
    <row r="562" ht="15.75" customHeight="1">
      <c r="A562" s="1"/>
      <c r="B562" s="1"/>
      <c r="C562" s="1"/>
      <c r="E562" s="1"/>
      <c r="G562" s="1"/>
      <c r="I562" s="1"/>
      <c r="K562" s="1"/>
      <c r="M562" s="1"/>
      <c r="O562" s="1"/>
      <c r="Q562" s="1"/>
      <c r="S562" s="1"/>
      <c r="U562" s="1"/>
      <c r="W562" s="1"/>
      <c r="Y562" s="1"/>
      <c r="AA562" s="1"/>
      <c r="AC562" s="1"/>
      <c r="AE562" s="1"/>
      <c r="AG562" s="1"/>
      <c r="AI562" s="1"/>
      <c r="AK562" s="1"/>
      <c r="AM562" s="1"/>
      <c r="AO562" s="1"/>
      <c r="AQ562" s="1"/>
      <c r="AS562" s="1"/>
      <c r="AU562" s="1"/>
      <c r="AW562" s="1"/>
      <c r="AY562" s="1"/>
      <c r="BA562" s="1"/>
      <c r="BC562" s="1"/>
      <c r="BE562" s="1"/>
      <c r="BG562" s="1"/>
      <c r="BI562" s="1"/>
    </row>
    <row r="563" ht="15.75" customHeight="1">
      <c r="A563" s="1"/>
      <c r="B563" s="1"/>
      <c r="C563" s="1"/>
      <c r="E563" s="1"/>
      <c r="G563" s="1"/>
      <c r="I563" s="1"/>
      <c r="K563" s="1"/>
      <c r="M563" s="1"/>
      <c r="O563" s="1"/>
      <c r="Q563" s="1"/>
      <c r="S563" s="1"/>
      <c r="U563" s="1"/>
      <c r="W563" s="1"/>
      <c r="Y563" s="1"/>
      <c r="AA563" s="1"/>
      <c r="AC563" s="1"/>
      <c r="AE563" s="1"/>
      <c r="AG563" s="1"/>
      <c r="AI563" s="1"/>
      <c r="AK563" s="1"/>
      <c r="AM563" s="1"/>
      <c r="AO563" s="1"/>
      <c r="AQ563" s="1"/>
      <c r="AS563" s="1"/>
      <c r="AU563" s="1"/>
      <c r="AW563" s="1"/>
      <c r="AY563" s="1"/>
      <c r="BA563" s="1"/>
      <c r="BC563" s="1"/>
      <c r="BE563" s="1"/>
      <c r="BG563" s="1"/>
      <c r="BI563" s="1"/>
    </row>
    <row r="564" ht="15.75" customHeight="1">
      <c r="A564" s="1"/>
      <c r="B564" s="1"/>
      <c r="C564" s="1"/>
      <c r="E564" s="1"/>
      <c r="G564" s="1"/>
      <c r="I564" s="1"/>
      <c r="K564" s="1"/>
      <c r="M564" s="1"/>
      <c r="O564" s="1"/>
      <c r="Q564" s="1"/>
      <c r="S564" s="1"/>
      <c r="U564" s="1"/>
      <c r="W564" s="1"/>
      <c r="Y564" s="1"/>
      <c r="AA564" s="1"/>
      <c r="AC564" s="1"/>
      <c r="AE564" s="1"/>
      <c r="AG564" s="1"/>
      <c r="AI564" s="1"/>
      <c r="AK564" s="1"/>
      <c r="AM564" s="1"/>
      <c r="AO564" s="1"/>
      <c r="AQ564" s="1"/>
      <c r="AS564" s="1"/>
      <c r="AU564" s="1"/>
      <c r="AW564" s="1"/>
      <c r="AY564" s="1"/>
      <c r="BA564" s="1"/>
      <c r="BC564" s="1"/>
      <c r="BE564" s="1"/>
      <c r="BG564" s="1"/>
      <c r="BI564" s="1"/>
    </row>
    <row r="565" ht="15.75" customHeight="1">
      <c r="A565" s="1"/>
      <c r="B565" s="1"/>
      <c r="C565" s="1"/>
      <c r="E565" s="1"/>
      <c r="G565" s="1"/>
      <c r="I565" s="1"/>
      <c r="K565" s="1"/>
      <c r="M565" s="1"/>
      <c r="O565" s="1"/>
      <c r="Q565" s="1"/>
      <c r="S565" s="1"/>
      <c r="U565" s="1"/>
      <c r="W565" s="1"/>
      <c r="Y565" s="1"/>
      <c r="AA565" s="1"/>
      <c r="AC565" s="1"/>
      <c r="AE565" s="1"/>
      <c r="AG565" s="1"/>
      <c r="AI565" s="1"/>
      <c r="AK565" s="1"/>
      <c r="AM565" s="1"/>
      <c r="AO565" s="1"/>
      <c r="AQ565" s="1"/>
      <c r="AS565" s="1"/>
      <c r="AU565" s="1"/>
      <c r="AW565" s="1"/>
      <c r="AY565" s="1"/>
      <c r="BA565" s="1"/>
      <c r="BC565" s="1"/>
      <c r="BE565" s="1"/>
      <c r="BG565" s="1"/>
      <c r="BI565" s="1"/>
    </row>
    <row r="566" ht="15.75" customHeight="1">
      <c r="A566" s="1"/>
      <c r="B566" s="1"/>
      <c r="C566" s="1"/>
      <c r="E566" s="1"/>
      <c r="G566" s="1"/>
      <c r="I566" s="1"/>
      <c r="K566" s="1"/>
      <c r="M566" s="1"/>
      <c r="O566" s="1"/>
      <c r="Q566" s="1"/>
      <c r="S566" s="1"/>
      <c r="U566" s="1"/>
      <c r="W566" s="1"/>
      <c r="Y566" s="1"/>
      <c r="AA566" s="1"/>
      <c r="AC566" s="1"/>
      <c r="AE566" s="1"/>
      <c r="AG566" s="1"/>
      <c r="AI566" s="1"/>
      <c r="AK566" s="1"/>
      <c r="AM566" s="1"/>
      <c r="AO566" s="1"/>
      <c r="AQ566" s="1"/>
      <c r="AS566" s="1"/>
      <c r="AU566" s="1"/>
      <c r="AW566" s="1"/>
      <c r="AY566" s="1"/>
      <c r="BA566" s="1"/>
      <c r="BC566" s="1"/>
      <c r="BE566" s="1"/>
      <c r="BG566" s="1"/>
      <c r="BI566" s="1"/>
    </row>
    <row r="567" ht="15.75" customHeight="1">
      <c r="A567" s="1"/>
      <c r="B567" s="1"/>
      <c r="C567" s="1"/>
      <c r="E567" s="1"/>
      <c r="G567" s="1"/>
      <c r="I567" s="1"/>
      <c r="K567" s="1"/>
      <c r="M567" s="1"/>
      <c r="O567" s="1"/>
      <c r="Q567" s="1"/>
      <c r="S567" s="1"/>
      <c r="U567" s="1"/>
      <c r="W567" s="1"/>
      <c r="Y567" s="1"/>
      <c r="AA567" s="1"/>
      <c r="AC567" s="1"/>
      <c r="AE567" s="1"/>
      <c r="AG567" s="1"/>
      <c r="AI567" s="1"/>
      <c r="AK567" s="1"/>
      <c r="AM567" s="1"/>
      <c r="AO567" s="1"/>
      <c r="AQ567" s="1"/>
      <c r="AS567" s="1"/>
      <c r="AU567" s="1"/>
      <c r="AW567" s="1"/>
      <c r="AY567" s="1"/>
      <c r="BA567" s="1"/>
      <c r="BC567" s="1"/>
      <c r="BE567" s="1"/>
      <c r="BG567" s="1"/>
      <c r="BI567" s="1"/>
    </row>
    <row r="568" ht="15.75" customHeight="1">
      <c r="A568" s="1"/>
      <c r="B568" s="1"/>
      <c r="C568" s="1"/>
      <c r="E568" s="1"/>
      <c r="G568" s="1"/>
      <c r="I568" s="1"/>
      <c r="K568" s="1"/>
      <c r="M568" s="1"/>
      <c r="O568" s="1"/>
      <c r="Q568" s="1"/>
      <c r="S568" s="1"/>
      <c r="U568" s="1"/>
      <c r="W568" s="1"/>
      <c r="Y568" s="1"/>
      <c r="AA568" s="1"/>
      <c r="AC568" s="1"/>
      <c r="AE568" s="1"/>
      <c r="AG568" s="1"/>
      <c r="AI568" s="1"/>
      <c r="AK568" s="1"/>
      <c r="AM568" s="1"/>
      <c r="AO568" s="1"/>
      <c r="AQ568" s="1"/>
      <c r="AS568" s="1"/>
      <c r="AU568" s="1"/>
      <c r="AW568" s="1"/>
      <c r="AY568" s="1"/>
      <c r="BA568" s="1"/>
      <c r="BC568" s="1"/>
      <c r="BE568" s="1"/>
      <c r="BG568" s="1"/>
      <c r="BI568" s="1"/>
    </row>
    <row r="569" ht="15.75" customHeight="1">
      <c r="A569" s="1"/>
      <c r="B569" s="1"/>
      <c r="C569" s="1"/>
      <c r="E569" s="1"/>
      <c r="G569" s="1"/>
      <c r="I569" s="1"/>
      <c r="K569" s="1"/>
      <c r="M569" s="1"/>
      <c r="O569" s="1"/>
      <c r="Q569" s="1"/>
      <c r="S569" s="1"/>
      <c r="U569" s="1"/>
      <c r="W569" s="1"/>
      <c r="Y569" s="1"/>
      <c r="AA569" s="1"/>
      <c r="AC569" s="1"/>
      <c r="AE569" s="1"/>
      <c r="AG569" s="1"/>
      <c r="AI569" s="1"/>
      <c r="AK569" s="1"/>
      <c r="AM569" s="1"/>
      <c r="AO569" s="1"/>
      <c r="AQ569" s="1"/>
      <c r="AS569" s="1"/>
      <c r="AU569" s="1"/>
      <c r="AW569" s="1"/>
      <c r="AY569" s="1"/>
      <c r="BA569" s="1"/>
      <c r="BC569" s="1"/>
      <c r="BE569" s="1"/>
      <c r="BG569" s="1"/>
      <c r="BI569" s="1"/>
    </row>
    <row r="570" ht="15.75" customHeight="1">
      <c r="A570" s="1"/>
      <c r="B570" s="1"/>
      <c r="C570" s="1"/>
      <c r="E570" s="1"/>
      <c r="G570" s="1"/>
      <c r="I570" s="1"/>
      <c r="K570" s="1"/>
      <c r="M570" s="1"/>
      <c r="O570" s="1"/>
      <c r="Q570" s="1"/>
      <c r="S570" s="1"/>
      <c r="U570" s="1"/>
      <c r="W570" s="1"/>
      <c r="Y570" s="1"/>
      <c r="AA570" s="1"/>
      <c r="AC570" s="1"/>
      <c r="AE570" s="1"/>
      <c r="AG570" s="1"/>
      <c r="AI570" s="1"/>
      <c r="AK570" s="1"/>
      <c r="AM570" s="1"/>
      <c r="AO570" s="1"/>
      <c r="AQ570" s="1"/>
      <c r="AS570" s="1"/>
      <c r="AU570" s="1"/>
      <c r="AW570" s="1"/>
      <c r="AY570" s="1"/>
      <c r="BA570" s="1"/>
      <c r="BC570" s="1"/>
      <c r="BE570" s="1"/>
      <c r="BG570" s="1"/>
      <c r="BI570" s="1"/>
    </row>
    <row r="571" ht="15.75" customHeight="1">
      <c r="A571" s="1"/>
      <c r="B571" s="1"/>
      <c r="C571" s="1"/>
      <c r="E571" s="1"/>
      <c r="G571" s="1"/>
      <c r="I571" s="1"/>
      <c r="K571" s="1"/>
      <c r="M571" s="1"/>
      <c r="O571" s="1"/>
      <c r="Q571" s="1"/>
      <c r="S571" s="1"/>
      <c r="U571" s="1"/>
      <c r="W571" s="1"/>
      <c r="Y571" s="1"/>
      <c r="AA571" s="1"/>
      <c r="AC571" s="1"/>
      <c r="AE571" s="1"/>
      <c r="AG571" s="1"/>
      <c r="AI571" s="1"/>
      <c r="AK571" s="1"/>
      <c r="AM571" s="1"/>
      <c r="AO571" s="1"/>
      <c r="AQ571" s="1"/>
      <c r="AS571" s="1"/>
      <c r="AU571" s="1"/>
      <c r="AW571" s="1"/>
      <c r="AY571" s="1"/>
      <c r="BA571" s="1"/>
      <c r="BC571" s="1"/>
      <c r="BE571" s="1"/>
      <c r="BG571" s="1"/>
      <c r="BI571" s="1"/>
    </row>
    <row r="572" ht="15.75" customHeight="1">
      <c r="A572" s="1"/>
      <c r="B572" s="1"/>
      <c r="C572" s="1"/>
      <c r="E572" s="1"/>
      <c r="G572" s="1"/>
      <c r="I572" s="1"/>
      <c r="K572" s="1"/>
      <c r="M572" s="1"/>
      <c r="O572" s="1"/>
      <c r="Q572" s="1"/>
      <c r="S572" s="1"/>
      <c r="U572" s="1"/>
      <c r="W572" s="1"/>
      <c r="Y572" s="1"/>
      <c r="AA572" s="1"/>
      <c r="AC572" s="1"/>
      <c r="AE572" s="1"/>
      <c r="AG572" s="1"/>
      <c r="AI572" s="1"/>
      <c r="AK572" s="1"/>
      <c r="AM572" s="1"/>
      <c r="AO572" s="1"/>
      <c r="AQ572" s="1"/>
      <c r="AS572" s="1"/>
      <c r="AU572" s="1"/>
      <c r="AW572" s="1"/>
      <c r="AY572" s="1"/>
      <c r="BA572" s="1"/>
      <c r="BC572" s="1"/>
      <c r="BE572" s="1"/>
      <c r="BG572" s="1"/>
      <c r="BI572" s="1"/>
    </row>
    <row r="573" ht="15.75" customHeight="1">
      <c r="A573" s="1"/>
      <c r="B573" s="1"/>
      <c r="C573" s="1"/>
      <c r="E573" s="1"/>
      <c r="G573" s="1"/>
      <c r="I573" s="1"/>
      <c r="K573" s="1"/>
      <c r="M573" s="1"/>
      <c r="O573" s="1"/>
      <c r="Q573" s="1"/>
      <c r="S573" s="1"/>
      <c r="U573" s="1"/>
      <c r="W573" s="1"/>
      <c r="Y573" s="1"/>
      <c r="AA573" s="1"/>
      <c r="AC573" s="1"/>
      <c r="AE573" s="1"/>
      <c r="AG573" s="1"/>
      <c r="AI573" s="1"/>
      <c r="AK573" s="1"/>
      <c r="AM573" s="1"/>
      <c r="AO573" s="1"/>
      <c r="AQ573" s="1"/>
      <c r="AS573" s="1"/>
      <c r="AU573" s="1"/>
      <c r="AW573" s="1"/>
      <c r="AY573" s="1"/>
      <c r="BA573" s="1"/>
      <c r="BC573" s="1"/>
      <c r="BE573" s="1"/>
      <c r="BG573" s="1"/>
      <c r="BI573" s="1"/>
    </row>
    <row r="574" ht="15.75" customHeight="1">
      <c r="A574" s="1"/>
      <c r="B574" s="1"/>
      <c r="C574" s="1"/>
      <c r="E574" s="1"/>
      <c r="G574" s="1"/>
      <c r="I574" s="1"/>
      <c r="K574" s="1"/>
      <c r="M574" s="1"/>
      <c r="O574" s="1"/>
      <c r="Q574" s="1"/>
      <c r="S574" s="1"/>
      <c r="U574" s="1"/>
      <c r="W574" s="1"/>
      <c r="Y574" s="1"/>
      <c r="AA574" s="1"/>
      <c r="AC574" s="1"/>
      <c r="AE574" s="1"/>
      <c r="AG574" s="1"/>
      <c r="AI574" s="1"/>
      <c r="AK574" s="1"/>
      <c r="AM574" s="1"/>
      <c r="AO574" s="1"/>
      <c r="AQ574" s="1"/>
      <c r="AS574" s="1"/>
      <c r="AU574" s="1"/>
      <c r="AW574" s="1"/>
      <c r="AY574" s="1"/>
      <c r="BA574" s="1"/>
      <c r="BC574" s="1"/>
      <c r="BE574" s="1"/>
      <c r="BG574" s="1"/>
      <c r="BI574" s="1"/>
    </row>
    <row r="575" ht="15.75" customHeight="1">
      <c r="A575" s="1"/>
      <c r="B575" s="1"/>
      <c r="C575" s="1"/>
      <c r="E575" s="1"/>
      <c r="G575" s="1"/>
      <c r="I575" s="1"/>
      <c r="K575" s="1"/>
      <c r="M575" s="1"/>
      <c r="O575" s="1"/>
      <c r="Q575" s="1"/>
      <c r="S575" s="1"/>
      <c r="U575" s="1"/>
      <c r="W575" s="1"/>
      <c r="Y575" s="1"/>
      <c r="AA575" s="1"/>
      <c r="AC575" s="1"/>
      <c r="AE575" s="1"/>
      <c r="AG575" s="1"/>
      <c r="AI575" s="1"/>
      <c r="AK575" s="1"/>
      <c r="AM575" s="1"/>
      <c r="AO575" s="1"/>
      <c r="AQ575" s="1"/>
      <c r="AS575" s="1"/>
      <c r="AU575" s="1"/>
      <c r="AW575" s="1"/>
      <c r="AY575" s="1"/>
      <c r="BA575" s="1"/>
      <c r="BC575" s="1"/>
      <c r="BE575" s="1"/>
      <c r="BG575" s="1"/>
      <c r="BI575" s="1"/>
    </row>
    <row r="576" ht="15.75" customHeight="1">
      <c r="A576" s="1"/>
      <c r="B576" s="1"/>
      <c r="C576" s="1"/>
      <c r="E576" s="1"/>
      <c r="G576" s="1"/>
      <c r="I576" s="1"/>
      <c r="K576" s="1"/>
      <c r="M576" s="1"/>
      <c r="O576" s="1"/>
      <c r="Q576" s="1"/>
      <c r="S576" s="1"/>
      <c r="U576" s="1"/>
      <c r="W576" s="1"/>
      <c r="Y576" s="1"/>
      <c r="AA576" s="1"/>
      <c r="AC576" s="1"/>
      <c r="AE576" s="1"/>
      <c r="AG576" s="1"/>
      <c r="AI576" s="1"/>
      <c r="AK576" s="1"/>
      <c r="AM576" s="1"/>
      <c r="AO576" s="1"/>
      <c r="AQ576" s="1"/>
      <c r="AS576" s="1"/>
      <c r="AU576" s="1"/>
      <c r="AW576" s="1"/>
      <c r="AY576" s="1"/>
      <c r="BA576" s="1"/>
      <c r="BC576" s="1"/>
      <c r="BE576" s="1"/>
      <c r="BG576" s="1"/>
      <c r="BI576" s="1"/>
    </row>
    <row r="577" ht="15.75" customHeight="1">
      <c r="A577" s="1"/>
      <c r="B577" s="1"/>
      <c r="C577" s="1"/>
      <c r="E577" s="1"/>
      <c r="G577" s="1"/>
      <c r="I577" s="1"/>
      <c r="K577" s="1"/>
      <c r="M577" s="1"/>
      <c r="O577" s="1"/>
      <c r="Q577" s="1"/>
      <c r="S577" s="1"/>
      <c r="U577" s="1"/>
      <c r="W577" s="1"/>
      <c r="Y577" s="1"/>
      <c r="AA577" s="1"/>
      <c r="AC577" s="1"/>
      <c r="AE577" s="1"/>
      <c r="AG577" s="1"/>
      <c r="AI577" s="1"/>
      <c r="AK577" s="1"/>
      <c r="AM577" s="1"/>
      <c r="AO577" s="1"/>
      <c r="AQ577" s="1"/>
      <c r="AS577" s="1"/>
      <c r="AU577" s="1"/>
      <c r="AW577" s="1"/>
      <c r="AY577" s="1"/>
      <c r="BA577" s="1"/>
      <c r="BC577" s="1"/>
      <c r="BE577" s="1"/>
      <c r="BG577" s="1"/>
      <c r="BI577" s="1"/>
    </row>
    <row r="578" ht="15.75" customHeight="1">
      <c r="A578" s="1"/>
      <c r="B578" s="1"/>
      <c r="C578" s="1"/>
      <c r="E578" s="1"/>
      <c r="G578" s="1"/>
      <c r="I578" s="1"/>
      <c r="K578" s="1"/>
      <c r="M578" s="1"/>
      <c r="O578" s="1"/>
      <c r="Q578" s="1"/>
      <c r="S578" s="1"/>
      <c r="U578" s="1"/>
      <c r="W578" s="1"/>
      <c r="Y578" s="1"/>
      <c r="AA578" s="1"/>
      <c r="AC578" s="1"/>
      <c r="AE578" s="1"/>
      <c r="AG578" s="1"/>
      <c r="AI578" s="1"/>
      <c r="AK578" s="1"/>
      <c r="AM578" s="1"/>
      <c r="AO578" s="1"/>
      <c r="AQ578" s="1"/>
      <c r="AS578" s="1"/>
      <c r="AU578" s="1"/>
      <c r="AW578" s="1"/>
      <c r="AY578" s="1"/>
      <c r="BA578" s="1"/>
      <c r="BC578" s="1"/>
      <c r="BE578" s="1"/>
      <c r="BG578" s="1"/>
      <c r="BI578" s="1"/>
    </row>
    <row r="579" ht="15.75" customHeight="1">
      <c r="A579" s="1"/>
      <c r="B579" s="1"/>
      <c r="C579" s="1"/>
      <c r="E579" s="1"/>
      <c r="G579" s="1"/>
      <c r="I579" s="1"/>
      <c r="K579" s="1"/>
      <c r="M579" s="1"/>
      <c r="O579" s="1"/>
      <c r="Q579" s="1"/>
      <c r="S579" s="1"/>
      <c r="U579" s="1"/>
      <c r="W579" s="1"/>
      <c r="Y579" s="1"/>
      <c r="AA579" s="1"/>
      <c r="AC579" s="1"/>
      <c r="AE579" s="1"/>
      <c r="AG579" s="1"/>
      <c r="AI579" s="1"/>
      <c r="AK579" s="1"/>
      <c r="AM579" s="1"/>
      <c r="AO579" s="1"/>
      <c r="AQ579" s="1"/>
      <c r="AS579" s="1"/>
      <c r="AU579" s="1"/>
      <c r="AW579" s="1"/>
      <c r="AY579" s="1"/>
      <c r="BA579" s="1"/>
      <c r="BC579" s="1"/>
      <c r="BE579" s="1"/>
      <c r="BG579" s="1"/>
      <c r="BI579" s="1"/>
    </row>
    <row r="580" ht="15.75" customHeight="1">
      <c r="A580" s="1"/>
      <c r="B580" s="1"/>
      <c r="C580" s="1"/>
      <c r="E580" s="1"/>
      <c r="G580" s="1"/>
      <c r="I580" s="1"/>
      <c r="K580" s="1"/>
      <c r="M580" s="1"/>
      <c r="O580" s="1"/>
      <c r="Q580" s="1"/>
      <c r="S580" s="1"/>
      <c r="U580" s="1"/>
      <c r="W580" s="1"/>
      <c r="Y580" s="1"/>
      <c r="AA580" s="1"/>
      <c r="AC580" s="1"/>
      <c r="AE580" s="1"/>
      <c r="AG580" s="1"/>
      <c r="AI580" s="1"/>
      <c r="AK580" s="1"/>
      <c r="AM580" s="1"/>
      <c r="AO580" s="1"/>
      <c r="AQ580" s="1"/>
      <c r="AS580" s="1"/>
      <c r="AU580" s="1"/>
      <c r="AW580" s="1"/>
      <c r="AY580" s="1"/>
      <c r="BA580" s="1"/>
      <c r="BC580" s="1"/>
      <c r="BE580" s="1"/>
      <c r="BG580" s="1"/>
      <c r="BI580" s="1"/>
    </row>
    <row r="581" ht="15.75" customHeight="1">
      <c r="A581" s="1"/>
      <c r="B581" s="1"/>
      <c r="C581" s="1"/>
      <c r="E581" s="1"/>
      <c r="G581" s="1"/>
      <c r="I581" s="1"/>
      <c r="K581" s="1"/>
      <c r="M581" s="1"/>
      <c r="O581" s="1"/>
      <c r="Q581" s="1"/>
      <c r="S581" s="1"/>
      <c r="U581" s="1"/>
      <c r="W581" s="1"/>
      <c r="Y581" s="1"/>
      <c r="AA581" s="1"/>
      <c r="AC581" s="1"/>
      <c r="AE581" s="1"/>
      <c r="AG581" s="1"/>
      <c r="AI581" s="1"/>
      <c r="AK581" s="1"/>
      <c r="AM581" s="1"/>
      <c r="AO581" s="1"/>
      <c r="AQ581" s="1"/>
      <c r="AS581" s="1"/>
      <c r="AU581" s="1"/>
      <c r="AW581" s="1"/>
      <c r="AY581" s="1"/>
      <c r="BA581" s="1"/>
      <c r="BC581" s="1"/>
      <c r="BE581" s="1"/>
      <c r="BG581" s="1"/>
      <c r="BI581" s="1"/>
    </row>
    <row r="582" ht="15.75" customHeight="1">
      <c r="A582" s="1"/>
      <c r="B582" s="1"/>
      <c r="C582" s="1"/>
      <c r="E582" s="1"/>
      <c r="G582" s="1"/>
      <c r="I582" s="1"/>
      <c r="K582" s="1"/>
      <c r="M582" s="1"/>
      <c r="O582" s="1"/>
      <c r="Q582" s="1"/>
      <c r="S582" s="1"/>
      <c r="U582" s="1"/>
      <c r="W582" s="1"/>
      <c r="Y582" s="1"/>
      <c r="AA582" s="1"/>
      <c r="AC582" s="1"/>
      <c r="AE582" s="1"/>
      <c r="AG582" s="1"/>
      <c r="AI582" s="1"/>
      <c r="AK582" s="1"/>
      <c r="AM582" s="1"/>
      <c r="AO582" s="1"/>
      <c r="AQ582" s="1"/>
      <c r="AS582" s="1"/>
      <c r="AU582" s="1"/>
      <c r="AW582" s="1"/>
      <c r="AY582" s="1"/>
      <c r="BA582" s="1"/>
      <c r="BC582" s="1"/>
      <c r="BE582" s="1"/>
      <c r="BG582" s="1"/>
      <c r="BI582" s="1"/>
    </row>
    <row r="583" ht="15.75" customHeight="1">
      <c r="A583" s="1"/>
      <c r="B583" s="1"/>
      <c r="C583" s="1"/>
      <c r="E583" s="1"/>
      <c r="G583" s="1"/>
      <c r="I583" s="1"/>
      <c r="K583" s="1"/>
      <c r="M583" s="1"/>
      <c r="O583" s="1"/>
      <c r="Q583" s="1"/>
      <c r="S583" s="1"/>
      <c r="U583" s="1"/>
      <c r="W583" s="1"/>
      <c r="Y583" s="1"/>
      <c r="AA583" s="1"/>
      <c r="AC583" s="1"/>
      <c r="AE583" s="1"/>
      <c r="AG583" s="1"/>
      <c r="AI583" s="1"/>
      <c r="AK583" s="1"/>
      <c r="AM583" s="1"/>
      <c r="AO583" s="1"/>
      <c r="AQ583" s="1"/>
      <c r="AS583" s="1"/>
      <c r="AU583" s="1"/>
      <c r="AW583" s="1"/>
      <c r="AY583" s="1"/>
      <c r="BA583" s="1"/>
      <c r="BC583" s="1"/>
      <c r="BE583" s="1"/>
      <c r="BG583" s="1"/>
      <c r="BI583" s="1"/>
    </row>
    <row r="584" ht="15.75" customHeight="1">
      <c r="A584" s="1"/>
      <c r="B584" s="1"/>
      <c r="C584" s="1"/>
      <c r="E584" s="1"/>
      <c r="G584" s="1"/>
      <c r="I584" s="1"/>
      <c r="K584" s="1"/>
      <c r="M584" s="1"/>
      <c r="O584" s="1"/>
      <c r="Q584" s="1"/>
      <c r="S584" s="1"/>
      <c r="U584" s="1"/>
      <c r="W584" s="1"/>
      <c r="Y584" s="1"/>
      <c r="AA584" s="1"/>
      <c r="AC584" s="1"/>
      <c r="AE584" s="1"/>
      <c r="AG584" s="1"/>
      <c r="AI584" s="1"/>
      <c r="AK584" s="1"/>
      <c r="AM584" s="1"/>
      <c r="AO584" s="1"/>
      <c r="AQ584" s="1"/>
      <c r="AS584" s="1"/>
      <c r="AU584" s="1"/>
      <c r="AW584" s="1"/>
      <c r="AY584" s="1"/>
      <c r="BA584" s="1"/>
      <c r="BC584" s="1"/>
      <c r="BE584" s="1"/>
      <c r="BG584" s="1"/>
      <c r="BI584" s="1"/>
    </row>
    <row r="585" ht="15.75" customHeight="1">
      <c r="A585" s="1"/>
      <c r="B585" s="1"/>
      <c r="C585" s="1"/>
      <c r="E585" s="1"/>
      <c r="G585" s="1"/>
      <c r="I585" s="1"/>
      <c r="K585" s="1"/>
      <c r="M585" s="1"/>
      <c r="O585" s="1"/>
      <c r="Q585" s="1"/>
      <c r="S585" s="1"/>
      <c r="U585" s="1"/>
      <c r="W585" s="1"/>
      <c r="Y585" s="1"/>
      <c r="AA585" s="1"/>
      <c r="AC585" s="1"/>
      <c r="AE585" s="1"/>
      <c r="AG585" s="1"/>
      <c r="AI585" s="1"/>
      <c r="AK585" s="1"/>
      <c r="AM585" s="1"/>
      <c r="AO585" s="1"/>
      <c r="AQ585" s="1"/>
      <c r="AS585" s="1"/>
      <c r="AU585" s="1"/>
      <c r="AW585" s="1"/>
      <c r="AY585" s="1"/>
      <c r="BA585" s="1"/>
      <c r="BC585" s="1"/>
      <c r="BE585" s="1"/>
      <c r="BG585" s="1"/>
      <c r="BI585" s="1"/>
    </row>
    <row r="586" ht="15.75" customHeight="1">
      <c r="A586" s="1"/>
      <c r="B586" s="1"/>
      <c r="C586" s="1"/>
      <c r="E586" s="1"/>
      <c r="G586" s="1"/>
      <c r="I586" s="1"/>
      <c r="K586" s="1"/>
      <c r="M586" s="1"/>
      <c r="O586" s="1"/>
      <c r="Q586" s="1"/>
      <c r="S586" s="1"/>
      <c r="U586" s="1"/>
      <c r="W586" s="1"/>
      <c r="Y586" s="1"/>
      <c r="AA586" s="1"/>
      <c r="AC586" s="1"/>
      <c r="AE586" s="1"/>
      <c r="AG586" s="1"/>
      <c r="AI586" s="1"/>
      <c r="AK586" s="1"/>
      <c r="AM586" s="1"/>
      <c r="AO586" s="1"/>
      <c r="AQ586" s="1"/>
      <c r="AS586" s="1"/>
      <c r="AU586" s="1"/>
      <c r="AW586" s="1"/>
      <c r="AY586" s="1"/>
      <c r="BA586" s="1"/>
      <c r="BC586" s="1"/>
      <c r="BE586" s="1"/>
      <c r="BG586" s="1"/>
      <c r="BI586" s="1"/>
    </row>
    <row r="587" ht="15.75" customHeight="1">
      <c r="A587" s="1"/>
      <c r="B587" s="1"/>
      <c r="C587" s="1"/>
      <c r="E587" s="1"/>
      <c r="G587" s="1"/>
      <c r="I587" s="1"/>
      <c r="K587" s="1"/>
      <c r="M587" s="1"/>
      <c r="O587" s="1"/>
      <c r="Q587" s="1"/>
      <c r="S587" s="1"/>
      <c r="U587" s="1"/>
      <c r="W587" s="1"/>
      <c r="Y587" s="1"/>
      <c r="AA587" s="1"/>
      <c r="AC587" s="1"/>
      <c r="AE587" s="1"/>
      <c r="AG587" s="1"/>
      <c r="AI587" s="1"/>
      <c r="AK587" s="1"/>
      <c r="AM587" s="1"/>
      <c r="AO587" s="1"/>
      <c r="AQ587" s="1"/>
      <c r="AS587" s="1"/>
      <c r="AU587" s="1"/>
      <c r="AW587" s="1"/>
      <c r="AY587" s="1"/>
      <c r="BA587" s="1"/>
      <c r="BC587" s="1"/>
      <c r="BE587" s="1"/>
      <c r="BG587" s="1"/>
      <c r="BI587" s="1"/>
    </row>
    <row r="588" ht="15.75" customHeight="1">
      <c r="A588" s="1"/>
      <c r="B588" s="1"/>
      <c r="C588" s="1"/>
      <c r="E588" s="1"/>
      <c r="G588" s="1"/>
      <c r="I588" s="1"/>
      <c r="K588" s="1"/>
      <c r="M588" s="1"/>
      <c r="O588" s="1"/>
      <c r="Q588" s="1"/>
      <c r="S588" s="1"/>
      <c r="U588" s="1"/>
      <c r="W588" s="1"/>
      <c r="Y588" s="1"/>
      <c r="AA588" s="1"/>
      <c r="AC588" s="1"/>
      <c r="AE588" s="1"/>
      <c r="AG588" s="1"/>
      <c r="AI588" s="1"/>
      <c r="AK588" s="1"/>
      <c r="AM588" s="1"/>
      <c r="AO588" s="1"/>
      <c r="AQ588" s="1"/>
      <c r="AS588" s="1"/>
      <c r="AU588" s="1"/>
      <c r="AW588" s="1"/>
      <c r="AY588" s="1"/>
      <c r="BA588" s="1"/>
      <c r="BC588" s="1"/>
      <c r="BE588" s="1"/>
      <c r="BG588" s="1"/>
      <c r="BI588" s="1"/>
    </row>
    <row r="589" ht="15.75" customHeight="1">
      <c r="A589" s="1"/>
      <c r="B589" s="1"/>
      <c r="C589" s="1"/>
      <c r="E589" s="1"/>
      <c r="G589" s="1"/>
      <c r="I589" s="1"/>
      <c r="K589" s="1"/>
      <c r="M589" s="1"/>
      <c r="O589" s="1"/>
      <c r="Q589" s="1"/>
      <c r="S589" s="1"/>
      <c r="U589" s="1"/>
      <c r="W589" s="1"/>
      <c r="Y589" s="1"/>
      <c r="AA589" s="1"/>
      <c r="AC589" s="1"/>
      <c r="AE589" s="1"/>
      <c r="AG589" s="1"/>
      <c r="AI589" s="1"/>
      <c r="AK589" s="1"/>
      <c r="AM589" s="1"/>
      <c r="AO589" s="1"/>
      <c r="AQ589" s="1"/>
      <c r="AS589" s="1"/>
      <c r="AU589" s="1"/>
      <c r="AW589" s="1"/>
      <c r="AY589" s="1"/>
      <c r="BA589" s="1"/>
      <c r="BC589" s="1"/>
      <c r="BE589" s="1"/>
      <c r="BG589" s="1"/>
      <c r="BI589" s="1"/>
    </row>
    <row r="590" ht="15.75" customHeight="1">
      <c r="A590" s="1"/>
      <c r="B590" s="1"/>
      <c r="C590" s="1"/>
      <c r="E590" s="1"/>
      <c r="G590" s="1"/>
      <c r="I590" s="1"/>
      <c r="K590" s="1"/>
      <c r="M590" s="1"/>
      <c r="O590" s="1"/>
      <c r="Q590" s="1"/>
      <c r="S590" s="1"/>
      <c r="U590" s="1"/>
      <c r="W590" s="1"/>
      <c r="Y590" s="1"/>
      <c r="AA590" s="1"/>
      <c r="AC590" s="1"/>
      <c r="AE590" s="1"/>
      <c r="AG590" s="1"/>
      <c r="AI590" s="1"/>
      <c r="AK590" s="1"/>
      <c r="AM590" s="1"/>
      <c r="AO590" s="1"/>
      <c r="AQ590" s="1"/>
      <c r="AS590" s="1"/>
      <c r="AU590" s="1"/>
      <c r="AW590" s="1"/>
      <c r="AY590" s="1"/>
      <c r="BA590" s="1"/>
      <c r="BC590" s="1"/>
      <c r="BE590" s="1"/>
      <c r="BG590" s="1"/>
      <c r="BI590" s="1"/>
    </row>
    <row r="591" ht="15.75" customHeight="1">
      <c r="A591" s="1"/>
      <c r="B591" s="1"/>
      <c r="C591" s="1"/>
      <c r="E591" s="1"/>
      <c r="G591" s="1"/>
      <c r="I591" s="1"/>
      <c r="K591" s="1"/>
      <c r="M591" s="1"/>
      <c r="O591" s="1"/>
      <c r="Q591" s="1"/>
      <c r="S591" s="1"/>
      <c r="U591" s="1"/>
      <c r="W591" s="1"/>
      <c r="Y591" s="1"/>
      <c r="AA591" s="1"/>
      <c r="AC591" s="1"/>
      <c r="AE591" s="1"/>
      <c r="AG591" s="1"/>
      <c r="AI591" s="1"/>
      <c r="AK591" s="1"/>
      <c r="AM591" s="1"/>
      <c r="AO591" s="1"/>
      <c r="AQ591" s="1"/>
      <c r="AS591" s="1"/>
      <c r="AU591" s="1"/>
      <c r="AW591" s="1"/>
      <c r="AY591" s="1"/>
      <c r="BA591" s="1"/>
      <c r="BC591" s="1"/>
      <c r="BE591" s="1"/>
      <c r="BG591" s="1"/>
      <c r="BI591" s="1"/>
    </row>
    <row r="592" ht="15.75" customHeight="1">
      <c r="A592" s="1"/>
      <c r="B592" s="1"/>
      <c r="C592" s="1"/>
      <c r="E592" s="1"/>
      <c r="G592" s="1"/>
      <c r="I592" s="1"/>
      <c r="K592" s="1"/>
      <c r="M592" s="1"/>
      <c r="O592" s="1"/>
      <c r="Q592" s="1"/>
      <c r="S592" s="1"/>
      <c r="U592" s="1"/>
      <c r="W592" s="1"/>
      <c r="Y592" s="1"/>
      <c r="AA592" s="1"/>
      <c r="AC592" s="1"/>
      <c r="AE592" s="1"/>
      <c r="AG592" s="1"/>
      <c r="AI592" s="1"/>
      <c r="AK592" s="1"/>
      <c r="AM592" s="1"/>
      <c r="AO592" s="1"/>
      <c r="AQ592" s="1"/>
      <c r="AS592" s="1"/>
      <c r="AU592" s="1"/>
      <c r="AW592" s="1"/>
      <c r="AY592" s="1"/>
      <c r="BA592" s="1"/>
      <c r="BC592" s="1"/>
      <c r="BE592" s="1"/>
      <c r="BG592" s="1"/>
      <c r="BI592" s="1"/>
    </row>
    <row r="593" ht="15.75" customHeight="1">
      <c r="A593" s="1"/>
      <c r="B593" s="1"/>
      <c r="C593" s="1"/>
      <c r="E593" s="1"/>
      <c r="G593" s="1"/>
      <c r="I593" s="1"/>
      <c r="K593" s="1"/>
      <c r="M593" s="1"/>
      <c r="O593" s="1"/>
      <c r="Q593" s="1"/>
      <c r="S593" s="1"/>
      <c r="U593" s="1"/>
      <c r="W593" s="1"/>
      <c r="Y593" s="1"/>
      <c r="AA593" s="1"/>
      <c r="AC593" s="1"/>
      <c r="AE593" s="1"/>
      <c r="AG593" s="1"/>
      <c r="AI593" s="1"/>
      <c r="AK593" s="1"/>
      <c r="AM593" s="1"/>
      <c r="AO593" s="1"/>
      <c r="AQ593" s="1"/>
      <c r="AS593" s="1"/>
      <c r="AU593" s="1"/>
      <c r="AW593" s="1"/>
      <c r="AY593" s="1"/>
      <c r="BA593" s="1"/>
      <c r="BC593" s="1"/>
      <c r="BE593" s="1"/>
      <c r="BG593" s="1"/>
      <c r="BI593" s="1"/>
    </row>
    <row r="594" ht="15.75" customHeight="1">
      <c r="A594" s="1"/>
      <c r="B594" s="1"/>
      <c r="C594" s="1"/>
      <c r="E594" s="1"/>
      <c r="G594" s="1"/>
      <c r="I594" s="1"/>
      <c r="K594" s="1"/>
      <c r="M594" s="1"/>
      <c r="O594" s="1"/>
      <c r="Q594" s="1"/>
      <c r="S594" s="1"/>
      <c r="U594" s="1"/>
      <c r="W594" s="1"/>
      <c r="Y594" s="1"/>
      <c r="AA594" s="1"/>
      <c r="AC594" s="1"/>
      <c r="AE594" s="1"/>
      <c r="AG594" s="1"/>
      <c r="AI594" s="1"/>
      <c r="AK594" s="1"/>
      <c r="AM594" s="1"/>
      <c r="AO594" s="1"/>
      <c r="AQ594" s="1"/>
      <c r="AS594" s="1"/>
      <c r="AU594" s="1"/>
      <c r="AW594" s="1"/>
      <c r="AY594" s="1"/>
      <c r="BA594" s="1"/>
      <c r="BC594" s="1"/>
      <c r="BE594" s="1"/>
      <c r="BG594" s="1"/>
      <c r="BI594" s="1"/>
    </row>
    <row r="595" ht="15.75" customHeight="1">
      <c r="A595" s="1"/>
      <c r="B595" s="1"/>
      <c r="C595" s="1"/>
      <c r="E595" s="1"/>
      <c r="G595" s="1"/>
      <c r="I595" s="1"/>
      <c r="K595" s="1"/>
      <c r="M595" s="1"/>
      <c r="O595" s="1"/>
      <c r="Q595" s="1"/>
      <c r="S595" s="1"/>
      <c r="U595" s="1"/>
      <c r="W595" s="1"/>
      <c r="Y595" s="1"/>
      <c r="AA595" s="1"/>
      <c r="AC595" s="1"/>
      <c r="AE595" s="1"/>
      <c r="AG595" s="1"/>
      <c r="AI595" s="1"/>
      <c r="AK595" s="1"/>
      <c r="AM595" s="1"/>
      <c r="AO595" s="1"/>
      <c r="AQ595" s="1"/>
      <c r="AS595" s="1"/>
      <c r="AU595" s="1"/>
      <c r="AW595" s="1"/>
      <c r="AY595" s="1"/>
      <c r="BA595" s="1"/>
      <c r="BC595" s="1"/>
      <c r="BE595" s="1"/>
      <c r="BG595" s="1"/>
      <c r="BI595" s="1"/>
    </row>
    <row r="596" ht="15.75" customHeight="1">
      <c r="A596" s="1"/>
      <c r="B596" s="1"/>
      <c r="C596" s="1"/>
      <c r="E596" s="1"/>
      <c r="G596" s="1"/>
      <c r="I596" s="1"/>
      <c r="K596" s="1"/>
      <c r="M596" s="1"/>
      <c r="O596" s="1"/>
      <c r="Q596" s="1"/>
      <c r="S596" s="1"/>
      <c r="U596" s="1"/>
      <c r="W596" s="1"/>
      <c r="Y596" s="1"/>
      <c r="AA596" s="1"/>
      <c r="AC596" s="1"/>
      <c r="AE596" s="1"/>
      <c r="AG596" s="1"/>
      <c r="AI596" s="1"/>
      <c r="AK596" s="1"/>
      <c r="AM596" s="1"/>
      <c r="AO596" s="1"/>
      <c r="AQ596" s="1"/>
      <c r="AS596" s="1"/>
      <c r="AU596" s="1"/>
      <c r="AW596" s="1"/>
      <c r="AY596" s="1"/>
      <c r="BA596" s="1"/>
      <c r="BC596" s="1"/>
      <c r="BE596" s="1"/>
      <c r="BG596" s="1"/>
      <c r="BI596" s="1"/>
    </row>
    <row r="597" ht="15.75" customHeight="1">
      <c r="A597" s="1"/>
      <c r="B597" s="1"/>
      <c r="C597" s="1"/>
      <c r="E597" s="1"/>
      <c r="G597" s="1"/>
      <c r="I597" s="1"/>
      <c r="K597" s="1"/>
      <c r="M597" s="1"/>
      <c r="O597" s="1"/>
      <c r="Q597" s="1"/>
      <c r="S597" s="1"/>
      <c r="U597" s="1"/>
      <c r="W597" s="1"/>
      <c r="Y597" s="1"/>
      <c r="AA597" s="1"/>
      <c r="AC597" s="1"/>
      <c r="AE597" s="1"/>
      <c r="AG597" s="1"/>
      <c r="AI597" s="1"/>
      <c r="AK597" s="1"/>
      <c r="AM597" s="1"/>
      <c r="AO597" s="1"/>
      <c r="AQ597" s="1"/>
      <c r="AS597" s="1"/>
      <c r="AU597" s="1"/>
      <c r="AW597" s="1"/>
      <c r="AY597" s="1"/>
      <c r="BA597" s="1"/>
      <c r="BC597" s="1"/>
      <c r="BE597" s="1"/>
      <c r="BG597" s="1"/>
      <c r="BI597" s="1"/>
    </row>
    <row r="598" ht="15.75" customHeight="1">
      <c r="A598" s="1"/>
      <c r="B598" s="1"/>
      <c r="C598" s="1"/>
      <c r="E598" s="1"/>
      <c r="G598" s="1"/>
      <c r="I598" s="1"/>
      <c r="K598" s="1"/>
      <c r="M598" s="1"/>
      <c r="O598" s="1"/>
      <c r="Q598" s="1"/>
      <c r="S598" s="1"/>
      <c r="U598" s="1"/>
      <c r="W598" s="1"/>
      <c r="Y598" s="1"/>
      <c r="AA598" s="1"/>
      <c r="AC598" s="1"/>
      <c r="AE598" s="1"/>
      <c r="AG598" s="1"/>
      <c r="AI598" s="1"/>
      <c r="AK598" s="1"/>
      <c r="AM598" s="1"/>
      <c r="AO598" s="1"/>
      <c r="AQ598" s="1"/>
      <c r="AS598" s="1"/>
      <c r="AU598" s="1"/>
      <c r="AW598" s="1"/>
      <c r="AY598" s="1"/>
      <c r="BA598" s="1"/>
      <c r="BC598" s="1"/>
      <c r="BE598" s="1"/>
      <c r="BG598" s="1"/>
      <c r="BI598" s="1"/>
    </row>
    <row r="599" ht="15.75" customHeight="1">
      <c r="A599" s="1"/>
      <c r="B599" s="1"/>
      <c r="C599" s="1"/>
      <c r="E599" s="1"/>
      <c r="G599" s="1"/>
      <c r="I599" s="1"/>
      <c r="K599" s="1"/>
      <c r="M599" s="1"/>
      <c r="O599" s="1"/>
      <c r="Q599" s="1"/>
      <c r="S599" s="1"/>
      <c r="U599" s="1"/>
      <c r="W599" s="1"/>
      <c r="Y599" s="1"/>
      <c r="AA599" s="1"/>
      <c r="AC599" s="1"/>
      <c r="AE599" s="1"/>
      <c r="AG599" s="1"/>
      <c r="AI599" s="1"/>
      <c r="AK599" s="1"/>
      <c r="AM599" s="1"/>
      <c r="AO599" s="1"/>
      <c r="AQ599" s="1"/>
      <c r="AS599" s="1"/>
      <c r="AU599" s="1"/>
      <c r="AW599" s="1"/>
      <c r="AY599" s="1"/>
      <c r="BA599" s="1"/>
      <c r="BC599" s="1"/>
      <c r="BE599" s="1"/>
      <c r="BG599" s="1"/>
      <c r="BI599" s="1"/>
    </row>
    <row r="600" ht="15.75" customHeight="1">
      <c r="A600" s="1"/>
      <c r="B600" s="1"/>
      <c r="C600" s="1"/>
      <c r="E600" s="1"/>
      <c r="G600" s="1"/>
      <c r="I600" s="1"/>
      <c r="K600" s="1"/>
      <c r="M600" s="1"/>
      <c r="O600" s="1"/>
      <c r="Q600" s="1"/>
      <c r="S600" s="1"/>
      <c r="U600" s="1"/>
      <c r="W600" s="1"/>
      <c r="Y600" s="1"/>
      <c r="AA600" s="1"/>
      <c r="AC600" s="1"/>
      <c r="AE600" s="1"/>
      <c r="AG600" s="1"/>
      <c r="AI600" s="1"/>
      <c r="AK600" s="1"/>
      <c r="AM600" s="1"/>
      <c r="AO600" s="1"/>
      <c r="AQ600" s="1"/>
      <c r="AS600" s="1"/>
      <c r="AU600" s="1"/>
      <c r="AW600" s="1"/>
      <c r="AY600" s="1"/>
      <c r="BA600" s="1"/>
      <c r="BC600" s="1"/>
      <c r="BE600" s="1"/>
      <c r="BG600" s="1"/>
      <c r="BI600" s="1"/>
    </row>
    <row r="601" ht="15.75" customHeight="1">
      <c r="A601" s="1"/>
      <c r="B601" s="1"/>
      <c r="C601" s="1"/>
      <c r="E601" s="1"/>
      <c r="G601" s="1"/>
      <c r="I601" s="1"/>
      <c r="K601" s="1"/>
      <c r="M601" s="1"/>
      <c r="O601" s="1"/>
      <c r="Q601" s="1"/>
      <c r="S601" s="1"/>
      <c r="U601" s="1"/>
      <c r="W601" s="1"/>
      <c r="Y601" s="1"/>
      <c r="AA601" s="1"/>
      <c r="AC601" s="1"/>
      <c r="AE601" s="1"/>
      <c r="AG601" s="1"/>
      <c r="AI601" s="1"/>
      <c r="AK601" s="1"/>
      <c r="AM601" s="1"/>
      <c r="AO601" s="1"/>
      <c r="AQ601" s="1"/>
      <c r="AS601" s="1"/>
      <c r="AU601" s="1"/>
      <c r="AW601" s="1"/>
      <c r="AY601" s="1"/>
      <c r="BA601" s="1"/>
      <c r="BC601" s="1"/>
      <c r="BE601" s="1"/>
      <c r="BG601" s="1"/>
      <c r="BI601" s="1"/>
    </row>
    <row r="602" ht="15.75" customHeight="1">
      <c r="A602" s="1"/>
      <c r="B602" s="1"/>
      <c r="C602" s="1"/>
      <c r="E602" s="1"/>
      <c r="G602" s="1"/>
      <c r="I602" s="1"/>
      <c r="K602" s="1"/>
      <c r="M602" s="1"/>
      <c r="O602" s="1"/>
      <c r="Q602" s="1"/>
      <c r="S602" s="1"/>
      <c r="U602" s="1"/>
      <c r="W602" s="1"/>
      <c r="Y602" s="1"/>
      <c r="AA602" s="1"/>
      <c r="AC602" s="1"/>
      <c r="AE602" s="1"/>
      <c r="AG602" s="1"/>
      <c r="AI602" s="1"/>
      <c r="AK602" s="1"/>
      <c r="AM602" s="1"/>
      <c r="AO602" s="1"/>
      <c r="AQ602" s="1"/>
      <c r="AS602" s="1"/>
      <c r="AU602" s="1"/>
      <c r="AW602" s="1"/>
      <c r="AY602" s="1"/>
      <c r="BA602" s="1"/>
      <c r="BC602" s="1"/>
      <c r="BE602" s="1"/>
      <c r="BG602" s="1"/>
      <c r="BI602" s="1"/>
    </row>
    <row r="603" ht="15.75" customHeight="1">
      <c r="A603" s="1"/>
      <c r="B603" s="1"/>
      <c r="C603" s="1"/>
      <c r="E603" s="1"/>
      <c r="G603" s="1"/>
      <c r="I603" s="1"/>
      <c r="K603" s="1"/>
      <c r="M603" s="1"/>
      <c r="O603" s="1"/>
      <c r="Q603" s="1"/>
      <c r="S603" s="1"/>
      <c r="U603" s="1"/>
      <c r="W603" s="1"/>
      <c r="Y603" s="1"/>
      <c r="AA603" s="1"/>
      <c r="AC603" s="1"/>
      <c r="AE603" s="1"/>
      <c r="AG603" s="1"/>
      <c r="AI603" s="1"/>
      <c r="AK603" s="1"/>
      <c r="AM603" s="1"/>
      <c r="AO603" s="1"/>
      <c r="AQ603" s="1"/>
      <c r="AS603" s="1"/>
      <c r="AU603" s="1"/>
      <c r="AW603" s="1"/>
      <c r="AY603" s="1"/>
      <c r="BA603" s="1"/>
      <c r="BC603" s="1"/>
      <c r="BE603" s="1"/>
      <c r="BG603" s="1"/>
      <c r="BI603" s="1"/>
    </row>
    <row r="604" ht="15.75" customHeight="1">
      <c r="A604" s="1"/>
      <c r="B604" s="1"/>
      <c r="C604" s="1"/>
      <c r="E604" s="1"/>
      <c r="G604" s="1"/>
      <c r="I604" s="1"/>
      <c r="K604" s="1"/>
      <c r="M604" s="1"/>
      <c r="O604" s="1"/>
      <c r="Q604" s="1"/>
      <c r="S604" s="1"/>
      <c r="U604" s="1"/>
      <c r="W604" s="1"/>
      <c r="Y604" s="1"/>
      <c r="AA604" s="1"/>
      <c r="AC604" s="1"/>
      <c r="AE604" s="1"/>
      <c r="AG604" s="1"/>
      <c r="AI604" s="1"/>
      <c r="AK604" s="1"/>
      <c r="AM604" s="1"/>
      <c r="AO604" s="1"/>
      <c r="AQ604" s="1"/>
      <c r="AS604" s="1"/>
      <c r="AU604" s="1"/>
      <c r="AW604" s="1"/>
      <c r="AY604" s="1"/>
      <c r="BA604" s="1"/>
      <c r="BC604" s="1"/>
      <c r="BE604" s="1"/>
      <c r="BG604" s="1"/>
      <c r="BI604" s="1"/>
    </row>
    <row r="605" ht="15.75" customHeight="1">
      <c r="A605" s="1"/>
      <c r="B605" s="1"/>
      <c r="C605" s="1"/>
      <c r="E605" s="1"/>
      <c r="G605" s="1"/>
      <c r="I605" s="1"/>
      <c r="K605" s="1"/>
      <c r="M605" s="1"/>
      <c r="O605" s="1"/>
      <c r="Q605" s="1"/>
      <c r="S605" s="1"/>
      <c r="U605" s="1"/>
      <c r="W605" s="1"/>
      <c r="Y605" s="1"/>
      <c r="AA605" s="1"/>
      <c r="AC605" s="1"/>
      <c r="AE605" s="1"/>
      <c r="AG605" s="1"/>
      <c r="AI605" s="1"/>
      <c r="AK605" s="1"/>
      <c r="AM605" s="1"/>
      <c r="AO605" s="1"/>
      <c r="AQ605" s="1"/>
      <c r="AS605" s="1"/>
      <c r="AU605" s="1"/>
      <c r="AW605" s="1"/>
      <c r="AY605" s="1"/>
      <c r="BA605" s="1"/>
      <c r="BC605" s="1"/>
      <c r="BE605" s="1"/>
      <c r="BG605" s="1"/>
      <c r="BI605" s="1"/>
    </row>
    <row r="606" ht="15.75" customHeight="1">
      <c r="A606" s="1"/>
      <c r="B606" s="1"/>
      <c r="C606" s="1"/>
      <c r="E606" s="1"/>
      <c r="G606" s="1"/>
      <c r="I606" s="1"/>
      <c r="K606" s="1"/>
      <c r="M606" s="1"/>
      <c r="O606" s="1"/>
      <c r="Q606" s="1"/>
      <c r="S606" s="1"/>
      <c r="U606" s="1"/>
      <c r="W606" s="1"/>
      <c r="Y606" s="1"/>
      <c r="AA606" s="1"/>
      <c r="AC606" s="1"/>
      <c r="AE606" s="1"/>
      <c r="AG606" s="1"/>
      <c r="AI606" s="1"/>
      <c r="AK606" s="1"/>
      <c r="AM606" s="1"/>
      <c r="AO606" s="1"/>
      <c r="AQ606" s="1"/>
      <c r="AS606" s="1"/>
      <c r="AU606" s="1"/>
      <c r="AW606" s="1"/>
      <c r="AY606" s="1"/>
      <c r="BA606" s="1"/>
      <c r="BC606" s="1"/>
      <c r="BE606" s="1"/>
      <c r="BG606" s="1"/>
      <c r="BI606" s="1"/>
    </row>
    <row r="607" ht="15.75" customHeight="1">
      <c r="A607" s="1"/>
      <c r="B607" s="1"/>
      <c r="C607" s="1"/>
      <c r="E607" s="1"/>
      <c r="G607" s="1"/>
      <c r="I607" s="1"/>
      <c r="K607" s="1"/>
      <c r="M607" s="1"/>
      <c r="O607" s="1"/>
      <c r="Q607" s="1"/>
      <c r="S607" s="1"/>
      <c r="U607" s="1"/>
      <c r="W607" s="1"/>
      <c r="Y607" s="1"/>
      <c r="AA607" s="1"/>
      <c r="AC607" s="1"/>
      <c r="AE607" s="1"/>
      <c r="AG607" s="1"/>
      <c r="AI607" s="1"/>
      <c r="AK607" s="1"/>
      <c r="AM607" s="1"/>
      <c r="AO607" s="1"/>
      <c r="AQ607" s="1"/>
      <c r="AS607" s="1"/>
      <c r="AU607" s="1"/>
      <c r="AW607" s="1"/>
      <c r="AY607" s="1"/>
      <c r="BA607" s="1"/>
      <c r="BC607" s="1"/>
      <c r="BE607" s="1"/>
      <c r="BG607" s="1"/>
      <c r="BI607" s="1"/>
    </row>
    <row r="608" ht="15.75" customHeight="1">
      <c r="A608" s="1"/>
      <c r="B608" s="1"/>
      <c r="C608" s="1"/>
      <c r="E608" s="1"/>
      <c r="G608" s="1"/>
      <c r="I608" s="1"/>
      <c r="K608" s="1"/>
      <c r="M608" s="1"/>
      <c r="O608" s="1"/>
      <c r="Q608" s="1"/>
      <c r="S608" s="1"/>
      <c r="U608" s="1"/>
      <c r="W608" s="1"/>
      <c r="Y608" s="1"/>
      <c r="AA608" s="1"/>
      <c r="AC608" s="1"/>
      <c r="AE608" s="1"/>
      <c r="AG608" s="1"/>
      <c r="AI608" s="1"/>
      <c r="AK608" s="1"/>
      <c r="AM608" s="1"/>
      <c r="AO608" s="1"/>
      <c r="AQ608" s="1"/>
      <c r="AS608" s="1"/>
      <c r="AU608" s="1"/>
      <c r="AW608" s="1"/>
      <c r="AY608" s="1"/>
      <c r="BA608" s="1"/>
      <c r="BC608" s="1"/>
      <c r="BE608" s="1"/>
      <c r="BG608" s="1"/>
      <c r="BI608" s="1"/>
    </row>
    <row r="609" ht="15.75" customHeight="1">
      <c r="A609" s="1"/>
      <c r="B609" s="1"/>
      <c r="C609" s="1"/>
      <c r="E609" s="1"/>
      <c r="G609" s="1"/>
      <c r="I609" s="1"/>
      <c r="K609" s="1"/>
      <c r="M609" s="1"/>
      <c r="O609" s="1"/>
      <c r="Q609" s="1"/>
      <c r="S609" s="1"/>
      <c r="U609" s="1"/>
      <c r="W609" s="1"/>
      <c r="Y609" s="1"/>
      <c r="AA609" s="1"/>
      <c r="AC609" s="1"/>
      <c r="AE609" s="1"/>
      <c r="AG609" s="1"/>
      <c r="AI609" s="1"/>
      <c r="AK609" s="1"/>
      <c r="AM609" s="1"/>
      <c r="AO609" s="1"/>
      <c r="AQ609" s="1"/>
      <c r="AS609" s="1"/>
      <c r="AU609" s="1"/>
      <c r="AW609" s="1"/>
      <c r="AY609" s="1"/>
      <c r="BA609" s="1"/>
      <c r="BC609" s="1"/>
      <c r="BE609" s="1"/>
      <c r="BG609" s="1"/>
      <c r="BI609" s="1"/>
    </row>
    <row r="610" ht="15.75" customHeight="1">
      <c r="A610" s="1"/>
      <c r="B610" s="1"/>
      <c r="C610" s="1"/>
      <c r="E610" s="1"/>
      <c r="G610" s="1"/>
      <c r="I610" s="1"/>
      <c r="K610" s="1"/>
      <c r="M610" s="1"/>
      <c r="O610" s="1"/>
      <c r="Q610" s="1"/>
      <c r="S610" s="1"/>
      <c r="U610" s="1"/>
      <c r="W610" s="1"/>
      <c r="Y610" s="1"/>
      <c r="AA610" s="1"/>
      <c r="AC610" s="1"/>
      <c r="AE610" s="1"/>
      <c r="AG610" s="1"/>
      <c r="AI610" s="1"/>
      <c r="AK610" s="1"/>
      <c r="AM610" s="1"/>
      <c r="AO610" s="1"/>
      <c r="AQ610" s="1"/>
      <c r="AS610" s="1"/>
      <c r="AU610" s="1"/>
      <c r="AW610" s="1"/>
      <c r="AY610" s="1"/>
      <c r="BA610" s="1"/>
      <c r="BC610" s="1"/>
      <c r="BE610" s="1"/>
      <c r="BG610" s="1"/>
      <c r="BI610" s="1"/>
    </row>
    <row r="611" ht="15.75" customHeight="1">
      <c r="A611" s="1"/>
      <c r="B611" s="1"/>
      <c r="C611" s="1"/>
      <c r="E611" s="1"/>
      <c r="G611" s="1"/>
      <c r="I611" s="1"/>
      <c r="K611" s="1"/>
      <c r="M611" s="1"/>
      <c r="O611" s="1"/>
      <c r="Q611" s="1"/>
      <c r="S611" s="1"/>
      <c r="U611" s="1"/>
      <c r="W611" s="1"/>
      <c r="Y611" s="1"/>
      <c r="AA611" s="1"/>
      <c r="AC611" s="1"/>
      <c r="AE611" s="1"/>
      <c r="AG611" s="1"/>
      <c r="AI611" s="1"/>
      <c r="AK611" s="1"/>
      <c r="AM611" s="1"/>
      <c r="AO611" s="1"/>
      <c r="AQ611" s="1"/>
      <c r="AS611" s="1"/>
      <c r="AU611" s="1"/>
      <c r="AW611" s="1"/>
      <c r="AY611" s="1"/>
      <c r="BA611" s="1"/>
      <c r="BC611" s="1"/>
      <c r="BE611" s="1"/>
      <c r="BG611" s="1"/>
      <c r="BI611" s="1"/>
    </row>
    <row r="612" ht="15.75" customHeight="1">
      <c r="A612" s="1"/>
      <c r="B612" s="1"/>
      <c r="C612" s="1"/>
      <c r="E612" s="1"/>
      <c r="G612" s="1"/>
      <c r="I612" s="1"/>
      <c r="K612" s="1"/>
      <c r="M612" s="1"/>
      <c r="O612" s="1"/>
      <c r="Q612" s="1"/>
      <c r="S612" s="1"/>
      <c r="U612" s="1"/>
      <c r="W612" s="1"/>
      <c r="Y612" s="1"/>
      <c r="AA612" s="1"/>
      <c r="AC612" s="1"/>
      <c r="AE612" s="1"/>
      <c r="AG612" s="1"/>
      <c r="AI612" s="1"/>
      <c r="AK612" s="1"/>
      <c r="AM612" s="1"/>
      <c r="AO612" s="1"/>
      <c r="AQ612" s="1"/>
      <c r="AS612" s="1"/>
      <c r="AU612" s="1"/>
      <c r="AW612" s="1"/>
      <c r="AY612" s="1"/>
      <c r="BA612" s="1"/>
      <c r="BC612" s="1"/>
      <c r="BE612" s="1"/>
      <c r="BG612" s="1"/>
      <c r="BI612" s="1"/>
    </row>
    <row r="613" ht="15.75" customHeight="1">
      <c r="A613" s="1"/>
      <c r="B613" s="1"/>
      <c r="C613" s="1"/>
      <c r="E613" s="1"/>
      <c r="G613" s="1"/>
      <c r="I613" s="1"/>
      <c r="K613" s="1"/>
      <c r="M613" s="1"/>
      <c r="O613" s="1"/>
      <c r="Q613" s="1"/>
      <c r="S613" s="1"/>
      <c r="U613" s="1"/>
      <c r="W613" s="1"/>
      <c r="Y613" s="1"/>
      <c r="AA613" s="1"/>
      <c r="AC613" s="1"/>
      <c r="AE613" s="1"/>
      <c r="AG613" s="1"/>
      <c r="AI613" s="1"/>
      <c r="AK613" s="1"/>
      <c r="AM613" s="1"/>
      <c r="AO613" s="1"/>
      <c r="AQ613" s="1"/>
      <c r="AS613" s="1"/>
      <c r="AU613" s="1"/>
      <c r="AW613" s="1"/>
      <c r="AY613" s="1"/>
      <c r="BA613" s="1"/>
      <c r="BC613" s="1"/>
      <c r="BE613" s="1"/>
      <c r="BG613" s="1"/>
      <c r="BI613" s="1"/>
    </row>
    <row r="614" ht="15.75" customHeight="1">
      <c r="A614" s="1"/>
      <c r="B614" s="1"/>
      <c r="C614" s="1"/>
      <c r="E614" s="1"/>
      <c r="G614" s="1"/>
      <c r="I614" s="1"/>
      <c r="K614" s="1"/>
      <c r="M614" s="1"/>
      <c r="O614" s="1"/>
      <c r="Q614" s="1"/>
      <c r="S614" s="1"/>
      <c r="U614" s="1"/>
      <c r="W614" s="1"/>
      <c r="Y614" s="1"/>
      <c r="AA614" s="1"/>
      <c r="AC614" s="1"/>
      <c r="AE614" s="1"/>
      <c r="AG614" s="1"/>
      <c r="AI614" s="1"/>
      <c r="AK614" s="1"/>
      <c r="AM614" s="1"/>
      <c r="AO614" s="1"/>
      <c r="AQ614" s="1"/>
      <c r="AS614" s="1"/>
      <c r="AU614" s="1"/>
      <c r="AW614" s="1"/>
      <c r="AY614" s="1"/>
      <c r="BA614" s="1"/>
      <c r="BC614" s="1"/>
      <c r="BE614" s="1"/>
      <c r="BG614" s="1"/>
      <c r="BI614" s="1"/>
    </row>
    <row r="615" ht="15.75" customHeight="1">
      <c r="A615" s="1"/>
      <c r="B615" s="1"/>
      <c r="C615" s="1"/>
      <c r="E615" s="1"/>
      <c r="G615" s="1"/>
      <c r="I615" s="1"/>
      <c r="K615" s="1"/>
      <c r="M615" s="1"/>
      <c r="O615" s="1"/>
      <c r="Q615" s="1"/>
      <c r="S615" s="1"/>
      <c r="U615" s="1"/>
      <c r="W615" s="1"/>
      <c r="Y615" s="1"/>
      <c r="AA615" s="1"/>
      <c r="AC615" s="1"/>
      <c r="AE615" s="1"/>
      <c r="AG615" s="1"/>
      <c r="AI615" s="1"/>
      <c r="AK615" s="1"/>
      <c r="AM615" s="1"/>
      <c r="AO615" s="1"/>
      <c r="AQ615" s="1"/>
      <c r="AS615" s="1"/>
      <c r="AU615" s="1"/>
      <c r="AW615" s="1"/>
      <c r="AY615" s="1"/>
      <c r="BA615" s="1"/>
      <c r="BC615" s="1"/>
      <c r="BE615" s="1"/>
      <c r="BG615" s="1"/>
      <c r="BI615" s="1"/>
    </row>
    <row r="616" ht="15.75" customHeight="1">
      <c r="A616" s="1"/>
      <c r="B616" s="1"/>
      <c r="C616" s="1"/>
      <c r="E616" s="1"/>
      <c r="G616" s="1"/>
      <c r="I616" s="1"/>
      <c r="K616" s="1"/>
      <c r="M616" s="1"/>
      <c r="O616" s="1"/>
      <c r="Q616" s="1"/>
      <c r="S616" s="1"/>
      <c r="U616" s="1"/>
      <c r="W616" s="1"/>
      <c r="Y616" s="1"/>
      <c r="AA616" s="1"/>
      <c r="AC616" s="1"/>
      <c r="AE616" s="1"/>
      <c r="AG616" s="1"/>
      <c r="AI616" s="1"/>
      <c r="AK616" s="1"/>
      <c r="AM616" s="1"/>
      <c r="AO616" s="1"/>
      <c r="AQ616" s="1"/>
      <c r="AS616" s="1"/>
      <c r="AU616" s="1"/>
      <c r="AW616" s="1"/>
      <c r="AY616" s="1"/>
      <c r="BA616" s="1"/>
      <c r="BC616" s="1"/>
      <c r="BE616" s="1"/>
      <c r="BG616" s="1"/>
      <c r="BI616" s="1"/>
    </row>
    <row r="617" ht="15.75" customHeight="1">
      <c r="A617" s="1"/>
      <c r="B617" s="1"/>
      <c r="C617" s="1"/>
      <c r="E617" s="1"/>
      <c r="G617" s="1"/>
      <c r="I617" s="1"/>
      <c r="K617" s="1"/>
      <c r="M617" s="1"/>
      <c r="O617" s="1"/>
      <c r="Q617" s="1"/>
      <c r="S617" s="1"/>
      <c r="U617" s="1"/>
      <c r="W617" s="1"/>
      <c r="Y617" s="1"/>
      <c r="AA617" s="1"/>
      <c r="AC617" s="1"/>
      <c r="AE617" s="1"/>
      <c r="AG617" s="1"/>
      <c r="AI617" s="1"/>
      <c r="AK617" s="1"/>
      <c r="AM617" s="1"/>
      <c r="AO617" s="1"/>
      <c r="AQ617" s="1"/>
      <c r="AS617" s="1"/>
      <c r="AU617" s="1"/>
      <c r="AW617" s="1"/>
      <c r="AY617" s="1"/>
      <c r="BA617" s="1"/>
      <c r="BC617" s="1"/>
      <c r="BE617" s="1"/>
      <c r="BG617" s="1"/>
      <c r="BI617" s="1"/>
    </row>
    <row r="618" ht="15.75" customHeight="1">
      <c r="A618" s="1"/>
      <c r="B618" s="1"/>
      <c r="C618" s="1"/>
      <c r="E618" s="1"/>
      <c r="G618" s="1"/>
      <c r="I618" s="1"/>
      <c r="K618" s="1"/>
      <c r="M618" s="1"/>
      <c r="O618" s="1"/>
      <c r="Q618" s="1"/>
      <c r="S618" s="1"/>
      <c r="U618" s="1"/>
      <c r="W618" s="1"/>
      <c r="Y618" s="1"/>
      <c r="AA618" s="1"/>
      <c r="AC618" s="1"/>
      <c r="AE618" s="1"/>
      <c r="AG618" s="1"/>
      <c r="AI618" s="1"/>
      <c r="AK618" s="1"/>
      <c r="AM618" s="1"/>
      <c r="AO618" s="1"/>
      <c r="AQ618" s="1"/>
      <c r="AS618" s="1"/>
      <c r="AU618" s="1"/>
      <c r="AW618" s="1"/>
      <c r="AY618" s="1"/>
      <c r="BA618" s="1"/>
      <c r="BC618" s="1"/>
      <c r="BE618" s="1"/>
      <c r="BG618" s="1"/>
      <c r="BI618" s="1"/>
    </row>
    <row r="619" ht="15.75" customHeight="1">
      <c r="A619" s="1"/>
      <c r="B619" s="1"/>
      <c r="C619" s="1"/>
      <c r="E619" s="1"/>
      <c r="G619" s="1"/>
      <c r="I619" s="1"/>
      <c r="K619" s="1"/>
      <c r="M619" s="1"/>
      <c r="O619" s="1"/>
      <c r="Q619" s="1"/>
      <c r="S619" s="1"/>
      <c r="U619" s="1"/>
      <c r="W619" s="1"/>
      <c r="Y619" s="1"/>
      <c r="AA619" s="1"/>
      <c r="AC619" s="1"/>
      <c r="AE619" s="1"/>
      <c r="AG619" s="1"/>
      <c r="AI619" s="1"/>
      <c r="AK619" s="1"/>
      <c r="AM619" s="1"/>
      <c r="AO619" s="1"/>
      <c r="AQ619" s="1"/>
      <c r="AS619" s="1"/>
      <c r="AU619" s="1"/>
      <c r="AW619" s="1"/>
      <c r="AY619" s="1"/>
      <c r="BA619" s="1"/>
      <c r="BC619" s="1"/>
      <c r="BE619" s="1"/>
      <c r="BG619" s="1"/>
      <c r="BI619" s="1"/>
    </row>
    <row r="620" ht="15.75" customHeight="1">
      <c r="A620" s="1"/>
      <c r="B620" s="1"/>
      <c r="C620" s="1"/>
      <c r="E620" s="1"/>
      <c r="G620" s="1"/>
      <c r="I620" s="1"/>
      <c r="K620" s="1"/>
      <c r="M620" s="1"/>
      <c r="O620" s="1"/>
      <c r="Q620" s="1"/>
      <c r="S620" s="1"/>
      <c r="U620" s="1"/>
      <c r="W620" s="1"/>
      <c r="Y620" s="1"/>
      <c r="AA620" s="1"/>
      <c r="AC620" s="1"/>
      <c r="AE620" s="1"/>
      <c r="AG620" s="1"/>
      <c r="AI620" s="1"/>
      <c r="AK620" s="1"/>
      <c r="AM620" s="1"/>
      <c r="AO620" s="1"/>
      <c r="AQ620" s="1"/>
      <c r="AS620" s="1"/>
      <c r="AU620" s="1"/>
      <c r="AW620" s="1"/>
      <c r="AY620" s="1"/>
      <c r="BA620" s="1"/>
      <c r="BC620" s="1"/>
      <c r="BE620" s="1"/>
      <c r="BG620" s="1"/>
      <c r="BI620" s="1"/>
    </row>
    <row r="621" ht="15.75" customHeight="1">
      <c r="A621" s="1"/>
      <c r="B621" s="1"/>
      <c r="C621" s="1"/>
      <c r="E621" s="1"/>
      <c r="G621" s="1"/>
      <c r="I621" s="1"/>
      <c r="K621" s="1"/>
      <c r="M621" s="1"/>
      <c r="O621" s="1"/>
      <c r="Q621" s="1"/>
      <c r="S621" s="1"/>
      <c r="U621" s="1"/>
      <c r="W621" s="1"/>
      <c r="Y621" s="1"/>
      <c r="AA621" s="1"/>
      <c r="AC621" s="1"/>
      <c r="AE621" s="1"/>
      <c r="AG621" s="1"/>
      <c r="AI621" s="1"/>
      <c r="AK621" s="1"/>
      <c r="AM621" s="1"/>
      <c r="AO621" s="1"/>
      <c r="AQ621" s="1"/>
      <c r="AS621" s="1"/>
      <c r="AU621" s="1"/>
      <c r="AW621" s="1"/>
      <c r="AY621" s="1"/>
      <c r="BA621" s="1"/>
      <c r="BC621" s="1"/>
      <c r="BE621" s="1"/>
      <c r="BG621" s="1"/>
      <c r="BI621" s="1"/>
    </row>
    <row r="622" ht="15.75" customHeight="1">
      <c r="A622" s="1"/>
      <c r="B622" s="1"/>
      <c r="C622" s="1"/>
      <c r="E622" s="1"/>
      <c r="G622" s="1"/>
      <c r="I622" s="1"/>
      <c r="K622" s="1"/>
      <c r="M622" s="1"/>
      <c r="O622" s="1"/>
      <c r="Q622" s="1"/>
      <c r="S622" s="1"/>
      <c r="U622" s="1"/>
      <c r="W622" s="1"/>
      <c r="Y622" s="1"/>
      <c r="AA622" s="1"/>
      <c r="AC622" s="1"/>
      <c r="AE622" s="1"/>
      <c r="AG622" s="1"/>
      <c r="AI622" s="1"/>
      <c r="AK622" s="1"/>
      <c r="AM622" s="1"/>
      <c r="AO622" s="1"/>
      <c r="AQ622" s="1"/>
      <c r="AS622" s="1"/>
      <c r="AU622" s="1"/>
      <c r="AW622" s="1"/>
      <c r="AY622" s="1"/>
      <c r="BA622" s="1"/>
      <c r="BC622" s="1"/>
      <c r="BE622" s="1"/>
      <c r="BG622" s="1"/>
      <c r="BI622" s="1"/>
    </row>
    <row r="623" ht="15.75" customHeight="1">
      <c r="A623" s="1"/>
      <c r="B623" s="1"/>
      <c r="C623" s="1"/>
      <c r="E623" s="1"/>
      <c r="G623" s="1"/>
      <c r="I623" s="1"/>
      <c r="K623" s="1"/>
      <c r="M623" s="1"/>
      <c r="O623" s="1"/>
      <c r="Q623" s="1"/>
      <c r="S623" s="1"/>
      <c r="U623" s="1"/>
      <c r="W623" s="1"/>
      <c r="Y623" s="1"/>
      <c r="AA623" s="1"/>
      <c r="AC623" s="1"/>
      <c r="AE623" s="1"/>
      <c r="AG623" s="1"/>
      <c r="AI623" s="1"/>
      <c r="AK623" s="1"/>
      <c r="AM623" s="1"/>
      <c r="AO623" s="1"/>
      <c r="AQ623" s="1"/>
      <c r="AS623" s="1"/>
      <c r="AU623" s="1"/>
      <c r="AW623" s="1"/>
      <c r="AY623" s="1"/>
      <c r="BA623" s="1"/>
      <c r="BC623" s="1"/>
      <c r="BE623" s="1"/>
      <c r="BG623" s="1"/>
      <c r="BI623" s="1"/>
    </row>
    <row r="624" ht="15.75" customHeight="1">
      <c r="A624" s="1"/>
      <c r="B624" s="1"/>
      <c r="C624" s="1"/>
      <c r="E624" s="1"/>
      <c r="G624" s="1"/>
      <c r="I624" s="1"/>
      <c r="K624" s="1"/>
      <c r="M624" s="1"/>
      <c r="O624" s="1"/>
      <c r="Q624" s="1"/>
      <c r="S624" s="1"/>
      <c r="U624" s="1"/>
      <c r="W624" s="1"/>
      <c r="Y624" s="1"/>
      <c r="AA624" s="1"/>
      <c r="AC624" s="1"/>
      <c r="AE624" s="1"/>
      <c r="AG624" s="1"/>
      <c r="AI624" s="1"/>
      <c r="AK624" s="1"/>
      <c r="AM624" s="1"/>
      <c r="AO624" s="1"/>
      <c r="AQ624" s="1"/>
      <c r="AS624" s="1"/>
      <c r="AU624" s="1"/>
      <c r="AW624" s="1"/>
      <c r="AY624" s="1"/>
      <c r="BA624" s="1"/>
      <c r="BC624" s="1"/>
      <c r="BE624" s="1"/>
      <c r="BG624" s="1"/>
      <c r="BI624" s="1"/>
    </row>
    <row r="625" ht="15.75" customHeight="1">
      <c r="A625" s="1"/>
      <c r="B625" s="1"/>
      <c r="C625" s="1"/>
      <c r="E625" s="1"/>
      <c r="G625" s="1"/>
      <c r="I625" s="1"/>
      <c r="K625" s="1"/>
      <c r="M625" s="1"/>
      <c r="O625" s="1"/>
      <c r="Q625" s="1"/>
      <c r="S625" s="1"/>
      <c r="U625" s="1"/>
      <c r="W625" s="1"/>
      <c r="Y625" s="1"/>
      <c r="AA625" s="1"/>
      <c r="AC625" s="1"/>
      <c r="AE625" s="1"/>
      <c r="AG625" s="1"/>
      <c r="AI625" s="1"/>
      <c r="AK625" s="1"/>
      <c r="AM625" s="1"/>
      <c r="AO625" s="1"/>
      <c r="AQ625" s="1"/>
      <c r="AS625" s="1"/>
      <c r="AU625" s="1"/>
      <c r="AW625" s="1"/>
      <c r="AY625" s="1"/>
      <c r="BA625" s="1"/>
      <c r="BC625" s="1"/>
      <c r="BE625" s="1"/>
      <c r="BG625" s="1"/>
      <c r="BI625" s="1"/>
    </row>
    <row r="626" ht="15.75" customHeight="1">
      <c r="A626" s="1"/>
      <c r="B626" s="1"/>
      <c r="C626" s="1"/>
      <c r="E626" s="1"/>
      <c r="G626" s="1"/>
      <c r="I626" s="1"/>
      <c r="K626" s="1"/>
      <c r="M626" s="1"/>
      <c r="O626" s="1"/>
      <c r="Q626" s="1"/>
      <c r="S626" s="1"/>
      <c r="U626" s="1"/>
      <c r="W626" s="1"/>
      <c r="Y626" s="1"/>
      <c r="AA626" s="1"/>
      <c r="AC626" s="1"/>
      <c r="AE626" s="1"/>
      <c r="AG626" s="1"/>
      <c r="AI626" s="1"/>
      <c r="AK626" s="1"/>
      <c r="AM626" s="1"/>
      <c r="AO626" s="1"/>
      <c r="AQ626" s="1"/>
      <c r="AS626" s="1"/>
      <c r="AU626" s="1"/>
      <c r="AW626" s="1"/>
      <c r="AY626" s="1"/>
      <c r="BA626" s="1"/>
      <c r="BC626" s="1"/>
      <c r="BE626" s="1"/>
      <c r="BG626" s="1"/>
      <c r="BI626" s="1"/>
    </row>
    <row r="627" ht="15.75" customHeight="1">
      <c r="A627" s="1"/>
      <c r="B627" s="1"/>
      <c r="C627" s="1"/>
      <c r="E627" s="1"/>
      <c r="G627" s="1"/>
      <c r="I627" s="1"/>
      <c r="K627" s="1"/>
      <c r="M627" s="1"/>
      <c r="O627" s="1"/>
      <c r="Q627" s="1"/>
      <c r="S627" s="1"/>
      <c r="U627" s="1"/>
      <c r="W627" s="1"/>
      <c r="Y627" s="1"/>
      <c r="AA627" s="1"/>
      <c r="AC627" s="1"/>
      <c r="AE627" s="1"/>
      <c r="AG627" s="1"/>
      <c r="AI627" s="1"/>
      <c r="AK627" s="1"/>
      <c r="AM627" s="1"/>
      <c r="AO627" s="1"/>
      <c r="AQ627" s="1"/>
      <c r="AS627" s="1"/>
      <c r="AU627" s="1"/>
      <c r="AW627" s="1"/>
      <c r="AY627" s="1"/>
      <c r="BA627" s="1"/>
      <c r="BC627" s="1"/>
      <c r="BE627" s="1"/>
      <c r="BG627" s="1"/>
      <c r="BI627" s="1"/>
    </row>
    <row r="628" ht="15.75" customHeight="1">
      <c r="A628" s="1"/>
      <c r="B628" s="1"/>
      <c r="C628" s="1"/>
      <c r="E628" s="1"/>
      <c r="G628" s="1"/>
      <c r="I628" s="1"/>
      <c r="K628" s="1"/>
      <c r="M628" s="1"/>
      <c r="O628" s="1"/>
      <c r="Q628" s="1"/>
      <c r="S628" s="1"/>
      <c r="U628" s="1"/>
      <c r="W628" s="1"/>
      <c r="Y628" s="1"/>
      <c r="AA628" s="1"/>
      <c r="AC628" s="1"/>
      <c r="AE628" s="1"/>
      <c r="AG628" s="1"/>
      <c r="AI628" s="1"/>
      <c r="AK628" s="1"/>
      <c r="AM628" s="1"/>
      <c r="AO628" s="1"/>
      <c r="AQ628" s="1"/>
      <c r="AS628" s="1"/>
      <c r="AU628" s="1"/>
      <c r="AW628" s="1"/>
      <c r="AY628" s="1"/>
      <c r="BA628" s="1"/>
      <c r="BC628" s="1"/>
      <c r="BE628" s="1"/>
      <c r="BG628" s="1"/>
      <c r="BI628" s="1"/>
    </row>
    <row r="629" ht="15.75" customHeight="1">
      <c r="A629" s="1"/>
      <c r="B629" s="1"/>
      <c r="C629" s="1"/>
      <c r="E629" s="1"/>
      <c r="G629" s="1"/>
      <c r="I629" s="1"/>
      <c r="K629" s="1"/>
      <c r="M629" s="1"/>
      <c r="O629" s="1"/>
      <c r="Q629" s="1"/>
      <c r="S629" s="1"/>
      <c r="U629" s="1"/>
      <c r="W629" s="1"/>
      <c r="Y629" s="1"/>
      <c r="AA629" s="1"/>
      <c r="AC629" s="1"/>
      <c r="AE629" s="1"/>
      <c r="AG629" s="1"/>
      <c r="AI629" s="1"/>
      <c r="AK629" s="1"/>
      <c r="AM629" s="1"/>
      <c r="AO629" s="1"/>
      <c r="AQ629" s="1"/>
      <c r="AS629" s="1"/>
      <c r="AU629" s="1"/>
      <c r="AW629" s="1"/>
      <c r="AY629" s="1"/>
      <c r="BA629" s="1"/>
      <c r="BC629" s="1"/>
      <c r="BE629" s="1"/>
      <c r="BG629" s="1"/>
      <c r="BI629" s="1"/>
    </row>
    <row r="630" ht="15.75" customHeight="1">
      <c r="A630" s="1"/>
      <c r="B630" s="1"/>
      <c r="C630" s="1"/>
      <c r="E630" s="1"/>
      <c r="G630" s="1"/>
      <c r="I630" s="1"/>
      <c r="K630" s="1"/>
      <c r="M630" s="1"/>
      <c r="O630" s="1"/>
      <c r="Q630" s="1"/>
      <c r="S630" s="1"/>
      <c r="U630" s="1"/>
      <c r="W630" s="1"/>
      <c r="Y630" s="1"/>
      <c r="AA630" s="1"/>
      <c r="AC630" s="1"/>
      <c r="AE630" s="1"/>
      <c r="AG630" s="1"/>
      <c r="AI630" s="1"/>
      <c r="AK630" s="1"/>
      <c r="AM630" s="1"/>
      <c r="AO630" s="1"/>
      <c r="AQ630" s="1"/>
      <c r="AS630" s="1"/>
      <c r="AU630" s="1"/>
      <c r="AW630" s="1"/>
      <c r="AY630" s="1"/>
      <c r="BA630" s="1"/>
      <c r="BC630" s="1"/>
      <c r="BE630" s="1"/>
      <c r="BG630" s="1"/>
      <c r="BI630" s="1"/>
    </row>
    <row r="631" ht="15.75" customHeight="1">
      <c r="A631" s="1"/>
      <c r="B631" s="1"/>
      <c r="C631" s="1"/>
      <c r="E631" s="1"/>
      <c r="G631" s="1"/>
      <c r="I631" s="1"/>
      <c r="K631" s="1"/>
      <c r="M631" s="1"/>
      <c r="O631" s="1"/>
      <c r="Q631" s="1"/>
      <c r="S631" s="1"/>
      <c r="U631" s="1"/>
      <c r="W631" s="1"/>
      <c r="Y631" s="1"/>
      <c r="AA631" s="1"/>
      <c r="AC631" s="1"/>
      <c r="AE631" s="1"/>
      <c r="AG631" s="1"/>
      <c r="AI631" s="1"/>
      <c r="AK631" s="1"/>
      <c r="AM631" s="1"/>
      <c r="AO631" s="1"/>
      <c r="AQ631" s="1"/>
      <c r="AS631" s="1"/>
      <c r="AU631" s="1"/>
      <c r="AW631" s="1"/>
      <c r="AY631" s="1"/>
      <c r="BA631" s="1"/>
      <c r="BC631" s="1"/>
      <c r="BE631" s="1"/>
      <c r="BG631" s="1"/>
      <c r="BI631" s="1"/>
    </row>
    <row r="632" ht="15.75" customHeight="1">
      <c r="A632" s="1"/>
      <c r="B632" s="1"/>
      <c r="C632" s="1"/>
      <c r="E632" s="1"/>
      <c r="G632" s="1"/>
      <c r="I632" s="1"/>
      <c r="K632" s="1"/>
      <c r="M632" s="1"/>
      <c r="O632" s="1"/>
      <c r="Q632" s="1"/>
      <c r="S632" s="1"/>
      <c r="U632" s="1"/>
      <c r="W632" s="1"/>
      <c r="Y632" s="1"/>
      <c r="AA632" s="1"/>
      <c r="AC632" s="1"/>
      <c r="AE632" s="1"/>
      <c r="AG632" s="1"/>
      <c r="AI632" s="1"/>
      <c r="AK632" s="1"/>
      <c r="AM632" s="1"/>
      <c r="AO632" s="1"/>
      <c r="AQ632" s="1"/>
      <c r="AS632" s="1"/>
      <c r="AU632" s="1"/>
      <c r="AW632" s="1"/>
      <c r="AY632" s="1"/>
      <c r="BA632" s="1"/>
      <c r="BC632" s="1"/>
      <c r="BE632" s="1"/>
      <c r="BG632" s="1"/>
      <c r="BI632" s="1"/>
    </row>
    <row r="633" ht="15.75" customHeight="1">
      <c r="A633" s="1"/>
      <c r="B633" s="1"/>
      <c r="C633" s="1"/>
      <c r="E633" s="1"/>
      <c r="G633" s="1"/>
      <c r="I633" s="1"/>
      <c r="K633" s="1"/>
      <c r="M633" s="1"/>
      <c r="O633" s="1"/>
      <c r="Q633" s="1"/>
      <c r="S633" s="1"/>
      <c r="U633" s="1"/>
      <c r="W633" s="1"/>
      <c r="Y633" s="1"/>
      <c r="AA633" s="1"/>
      <c r="AC633" s="1"/>
      <c r="AE633" s="1"/>
      <c r="AG633" s="1"/>
      <c r="AI633" s="1"/>
      <c r="AK633" s="1"/>
      <c r="AM633" s="1"/>
      <c r="AO633" s="1"/>
      <c r="AQ633" s="1"/>
      <c r="AS633" s="1"/>
      <c r="AU633" s="1"/>
      <c r="AW633" s="1"/>
      <c r="AY633" s="1"/>
      <c r="BA633" s="1"/>
      <c r="BC633" s="1"/>
      <c r="BE633" s="1"/>
      <c r="BG633" s="1"/>
      <c r="BI633" s="1"/>
    </row>
    <row r="634" ht="15.75" customHeight="1">
      <c r="A634" s="1"/>
      <c r="B634" s="1"/>
      <c r="C634" s="1"/>
      <c r="E634" s="1"/>
      <c r="G634" s="1"/>
      <c r="I634" s="1"/>
      <c r="K634" s="1"/>
      <c r="M634" s="1"/>
      <c r="O634" s="1"/>
      <c r="Q634" s="1"/>
      <c r="S634" s="1"/>
      <c r="U634" s="1"/>
      <c r="W634" s="1"/>
      <c r="Y634" s="1"/>
      <c r="AA634" s="1"/>
      <c r="AC634" s="1"/>
      <c r="AE634" s="1"/>
      <c r="AG634" s="1"/>
      <c r="AI634" s="1"/>
      <c r="AK634" s="1"/>
      <c r="AM634" s="1"/>
      <c r="AO634" s="1"/>
      <c r="AQ634" s="1"/>
      <c r="AS634" s="1"/>
      <c r="AU634" s="1"/>
      <c r="AW634" s="1"/>
      <c r="AY634" s="1"/>
      <c r="BA634" s="1"/>
      <c r="BC634" s="1"/>
      <c r="BE634" s="1"/>
      <c r="BG634" s="1"/>
      <c r="BI634" s="1"/>
    </row>
    <row r="635" ht="15.75" customHeight="1">
      <c r="A635" s="1"/>
      <c r="B635" s="1"/>
      <c r="C635" s="1"/>
      <c r="E635" s="1"/>
      <c r="G635" s="1"/>
      <c r="I635" s="1"/>
      <c r="K635" s="1"/>
      <c r="M635" s="1"/>
      <c r="O635" s="1"/>
      <c r="Q635" s="1"/>
      <c r="S635" s="1"/>
      <c r="U635" s="1"/>
      <c r="W635" s="1"/>
      <c r="Y635" s="1"/>
      <c r="AA635" s="1"/>
      <c r="AC635" s="1"/>
      <c r="AE635" s="1"/>
      <c r="AG635" s="1"/>
      <c r="AI635" s="1"/>
      <c r="AK635" s="1"/>
      <c r="AM635" s="1"/>
      <c r="AO635" s="1"/>
      <c r="AQ635" s="1"/>
      <c r="AS635" s="1"/>
      <c r="AU635" s="1"/>
      <c r="AW635" s="1"/>
      <c r="AY635" s="1"/>
      <c r="BA635" s="1"/>
      <c r="BC635" s="1"/>
      <c r="BE635" s="1"/>
      <c r="BG635" s="1"/>
      <c r="BI635" s="1"/>
    </row>
    <row r="636" ht="15.75" customHeight="1">
      <c r="A636" s="1"/>
      <c r="B636" s="1"/>
      <c r="C636" s="1"/>
      <c r="E636" s="1"/>
      <c r="G636" s="1"/>
      <c r="I636" s="1"/>
      <c r="K636" s="1"/>
      <c r="M636" s="1"/>
      <c r="O636" s="1"/>
      <c r="Q636" s="1"/>
      <c r="S636" s="1"/>
      <c r="U636" s="1"/>
      <c r="W636" s="1"/>
      <c r="Y636" s="1"/>
      <c r="AA636" s="1"/>
      <c r="AC636" s="1"/>
      <c r="AE636" s="1"/>
      <c r="AG636" s="1"/>
      <c r="AI636" s="1"/>
      <c r="AK636" s="1"/>
      <c r="AM636" s="1"/>
      <c r="AO636" s="1"/>
      <c r="AQ636" s="1"/>
      <c r="AS636" s="1"/>
      <c r="AU636" s="1"/>
      <c r="AW636" s="1"/>
      <c r="AY636" s="1"/>
      <c r="BA636" s="1"/>
      <c r="BC636" s="1"/>
      <c r="BE636" s="1"/>
      <c r="BG636" s="1"/>
      <c r="BI636" s="1"/>
    </row>
    <row r="637" ht="15.75" customHeight="1">
      <c r="A637" s="1"/>
      <c r="B637" s="1"/>
      <c r="C637" s="1"/>
      <c r="E637" s="1"/>
      <c r="G637" s="1"/>
      <c r="I637" s="1"/>
      <c r="K637" s="1"/>
      <c r="M637" s="1"/>
      <c r="O637" s="1"/>
      <c r="Q637" s="1"/>
      <c r="S637" s="1"/>
      <c r="U637" s="1"/>
      <c r="W637" s="1"/>
      <c r="Y637" s="1"/>
      <c r="AA637" s="1"/>
      <c r="AC637" s="1"/>
      <c r="AE637" s="1"/>
      <c r="AG637" s="1"/>
      <c r="AI637" s="1"/>
      <c r="AK637" s="1"/>
      <c r="AM637" s="1"/>
      <c r="AO637" s="1"/>
      <c r="AQ637" s="1"/>
      <c r="AS637" s="1"/>
      <c r="AU637" s="1"/>
      <c r="AW637" s="1"/>
      <c r="AY637" s="1"/>
      <c r="BA637" s="1"/>
      <c r="BC637" s="1"/>
      <c r="BE637" s="1"/>
      <c r="BG637" s="1"/>
      <c r="BI637" s="1"/>
    </row>
    <row r="638" ht="15.75" customHeight="1">
      <c r="A638" s="1"/>
      <c r="B638" s="1"/>
      <c r="C638" s="1"/>
      <c r="E638" s="1"/>
      <c r="G638" s="1"/>
      <c r="I638" s="1"/>
      <c r="K638" s="1"/>
      <c r="M638" s="1"/>
      <c r="O638" s="1"/>
      <c r="Q638" s="1"/>
      <c r="S638" s="1"/>
      <c r="U638" s="1"/>
      <c r="W638" s="1"/>
      <c r="Y638" s="1"/>
      <c r="AA638" s="1"/>
      <c r="AC638" s="1"/>
      <c r="AE638" s="1"/>
      <c r="AG638" s="1"/>
      <c r="AI638" s="1"/>
      <c r="AK638" s="1"/>
      <c r="AM638" s="1"/>
      <c r="AO638" s="1"/>
      <c r="AQ638" s="1"/>
      <c r="AS638" s="1"/>
      <c r="AU638" s="1"/>
      <c r="AW638" s="1"/>
      <c r="AY638" s="1"/>
      <c r="BA638" s="1"/>
      <c r="BC638" s="1"/>
      <c r="BE638" s="1"/>
      <c r="BG638" s="1"/>
      <c r="BI638" s="1"/>
    </row>
    <row r="639" ht="15.75" customHeight="1">
      <c r="A639" s="1"/>
      <c r="B639" s="1"/>
      <c r="C639" s="1"/>
      <c r="E639" s="1"/>
      <c r="G639" s="1"/>
      <c r="I639" s="1"/>
      <c r="K639" s="1"/>
      <c r="M639" s="1"/>
      <c r="O639" s="1"/>
      <c r="Q639" s="1"/>
      <c r="S639" s="1"/>
      <c r="U639" s="1"/>
      <c r="W639" s="1"/>
      <c r="Y639" s="1"/>
      <c r="AA639" s="1"/>
      <c r="AC639" s="1"/>
      <c r="AE639" s="1"/>
      <c r="AG639" s="1"/>
      <c r="AI639" s="1"/>
      <c r="AK639" s="1"/>
      <c r="AM639" s="1"/>
      <c r="AO639" s="1"/>
      <c r="AQ639" s="1"/>
      <c r="AS639" s="1"/>
      <c r="AU639" s="1"/>
      <c r="AW639" s="1"/>
      <c r="AY639" s="1"/>
      <c r="BA639" s="1"/>
      <c r="BC639" s="1"/>
      <c r="BE639" s="1"/>
      <c r="BG639" s="1"/>
      <c r="BI639" s="1"/>
    </row>
    <row r="640" ht="15.75" customHeight="1">
      <c r="A640" s="1"/>
      <c r="B640" s="1"/>
      <c r="C640" s="1"/>
      <c r="E640" s="1"/>
      <c r="G640" s="1"/>
      <c r="I640" s="1"/>
      <c r="K640" s="1"/>
      <c r="M640" s="1"/>
      <c r="O640" s="1"/>
      <c r="Q640" s="1"/>
      <c r="S640" s="1"/>
      <c r="U640" s="1"/>
      <c r="W640" s="1"/>
      <c r="Y640" s="1"/>
      <c r="AA640" s="1"/>
      <c r="AC640" s="1"/>
      <c r="AE640" s="1"/>
      <c r="AG640" s="1"/>
      <c r="AI640" s="1"/>
      <c r="AK640" s="1"/>
      <c r="AM640" s="1"/>
      <c r="AO640" s="1"/>
      <c r="AQ640" s="1"/>
      <c r="AS640" s="1"/>
      <c r="AU640" s="1"/>
      <c r="AW640" s="1"/>
      <c r="AY640" s="1"/>
      <c r="BA640" s="1"/>
      <c r="BC640" s="1"/>
      <c r="BE640" s="1"/>
      <c r="BG640" s="1"/>
      <c r="BI640" s="1"/>
    </row>
    <row r="641" ht="15.75" customHeight="1">
      <c r="A641" s="1"/>
      <c r="B641" s="1"/>
      <c r="C641" s="1"/>
      <c r="E641" s="1"/>
      <c r="G641" s="1"/>
      <c r="I641" s="1"/>
      <c r="K641" s="1"/>
      <c r="M641" s="1"/>
      <c r="O641" s="1"/>
      <c r="Q641" s="1"/>
      <c r="S641" s="1"/>
      <c r="U641" s="1"/>
      <c r="W641" s="1"/>
      <c r="Y641" s="1"/>
      <c r="AA641" s="1"/>
      <c r="AC641" s="1"/>
      <c r="AE641" s="1"/>
      <c r="AG641" s="1"/>
      <c r="AI641" s="1"/>
      <c r="AK641" s="1"/>
      <c r="AM641" s="1"/>
      <c r="AO641" s="1"/>
      <c r="AQ641" s="1"/>
      <c r="AS641" s="1"/>
      <c r="AU641" s="1"/>
      <c r="AW641" s="1"/>
      <c r="AY641" s="1"/>
      <c r="BA641" s="1"/>
      <c r="BC641" s="1"/>
      <c r="BE641" s="1"/>
      <c r="BG641" s="1"/>
      <c r="BI641" s="1"/>
    </row>
    <row r="642" ht="15.75" customHeight="1">
      <c r="A642" s="1"/>
      <c r="B642" s="1"/>
      <c r="C642" s="1"/>
      <c r="E642" s="1"/>
      <c r="G642" s="1"/>
      <c r="I642" s="1"/>
      <c r="K642" s="1"/>
      <c r="M642" s="1"/>
      <c r="O642" s="1"/>
      <c r="Q642" s="1"/>
      <c r="S642" s="1"/>
      <c r="U642" s="1"/>
      <c r="W642" s="1"/>
      <c r="Y642" s="1"/>
      <c r="AA642" s="1"/>
      <c r="AC642" s="1"/>
      <c r="AE642" s="1"/>
      <c r="AG642" s="1"/>
      <c r="AI642" s="1"/>
      <c r="AK642" s="1"/>
      <c r="AM642" s="1"/>
      <c r="AO642" s="1"/>
      <c r="AQ642" s="1"/>
      <c r="AS642" s="1"/>
      <c r="AU642" s="1"/>
      <c r="AW642" s="1"/>
      <c r="AY642" s="1"/>
      <c r="BA642" s="1"/>
      <c r="BC642" s="1"/>
      <c r="BE642" s="1"/>
      <c r="BG642" s="1"/>
      <c r="BI642" s="1"/>
    </row>
    <row r="643" ht="15.75" customHeight="1">
      <c r="A643" s="1"/>
      <c r="B643" s="1"/>
      <c r="C643" s="1"/>
      <c r="E643" s="1"/>
      <c r="G643" s="1"/>
      <c r="I643" s="1"/>
      <c r="K643" s="1"/>
      <c r="M643" s="1"/>
      <c r="O643" s="1"/>
      <c r="Q643" s="1"/>
      <c r="S643" s="1"/>
      <c r="U643" s="1"/>
      <c r="W643" s="1"/>
      <c r="Y643" s="1"/>
      <c r="AA643" s="1"/>
      <c r="AC643" s="1"/>
      <c r="AE643" s="1"/>
      <c r="AG643" s="1"/>
      <c r="AI643" s="1"/>
      <c r="AK643" s="1"/>
      <c r="AM643" s="1"/>
      <c r="AO643" s="1"/>
      <c r="AQ643" s="1"/>
      <c r="AS643" s="1"/>
      <c r="AU643" s="1"/>
      <c r="AW643" s="1"/>
      <c r="AY643" s="1"/>
      <c r="BA643" s="1"/>
      <c r="BC643" s="1"/>
      <c r="BE643" s="1"/>
      <c r="BG643" s="1"/>
      <c r="BI643" s="1"/>
    </row>
    <row r="644" ht="15.75" customHeight="1">
      <c r="A644" s="1"/>
      <c r="B644" s="1"/>
      <c r="C644" s="1"/>
      <c r="E644" s="1"/>
      <c r="G644" s="1"/>
      <c r="I644" s="1"/>
      <c r="K644" s="1"/>
      <c r="M644" s="1"/>
      <c r="O644" s="1"/>
      <c r="Q644" s="1"/>
      <c r="S644" s="1"/>
      <c r="U644" s="1"/>
      <c r="W644" s="1"/>
      <c r="Y644" s="1"/>
      <c r="AA644" s="1"/>
      <c r="AC644" s="1"/>
      <c r="AE644" s="1"/>
      <c r="AG644" s="1"/>
      <c r="AI644" s="1"/>
      <c r="AK644" s="1"/>
      <c r="AM644" s="1"/>
      <c r="AO644" s="1"/>
      <c r="AQ644" s="1"/>
      <c r="AS644" s="1"/>
      <c r="AU644" s="1"/>
      <c r="AW644" s="1"/>
      <c r="AY644" s="1"/>
      <c r="BA644" s="1"/>
      <c r="BC644" s="1"/>
      <c r="BE644" s="1"/>
      <c r="BG644" s="1"/>
      <c r="BI644" s="1"/>
    </row>
    <row r="645" ht="15.75" customHeight="1">
      <c r="A645" s="1"/>
      <c r="B645" s="1"/>
      <c r="C645" s="1"/>
      <c r="E645" s="1"/>
      <c r="G645" s="1"/>
      <c r="I645" s="1"/>
      <c r="K645" s="1"/>
      <c r="M645" s="1"/>
      <c r="O645" s="1"/>
      <c r="Q645" s="1"/>
      <c r="S645" s="1"/>
      <c r="U645" s="1"/>
      <c r="W645" s="1"/>
      <c r="Y645" s="1"/>
      <c r="AA645" s="1"/>
      <c r="AC645" s="1"/>
      <c r="AE645" s="1"/>
      <c r="AG645" s="1"/>
      <c r="AI645" s="1"/>
      <c r="AK645" s="1"/>
      <c r="AM645" s="1"/>
      <c r="AO645" s="1"/>
      <c r="AQ645" s="1"/>
      <c r="AS645" s="1"/>
      <c r="AU645" s="1"/>
      <c r="AW645" s="1"/>
      <c r="AY645" s="1"/>
      <c r="BA645" s="1"/>
      <c r="BC645" s="1"/>
      <c r="BE645" s="1"/>
      <c r="BG645" s="1"/>
      <c r="BI645" s="1"/>
    </row>
    <row r="646" ht="15.75" customHeight="1">
      <c r="A646" s="1"/>
      <c r="B646" s="1"/>
      <c r="C646" s="1"/>
      <c r="E646" s="1"/>
      <c r="G646" s="1"/>
      <c r="I646" s="1"/>
      <c r="K646" s="1"/>
      <c r="M646" s="1"/>
      <c r="O646" s="1"/>
      <c r="Q646" s="1"/>
      <c r="S646" s="1"/>
      <c r="U646" s="1"/>
      <c r="W646" s="1"/>
      <c r="Y646" s="1"/>
      <c r="AA646" s="1"/>
      <c r="AC646" s="1"/>
      <c r="AE646" s="1"/>
      <c r="AG646" s="1"/>
      <c r="AI646" s="1"/>
      <c r="AK646" s="1"/>
      <c r="AM646" s="1"/>
      <c r="AO646" s="1"/>
      <c r="AQ646" s="1"/>
      <c r="AS646" s="1"/>
      <c r="AU646" s="1"/>
      <c r="AW646" s="1"/>
      <c r="AY646" s="1"/>
      <c r="BA646" s="1"/>
      <c r="BC646" s="1"/>
      <c r="BE646" s="1"/>
      <c r="BG646" s="1"/>
      <c r="BI646" s="1"/>
    </row>
    <row r="647" ht="15.75" customHeight="1">
      <c r="A647" s="1"/>
      <c r="B647" s="1"/>
      <c r="C647" s="1"/>
      <c r="E647" s="1"/>
      <c r="G647" s="1"/>
      <c r="I647" s="1"/>
      <c r="K647" s="1"/>
      <c r="M647" s="1"/>
      <c r="O647" s="1"/>
      <c r="Q647" s="1"/>
      <c r="S647" s="1"/>
      <c r="U647" s="1"/>
      <c r="W647" s="1"/>
      <c r="Y647" s="1"/>
      <c r="AA647" s="1"/>
      <c r="AC647" s="1"/>
      <c r="AE647" s="1"/>
      <c r="AG647" s="1"/>
      <c r="AI647" s="1"/>
      <c r="AK647" s="1"/>
      <c r="AM647" s="1"/>
      <c r="AO647" s="1"/>
      <c r="AQ647" s="1"/>
      <c r="AS647" s="1"/>
      <c r="AU647" s="1"/>
      <c r="AW647" s="1"/>
      <c r="AY647" s="1"/>
      <c r="BA647" s="1"/>
      <c r="BC647" s="1"/>
      <c r="BE647" s="1"/>
      <c r="BG647" s="1"/>
      <c r="BI647" s="1"/>
    </row>
    <row r="648" ht="15.75" customHeight="1">
      <c r="A648" s="1"/>
      <c r="B648" s="1"/>
      <c r="C648" s="1"/>
      <c r="E648" s="1"/>
      <c r="G648" s="1"/>
      <c r="I648" s="1"/>
      <c r="K648" s="1"/>
      <c r="M648" s="1"/>
      <c r="O648" s="1"/>
      <c r="Q648" s="1"/>
      <c r="S648" s="1"/>
      <c r="U648" s="1"/>
      <c r="W648" s="1"/>
      <c r="Y648" s="1"/>
      <c r="AA648" s="1"/>
      <c r="AC648" s="1"/>
      <c r="AE648" s="1"/>
      <c r="AG648" s="1"/>
      <c r="AI648" s="1"/>
      <c r="AK648" s="1"/>
      <c r="AM648" s="1"/>
      <c r="AO648" s="1"/>
      <c r="AQ648" s="1"/>
      <c r="AS648" s="1"/>
      <c r="AU648" s="1"/>
      <c r="AW648" s="1"/>
      <c r="AY648" s="1"/>
      <c r="BA648" s="1"/>
      <c r="BC648" s="1"/>
      <c r="BE648" s="1"/>
      <c r="BG648" s="1"/>
      <c r="BI648" s="1"/>
    </row>
    <row r="649" ht="15.75" customHeight="1">
      <c r="A649" s="1"/>
      <c r="B649" s="1"/>
      <c r="C649" s="1"/>
      <c r="E649" s="1"/>
      <c r="G649" s="1"/>
      <c r="I649" s="1"/>
      <c r="K649" s="1"/>
      <c r="M649" s="1"/>
      <c r="O649" s="1"/>
      <c r="Q649" s="1"/>
      <c r="S649" s="1"/>
      <c r="U649" s="1"/>
      <c r="W649" s="1"/>
      <c r="Y649" s="1"/>
      <c r="AA649" s="1"/>
      <c r="AC649" s="1"/>
      <c r="AE649" s="1"/>
      <c r="AG649" s="1"/>
      <c r="AI649" s="1"/>
      <c r="AK649" s="1"/>
      <c r="AM649" s="1"/>
      <c r="AO649" s="1"/>
      <c r="AQ649" s="1"/>
      <c r="AS649" s="1"/>
      <c r="AU649" s="1"/>
      <c r="AW649" s="1"/>
      <c r="AY649" s="1"/>
      <c r="BA649" s="1"/>
      <c r="BC649" s="1"/>
      <c r="BE649" s="1"/>
      <c r="BG649" s="1"/>
      <c r="BI649" s="1"/>
    </row>
    <row r="650" ht="15.75" customHeight="1">
      <c r="A650" s="1"/>
      <c r="B650" s="1"/>
      <c r="C650" s="1"/>
      <c r="E650" s="1"/>
      <c r="G650" s="1"/>
      <c r="I650" s="1"/>
      <c r="K650" s="1"/>
      <c r="M650" s="1"/>
      <c r="O650" s="1"/>
      <c r="Q650" s="1"/>
      <c r="S650" s="1"/>
      <c r="U650" s="1"/>
      <c r="W650" s="1"/>
      <c r="Y650" s="1"/>
      <c r="AA650" s="1"/>
      <c r="AC650" s="1"/>
      <c r="AE650" s="1"/>
      <c r="AG650" s="1"/>
      <c r="AI650" s="1"/>
      <c r="AK650" s="1"/>
      <c r="AM650" s="1"/>
      <c r="AO650" s="1"/>
      <c r="AQ650" s="1"/>
      <c r="AS650" s="1"/>
      <c r="AU650" s="1"/>
      <c r="AW650" s="1"/>
      <c r="AY650" s="1"/>
      <c r="BA650" s="1"/>
      <c r="BC650" s="1"/>
      <c r="BE650" s="1"/>
      <c r="BG650" s="1"/>
      <c r="BI650" s="1"/>
    </row>
    <row r="651" ht="15.75" customHeight="1">
      <c r="A651" s="1"/>
      <c r="B651" s="1"/>
      <c r="C651" s="1"/>
      <c r="E651" s="1"/>
      <c r="G651" s="1"/>
      <c r="I651" s="1"/>
      <c r="K651" s="1"/>
      <c r="M651" s="1"/>
      <c r="O651" s="1"/>
      <c r="Q651" s="1"/>
      <c r="S651" s="1"/>
      <c r="U651" s="1"/>
      <c r="W651" s="1"/>
      <c r="Y651" s="1"/>
      <c r="AA651" s="1"/>
      <c r="AC651" s="1"/>
      <c r="AE651" s="1"/>
      <c r="AG651" s="1"/>
      <c r="AI651" s="1"/>
      <c r="AK651" s="1"/>
      <c r="AM651" s="1"/>
      <c r="AO651" s="1"/>
      <c r="AQ651" s="1"/>
      <c r="AS651" s="1"/>
      <c r="AU651" s="1"/>
      <c r="AW651" s="1"/>
      <c r="AY651" s="1"/>
      <c r="BA651" s="1"/>
      <c r="BC651" s="1"/>
      <c r="BE651" s="1"/>
      <c r="BG651" s="1"/>
      <c r="BI651" s="1"/>
    </row>
    <row r="652" ht="15.75" customHeight="1">
      <c r="A652" s="1"/>
      <c r="B652" s="1"/>
      <c r="C652" s="1"/>
      <c r="E652" s="1"/>
      <c r="G652" s="1"/>
      <c r="I652" s="1"/>
      <c r="K652" s="1"/>
      <c r="M652" s="1"/>
      <c r="O652" s="1"/>
      <c r="Q652" s="1"/>
      <c r="S652" s="1"/>
      <c r="U652" s="1"/>
      <c r="W652" s="1"/>
      <c r="Y652" s="1"/>
      <c r="AA652" s="1"/>
      <c r="AC652" s="1"/>
      <c r="AE652" s="1"/>
      <c r="AG652" s="1"/>
      <c r="AI652" s="1"/>
      <c r="AK652" s="1"/>
      <c r="AM652" s="1"/>
      <c r="AO652" s="1"/>
      <c r="AQ652" s="1"/>
      <c r="AS652" s="1"/>
      <c r="AU652" s="1"/>
      <c r="AW652" s="1"/>
      <c r="AY652" s="1"/>
      <c r="BA652" s="1"/>
      <c r="BC652" s="1"/>
      <c r="BE652" s="1"/>
      <c r="BG652" s="1"/>
      <c r="BI652" s="1"/>
    </row>
    <row r="653" ht="15.75" customHeight="1">
      <c r="A653" s="1"/>
      <c r="B653" s="1"/>
      <c r="C653" s="1"/>
      <c r="E653" s="1"/>
      <c r="G653" s="1"/>
      <c r="I653" s="1"/>
      <c r="K653" s="1"/>
      <c r="M653" s="1"/>
      <c r="O653" s="1"/>
      <c r="Q653" s="1"/>
      <c r="S653" s="1"/>
      <c r="U653" s="1"/>
      <c r="W653" s="1"/>
      <c r="Y653" s="1"/>
      <c r="AA653" s="1"/>
      <c r="AC653" s="1"/>
      <c r="AE653" s="1"/>
      <c r="AG653" s="1"/>
      <c r="AI653" s="1"/>
      <c r="AK653" s="1"/>
      <c r="AM653" s="1"/>
      <c r="AO653" s="1"/>
      <c r="AQ653" s="1"/>
      <c r="AS653" s="1"/>
      <c r="AU653" s="1"/>
      <c r="AW653" s="1"/>
      <c r="AY653" s="1"/>
      <c r="BA653" s="1"/>
      <c r="BC653" s="1"/>
      <c r="BE653" s="1"/>
      <c r="BG653" s="1"/>
      <c r="BI653" s="1"/>
    </row>
    <row r="654" ht="15.75" customHeight="1">
      <c r="A654" s="1"/>
      <c r="B654" s="1"/>
      <c r="C654" s="1"/>
      <c r="E654" s="1"/>
      <c r="G654" s="1"/>
      <c r="I654" s="1"/>
      <c r="K654" s="1"/>
      <c r="M654" s="1"/>
      <c r="O654" s="1"/>
      <c r="Q654" s="1"/>
      <c r="S654" s="1"/>
      <c r="U654" s="1"/>
      <c r="W654" s="1"/>
      <c r="Y654" s="1"/>
      <c r="AA654" s="1"/>
      <c r="AC654" s="1"/>
      <c r="AE654" s="1"/>
      <c r="AG654" s="1"/>
      <c r="AI654" s="1"/>
      <c r="AK654" s="1"/>
      <c r="AM654" s="1"/>
      <c r="AO654" s="1"/>
      <c r="AQ654" s="1"/>
      <c r="AS654" s="1"/>
      <c r="AU654" s="1"/>
      <c r="AW654" s="1"/>
      <c r="AY654" s="1"/>
      <c r="BA654" s="1"/>
      <c r="BC654" s="1"/>
      <c r="BE654" s="1"/>
      <c r="BG654" s="1"/>
      <c r="BI654" s="1"/>
    </row>
    <row r="655" ht="15.75" customHeight="1">
      <c r="A655" s="1"/>
      <c r="B655" s="1"/>
      <c r="C655" s="1"/>
      <c r="E655" s="1"/>
      <c r="G655" s="1"/>
      <c r="I655" s="1"/>
      <c r="K655" s="1"/>
      <c r="M655" s="1"/>
      <c r="O655" s="1"/>
      <c r="Q655" s="1"/>
      <c r="S655" s="1"/>
      <c r="U655" s="1"/>
      <c r="W655" s="1"/>
      <c r="Y655" s="1"/>
      <c r="AA655" s="1"/>
      <c r="AC655" s="1"/>
      <c r="AE655" s="1"/>
      <c r="AG655" s="1"/>
      <c r="AI655" s="1"/>
      <c r="AK655" s="1"/>
      <c r="AM655" s="1"/>
      <c r="AO655" s="1"/>
      <c r="AQ655" s="1"/>
      <c r="AS655" s="1"/>
      <c r="AU655" s="1"/>
      <c r="AW655" s="1"/>
      <c r="AY655" s="1"/>
      <c r="BA655" s="1"/>
      <c r="BC655" s="1"/>
      <c r="BE655" s="1"/>
      <c r="BG655" s="1"/>
      <c r="BI655" s="1"/>
    </row>
    <row r="656" ht="15.75" customHeight="1">
      <c r="A656" s="1"/>
      <c r="B656" s="1"/>
      <c r="C656" s="1"/>
      <c r="E656" s="1"/>
      <c r="G656" s="1"/>
      <c r="I656" s="1"/>
      <c r="K656" s="1"/>
      <c r="M656" s="1"/>
      <c r="O656" s="1"/>
      <c r="Q656" s="1"/>
      <c r="S656" s="1"/>
      <c r="U656" s="1"/>
      <c r="W656" s="1"/>
      <c r="Y656" s="1"/>
      <c r="AA656" s="1"/>
      <c r="AC656" s="1"/>
      <c r="AE656" s="1"/>
      <c r="AG656" s="1"/>
      <c r="AI656" s="1"/>
      <c r="AK656" s="1"/>
      <c r="AM656" s="1"/>
      <c r="AO656" s="1"/>
      <c r="AQ656" s="1"/>
      <c r="AS656" s="1"/>
      <c r="AU656" s="1"/>
      <c r="AW656" s="1"/>
      <c r="AY656" s="1"/>
      <c r="BA656" s="1"/>
      <c r="BC656" s="1"/>
      <c r="BE656" s="1"/>
      <c r="BG656" s="1"/>
      <c r="BI656" s="1"/>
    </row>
    <row r="657" ht="15.75" customHeight="1">
      <c r="A657" s="1"/>
      <c r="B657" s="1"/>
      <c r="C657" s="1"/>
      <c r="E657" s="1"/>
      <c r="G657" s="1"/>
      <c r="I657" s="1"/>
      <c r="K657" s="1"/>
      <c r="M657" s="1"/>
      <c r="O657" s="1"/>
      <c r="Q657" s="1"/>
      <c r="S657" s="1"/>
      <c r="U657" s="1"/>
      <c r="W657" s="1"/>
      <c r="Y657" s="1"/>
      <c r="AA657" s="1"/>
      <c r="AC657" s="1"/>
      <c r="AE657" s="1"/>
      <c r="AG657" s="1"/>
      <c r="AI657" s="1"/>
      <c r="AK657" s="1"/>
      <c r="AM657" s="1"/>
      <c r="AO657" s="1"/>
      <c r="AQ657" s="1"/>
      <c r="AS657" s="1"/>
      <c r="AU657" s="1"/>
      <c r="AW657" s="1"/>
      <c r="AY657" s="1"/>
      <c r="BA657" s="1"/>
      <c r="BC657" s="1"/>
      <c r="BE657" s="1"/>
      <c r="BG657" s="1"/>
      <c r="BI657" s="1"/>
    </row>
    <row r="658" ht="15.75" customHeight="1">
      <c r="A658" s="1"/>
      <c r="B658" s="1"/>
      <c r="C658" s="1"/>
      <c r="E658" s="1"/>
      <c r="G658" s="1"/>
      <c r="I658" s="1"/>
      <c r="K658" s="1"/>
      <c r="M658" s="1"/>
      <c r="O658" s="1"/>
      <c r="Q658" s="1"/>
      <c r="S658" s="1"/>
      <c r="U658" s="1"/>
      <c r="W658" s="1"/>
      <c r="Y658" s="1"/>
      <c r="AA658" s="1"/>
      <c r="AC658" s="1"/>
      <c r="AE658" s="1"/>
      <c r="AG658" s="1"/>
      <c r="AI658" s="1"/>
      <c r="AK658" s="1"/>
      <c r="AM658" s="1"/>
      <c r="AO658" s="1"/>
      <c r="AQ658" s="1"/>
      <c r="AS658" s="1"/>
      <c r="AU658" s="1"/>
      <c r="AW658" s="1"/>
      <c r="AY658" s="1"/>
      <c r="BA658" s="1"/>
      <c r="BC658" s="1"/>
      <c r="BE658" s="1"/>
      <c r="BG658" s="1"/>
      <c r="BI658" s="1"/>
    </row>
    <row r="659" ht="15.75" customHeight="1">
      <c r="A659" s="1"/>
      <c r="B659" s="1"/>
      <c r="C659" s="1"/>
      <c r="E659" s="1"/>
      <c r="G659" s="1"/>
      <c r="I659" s="1"/>
      <c r="K659" s="1"/>
      <c r="M659" s="1"/>
      <c r="O659" s="1"/>
      <c r="Q659" s="1"/>
      <c r="S659" s="1"/>
      <c r="U659" s="1"/>
      <c r="W659" s="1"/>
      <c r="Y659" s="1"/>
      <c r="AA659" s="1"/>
      <c r="AC659" s="1"/>
      <c r="AE659" s="1"/>
      <c r="AG659" s="1"/>
      <c r="AI659" s="1"/>
      <c r="AK659" s="1"/>
      <c r="AM659" s="1"/>
      <c r="AO659" s="1"/>
      <c r="AQ659" s="1"/>
      <c r="AS659" s="1"/>
      <c r="AU659" s="1"/>
      <c r="AW659" s="1"/>
      <c r="AY659" s="1"/>
      <c r="BA659" s="1"/>
      <c r="BC659" s="1"/>
      <c r="BE659" s="1"/>
      <c r="BG659" s="1"/>
      <c r="BI659" s="1"/>
    </row>
    <row r="660" ht="15.75" customHeight="1">
      <c r="A660" s="1"/>
      <c r="B660" s="1"/>
      <c r="C660" s="1"/>
      <c r="E660" s="1"/>
      <c r="G660" s="1"/>
      <c r="I660" s="1"/>
      <c r="K660" s="1"/>
      <c r="M660" s="1"/>
      <c r="O660" s="1"/>
      <c r="Q660" s="1"/>
      <c r="S660" s="1"/>
      <c r="U660" s="1"/>
      <c r="W660" s="1"/>
      <c r="Y660" s="1"/>
      <c r="AA660" s="1"/>
      <c r="AC660" s="1"/>
      <c r="AE660" s="1"/>
      <c r="AG660" s="1"/>
      <c r="AI660" s="1"/>
      <c r="AK660" s="1"/>
      <c r="AM660" s="1"/>
      <c r="AO660" s="1"/>
      <c r="AQ660" s="1"/>
      <c r="AS660" s="1"/>
      <c r="AU660" s="1"/>
      <c r="AW660" s="1"/>
      <c r="AY660" s="1"/>
      <c r="BA660" s="1"/>
      <c r="BC660" s="1"/>
      <c r="BE660" s="1"/>
      <c r="BG660" s="1"/>
      <c r="BI660" s="1"/>
    </row>
    <row r="661" ht="15.75" customHeight="1">
      <c r="A661" s="1"/>
      <c r="B661" s="1"/>
      <c r="C661" s="1"/>
      <c r="E661" s="1"/>
      <c r="G661" s="1"/>
      <c r="I661" s="1"/>
      <c r="K661" s="1"/>
      <c r="M661" s="1"/>
      <c r="O661" s="1"/>
      <c r="Q661" s="1"/>
      <c r="S661" s="1"/>
      <c r="U661" s="1"/>
      <c r="W661" s="1"/>
      <c r="Y661" s="1"/>
      <c r="AA661" s="1"/>
      <c r="AC661" s="1"/>
      <c r="AE661" s="1"/>
      <c r="AG661" s="1"/>
      <c r="AI661" s="1"/>
      <c r="AK661" s="1"/>
      <c r="AM661" s="1"/>
      <c r="AO661" s="1"/>
      <c r="AQ661" s="1"/>
      <c r="AS661" s="1"/>
      <c r="AU661" s="1"/>
      <c r="AW661" s="1"/>
      <c r="AY661" s="1"/>
      <c r="BA661" s="1"/>
      <c r="BC661" s="1"/>
      <c r="BE661" s="1"/>
      <c r="BG661" s="1"/>
      <c r="BI661" s="1"/>
    </row>
    <row r="662" ht="15.75" customHeight="1">
      <c r="A662" s="1"/>
      <c r="B662" s="1"/>
      <c r="C662" s="1"/>
      <c r="E662" s="1"/>
      <c r="G662" s="1"/>
      <c r="I662" s="1"/>
      <c r="K662" s="1"/>
      <c r="M662" s="1"/>
      <c r="O662" s="1"/>
      <c r="Q662" s="1"/>
      <c r="S662" s="1"/>
      <c r="U662" s="1"/>
      <c r="W662" s="1"/>
      <c r="Y662" s="1"/>
      <c r="AA662" s="1"/>
      <c r="AC662" s="1"/>
      <c r="AE662" s="1"/>
      <c r="AG662" s="1"/>
      <c r="AI662" s="1"/>
      <c r="AK662" s="1"/>
      <c r="AM662" s="1"/>
      <c r="AO662" s="1"/>
      <c r="AQ662" s="1"/>
      <c r="AS662" s="1"/>
      <c r="AU662" s="1"/>
      <c r="AW662" s="1"/>
      <c r="AY662" s="1"/>
      <c r="BA662" s="1"/>
      <c r="BC662" s="1"/>
      <c r="BE662" s="1"/>
      <c r="BG662" s="1"/>
      <c r="BI662" s="1"/>
    </row>
    <row r="663" ht="15.75" customHeight="1">
      <c r="A663" s="1"/>
      <c r="B663" s="1"/>
      <c r="C663" s="1"/>
      <c r="E663" s="1"/>
      <c r="G663" s="1"/>
      <c r="I663" s="1"/>
      <c r="K663" s="1"/>
      <c r="M663" s="1"/>
      <c r="O663" s="1"/>
      <c r="Q663" s="1"/>
      <c r="S663" s="1"/>
      <c r="U663" s="1"/>
      <c r="W663" s="1"/>
      <c r="Y663" s="1"/>
      <c r="AA663" s="1"/>
      <c r="AC663" s="1"/>
      <c r="AE663" s="1"/>
      <c r="AG663" s="1"/>
      <c r="AI663" s="1"/>
      <c r="AK663" s="1"/>
      <c r="AM663" s="1"/>
      <c r="AO663" s="1"/>
      <c r="AQ663" s="1"/>
      <c r="AS663" s="1"/>
      <c r="AU663" s="1"/>
      <c r="AW663" s="1"/>
      <c r="AY663" s="1"/>
      <c r="BA663" s="1"/>
      <c r="BC663" s="1"/>
      <c r="BE663" s="1"/>
      <c r="BG663" s="1"/>
      <c r="BI663" s="1"/>
    </row>
    <row r="664" ht="15.75" customHeight="1">
      <c r="A664" s="1"/>
      <c r="B664" s="1"/>
      <c r="C664" s="1"/>
      <c r="E664" s="1"/>
      <c r="G664" s="1"/>
      <c r="I664" s="1"/>
      <c r="K664" s="1"/>
      <c r="M664" s="1"/>
      <c r="O664" s="1"/>
      <c r="Q664" s="1"/>
      <c r="S664" s="1"/>
      <c r="U664" s="1"/>
      <c r="W664" s="1"/>
      <c r="Y664" s="1"/>
      <c r="AA664" s="1"/>
      <c r="AC664" s="1"/>
      <c r="AE664" s="1"/>
      <c r="AG664" s="1"/>
      <c r="AI664" s="1"/>
      <c r="AK664" s="1"/>
      <c r="AM664" s="1"/>
      <c r="AO664" s="1"/>
      <c r="AQ664" s="1"/>
      <c r="AS664" s="1"/>
      <c r="AU664" s="1"/>
      <c r="AW664" s="1"/>
      <c r="AY664" s="1"/>
      <c r="BA664" s="1"/>
      <c r="BC664" s="1"/>
      <c r="BE664" s="1"/>
      <c r="BG664" s="1"/>
      <c r="BI664" s="1"/>
    </row>
    <row r="665" ht="15.75" customHeight="1">
      <c r="A665" s="1"/>
      <c r="B665" s="1"/>
      <c r="C665" s="1"/>
      <c r="E665" s="1"/>
      <c r="G665" s="1"/>
      <c r="I665" s="1"/>
      <c r="K665" s="1"/>
      <c r="M665" s="1"/>
      <c r="O665" s="1"/>
      <c r="Q665" s="1"/>
      <c r="S665" s="1"/>
      <c r="U665" s="1"/>
      <c r="W665" s="1"/>
      <c r="Y665" s="1"/>
      <c r="AA665" s="1"/>
      <c r="AC665" s="1"/>
      <c r="AE665" s="1"/>
      <c r="AG665" s="1"/>
      <c r="AI665" s="1"/>
      <c r="AK665" s="1"/>
      <c r="AM665" s="1"/>
      <c r="AO665" s="1"/>
      <c r="AQ665" s="1"/>
      <c r="AS665" s="1"/>
      <c r="AU665" s="1"/>
      <c r="AW665" s="1"/>
      <c r="AY665" s="1"/>
      <c r="BA665" s="1"/>
      <c r="BC665" s="1"/>
      <c r="BE665" s="1"/>
      <c r="BG665" s="1"/>
      <c r="BI665" s="1"/>
    </row>
    <row r="666" ht="15.75" customHeight="1">
      <c r="A666" s="1"/>
      <c r="B666" s="1"/>
      <c r="C666" s="1"/>
      <c r="E666" s="1"/>
      <c r="G666" s="1"/>
      <c r="I666" s="1"/>
      <c r="K666" s="1"/>
      <c r="M666" s="1"/>
      <c r="O666" s="1"/>
      <c r="Q666" s="1"/>
      <c r="S666" s="1"/>
      <c r="U666" s="1"/>
      <c r="W666" s="1"/>
      <c r="Y666" s="1"/>
      <c r="AA666" s="1"/>
      <c r="AC666" s="1"/>
      <c r="AE666" s="1"/>
      <c r="AG666" s="1"/>
      <c r="AI666" s="1"/>
      <c r="AK666" s="1"/>
      <c r="AM666" s="1"/>
      <c r="AO666" s="1"/>
      <c r="AQ666" s="1"/>
      <c r="AS666" s="1"/>
      <c r="AU666" s="1"/>
      <c r="AW666" s="1"/>
      <c r="AY666" s="1"/>
      <c r="BA666" s="1"/>
      <c r="BC666" s="1"/>
      <c r="BE666" s="1"/>
      <c r="BG666" s="1"/>
      <c r="BI666" s="1"/>
    </row>
    <row r="667" ht="15.75" customHeight="1">
      <c r="A667" s="1"/>
      <c r="B667" s="1"/>
      <c r="C667" s="1"/>
      <c r="E667" s="1"/>
      <c r="G667" s="1"/>
      <c r="I667" s="1"/>
      <c r="K667" s="1"/>
      <c r="M667" s="1"/>
      <c r="O667" s="1"/>
      <c r="Q667" s="1"/>
      <c r="S667" s="1"/>
      <c r="U667" s="1"/>
      <c r="W667" s="1"/>
      <c r="Y667" s="1"/>
      <c r="AA667" s="1"/>
      <c r="AC667" s="1"/>
      <c r="AE667" s="1"/>
      <c r="AG667" s="1"/>
      <c r="AI667" s="1"/>
      <c r="AK667" s="1"/>
      <c r="AM667" s="1"/>
      <c r="AO667" s="1"/>
      <c r="AQ667" s="1"/>
      <c r="AS667" s="1"/>
      <c r="AU667" s="1"/>
      <c r="AW667" s="1"/>
      <c r="AY667" s="1"/>
      <c r="BA667" s="1"/>
      <c r="BC667" s="1"/>
      <c r="BE667" s="1"/>
      <c r="BG667" s="1"/>
      <c r="BI667" s="1"/>
    </row>
    <row r="668" ht="15.75" customHeight="1">
      <c r="A668" s="1"/>
      <c r="B668" s="1"/>
      <c r="C668" s="1"/>
      <c r="E668" s="1"/>
      <c r="G668" s="1"/>
      <c r="I668" s="1"/>
      <c r="K668" s="1"/>
      <c r="M668" s="1"/>
      <c r="O668" s="1"/>
      <c r="Q668" s="1"/>
      <c r="S668" s="1"/>
      <c r="U668" s="1"/>
      <c r="W668" s="1"/>
      <c r="Y668" s="1"/>
      <c r="AA668" s="1"/>
      <c r="AC668" s="1"/>
      <c r="AE668" s="1"/>
      <c r="AG668" s="1"/>
      <c r="AI668" s="1"/>
      <c r="AK668" s="1"/>
      <c r="AM668" s="1"/>
      <c r="AO668" s="1"/>
      <c r="AQ668" s="1"/>
      <c r="AS668" s="1"/>
      <c r="AU668" s="1"/>
      <c r="AW668" s="1"/>
      <c r="AY668" s="1"/>
      <c r="BA668" s="1"/>
      <c r="BC668" s="1"/>
      <c r="BE668" s="1"/>
      <c r="BG668" s="1"/>
      <c r="BI668" s="1"/>
    </row>
    <row r="669" ht="15.75" customHeight="1">
      <c r="A669" s="1"/>
      <c r="B669" s="1"/>
      <c r="C669" s="1"/>
      <c r="E669" s="1"/>
      <c r="G669" s="1"/>
      <c r="I669" s="1"/>
      <c r="K669" s="1"/>
      <c r="M669" s="1"/>
      <c r="O669" s="1"/>
      <c r="Q669" s="1"/>
      <c r="S669" s="1"/>
      <c r="U669" s="1"/>
      <c r="W669" s="1"/>
      <c r="Y669" s="1"/>
      <c r="AA669" s="1"/>
      <c r="AC669" s="1"/>
      <c r="AE669" s="1"/>
      <c r="AG669" s="1"/>
      <c r="AI669" s="1"/>
      <c r="AK669" s="1"/>
      <c r="AM669" s="1"/>
      <c r="AO669" s="1"/>
      <c r="AQ669" s="1"/>
      <c r="AS669" s="1"/>
      <c r="AU669" s="1"/>
      <c r="AW669" s="1"/>
      <c r="AY669" s="1"/>
      <c r="BA669" s="1"/>
      <c r="BC669" s="1"/>
      <c r="BE669" s="1"/>
      <c r="BG669" s="1"/>
      <c r="BI669" s="1"/>
    </row>
    <row r="670" ht="15.75" customHeight="1">
      <c r="A670" s="1"/>
      <c r="B670" s="1"/>
      <c r="C670" s="1"/>
      <c r="E670" s="1"/>
      <c r="G670" s="1"/>
      <c r="I670" s="1"/>
      <c r="K670" s="1"/>
      <c r="M670" s="1"/>
      <c r="O670" s="1"/>
      <c r="Q670" s="1"/>
      <c r="S670" s="1"/>
      <c r="U670" s="1"/>
      <c r="W670" s="1"/>
      <c r="Y670" s="1"/>
      <c r="AA670" s="1"/>
      <c r="AC670" s="1"/>
      <c r="AE670" s="1"/>
      <c r="AG670" s="1"/>
      <c r="AI670" s="1"/>
      <c r="AK670" s="1"/>
      <c r="AM670" s="1"/>
      <c r="AO670" s="1"/>
      <c r="AQ670" s="1"/>
      <c r="AS670" s="1"/>
      <c r="AU670" s="1"/>
      <c r="AW670" s="1"/>
      <c r="AY670" s="1"/>
      <c r="BA670" s="1"/>
      <c r="BC670" s="1"/>
      <c r="BE670" s="1"/>
      <c r="BG670" s="1"/>
      <c r="BI670" s="1"/>
    </row>
    <row r="671" ht="15.75" customHeight="1">
      <c r="A671" s="1"/>
      <c r="B671" s="1"/>
      <c r="C671" s="1"/>
      <c r="E671" s="1"/>
      <c r="G671" s="1"/>
      <c r="I671" s="1"/>
      <c r="K671" s="1"/>
      <c r="M671" s="1"/>
      <c r="O671" s="1"/>
      <c r="Q671" s="1"/>
      <c r="S671" s="1"/>
      <c r="U671" s="1"/>
      <c r="W671" s="1"/>
      <c r="Y671" s="1"/>
      <c r="AA671" s="1"/>
      <c r="AC671" s="1"/>
      <c r="AE671" s="1"/>
      <c r="AG671" s="1"/>
      <c r="AI671" s="1"/>
      <c r="AK671" s="1"/>
      <c r="AM671" s="1"/>
      <c r="AO671" s="1"/>
      <c r="AQ671" s="1"/>
      <c r="AS671" s="1"/>
      <c r="AU671" s="1"/>
      <c r="AW671" s="1"/>
      <c r="AY671" s="1"/>
      <c r="BA671" s="1"/>
      <c r="BC671" s="1"/>
      <c r="BE671" s="1"/>
      <c r="BG671" s="1"/>
      <c r="BI671" s="1"/>
    </row>
    <row r="672" ht="15.75" customHeight="1">
      <c r="A672" s="1"/>
      <c r="B672" s="1"/>
      <c r="C672" s="1"/>
      <c r="E672" s="1"/>
      <c r="G672" s="1"/>
      <c r="I672" s="1"/>
      <c r="K672" s="1"/>
      <c r="M672" s="1"/>
      <c r="O672" s="1"/>
      <c r="Q672" s="1"/>
      <c r="S672" s="1"/>
      <c r="U672" s="1"/>
      <c r="W672" s="1"/>
      <c r="Y672" s="1"/>
      <c r="AA672" s="1"/>
      <c r="AC672" s="1"/>
      <c r="AE672" s="1"/>
      <c r="AG672" s="1"/>
      <c r="AI672" s="1"/>
      <c r="AK672" s="1"/>
      <c r="AM672" s="1"/>
      <c r="AO672" s="1"/>
      <c r="AQ672" s="1"/>
      <c r="AS672" s="1"/>
      <c r="AU672" s="1"/>
      <c r="AW672" s="1"/>
      <c r="AY672" s="1"/>
      <c r="BA672" s="1"/>
      <c r="BC672" s="1"/>
      <c r="BE672" s="1"/>
      <c r="BG672" s="1"/>
      <c r="BI672" s="1"/>
    </row>
    <row r="673" ht="15.75" customHeight="1">
      <c r="A673" s="1"/>
      <c r="B673" s="1"/>
      <c r="C673" s="1"/>
      <c r="E673" s="1"/>
      <c r="G673" s="1"/>
      <c r="I673" s="1"/>
      <c r="K673" s="1"/>
      <c r="M673" s="1"/>
      <c r="O673" s="1"/>
      <c r="Q673" s="1"/>
      <c r="S673" s="1"/>
      <c r="U673" s="1"/>
      <c r="W673" s="1"/>
      <c r="Y673" s="1"/>
      <c r="AA673" s="1"/>
      <c r="AC673" s="1"/>
      <c r="AE673" s="1"/>
      <c r="AG673" s="1"/>
      <c r="AI673" s="1"/>
      <c r="AK673" s="1"/>
      <c r="AM673" s="1"/>
      <c r="AO673" s="1"/>
      <c r="AQ673" s="1"/>
      <c r="AS673" s="1"/>
      <c r="AU673" s="1"/>
      <c r="AW673" s="1"/>
      <c r="AY673" s="1"/>
      <c r="BA673" s="1"/>
      <c r="BC673" s="1"/>
      <c r="BE673" s="1"/>
      <c r="BG673" s="1"/>
      <c r="BI673" s="1"/>
    </row>
    <row r="674" ht="15.75" customHeight="1">
      <c r="A674" s="1"/>
      <c r="B674" s="1"/>
      <c r="C674" s="1"/>
      <c r="E674" s="1"/>
      <c r="G674" s="1"/>
      <c r="I674" s="1"/>
      <c r="K674" s="1"/>
      <c r="M674" s="1"/>
      <c r="O674" s="1"/>
      <c r="Q674" s="1"/>
      <c r="S674" s="1"/>
      <c r="U674" s="1"/>
      <c r="W674" s="1"/>
      <c r="Y674" s="1"/>
      <c r="AA674" s="1"/>
      <c r="AC674" s="1"/>
      <c r="AE674" s="1"/>
      <c r="AG674" s="1"/>
      <c r="AI674" s="1"/>
      <c r="AK674" s="1"/>
      <c r="AM674" s="1"/>
      <c r="AO674" s="1"/>
      <c r="AQ674" s="1"/>
      <c r="AS674" s="1"/>
      <c r="AU674" s="1"/>
      <c r="AW674" s="1"/>
      <c r="AY674" s="1"/>
      <c r="BA674" s="1"/>
      <c r="BC674" s="1"/>
      <c r="BE674" s="1"/>
      <c r="BG674" s="1"/>
      <c r="BI674" s="1"/>
    </row>
    <row r="675" ht="15.75" customHeight="1">
      <c r="A675" s="1"/>
      <c r="B675" s="1"/>
      <c r="C675" s="1"/>
      <c r="E675" s="1"/>
      <c r="G675" s="1"/>
      <c r="I675" s="1"/>
      <c r="K675" s="1"/>
      <c r="M675" s="1"/>
      <c r="O675" s="1"/>
      <c r="Q675" s="1"/>
      <c r="S675" s="1"/>
      <c r="U675" s="1"/>
      <c r="W675" s="1"/>
      <c r="Y675" s="1"/>
      <c r="AA675" s="1"/>
      <c r="AC675" s="1"/>
      <c r="AE675" s="1"/>
      <c r="AG675" s="1"/>
      <c r="AI675" s="1"/>
      <c r="AK675" s="1"/>
      <c r="AM675" s="1"/>
      <c r="AO675" s="1"/>
      <c r="AQ675" s="1"/>
      <c r="AS675" s="1"/>
      <c r="AU675" s="1"/>
      <c r="AW675" s="1"/>
      <c r="AY675" s="1"/>
      <c r="BA675" s="1"/>
      <c r="BC675" s="1"/>
      <c r="BE675" s="1"/>
      <c r="BG675" s="1"/>
      <c r="BI675" s="1"/>
    </row>
    <row r="676" ht="15.75" customHeight="1">
      <c r="A676" s="1"/>
      <c r="B676" s="1"/>
      <c r="C676" s="1"/>
      <c r="E676" s="1"/>
      <c r="G676" s="1"/>
      <c r="I676" s="1"/>
      <c r="K676" s="1"/>
      <c r="M676" s="1"/>
      <c r="O676" s="1"/>
      <c r="Q676" s="1"/>
      <c r="S676" s="1"/>
      <c r="U676" s="1"/>
      <c r="W676" s="1"/>
      <c r="Y676" s="1"/>
      <c r="AA676" s="1"/>
      <c r="AC676" s="1"/>
      <c r="AE676" s="1"/>
      <c r="AG676" s="1"/>
      <c r="AI676" s="1"/>
      <c r="AK676" s="1"/>
      <c r="AM676" s="1"/>
      <c r="AO676" s="1"/>
      <c r="AQ676" s="1"/>
      <c r="AS676" s="1"/>
      <c r="AU676" s="1"/>
      <c r="AW676" s="1"/>
      <c r="AY676" s="1"/>
      <c r="BA676" s="1"/>
      <c r="BC676" s="1"/>
      <c r="BE676" s="1"/>
      <c r="BG676" s="1"/>
      <c r="BI676" s="1"/>
    </row>
    <row r="677" ht="15.75" customHeight="1">
      <c r="A677" s="1"/>
      <c r="B677" s="1"/>
      <c r="C677" s="1"/>
      <c r="E677" s="1"/>
      <c r="G677" s="1"/>
      <c r="I677" s="1"/>
      <c r="K677" s="1"/>
      <c r="M677" s="1"/>
      <c r="O677" s="1"/>
      <c r="Q677" s="1"/>
      <c r="S677" s="1"/>
      <c r="U677" s="1"/>
      <c r="W677" s="1"/>
      <c r="Y677" s="1"/>
      <c r="AA677" s="1"/>
      <c r="AC677" s="1"/>
      <c r="AE677" s="1"/>
      <c r="AG677" s="1"/>
      <c r="AI677" s="1"/>
      <c r="AK677" s="1"/>
      <c r="AM677" s="1"/>
      <c r="AO677" s="1"/>
      <c r="AQ677" s="1"/>
      <c r="AS677" s="1"/>
      <c r="AU677" s="1"/>
      <c r="AW677" s="1"/>
      <c r="AY677" s="1"/>
      <c r="BA677" s="1"/>
      <c r="BC677" s="1"/>
      <c r="BE677" s="1"/>
      <c r="BG677" s="1"/>
      <c r="BI677" s="1"/>
    </row>
    <row r="678" ht="15.75" customHeight="1">
      <c r="A678" s="1"/>
      <c r="B678" s="1"/>
      <c r="C678" s="1"/>
      <c r="E678" s="1"/>
      <c r="G678" s="1"/>
      <c r="I678" s="1"/>
      <c r="K678" s="1"/>
      <c r="M678" s="1"/>
      <c r="O678" s="1"/>
      <c r="Q678" s="1"/>
      <c r="S678" s="1"/>
      <c r="U678" s="1"/>
      <c r="W678" s="1"/>
      <c r="Y678" s="1"/>
      <c r="AA678" s="1"/>
      <c r="AC678" s="1"/>
      <c r="AE678" s="1"/>
      <c r="AG678" s="1"/>
      <c r="AI678" s="1"/>
      <c r="AK678" s="1"/>
      <c r="AM678" s="1"/>
      <c r="AO678" s="1"/>
      <c r="AQ678" s="1"/>
      <c r="AS678" s="1"/>
      <c r="AU678" s="1"/>
      <c r="AW678" s="1"/>
      <c r="AY678" s="1"/>
      <c r="BA678" s="1"/>
      <c r="BC678" s="1"/>
      <c r="BE678" s="1"/>
      <c r="BG678" s="1"/>
      <c r="BI678" s="1"/>
    </row>
    <row r="679" ht="15.75" customHeight="1">
      <c r="A679" s="1"/>
      <c r="B679" s="1"/>
      <c r="C679" s="1"/>
      <c r="E679" s="1"/>
      <c r="G679" s="1"/>
      <c r="I679" s="1"/>
      <c r="K679" s="1"/>
      <c r="M679" s="1"/>
      <c r="O679" s="1"/>
      <c r="Q679" s="1"/>
      <c r="S679" s="1"/>
      <c r="U679" s="1"/>
      <c r="W679" s="1"/>
      <c r="Y679" s="1"/>
      <c r="AA679" s="1"/>
      <c r="AC679" s="1"/>
      <c r="AE679" s="1"/>
      <c r="AG679" s="1"/>
      <c r="AI679" s="1"/>
      <c r="AK679" s="1"/>
      <c r="AM679" s="1"/>
      <c r="AO679" s="1"/>
      <c r="AQ679" s="1"/>
      <c r="AS679" s="1"/>
      <c r="AU679" s="1"/>
      <c r="AW679" s="1"/>
      <c r="AY679" s="1"/>
      <c r="BA679" s="1"/>
      <c r="BC679" s="1"/>
      <c r="BE679" s="1"/>
      <c r="BG679" s="1"/>
      <c r="BI679" s="1"/>
    </row>
    <row r="680" ht="15.75" customHeight="1">
      <c r="A680" s="1"/>
      <c r="B680" s="1"/>
      <c r="C680" s="1"/>
      <c r="E680" s="1"/>
      <c r="G680" s="1"/>
      <c r="I680" s="1"/>
      <c r="K680" s="1"/>
      <c r="M680" s="1"/>
      <c r="O680" s="1"/>
      <c r="Q680" s="1"/>
      <c r="S680" s="1"/>
      <c r="U680" s="1"/>
      <c r="W680" s="1"/>
      <c r="Y680" s="1"/>
      <c r="AA680" s="1"/>
      <c r="AC680" s="1"/>
      <c r="AE680" s="1"/>
      <c r="AG680" s="1"/>
      <c r="AI680" s="1"/>
      <c r="AK680" s="1"/>
      <c r="AM680" s="1"/>
      <c r="AO680" s="1"/>
      <c r="AQ680" s="1"/>
      <c r="AS680" s="1"/>
      <c r="AU680" s="1"/>
      <c r="AW680" s="1"/>
      <c r="AY680" s="1"/>
      <c r="BA680" s="1"/>
      <c r="BC680" s="1"/>
      <c r="BE680" s="1"/>
      <c r="BG680" s="1"/>
      <c r="BI680" s="1"/>
    </row>
    <row r="681" ht="15.75" customHeight="1">
      <c r="A681" s="1"/>
      <c r="B681" s="1"/>
      <c r="C681" s="1"/>
      <c r="E681" s="1"/>
      <c r="G681" s="1"/>
      <c r="I681" s="1"/>
      <c r="K681" s="1"/>
      <c r="M681" s="1"/>
      <c r="O681" s="1"/>
      <c r="Q681" s="1"/>
      <c r="S681" s="1"/>
      <c r="U681" s="1"/>
      <c r="W681" s="1"/>
      <c r="Y681" s="1"/>
      <c r="AA681" s="1"/>
      <c r="AC681" s="1"/>
      <c r="AE681" s="1"/>
      <c r="AG681" s="1"/>
      <c r="AI681" s="1"/>
      <c r="AK681" s="1"/>
      <c r="AM681" s="1"/>
      <c r="AO681" s="1"/>
      <c r="AQ681" s="1"/>
      <c r="AS681" s="1"/>
      <c r="AU681" s="1"/>
      <c r="AW681" s="1"/>
      <c r="AY681" s="1"/>
      <c r="BA681" s="1"/>
      <c r="BC681" s="1"/>
      <c r="BE681" s="1"/>
      <c r="BG681" s="1"/>
      <c r="BI681" s="1"/>
    </row>
    <row r="682" ht="15.75" customHeight="1">
      <c r="A682" s="1"/>
      <c r="B682" s="1"/>
      <c r="C682" s="1"/>
      <c r="E682" s="1"/>
      <c r="G682" s="1"/>
      <c r="I682" s="1"/>
      <c r="K682" s="1"/>
      <c r="M682" s="1"/>
      <c r="O682" s="1"/>
      <c r="Q682" s="1"/>
      <c r="S682" s="1"/>
      <c r="U682" s="1"/>
      <c r="W682" s="1"/>
      <c r="Y682" s="1"/>
      <c r="AA682" s="1"/>
      <c r="AC682" s="1"/>
      <c r="AE682" s="1"/>
      <c r="AG682" s="1"/>
      <c r="AI682" s="1"/>
      <c r="AK682" s="1"/>
      <c r="AM682" s="1"/>
      <c r="AO682" s="1"/>
      <c r="AQ682" s="1"/>
      <c r="AS682" s="1"/>
      <c r="AU682" s="1"/>
      <c r="AW682" s="1"/>
      <c r="AY682" s="1"/>
      <c r="BA682" s="1"/>
      <c r="BC682" s="1"/>
      <c r="BE682" s="1"/>
      <c r="BG682" s="1"/>
      <c r="BI682" s="1"/>
    </row>
    <row r="683" ht="15.75" customHeight="1">
      <c r="A683" s="1"/>
      <c r="B683" s="1"/>
      <c r="C683" s="1"/>
      <c r="E683" s="1"/>
      <c r="G683" s="1"/>
      <c r="I683" s="1"/>
      <c r="K683" s="1"/>
      <c r="M683" s="1"/>
      <c r="O683" s="1"/>
      <c r="Q683" s="1"/>
      <c r="S683" s="1"/>
      <c r="U683" s="1"/>
      <c r="W683" s="1"/>
      <c r="Y683" s="1"/>
      <c r="AA683" s="1"/>
      <c r="AC683" s="1"/>
      <c r="AE683" s="1"/>
      <c r="AG683" s="1"/>
      <c r="AI683" s="1"/>
      <c r="AK683" s="1"/>
      <c r="AM683" s="1"/>
      <c r="AO683" s="1"/>
      <c r="AQ683" s="1"/>
      <c r="AS683" s="1"/>
      <c r="AU683" s="1"/>
      <c r="AW683" s="1"/>
      <c r="AY683" s="1"/>
      <c r="BA683" s="1"/>
      <c r="BC683" s="1"/>
      <c r="BE683" s="1"/>
      <c r="BG683" s="1"/>
      <c r="BI683" s="1"/>
    </row>
    <row r="684" ht="15.75" customHeight="1">
      <c r="A684" s="1"/>
      <c r="B684" s="1"/>
      <c r="C684" s="1"/>
      <c r="E684" s="1"/>
      <c r="G684" s="1"/>
      <c r="I684" s="1"/>
      <c r="K684" s="1"/>
      <c r="M684" s="1"/>
      <c r="O684" s="1"/>
      <c r="Q684" s="1"/>
      <c r="S684" s="1"/>
      <c r="U684" s="1"/>
      <c r="W684" s="1"/>
      <c r="Y684" s="1"/>
      <c r="AA684" s="1"/>
      <c r="AC684" s="1"/>
      <c r="AE684" s="1"/>
      <c r="AG684" s="1"/>
      <c r="AI684" s="1"/>
      <c r="AK684" s="1"/>
      <c r="AM684" s="1"/>
      <c r="AO684" s="1"/>
      <c r="AQ684" s="1"/>
      <c r="AS684" s="1"/>
      <c r="AU684" s="1"/>
      <c r="AW684" s="1"/>
      <c r="AY684" s="1"/>
      <c r="BA684" s="1"/>
      <c r="BC684" s="1"/>
      <c r="BE684" s="1"/>
      <c r="BG684" s="1"/>
      <c r="BI684" s="1"/>
    </row>
    <row r="685" ht="15.75" customHeight="1">
      <c r="A685" s="1"/>
      <c r="B685" s="1"/>
      <c r="C685" s="1"/>
      <c r="E685" s="1"/>
      <c r="G685" s="1"/>
      <c r="I685" s="1"/>
      <c r="K685" s="1"/>
      <c r="M685" s="1"/>
      <c r="O685" s="1"/>
      <c r="Q685" s="1"/>
      <c r="S685" s="1"/>
      <c r="U685" s="1"/>
      <c r="W685" s="1"/>
      <c r="Y685" s="1"/>
      <c r="AA685" s="1"/>
      <c r="AC685" s="1"/>
      <c r="AE685" s="1"/>
      <c r="AG685" s="1"/>
      <c r="AI685" s="1"/>
      <c r="AK685" s="1"/>
      <c r="AM685" s="1"/>
      <c r="AO685" s="1"/>
      <c r="AQ685" s="1"/>
      <c r="AS685" s="1"/>
      <c r="AU685" s="1"/>
      <c r="AW685" s="1"/>
      <c r="AY685" s="1"/>
      <c r="BA685" s="1"/>
      <c r="BC685" s="1"/>
      <c r="BE685" s="1"/>
      <c r="BG685" s="1"/>
      <c r="BI685" s="1"/>
    </row>
    <row r="686" ht="15.75" customHeight="1">
      <c r="A686" s="1"/>
      <c r="B686" s="1"/>
      <c r="C686" s="1"/>
      <c r="E686" s="1"/>
      <c r="G686" s="1"/>
      <c r="I686" s="1"/>
      <c r="K686" s="1"/>
      <c r="M686" s="1"/>
      <c r="O686" s="1"/>
      <c r="Q686" s="1"/>
      <c r="S686" s="1"/>
      <c r="U686" s="1"/>
      <c r="W686" s="1"/>
      <c r="Y686" s="1"/>
      <c r="AA686" s="1"/>
      <c r="AC686" s="1"/>
      <c r="AE686" s="1"/>
      <c r="AG686" s="1"/>
      <c r="AI686" s="1"/>
      <c r="AK686" s="1"/>
      <c r="AM686" s="1"/>
      <c r="AO686" s="1"/>
      <c r="AQ686" s="1"/>
      <c r="AS686" s="1"/>
      <c r="AU686" s="1"/>
      <c r="AW686" s="1"/>
      <c r="AY686" s="1"/>
      <c r="BA686" s="1"/>
      <c r="BC686" s="1"/>
      <c r="BE686" s="1"/>
      <c r="BG686" s="1"/>
      <c r="BI686" s="1"/>
    </row>
    <row r="687" ht="15.75" customHeight="1">
      <c r="A687" s="1"/>
      <c r="B687" s="1"/>
      <c r="C687" s="1"/>
      <c r="E687" s="1"/>
      <c r="G687" s="1"/>
      <c r="I687" s="1"/>
      <c r="K687" s="1"/>
      <c r="M687" s="1"/>
      <c r="O687" s="1"/>
      <c r="Q687" s="1"/>
      <c r="S687" s="1"/>
      <c r="U687" s="1"/>
      <c r="W687" s="1"/>
      <c r="Y687" s="1"/>
      <c r="AA687" s="1"/>
      <c r="AC687" s="1"/>
      <c r="AE687" s="1"/>
      <c r="AG687" s="1"/>
      <c r="AI687" s="1"/>
      <c r="AK687" s="1"/>
      <c r="AM687" s="1"/>
      <c r="AO687" s="1"/>
      <c r="AQ687" s="1"/>
      <c r="AS687" s="1"/>
      <c r="AU687" s="1"/>
      <c r="AW687" s="1"/>
      <c r="AY687" s="1"/>
      <c r="BA687" s="1"/>
      <c r="BC687" s="1"/>
      <c r="BE687" s="1"/>
      <c r="BG687" s="1"/>
      <c r="BI687" s="1"/>
    </row>
    <row r="688" ht="15.75" customHeight="1">
      <c r="A688" s="1"/>
      <c r="B688" s="1"/>
      <c r="C688" s="1"/>
      <c r="E688" s="1"/>
      <c r="G688" s="1"/>
      <c r="I688" s="1"/>
      <c r="K688" s="1"/>
      <c r="M688" s="1"/>
      <c r="O688" s="1"/>
      <c r="Q688" s="1"/>
      <c r="S688" s="1"/>
      <c r="U688" s="1"/>
      <c r="W688" s="1"/>
      <c r="Y688" s="1"/>
      <c r="AA688" s="1"/>
      <c r="AC688" s="1"/>
      <c r="AE688" s="1"/>
      <c r="AG688" s="1"/>
      <c r="AI688" s="1"/>
      <c r="AK688" s="1"/>
      <c r="AM688" s="1"/>
      <c r="AO688" s="1"/>
      <c r="AQ688" s="1"/>
      <c r="AS688" s="1"/>
      <c r="AU688" s="1"/>
      <c r="AW688" s="1"/>
      <c r="AY688" s="1"/>
      <c r="BA688" s="1"/>
      <c r="BC688" s="1"/>
      <c r="BE688" s="1"/>
      <c r="BG688" s="1"/>
      <c r="BI688" s="1"/>
    </row>
    <row r="689" ht="15.75" customHeight="1">
      <c r="A689" s="1"/>
      <c r="B689" s="1"/>
      <c r="C689" s="1"/>
      <c r="E689" s="1"/>
      <c r="G689" s="1"/>
      <c r="I689" s="1"/>
      <c r="K689" s="1"/>
      <c r="M689" s="1"/>
      <c r="O689" s="1"/>
      <c r="Q689" s="1"/>
      <c r="S689" s="1"/>
      <c r="U689" s="1"/>
      <c r="W689" s="1"/>
      <c r="Y689" s="1"/>
      <c r="AA689" s="1"/>
      <c r="AC689" s="1"/>
      <c r="AE689" s="1"/>
      <c r="AG689" s="1"/>
      <c r="AI689" s="1"/>
      <c r="AK689" s="1"/>
      <c r="AM689" s="1"/>
      <c r="AO689" s="1"/>
      <c r="AQ689" s="1"/>
      <c r="AS689" s="1"/>
      <c r="AU689" s="1"/>
      <c r="AW689" s="1"/>
      <c r="AY689" s="1"/>
      <c r="BA689" s="1"/>
      <c r="BC689" s="1"/>
      <c r="BE689" s="1"/>
      <c r="BG689" s="1"/>
      <c r="BI689" s="1"/>
    </row>
    <row r="690" ht="15.75" customHeight="1">
      <c r="A690" s="1"/>
      <c r="B690" s="1"/>
      <c r="C690" s="1"/>
      <c r="E690" s="1"/>
      <c r="G690" s="1"/>
      <c r="I690" s="1"/>
      <c r="K690" s="1"/>
      <c r="M690" s="1"/>
      <c r="O690" s="1"/>
      <c r="Q690" s="1"/>
      <c r="S690" s="1"/>
      <c r="U690" s="1"/>
      <c r="W690" s="1"/>
      <c r="Y690" s="1"/>
      <c r="AA690" s="1"/>
      <c r="AC690" s="1"/>
      <c r="AE690" s="1"/>
      <c r="AG690" s="1"/>
      <c r="AI690" s="1"/>
      <c r="AK690" s="1"/>
      <c r="AM690" s="1"/>
      <c r="AO690" s="1"/>
      <c r="AQ690" s="1"/>
      <c r="AS690" s="1"/>
      <c r="AU690" s="1"/>
      <c r="AW690" s="1"/>
      <c r="AY690" s="1"/>
      <c r="BA690" s="1"/>
      <c r="BC690" s="1"/>
      <c r="BE690" s="1"/>
      <c r="BG690" s="1"/>
      <c r="BI690" s="1"/>
    </row>
    <row r="691" ht="15.75" customHeight="1">
      <c r="A691" s="1"/>
      <c r="B691" s="1"/>
      <c r="C691" s="1"/>
      <c r="E691" s="1"/>
      <c r="G691" s="1"/>
      <c r="I691" s="1"/>
      <c r="K691" s="1"/>
      <c r="M691" s="1"/>
      <c r="O691" s="1"/>
      <c r="Q691" s="1"/>
      <c r="S691" s="1"/>
      <c r="U691" s="1"/>
      <c r="W691" s="1"/>
      <c r="Y691" s="1"/>
      <c r="AA691" s="1"/>
      <c r="AC691" s="1"/>
      <c r="AE691" s="1"/>
      <c r="AG691" s="1"/>
      <c r="AI691" s="1"/>
      <c r="AK691" s="1"/>
      <c r="AM691" s="1"/>
      <c r="AO691" s="1"/>
      <c r="AQ691" s="1"/>
      <c r="AS691" s="1"/>
      <c r="AU691" s="1"/>
      <c r="AW691" s="1"/>
      <c r="AY691" s="1"/>
      <c r="BA691" s="1"/>
      <c r="BC691" s="1"/>
      <c r="BE691" s="1"/>
      <c r="BG691" s="1"/>
      <c r="BI691" s="1"/>
    </row>
    <row r="692" ht="15.75" customHeight="1">
      <c r="A692" s="1"/>
      <c r="B692" s="1"/>
      <c r="C692" s="1"/>
      <c r="E692" s="1"/>
      <c r="G692" s="1"/>
      <c r="I692" s="1"/>
      <c r="K692" s="1"/>
      <c r="M692" s="1"/>
      <c r="O692" s="1"/>
      <c r="Q692" s="1"/>
      <c r="S692" s="1"/>
      <c r="U692" s="1"/>
      <c r="W692" s="1"/>
      <c r="Y692" s="1"/>
      <c r="AA692" s="1"/>
      <c r="AC692" s="1"/>
      <c r="AE692" s="1"/>
      <c r="AG692" s="1"/>
      <c r="AI692" s="1"/>
      <c r="AK692" s="1"/>
      <c r="AM692" s="1"/>
      <c r="AO692" s="1"/>
      <c r="AQ692" s="1"/>
      <c r="AS692" s="1"/>
      <c r="AU692" s="1"/>
      <c r="AW692" s="1"/>
      <c r="AY692" s="1"/>
      <c r="BA692" s="1"/>
      <c r="BC692" s="1"/>
      <c r="BE692" s="1"/>
      <c r="BG692" s="1"/>
      <c r="BI692" s="1"/>
    </row>
    <row r="693" ht="15.75" customHeight="1">
      <c r="A693" s="1"/>
      <c r="B693" s="1"/>
      <c r="C693" s="1"/>
      <c r="E693" s="1"/>
      <c r="G693" s="1"/>
      <c r="I693" s="1"/>
      <c r="K693" s="1"/>
      <c r="M693" s="1"/>
      <c r="O693" s="1"/>
      <c r="Q693" s="1"/>
      <c r="S693" s="1"/>
      <c r="U693" s="1"/>
      <c r="W693" s="1"/>
      <c r="Y693" s="1"/>
      <c r="AA693" s="1"/>
      <c r="AC693" s="1"/>
      <c r="AE693" s="1"/>
      <c r="AG693" s="1"/>
      <c r="AI693" s="1"/>
      <c r="AK693" s="1"/>
      <c r="AM693" s="1"/>
      <c r="AO693" s="1"/>
      <c r="AQ693" s="1"/>
      <c r="AS693" s="1"/>
      <c r="AU693" s="1"/>
      <c r="AW693" s="1"/>
      <c r="AY693" s="1"/>
      <c r="BA693" s="1"/>
      <c r="BC693" s="1"/>
      <c r="BE693" s="1"/>
      <c r="BG693" s="1"/>
      <c r="BI693" s="1"/>
    </row>
    <row r="694" ht="15.75" customHeight="1">
      <c r="A694" s="1"/>
      <c r="B694" s="1"/>
      <c r="C694" s="1"/>
      <c r="E694" s="1"/>
      <c r="G694" s="1"/>
      <c r="I694" s="1"/>
      <c r="K694" s="1"/>
      <c r="M694" s="1"/>
      <c r="O694" s="1"/>
      <c r="Q694" s="1"/>
      <c r="S694" s="1"/>
      <c r="U694" s="1"/>
      <c r="W694" s="1"/>
      <c r="Y694" s="1"/>
      <c r="AA694" s="1"/>
      <c r="AC694" s="1"/>
      <c r="AE694" s="1"/>
      <c r="AG694" s="1"/>
      <c r="AI694" s="1"/>
      <c r="AK694" s="1"/>
      <c r="AM694" s="1"/>
      <c r="AO694" s="1"/>
      <c r="AQ694" s="1"/>
      <c r="AS694" s="1"/>
      <c r="AU694" s="1"/>
      <c r="AW694" s="1"/>
      <c r="AY694" s="1"/>
      <c r="BA694" s="1"/>
      <c r="BC694" s="1"/>
      <c r="BE694" s="1"/>
      <c r="BG694" s="1"/>
      <c r="BI694" s="1"/>
    </row>
    <row r="695" ht="15.75" customHeight="1">
      <c r="A695" s="1"/>
      <c r="B695" s="1"/>
      <c r="C695" s="1"/>
      <c r="E695" s="1"/>
      <c r="G695" s="1"/>
      <c r="I695" s="1"/>
      <c r="K695" s="1"/>
      <c r="M695" s="1"/>
      <c r="O695" s="1"/>
      <c r="Q695" s="1"/>
      <c r="S695" s="1"/>
      <c r="U695" s="1"/>
      <c r="W695" s="1"/>
      <c r="Y695" s="1"/>
      <c r="AA695" s="1"/>
      <c r="AC695" s="1"/>
      <c r="AE695" s="1"/>
      <c r="AG695" s="1"/>
      <c r="AI695" s="1"/>
      <c r="AK695" s="1"/>
      <c r="AM695" s="1"/>
      <c r="AO695" s="1"/>
      <c r="AQ695" s="1"/>
      <c r="AS695" s="1"/>
      <c r="AU695" s="1"/>
      <c r="AW695" s="1"/>
      <c r="AY695" s="1"/>
      <c r="BA695" s="1"/>
      <c r="BC695" s="1"/>
      <c r="BE695" s="1"/>
      <c r="BG695" s="1"/>
      <c r="BI695" s="1"/>
    </row>
    <row r="696" ht="15.75" customHeight="1">
      <c r="A696" s="1"/>
      <c r="B696" s="1"/>
      <c r="C696" s="1"/>
      <c r="E696" s="1"/>
      <c r="G696" s="1"/>
      <c r="I696" s="1"/>
      <c r="K696" s="1"/>
      <c r="M696" s="1"/>
      <c r="O696" s="1"/>
      <c r="Q696" s="1"/>
      <c r="S696" s="1"/>
      <c r="U696" s="1"/>
      <c r="W696" s="1"/>
      <c r="Y696" s="1"/>
      <c r="AA696" s="1"/>
      <c r="AC696" s="1"/>
      <c r="AE696" s="1"/>
      <c r="AG696" s="1"/>
      <c r="AI696" s="1"/>
      <c r="AK696" s="1"/>
      <c r="AM696" s="1"/>
      <c r="AO696" s="1"/>
      <c r="AQ696" s="1"/>
      <c r="AS696" s="1"/>
      <c r="AU696" s="1"/>
      <c r="AW696" s="1"/>
      <c r="AY696" s="1"/>
      <c r="BA696" s="1"/>
      <c r="BC696" s="1"/>
      <c r="BE696" s="1"/>
      <c r="BG696" s="1"/>
      <c r="BI696" s="1"/>
    </row>
    <row r="697" ht="15.75" customHeight="1">
      <c r="A697" s="1"/>
      <c r="B697" s="1"/>
      <c r="C697" s="1"/>
      <c r="E697" s="1"/>
      <c r="G697" s="1"/>
      <c r="I697" s="1"/>
      <c r="K697" s="1"/>
      <c r="M697" s="1"/>
      <c r="O697" s="1"/>
      <c r="Q697" s="1"/>
      <c r="S697" s="1"/>
      <c r="U697" s="1"/>
      <c r="W697" s="1"/>
      <c r="Y697" s="1"/>
      <c r="AA697" s="1"/>
      <c r="AC697" s="1"/>
      <c r="AE697" s="1"/>
      <c r="AG697" s="1"/>
      <c r="AI697" s="1"/>
      <c r="AK697" s="1"/>
      <c r="AM697" s="1"/>
      <c r="AO697" s="1"/>
      <c r="AQ697" s="1"/>
      <c r="AS697" s="1"/>
      <c r="AU697" s="1"/>
      <c r="AW697" s="1"/>
      <c r="AY697" s="1"/>
      <c r="BA697" s="1"/>
      <c r="BC697" s="1"/>
      <c r="BE697" s="1"/>
      <c r="BG697" s="1"/>
      <c r="BI697" s="1"/>
    </row>
    <row r="698" ht="15.75" customHeight="1">
      <c r="A698" s="1"/>
      <c r="B698" s="1"/>
      <c r="C698" s="1"/>
      <c r="E698" s="1"/>
      <c r="G698" s="1"/>
      <c r="I698" s="1"/>
      <c r="K698" s="1"/>
      <c r="M698" s="1"/>
      <c r="O698" s="1"/>
      <c r="Q698" s="1"/>
      <c r="S698" s="1"/>
      <c r="U698" s="1"/>
      <c r="W698" s="1"/>
      <c r="Y698" s="1"/>
      <c r="AA698" s="1"/>
      <c r="AC698" s="1"/>
      <c r="AE698" s="1"/>
      <c r="AG698" s="1"/>
      <c r="AI698" s="1"/>
      <c r="AK698" s="1"/>
      <c r="AM698" s="1"/>
      <c r="AO698" s="1"/>
      <c r="AQ698" s="1"/>
      <c r="AS698" s="1"/>
      <c r="AU698" s="1"/>
      <c r="AW698" s="1"/>
      <c r="AY698" s="1"/>
      <c r="BA698" s="1"/>
      <c r="BC698" s="1"/>
      <c r="BE698" s="1"/>
      <c r="BG698" s="1"/>
      <c r="BI698" s="1"/>
    </row>
    <row r="699" ht="15.75" customHeight="1">
      <c r="A699" s="1"/>
      <c r="B699" s="1"/>
      <c r="C699" s="1"/>
      <c r="E699" s="1"/>
      <c r="G699" s="1"/>
      <c r="I699" s="1"/>
      <c r="K699" s="1"/>
      <c r="M699" s="1"/>
      <c r="O699" s="1"/>
      <c r="Q699" s="1"/>
      <c r="S699" s="1"/>
      <c r="U699" s="1"/>
      <c r="W699" s="1"/>
      <c r="Y699" s="1"/>
      <c r="AA699" s="1"/>
      <c r="AC699" s="1"/>
      <c r="AE699" s="1"/>
      <c r="AG699" s="1"/>
      <c r="AI699" s="1"/>
      <c r="AK699" s="1"/>
      <c r="AM699" s="1"/>
      <c r="AO699" s="1"/>
      <c r="AQ699" s="1"/>
      <c r="AS699" s="1"/>
      <c r="AU699" s="1"/>
      <c r="AW699" s="1"/>
      <c r="AY699" s="1"/>
      <c r="BA699" s="1"/>
      <c r="BC699" s="1"/>
      <c r="BE699" s="1"/>
      <c r="BG699" s="1"/>
      <c r="BI699" s="1"/>
    </row>
    <row r="700" ht="15.75" customHeight="1">
      <c r="A700" s="1"/>
      <c r="B700" s="1"/>
      <c r="C700" s="1"/>
      <c r="E700" s="1"/>
      <c r="G700" s="1"/>
      <c r="I700" s="1"/>
      <c r="K700" s="1"/>
      <c r="M700" s="1"/>
      <c r="O700" s="1"/>
      <c r="Q700" s="1"/>
      <c r="S700" s="1"/>
      <c r="U700" s="1"/>
      <c r="W700" s="1"/>
      <c r="Y700" s="1"/>
      <c r="AA700" s="1"/>
      <c r="AC700" s="1"/>
      <c r="AE700" s="1"/>
      <c r="AG700" s="1"/>
      <c r="AI700" s="1"/>
      <c r="AK700" s="1"/>
      <c r="AM700" s="1"/>
      <c r="AO700" s="1"/>
      <c r="AQ700" s="1"/>
      <c r="AS700" s="1"/>
      <c r="AU700" s="1"/>
      <c r="AW700" s="1"/>
      <c r="AY700" s="1"/>
      <c r="BA700" s="1"/>
      <c r="BC700" s="1"/>
      <c r="BE700" s="1"/>
      <c r="BG700" s="1"/>
      <c r="BI700" s="1"/>
    </row>
    <row r="701" ht="15.75" customHeight="1">
      <c r="A701" s="1"/>
      <c r="B701" s="1"/>
      <c r="C701" s="1"/>
      <c r="E701" s="1"/>
      <c r="G701" s="1"/>
      <c r="I701" s="1"/>
      <c r="K701" s="1"/>
      <c r="M701" s="1"/>
      <c r="O701" s="1"/>
      <c r="Q701" s="1"/>
      <c r="S701" s="1"/>
      <c r="U701" s="1"/>
      <c r="W701" s="1"/>
      <c r="Y701" s="1"/>
      <c r="AA701" s="1"/>
      <c r="AC701" s="1"/>
      <c r="AE701" s="1"/>
      <c r="AG701" s="1"/>
      <c r="AI701" s="1"/>
      <c r="AK701" s="1"/>
      <c r="AM701" s="1"/>
      <c r="AO701" s="1"/>
      <c r="AQ701" s="1"/>
      <c r="AS701" s="1"/>
      <c r="AU701" s="1"/>
      <c r="AW701" s="1"/>
      <c r="AY701" s="1"/>
      <c r="BA701" s="1"/>
      <c r="BC701" s="1"/>
      <c r="BE701" s="1"/>
      <c r="BG701" s="1"/>
      <c r="BI701" s="1"/>
    </row>
    <row r="702" ht="15.75" customHeight="1">
      <c r="A702" s="1"/>
      <c r="B702" s="1"/>
      <c r="C702" s="1"/>
      <c r="E702" s="1"/>
      <c r="G702" s="1"/>
      <c r="I702" s="1"/>
      <c r="K702" s="1"/>
      <c r="M702" s="1"/>
      <c r="O702" s="1"/>
      <c r="Q702" s="1"/>
      <c r="S702" s="1"/>
      <c r="U702" s="1"/>
      <c r="W702" s="1"/>
      <c r="Y702" s="1"/>
      <c r="AA702" s="1"/>
      <c r="AC702" s="1"/>
      <c r="AE702" s="1"/>
      <c r="AG702" s="1"/>
      <c r="AI702" s="1"/>
      <c r="AK702" s="1"/>
      <c r="AM702" s="1"/>
      <c r="AO702" s="1"/>
      <c r="AQ702" s="1"/>
      <c r="AS702" s="1"/>
      <c r="AU702" s="1"/>
      <c r="AW702" s="1"/>
      <c r="AY702" s="1"/>
      <c r="BA702" s="1"/>
      <c r="BC702" s="1"/>
      <c r="BE702" s="1"/>
      <c r="BG702" s="1"/>
      <c r="BI702" s="1"/>
    </row>
    <row r="703" ht="15.75" customHeight="1">
      <c r="A703" s="1"/>
      <c r="B703" s="1"/>
      <c r="C703" s="1"/>
      <c r="E703" s="1"/>
      <c r="G703" s="1"/>
      <c r="I703" s="1"/>
      <c r="K703" s="1"/>
      <c r="M703" s="1"/>
      <c r="O703" s="1"/>
      <c r="Q703" s="1"/>
      <c r="S703" s="1"/>
      <c r="U703" s="1"/>
      <c r="W703" s="1"/>
      <c r="Y703" s="1"/>
      <c r="AA703" s="1"/>
      <c r="AC703" s="1"/>
      <c r="AE703" s="1"/>
      <c r="AG703" s="1"/>
      <c r="AI703" s="1"/>
      <c r="AK703" s="1"/>
      <c r="AM703" s="1"/>
      <c r="AO703" s="1"/>
      <c r="AQ703" s="1"/>
      <c r="AS703" s="1"/>
      <c r="AU703" s="1"/>
      <c r="AW703" s="1"/>
      <c r="AY703" s="1"/>
      <c r="BA703" s="1"/>
      <c r="BC703" s="1"/>
      <c r="BE703" s="1"/>
      <c r="BG703" s="1"/>
      <c r="BI703" s="1"/>
    </row>
    <row r="704" ht="15.75" customHeight="1">
      <c r="A704" s="1"/>
      <c r="B704" s="1"/>
      <c r="C704" s="1"/>
      <c r="E704" s="1"/>
      <c r="G704" s="1"/>
      <c r="I704" s="1"/>
      <c r="K704" s="1"/>
      <c r="M704" s="1"/>
      <c r="O704" s="1"/>
      <c r="Q704" s="1"/>
      <c r="S704" s="1"/>
      <c r="U704" s="1"/>
      <c r="W704" s="1"/>
      <c r="Y704" s="1"/>
      <c r="AA704" s="1"/>
      <c r="AC704" s="1"/>
      <c r="AE704" s="1"/>
      <c r="AG704" s="1"/>
      <c r="AI704" s="1"/>
      <c r="AK704" s="1"/>
      <c r="AM704" s="1"/>
      <c r="AO704" s="1"/>
      <c r="AQ704" s="1"/>
      <c r="AS704" s="1"/>
      <c r="AU704" s="1"/>
      <c r="AW704" s="1"/>
      <c r="AY704" s="1"/>
      <c r="BA704" s="1"/>
      <c r="BC704" s="1"/>
      <c r="BE704" s="1"/>
      <c r="BG704" s="1"/>
      <c r="BI704" s="1"/>
    </row>
    <row r="705" ht="15.75" customHeight="1">
      <c r="A705" s="1"/>
      <c r="B705" s="1"/>
      <c r="C705" s="1"/>
      <c r="E705" s="1"/>
      <c r="G705" s="1"/>
      <c r="I705" s="1"/>
      <c r="K705" s="1"/>
      <c r="M705" s="1"/>
      <c r="O705" s="1"/>
      <c r="Q705" s="1"/>
      <c r="S705" s="1"/>
      <c r="U705" s="1"/>
      <c r="W705" s="1"/>
      <c r="Y705" s="1"/>
      <c r="AA705" s="1"/>
      <c r="AC705" s="1"/>
      <c r="AE705" s="1"/>
      <c r="AG705" s="1"/>
      <c r="AI705" s="1"/>
      <c r="AK705" s="1"/>
      <c r="AM705" s="1"/>
      <c r="AO705" s="1"/>
      <c r="AQ705" s="1"/>
      <c r="AS705" s="1"/>
      <c r="AU705" s="1"/>
      <c r="AW705" s="1"/>
      <c r="AY705" s="1"/>
      <c r="BA705" s="1"/>
      <c r="BC705" s="1"/>
      <c r="BE705" s="1"/>
      <c r="BG705" s="1"/>
      <c r="BI705" s="1"/>
    </row>
    <row r="706" ht="15.75" customHeight="1">
      <c r="A706" s="1"/>
      <c r="B706" s="1"/>
      <c r="C706" s="1"/>
      <c r="E706" s="1"/>
      <c r="G706" s="1"/>
      <c r="I706" s="1"/>
      <c r="K706" s="1"/>
      <c r="M706" s="1"/>
      <c r="O706" s="1"/>
      <c r="Q706" s="1"/>
      <c r="S706" s="1"/>
      <c r="U706" s="1"/>
      <c r="W706" s="1"/>
      <c r="Y706" s="1"/>
      <c r="AA706" s="1"/>
      <c r="AC706" s="1"/>
      <c r="AE706" s="1"/>
      <c r="AG706" s="1"/>
      <c r="AI706" s="1"/>
      <c r="AK706" s="1"/>
      <c r="AM706" s="1"/>
      <c r="AO706" s="1"/>
      <c r="AQ706" s="1"/>
      <c r="AS706" s="1"/>
      <c r="AU706" s="1"/>
      <c r="AW706" s="1"/>
      <c r="AY706" s="1"/>
      <c r="BA706" s="1"/>
      <c r="BC706" s="1"/>
      <c r="BE706" s="1"/>
      <c r="BG706" s="1"/>
      <c r="BI706" s="1"/>
    </row>
    <row r="707" ht="15.75" customHeight="1">
      <c r="A707" s="1"/>
      <c r="B707" s="1"/>
      <c r="C707" s="1"/>
      <c r="E707" s="1"/>
      <c r="G707" s="1"/>
      <c r="I707" s="1"/>
      <c r="K707" s="1"/>
      <c r="M707" s="1"/>
      <c r="O707" s="1"/>
      <c r="Q707" s="1"/>
      <c r="S707" s="1"/>
      <c r="U707" s="1"/>
      <c r="W707" s="1"/>
      <c r="Y707" s="1"/>
      <c r="AA707" s="1"/>
      <c r="AC707" s="1"/>
      <c r="AE707" s="1"/>
      <c r="AG707" s="1"/>
      <c r="AI707" s="1"/>
      <c r="AK707" s="1"/>
      <c r="AM707" s="1"/>
      <c r="AO707" s="1"/>
      <c r="AQ707" s="1"/>
      <c r="AS707" s="1"/>
      <c r="AU707" s="1"/>
      <c r="AW707" s="1"/>
      <c r="AY707" s="1"/>
      <c r="BA707" s="1"/>
      <c r="BC707" s="1"/>
      <c r="BE707" s="1"/>
      <c r="BG707" s="1"/>
      <c r="BI707" s="1"/>
    </row>
    <row r="708" ht="15.75" customHeight="1">
      <c r="A708" s="1"/>
      <c r="B708" s="1"/>
      <c r="C708" s="1"/>
      <c r="E708" s="1"/>
      <c r="G708" s="1"/>
      <c r="I708" s="1"/>
      <c r="K708" s="1"/>
      <c r="M708" s="1"/>
      <c r="O708" s="1"/>
      <c r="Q708" s="1"/>
      <c r="S708" s="1"/>
      <c r="U708" s="1"/>
      <c r="W708" s="1"/>
      <c r="Y708" s="1"/>
      <c r="AA708" s="1"/>
      <c r="AC708" s="1"/>
      <c r="AE708" s="1"/>
      <c r="AG708" s="1"/>
      <c r="AI708" s="1"/>
      <c r="AK708" s="1"/>
      <c r="AM708" s="1"/>
      <c r="AO708" s="1"/>
      <c r="AQ708" s="1"/>
      <c r="AS708" s="1"/>
      <c r="AU708" s="1"/>
      <c r="AW708" s="1"/>
      <c r="AY708" s="1"/>
      <c r="BA708" s="1"/>
      <c r="BC708" s="1"/>
      <c r="BE708" s="1"/>
      <c r="BG708" s="1"/>
      <c r="BI708" s="1"/>
    </row>
    <row r="709" ht="15.75" customHeight="1">
      <c r="A709" s="1"/>
      <c r="B709" s="1"/>
      <c r="C709" s="1"/>
      <c r="E709" s="1"/>
      <c r="G709" s="1"/>
      <c r="I709" s="1"/>
      <c r="K709" s="1"/>
      <c r="M709" s="1"/>
      <c r="O709" s="1"/>
      <c r="Q709" s="1"/>
      <c r="S709" s="1"/>
      <c r="U709" s="1"/>
      <c r="W709" s="1"/>
      <c r="Y709" s="1"/>
      <c r="AA709" s="1"/>
      <c r="AC709" s="1"/>
      <c r="AE709" s="1"/>
      <c r="AG709" s="1"/>
      <c r="AI709" s="1"/>
      <c r="AK709" s="1"/>
      <c r="AM709" s="1"/>
      <c r="AO709" s="1"/>
      <c r="AQ709" s="1"/>
      <c r="AS709" s="1"/>
      <c r="AU709" s="1"/>
      <c r="AW709" s="1"/>
      <c r="AY709" s="1"/>
      <c r="BA709" s="1"/>
      <c r="BC709" s="1"/>
      <c r="BE709" s="1"/>
      <c r="BG709" s="1"/>
      <c r="BI709" s="1"/>
    </row>
    <row r="710" ht="15.75" customHeight="1">
      <c r="A710" s="1"/>
      <c r="B710" s="1"/>
      <c r="C710" s="1"/>
      <c r="E710" s="1"/>
      <c r="G710" s="1"/>
      <c r="I710" s="1"/>
      <c r="K710" s="1"/>
      <c r="M710" s="1"/>
      <c r="O710" s="1"/>
      <c r="Q710" s="1"/>
      <c r="S710" s="1"/>
      <c r="U710" s="1"/>
      <c r="W710" s="1"/>
      <c r="Y710" s="1"/>
      <c r="AA710" s="1"/>
      <c r="AC710" s="1"/>
      <c r="AE710" s="1"/>
      <c r="AG710" s="1"/>
      <c r="AI710" s="1"/>
      <c r="AK710" s="1"/>
      <c r="AM710" s="1"/>
      <c r="AO710" s="1"/>
      <c r="AQ710" s="1"/>
      <c r="AS710" s="1"/>
      <c r="AU710" s="1"/>
      <c r="AW710" s="1"/>
      <c r="AY710" s="1"/>
      <c r="BA710" s="1"/>
      <c r="BC710" s="1"/>
      <c r="BE710" s="1"/>
      <c r="BG710" s="1"/>
      <c r="BI710" s="1"/>
    </row>
    <row r="711" ht="15.75" customHeight="1">
      <c r="A711" s="1"/>
      <c r="B711" s="1"/>
      <c r="C711" s="1"/>
      <c r="E711" s="1"/>
      <c r="G711" s="1"/>
      <c r="I711" s="1"/>
      <c r="K711" s="1"/>
      <c r="M711" s="1"/>
      <c r="O711" s="1"/>
      <c r="Q711" s="1"/>
      <c r="S711" s="1"/>
      <c r="U711" s="1"/>
      <c r="W711" s="1"/>
      <c r="Y711" s="1"/>
      <c r="AA711" s="1"/>
      <c r="AC711" s="1"/>
      <c r="AE711" s="1"/>
      <c r="AG711" s="1"/>
      <c r="AI711" s="1"/>
      <c r="AK711" s="1"/>
      <c r="AM711" s="1"/>
      <c r="AO711" s="1"/>
      <c r="AQ711" s="1"/>
      <c r="AS711" s="1"/>
      <c r="AU711" s="1"/>
      <c r="AW711" s="1"/>
      <c r="AY711" s="1"/>
      <c r="BA711" s="1"/>
      <c r="BC711" s="1"/>
      <c r="BE711" s="1"/>
      <c r="BG711" s="1"/>
      <c r="BI711" s="1"/>
    </row>
    <row r="712" ht="15.75" customHeight="1">
      <c r="A712" s="1"/>
      <c r="B712" s="1"/>
      <c r="C712" s="1"/>
      <c r="E712" s="1"/>
      <c r="G712" s="1"/>
      <c r="I712" s="1"/>
      <c r="K712" s="1"/>
      <c r="M712" s="1"/>
      <c r="O712" s="1"/>
      <c r="Q712" s="1"/>
      <c r="S712" s="1"/>
      <c r="U712" s="1"/>
      <c r="W712" s="1"/>
      <c r="Y712" s="1"/>
      <c r="AA712" s="1"/>
      <c r="AC712" s="1"/>
      <c r="AE712" s="1"/>
      <c r="AG712" s="1"/>
      <c r="AI712" s="1"/>
      <c r="AK712" s="1"/>
      <c r="AM712" s="1"/>
      <c r="AO712" s="1"/>
      <c r="AQ712" s="1"/>
      <c r="AS712" s="1"/>
      <c r="AU712" s="1"/>
      <c r="AW712" s="1"/>
      <c r="AY712" s="1"/>
      <c r="BA712" s="1"/>
      <c r="BC712" s="1"/>
      <c r="BE712" s="1"/>
      <c r="BG712" s="1"/>
      <c r="BI712" s="1"/>
    </row>
    <row r="713" ht="15.75" customHeight="1">
      <c r="A713" s="1"/>
      <c r="B713" s="1"/>
      <c r="C713" s="1"/>
      <c r="E713" s="1"/>
      <c r="G713" s="1"/>
      <c r="I713" s="1"/>
      <c r="K713" s="1"/>
      <c r="M713" s="1"/>
      <c r="O713" s="1"/>
      <c r="Q713" s="1"/>
      <c r="S713" s="1"/>
      <c r="U713" s="1"/>
      <c r="W713" s="1"/>
      <c r="Y713" s="1"/>
      <c r="AA713" s="1"/>
      <c r="AC713" s="1"/>
      <c r="AE713" s="1"/>
      <c r="AG713" s="1"/>
      <c r="AI713" s="1"/>
      <c r="AK713" s="1"/>
      <c r="AM713" s="1"/>
      <c r="AO713" s="1"/>
      <c r="AQ713" s="1"/>
      <c r="AS713" s="1"/>
      <c r="AU713" s="1"/>
      <c r="AW713" s="1"/>
      <c r="AY713" s="1"/>
      <c r="BA713" s="1"/>
      <c r="BC713" s="1"/>
      <c r="BE713" s="1"/>
      <c r="BG713" s="1"/>
      <c r="BI713" s="1"/>
    </row>
    <row r="714" ht="15.75" customHeight="1">
      <c r="A714" s="1"/>
      <c r="B714" s="1"/>
      <c r="C714" s="1"/>
      <c r="E714" s="1"/>
      <c r="G714" s="1"/>
      <c r="I714" s="1"/>
      <c r="K714" s="1"/>
      <c r="M714" s="1"/>
      <c r="O714" s="1"/>
      <c r="Q714" s="1"/>
      <c r="S714" s="1"/>
      <c r="U714" s="1"/>
      <c r="W714" s="1"/>
      <c r="Y714" s="1"/>
      <c r="AA714" s="1"/>
      <c r="AC714" s="1"/>
      <c r="AE714" s="1"/>
      <c r="AG714" s="1"/>
      <c r="AI714" s="1"/>
      <c r="AK714" s="1"/>
      <c r="AM714" s="1"/>
      <c r="AO714" s="1"/>
      <c r="AQ714" s="1"/>
      <c r="AS714" s="1"/>
      <c r="AU714" s="1"/>
      <c r="AW714" s="1"/>
      <c r="AY714" s="1"/>
      <c r="BA714" s="1"/>
      <c r="BC714" s="1"/>
      <c r="BE714" s="1"/>
      <c r="BG714" s="1"/>
      <c r="BI714" s="1"/>
    </row>
    <row r="715" ht="15.75" customHeight="1">
      <c r="A715" s="1"/>
      <c r="B715" s="1"/>
      <c r="C715" s="1"/>
      <c r="E715" s="1"/>
      <c r="G715" s="1"/>
      <c r="I715" s="1"/>
      <c r="K715" s="1"/>
      <c r="M715" s="1"/>
      <c r="O715" s="1"/>
      <c r="Q715" s="1"/>
      <c r="S715" s="1"/>
      <c r="U715" s="1"/>
      <c r="W715" s="1"/>
      <c r="Y715" s="1"/>
      <c r="AA715" s="1"/>
      <c r="AC715" s="1"/>
      <c r="AE715" s="1"/>
      <c r="AG715" s="1"/>
      <c r="AI715" s="1"/>
      <c r="AK715" s="1"/>
      <c r="AM715" s="1"/>
      <c r="AO715" s="1"/>
      <c r="AQ715" s="1"/>
      <c r="AS715" s="1"/>
      <c r="AU715" s="1"/>
      <c r="AW715" s="1"/>
      <c r="AY715" s="1"/>
      <c r="BA715" s="1"/>
      <c r="BC715" s="1"/>
      <c r="BE715" s="1"/>
      <c r="BG715" s="1"/>
      <c r="BI715" s="1"/>
    </row>
    <row r="716" ht="15.75" customHeight="1">
      <c r="A716" s="1"/>
      <c r="B716" s="1"/>
      <c r="C716" s="1"/>
      <c r="E716" s="1"/>
      <c r="G716" s="1"/>
      <c r="I716" s="1"/>
      <c r="K716" s="1"/>
      <c r="M716" s="1"/>
      <c r="O716" s="1"/>
      <c r="Q716" s="1"/>
      <c r="S716" s="1"/>
      <c r="U716" s="1"/>
      <c r="W716" s="1"/>
      <c r="Y716" s="1"/>
      <c r="AA716" s="1"/>
      <c r="AC716" s="1"/>
      <c r="AE716" s="1"/>
      <c r="AG716" s="1"/>
      <c r="AI716" s="1"/>
      <c r="AK716" s="1"/>
      <c r="AM716" s="1"/>
      <c r="AO716" s="1"/>
      <c r="AQ716" s="1"/>
      <c r="AS716" s="1"/>
      <c r="AU716" s="1"/>
      <c r="AW716" s="1"/>
      <c r="AY716" s="1"/>
      <c r="BA716" s="1"/>
      <c r="BC716" s="1"/>
      <c r="BE716" s="1"/>
      <c r="BG716" s="1"/>
      <c r="BI716" s="1"/>
    </row>
    <row r="717" ht="15.75" customHeight="1">
      <c r="A717" s="1"/>
      <c r="B717" s="1"/>
      <c r="C717" s="1"/>
      <c r="E717" s="1"/>
      <c r="G717" s="1"/>
      <c r="I717" s="1"/>
      <c r="K717" s="1"/>
      <c r="M717" s="1"/>
      <c r="O717" s="1"/>
      <c r="Q717" s="1"/>
      <c r="S717" s="1"/>
      <c r="U717" s="1"/>
      <c r="W717" s="1"/>
      <c r="Y717" s="1"/>
      <c r="AA717" s="1"/>
      <c r="AC717" s="1"/>
      <c r="AE717" s="1"/>
      <c r="AG717" s="1"/>
      <c r="AI717" s="1"/>
      <c r="AK717" s="1"/>
      <c r="AM717" s="1"/>
      <c r="AO717" s="1"/>
      <c r="AQ717" s="1"/>
      <c r="AS717" s="1"/>
      <c r="AU717" s="1"/>
      <c r="AW717" s="1"/>
      <c r="AY717" s="1"/>
      <c r="BA717" s="1"/>
      <c r="BC717" s="1"/>
      <c r="BE717" s="1"/>
      <c r="BG717" s="1"/>
      <c r="BI717" s="1"/>
    </row>
    <row r="718" ht="15.75" customHeight="1">
      <c r="A718" s="1"/>
      <c r="B718" s="1"/>
      <c r="C718" s="1"/>
      <c r="E718" s="1"/>
      <c r="G718" s="1"/>
      <c r="I718" s="1"/>
      <c r="K718" s="1"/>
      <c r="M718" s="1"/>
      <c r="O718" s="1"/>
      <c r="Q718" s="1"/>
      <c r="S718" s="1"/>
      <c r="U718" s="1"/>
      <c r="W718" s="1"/>
      <c r="Y718" s="1"/>
      <c r="AA718" s="1"/>
      <c r="AC718" s="1"/>
      <c r="AE718" s="1"/>
      <c r="AG718" s="1"/>
      <c r="AI718" s="1"/>
      <c r="AK718" s="1"/>
      <c r="AM718" s="1"/>
      <c r="AO718" s="1"/>
      <c r="AQ718" s="1"/>
      <c r="AS718" s="1"/>
      <c r="AU718" s="1"/>
      <c r="AW718" s="1"/>
      <c r="AY718" s="1"/>
      <c r="BA718" s="1"/>
      <c r="BC718" s="1"/>
      <c r="BE718" s="1"/>
      <c r="BG718" s="1"/>
      <c r="BI718" s="1"/>
    </row>
    <row r="719" ht="15.75" customHeight="1">
      <c r="A719" s="1"/>
      <c r="B719" s="1"/>
      <c r="C719" s="1"/>
      <c r="E719" s="1"/>
      <c r="G719" s="1"/>
      <c r="I719" s="1"/>
      <c r="K719" s="1"/>
      <c r="M719" s="1"/>
      <c r="O719" s="1"/>
      <c r="Q719" s="1"/>
      <c r="S719" s="1"/>
      <c r="U719" s="1"/>
      <c r="W719" s="1"/>
      <c r="Y719" s="1"/>
      <c r="AA719" s="1"/>
      <c r="AC719" s="1"/>
      <c r="AE719" s="1"/>
      <c r="AG719" s="1"/>
      <c r="AI719" s="1"/>
      <c r="AK719" s="1"/>
      <c r="AM719" s="1"/>
      <c r="AO719" s="1"/>
      <c r="AQ719" s="1"/>
      <c r="AS719" s="1"/>
      <c r="AU719" s="1"/>
      <c r="AW719" s="1"/>
      <c r="AY719" s="1"/>
      <c r="BA719" s="1"/>
      <c r="BC719" s="1"/>
      <c r="BE719" s="1"/>
      <c r="BG719" s="1"/>
      <c r="BI719" s="1"/>
    </row>
    <row r="720" ht="15.75" customHeight="1">
      <c r="A720" s="1"/>
      <c r="B720" s="1"/>
      <c r="C720" s="1"/>
      <c r="E720" s="1"/>
      <c r="G720" s="1"/>
      <c r="I720" s="1"/>
      <c r="K720" s="1"/>
      <c r="M720" s="1"/>
      <c r="O720" s="1"/>
      <c r="Q720" s="1"/>
      <c r="S720" s="1"/>
      <c r="U720" s="1"/>
      <c r="W720" s="1"/>
      <c r="Y720" s="1"/>
      <c r="AA720" s="1"/>
      <c r="AC720" s="1"/>
      <c r="AE720" s="1"/>
      <c r="AG720" s="1"/>
      <c r="AI720" s="1"/>
      <c r="AK720" s="1"/>
      <c r="AM720" s="1"/>
      <c r="AO720" s="1"/>
      <c r="AQ720" s="1"/>
      <c r="AS720" s="1"/>
      <c r="AU720" s="1"/>
      <c r="AW720" s="1"/>
      <c r="AY720" s="1"/>
      <c r="BA720" s="1"/>
      <c r="BC720" s="1"/>
      <c r="BE720" s="1"/>
      <c r="BG720" s="1"/>
      <c r="BI720" s="1"/>
    </row>
    <row r="721" ht="15.75" customHeight="1">
      <c r="A721" s="1"/>
      <c r="B721" s="1"/>
      <c r="C721" s="1"/>
      <c r="E721" s="1"/>
      <c r="G721" s="1"/>
      <c r="I721" s="1"/>
      <c r="K721" s="1"/>
      <c r="M721" s="1"/>
      <c r="O721" s="1"/>
      <c r="Q721" s="1"/>
      <c r="S721" s="1"/>
      <c r="U721" s="1"/>
      <c r="W721" s="1"/>
      <c r="Y721" s="1"/>
      <c r="AA721" s="1"/>
      <c r="AC721" s="1"/>
      <c r="AE721" s="1"/>
      <c r="AG721" s="1"/>
      <c r="AI721" s="1"/>
      <c r="AK721" s="1"/>
      <c r="AM721" s="1"/>
      <c r="AO721" s="1"/>
      <c r="AQ721" s="1"/>
      <c r="AS721" s="1"/>
      <c r="AU721" s="1"/>
      <c r="AW721" s="1"/>
      <c r="AY721" s="1"/>
      <c r="BA721" s="1"/>
      <c r="BC721" s="1"/>
      <c r="BE721" s="1"/>
      <c r="BG721" s="1"/>
      <c r="BI721" s="1"/>
    </row>
    <row r="722" ht="15.75" customHeight="1">
      <c r="A722" s="1"/>
      <c r="B722" s="1"/>
      <c r="C722" s="1"/>
      <c r="E722" s="1"/>
      <c r="G722" s="1"/>
      <c r="I722" s="1"/>
      <c r="K722" s="1"/>
      <c r="M722" s="1"/>
      <c r="O722" s="1"/>
      <c r="Q722" s="1"/>
      <c r="S722" s="1"/>
      <c r="U722" s="1"/>
      <c r="W722" s="1"/>
      <c r="Y722" s="1"/>
      <c r="AA722" s="1"/>
      <c r="AC722" s="1"/>
      <c r="AE722" s="1"/>
      <c r="AG722" s="1"/>
      <c r="AI722" s="1"/>
      <c r="AK722" s="1"/>
      <c r="AM722" s="1"/>
      <c r="AO722" s="1"/>
      <c r="AQ722" s="1"/>
      <c r="AS722" s="1"/>
      <c r="AU722" s="1"/>
      <c r="AW722" s="1"/>
      <c r="AY722" s="1"/>
      <c r="BA722" s="1"/>
      <c r="BC722" s="1"/>
      <c r="BE722" s="1"/>
      <c r="BG722" s="1"/>
      <c r="BI722" s="1"/>
    </row>
    <row r="723" ht="15.75" customHeight="1">
      <c r="A723" s="1"/>
      <c r="B723" s="1"/>
      <c r="C723" s="1"/>
      <c r="E723" s="1"/>
      <c r="G723" s="1"/>
      <c r="I723" s="1"/>
      <c r="K723" s="1"/>
      <c r="M723" s="1"/>
      <c r="O723" s="1"/>
      <c r="Q723" s="1"/>
      <c r="S723" s="1"/>
      <c r="U723" s="1"/>
      <c r="W723" s="1"/>
      <c r="Y723" s="1"/>
      <c r="AA723" s="1"/>
      <c r="AC723" s="1"/>
      <c r="AE723" s="1"/>
      <c r="AG723" s="1"/>
      <c r="AI723" s="1"/>
      <c r="AK723" s="1"/>
      <c r="AM723" s="1"/>
      <c r="AO723" s="1"/>
      <c r="AQ723" s="1"/>
      <c r="AS723" s="1"/>
      <c r="AU723" s="1"/>
      <c r="AW723" s="1"/>
      <c r="AY723" s="1"/>
      <c r="BA723" s="1"/>
      <c r="BC723" s="1"/>
      <c r="BE723" s="1"/>
      <c r="BG723" s="1"/>
      <c r="BI723" s="1"/>
    </row>
    <row r="724" ht="15.75" customHeight="1">
      <c r="A724" s="1"/>
      <c r="B724" s="1"/>
      <c r="C724" s="1"/>
      <c r="E724" s="1"/>
      <c r="G724" s="1"/>
      <c r="I724" s="1"/>
      <c r="K724" s="1"/>
      <c r="M724" s="1"/>
      <c r="O724" s="1"/>
      <c r="Q724" s="1"/>
      <c r="S724" s="1"/>
      <c r="U724" s="1"/>
      <c r="W724" s="1"/>
      <c r="Y724" s="1"/>
      <c r="AA724" s="1"/>
      <c r="AC724" s="1"/>
      <c r="AE724" s="1"/>
      <c r="AG724" s="1"/>
      <c r="AI724" s="1"/>
      <c r="AK724" s="1"/>
      <c r="AM724" s="1"/>
      <c r="AO724" s="1"/>
      <c r="AQ724" s="1"/>
      <c r="AS724" s="1"/>
      <c r="AU724" s="1"/>
      <c r="AW724" s="1"/>
      <c r="AY724" s="1"/>
      <c r="BA724" s="1"/>
      <c r="BC724" s="1"/>
      <c r="BE724" s="1"/>
      <c r="BG724" s="1"/>
      <c r="BI724" s="1"/>
    </row>
    <row r="725" ht="15.75" customHeight="1">
      <c r="A725" s="1"/>
      <c r="B725" s="1"/>
      <c r="C725" s="1"/>
      <c r="E725" s="1"/>
      <c r="G725" s="1"/>
      <c r="I725" s="1"/>
      <c r="K725" s="1"/>
      <c r="M725" s="1"/>
      <c r="O725" s="1"/>
      <c r="Q725" s="1"/>
      <c r="S725" s="1"/>
      <c r="U725" s="1"/>
      <c r="W725" s="1"/>
      <c r="Y725" s="1"/>
      <c r="AA725" s="1"/>
      <c r="AC725" s="1"/>
      <c r="AE725" s="1"/>
      <c r="AG725" s="1"/>
      <c r="AI725" s="1"/>
      <c r="AK725" s="1"/>
      <c r="AM725" s="1"/>
      <c r="AO725" s="1"/>
      <c r="AQ725" s="1"/>
      <c r="AS725" s="1"/>
      <c r="AU725" s="1"/>
      <c r="AW725" s="1"/>
      <c r="AY725" s="1"/>
      <c r="BA725" s="1"/>
      <c r="BC725" s="1"/>
      <c r="BE725" s="1"/>
      <c r="BG725" s="1"/>
      <c r="BI725" s="1"/>
    </row>
    <row r="726" ht="15.75" customHeight="1">
      <c r="A726" s="1"/>
      <c r="B726" s="1"/>
      <c r="C726" s="1"/>
      <c r="E726" s="1"/>
      <c r="G726" s="1"/>
      <c r="I726" s="1"/>
      <c r="K726" s="1"/>
      <c r="M726" s="1"/>
      <c r="O726" s="1"/>
      <c r="Q726" s="1"/>
      <c r="S726" s="1"/>
      <c r="U726" s="1"/>
      <c r="W726" s="1"/>
      <c r="Y726" s="1"/>
      <c r="AA726" s="1"/>
      <c r="AC726" s="1"/>
      <c r="AE726" s="1"/>
      <c r="AG726" s="1"/>
      <c r="AI726" s="1"/>
      <c r="AK726" s="1"/>
      <c r="AM726" s="1"/>
      <c r="AO726" s="1"/>
      <c r="AQ726" s="1"/>
      <c r="AS726" s="1"/>
      <c r="AU726" s="1"/>
      <c r="AW726" s="1"/>
      <c r="AY726" s="1"/>
      <c r="BA726" s="1"/>
      <c r="BC726" s="1"/>
      <c r="BE726" s="1"/>
      <c r="BG726" s="1"/>
      <c r="BI726" s="1"/>
    </row>
    <row r="727" ht="15.75" customHeight="1">
      <c r="A727" s="1"/>
      <c r="B727" s="1"/>
      <c r="C727" s="1"/>
      <c r="E727" s="1"/>
      <c r="G727" s="1"/>
      <c r="I727" s="1"/>
      <c r="K727" s="1"/>
      <c r="M727" s="1"/>
      <c r="O727" s="1"/>
      <c r="Q727" s="1"/>
      <c r="S727" s="1"/>
      <c r="U727" s="1"/>
      <c r="W727" s="1"/>
      <c r="Y727" s="1"/>
      <c r="AA727" s="1"/>
      <c r="AC727" s="1"/>
      <c r="AE727" s="1"/>
      <c r="AG727" s="1"/>
      <c r="AI727" s="1"/>
      <c r="AK727" s="1"/>
      <c r="AM727" s="1"/>
      <c r="AO727" s="1"/>
      <c r="AQ727" s="1"/>
      <c r="AS727" s="1"/>
      <c r="AU727" s="1"/>
      <c r="AW727" s="1"/>
      <c r="AY727" s="1"/>
      <c r="BA727" s="1"/>
      <c r="BC727" s="1"/>
      <c r="BE727" s="1"/>
      <c r="BG727" s="1"/>
      <c r="BI727" s="1"/>
    </row>
    <row r="728" ht="15.75" customHeight="1">
      <c r="A728" s="1"/>
      <c r="B728" s="1"/>
      <c r="C728" s="1"/>
      <c r="E728" s="1"/>
      <c r="G728" s="1"/>
      <c r="I728" s="1"/>
      <c r="K728" s="1"/>
      <c r="M728" s="1"/>
      <c r="O728" s="1"/>
      <c r="Q728" s="1"/>
      <c r="S728" s="1"/>
      <c r="U728" s="1"/>
      <c r="W728" s="1"/>
      <c r="Y728" s="1"/>
      <c r="AA728" s="1"/>
      <c r="AC728" s="1"/>
      <c r="AE728" s="1"/>
      <c r="AG728" s="1"/>
      <c r="AI728" s="1"/>
      <c r="AK728" s="1"/>
      <c r="AM728" s="1"/>
      <c r="AO728" s="1"/>
      <c r="AQ728" s="1"/>
      <c r="AS728" s="1"/>
      <c r="AU728" s="1"/>
      <c r="AW728" s="1"/>
      <c r="AY728" s="1"/>
      <c r="BA728" s="1"/>
      <c r="BC728" s="1"/>
      <c r="BE728" s="1"/>
      <c r="BG728" s="1"/>
      <c r="BI728" s="1"/>
    </row>
    <row r="729" ht="15.75" customHeight="1">
      <c r="A729" s="1"/>
      <c r="B729" s="1"/>
      <c r="C729" s="1"/>
      <c r="E729" s="1"/>
      <c r="G729" s="1"/>
      <c r="I729" s="1"/>
      <c r="K729" s="1"/>
      <c r="M729" s="1"/>
      <c r="O729" s="1"/>
      <c r="Q729" s="1"/>
      <c r="S729" s="1"/>
      <c r="U729" s="1"/>
      <c r="W729" s="1"/>
      <c r="Y729" s="1"/>
      <c r="AA729" s="1"/>
      <c r="AC729" s="1"/>
      <c r="AE729" s="1"/>
      <c r="AG729" s="1"/>
      <c r="AI729" s="1"/>
      <c r="AK729" s="1"/>
      <c r="AM729" s="1"/>
      <c r="AO729" s="1"/>
      <c r="AQ729" s="1"/>
      <c r="AS729" s="1"/>
      <c r="AU729" s="1"/>
      <c r="AW729" s="1"/>
      <c r="AY729" s="1"/>
      <c r="BA729" s="1"/>
      <c r="BC729" s="1"/>
      <c r="BE729" s="1"/>
      <c r="BG729" s="1"/>
      <c r="BI729" s="1"/>
    </row>
    <row r="730" ht="15.75" customHeight="1">
      <c r="A730" s="1"/>
      <c r="B730" s="1"/>
      <c r="C730" s="1"/>
      <c r="E730" s="1"/>
      <c r="G730" s="1"/>
      <c r="I730" s="1"/>
      <c r="K730" s="1"/>
      <c r="M730" s="1"/>
      <c r="O730" s="1"/>
      <c r="Q730" s="1"/>
      <c r="S730" s="1"/>
      <c r="U730" s="1"/>
      <c r="W730" s="1"/>
      <c r="Y730" s="1"/>
      <c r="AA730" s="1"/>
      <c r="AC730" s="1"/>
      <c r="AE730" s="1"/>
      <c r="AG730" s="1"/>
      <c r="AI730" s="1"/>
      <c r="AK730" s="1"/>
      <c r="AM730" s="1"/>
      <c r="AO730" s="1"/>
      <c r="AQ730" s="1"/>
      <c r="AS730" s="1"/>
      <c r="AU730" s="1"/>
      <c r="AW730" s="1"/>
      <c r="AY730" s="1"/>
      <c r="BA730" s="1"/>
      <c r="BC730" s="1"/>
      <c r="BE730" s="1"/>
      <c r="BG730" s="1"/>
      <c r="BI730" s="1"/>
    </row>
    <row r="731" ht="15.75" customHeight="1">
      <c r="A731" s="1"/>
      <c r="B731" s="1"/>
      <c r="C731" s="1"/>
      <c r="E731" s="1"/>
      <c r="G731" s="1"/>
      <c r="I731" s="1"/>
      <c r="K731" s="1"/>
      <c r="M731" s="1"/>
      <c r="O731" s="1"/>
      <c r="Q731" s="1"/>
      <c r="S731" s="1"/>
      <c r="U731" s="1"/>
      <c r="W731" s="1"/>
      <c r="Y731" s="1"/>
      <c r="AA731" s="1"/>
      <c r="AC731" s="1"/>
      <c r="AE731" s="1"/>
      <c r="AG731" s="1"/>
      <c r="AI731" s="1"/>
      <c r="AK731" s="1"/>
      <c r="AM731" s="1"/>
      <c r="AO731" s="1"/>
      <c r="AQ731" s="1"/>
      <c r="AS731" s="1"/>
      <c r="AU731" s="1"/>
      <c r="AW731" s="1"/>
      <c r="AY731" s="1"/>
      <c r="BA731" s="1"/>
      <c r="BC731" s="1"/>
      <c r="BE731" s="1"/>
      <c r="BG731" s="1"/>
      <c r="BI731" s="1"/>
    </row>
    <row r="732" ht="15.75" customHeight="1">
      <c r="A732" s="1"/>
      <c r="B732" s="1"/>
      <c r="C732" s="1"/>
      <c r="E732" s="1"/>
      <c r="G732" s="1"/>
      <c r="I732" s="1"/>
      <c r="K732" s="1"/>
      <c r="M732" s="1"/>
      <c r="O732" s="1"/>
      <c r="Q732" s="1"/>
      <c r="S732" s="1"/>
      <c r="U732" s="1"/>
      <c r="W732" s="1"/>
      <c r="Y732" s="1"/>
      <c r="AA732" s="1"/>
      <c r="AC732" s="1"/>
      <c r="AE732" s="1"/>
      <c r="AG732" s="1"/>
      <c r="AI732" s="1"/>
      <c r="AK732" s="1"/>
      <c r="AM732" s="1"/>
      <c r="AO732" s="1"/>
      <c r="AQ732" s="1"/>
      <c r="AS732" s="1"/>
      <c r="AU732" s="1"/>
      <c r="AW732" s="1"/>
      <c r="AY732" s="1"/>
      <c r="BA732" s="1"/>
      <c r="BC732" s="1"/>
      <c r="BE732" s="1"/>
      <c r="BG732" s="1"/>
      <c r="BI732" s="1"/>
    </row>
    <row r="733" ht="15.75" customHeight="1">
      <c r="A733" s="1"/>
      <c r="B733" s="1"/>
      <c r="C733" s="1"/>
      <c r="E733" s="1"/>
      <c r="G733" s="1"/>
      <c r="I733" s="1"/>
      <c r="K733" s="1"/>
      <c r="M733" s="1"/>
      <c r="O733" s="1"/>
      <c r="Q733" s="1"/>
      <c r="S733" s="1"/>
      <c r="U733" s="1"/>
      <c r="W733" s="1"/>
      <c r="Y733" s="1"/>
      <c r="AA733" s="1"/>
      <c r="AC733" s="1"/>
      <c r="AE733" s="1"/>
      <c r="AG733" s="1"/>
      <c r="AI733" s="1"/>
      <c r="AK733" s="1"/>
      <c r="AM733" s="1"/>
      <c r="AO733" s="1"/>
      <c r="AQ733" s="1"/>
      <c r="AS733" s="1"/>
      <c r="AU733" s="1"/>
      <c r="AW733" s="1"/>
      <c r="AY733" s="1"/>
      <c r="BA733" s="1"/>
      <c r="BC733" s="1"/>
      <c r="BE733" s="1"/>
      <c r="BG733" s="1"/>
      <c r="BI733" s="1"/>
    </row>
    <row r="734" ht="15.75" customHeight="1">
      <c r="A734" s="1"/>
      <c r="B734" s="1"/>
      <c r="C734" s="1"/>
      <c r="E734" s="1"/>
      <c r="G734" s="1"/>
      <c r="I734" s="1"/>
      <c r="K734" s="1"/>
      <c r="M734" s="1"/>
      <c r="O734" s="1"/>
      <c r="Q734" s="1"/>
      <c r="S734" s="1"/>
      <c r="U734" s="1"/>
      <c r="W734" s="1"/>
      <c r="Y734" s="1"/>
      <c r="AA734" s="1"/>
      <c r="AC734" s="1"/>
      <c r="AE734" s="1"/>
      <c r="AG734" s="1"/>
      <c r="AI734" s="1"/>
      <c r="AK734" s="1"/>
      <c r="AM734" s="1"/>
      <c r="AO734" s="1"/>
      <c r="AQ734" s="1"/>
      <c r="AS734" s="1"/>
      <c r="AU734" s="1"/>
      <c r="AW734" s="1"/>
      <c r="AY734" s="1"/>
      <c r="BA734" s="1"/>
      <c r="BC734" s="1"/>
      <c r="BE734" s="1"/>
      <c r="BG734" s="1"/>
      <c r="BI734" s="1"/>
    </row>
    <row r="735" ht="15.75" customHeight="1">
      <c r="A735" s="1"/>
      <c r="B735" s="1"/>
      <c r="C735" s="1"/>
      <c r="E735" s="1"/>
      <c r="G735" s="1"/>
      <c r="I735" s="1"/>
      <c r="K735" s="1"/>
      <c r="M735" s="1"/>
      <c r="O735" s="1"/>
      <c r="Q735" s="1"/>
      <c r="S735" s="1"/>
      <c r="U735" s="1"/>
      <c r="W735" s="1"/>
      <c r="Y735" s="1"/>
      <c r="AA735" s="1"/>
      <c r="AC735" s="1"/>
      <c r="AE735" s="1"/>
      <c r="AG735" s="1"/>
      <c r="AI735" s="1"/>
      <c r="AK735" s="1"/>
      <c r="AM735" s="1"/>
      <c r="AO735" s="1"/>
      <c r="AQ735" s="1"/>
      <c r="AS735" s="1"/>
      <c r="AU735" s="1"/>
      <c r="AW735" s="1"/>
      <c r="AY735" s="1"/>
      <c r="BA735" s="1"/>
      <c r="BC735" s="1"/>
      <c r="BE735" s="1"/>
      <c r="BG735" s="1"/>
      <c r="BI735" s="1"/>
    </row>
    <row r="736" ht="15.75" customHeight="1">
      <c r="A736" s="1"/>
      <c r="B736" s="1"/>
      <c r="C736" s="1"/>
      <c r="E736" s="1"/>
      <c r="G736" s="1"/>
      <c r="I736" s="1"/>
      <c r="K736" s="1"/>
      <c r="M736" s="1"/>
      <c r="O736" s="1"/>
      <c r="Q736" s="1"/>
      <c r="S736" s="1"/>
      <c r="U736" s="1"/>
      <c r="W736" s="1"/>
      <c r="Y736" s="1"/>
      <c r="AA736" s="1"/>
      <c r="AC736" s="1"/>
      <c r="AE736" s="1"/>
      <c r="AG736" s="1"/>
      <c r="AI736" s="1"/>
      <c r="AK736" s="1"/>
      <c r="AM736" s="1"/>
      <c r="AO736" s="1"/>
      <c r="AQ736" s="1"/>
      <c r="AS736" s="1"/>
      <c r="AU736" s="1"/>
      <c r="AW736" s="1"/>
      <c r="AY736" s="1"/>
      <c r="BA736" s="1"/>
      <c r="BC736" s="1"/>
      <c r="BE736" s="1"/>
      <c r="BG736" s="1"/>
      <c r="BI736" s="1"/>
    </row>
    <row r="737" ht="15.75" customHeight="1">
      <c r="A737" s="1"/>
      <c r="B737" s="1"/>
      <c r="C737" s="1"/>
      <c r="E737" s="1"/>
      <c r="G737" s="1"/>
      <c r="I737" s="1"/>
      <c r="K737" s="1"/>
      <c r="M737" s="1"/>
      <c r="O737" s="1"/>
      <c r="Q737" s="1"/>
      <c r="S737" s="1"/>
      <c r="U737" s="1"/>
      <c r="W737" s="1"/>
      <c r="Y737" s="1"/>
      <c r="AA737" s="1"/>
      <c r="AC737" s="1"/>
      <c r="AE737" s="1"/>
      <c r="AG737" s="1"/>
      <c r="AI737" s="1"/>
      <c r="AK737" s="1"/>
      <c r="AM737" s="1"/>
      <c r="AO737" s="1"/>
      <c r="AQ737" s="1"/>
      <c r="AS737" s="1"/>
      <c r="AU737" s="1"/>
      <c r="AW737" s="1"/>
      <c r="AY737" s="1"/>
      <c r="BA737" s="1"/>
      <c r="BC737" s="1"/>
      <c r="BE737" s="1"/>
      <c r="BG737" s="1"/>
      <c r="BI737" s="1"/>
    </row>
    <row r="738" ht="15.75" customHeight="1">
      <c r="A738" s="1"/>
      <c r="B738" s="1"/>
      <c r="C738" s="1"/>
      <c r="E738" s="1"/>
      <c r="G738" s="1"/>
      <c r="I738" s="1"/>
      <c r="K738" s="1"/>
      <c r="M738" s="1"/>
      <c r="O738" s="1"/>
      <c r="Q738" s="1"/>
      <c r="S738" s="1"/>
      <c r="U738" s="1"/>
      <c r="W738" s="1"/>
      <c r="Y738" s="1"/>
      <c r="AA738" s="1"/>
      <c r="AC738" s="1"/>
      <c r="AE738" s="1"/>
      <c r="AG738" s="1"/>
      <c r="AI738" s="1"/>
      <c r="AK738" s="1"/>
      <c r="AM738" s="1"/>
      <c r="AO738" s="1"/>
      <c r="AQ738" s="1"/>
      <c r="AS738" s="1"/>
      <c r="AU738" s="1"/>
      <c r="AW738" s="1"/>
      <c r="AY738" s="1"/>
      <c r="BA738" s="1"/>
      <c r="BC738" s="1"/>
      <c r="BE738" s="1"/>
      <c r="BG738" s="1"/>
      <c r="BI738" s="1"/>
    </row>
    <row r="739" ht="15.75" customHeight="1">
      <c r="A739" s="1"/>
      <c r="B739" s="1"/>
      <c r="C739" s="1"/>
      <c r="E739" s="1"/>
      <c r="G739" s="1"/>
      <c r="I739" s="1"/>
      <c r="K739" s="1"/>
      <c r="M739" s="1"/>
      <c r="O739" s="1"/>
      <c r="Q739" s="1"/>
      <c r="S739" s="1"/>
      <c r="U739" s="1"/>
      <c r="W739" s="1"/>
      <c r="Y739" s="1"/>
      <c r="AA739" s="1"/>
      <c r="AC739" s="1"/>
      <c r="AE739" s="1"/>
      <c r="AG739" s="1"/>
      <c r="AI739" s="1"/>
      <c r="AK739" s="1"/>
      <c r="AM739" s="1"/>
      <c r="AO739" s="1"/>
      <c r="AQ739" s="1"/>
      <c r="AS739" s="1"/>
      <c r="AU739" s="1"/>
      <c r="AW739" s="1"/>
      <c r="AY739" s="1"/>
      <c r="BA739" s="1"/>
      <c r="BC739" s="1"/>
      <c r="BE739" s="1"/>
      <c r="BG739" s="1"/>
      <c r="BI739" s="1"/>
    </row>
    <row r="740" ht="15.75" customHeight="1">
      <c r="A740" s="1"/>
      <c r="B740" s="1"/>
      <c r="C740" s="1"/>
      <c r="E740" s="1"/>
      <c r="G740" s="1"/>
      <c r="I740" s="1"/>
      <c r="K740" s="1"/>
      <c r="M740" s="1"/>
      <c r="O740" s="1"/>
      <c r="Q740" s="1"/>
      <c r="S740" s="1"/>
      <c r="U740" s="1"/>
      <c r="W740" s="1"/>
      <c r="Y740" s="1"/>
      <c r="AA740" s="1"/>
      <c r="AC740" s="1"/>
      <c r="AE740" s="1"/>
      <c r="AG740" s="1"/>
      <c r="AI740" s="1"/>
      <c r="AK740" s="1"/>
      <c r="AM740" s="1"/>
      <c r="AO740" s="1"/>
      <c r="AQ740" s="1"/>
      <c r="AS740" s="1"/>
      <c r="AU740" s="1"/>
      <c r="AW740" s="1"/>
      <c r="AY740" s="1"/>
      <c r="BA740" s="1"/>
      <c r="BC740" s="1"/>
      <c r="BE740" s="1"/>
      <c r="BG740" s="1"/>
      <c r="BI740" s="1"/>
    </row>
    <row r="741" ht="15.75" customHeight="1">
      <c r="A741" s="1"/>
      <c r="B741" s="1"/>
      <c r="C741" s="1"/>
      <c r="E741" s="1"/>
      <c r="G741" s="1"/>
      <c r="I741" s="1"/>
      <c r="K741" s="1"/>
      <c r="M741" s="1"/>
      <c r="O741" s="1"/>
      <c r="Q741" s="1"/>
      <c r="S741" s="1"/>
      <c r="U741" s="1"/>
      <c r="W741" s="1"/>
      <c r="Y741" s="1"/>
      <c r="AA741" s="1"/>
      <c r="AC741" s="1"/>
      <c r="AE741" s="1"/>
      <c r="AG741" s="1"/>
      <c r="AI741" s="1"/>
      <c r="AK741" s="1"/>
      <c r="AM741" s="1"/>
      <c r="AO741" s="1"/>
      <c r="AQ741" s="1"/>
      <c r="AS741" s="1"/>
      <c r="AU741" s="1"/>
      <c r="AW741" s="1"/>
      <c r="AY741" s="1"/>
      <c r="BA741" s="1"/>
      <c r="BC741" s="1"/>
      <c r="BE741" s="1"/>
      <c r="BG741" s="1"/>
      <c r="BI741" s="1"/>
    </row>
    <row r="742" ht="15.75" customHeight="1">
      <c r="A742" s="1"/>
      <c r="B742" s="1"/>
      <c r="C742" s="1"/>
      <c r="E742" s="1"/>
      <c r="G742" s="1"/>
      <c r="I742" s="1"/>
      <c r="K742" s="1"/>
      <c r="M742" s="1"/>
      <c r="O742" s="1"/>
      <c r="Q742" s="1"/>
      <c r="S742" s="1"/>
      <c r="U742" s="1"/>
      <c r="W742" s="1"/>
      <c r="Y742" s="1"/>
      <c r="AA742" s="1"/>
      <c r="AC742" s="1"/>
      <c r="AE742" s="1"/>
      <c r="AG742" s="1"/>
      <c r="AI742" s="1"/>
      <c r="AK742" s="1"/>
      <c r="AM742" s="1"/>
      <c r="AO742" s="1"/>
      <c r="AQ742" s="1"/>
      <c r="AS742" s="1"/>
      <c r="AU742" s="1"/>
      <c r="AW742" s="1"/>
      <c r="AY742" s="1"/>
      <c r="BA742" s="1"/>
      <c r="BC742" s="1"/>
      <c r="BE742" s="1"/>
      <c r="BG742" s="1"/>
      <c r="BI742" s="1"/>
    </row>
    <row r="743" ht="15.75" customHeight="1">
      <c r="A743" s="1"/>
      <c r="B743" s="1"/>
      <c r="C743" s="1"/>
      <c r="E743" s="1"/>
      <c r="G743" s="1"/>
      <c r="I743" s="1"/>
      <c r="K743" s="1"/>
      <c r="M743" s="1"/>
      <c r="O743" s="1"/>
      <c r="Q743" s="1"/>
      <c r="S743" s="1"/>
      <c r="U743" s="1"/>
      <c r="W743" s="1"/>
      <c r="Y743" s="1"/>
      <c r="AA743" s="1"/>
      <c r="AC743" s="1"/>
      <c r="AE743" s="1"/>
      <c r="AG743" s="1"/>
      <c r="AI743" s="1"/>
      <c r="AK743" s="1"/>
      <c r="AM743" s="1"/>
      <c r="AO743" s="1"/>
      <c r="AQ743" s="1"/>
      <c r="AS743" s="1"/>
      <c r="AU743" s="1"/>
      <c r="AW743" s="1"/>
      <c r="AY743" s="1"/>
      <c r="BA743" s="1"/>
      <c r="BC743" s="1"/>
      <c r="BE743" s="1"/>
      <c r="BG743" s="1"/>
      <c r="BI743" s="1"/>
    </row>
    <row r="744" ht="15.75" customHeight="1">
      <c r="A744" s="1"/>
      <c r="B744" s="1"/>
      <c r="C744" s="1"/>
      <c r="E744" s="1"/>
      <c r="G744" s="1"/>
      <c r="I744" s="1"/>
      <c r="K744" s="1"/>
      <c r="M744" s="1"/>
      <c r="O744" s="1"/>
      <c r="Q744" s="1"/>
      <c r="S744" s="1"/>
      <c r="U744" s="1"/>
      <c r="W744" s="1"/>
      <c r="Y744" s="1"/>
      <c r="AA744" s="1"/>
      <c r="AC744" s="1"/>
      <c r="AE744" s="1"/>
      <c r="AG744" s="1"/>
      <c r="AI744" s="1"/>
      <c r="AK744" s="1"/>
      <c r="AM744" s="1"/>
      <c r="AO744" s="1"/>
      <c r="AQ744" s="1"/>
      <c r="AS744" s="1"/>
      <c r="AU744" s="1"/>
      <c r="AW744" s="1"/>
      <c r="AY744" s="1"/>
      <c r="BA744" s="1"/>
      <c r="BC744" s="1"/>
      <c r="BE744" s="1"/>
      <c r="BG744" s="1"/>
      <c r="BI744" s="1"/>
    </row>
    <row r="745" ht="15.75" customHeight="1">
      <c r="A745" s="1"/>
      <c r="B745" s="1"/>
      <c r="C745" s="1"/>
      <c r="E745" s="1"/>
      <c r="G745" s="1"/>
      <c r="I745" s="1"/>
      <c r="K745" s="1"/>
      <c r="M745" s="1"/>
      <c r="O745" s="1"/>
      <c r="Q745" s="1"/>
      <c r="S745" s="1"/>
      <c r="U745" s="1"/>
      <c r="W745" s="1"/>
      <c r="Y745" s="1"/>
      <c r="AA745" s="1"/>
      <c r="AC745" s="1"/>
      <c r="AE745" s="1"/>
      <c r="AG745" s="1"/>
      <c r="AI745" s="1"/>
      <c r="AK745" s="1"/>
      <c r="AM745" s="1"/>
      <c r="AO745" s="1"/>
      <c r="AQ745" s="1"/>
      <c r="AS745" s="1"/>
      <c r="AU745" s="1"/>
      <c r="AW745" s="1"/>
      <c r="AY745" s="1"/>
      <c r="BA745" s="1"/>
      <c r="BC745" s="1"/>
      <c r="BE745" s="1"/>
      <c r="BG745" s="1"/>
      <c r="BI745" s="1"/>
    </row>
    <row r="746" ht="15.75" customHeight="1">
      <c r="A746" s="1"/>
      <c r="B746" s="1"/>
      <c r="C746" s="1"/>
      <c r="E746" s="1"/>
      <c r="G746" s="1"/>
      <c r="I746" s="1"/>
      <c r="K746" s="1"/>
      <c r="M746" s="1"/>
      <c r="O746" s="1"/>
      <c r="Q746" s="1"/>
      <c r="S746" s="1"/>
      <c r="U746" s="1"/>
      <c r="W746" s="1"/>
      <c r="Y746" s="1"/>
      <c r="AA746" s="1"/>
      <c r="AC746" s="1"/>
      <c r="AE746" s="1"/>
      <c r="AG746" s="1"/>
      <c r="AI746" s="1"/>
      <c r="AK746" s="1"/>
      <c r="AM746" s="1"/>
      <c r="AO746" s="1"/>
      <c r="AQ746" s="1"/>
      <c r="AS746" s="1"/>
      <c r="AU746" s="1"/>
      <c r="AW746" s="1"/>
      <c r="AY746" s="1"/>
      <c r="BA746" s="1"/>
      <c r="BC746" s="1"/>
      <c r="BE746" s="1"/>
      <c r="BG746" s="1"/>
      <c r="BI746" s="1"/>
    </row>
    <row r="747" ht="15.75" customHeight="1">
      <c r="A747" s="1"/>
      <c r="B747" s="1"/>
      <c r="C747" s="1"/>
      <c r="E747" s="1"/>
      <c r="G747" s="1"/>
      <c r="I747" s="1"/>
      <c r="K747" s="1"/>
      <c r="M747" s="1"/>
      <c r="O747" s="1"/>
      <c r="Q747" s="1"/>
      <c r="S747" s="1"/>
      <c r="U747" s="1"/>
      <c r="W747" s="1"/>
      <c r="Y747" s="1"/>
      <c r="AA747" s="1"/>
      <c r="AC747" s="1"/>
      <c r="AE747" s="1"/>
      <c r="AG747" s="1"/>
      <c r="AI747" s="1"/>
      <c r="AK747" s="1"/>
      <c r="AM747" s="1"/>
      <c r="AO747" s="1"/>
      <c r="AQ747" s="1"/>
      <c r="AS747" s="1"/>
      <c r="AU747" s="1"/>
      <c r="AW747" s="1"/>
      <c r="AY747" s="1"/>
      <c r="BA747" s="1"/>
      <c r="BC747" s="1"/>
      <c r="BE747" s="1"/>
      <c r="BG747" s="1"/>
      <c r="BI747" s="1"/>
    </row>
    <row r="748" ht="15.75" customHeight="1">
      <c r="A748" s="1"/>
      <c r="B748" s="1"/>
      <c r="C748" s="1"/>
      <c r="E748" s="1"/>
      <c r="G748" s="1"/>
      <c r="I748" s="1"/>
      <c r="K748" s="1"/>
      <c r="M748" s="1"/>
      <c r="O748" s="1"/>
      <c r="Q748" s="1"/>
      <c r="S748" s="1"/>
      <c r="U748" s="1"/>
      <c r="W748" s="1"/>
      <c r="Y748" s="1"/>
      <c r="AA748" s="1"/>
      <c r="AC748" s="1"/>
      <c r="AE748" s="1"/>
      <c r="AG748" s="1"/>
      <c r="AI748" s="1"/>
      <c r="AK748" s="1"/>
      <c r="AM748" s="1"/>
      <c r="AO748" s="1"/>
      <c r="AQ748" s="1"/>
      <c r="AS748" s="1"/>
      <c r="AU748" s="1"/>
      <c r="AW748" s="1"/>
      <c r="AY748" s="1"/>
      <c r="BA748" s="1"/>
      <c r="BC748" s="1"/>
      <c r="BE748" s="1"/>
      <c r="BG748" s="1"/>
      <c r="BI748" s="1"/>
    </row>
    <row r="749" ht="15.75" customHeight="1">
      <c r="A749" s="1"/>
      <c r="B749" s="1"/>
      <c r="C749" s="1"/>
      <c r="E749" s="1"/>
      <c r="G749" s="1"/>
      <c r="I749" s="1"/>
      <c r="K749" s="1"/>
      <c r="M749" s="1"/>
      <c r="O749" s="1"/>
      <c r="Q749" s="1"/>
      <c r="S749" s="1"/>
      <c r="U749" s="1"/>
      <c r="W749" s="1"/>
      <c r="Y749" s="1"/>
      <c r="AA749" s="1"/>
      <c r="AC749" s="1"/>
      <c r="AE749" s="1"/>
      <c r="AG749" s="1"/>
      <c r="AI749" s="1"/>
      <c r="AK749" s="1"/>
      <c r="AM749" s="1"/>
      <c r="AO749" s="1"/>
      <c r="AQ749" s="1"/>
      <c r="AS749" s="1"/>
      <c r="AU749" s="1"/>
      <c r="AW749" s="1"/>
      <c r="AY749" s="1"/>
      <c r="BA749" s="1"/>
      <c r="BC749" s="1"/>
      <c r="BE749" s="1"/>
      <c r="BG749" s="1"/>
      <c r="BI749" s="1"/>
    </row>
    <row r="750" ht="15.75" customHeight="1">
      <c r="A750" s="1"/>
      <c r="B750" s="1"/>
      <c r="C750" s="1"/>
      <c r="E750" s="1"/>
      <c r="G750" s="1"/>
      <c r="I750" s="1"/>
      <c r="K750" s="1"/>
      <c r="M750" s="1"/>
      <c r="O750" s="1"/>
      <c r="Q750" s="1"/>
      <c r="S750" s="1"/>
      <c r="U750" s="1"/>
      <c r="W750" s="1"/>
      <c r="Y750" s="1"/>
      <c r="AA750" s="1"/>
      <c r="AC750" s="1"/>
      <c r="AE750" s="1"/>
      <c r="AG750" s="1"/>
      <c r="AI750" s="1"/>
      <c r="AK750" s="1"/>
      <c r="AM750" s="1"/>
      <c r="AO750" s="1"/>
      <c r="AQ750" s="1"/>
      <c r="AS750" s="1"/>
      <c r="AU750" s="1"/>
      <c r="AW750" s="1"/>
      <c r="AY750" s="1"/>
      <c r="BA750" s="1"/>
      <c r="BC750" s="1"/>
      <c r="BE750" s="1"/>
      <c r="BG750" s="1"/>
      <c r="BI750" s="1"/>
    </row>
    <row r="751" ht="15.75" customHeight="1">
      <c r="A751" s="1"/>
      <c r="B751" s="1"/>
      <c r="C751" s="1"/>
      <c r="E751" s="1"/>
      <c r="G751" s="1"/>
      <c r="I751" s="1"/>
      <c r="K751" s="1"/>
      <c r="M751" s="1"/>
      <c r="O751" s="1"/>
      <c r="Q751" s="1"/>
      <c r="S751" s="1"/>
      <c r="U751" s="1"/>
      <c r="W751" s="1"/>
      <c r="Y751" s="1"/>
      <c r="AA751" s="1"/>
      <c r="AC751" s="1"/>
      <c r="AE751" s="1"/>
      <c r="AG751" s="1"/>
      <c r="AI751" s="1"/>
      <c r="AK751" s="1"/>
      <c r="AM751" s="1"/>
      <c r="AO751" s="1"/>
      <c r="AQ751" s="1"/>
      <c r="AS751" s="1"/>
      <c r="AU751" s="1"/>
      <c r="AW751" s="1"/>
      <c r="AY751" s="1"/>
      <c r="BA751" s="1"/>
      <c r="BC751" s="1"/>
      <c r="BE751" s="1"/>
      <c r="BG751" s="1"/>
      <c r="BI751" s="1"/>
    </row>
    <row r="752" ht="15.75" customHeight="1">
      <c r="A752" s="1"/>
      <c r="B752" s="1"/>
      <c r="C752" s="1"/>
      <c r="E752" s="1"/>
      <c r="G752" s="1"/>
      <c r="I752" s="1"/>
      <c r="K752" s="1"/>
      <c r="M752" s="1"/>
      <c r="O752" s="1"/>
      <c r="Q752" s="1"/>
      <c r="S752" s="1"/>
      <c r="U752" s="1"/>
      <c r="W752" s="1"/>
      <c r="Y752" s="1"/>
      <c r="AA752" s="1"/>
      <c r="AC752" s="1"/>
      <c r="AE752" s="1"/>
      <c r="AG752" s="1"/>
      <c r="AI752" s="1"/>
      <c r="AK752" s="1"/>
      <c r="AM752" s="1"/>
      <c r="AO752" s="1"/>
      <c r="AQ752" s="1"/>
      <c r="AS752" s="1"/>
      <c r="AU752" s="1"/>
      <c r="AW752" s="1"/>
      <c r="AY752" s="1"/>
      <c r="BA752" s="1"/>
      <c r="BC752" s="1"/>
      <c r="BE752" s="1"/>
      <c r="BG752" s="1"/>
      <c r="BI752" s="1"/>
    </row>
    <row r="753" ht="15.75" customHeight="1">
      <c r="A753" s="1"/>
      <c r="B753" s="1"/>
      <c r="C753" s="1"/>
      <c r="E753" s="1"/>
      <c r="G753" s="1"/>
      <c r="I753" s="1"/>
      <c r="K753" s="1"/>
      <c r="M753" s="1"/>
      <c r="O753" s="1"/>
      <c r="Q753" s="1"/>
      <c r="S753" s="1"/>
      <c r="U753" s="1"/>
      <c r="W753" s="1"/>
      <c r="Y753" s="1"/>
      <c r="AA753" s="1"/>
      <c r="AC753" s="1"/>
      <c r="AE753" s="1"/>
      <c r="AG753" s="1"/>
      <c r="AI753" s="1"/>
      <c r="AK753" s="1"/>
      <c r="AM753" s="1"/>
      <c r="AO753" s="1"/>
      <c r="AQ753" s="1"/>
      <c r="AS753" s="1"/>
      <c r="AU753" s="1"/>
      <c r="AW753" s="1"/>
      <c r="AY753" s="1"/>
      <c r="BA753" s="1"/>
      <c r="BC753" s="1"/>
      <c r="BE753" s="1"/>
      <c r="BG753" s="1"/>
      <c r="BI753" s="1"/>
    </row>
    <row r="754" ht="15.75" customHeight="1">
      <c r="A754" s="1"/>
      <c r="B754" s="1"/>
      <c r="C754" s="1"/>
      <c r="E754" s="1"/>
      <c r="G754" s="1"/>
      <c r="I754" s="1"/>
      <c r="K754" s="1"/>
      <c r="M754" s="1"/>
      <c r="O754" s="1"/>
      <c r="Q754" s="1"/>
      <c r="S754" s="1"/>
      <c r="U754" s="1"/>
      <c r="W754" s="1"/>
      <c r="Y754" s="1"/>
      <c r="AA754" s="1"/>
      <c r="AC754" s="1"/>
      <c r="AE754" s="1"/>
      <c r="AG754" s="1"/>
      <c r="AI754" s="1"/>
      <c r="AK754" s="1"/>
      <c r="AM754" s="1"/>
      <c r="AO754" s="1"/>
      <c r="AQ754" s="1"/>
      <c r="AS754" s="1"/>
      <c r="AU754" s="1"/>
      <c r="AW754" s="1"/>
      <c r="AY754" s="1"/>
      <c r="BA754" s="1"/>
      <c r="BC754" s="1"/>
      <c r="BE754" s="1"/>
      <c r="BG754" s="1"/>
      <c r="BI754" s="1"/>
    </row>
    <row r="755" ht="15.75" customHeight="1">
      <c r="A755" s="1"/>
      <c r="B755" s="1"/>
      <c r="C755" s="1"/>
      <c r="E755" s="1"/>
      <c r="G755" s="1"/>
      <c r="I755" s="1"/>
      <c r="K755" s="1"/>
      <c r="M755" s="1"/>
      <c r="O755" s="1"/>
      <c r="Q755" s="1"/>
      <c r="S755" s="1"/>
      <c r="U755" s="1"/>
      <c r="W755" s="1"/>
      <c r="Y755" s="1"/>
      <c r="AA755" s="1"/>
      <c r="AC755" s="1"/>
      <c r="AE755" s="1"/>
      <c r="AG755" s="1"/>
      <c r="AI755" s="1"/>
      <c r="AK755" s="1"/>
      <c r="AM755" s="1"/>
      <c r="AO755" s="1"/>
      <c r="AQ755" s="1"/>
      <c r="AS755" s="1"/>
      <c r="AU755" s="1"/>
      <c r="AW755" s="1"/>
      <c r="AY755" s="1"/>
      <c r="BA755" s="1"/>
      <c r="BC755" s="1"/>
      <c r="BE755" s="1"/>
      <c r="BG755" s="1"/>
      <c r="BI755" s="1"/>
    </row>
    <row r="756" ht="15.75" customHeight="1">
      <c r="A756" s="1"/>
      <c r="B756" s="1"/>
      <c r="C756" s="1"/>
      <c r="E756" s="1"/>
      <c r="G756" s="1"/>
      <c r="I756" s="1"/>
      <c r="K756" s="1"/>
      <c r="M756" s="1"/>
      <c r="O756" s="1"/>
      <c r="Q756" s="1"/>
      <c r="S756" s="1"/>
      <c r="U756" s="1"/>
      <c r="W756" s="1"/>
      <c r="Y756" s="1"/>
      <c r="AA756" s="1"/>
      <c r="AC756" s="1"/>
      <c r="AE756" s="1"/>
      <c r="AG756" s="1"/>
      <c r="AI756" s="1"/>
      <c r="AK756" s="1"/>
      <c r="AM756" s="1"/>
      <c r="AO756" s="1"/>
      <c r="AQ756" s="1"/>
      <c r="AS756" s="1"/>
      <c r="AU756" s="1"/>
      <c r="AW756" s="1"/>
      <c r="AY756" s="1"/>
      <c r="BA756" s="1"/>
      <c r="BC756" s="1"/>
      <c r="BE756" s="1"/>
      <c r="BG756" s="1"/>
      <c r="BI756" s="1"/>
    </row>
    <row r="757" ht="15.75" customHeight="1">
      <c r="A757" s="1"/>
      <c r="B757" s="1"/>
      <c r="C757" s="1"/>
      <c r="E757" s="1"/>
      <c r="G757" s="1"/>
      <c r="I757" s="1"/>
      <c r="K757" s="1"/>
      <c r="M757" s="1"/>
      <c r="O757" s="1"/>
      <c r="Q757" s="1"/>
      <c r="S757" s="1"/>
      <c r="U757" s="1"/>
      <c r="W757" s="1"/>
      <c r="Y757" s="1"/>
      <c r="AA757" s="1"/>
      <c r="AC757" s="1"/>
      <c r="AE757" s="1"/>
      <c r="AG757" s="1"/>
      <c r="AI757" s="1"/>
      <c r="AK757" s="1"/>
      <c r="AM757" s="1"/>
      <c r="AO757" s="1"/>
      <c r="AQ757" s="1"/>
      <c r="AS757" s="1"/>
      <c r="AU757" s="1"/>
      <c r="AW757" s="1"/>
      <c r="AY757" s="1"/>
      <c r="BA757" s="1"/>
      <c r="BC757" s="1"/>
      <c r="BE757" s="1"/>
      <c r="BG757" s="1"/>
      <c r="BI757" s="1"/>
    </row>
    <row r="758" ht="15.75" customHeight="1">
      <c r="A758" s="1"/>
      <c r="B758" s="1"/>
      <c r="C758" s="1"/>
      <c r="E758" s="1"/>
      <c r="G758" s="1"/>
      <c r="I758" s="1"/>
      <c r="K758" s="1"/>
      <c r="M758" s="1"/>
      <c r="O758" s="1"/>
      <c r="Q758" s="1"/>
      <c r="S758" s="1"/>
      <c r="U758" s="1"/>
      <c r="W758" s="1"/>
      <c r="Y758" s="1"/>
      <c r="AA758" s="1"/>
      <c r="AC758" s="1"/>
      <c r="AE758" s="1"/>
      <c r="AG758" s="1"/>
      <c r="AI758" s="1"/>
      <c r="AK758" s="1"/>
      <c r="AM758" s="1"/>
      <c r="AO758" s="1"/>
      <c r="AQ758" s="1"/>
      <c r="AS758" s="1"/>
      <c r="AU758" s="1"/>
      <c r="AW758" s="1"/>
      <c r="AY758" s="1"/>
      <c r="BA758" s="1"/>
      <c r="BC758" s="1"/>
      <c r="BE758" s="1"/>
      <c r="BG758" s="1"/>
      <c r="BI758" s="1"/>
    </row>
    <row r="759" ht="15.75" customHeight="1">
      <c r="A759" s="1"/>
      <c r="B759" s="1"/>
      <c r="C759" s="1"/>
      <c r="E759" s="1"/>
      <c r="G759" s="1"/>
      <c r="I759" s="1"/>
      <c r="K759" s="1"/>
      <c r="M759" s="1"/>
      <c r="O759" s="1"/>
      <c r="Q759" s="1"/>
      <c r="S759" s="1"/>
      <c r="U759" s="1"/>
      <c r="W759" s="1"/>
      <c r="Y759" s="1"/>
      <c r="AA759" s="1"/>
      <c r="AC759" s="1"/>
      <c r="AE759" s="1"/>
      <c r="AG759" s="1"/>
      <c r="AI759" s="1"/>
      <c r="AK759" s="1"/>
      <c r="AM759" s="1"/>
      <c r="AO759" s="1"/>
      <c r="AQ759" s="1"/>
      <c r="AS759" s="1"/>
      <c r="AU759" s="1"/>
      <c r="AW759" s="1"/>
      <c r="AY759" s="1"/>
      <c r="BA759" s="1"/>
      <c r="BC759" s="1"/>
      <c r="BE759" s="1"/>
      <c r="BG759" s="1"/>
      <c r="BI759" s="1"/>
    </row>
    <row r="760" ht="15.75" customHeight="1">
      <c r="A760" s="1"/>
      <c r="B760" s="1"/>
      <c r="C760" s="1"/>
      <c r="E760" s="1"/>
      <c r="G760" s="1"/>
      <c r="I760" s="1"/>
      <c r="K760" s="1"/>
      <c r="M760" s="1"/>
      <c r="O760" s="1"/>
      <c r="Q760" s="1"/>
      <c r="S760" s="1"/>
      <c r="U760" s="1"/>
      <c r="W760" s="1"/>
      <c r="Y760" s="1"/>
      <c r="AA760" s="1"/>
      <c r="AC760" s="1"/>
      <c r="AE760" s="1"/>
      <c r="AG760" s="1"/>
      <c r="AI760" s="1"/>
      <c r="AK760" s="1"/>
      <c r="AM760" s="1"/>
      <c r="AO760" s="1"/>
      <c r="AQ760" s="1"/>
      <c r="AS760" s="1"/>
      <c r="AU760" s="1"/>
      <c r="AW760" s="1"/>
      <c r="AY760" s="1"/>
      <c r="BA760" s="1"/>
      <c r="BC760" s="1"/>
      <c r="BE760" s="1"/>
      <c r="BG760" s="1"/>
      <c r="BI760" s="1"/>
    </row>
    <row r="761" ht="15.75" customHeight="1">
      <c r="A761" s="1"/>
      <c r="B761" s="1"/>
      <c r="C761" s="1"/>
      <c r="E761" s="1"/>
      <c r="G761" s="1"/>
      <c r="I761" s="1"/>
      <c r="K761" s="1"/>
      <c r="M761" s="1"/>
      <c r="O761" s="1"/>
      <c r="Q761" s="1"/>
      <c r="S761" s="1"/>
      <c r="U761" s="1"/>
      <c r="W761" s="1"/>
      <c r="Y761" s="1"/>
      <c r="AA761" s="1"/>
      <c r="AC761" s="1"/>
      <c r="AE761" s="1"/>
      <c r="AG761" s="1"/>
      <c r="AI761" s="1"/>
      <c r="AK761" s="1"/>
      <c r="AM761" s="1"/>
      <c r="AO761" s="1"/>
      <c r="AQ761" s="1"/>
      <c r="AS761" s="1"/>
      <c r="AU761" s="1"/>
      <c r="AW761" s="1"/>
      <c r="AY761" s="1"/>
      <c r="BA761" s="1"/>
      <c r="BC761" s="1"/>
      <c r="BE761" s="1"/>
      <c r="BG761" s="1"/>
      <c r="BI761" s="1"/>
    </row>
    <row r="762" ht="15.75" customHeight="1">
      <c r="A762" s="1"/>
      <c r="B762" s="1"/>
      <c r="C762" s="1"/>
      <c r="E762" s="1"/>
      <c r="G762" s="1"/>
      <c r="I762" s="1"/>
      <c r="K762" s="1"/>
      <c r="M762" s="1"/>
      <c r="O762" s="1"/>
      <c r="Q762" s="1"/>
      <c r="S762" s="1"/>
      <c r="U762" s="1"/>
      <c r="W762" s="1"/>
      <c r="Y762" s="1"/>
      <c r="AA762" s="1"/>
      <c r="AC762" s="1"/>
      <c r="AE762" s="1"/>
      <c r="AG762" s="1"/>
      <c r="AI762" s="1"/>
      <c r="AK762" s="1"/>
      <c r="AM762" s="1"/>
      <c r="AO762" s="1"/>
      <c r="AQ762" s="1"/>
      <c r="AS762" s="1"/>
      <c r="AU762" s="1"/>
      <c r="AW762" s="1"/>
      <c r="AY762" s="1"/>
      <c r="BA762" s="1"/>
      <c r="BC762" s="1"/>
      <c r="BE762" s="1"/>
      <c r="BG762" s="1"/>
      <c r="BI762" s="1"/>
    </row>
    <row r="763" ht="15.75" customHeight="1">
      <c r="A763" s="1"/>
      <c r="B763" s="1"/>
      <c r="C763" s="1"/>
      <c r="E763" s="1"/>
      <c r="G763" s="1"/>
      <c r="I763" s="1"/>
      <c r="K763" s="1"/>
      <c r="M763" s="1"/>
      <c r="O763" s="1"/>
      <c r="Q763" s="1"/>
      <c r="S763" s="1"/>
      <c r="U763" s="1"/>
      <c r="W763" s="1"/>
      <c r="Y763" s="1"/>
      <c r="AA763" s="1"/>
      <c r="AC763" s="1"/>
      <c r="AE763" s="1"/>
      <c r="AG763" s="1"/>
      <c r="AI763" s="1"/>
      <c r="AK763" s="1"/>
      <c r="AM763" s="1"/>
      <c r="AO763" s="1"/>
      <c r="AQ763" s="1"/>
      <c r="AS763" s="1"/>
      <c r="AU763" s="1"/>
      <c r="AW763" s="1"/>
      <c r="AY763" s="1"/>
      <c r="BA763" s="1"/>
      <c r="BC763" s="1"/>
      <c r="BE763" s="1"/>
      <c r="BG763" s="1"/>
      <c r="BI763" s="1"/>
    </row>
    <row r="764" ht="15.75" customHeight="1">
      <c r="A764" s="1"/>
      <c r="B764" s="1"/>
      <c r="C764" s="1"/>
      <c r="E764" s="1"/>
      <c r="G764" s="1"/>
      <c r="I764" s="1"/>
      <c r="K764" s="1"/>
      <c r="M764" s="1"/>
      <c r="O764" s="1"/>
      <c r="Q764" s="1"/>
      <c r="S764" s="1"/>
      <c r="U764" s="1"/>
      <c r="W764" s="1"/>
      <c r="Y764" s="1"/>
      <c r="AA764" s="1"/>
      <c r="AC764" s="1"/>
      <c r="AE764" s="1"/>
      <c r="AG764" s="1"/>
      <c r="AI764" s="1"/>
      <c r="AK764" s="1"/>
      <c r="AM764" s="1"/>
      <c r="AO764" s="1"/>
      <c r="AQ764" s="1"/>
      <c r="AS764" s="1"/>
      <c r="AU764" s="1"/>
      <c r="AW764" s="1"/>
      <c r="AY764" s="1"/>
      <c r="BA764" s="1"/>
      <c r="BC764" s="1"/>
      <c r="BE764" s="1"/>
      <c r="BG764" s="1"/>
      <c r="BI764" s="1"/>
    </row>
    <row r="765" ht="15.75" customHeight="1">
      <c r="A765" s="1"/>
      <c r="B765" s="1"/>
      <c r="C765" s="1"/>
      <c r="E765" s="1"/>
      <c r="G765" s="1"/>
      <c r="I765" s="1"/>
      <c r="K765" s="1"/>
      <c r="M765" s="1"/>
      <c r="O765" s="1"/>
      <c r="Q765" s="1"/>
      <c r="S765" s="1"/>
      <c r="U765" s="1"/>
      <c r="W765" s="1"/>
      <c r="Y765" s="1"/>
      <c r="AA765" s="1"/>
      <c r="AC765" s="1"/>
      <c r="AE765" s="1"/>
      <c r="AG765" s="1"/>
      <c r="AI765" s="1"/>
      <c r="AK765" s="1"/>
      <c r="AM765" s="1"/>
      <c r="AO765" s="1"/>
      <c r="AQ765" s="1"/>
      <c r="AS765" s="1"/>
      <c r="AU765" s="1"/>
      <c r="AW765" s="1"/>
      <c r="AY765" s="1"/>
      <c r="BA765" s="1"/>
      <c r="BC765" s="1"/>
      <c r="BE765" s="1"/>
      <c r="BG765" s="1"/>
      <c r="BI765" s="1"/>
    </row>
    <row r="766" ht="15.75" customHeight="1">
      <c r="A766" s="1"/>
      <c r="B766" s="1"/>
      <c r="C766" s="1"/>
      <c r="E766" s="1"/>
      <c r="G766" s="1"/>
      <c r="I766" s="1"/>
      <c r="K766" s="1"/>
      <c r="M766" s="1"/>
      <c r="O766" s="1"/>
      <c r="Q766" s="1"/>
      <c r="S766" s="1"/>
      <c r="U766" s="1"/>
      <c r="W766" s="1"/>
      <c r="Y766" s="1"/>
      <c r="AA766" s="1"/>
      <c r="AC766" s="1"/>
      <c r="AE766" s="1"/>
      <c r="AG766" s="1"/>
      <c r="AI766" s="1"/>
      <c r="AK766" s="1"/>
      <c r="AM766" s="1"/>
      <c r="AO766" s="1"/>
      <c r="AQ766" s="1"/>
      <c r="AS766" s="1"/>
      <c r="AU766" s="1"/>
      <c r="AW766" s="1"/>
      <c r="AY766" s="1"/>
      <c r="BA766" s="1"/>
      <c r="BC766" s="1"/>
      <c r="BE766" s="1"/>
      <c r="BG766" s="1"/>
      <c r="BI766" s="1"/>
    </row>
    <row r="767" ht="15.75" customHeight="1">
      <c r="A767" s="1"/>
      <c r="B767" s="1"/>
      <c r="C767" s="1"/>
      <c r="E767" s="1"/>
      <c r="G767" s="1"/>
      <c r="I767" s="1"/>
      <c r="K767" s="1"/>
      <c r="M767" s="1"/>
      <c r="O767" s="1"/>
      <c r="Q767" s="1"/>
      <c r="S767" s="1"/>
      <c r="U767" s="1"/>
      <c r="W767" s="1"/>
      <c r="Y767" s="1"/>
      <c r="AA767" s="1"/>
      <c r="AC767" s="1"/>
      <c r="AE767" s="1"/>
      <c r="AG767" s="1"/>
      <c r="AI767" s="1"/>
      <c r="AK767" s="1"/>
      <c r="AM767" s="1"/>
      <c r="AO767" s="1"/>
      <c r="AQ767" s="1"/>
      <c r="AS767" s="1"/>
      <c r="AU767" s="1"/>
      <c r="AW767" s="1"/>
      <c r="AY767" s="1"/>
      <c r="BA767" s="1"/>
      <c r="BC767" s="1"/>
      <c r="BE767" s="1"/>
      <c r="BG767" s="1"/>
      <c r="BI767" s="1"/>
    </row>
    <row r="768" ht="15.75" customHeight="1">
      <c r="A768" s="1"/>
      <c r="B768" s="1"/>
      <c r="C768" s="1"/>
      <c r="E768" s="1"/>
      <c r="G768" s="1"/>
      <c r="I768" s="1"/>
      <c r="K768" s="1"/>
      <c r="M768" s="1"/>
      <c r="O768" s="1"/>
      <c r="Q768" s="1"/>
      <c r="S768" s="1"/>
      <c r="U768" s="1"/>
      <c r="W768" s="1"/>
      <c r="Y768" s="1"/>
      <c r="AA768" s="1"/>
      <c r="AC768" s="1"/>
      <c r="AE768" s="1"/>
      <c r="AG768" s="1"/>
      <c r="AI768" s="1"/>
      <c r="AK768" s="1"/>
      <c r="AM768" s="1"/>
      <c r="AO768" s="1"/>
      <c r="AQ768" s="1"/>
      <c r="AS768" s="1"/>
      <c r="AU768" s="1"/>
      <c r="AW768" s="1"/>
      <c r="AY768" s="1"/>
      <c r="BA768" s="1"/>
      <c r="BC768" s="1"/>
      <c r="BE768" s="1"/>
      <c r="BG768" s="1"/>
      <c r="BI768" s="1"/>
    </row>
    <row r="769" ht="15.75" customHeight="1">
      <c r="A769" s="1"/>
      <c r="B769" s="1"/>
      <c r="C769" s="1"/>
      <c r="E769" s="1"/>
      <c r="G769" s="1"/>
      <c r="I769" s="1"/>
      <c r="K769" s="1"/>
      <c r="M769" s="1"/>
      <c r="O769" s="1"/>
      <c r="Q769" s="1"/>
      <c r="S769" s="1"/>
      <c r="U769" s="1"/>
      <c r="W769" s="1"/>
      <c r="Y769" s="1"/>
      <c r="AA769" s="1"/>
      <c r="AC769" s="1"/>
      <c r="AE769" s="1"/>
      <c r="AG769" s="1"/>
      <c r="AI769" s="1"/>
      <c r="AK769" s="1"/>
      <c r="AM769" s="1"/>
      <c r="AO769" s="1"/>
      <c r="AQ769" s="1"/>
      <c r="AS769" s="1"/>
      <c r="AU769" s="1"/>
      <c r="AW769" s="1"/>
      <c r="AY769" s="1"/>
      <c r="BA769" s="1"/>
      <c r="BC769" s="1"/>
      <c r="BE769" s="1"/>
      <c r="BG769" s="1"/>
      <c r="BI769" s="1"/>
    </row>
    <row r="770" ht="15.75" customHeight="1">
      <c r="A770" s="1"/>
      <c r="B770" s="1"/>
      <c r="C770" s="1"/>
      <c r="E770" s="1"/>
      <c r="G770" s="1"/>
      <c r="I770" s="1"/>
      <c r="K770" s="1"/>
      <c r="M770" s="1"/>
      <c r="O770" s="1"/>
      <c r="Q770" s="1"/>
      <c r="S770" s="1"/>
      <c r="U770" s="1"/>
      <c r="W770" s="1"/>
      <c r="Y770" s="1"/>
      <c r="AA770" s="1"/>
      <c r="AC770" s="1"/>
      <c r="AE770" s="1"/>
      <c r="AG770" s="1"/>
      <c r="AI770" s="1"/>
      <c r="AK770" s="1"/>
      <c r="AM770" s="1"/>
      <c r="AO770" s="1"/>
      <c r="AQ770" s="1"/>
      <c r="AS770" s="1"/>
      <c r="AU770" s="1"/>
      <c r="AW770" s="1"/>
      <c r="AY770" s="1"/>
      <c r="BA770" s="1"/>
      <c r="BC770" s="1"/>
      <c r="BE770" s="1"/>
      <c r="BG770" s="1"/>
      <c r="BI770" s="1"/>
    </row>
    <row r="771" ht="15.75" customHeight="1">
      <c r="A771" s="1"/>
      <c r="B771" s="1"/>
      <c r="C771" s="1"/>
      <c r="E771" s="1"/>
      <c r="G771" s="1"/>
      <c r="I771" s="1"/>
      <c r="K771" s="1"/>
      <c r="M771" s="1"/>
      <c r="O771" s="1"/>
      <c r="Q771" s="1"/>
      <c r="S771" s="1"/>
      <c r="U771" s="1"/>
      <c r="W771" s="1"/>
      <c r="Y771" s="1"/>
      <c r="AA771" s="1"/>
      <c r="AC771" s="1"/>
      <c r="AE771" s="1"/>
      <c r="AG771" s="1"/>
      <c r="AI771" s="1"/>
      <c r="AK771" s="1"/>
      <c r="AM771" s="1"/>
      <c r="AO771" s="1"/>
      <c r="AQ771" s="1"/>
      <c r="AS771" s="1"/>
      <c r="AU771" s="1"/>
      <c r="AW771" s="1"/>
      <c r="AY771" s="1"/>
      <c r="BA771" s="1"/>
      <c r="BC771" s="1"/>
      <c r="BE771" s="1"/>
      <c r="BG771" s="1"/>
      <c r="BI771" s="1"/>
    </row>
    <row r="772" ht="15.75" customHeight="1">
      <c r="A772" s="1"/>
      <c r="B772" s="1"/>
      <c r="C772" s="1"/>
      <c r="E772" s="1"/>
      <c r="G772" s="1"/>
      <c r="I772" s="1"/>
      <c r="K772" s="1"/>
      <c r="M772" s="1"/>
      <c r="O772" s="1"/>
      <c r="Q772" s="1"/>
      <c r="S772" s="1"/>
      <c r="U772" s="1"/>
      <c r="W772" s="1"/>
      <c r="Y772" s="1"/>
      <c r="AA772" s="1"/>
      <c r="AC772" s="1"/>
      <c r="AE772" s="1"/>
      <c r="AG772" s="1"/>
      <c r="AI772" s="1"/>
      <c r="AK772" s="1"/>
      <c r="AM772" s="1"/>
      <c r="AO772" s="1"/>
      <c r="AQ772" s="1"/>
      <c r="AS772" s="1"/>
      <c r="AU772" s="1"/>
      <c r="AW772" s="1"/>
      <c r="AY772" s="1"/>
      <c r="BA772" s="1"/>
      <c r="BC772" s="1"/>
      <c r="BE772" s="1"/>
      <c r="BG772" s="1"/>
      <c r="BI772" s="1"/>
    </row>
    <row r="773" ht="15.75" customHeight="1">
      <c r="A773" s="1"/>
      <c r="B773" s="1"/>
      <c r="C773" s="1"/>
      <c r="E773" s="1"/>
      <c r="G773" s="1"/>
      <c r="I773" s="1"/>
      <c r="K773" s="1"/>
      <c r="M773" s="1"/>
      <c r="O773" s="1"/>
      <c r="Q773" s="1"/>
      <c r="S773" s="1"/>
      <c r="U773" s="1"/>
      <c r="W773" s="1"/>
      <c r="Y773" s="1"/>
      <c r="AA773" s="1"/>
      <c r="AC773" s="1"/>
      <c r="AE773" s="1"/>
      <c r="AG773" s="1"/>
      <c r="AI773" s="1"/>
      <c r="AK773" s="1"/>
      <c r="AM773" s="1"/>
      <c r="AO773" s="1"/>
      <c r="AQ773" s="1"/>
      <c r="AS773" s="1"/>
      <c r="AU773" s="1"/>
      <c r="AW773" s="1"/>
      <c r="AY773" s="1"/>
      <c r="BA773" s="1"/>
      <c r="BC773" s="1"/>
      <c r="BE773" s="1"/>
      <c r="BG773" s="1"/>
      <c r="BI773" s="1"/>
    </row>
    <row r="774" ht="15.75" customHeight="1">
      <c r="A774" s="1"/>
      <c r="B774" s="1"/>
      <c r="C774" s="1"/>
      <c r="E774" s="1"/>
      <c r="G774" s="1"/>
      <c r="I774" s="1"/>
      <c r="K774" s="1"/>
      <c r="M774" s="1"/>
      <c r="O774" s="1"/>
      <c r="Q774" s="1"/>
      <c r="S774" s="1"/>
      <c r="U774" s="1"/>
      <c r="W774" s="1"/>
      <c r="Y774" s="1"/>
      <c r="AA774" s="1"/>
      <c r="AC774" s="1"/>
      <c r="AE774" s="1"/>
      <c r="AG774" s="1"/>
      <c r="AI774" s="1"/>
      <c r="AK774" s="1"/>
      <c r="AM774" s="1"/>
      <c r="AO774" s="1"/>
      <c r="AQ774" s="1"/>
      <c r="AS774" s="1"/>
      <c r="AU774" s="1"/>
      <c r="AW774" s="1"/>
      <c r="AY774" s="1"/>
      <c r="BA774" s="1"/>
      <c r="BC774" s="1"/>
      <c r="BE774" s="1"/>
      <c r="BG774" s="1"/>
      <c r="BI774" s="1"/>
    </row>
    <row r="775" ht="15.75" customHeight="1">
      <c r="A775" s="1"/>
      <c r="B775" s="1"/>
      <c r="C775" s="1"/>
      <c r="E775" s="1"/>
      <c r="G775" s="1"/>
      <c r="I775" s="1"/>
      <c r="K775" s="1"/>
      <c r="M775" s="1"/>
      <c r="O775" s="1"/>
      <c r="Q775" s="1"/>
      <c r="S775" s="1"/>
      <c r="U775" s="1"/>
      <c r="W775" s="1"/>
      <c r="Y775" s="1"/>
      <c r="AA775" s="1"/>
      <c r="AC775" s="1"/>
      <c r="AE775" s="1"/>
      <c r="AG775" s="1"/>
      <c r="AI775" s="1"/>
      <c r="AK775" s="1"/>
      <c r="AM775" s="1"/>
      <c r="AO775" s="1"/>
      <c r="AQ775" s="1"/>
      <c r="AS775" s="1"/>
      <c r="AU775" s="1"/>
      <c r="AW775" s="1"/>
      <c r="AY775" s="1"/>
      <c r="BA775" s="1"/>
      <c r="BC775" s="1"/>
      <c r="BE775" s="1"/>
      <c r="BG775" s="1"/>
      <c r="BI775" s="1"/>
    </row>
    <row r="776" ht="15.75" customHeight="1">
      <c r="A776" s="1"/>
      <c r="B776" s="1"/>
      <c r="C776" s="1"/>
      <c r="E776" s="1"/>
      <c r="G776" s="1"/>
      <c r="I776" s="1"/>
      <c r="K776" s="1"/>
      <c r="M776" s="1"/>
      <c r="O776" s="1"/>
      <c r="Q776" s="1"/>
      <c r="S776" s="1"/>
      <c r="U776" s="1"/>
      <c r="W776" s="1"/>
      <c r="Y776" s="1"/>
      <c r="AA776" s="1"/>
      <c r="AC776" s="1"/>
      <c r="AE776" s="1"/>
      <c r="AG776" s="1"/>
      <c r="AI776" s="1"/>
      <c r="AK776" s="1"/>
      <c r="AM776" s="1"/>
      <c r="AO776" s="1"/>
      <c r="AQ776" s="1"/>
      <c r="AS776" s="1"/>
      <c r="AU776" s="1"/>
      <c r="AW776" s="1"/>
      <c r="AY776" s="1"/>
      <c r="BA776" s="1"/>
      <c r="BC776" s="1"/>
      <c r="BE776" s="1"/>
      <c r="BG776" s="1"/>
      <c r="BI776" s="1"/>
    </row>
    <row r="777" ht="15.75" customHeight="1">
      <c r="A777" s="1"/>
      <c r="B777" s="1"/>
      <c r="C777" s="1"/>
      <c r="E777" s="1"/>
      <c r="G777" s="1"/>
      <c r="I777" s="1"/>
      <c r="K777" s="1"/>
      <c r="M777" s="1"/>
      <c r="O777" s="1"/>
      <c r="Q777" s="1"/>
      <c r="S777" s="1"/>
      <c r="U777" s="1"/>
      <c r="W777" s="1"/>
      <c r="Y777" s="1"/>
      <c r="AA777" s="1"/>
      <c r="AC777" s="1"/>
      <c r="AE777" s="1"/>
      <c r="AG777" s="1"/>
      <c r="AI777" s="1"/>
      <c r="AK777" s="1"/>
      <c r="AM777" s="1"/>
      <c r="AO777" s="1"/>
      <c r="AQ777" s="1"/>
      <c r="AS777" s="1"/>
      <c r="AU777" s="1"/>
      <c r="AW777" s="1"/>
      <c r="AY777" s="1"/>
      <c r="BA777" s="1"/>
      <c r="BC777" s="1"/>
      <c r="BE777" s="1"/>
      <c r="BG777" s="1"/>
      <c r="BI777" s="1"/>
    </row>
    <row r="778" ht="15.75" customHeight="1">
      <c r="A778" s="1"/>
      <c r="B778" s="1"/>
      <c r="C778" s="1"/>
      <c r="E778" s="1"/>
      <c r="G778" s="1"/>
      <c r="I778" s="1"/>
      <c r="K778" s="1"/>
      <c r="M778" s="1"/>
      <c r="O778" s="1"/>
      <c r="Q778" s="1"/>
      <c r="S778" s="1"/>
      <c r="U778" s="1"/>
      <c r="W778" s="1"/>
      <c r="Y778" s="1"/>
      <c r="AA778" s="1"/>
      <c r="AC778" s="1"/>
      <c r="AE778" s="1"/>
      <c r="AG778" s="1"/>
      <c r="AI778" s="1"/>
      <c r="AK778" s="1"/>
      <c r="AM778" s="1"/>
      <c r="AO778" s="1"/>
      <c r="AQ778" s="1"/>
      <c r="AS778" s="1"/>
      <c r="AU778" s="1"/>
      <c r="AW778" s="1"/>
      <c r="AY778" s="1"/>
      <c r="BA778" s="1"/>
      <c r="BC778" s="1"/>
      <c r="BE778" s="1"/>
      <c r="BG778" s="1"/>
      <c r="BI778" s="1"/>
    </row>
    <row r="779" ht="15.75" customHeight="1">
      <c r="A779" s="1"/>
      <c r="B779" s="1"/>
      <c r="C779" s="1"/>
      <c r="E779" s="1"/>
      <c r="G779" s="1"/>
      <c r="I779" s="1"/>
      <c r="K779" s="1"/>
      <c r="M779" s="1"/>
      <c r="O779" s="1"/>
      <c r="Q779" s="1"/>
      <c r="S779" s="1"/>
      <c r="U779" s="1"/>
      <c r="W779" s="1"/>
      <c r="Y779" s="1"/>
      <c r="AA779" s="1"/>
      <c r="AC779" s="1"/>
      <c r="AE779" s="1"/>
      <c r="AG779" s="1"/>
      <c r="AI779" s="1"/>
      <c r="AK779" s="1"/>
      <c r="AM779" s="1"/>
      <c r="AO779" s="1"/>
      <c r="AQ779" s="1"/>
      <c r="AS779" s="1"/>
      <c r="AU779" s="1"/>
      <c r="AW779" s="1"/>
      <c r="AY779" s="1"/>
      <c r="BA779" s="1"/>
      <c r="BC779" s="1"/>
      <c r="BE779" s="1"/>
      <c r="BG779" s="1"/>
      <c r="BI779" s="1"/>
    </row>
    <row r="780" ht="15.75" customHeight="1">
      <c r="A780" s="1"/>
      <c r="B780" s="1"/>
      <c r="C780" s="1"/>
      <c r="E780" s="1"/>
      <c r="G780" s="1"/>
      <c r="I780" s="1"/>
      <c r="K780" s="1"/>
      <c r="M780" s="1"/>
      <c r="O780" s="1"/>
      <c r="Q780" s="1"/>
      <c r="S780" s="1"/>
      <c r="U780" s="1"/>
      <c r="W780" s="1"/>
      <c r="Y780" s="1"/>
      <c r="AA780" s="1"/>
      <c r="AC780" s="1"/>
      <c r="AE780" s="1"/>
      <c r="AG780" s="1"/>
      <c r="AI780" s="1"/>
      <c r="AK780" s="1"/>
      <c r="AM780" s="1"/>
      <c r="AO780" s="1"/>
      <c r="AQ780" s="1"/>
      <c r="AS780" s="1"/>
      <c r="AU780" s="1"/>
      <c r="AW780" s="1"/>
      <c r="AY780" s="1"/>
      <c r="BA780" s="1"/>
      <c r="BC780" s="1"/>
      <c r="BE780" s="1"/>
      <c r="BG780" s="1"/>
      <c r="BI780" s="1"/>
    </row>
    <row r="781" ht="15.75" customHeight="1">
      <c r="A781" s="1"/>
      <c r="B781" s="1"/>
      <c r="C781" s="1"/>
      <c r="E781" s="1"/>
      <c r="G781" s="1"/>
      <c r="I781" s="1"/>
      <c r="K781" s="1"/>
      <c r="M781" s="1"/>
      <c r="O781" s="1"/>
      <c r="Q781" s="1"/>
      <c r="S781" s="1"/>
      <c r="U781" s="1"/>
      <c r="W781" s="1"/>
      <c r="Y781" s="1"/>
      <c r="AA781" s="1"/>
      <c r="AC781" s="1"/>
      <c r="AE781" s="1"/>
      <c r="AG781" s="1"/>
      <c r="AI781" s="1"/>
      <c r="AK781" s="1"/>
      <c r="AM781" s="1"/>
      <c r="AO781" s="1"/>
      <c r="AQ781" s="1"/>
      <c r="AS781" s="1"/>
      <c r="AU781" s="1"/>
      <c r="AW781" s="1"/>
      <c r="AY781" s="1"/>
      <c r="BA781" s="1"/>
      <c r="BC781" s="1"/>
      <c r="BE781" s="1"/>
      <c r="BG781" s="1"/>
      <c r="BI781" s="1"/>
    </row>
    <row r="782" ht="15.75" customHeight="1">
      <c r="A782" s="1"/>
      <c r="B782" s="1"/>
      <c r="C782" s="1"/>
      <c r="E782" s="1"/>
      <c r="G782" s="1"/>
      <c r="I782" s="1"/>
      <c r="K782" s="1"/>
      <c r="M782" s="1"/>
      <c r="O782" s="1"/>
      <c r="Q782" s="1"/>
      <c r="S782" s="1"/>
      <c r="U782" s="1"/>
      <c r="W782" s="1"/>
      <c r="Y782" s="1"/>
      <c r="AA782" s="1"/>
      <c r="AC782" s="1"/>
      <c r="AE782" s="1"/>
      <c r="AG782" s="1"/>
      <c r="AI782" s="1"/>
      <c r="AK782" s="1"/>
      <c r="AM782" s="1"/>
      <c r="AO782" s="1"/>
      <c r="AQ782" s="1"/>
      <c r="AS782" s="1"/>
      <c r="AU782" s="1"/>
      <c r="AW782" s="1"/>
      <c r="AY782" s="1"/>
      <c r="BA782" s="1"/>
      <c r="BC782" s="1"/>
      <c r="BE782" s="1"/>
      <c r="BG782" s="1"/>
      <c r="BI782" s="1"/>
    </row>
    <row r="783" ht="15.75" customHeight="1">
      <c r="A783" s="1"/>
      <c r="B783" s="1"/>
      <c r="C783" s="1"/>
      <c r="E783" s="1"/>
      <c r="G783" s="1"/>
      <c r="I783" s="1"/>
      <c r="K783" s="1"/>
      <c r="M783" s="1"/>
      <c r="O783" s="1"/>
      <c r="Q783" s="1"/>
      <c r="S783" s="1"/>
      <c r="U783" s="1"/>
      <c r="W783" s="1"/>
      <c r="Y783" s="1"/>
      <c r="AA783" s="1"/>
      <c r="AC783" s="1"/>
      <c r="AE783" s="1"/>
      <c r="AG783" s="1"/>
      <c r="AI783" s="1"/>
      <c r="AK783" s="1"/>
      <c r="AM783" s="1"/>
      <c r="AO783" s="1"/>
      <c r="AQ783" s="1"/>
      <c r="AS783" s="1"/>
      <c r="AU783" s="1"/>
      <c r="AW783" s="1"/>
      <c r="AY783" s="1"/>
      <c r="BA783" s="1"/>
      <c r="BC783" s="1"/>
      <c r="BE783" s="1"/>
      <c r="BG783" s="1"/>
      <c r="BI783" s="1"/>
    </row>
    <row r="784" ht="15.75" customHeight="1">
      <c r="A784" s="1"/>
      <c r="B784" s="1"/>
      <c r="C784" s="1"/>
      <c r="E784" s="1"/>
      <c r="G784" s="1"/>
      <c r="I784" s="1"/>
      <c r="K784" s="1"/>
      <c r="M784" s="1"/>
      <c r="O784" s="1"/>
      <c r="Q784" s="1"/>
      <c r="S784" s="1"/>
      <c r="U784" s="1"/>
      <c r="W784" s="1"/>
      <c r="Y784" s="1"/>
      <c r="AA784" s="1"/>
      <c r="AC784" s="1"/>
      <c r="AE784" s="1"/>
      <c r="AG784" s="1"/>
      <c r="AI784" s="1"/>
      <c r="AK784" s="1"/>
      <c r="AM784" s="1"/>
      <c r="AO784" s="1"/>
      <c r="AQ784" s="1"/>
      <c r="AS784" s="1"/>
      <c r="AU784" s="1"/>
      <c r="AW784" s="1"/>
      <c r="AY784" s="1"/>
      <c r="BA784" s="1"/>
      <c r="BC784" s="1"/>
      <c r="BE784" s="1"/>
      <c r="BG784" s="1"/>
      <c r="BI784" s="1"/>
    </row>
    <row r="785" ht="15.75" customHeight="1">
      <c r="A785" s="1"/>
      <c r="B785" s="1"/>
      <c r="C785" s="1"/>
      <c r="E785" s="1"/>
      <c r="G785" s="1"/>
      <c r="I785" s="1"/>
      <c r="K785" s="1"/>
      <c r="M785" s="1"/>
      <c r="O785" s="1"/>
      <c r="Q785" s="1"/>
      <c r="S785" s="1"/>
      <c r="U785" s="1"/>
      <c r="W785" s="1"/>
      <c r="Y785" s="1"/>
      <c r="AA785" s="1"/>
      <c r="AC785" s="1"/>
      <c r="AE785" s="1"/>
      <c r="AG785" s="1"/>
      <c r="AI785" s="1"/>
      <c r="AK785" s="1"/>
      <c r="AM785" s="1"/>
      <c r="AO785" s="1"/>
      <c r="AQ785" s="1"/>
      <c r="AS785" s="1"/>
      <c r="AU785" s="1"/>
      <c r="AW785" s="1"/>
      <c r="AY785" s="1"/>
      <c r="BA785" s="1"/>
      <c r="BC785" s="1"/>
      <c r="BE785" s="1"/>
      <c r="BG785" s="1"/>
      <c r="BI785" s="1"/>
    </row>
    <row r="786" ht="15.75" customHeight="1">
      <c r="A786" s="1"/>
      <c r="B786" s="1"/>
      <c r="C786" s="1"/>
      <c r="E786" s="1"/>
      <c r="G786" s="1"/>
      <c r="I786" s="1"/>
      <c r="K786" s="1"/>
      <c r="M786" s="1"/>
      <c r="O786" s="1"/>
      <c r="Q786" s="1"/>
      <c r="S786" s="1"/>
      <c r="U786" s="1"/>
      <c r="W786" s="1"/>
      <c r="Y786" s="1"/>
      <c r="AA786" s="1"/>
      <c r="AC786" s="1"/>
      <c r="AE786" s="1"/>
      <c r="AG786" s="1"/>
      <c r="AI786" s="1"/>
      <c r="AK786" s="1"/>
      <c r="AM786" s="1"/>
      <c r="AO786" s="1"/>
      <c r="AQ786" s="1"/>
      <c r="AS786" s="1"/>
      <c r="AU786" s="1"/>
      <c r="AW786" s="1"/>
      <c r="AY786" s="1"/>
      <c r="BA786" s="1"/>
      <c r="BC786" s="1"/>
      <c r="BE786" s="1"/>
      <c r="BG786" s="1"/>
      <c r="BI786" s="1"/>
    </row>
    <row r="787" ht="15.75" customHeight="1">
      <c r="A787" s="1"/>
      <c r="B787" s="1"/>
      <c r="C787" s="1"/>
      <c r="E787" s="1"/>
      <c r="G787" s="1"/>
      <c r="I787" s="1"/>
      <c r="K787" s="1"/>
      <c r="M787" s="1"/>
      <c r="O787" s="1"/>
      <c r="Q787" s="1"/>
      <c r="S787" s="1"/>
      <c r="U787" s="1"/>
      <c r="W787" s="1"/>
      <c r="Y787" s="1"/>
      <c r="AA787" s="1"/>
      <c r="AC787" s="1"/>
      <c r="AE787" s="1"/>
      <c r="AG787" s="1"/>
      <c r="AI787" s="1"/>
      <c r="AK787" s="1"/>
      <c r="AM787" s="1"/>
      <c r="AO787" s="1"/>
      <c r="AQ787" s="1"/>
      <c r="AS787" s="1"/>
      <c r="AU787" s="1"/>
      <c r="AW787" s="1"/>
      <c r="AY787" s="1"/>
      <c r="BA787" s="1"/>
      <c r="BC787" s="1"/>
      <c r="BE787" s="1"/>
      <c r="BG787" s="1"/>
      <c r="BI787" s="1"/>
    </row>
    <row r="788" ht="15.75" customHeight="1">
      <c r="A788" s="1"/>
      <c r="B788" s="1"/>
      <c r="C788" s="1"/>
      <c r="E788" s="1"/>
      <c r="G788" s="1"/>
      <c r="I788" s="1"/>
      <c r="K788" s="1"/>
      <c r="M788" s="1"/>
      <c r="O788" s="1"/>
      <c r="Q788" s="1"/>
      <c r="S788" s="1"/>
      <c r="U788" s="1"/>
      <c r="W788" s="1"/>
      <c r="Y788" s="1"/>
      <c r="AA788" s="1"/>
      <c r="AC788" s="1"/>
      <c r="AE788" s="1"/>
      <c r="AG788" s="1"/>
      <c r="AI788" s="1"/>
      <c r="AK788" s="1"/>
      <c r="AM788" s="1"/>
      <c r="AO788" s="1"/>
      <c r="AQ788" s="1"/>
      <c r="AS788" s="1"/>
      <c r="AU788" s="1"/>
      <c r="AW788" s="1"/>
      <c r="AY788" s="1"/>
      <c r="BA788" s="1"/>
      <c r="BC788" s="1"/>
      <c r="BE788" s="1"/>
      <c r="BG788" s="1"/>
      <c r="BI788" s="1"/>
    </row>
    <row r="789" ht="15.75" customHeight="1">
      <c r="A789" s="1"/>
      <c r="B789" s="1"/>
      <c r="C789" s="1"/>
      <c r="E789" s="1"/>
      <c r="G789" s="1"/>
      <c r="I789" s="1"/>
      <c r="K789" s="1"/>
      <c r="M789" s="1"/>
      <c r="O789" s="1"/>
      <c r="Q789" s="1"/>
      <c r="S789" s="1"/>
      <c r="U789" s="1"/>
      <c r="W789" s="1"/>
      <c r="Y789" s="1"/>
      <c r="AA789" s="1"/>
      <c r="AC789" s="1"/>
      <c r="AE789" s="1"/>
      <c r="AG789" s="1"/>
      <c r="AI789" s="1"/>
      <c r="AK789" s="1"/>
      <c r="AM789" s="1"/>
      <c r="AO789" s="1"/>
      <c r="AQ789" s="1"/>
      <c r="AS789" s="1"/>
      <c r="AU789" s="1"/>
      <c r="AW789" s="1"/>
      <c r="AY789" s="1"/>
      <c r="BA789" s="1"/>
      <c r="BC789" s="1"/>
      <c r="BE789" s="1"/>
      <c r="BG789" s="1"/>
      <c r="BI789" s="1"/>
    </row>
    <row r="790" ht="15.75" customHeight="1">
      <c r="A790" s="1"/>
      <c r="B790" s="1"/>
      <c r="C790" s="1"/>
      <c r="E790" s="1"/>
      <c r="G790" s="1"/>
      <c r="I790" s="1"/>
      <c r="K790" s="1"/>
      <c r="M790" s="1"/>
      <c r="O790" s="1"/>
      <c r="Q790" s="1"/>
      <c r="S790" s="1"/>
      <c r="U790" s="1"/>
      <c r="W790" s="1"/>
      <c r="Y790" s="1"/>
      <c r="AA790" s="1"/>
      <c r="AC790" s="1"/>
      <c r="AE790" s="1"/>
      <c r="AG790" s="1"/>
      <c r="AI790" s="1"/>
      <c r="AK790" s="1"/>
      <c r="AM790" s="1"/>
      <c r="AO790" s="1"/>
      <c r="AQ790" s="1"/>
      <c r="AS790" s="1"/>
      <c r="AU790" s="1"/>
      <c r="AW790" s="1"/>
      <c r="AY790" s="1"/>
      <c r="BA790" s="1"/>
      <c r="BC790" s="1"/>
      <c r="BE790" s="1"/>
      <c r="BG790" s="1"/>
      <c r="BI790" s="1"/>
    </row>
    <row r="791" ht="15.75" customHeight="1">
      <c r="A791" s="1"/>
      <c r="B791" s="1"/>
      <c r="C791" s="1"/>
      <c r="E791" s="1"/>
      <c r="G791" s="1"/>
      <c r="I791" s="1"/>
      <c r="K791" s="1"/>
      <c r="M791" s="1"/>
      <c r="O791" s="1"/>
      <c r="Q791" s="1"/>
      <c r="S791" s="1"/>
      <c r="U791" s="1"/>
      <c r="W791" s="1"/>
      <c r="Y791" s="1"/>
      <c r="AA791" s="1"/>
      <c r="AC791" s="1"/>
      <c r="AE791" s="1"/>
      <c r="AG791" s="1"/>
      <c r="AI791" s="1"/>
      <c r="AK791" s="1"/>
      <c r="AM791" s="1"/>
      <c r="AO791" s="1"/>
      <c r="AQ791" s="1"/>
      <c r="AS791" s="1"/>
      <c r="AU791" s="1"/>
      <c r="AW791" s="1"/>
      <c r="AY791" s="1"/>
      <c r="BA791" s="1"/>
      <c r="BC791" s="1"/>
      <c r="BE791" s="1"/>
      <c r="BG791" s="1"/>
      <c r="BI791" s="1"/>
    </row>
    <row r="792" ht="15.75" customHeight="1">
      <c r="A792" s="1"/>
      <c r="B792" s="1"/>
      <c r="C792" s="1"/>
      <c r="E792" s="1"/>
      <c r="G792" s="1"/>
      <c r="I792" s="1"/>
      <c r="K792" s="1"/>
      <c r="M792" s="1"/>
      <c r="O792" s="1"/>
      <c r="Q792" s="1"/>
      <c r="S792" s="1"/>
      <c r="U792" s="1"/>
      <c r="W792" s="1"/>
      <c r="Y792" s="1"/>
      <c r="AA792" s="1"/>
      <c r="AC792" s="1"/>
      <c r="AE792" s="1"/>
      <c r="AG792" s="1"/>
      <c r="AI792" s="1"/>
      <c r="AK792" s="1"/>
      <c r="AM792" s="1"/>
      <c r="AO792" s="1"/>
      <c r="AQ792" s="1"/>
      <c r="AS792" s="1"/>
      <c r="AU792" s="1"/>
      <c r="AW792" s="1"/>
      <c r="AY792" s="1"/>
      <c r="BA792" s="1"/>
      <c r="BC792" s="1"/>
      <c r="BE792" s="1"/>
      <c r="BG792" s="1"/>
      <c r="BI792" s="1"/>
    </row>
    <row r="793" ht="15.75" customHeight="1">
      <c r="A793" s="1"/>
      <c r="B793" s="1"/>
      <c r="C793" s="1"/>
      <c r="E793" s="1"/>
      <c r="G793" s="1"/>
      <c r="I793" s="1"/>
      <c r="K793" s="1"/>
      <c r="M793" s="1"/>
      <c r="O793" s="1"/>
      <c r="Q793" s="1"/>
      <c r="S793" s="1"/>
      <c r="U793" s="1"/>
      <c r="W793" s="1"/>
      <c r="Y793" s="1"/>
      <c r="AA793" s="1"/>
      <c r="AC793" s="1"/>
      <c r="AE793" s="1"/>
      <c r="AG793" s="1"/>
      <c r="AI793" s="1"/>
      <c r="AK793" s="1"/>
      <c r="AM793" s="1"/>
      <c r="AO793" s="1"/>
      <c r="AQ793" s="1"/>
      <c r="AS793" s="1"/>
      <c r="AU793" s="1"/>
      <c r="AW793" s="1"/>
      <c r="AY793" s="1"/>
      <c r="BA793" s="1"/>
      <c r="BC793" s="1"/>
      <c r="BE793" s="1"/>
      <c r="BG793" s="1"/>
      <c r="BI793" s="1"/>
    </row>
    <row r="794" ht="15.75" customHeight="1">
      <c r="A794" s="1"/>
      <c r="B794" s="1"/>
      <c r="C794" s="1"/>
      <c r="E794" s="1"/>
      <c r="G794" s="1"/>
      <c r="I794" s="1"/>
      <c r="K794" s="1"/>
      <c r="M794" s="1"/>
      <c r="O794" s="1"/>
      <c r="Q794" s="1"/>
      <c r="S794" s="1"/>
      <c r="U794" s="1"/>
      <c r="W794" s="1"/>
      <c r="Y794" s="1"/>
      <c r="AA794" s="1"/>
      <c r="AC794" s="1"/>
      <c r="AE794" s="1"/>
      <c r="AG794" s="1"/>
      <c r="AI794" s="1"/>
      <c r="AK794" s="1"/>
      <c r="AM794" s="1"/>
      <c r="AO794" s="1"/>
      <c r="AQ794" s="1"/>
      <c r="AS794" s="1"/>
      <c r="AU794" s="1"/>
      <c r="AW794" s="1"/>
      <c r="AY794" s="1"/>
      <c r="BA794" s="1"/>
      <c r="BC794" s="1"/>
      <c r="BE794" s="1"/>
      <c r="BG794" s="1"/>
      <c r="BI794" s="1"/>
    </row>
    <row r="795" ht="15.75" customHeight="1">
      <c r="A795" s="1"/>
      <c r="B795" s="1"/>
      <c r="C795" s="1"/>
      <c r="E795" s="1"/>
      <c r="G795" s="1"/>
      <c r="I795" s="1"/>
      <c r="K795" s="1"/>
      <c r="M795" s="1"/>
      <c r="O795" s="1"/>
      <c r="Q795" s="1"/>
      <c r="S795" s="1"/>
      <c r="U795" s="1"/>
      <c r="W795" s="1"/>
      <c r="Y795" s="1"/>
      <c r="AA795" s="1"/>
      <c r="AC795" s="1"/>
      <c r="AE795" s="1"/>
      <c r="AG795" s="1"/>
      <c r="AI795" s="1"/>
      <c r="AK795" s="1"/>
      <c r="AM795" s="1"/>
      <c r="AO795" s="1"/>
      <c r="AQ795" s="1"/>
      <c r="AS795" s="1"/>
      <c r="AU795" s="1"/>
      <c r="AW795" s="1"/>
      <c r="AY795" s="1"/>
      <c r="BA795" s="1"/>
      <c r="BC795" s="1"/>
      <c r="BE795" s="1"/>
      <c r="BG795" s="1"/>
      <c r="BI795" s="1"/>
    </row>
    <row r="796" ht="15.75" customHeight="1">
      <c r="A796" s="1"/>
      <c r="B796" s="1"/>
      <c r="C796" s="1"/>
      <c r="E796" s="1"/>
      <c r="G796" s="1"/>
      <c r="I796" s="1"/>
      <c r="K796" s="1"/>
      <c r="M796" s="1"/>
      <c r="O796" s="1"/>
      <c r="Q796" s="1"/>
      <c r="S796" s="1"/>
      <c r="U796" s="1"/>
      <c r="W796" s="1"/>
      <c r="Y796" s="1"/>
      <c r="AA796" s="1"/>
      <c r="AC796" s="1"/>
      <c r="AE796" s="1"/>
      <c r="AG796" s="1"/>
      <c r="AI796" s="1"/>
      <c r="AK796" s="1"/>
      <c r="AM796" s="1"/>
      <c r="AO796" s="1"/>
      <c r="AQ796" s="1"/>
      <c r="AS796" s="1"/>
      <c r="AU796" s="1"/>
      <c r="AW796" s="1"/>
      <c r="AY796" s="1"/>
      <c r="BA796" s="1"/>
      <c r="BC796" s="1"/>
      <c r="BE796" s="1"/>
      <c r="BG796" s="1"/>
      <c r="BI796" s="1"/>
    </row>
    <row r="797" ht="15.75" customHeight="1">
      <c r="A797" s="1"/>
      <c r="B797" s="1"/>
      <c r="C797" s="1"/>
      <c r="E797" s="1"/>
      <c r="G797" s="1"/>
      <c r="I797" s="1"/>
      <c r="K797" s="1"/>
      <c r="M797" s="1"/>
      <c r="O797" s="1"/>
      <c r="Q797" s="1"/>
      <c r="S797" s="1"/>
      <c r="U797" s="1"/>
      <c r="W797" s="1"/>
      <c r="Y797" s="1"/>
      <c r="AA797" s="1"/>
      <c r="AC797" s="1"/>
      <c r="AE797" s="1"/>
      <c r="AG797" s="1"/>
      <c r="AI797" s="1"/>
      <c r="AK797" s="1"/>
      <c r="AM797" s="1"/>
      <c r="AO797" s="1"/>
      <c r="AQ797" s="1"/>
      <c r="AS797" s="1"/>
      <c r="AU797" s="1"/>
      <c r="AW797" s="1"/>
      <c r="AY797" s="1"/>
      <c r="BA797" s="1"/>
      <c r="BC797" s="1"/>
      <c r="BE797" s="1"/>
      <c r="BG797" s="1"/>
      <c r="BI797" s="1"/>
    </row>
    <row r="798" ht="15.75" customHeight="1">
      <c r="A798" s="1"/>
      <c r="B798" s="1"/>
      <c r="C798" s="1"/>
      <c r="E798" s="1"/>
      <c r="G798" s="1"/>
      <c r="I798" s="1"/>
      <c r="K798" s="1"/>
      <c r="M798" s="1"/>
      <c r="O798" s="1"/>
      <c r="Q798" s="1"/>
      <c r="S798" s="1"/>
      <c r="U798" s="1"/>
      <c r="W798" s="1"/>
      <c r="Y798" s="1"/>
      <c r="AA798" s="1"/>
      <c r="AC798" s="1"/>
      <c r="AE798" s="1"/>
      <c r="AG798" s="1"/>
      <c r="AI798" s="1"/>
      <c r="AK798" s="1"/>
      <c r="AM798" s="1"/>
      <c r="AO798" s="1"/>
      <c r="AQ798" s="1"/>
      <c r="AS798" s="1"/>
      <c r="AU798" s="1"/>
      <c r="AW798" s="1"/>
      <c r="AY798" s="1"/>
      <c r="BA798" s="1"/>
      <c r="BC798" s="1"/>
      <c r="BE798" s="1"/>
      <c r="BG798" s="1"/>
      <c r="BI798" s="1"/>
    </row>
    <row r="799" ht="15.75" customHeight="1">
      <c r="A799" s="1"/>
      <c r="B799" s="1"/>
      <c r="C799" s="1"/>
      <c r="E799" s="1"/>
      <c r="G799" s="1"/>
      <c r="I799" s="1"/>
      <c r="K799" s="1"/>
      <c r="M799" s="1"/>
      <c r="O799" s="1"/>
      <c r="Q799" s="1"/>
      <c r="S799" s="1"/>
      <c r="U799" s="1"/>
      <c r="W799" s="1"/>
      <c r="Y799" s="1"/>
      <c r="AA799" s="1"/>
      <c r="AC799" s="1"/>
      <c r="AE799" s="1"/>
      <c r="AG799" s="1"/>
      <c r="AI799" s="1"/>
      <c r="AK799" s="1"/>
      <c r="AM799" s="1"/>
      <c r="AO799" s="1"/>
      <c r="AQ799" s="1"/>
      <c r="AS799" s="1"/>
      <c r="AU799" s="1"/>
      <c r="AW799" s="1"/>
      <c r="AY799" s="1"/>
      <c r="BA799" s="1"/>
      <c r="BC799" s="1"/>
      <c r="BE799" s="1"/>
      <c r="BG799" s="1"/>
      <c r="BI799" s="1"/>
    </row>
    <row r="800" ht="15.75" customHeight="1">
      <c r="A800" s="1"/>
      <c r="B800" s="1"/>
      <c r="C800" s="1"/>
      <c r="E800" s="1"/>
      <c r="G800" s="1"/>
      <c r="I800" s="1"/>
      <c r="K800" s="1"/>
      <c r="M800" s="1"/>
      <c r="O800" s="1"/>
      <c r="Q800" s="1"/>
      <c r="S800" s="1"/>
      <c r="U800" s="1"/>
      <c r="W800" s="1"/>
      <c r="Y800" s="1"/>
      <c r="AA800" s="1"/>
      <c r="AC800" s="1"/>
      <c r="AE800" s="1"/>
      <c r="AG800" s="1"/>
      <c r="AI800" s="1"/>
      <c r="AK800" s="1"/>
      <c r="AM800" s="1"/>
      <c r="AO800" s="1"/>
      <c r="AQ800" s="1"/>
      <c r="AS800" s="1"/>
      <c r="AU800" s="1"/>
      <c r="AW800" s="1"/>
      <c r="AY800" s="1"/>
      <c r="BA800" s="1"/>
      <c r="BC800" s="1"/>
      <c r="BE800" s="1"/>
      <c r="BG800" s="1"/>
      <c r="BI800" s="1"/>
    </row>
    <row r="801" ht="15.75" customHeight="1">
      <c r="A801" s="1"/>
      <c r="B801" s="1"/>
      <c r="C801" s="1"/>
      <c r="E801" s="1"/>
      <c r="G801" s="1"/>
      <c r="I801" s="1"/>
      <c r="K801" s="1"/>
      <c r="M801" s="1"/>
      <c r="O801" s="1"/>
      <c r="Q801" s="1"/>
      <c r="S801" s="1"/>
      <c r="U801" s="1"/>
      <c r="W801" s="1"/>
      <c r="Y801" s="1"/>
      <c r="AA801" s="1"/>
      <c r="AC801" s="1"/>
      <c r="AE801" s="1"/>
      <c r="AG801" s="1"/>
      <c r="AI801" s="1"/>
      <c r="AK801" s="1"/>
      <c r="AM801" s="1"/>
      <c r="AO801" s="1"/>
      <c r="AQ801" s="1"/>
      <c r="AS801" s="1"/>
      <c r="AU801" s="1"/>
      <c r="AW801" s="1"/>
      <c r="AY801" s="1"/>
      <c r="BA801" s="1"/>
      <c r="BC801" s="1"/>
      <c r="BE801" s="1"/>
      <c r="BG801" s="1"/>
      <c r="BI801" s="1"/>
    </row>
    <row r="802" ht="15.75" customHeight="1">
      <c r="A802" s="1"/>
      <c r="B802" s="1"/>
      <c r="C802" s="1"/>
      <c r="E802" s="1"/>
      <c r="G802" s="1"/>
      <c r="I802" s="1"/>
      <c r="K802" s="1"/>
      <c r="M802" s="1"/>
      <c r="O802" s="1"/>
      <c r="Q802" s="1"/>
      <c r="S802" s="1"/>
      <c r="U802" s="1"/>
      <c r="W802" s="1"/>
      <c r="Y802" s="1"/>
      <c r="AA802" s="1"/>
      <c r="AC802" s="1"/>
      <c r="AE802" s="1"/>
      <c r="AG802" s="1"/>
      <c r="AI802" s="1"/>
      <c r="AK802" s="1"/>
      <c r="AM802" s="1"/>
      <c r="AO802" s="1"/>
      <c r="AQ802" s="1"/>
      <c r="AS802" s="1"/>
      <c r="AU802" s="1"/>
      <c r="AW802" s="1"/>
      <c r="AY802" s="1"/>
      <c r="BA802" s="1"/>
      <c r="BC802" s="1"/>
      <c r="BE802" s="1"/>
      <c r="BG802" s="1"/>
      <c r="BI802" s="1"/>
    </row>
    <row r="803" ht="15.75" customHeight="1">
      <c r="A803" s="1"/>
      <c r="B803" s="1"/>
      <c r="C803" s="1"/>
      <c r="E803" s="1"/>
      <c r="G803" s="1"/>
      <c r="I803" s="1"/>
      <c r="K803" s="1"/>
      <c r="M803" s="1"/>
      <c r="O803" s="1"/>
      <c r="Q803" s="1"/>
      <c r="S803" s="1"/>
      <c r="U803" s="1"/>
      <c r="W803" s="1"/>
      <c r="Y803" s="1"/>
      <c r="AA803" s="1"/>
      <c r="AC803" s="1"/>
      <c r="AE803" s="1"/>
      <c r="AG803" s="1"/>
      <c r="AI803" s="1"/>
      <c r="AK803" s="1"/>
      <c r="AM803" s="1"/>
      <c r="AO803" s="1"/>
      <c r="AQ803" s="1"/>
      <c r="AS803" s="1"/>
      <c r="AU803" s="1"/>
      <c r="AW803" s="1"/>
      <c r="AY803" s="1"/>
      <c r="BA803" s="1"/>
      <c r="BC803" s="1"/>
      <c r="BE803" s="1"/>
      <c r="BG803" s="1"/>
      <c r="BI803" s="1"/>
    </row>
    <row r="804" ht="15.75" customHeight="1">
      <c r="A804" s="1"/>
      <c r="B804" s="1"/>
      <c r="C804" s="1"/>
      <c r="E804" s="1"/>
      <c r="G804" s="1"/>
      <c r="I804" s="1"/>
      <c r="K804" s="1"/>
      <c r="M804" s="1"/>
      <c r="O804" s="1"/>
      <c r="Q804" s="1"/>
      <c r="S804" s="1"/>
      <c r="U804" s="1"/>
      <c r="W804" s="1"/>
      <c r="Y804" s="1"/>
      <c r="AA804" s="1"/>
      <c r="AC804" s="1"/>
      <c r="AE804" s="1"/>
      <c r="AG804" s="1"/>
      <c r="AI804" s="1"/>
      <c r="AK804" s="1"/>
      <c r="AM804" s="1"/>
      <c r="AO804" s="1"/>
      <c r="AQ804" s="1"/>
      <c r="AS804" s="1"/>
      <c r="AU804" s="1"/>
      <c r="AW804" s="1"/>
      <c r="AY804" s="1"/>
      <c r="BA804" s="1"/>
      <c r="BC804" s="1"/>
      <c r="BE804" s="1"/>
      <c r="BG804" s="1"/>
      <c r="BI804" s="1"/>
    </row>
    <row r="805" ht="15.75" customHeight="1">
      <c r="A805" s="1"/>
      <c r="B805" s="1"/>
      <c r="C805" s="1"/>
      <c r="E805" s="1"/>
      <c r="G805" s="1"/>
      <c r="I805" s="1"/>
      <c r="K805" s="1"/>
      <c r="M805" s="1"/>
      <c r="O805" s="1"/>
      <c r="Q805" s="1"/>
      <c r="S805" s="1"/>
      <c r="U805" s="1"/>
      <c r="W805" s="1"/>
      <c r="Y805" s="1"/>
      <c r="AA805" s="1"/>
      <c r="AC805" s="1"/>
      <c r="AE805" s="1"/>
      <c r="AG805" s="1"/>
      <c r="AI805" s="1"/>
      <c r="AK805" s="1"/>
      <c r="AM805" s="1"/>
      <c r="AO805" s="1"/>
      <c r="AQ805" s="1"/>
      <c r="AS805" s="1"/>
      <c r="AU805" s="1"/>
      <c r="AW805" s="1"/>
      <c r="AY805" s="1"/>
      <c r="BA805" s="1"/>
      <c r="BC805" s="1"/>
      <c r="BE805" s="1"/>
      <c r="BG805" s="1"/>
      <c r="BI805" s="1"/>
    </row>
    <row r="806" ht="15.75" customHeight="1">
      <c r="A806" s="1"/>
      <c r="B806" s="1"/>
      <c r="C806" s="1"/>
      <c r="E806" s="1"/>
      <c r="G806" s="1"/>
      <c r="I806" s="1"/>
      <c r="K806" s="1"/>
      <c r="M806" s="1"/>
      <c r="O806" s="1"/>
      <c r="Q806" s="1"/>
      <c r="S806" s="1"/>
      <c r="U806" s="1"/>
      <c r="W806" s="1"/>
      <c r="Y806" s="1"/>
      <c r="AA806" s="1"/>
      <c r="AC806" s="1"/>
      <c r="AE806" s="1"/>
      <c r="AG806" s="1"/>
      <c r="AI806" s="1"/>
      <c r="AK806" s="1"/>
      <c r="AM806" s="1"/>
      <c r="AO806" s="1"/>
      <c r="AQ806" s="1"/>
      <c r="AS806" s="1"/>
      <c r="AU806" s="1"/>
      <c r="AW806" s="1"/>
      <c r="AY806" s="1"/>
      <c r="BA806" s="1"/>
      <c r="BC806" s="1"/>
      <c r="BE806" s="1"/>
      <c r="BG806" s="1"/>
      <c r="BI806" s="1"/>
    </row>
    <row r="807" ht="15.75" customHeight="1">
      <c r="A807" s="1"/>
      <c r="B807" s="1"/>
      <c r="C807" s="1"/>
      <c r="E807" s="1"/>
      <c r="G807" s="1"/>
      <c r="I807" s="1"/>
      <c r="K807" s="1"/>
      <c r="M807" s="1"/>
      <c r="O807" s="1"/>
      <c r="Q807" s="1"/>
      <c r="S807" s="1"/>
      <c r="U807" s="1"/>
      <c r="W807" s="1"/>
      <c r="Y807" s="1"/>
      <c r="AA807" s="1"/>
      <c r="AC807" s="1"/>
      <c r="AE807" s="1"/>
      <c r="AG807" s="1"/>
      <c r="AI807" s="1"/>
      <c r="AK807" s="1"/>
      <c r="AM807" s="1"/>
      <c r="AO807" s="1"/>
      <c r="AQ807" s="1"/>
      <c r="AS807" s="1"/>
      <c r="AU807" s="1"/>
      <c r="AW807" s="1"/>
      <c r="AY807" s="1"/>
      <c r="BA807" s="1"/>
      <c r="BC807" s="1"/>
      <c r="BE807" s="1"/>
      <c r="BG807" s="1"/>
      <c r="BI807" s="1"/>
    </row>
    <row r="808" ht="15.75" customHeight="1">
      <c r="A808" s="1"/>
      <c r="B808" s="1"/>
      <c r="C808" s="1"/>
      <c r="E808" s="1"/>
      <c r="G808" s="1"/>
      <c r="I808" s="1"/>
      <c r="K808" s="1"/>
      <c r="M808" s="1"/>
      <c r="O808" s="1"/>
      <c r="Q808" s="1"/>
      <c r="S808" s="1"/>
      <c r="U808" s="1"/>
      <c r="W808" s="1"/>
      <c r="Y808" s="1"/>
      <c r="AA808" s="1"/>
      <c r="AC808" s="1"/>
      <c r="AE808" s="1"/>
      <c r="AG808" s="1"/>
      <c r="AI808" s="1"/>
      <c r="AK808" s="1"/>
      <c r="AM808" s="1"/>
      <c r="AO808" s="1"/>
      <c r="AQ808" s="1"/>
      <c r="AS808" s="1"/>
      <c r="AU808" s="1"/>
      <c r="AW808" s="1"/>
      <c r="AY808" s="1"/>
      <c r="BA808" s="1"/>
      <c r="BC808" s="1"/>
      <c r="BE808" s="1"/>
      <c r="BG808" s="1"/>
      <c r="BI808" s="1"/>
    </row>
    <row r="809" ht="15.75" customHeight="1">
      <c r="A809" s="1"/>
      <c r="B809" s="1"/>
      <c r="C809" s="1"/>
      <c r="E809" s="1"/>
      <c r="G809" s="1"/>
      <c r="I809" s="1"/>
      <c r="K809" s="1"/>
      <c r="M809" s="1"/>
      <c r="O809" s="1"/>
      <c r="Q809" s="1"/>
      <c r="S809" s="1"/>
      <c r="U809" s="1"/>
      <c r="W809" s="1"/>
      <c r="Y809" s="1"/>
      <c r="AA809" s="1"/>
      <c r="AC809" s="1"/>
      <c r="AE809" s="1"/>
      <c r="AG809" s="1"/>
      <c r="AI809" s="1"/>
      <c r="AK809" s="1"/>
      <c r="AM809" s="1"/>
      <c r="AO809" s="1"/>
      <c r="AQ809" s="1"/>
      <c r="AS809" s="1"/>
      <c r="AU809" s="1"/>
      <c r="AW809" s="1"/>
      <c r="AY809" s="1"/>
      <c r="BA809" s="1"/>
      <c r="BC809" s="1"/>
      <c r="BE809" s="1"/>
      <c r="BG809" s="1"/>
      <c r="BI809" s="1"/>
    </row>
    <row r="810" ht="15.75" customHeight="1">
      <c r="A810" s="1"/>
      <c r="B810" s="1"/>
      <c r="C810" s="1"/>
      <c r="E810" s="1"/>
      <c r="G810" s="1"/>
      <c r="I810" s="1"/>
      <c r="K810" s="1"/>
      <c r="M810" s="1"/>
      <c r="O810" s="1"/>
      <c r="Q810" s="1"/>
      <c r="S810" s="1"/>
      <c r="U810" s="1"/>
      <c r="W810" s="1"/>
      <c r="Y810" s="1"/>
      <c r="AA810" s="1"/>
      <c r="AC810" s="1"/>
      <c r="AE810" s="1"/>
      <c r="AG810" s="1"/>
      <c r="AI810" s="1"/>
      <c r="AK810" s="1"/>
      <c r="AM810" s="1"/>
      <c r="AO810" s="1"/>
      <c r="AQ810" s="1"/>
      <c r="AS810" s="1"/>
      <c r="AU810" s="1"/>
      <c r="AW810" s="1"/>
      <c r="AY810" s="1"/>
      <c r="BA810" s="1"/>
      <c r="BC810" s="1"/>
      <c r="BE810" s="1"/>
      <c r="BG810" s="1"/>
      <c r="BI810" s="1"/>
    </row>
    <row r="811" ht="15.75" customHeight="1">
      <c r="A811" s="1"/>
      <c r="B811" s="1"/>
      <c r="C811" s="1"/>
      <c r="E811" s="1"/>
      <c r="G811" s="1"/>
      <c r="I811" s="1"/>
      <c r="K811" s="1"/>
      <c r="M811" s="1"/>
      <c r="O811" s="1"/>
      <c r="Q811" s="1"/>
      <c r="S811" s="1"/>
      <c r="U811" s="1"/>
      <c r="W811" s="1"/>
      <c r="Y811" s="1"/>
      <c r="AA811" s="1"/>
      <c r="AC811" s="1"/>
      <c r="AE811" s="1"/>
      <c r="AG811" s="1"/>
      <c r="AI811" s="1"/>
      <c r="AK811" s="1"/>
      <c r="AM811" s="1"/>
      <c r="AO811" s="1"/>
      <c r="AQ811" s="1"/>
      <c r="AS811" s="1"/>
      <c r="AU811" s="1"/>
      <c r="AW811" s="1"/>
      <c r="AY811" s="1"/>
      <c r="BA811" s="1"/>
      <c r="BC811" s="1"/>
      <c r="BE811" s="1"/>
      <c r="BG811" s="1"/>
      <c r="BI811" s="1"/>
    </row>
    <row r="812" ht="15.75" customHeight="1">
      <c r="A812" s="1"/>
      <c r="B812" s="1"/>
      <c r="C812" s="1"/>
      <c r="E812" s="1"/>
      <c r="G812" s="1"/>
      <c r="I812" s="1"/>
      <c r="K812" s="1"/>
      <c r="M812" s="1"/>
      <c r="O812" s="1"/>
      <c r="Q812" s="1"/>
      <c r="S812" s="1"/>
      <c r="U812" s="1"/>
      <c r="W812" s="1"/>
      <c r="Y812" s="1"/>
      <c r="AA812" s="1"/>
      <c r="AC812" s="1"/>
      <c r="AE812" s="1"/>
      <c r="AG812" s="1"/>
      <c r="AI812" s="1"/>
      <c r="AK812" s="1"/>
      <c r="AM812" s="1"/>
      <c r="AO812" s="1"/>
      <c r="AQ812" s="1"/>
      <c r="AS812" s="1"/>
      <c r="AU812" s="1"/>
      <c r="AW812" s="1"/>
      <c r="AY812" s="1"/>
      <c r="BA812" s="1"/>
      <c r="BC812" s="1"/>
      <c r="BE812" s="1"/>
      <c r="BG812" s="1"/>
      <c r="BI812" s="1"/>
    </row>
    <row r="813" ht="15.75" customHeight="1">
      <c r="A813" s="1"/>
      <c r="B813" s="1"/>
      <c r="C813" s="1"/>
      <c r="E813" s="1"/>
      <c r="G813" s="1"/>
      <c r="I813" s="1"/>
      <c r="K813" s="1"/>
      <c r="M813" s="1"/>
      <c r="O813" s="1"/>
      <c r="Q813" s="1"/>
      <c r="S813" s="1"/>
      <c r="U813" s="1"/>
      <c r="W813" s="1"/>
      <c r="Y813" s="1"/>
      <c r="AA813" s="1"/>
      <c r="AC813" s="1"/>
      <c r="AE813" s="1"/>
      <c r="AG813" s="1"/>
      <c r="AI813" s="1"/>
      <c r="AK813" s="1"/>
      <c r="AM813" s="1"/>
      <c r="AO813" s="1"/>
      <c r="AQ813" s="1"/>
      <c r="AS813" s="1"/>
      <c r="AU813" s="1"/>
      <c r="AW813" s="1"/>
      <c r="AY813" s="1"/>
      <c r="BA813" s="1"/>
      <c r="BC813" s="1"/>
      <c r="BE813" s="1"/>
      <c r="BG813" s="1"/>
      <c r="BI813" s="1"/>
    </row>
    <row r="814" ht="15.75" customHeight="1">
      <c r="A814" s="1"/>
      <c r="B814" s="1"/>
      <c r="C814" s="1"/>
      <c r="E814" s="1"/>
      <c r="G814" s="1"/>
      <c r="I814" s="1"/>
      <c r="K814" s="1"/>
      <c r="M814" s="1"/>
      <c r="O814" s="1"/>
      <c r="Q814" s="1"/>
      <c r="S814" s="1"/>
      <c r="U814" s="1"/>
      <c r="W814" s="1"/>
      <c r="Y814" s="1"/>
      <c r="AA814" s="1"/>
      <c r="AC814" s="1"/>
      <c r="AE814" s="1"/>
      <c r="AG814" s="1"/>
      <c r="AI814" s="1"/>
      <c r="AK814" s="1"/>
      <c r="AM814" s="1"/>
      <c r="AO814" s="1"/>
      <c r="AQ814" s="1"/>
      <c r="AS814" s="1"/>
      <c r="AU814" s="1"/>
      <c r="AW814" s="1"/>
      <c r="AY814" s="1"/>
      <c r="BA814" s="1"/>
      <c r="BC814" s="1"/>
      <c r="BE814" s="1"/>
      <c r="BG814" s="1"/>
      <c r="BI814" s="1"/>
    </row>
    <row r="815" ht="15.75" customHeight="1">
      <c r="A815" s="1"/>
      <c r="B815" s="1"/>
      <c r="C815" s="1"/>
      <c r="E815" s="1"/>
      <c r="G815" s="1"/>
      <c r="I815" s="1"/>
      <c r="K815" s="1"/>
      <c r="M815" s="1"/>
      <c r="O815" s="1"/>
      <c r="Q815" s="1"/>
      <c r="S815" s="1"/>
      <c r="U815" s="1"/>
      <c r="W815" s="1"/>
      <c r="Y815" s="1"/>
      <c r="AA815" s="1"/>
      <c r="AC815" s="1"/>
      <c r="AE815" s="1"/>
      <c r="AG815" s="1"/>
      <c r="AI815" s="1"/>
      <c r="AK815" s="1"/>
      <c r="AM815" s="1"/>
      <c r="AO815" s="1"/>
      <c r="AQ815" s="1"/>
      <c r="AS815" s="1"/>
      <c r="AU815" s="1"/>
      <c r="AW815" s="1"/>
      <c r="AY815" s="1"/>
      <c r="BA815" s="1"/>
      <c r="BC815" s="1"/>
      <c r="BE815" s="1"/>
      <c r="BG815" s="1"/>
      <c r="BI815" s="1"/>
    </row>
    <row r="816" ht="15.75" customHeight="1">
      <c r="A816" s="1"/>
      <c r="B816" s="1"/>
      <c r="C816" s="1"/>
      <c r="E816" s="1"/>
      <c r="G816" s="1"/>
      <c r="I816" s="1"/>
      <c r="K816" s="1"/>
      <c r="M816" s="1"/>
      <c r="O816" s="1"/>
      <c r="Q816" s="1"/>
      <c r="S816" s="1"/>
      <c r="U816" s="1"/>
      <c r="W816" s="1"/>
      <c r="Y816" s="1"/>
      <c r="AA816" s="1"/>
      <c r="AC816" s="1"/>
      <c r="AE816" s="1"/>
      <c r="AG816" s="1"/>
      <c r="AI816" s="1"/>
      <c r="AK816" s="1"/>
      <c r="AM816" s="1"/>
      <c r="AO816" s="1"/>
      <c r="AQ816" s="1"/>
      <c r="AS816" s="1"/>
      <c r="AU816" s="1"/>
      <c r="AW816" s="1"/>
      <c r="AY816" s="1"/>
      <c r="BA816" s="1"/>
      <c r="BC816" s="1"/>
      <c r="BE816" s="1"/>
      <c r="BG816" s="1"/>
      <c r="BI816" s="1"/>
    </row>
    <row r="817" ht="15.75" customHeight="1">
      <c r="A817" s="1"/>
      <c r="B817" s="1"/>
      <c r="C817" s="1"/>
      <c r="E817" s="1"/>
      <c r="G817" s="1"/>
      <c r="I817" s="1"/>
      <c r="K817" s="1"/>
      <c r="M817" s="1"/>
      <c r="O817" s="1"/>
      <c r="Q817" s="1"/>
      <c r="S817" s="1"/>
      <c r="U817" s="1"/>
      <c r="W817" s="1"/>
      <c r="Y817" s="1"/>
      <c r="AA817" s="1"/>
      <c r="AC817" s="1"/>
      <c r="AE817" s="1"/>
      <c r="AG817" s="1"/>
      <c r="AI817" s="1"/>
      <c r="AK817" s="1"/>
      <c r="AM817" s="1"/>
      <c r="AO817" s="1"/>
      <c r="AQ817" s="1"/>
      <c r="AS817" s="1"/>
      <c r="AU817" s="1"/>
      <c r="AW817" s="1"/>
      <c r="AY817" s="1"/>
      <c r="BA817" s="1"/>
      <c r="BC817" s="1"/>
      <c r="BE817" s="1"/>
      <c r="BG817" s="1"/>
      <c r="BI817" s="1"/>
    </row>
    <row r="818" ht="15.75" customHeight="1">
      <c r="A818" s="1"/>
      <c r="B818" s="1"/>
      <c r="C818" s="1"/>
      <c r="E818" s="1"/>
      <c r="G818" s="1"/>
      <c r="I818" s="1"/>
      <c r="K818" s="1"/>
      <c r="M818" s="1"/>
      <c r="O818" s="1"/>
      <c r="Q818" s="1"/>
      <c r="S818" s="1"/>
      <c r="U818" s="1"/>
      <c r="W818" s="1"/>
      <c r="Y818" s="1"/>
      <c r="AA818" s="1"/>
      <c r="AC818" s="1"/>
      <c r="AE818" s="1"/>
      <c r="AG818" s="1"/>
      <c r="AI818" s="1"/>
      <c r="AK818" s="1"/>
      <c r="AM818" s="1"/>
      <c r="AO818" s="1"/>
      <c r="AQ818" s="1"/>
      <c r="AS818" s="1"/>
      <c r="AU818" s="1"/>
      <c r="AW818" s="1"/>
      <c r="AY818" s="1"/>
      <c r="BA818" s="1"/>
      <c r="BC818" s="1"/>
      <c r="BE818" s="1"/>
      <c r="BG818" s="1"/>
      <c r="BI818" s="1"/>
    </row>
    <row r="819" ht="15.75" customHeight="1">
      <c r="A819" s="1"/>
      <c r="B819" s="1"/>
      <c r="C819" s="1"/>
      <c r="E819" s="1"/>
      <c r="G819" s="1"/>
      <c r="I819" s="1"/>
      <c r="K819" s="1"/>
      <c r="M819" s="1"/>
      <c r="O819" s="1"/>
      <c r="Q819" s="1"/>
      <c r="S819" s="1"/>
      <c r="U819" s="1"/>
      <c r="W819" s="1"/>
      <c r="Y819" s="1"/>
      <c r="AA819" s="1"/>
      <c r="AC819" s="1"/>
      <c r="AE819" s="1"/>
      <c r="AG819" s="1"/>
      <c r="AI819" s="1"/>
      <c r="AK819" s="1"/>
      <c r="AM819" s="1"/>
      <c r="AO819" s="1"/>
      <c r="AQ819" s="1"/>
      <c r="AS819" s="1"/>
      <c r="AU819" s="1"/>
      <c r="AW819" s="1"/>
      <c r="AY819" s="1"/>
      <c r="BA819" s="1"/>
      <c r="BC819" s="1"/>
      <c r="BE819" s="1"/>
      <c r="BG819" s="1"/>
      <c r="BI819" s="1"/>
    </row>
    <row r="820" ht="15.75" customHeight="1">
      <c r="A820" s="1"/>
      <c r="B820" s="1"/>
      <c r="C820" s="1"/>
      <c r="E820" s="1"/>
      <c r="G820" s="1"/>
      <c r="I820" s="1"/>
      <c r="K820" s="1"/>
      <c r="M820" s="1"/>
      <c r="O820" s="1"/>
      <c r="Q820" s="1"/>
      <c r="S820" s="1"/>
      <c r="U820" s="1"/>
      <c r="W820" s="1"/>
      <c r="Y820" s="1"/>
      <c r="AA820" s="1"/>
      <c r="AC820" s="1"/>
      <c r="AE820" s="1"/>
      <c r="AG820" s="1"/>
      <c r="AI820" s="1"/>
      <c r="AK820" s="1"/>
      <c r="AM820" s="1"/>
      <c r="AO820" s="1"/>
      <c r="AQ820" s="1"/>
      <c r="AS820" s="1"/>
      <c r="AU820" s="1"/>
      <c r="AW820" s="1"/>
      <c r="AY820" s="1"/>
      <c r="BA820" s="1"/>
      <c r="BC820" s="1"/>
      <c r="BE820" s="1"/>
      <c r="BG820" s="1"/>
      <c r="BI820" s="1"/>
    </row>
    <row r="821" ht="15.75" customHeight="1">
      <c r="A821" s="1"/>
      <c r="B821" s="1"/>
      <c r="C821" s="1"/>
      <c r="E821" s="1"/>
      <c r="G821" s="1"/>
      <c r="I821" s="1"/>
      <c r="K821" s="1"/>
      <c r="M821" s="1"/>
      <c r="O821" s="1"/>
      <c r="Q821" s="1"/>
      <c r="S821" s="1"/>
      <c r="U821" s="1"/>
      <c r="W821" s="1"/>
      <c r="Y821" s="1"/>
      <c r="AA821" s="1"/>
      <c r="AC821" s="1"/>
      <c r="AE821" s="1"/>
      <c r="AG821" s="1"/>
      <c r="AI821" s="1"/>
      <c r="AK821" s="1"/>
      <c r="AM821" s="1"/>
      <c r="AO821" s="1"/>
      <c r="AQ821" s="1"/>
      <c r="AS821" s="1"/>
      <c r="AU821" s="1"/>
      <c r="AW821" s="1"/>
      <c r="AY821" s="1"/>
      <c r="BA821" s="1"/>
      <c r="BC821" s="1"/>
      <c r="BE821" s="1"/>
      <c r="BG821" s="1"/>
      <c r="BI821" s="1"/>
    </row>
    <row r="822" ht="15.75" customHeight="1">
      <c r="A822" s="1"/>
      <c r="B822" s="1"/>
      <c r="C822" s="1"/>
      <c r="E822" s="1"/>
      <c r="G822" s="1"/>
      <c r="I822" s="1"/>
      <c r="K822" s="1"/>
      <c r="M822" s="1"/>
      <c r="O822" s="1"/>
      <c r="Q822" s="1"/>
      <c r="S822" s="1"/>
      <c r="U822" s="1"/>
      <c r="W822" s="1"/>
      <c r="Y822" s="1"/>
      <c r="AA822" s="1"/>
      <c r="AC822" s="1"/>
      <c r="AE822" s="1"/>
      <c r="AG822" s="1"/>
      <c r="AI822" s="1"/>
      <c r="AK822" s="1"/>
      <c r="AM822" s="1"/>
      <c r="AO822" s="1"/>
      <c r="AQ822" s="1"/>
      <c r="AS822" s="1"/>
      <c r="AU822" s="1"/>
      <c r="AW822" s="1"/>
      <c r="AY822" s="1"/>
      <c r="BA822" s="1"/>
      <c r="BC822" s="1"/>
      <c r="BE822" s="1"/>
      <c r="BG822" s="1"/>
      <c r="BI822" s="1"/>
    </row>
    <row r="823" ht="15.75" customHeight="1">
      <c r="A823" s="1"/>
      <c r="B823" s="1"/>
      <c r="C823" s="1"/>
      <c r="E823" s="1"/>
      <c r="G823" s="1"/>
      <c r="I823" s="1"/>
      <c r="K823" s="1"/>
      <c r="M823" s="1"/>
      <c r="O823" s="1"/>
      <c r="Q823" s="1"/>
      <c r="S823" s="1"/>
      <c r="U823" s="1"/>
      <c r="W823" s="1"/>
      <c r="Y823" s="1"/>
      <c r="AA823" s="1"/>
      <c r="AC823" s="1"/>
      <c r="AE823" s="1"/>
      <c r="AG823" s="1"/>
      <c r="AI823" s="1"/>
      <c r="AK823" s="1"/>
      <c r="AM823" s="1"/>
      <c r="AO823" s="1"/>
      <c r="AQ823" s="1"/>
      <c r="AS823" s="1"/>
      <c r="AU823" s="1"/>
      <c r="AW823" s="1"/>
      <c r="AY823" s="1"/>
      <c r="BA823" s="1"/>
      <c r="BC823" s="1"/>
      <c r="BE823" s="1"/>
      <c r="BG823" s="1"/>
      <c r="BI823" s="1"/>
    </row>
    <row r="824" ht="15.75" customHeight="1">
      <c r="A824" s="1"/>
      <c r="B824" s="1"/>
      <c r="C824" s="1"/>
      <c r="E824" s="1"/>
      <c r="G824" s="1"/>
      <c r="I824" s="1"/>
      <c r="K824" s="1"/>
      <c r="M824" s="1"/>
      <c r="O824" s="1"/>
      <c r="Q824" s="1"/>
      <c r="S824" s="1"/>
      <c r="U824" s="1"/>
      <c r="W824" s="1"/>
      <c r="Y824" s="1"/>
      <c r="AA824" s="1"/>
      <c r="AC824" s="1"/>
      <c r="AE824" s="1"/>
      <c r="AG824" s="1"/>
      <c r="AI824" s="1"/>
      <c r="AK824" s="1"/>
      <c r="AM824" s="1"/>
      <c r="AO824" s="1"/>
      <c r="AQ824" s="1"/>
      <c r="AS824" s="1"/>
      <c r="AU824" s="1"/>
      <c r="AW824" s="1"/>
      <c r="AY824" s="1"/>
      <c r="BA824" s="1"/>
      <c r="BC824" s="1"/>
      <c r="BE824" s="1"/>
      <c r="BG824" s="1"/>
      <c r="BI824" s="1"/>
    </row>
    <row r="825" ht="15.75" customHeight="1">
      <c r="A825" s="1"/>
      <c r="B825" s="1"/>
      <c r="C825" s="1"/>
      <c r="E825" s="1"/>
      <c r="G825" s="1"/>
      <c r="I825" s="1"/>
      <c r="K825" s="1"/>
      <c r="M825" s="1"/>
      <c r="O825" s="1"/>
      <c r="Q825" s="1"/>
      <c r="S825" s="1"/>
      <c r="U825" s="1"/>
      <c r="W825" s="1"/>
      <c r="Y825" s="1"/>
      <c r="AA825" s="1"/>
      <c r="AC825" s="1"/>
      <c r="AE825" s="1"/>
      <c r="AG825" s="1"/>
      <c r="AI825" s="1"/>
      <c r="AK825" s="1"/>
      <c r="AM825" s="1"/>
      <c r="AO825" s="1"/>
      <c r="AQ825" s="1"/>
      <c r="AS825" s="1"/>
      <c r="AU825" s="1"/>
      <c r="AW825" s="1"/>
      <c r="AY825" s="1"/>
      <c r="BA825" s="1"/>
      <c r="BC825" s="1"/>
      <c r="BE825" s="1"/>
      <c r="BG825" s="1"/>
      <c r="BI825" s="1"/>
    </row>
    <row r="826" ht="15.75" customHeight="1">
      <c r="A826" s="1"/>
      <c r="B826" s="1"/>
      <c r="C826" s="1"/>
      <c r="E826" s="1"/>
      <c r="G826" s="1"/>
      <c r="I826" s="1"/>
      <c r="K826" s="1"/>
      <c r="M826" s="1"/>
      <c r="O826" s="1"/>
      <c r="Q826" s="1"/>
      <c r="S826" s="1"/>
      <c r="U826" s="1"/>
      <c r="W826" s="1"/>
      <c r="Y826" s="1"/>
      <c r="AA826" s="1"/>
      <c r="AC826" s="1"/>
      <c r="AE826" s="1"/>
      <c r="AG826" s="1"/>
      <c r="AI826" s="1"/>
      <c r="AK826" s="1"/>
      <c r="AM826" s="1"/>
      <c r="AO826" s="1"/>
      <c r="AQ826" s="1"/>
      <c r="AS826" s="1"/>
      <c r="AU826" s="1"/>
      <c r="AW826" s="1"/>
      <c r="AY826" s="1"/>
      <c r="BA826" s="1"/>
      <c r="BC826" s="1"/>
      <c r="BE826" s="1"/>
      <c r="BG826" s="1"/>
      <c r="BI826" s="1"/>
    </row>
    <row r="827" ht="15.75" customHeight="1">
      <c r="A827" s="1"/>
      <c r="B827" s="1"/>
      <c r="C827" s="1"/>
      <c r="E827" s="1"/>
      <c r="G827" s="1"/>
      <c r="I827" s="1"/>
      <c r="K827" s="1"/>
      <c r="M827" s="1"/>
      <c r="O827" s="1"/>
      <c r="Q827" s="1"/>
      <c r="S827" s="1"/>
      <c r="U827" s="1"/>
      <c r="W827" s="1"/>
      <c r="Y827" s="1"/>
      <c r="AA827" s="1"/>
      <c r="AC827" s="1"/>
      <c r="AE827" s="1"/>
      <c r="AG827" s="1"/>
      <c r="AI827" s="1"/>
      <c r="AK827" s="1"/>
      <c r="AM827" s="1"/>
      <c r="AO827" s="1"/>
      <c r="AQ827" s="1"/>
      <c r="AS827" s="1"/>
      <c r="AU827" s="1"/>
      <c r="AW827" s="1"/>
      <c r="AY827" s="1"/>
      <c r="BA827" s="1"/>
      <c r="BC827" s="1"/>
      <c r="BE827" s="1"/>
      <c r="BG827" s="1"/>
      <c r="BI827" s="1"/>
    </row>
    <row r="828" ht="15.75" customHeight="1">
      <c r="A828" s="1"/>
      <c r="B828" s="1"/>
      <c r="C828" s="1"/>
      <c r="E828" s="1"/>
      <c r="G828" s="1"/>
      <c r="I828" s="1"/>
      <c r="K828" s="1"/>
      <c r="M828" s="1"/>
      <c r="O828" s="1"/>
      <c r="Q828" s="1"/>
      <c r="S828" s="1"/>
      <c r="U828" s="1"/>
      <c r="W828" s="1"/>
      <c r="Y828" s="1"/>
      <c r="AA828" s="1"/>
      <c r="AC828" s="1"/>
      <c r="AE828" s="1"/>
      <c r="AG828" s="1"/>
      <c r="AI828" s="1"/>
      <c r="AK828" s="1"/>
      <c r="AM828" s="1"/>
      <c r="AO828" s="1"/>
      <c r="AQ828" s="1"/>
      <c r="AS828" s="1"/>
      <c r="AU828" s="1"/>
      <c r="AW828" s="1"/>
      <c r="AY828" s="1"/>
      <c r="BA828" s="1"/>
      <c r="BC828" s="1"/>
      <c r="BE828" s="1"/>
      <c r="BG828" s="1"/>
      <c r="BI828" s="1"/>
    </row>
    <row r="829" ht="15.75" customHeight="1">
      <c r="A829" s="1"/>
      <c r="B829" s="1"/>
      <c r="C829" s="1"/>
      <c r="E829" s="1"/>
      <c r="G829" s="1"/>
      <c r="I829" s="1"/>
      <c r="K829" s="1"/>
      <c r="M829" s="1"/>
      <c r="O829" s="1"/>
      <c r="Q829" s="1"/>
      <c r="S829" s="1"/>
      <c r="U829" s="1"/>
      <c r="W829" s="1"/>
      <c r="Y829" s="1"/>
      <c r="AA829" s="1"/>
      <c r="AC829" s="1"/>
      <c r="AE829" s="1"/>
      <c r="AG829" s="1"/>
      <c r="AI829" s="1"/>
      <c r="AK829" s="1"/>
      <c r="AM829" s="1"/>
      <c r="AO829" s="1"/>
      <c r="AQ829" s="1"/>
      <c r="AS829" s="1"/>
      <c r="AU829" s="1"/>
      <c r="AW829" s="1"/>
      <c r="AY829" s="1"/>
      <c r="BA829" s="1"/>
      <c r="BC829" s="1"/>
      <c r="BE829" s="1"/>
      <c r="BG829" s="1"/>
      <c r="BI829" s="1"/>
    </row>
    <row r="830" ht="15.75" customHeight="1">
      <c r="A830" s="1"/>
      <c r="B830" s="1"/>
      <c r="C830" s="1"/>
      <c r="E830" s="1"/>
      <c r="G830" s="1"/>
      <c r="I830" s="1"/>
      <c r="K830" s="1"/>
      <c r="M830" s="1"/>
      <c r="O830" s="1"/>
      <c r="Q830" s="1"/>
      <c r="S830" s="1"/>
      <c r="U830" s="1"/>
      <c r="W830" s="1"/>
      <c r="Y830" s="1"/>
      <c r="AA830" s="1"/>
      <c r="AC830" s="1"/>
      <c r="AE830" s="1"/>
      <c r="AG830" s="1"/>
      <c r="AI830" s="1"/>
      <c r="AK830" s="1"/>
      <c r="AM830" s="1"/>
      <c r="AO830" s="1"/>
      <c r="AQ830" s="1"/>
      <c r="AS830" s="1"/>
      <c r="AU830" s="1"/>
      <c r="AW830" s="1"/>
      <c r="AY830" s="1"/>
      <c r="BA830" s="1"/>
      <c r="BC830" s="1"/>
      <c r="BE830" s="1"/>
      <c r="BG830" s="1"/>
      <c r="BI830" s="1"/>
    </row>
    <row r="831" ht="15.75" customHeight="1">
      <c r="A831" s="1"/>
      <c r="B831" s="1"/>
      <c r="C831" s="1"/>
      <c r="E831" s="1"/>
      <c r="G831" s="1"/>
      <c r="I831" s="1"/>
      <c r="K831" s="1"/>
      <c r="M831" s="1"/>
      <c r="O831" s="1"/>
      <c r="Q831" s="1"/>
      <c r="S831" s="1"/>
      <c r="U831" s="1"/>
      <c r="W831" s="1"/>
      <c r="Y831" s="1"/>
      <c r="AA831" s="1"/>
      <c r="AC831" s="1"/>
      <c r="AE831" s="1"/>
      <c r="AG831" s="1"/>
      <c r="AI831" s="1"/>
      <c r="AK831" s="1"/>
      <c r="AM831" s="1"/>
      <c r="AO831" s="1"/>
      <c r="AQ831" s="1"/>
      <c r="AS831" s="1"/>
      <c r="AU831" s="1"/>
      <c r="AW831" s="1"/>
      <c r="AY831" s="1"/>
      <c r="BA831" s="1"/>
      <c r="BC831" s="1"/>
      <c r="BE831" s="1"/>
      <c r="BG831" s="1"/>
      <c r="BI831" s="1"/>
    </row>
    <row r="832" ht="15.75" customHeight="1">
      <c r="A832" s="1"/>
      <c r="B832" s="1"/>
      <c r="C832" s="1"/>
      <c r="E832" s="1"/>
      <c r="G832" s="1"/>
      <c r="I832" s="1"/>
      <c r="K832" s="1"/>
      <c r="M832" s="1"/>
      <c r="O832" s="1"/>
      <c r="Q832" s="1"/>
      <c r="S832" s="1"/>
      <c r="U832" s="1"/>
      <c r="W832" s="1"/>
      <c r="Y832" s="1"/>
      <c r="AA832" s="1"/>
      <c r="AC832" s="1"/>
      <c r="AE832" s="1"/>
      <c r="AG832" s="1"/>
      <c r="AI832" s="1"/>
      <c r="AK832" s="1"/>
      <c r="AM832" s="1"/>
      <c r="AO832" s="1"/>
      <c r="AQ832" s="1"/>
      <c r="AS832" s="1"/>
      <c r="AU832" s="1"/>
      <c r="AW832" s="1"/>
      <c r="AY832" s="1"/>
      <c r="BA832" s="1"/>
      <c r="BC832" s="1"/>
      <c r="BE832" s="1"/>
      <c r="BG832" s="1"/>
      <c r="BI832" s="1"/>
    </row>
    <row r="833" ht="15.75" customHeight="1">
      <c r="A833" s="1"/>
      <c r="B833" s="1"/>
      <c r="C833" s="1"/>
      <c r="E833" s="1"/>
      <c r="G833" s="1"/>
      <c r="I833" s="1"/>
      <c r="K833" s="1"/>
      <c r="M833" s="1"/>
      <c r="O833" s="1"/>
      <c r="Q833" s="1"/>
      <c r="S833" s="1"/>
      <c r="U833" s="1"/>
      <c r="W833" s="1"/>
      <c r="Y833" s="1"/>
      <c r="AA833" s="1"/>
      <c r="AC833" s="1"/>
      <c r="AE833" s="1"/>
      <c r="AG833" s="1"/>
      <c r="AI833" s="1"/>
      <c r="AK833" s="1"/>
      <c r="AM833" s="1"/>
      <c r="AO833" s="1"/>
      <c r="AQ833" s="1"/>
      <c r="AS833" s="1"/>
      <c r="AU833" s="1"/>
      <c r="AW833" s="1"/>
      <c r="AY833" s="1"/>
      <c r="BA833" s="1"/>
      <c r="BC833" s="1"/>
      <c r="BE833" s="1"/>
      <c r="BG833" s="1"/>
      <c r="BI833" s="1"/>
    </row>
    <row r="834" ht="15.75" customHeight="1">
      <c r="A834" s="1"/>
      <c r="B834" s="1"/>
      <c r="C834" s="1"/>
      <c r="E834" s="1"/>
      <c r="G834" s="1"/>
      <c r="I834" s="1"/>
      <c r="K834" s="1"/>
      <c r="M834" s="1"/>
      <c r="O834" s="1"/>
      <c r="Q834" s="1"/>
      <c r="S834" s="1"/>
      <c r="U834" s="1"/>
      <c r="W834" s="1"/>
      <c r="Y834" s="1"/>
      <c r="AA834" s="1"/>
      <c r="AC834" s="1"/>
      <c r="AE834" s="1"/>
      <c r="AG834" s="1"/>
      <c r="AI834" s="1"/>
      <c r="AK834" s="1"/>
      <c r="AM834" s="1"/>
      <c r="AO834" s="1"/>
      <c r="AQ834" s="1"/>
      <c r="AS834" s="1"/>
      <c r="AU834" s="1"/>
      <c r="AW834" s="1"/>
      <c r="AY834" s="1"/>
      <c r="BA834" s="1"/>
      <c r="BC834" s="1"/>
      <c r="BE834" s="1"/>
      <c r="BG834" s="1"/>
      <c r="BI834" s="1"/>
    </row>
    <row r="835" ht="15.75" customHeight="1">
      <c r="A835" s="1"/>
      <c r="B835" s="1"/>
      <c r="C835" s="1"/>
      <c r="E835" s="1"/>
      <c r="G835" s="1"/>
      <c r="I835" s="1"/>
      <c r="K835" s="1"/>
      <c r="M835" s="1"/>
      <c r="O835" s="1"/>
      <c r="Q835" s="1"/>
      <c r="S835" s="1"/>
      <c r="U835" s="1"/>
      <c r="W835" s="1"/>
      <c r="Y835" s="1"/>
      <c r="AA835" s="1"/>
      <c r="AC835" s="1"/>
      <c r="AE835" s="1"/>
      <c r="AG835" s="1"/>
      <c r="AI835" s="1"/>
      <c r="AK835" s="1"/>
      <c r="AM835" s="1"/>
      <c r="AO835" s="1"/>
      <c r="AQ835" s="1"/>
      <c r="AS835" s="1"/>
      <c r="AU835" s="1"/>
      <c r="AW835" s="1"/>
      <c r="AY835" s="1"/>
      <c r="BA835" s="1"/>
      <c r="BC835" s="1"/>
      <c r="BE835" s="1"/>
      <c r="BG835" s="1"/>
      <c r="BI835" s="1"/>
    </row>
    <row r="836" ht="15.75" customHeight="1">
      <c r="A836" s="1"/>
      <c r="B836" s="1"/>
      <c r="C836" s="1"/>
      <c r="E836" s="1"/>
      <c r="G836" s="1"/>
      <c r="I836" s="1"/>
      <c r="K836" s="1"/>
      <c r="M836" s="1"/>
      <c r="O836" s="1"/>
      <c r="Q836" s="1"/>
      <c r="S836" s="1"/>
      <c r="U836" s="1"/>
      <c r="W836" s="1"/>
      <c r="Y836" s="1"/>
      <c r="AA836" s="1"/>
      <c r="AC836" s="1"/>
      <c r="AE836" s="1"/>
      <c r="AG836" s="1"/>
      <c r="AI836" s="1"/>
      <c r="AK836" s="1"/>
      <c r="AM836" s="1"/>
      <c r="AO836" s="1"/>
      <c r="AQ836" s="1"/>
      <c r="AS836" s="1"/>
      <c r="AU836" s="1"/>
      <c r="AW836" s="1"/>
      <c r="AY836" s="1"/>
      <c r="BA836" s="1"/>
      <c r="BC836" s="1"/>
      <c r="BE836" s="1"/>
      <c r="BG836" s="1"/>
      <c r="BI836" s="1"/>
    </row>
    <row r="837" ht="15.75" customHeight="1">
      <c r="A837" s="1"/>
      <c r="B837" s="1"/>
      <c r="C837" s="1"/>
      <c r="E837" s="1"/>
      <c r="G837" s="1"/>
      <c r="I837" s="1"/>
      <c r="K837" s="1"/>
      <c r="M837" s="1"/>
      <c r="O837" s="1"/>
      <c r="Q837" s="1"/>
      <c r="S837" s="1"/>
      <c r="U837" s="1"/>
      <c r="W837" s="1"/>
      <c r="Y837" s="1"/>
      <c r="AA837" s="1"/>
      <c r="AC837" s="1"/>
      <c r="AE837" s="1"/>
      <c r="AG837" s="1"/>
      <c r="AI837" s="1"/>
      <c r="AK837" s="1"/>
      <c r="AM837" s="1"/>
      <c r="AO837" s="1"/>
      <c r="AQ837" s="1"/>
      <c r="AS837" s="1"/>
      <c r="AU837" s="1"/>
      <c r="AW837" s="1"/>
      <c r="AY837" s="1"/>
      <c r="BA837" s="1"/>
      <c r="BC837" s="1"/>
      <c r="BE837" s="1"/>
      <c r="BG837" s="1"/>
      <c r="BI837" s="1"/>
    </row>
    <row r="838" ht="15.75" customHeight="1">
      <c r="A838" s="1"/>
      <c r="B838" s="1"/>
      <c r="C838" s="1"/>
      <c r="E838" s="1"/>
      <c r="G838" s="1"/>
      <c r="I838" s="1"/>
      <c r="K838" s="1"/>
      <c r="M838" s="1"/>
      <c r="O838" s="1"/>
      <c r="Q838" s="1"/>
      <c r="S838" s="1"/>
      <c r="U838" s="1"/>
      <c r="W838" s="1"/>
      <c r="Y838" s="1"/>
      <c r="AA838" s="1"/>
      <c r="AC838" s="1"/>
      <c r="AE838" s="1"/>
      <c r="AG838" s="1"/>
      <c r="AI838" s="1"/>
      <c r="AK838" s="1"/>
      <c r="AM838" s="1"/>
      <c r="AO838" s="1"/>
      <c r="AQ838" s="1"/>
      <c r="AS838" s="1"/>
      <c r="AU838" s="1"/>
      <c r="AW838" s="1"/>
      <c r="AY838" s="1"/>
      <c r="BA838" s="1"/>
      <c r="BC838" s="1"/>
      <c r="BE838" s="1"/>
      <c r="BG838" s="1"/>
      <c r="BI838" s="1"/>
    </row>
    <row r="839" ht="15.75" customHeight="1">
      <c r="A839" s="1"/>
      <c r="B839" s="1"/>
      <c r="C839" s="1"/>
      <c r="E839" s="1"/>
      <c r="G839" s="1"/>
      <c r="I839" s="1"/>
      <c r="K839" s="1"/>
      <c r="M839" s="1"/>
      <c r="O839" s="1"/>
      <c r="Q839" s="1"/>
      <c r="S839" s="1"/>
      <c r="U839" s="1"/>
      <c r="W839" s="1"/>
      <c r="Y839" s="1"/>
      <c r="AA839" s="1"/>
      <c r="AC839" s="1"/>
      <c r="AE839" s="1"/>
      <c r="AG839" s="1"/>
      <c r="AI839" s="1"/>
      <c r="AK839" s="1"/>
      <c r="AM839" s="1"/>
      <c r="AO839" s="1"/>
      <c r="AQ839" s="1"/>
      <c r="AS839" s="1"/>
      <c r="AU839" s="1"/>
      <c r="AW839" s="1"/>
      <c r="AY839" s="1"/>
      <c r="BA839" s="1"/>
      <c r="BC839" s="1"/>
      <c r="BE839" s="1"/>
      <c r="BG839" s="1"/>
      <c r="BI839" s="1"/>
    </row>
    <row r="840" ht="15.75" customHeight="1">
      <c r="A840" s="1"/>
      <c r="B840" s="1"/>
      <c r="C840" s="1"/>
      <c r="E840" s="1"/>
      <c r="G840" s="1"/>
      <c r="I840" s="1"/>
      <c r="K840" s="1"/>
      <c r="M840" s="1"/>
      <c r="O840" s="1"/>
      <c r="Q840" s="1"/>
      <c r="S840" s="1"/>
      <c r="U840" s="1"/>
      <c r="W840" s="1"/>
      <c r="Y840" s="1"/>
      <c r="AA840" s="1"/>
      <c r="AC840" s="1"/>
      <c r="AE840" s="1"/>
      <c r="AG840" s="1"/>
      <c r="AI840" s="1"/>
      <c r="AK840" s="1"/>
      <c r="AM840" s="1"/>
      <c r="AO840" s="1"/>
      <c r="AQ840" s="1"/>
      <c r="AS840" s="1"/>
      <c r="AU840" s="1"/>
      <c r="AW840" s="1"/>
      <c r="AY840" s="1"/>
      <c r="BA840" s="1"/>
      <c r="BC840" s="1"/>
      <c r="BE840" s="1"/>
      <c r="BG840" s="1"/>
      <c r="BI840" s="1"/>
    </row>
    <row r="841" ht="15.75" customHeight="1">
      <c r="A841" s="1"/>
      <c r="B841" s="1"/>
      <c r="C841" s="1"/>
      <c r="E841" s="1"/>
      <c r="G841" s="1"/>
      <c r="I841" s="1"/>
      <c r="K841" s="1"/>
      <c r="M841" s="1"/>
      <c r="O841" s="1"/>
      <c r="Q841" s="1"/>
      <c r="S841" s="1"/>
      <c r="U841" s="1"/>
      <c r="W841" s="1"/>
      <c r="Y841" s="1"/>
      <c r="AA841" s="1"/>
      <c r="AC841" s="1"/>
      <c r="AE841" s="1"/>
      <c r="AG841" s="1"/>
      <c r="AI841" s="1"/>
      <c r="AK841" s="1"/>
      <c r="AM841" s="1"/>
      <c r="AO841" s="1"/>
      <c r="AQ841" s="1"/>
      <c r="AS841" s="1"/>
      <c r="AU841" s="1"/>
      <c r="AW841" s="1"/>
      <c r="AY841" s="1"/>
      <c r="BA841" s="1"/>
      <c r="BC841" s="1"/>
      <c r="BE841" s="1"/>
      <c r="BG841" s="1"/>
      <c r="BI841" s="1"/>
    </row>
    <row r="842" ht="15.75" customHeight="1">
      <c r="A842" s="1"/>
      <c r="B842" s="1"/>
      <c r="C842" s="1"/>
      <c r="E842" s="1"/>
      <c r="G842" s="1"/>
      <c r="I842" s="1"/>
      <c r="K842" s="1"/>
      <c r="M842" s="1"/>
      <c r="O842" s="1"/>
      <c r="Q842" s="1"/>
      <c r="S842" s="1"/>
      <c r="U842" s="1"/>
      <c r="W842" s="1"/>
      <c r="Y842" s="1"/>
      <c r="AA842" s="1"/>
      <c r="AC842" s="1"/>
      <c r="AE842" s="1"/>
      <c r="AG842" s="1"/>
      <c r="AI842" s="1"/>
      <c r="AK842" s="1"/>
      <c r="AM842" s="1"/>
      <c r="AO842" s="1"/>
      <c r="AQ842" s="1"/>
      <c r="AS842" s="1"/>
      <c r="AU842" s="1"/>
      <c r="AW842" s="1"/>
      <c r="AY842" s="1"/>
      <c r="BA842" s="1"/>
      <c r="BC842" s="1"/>
      <c r="BE842" s="1"/>
      <c r="BG842" s="1"/>
      <c r="BI842" s="1"/>
    </row>
    <row r="843" ht="15.75" customHeight="1">
      <c r="A843" s="1"/>
      <c r="B843" s="1"/>
      <c r="C843" s="1"/>
      <c r="E843" s="1"/>
      <c r="G843" s="1"/>
      <c r="I843" s="1"/>
      <c r="K843" s="1"/>
      <c r="M843" s="1"/>
      <c r="O843" s="1"/>
      <c r="Q843" s="1"/>
      <c r="S843" s="1"/>
      <c r="U843" s="1"/>
      <c r="W843" s="1"/>
      <c r="Y843" s="1"/>
      <c r="AA843" s="1"/>
      <c r="AC843" s="1"/>
      <c r="AE843" s="1"/>
      <c r="AG843" s="1"/>
      <c r="AI843" s="1"/>
      <c r="AK843" s="1"/>
      <c r="AM843" s="1"/>
      <c r="AO843" s="1"/>
      <c r="AQ843" s="1"/>
      <c r="AS843" s="1"/>
      <c r="AU843" s="1"/>
      <c r="AW843" s="1"/>
      <c r="AY843" s="1"/>
      <c r="BA843" s="1"/>
      <c r="BC843" s="1"/>
      <c r="BE843" s="1"/>
      <c r="BG843" s="1"/>
      <c r="BI843" s="1"/>
    </row>
    <row r="844" ht="15.75" customHeight="1">
      <c r="A844" s="1"/>
      <c r="B844" s="1"/>
      <c r="C844" s="1"/>
      <c r="E844" s="1"/>
      <c r="G844" s="1"/>
      <c r="I844" s="1"/>
      <c r="K844" s="1"/>
      <c r="M844" s="1"/>
      <c r="O844" s="1"/>
      <c r="Q844" s="1"/>
      <c r="S844" s="1"/>
      <c r="U844" s="1"/>
      <c r="W844" s="1"/>
      <c r="Y844" s="1"/>
      <c r="AA844" s="1"/>
      <c r="AC844" s="1"/>
      <c r="AE844" s="1"/>
      <c r="AG844" s="1"/>
      <c r="AI844" s="1"/>
      <c r="AK844" s="1"/>
      <c r="AM844" s="1"/>
      <c r="AO844" s="1"/>
      <c r="AQ844" s="1"/>
      <c r="AS844" s="1"/>
      <c r="AU844" s="1"/>
      <c r="AW844" s="1"/>
      <c r="AY844" s="1"/>
      <c r="BA844" s="1"/>
      <c r="BC844" s="1"/>
      <c r="BE844" s="1"/>
      <c r="BG844" s="1"/>
      <c r="BI844" s="1"/>
    </row>
    <row r="845" ht="15.75" customHeight="1">
      <c r="A845" s="1"/>
      <c r="B845" s="1"/>
      <c r="C845" s="1"/>
      <c r="E845" s="1"/>
      <c r="G845" s="1"/>
      <c r="I845" s="1"/>
      <c r="K845" s="1"/>
      <c r="M845" s="1"/>
      <c r="O845" s="1"/>
      <c r="Q845" s="1"/>
      <c r="S845" s="1"/>
      <c r="U845" s="1"/>
      <c r="W845" s="1"/>
      <c r="Y845" s="1"/>
      <c r="AA845" s="1"/>
      <c r="AC845" s="1"/>
      <c r="AE845" s="1"/>
      <c r="AG845" s="1"/>
      <c r="AI845" s="1"/>
      <c r="AK845" s="1"/>
      <c r="AM845" s="1"/>
      <c r="AO845" s="1"/>
      <c r="AQ845" s="1"/>
      <c r="AS845" s="1"/>
      <c r="AU845" s="1"/>
      <c r="AW845" s="1"/>
      <c r="AY845" s="1"/>
      <c r="BA845" s="1"/>
      <c r="BC845" s="1"/>
      <c r="BE845" s="1"/>
      <c r="BG845" s="1"/>
      <c r="BI845" s="1"/>
    </row>
    <row r="846" ht="15.75" customHeight="1">
      <c r="A846" s="1"/>
      <c r="B846" s="1"/>
      <c r="C846" s="1"/>
      <c r="E846" s="1"/>
      <c r="G846" s="1"/>
      <c r="I846" s="1"/>
      <c r="K846" s="1"/>
      <c r="M846" s="1"/>
      <c r="O846" s="1"/>
      <c r="Q846" s="1"/>
      <c r="S846" s="1"/>
      <c r="U846" s="1"/>
      <c r="W846" s="1"/>
      <c r="Y846" s="1"/>
      <c r="AA846" s="1"/>
      <c r="AC846" s="1"/>
      <c r="AE846" s="1"/>
      <c r="AG846" s="1"/>
      <c r="AI846" s="1"/>
      <c r="AK846" s="1"/>
      <c r="AM846" s="1"/>
      <c r="AO846" s="1"/>
      <c r="AQ846" s="1"/>
      <c r="AS846" s="1"/>
      <c r="AU846" s="1"/>
      <c r="AW846" s="1"/>
      <c r="AY846" s="1"/>
      <c r="BA846" s="1"/>
      <c r="BC846" s="1"/>
      <c r="BE846" s="1"/>
      <c r="BG846" s="1"/>
      <c r="BI846" s="1"/>
    </row>
    <row r="847" ht="15.75" customHeight="1">
      <c r="A847" s="1"/>
      <c r="B847" s="1"/>
      <c r="C847" s="1"/>
      <c r="E847" s="1"/>
      <c r="G847" s="1"/>
      <c r="I847" s="1"/>
      <c r="K847" s="1"/>
      <c r="M847" s="1"/>
      <c r="O847" s="1"/>
      <c r="Q847" s="1"/>
      <c r="S847" s="1"/>
      <c r="U847" s="1"/>
      <c r="W847" s="1"/>
      <c r="Y847" s="1"/>
      <c r="AA847" s="1"/>
      <c r="AC847" s="1"/>
      <c r="AE847" s="1"/>
      <c r="AG847" s="1"/>
      <c r="AI847" s="1"/>
      <c r="AK847" s="1"/>
      <c r="AM847" s="1"/>
      <c r="AO847" s="1"/>
      <c r="AQ847" s="1"/>
      <c r="AS847" s="1"/>
      <c r="AU847" s="1"/>
      <c r="AW847" s="1"/>
      <c r="AY847" s="1"/>
      <c r="BA847" s="1"/>
      <c r="BC847" s="1"/>
      <c r="BE847" s="1"/>
      <c r="BG847" s="1"/>
      <c r="BI847" s="1"/>
    </row>
    <row r="848" ht="15.75" customHeight="1">
      <c r="A848" s="1"/>
      <c r="B848" s="1"/>
      <c r="C848" s="1"/>
      <c r="E848" s="1"/>
      <c r="G848" s="1"/>
      <c r="I848" s="1"/>
      <c r="K848" s="1"/>
      <c r="M848" s="1"/>
      <c r="O848" s="1"/>
      <c r="Q848" s="1"/>
      <c r="S848" s="1"/>
      <c r="U848" s="1"/>
      <c r="W848" s="1"/>
      <c r="Y848" s="1"/>
      <c r="AA848" s="1"/>
      <c r="AC848" s="1"/>
      <c r="AE848" s="1"/>
      <c r="AG848" s="1"/>
      <c r="AI848" s="1"/>
      <c r="AK848" s="1"/>
      <c r="AM848" s="1"/>
      <c r="AO848" s="1"/>
      <c r="AQ848" s="1"/>
      <c r="AS848" s="1"/>
      <c r="AU848" s="1"/>
      <c r="AW848" s="1"/>
      <c r="AY848" s="1"/>
      <c r="BA848" s="1"/>
      <c r="BC848" s="1"/>
      <c r="BE848" s="1"/>
      <c r="BG848" s="1"/>
      <c r="BI848" s="1"/>
    </row>
    <row r="849" ht="15.75" customHeight="1">
      <c r="A849" s="1"/>
      <c r="B849" s="1"/>
      <c r="C849" s="1"/>
      <c r="E849" s="1"/>
      <c r="G849" s="1"/>
      <c r="I849" s="1"/>
      <c r="K849" s="1"/>
      <c r="M849" s="1"/>
      <c r="O849" s="1"/>
      <c r="Q849" s="1"/>
      <c r="S849" s="1"/>
      <c r="U849" s="1"/>
      <c r="W849" s="1"/>
      <c r="Y849" s="1"/>
      <c r="AA849" s="1"/>
      <c r="AC849" s="1"/>
      <c r="AE849" s="1"/>
      <c r="AG849" s="1"/>
      <c r="AI849" s="1"/>
      <c r="AK849" s="1"/>
      <c r="AM849" s="1"/>
      <c r="AO849" s="1"/>
      <c r="AQ849" s="1"/>
      <c r="AS849" s="1"/>
      <c r="AU849" s="1"/>
      <c r="AW849" s="1"/>
      <c r="AY849" s="1"/>
      <c r="BA849" s="1"/>
      <c r="BC849" s="1"/>
      <c r="BE849" s="1"/>
      <c r="BG849" s="1"/>
      <c r="BI849" s="1"/>
    </row>
    <row r="850" ht="15.75" customHeight="1">
      <c r="A850" s="1"/>
      <c r="B850" s="1"/>
      <c r="C850" s="1"/>
      <c r="E850" s="1"/>
      <c r="G850" s="1"/>
      <c r="I850" s="1"/>
      <c r="K850" s="1"/>
      <c r="M850" s="1"/>
      <c r="O850" s="1"/>
      <c r="Q850" s="1"/>
      <c r="S850" s="1"/>
      <c r="U850" s="1"/>
      <c r="W850" s="1"/>
      <c r="Y850" s="1"/>
      <c r="AA850" s="1"/>
      <c r="AC850" s="1"/>
      <c r="AE850" s="1"/>
      <c r="AG850" s="1"/>
      <c r="AI850" s="1"/>
      <c r="AK850" s="1"/>
      <c r="AM850" s="1"/>
      <c r="AO850" s="1"/>
      <c r="AQ850" s="1"/>
      <c r="AS850" s="1"/>
      <c r="AU850" s="1"/>
      <c r="AW850" s="1"/>
      <c r="AY850" s="1"/>
      <c r="BA850" s="1"/>
      <c r="BC850" s="1"/>
      <c r="BE850" s="1"/>
      <c r="BG850" s="1"/>
      <c r="BI850" s="1"/>
    </row>
    <row r="851" ht="15.75" customHeight="1">
      <c r="A851" s="1"/>
      <c r="B851" s="1"/>
      <c r="C851" s="1"/>
      <c r="E851" s="1"/>
      <c r="G851" s="1"/>
      <c r="I851" s="1"/>
      <c r="K851" s="1"/>
      <c r="M851" s="1"/>
      <c r="O851" s="1"/>
      <c r="Q851" s="1"/>
      <c r="S851" s="1"/>
      <c r="U851" s="1"/>
      <c r="W851" s="1"/>
      <c r="Y851" s="1"/>
      <c r="AA851" s="1"/>
      <c r="AC851" s="1"/>
      <c r="AE851" s="1"/>
      <c r="AG851" s="1"/>
      <c r="AI851" s="1"/>
      <c r="AK851" s="1"/>
      <c r="AM851" s="1"/>
      <c r="AO851" s="1"/>
      <c r="AQ851" s="1"/>
      <c r="AS851" s="1"/>
      <c r="AU851" s="1"/>
      <c r="AW851" s="1"/>
      <c r="AY851" s="1"/>
      <c r="BA851" s="1"/>
      <c r="BC851" s="1"/>
      <c r="BE851" s="1"/>
      <c r="BG851" s="1"/>
      <c r="BI851" s="1"/>
    </row>
    <row r="852" ht="15.75" customHeight="1">
      <c r="A852" s="1"/>
      <c r="B852" s="1"/>
      <c r="C852" s="1"/>
      <c r="E852" s="1"/>
      <c r="G852" s="1"/>
      <c r="I852" s="1"/>
      <c r="K852" s="1"/>
      <c r="M852" s="1"/>
      <c r="O852" s="1"/>
      <c r="Q852" s="1"/>
      <c r="S852" s="1"/>
      <c r="U852" s="1"/>
      <c r="W852" s="1"/>
      <c r="Y852" s="1"/>
      <c r="AA852" s="1"/>
      <c r="AC852" s="1"/>
      <c r="AE852" s="1"/>
      <c r="AG852" s="1"/>
      <c r="AI852" s="1"/>
      <c r="AK852" s="1"/>
      <c r="AM852" s="1"/>
      <c r="AO852" s="1"/>
      <c r="AQ852" s="1"/>
      <c r="AS852" s="1"/>
      <c r="AU852" s="1"/>
      <c r="AW852" s="1"/>
      <c r="AY852" s="1"/>
      <c r="BA852" s="1"/>
      <c r="BC852" s="1"/>
      <c r="BE852" s="1"/>
      <c r="BG852" s="1"/>
      <c r="BI852" s="1"/>
    </row>
    <row r="853" ht="15.75" customHeight="1">
      <c r="A853" s="1"/>
      <c r="B853" s="1"/>
      <c r="C853" s="1"/>
      <c r="E853" s="1"/>
      <c r="G853" s="1"/>
      <c r="I853" s="1"/>
      <c r="K853" s="1"/>
      <c r="M853" s="1"/>
      <c r="O853" s="1"/>
      <c r="Q853" s="1"/>
      <c r="S853" s="1"/>
      <c r="U853" s="1"/>
      <c r="W853" s="1"/>
      <c r="Y853" s="1"/>
      <c r="AA853" s="1"/>
      <c r="AC853" s="1"/>
      <c r="AE853" s="1"/>
      <c r="AG853" s="1"/>
      <c r="AI853" s="1"/>
      <c r="AK853" s="1"/>
      <c r="AM853" s="1"/>
      <c r="AO853" s="1"/>
      <c r="AQ853" s="1"/>
      <c r="AS853" s="1"/>
      <c r="AU853" s="1"/>
      <c r="AW853" s="1"/>
      <c r="AY853" s="1"/>
      <c r="BA853" s="1"/>
      <c r="BC853" s="1"/>
      <c r="BE853" s="1"/>
      <c r="BG853" s="1"/>
      <c r="BI853" s="1"/>
    </row>
    <row r="854" ht="15.75" customHeight="1">
      <c r="A854" s="1"/>
      <c r="B854" s="1"/>
      <c r="C854" s="1"/>
      <c r="E854" s="1"/>
      <c r="G854" s="1"/>
      <c r="I854" s="1"/>
      <c r="K854" s="1"/>
      <c r="M854" s="1"/>
      <c r="O854" s="1"/>
      <c r="Q854" s="1"/>
      <c r="S854" s="1"/>
      <c r="U854" s="1"/>
      <c r="W854" s="1"/>
      <c r="Y854" s="1"/>
      <c r="AA854" s="1"/>
      <c r="AC854" s="1"/>
      <c r="AE854" s="1"/>
      <c r="AG854" s="1"/>
      <c r="AI854" s="1"/>
      <c r="AK854" s="1"/>
      <c r="AM854" s="1"/>
      <c r="AO854" s="1"/>
      <c r="AQ854" s="1"/>
      <c r="AS854" s="1"/>
      <c r="AU854" s="1"/>
      <c r="AW854" s="1"/>
      <c r="AY854" s="1"/>
      <c r="BA854" s="1"/>
      <c r="BC854" s="1"/>
      <c r="BE854" s="1"/>
      <c r="BG854" s="1"/>
      <c r="BI854" s="1"/>
    </row>
    <row r="855" ht="15.75" customHeight="1">
      <c r="A855" s="1"/>
      <c r="B855" s="1"/>
      <c r="C855" s="1"/>
      <c r="E855" s="1"/>
      <c r="G855" s="1"/>
      <c r="I855" s="1"/>
      <c r="K855" s="1"/>
      <c r="M855" s="1"/>
      <c r="O855" s="1"/>
      <c r="Q855" s="1"/>
      <c r="S855" s="1"/>
      <c r="U855" s="1"/>
      <c r="W855" s="1"/>
      <c r="Y855" s="1"/>
      <c r="AA855" s="1"/>
      <c r="AC855" s="1"/>
      <c r="AE855" s="1"/>
      <c r="AG855" s="1"/>
      <c r="AI855" s="1"/>
      <c r="AK855" s="1"/>
      <c r="AM855" s="1"/>
      <c r="AO855" s="1"/>
      <c r="AQ855" s="1"/>
      <c r="AS855" s="1"/>
      <c r="AU855" s="1"/>
      <c r="AW855" s="1"/>
      <c r="AY855" s="1"/>
      <c r="BA855" s="1"/>
      <c r="BC855" s="1"/>
      <c r="BE855" s="1"/>
      <c r="BG855" s="1"/>
      <c r="BI855" s="1"/>
    </row>
    <row r="856" ht="15.75" customHeight="1">
      <c r="A856" s="1"/>
      <c r="B856" s="1"/>
      <c r="C856" s="1"/>
      <c r="E856" s="1"/>
      <c r="G856" s="1"/>
      <c r="I856" s="1"/>
      <c r="K856" s="1"/>
      <c r="M856" s="1"/>
      <c r="O856" s="1"/>
      <c r="Q856" s="1"/>
      <c r="S856" s="1"/>
      <c r="U856" s="1"/>
      <c r="W856" s="1"/>
      <c r="Y856" s="1"/>
      <c r="AA856" s="1"/>
      <c r="AC856" s="1"/>
      <c r="AE856" s="1"/>
      <c r="AG856" s="1"/>
      <c r="AI856" s="1"/>
      <c r="AK856" s="1"/>
      <c r="AM856" s="1"/>
      <c r="AO856" s="1"/>
      <c r="AQ856" s="1"/>
      <c r="AS856" s="1"/>
      <c r="AU856" s="1"/>
      <c r="AW856" s="1"/>
      <c r="AY856" s="1"/>
      <c r="BA856" s="1"/>
      <c r="BC856" s="1"/>
      <c r="BE856" s="1"/>
      <c r="BG856" s="1"/>
      <c r="BI856" s="1"/>
    </row>
    <row r="857" ht="15.75" customHeight="1">
      <c r="A857" s="1"/>
      <c r="B857" s="1"/>
      <c r="C857" s="1"/>
      <c r="E857" s="1"/>
      <c r="G857" s="1"/>
      <c r="I857" s="1"/>
      <c r="K857" s="1"/>
      <c r="M857" s="1"/>
      <c r="O857" s="1"/>
      <c r="Q857" s="1"/>
      <c r="S857" s="1"/>
      <c r="U857" s="1"/>
      <c r="W857" s="1"/>
      <c r="Y857" s="1"/>
      <c r="AA857" s="1"/>
      <c r="AC857" s="1"/>
      <c r="AE857" s="1"/>
      <c r="AG857" s="1"/>
      <c r="AI857" s="1"/>
      <c r="AK857" s="1"/>
      <c r="AM857" s="1"/>
      <c r="AO857" s="1"/>
      <c r="AQ857" s="1"/>
      <c r="AS857" s="1"/>
      <c r="AU857" s="1"/>
      <c r="AW857" s="1"/>
      <c r="AY857" s="1"/>
      <c r="BA857" s="1"/>
      <c r="BC857" s="1"/>
      <c r="BE857" s="1"/>
      <c r="BG857" s="1"/>
      <c r="BI857" s="1"/>
    </row>
    <row r="858" ht="15.75" customHeight="1">
      <c r="A858" s="1"/>
      <c r="B858" s="1"/>
      <c r="C858" s="1"/>
      <c r="E858" s="1"/>
      <c r="G858" s="1"/>
      <c r="I858" s="1"/>
      <c r="K858" s="1"/>
      <c r="M858" s="1"/>
      <c r="O858" s="1"/>
      <c r="Q858" s="1"/>
      <c r="S858" s="1"/>
      <c r="U858" s="1"/>
      <c r="W858" s="1"/>
      <c r="Y858" s="1"/>
      <c r="AA858" s="1"/>
      <c r="AC858" s="1"/>
      <c r="AE858" s="1"/>
      <c r="AG858" s="1"/>
      <c r="AI858" s="1"/>
      <c r="AK858" s="1"/>
      <c r="AM858" s="1"/>
      <c r="AO858" s="1"/>
      <c r="AQ858" s="1"/>
      <c r="AS858" s="1"/>
      <c r="AU858" s="1"/>
      <c r="AW858" s="1"/>
      <c r="AY858" s="1"/>
      <c r="BA858" s="1"/>
      <c r="BC858" s="1"/>
      <c r="BE858" s="1"/>
      <c r="BG858" s="1"/>
      <c r="BI858" s="1"/>
    </row>
    <row r="859" ht="15.75" customHeight="1">
      <c r="A859" s="1"/>
      <c r="B859" s="1"/>
      <c r="C859" s="1"/>
      <c r="E859" s="1"/>
      <c r="G859" s="1"/>
      <c r="I859" s="1"/>
      <c r="K859" s="1"/>
      <c r="M859" s="1"/>
      <c r="O859" s="1"/>
      <c r="Q859" s="1"/>
      <c r="S859" s="1"/>
      <c r="U859" s="1"/>
      <c r="W859" s="1"/>
      <c r="Y859" s="1"/>
      <c r="AA859" s="1"/>
      <c r="AC859" s="1"/>
      <c r="AE859" s="1"/>
      <c r="AG859" s="1"/>
      <c r="AI859" s="1"/>
      <c r="AK859" s="1"/>
      <c r="AM859" s="1"/>
      <c r="AO859" s="1"/>
      <c r="AQ859" s="1"/>
      <c r="AS859" s="1"/>
      <c r="AU859" s="1"/>
      <c r="AW859" s="1"/>
      <c r="AY859" s="1"/>
      <c r="BA859" s="1"/>
      <c r="BC859" s="1"/>
      <c r="BE859" s="1"/>
      <c r="BG859" s="1"/>
      <c r="BI859" s="1"/>
    </row>
    <row r="860" ht="15.75" customHeight="1">
      <c r="A860" s="1"/>
      <c r="B860" s="1"/>
      <c r="C860" s="1"/>
      <c r="E860" s="1"/>
      <c r="G860" s="1"/>
      <c r="I860" s="1"/>
      <c r="K860" s="1"/>
      <c r="M860" s="1"/>
      <c r="O860" s="1"/>
      <c r="Q860" s="1"/>
      <c r="S860" s="1"/>
      <c r="U860" s="1"/>
      <c r="W860" s="1"/>
      <c r="Y860" s="1"/>
      <c r="AA860" s="1"/>
      <c r="AC860" s="1"/>
      <c r="AE860" s="1"/>
      <c r="AG860" s="1"/>
      <c r="AI860" s="1"/>
      <c r="AK860" s="1"/>
      <c r="AM860" s="1"/>
      <c r="AO860" s="1"/>
      <c r="AQ860" s="1"/>
      <c r="AS860" s="1"/>
      <c r="AU860" s="1"/>
      <c r="AW860" s="1"/>
      <c r="AY860" s="1"/>
      <c r="BA860" s="1"/>
      <c r="BC860" s="1"/>
      <c r="BE860" s="1"/>
      <c r="BG860" s="1"/>
      <c r="BI860" s="1"/>
    </row>
    <row r="861" ht="15.75" customHeight="1">
      <c r="A861" s="1"/>
      <c r="B861" s="1"/>
      <c r="C861" s="1"/>
      <c r="E861" s="1"/>
      <c r="G861" s="1"/>
      <c r="I861" s="1"/>
      <c r="K861" s="1"/>
      <c r="M861" s="1"/>
      <c r="O861" s="1"/>
      <c r="Q861" s="1"/>
      <c r="S861" s="1"/>
      <c r="U861" s="1"/>
      <c r="W861" s="1"/>
      <c r="Y861" s="1"/>
      <c r="AA861" s="1"/>
      <c r="AC861" s="1"/>
      <c r="AE861" s="1"/>
      <c r="AG861" s="1"/>
      <c r="AI861" s="1"/>
      <c r="AK861" s="1"/>
      <c r="AM861" s="1"/>
      <c r="AO861" s="1"/>
      <c r="AQ861" s="1"/>
      <c r="AS861" s="1"/>
      <c r="AU861" s="1"/>
      <c r="AW861" s="1"/>
      <c r="AY861" s="1"/>
      <c r="BA861" s="1"/>
      <c r="BC861" s="1"/>
      <c r="BE861" s="1"/>
      <c r="BG861" s="1"/>
      <c r="BI861" s="1"/>
    </row>
    <row r="862" ht="15.75" customHeight="1">
      <c r="A862" s="1"/>
      <c r="B862" s="1"/>
      <c r="C862" s="1"/>
      <c r="E862" s="1"/>
      <c r="G862" s="1"/>
      <c r="I862" s="1"/>
      <c r="K862" s="1"/>
      <c r="M862" s="1"/>
      <c r="O862" s="1"/>
      <c r="Q862" s="1"/>
      <c r="S862" s="1"/>
      <c r="U862" s="1"/>
      <c r="W862" s="1"/>
      <c r="Y862" s="1"/>
      <c r="AA862" s="1"/>
      <c r="AC862" s="1"/>
      <c r="AE862" s="1"/>
      <c r="AG862" s="1"/>
      <c r="AI862" s="1"/>
      <c r="AK862" s="1"/>
      <c r="AM862" s="1"/>
      <c r="AO862" s="1"/>
      <c r="AQ862" s="1"/>
      <c r="AS862" s="1"/>
      <c r="AU862" s="1"/>
      <c r="AW862" s="1"/>
      <c r="AY862" s="1"/>
      <c r="BA862" s="1"/>
      <c r="BC862" s="1"/>
      <c r="BE862" s="1"/>
      <c r="BG862" s="1"/>
      <c r="BI862" s="1"/>
    </row>
    <row r="863" ht="15.75" customHeight="1">
      <c r="A863" s="1"/>
      <c r="B863" s="1"/>
      <c r="C863" s="1"/>
      <c r="E863" s="1"/>
      <c r="G863" s="1"/>
      <c r="I863" s="1"/>
      <c r="K863" s="1"/>
      <c r="M863" s="1"/>
      <c r="O863" s="1"/>
      <c r="Q863" s="1"/>
      <c r="S863" s="1"/>
      <c r="U863" s="1"/>
      <c r="W863" s="1"/>
      <c r="Y863" s="1"/>
      <c r="AA863" s="1"/>
      <c r="AC863" s="1"/>
      <c r="AE863" s="1"/>
      <c r="AG863" s="1"/>
      <c r="AI863" s="1"/>
      <c r="AK863" s="1"/>
      <c r="AM863" s="1"/>
      <c r="AO863" s="1"/>
      <c r="AQ863" s="1"/>
      <c r="AS863" s="1"/>
      <c r="AU863" s="1"/>
      <c r="AW863" s="1"/>
      <c r="AY863" s="1"/>
      <c r="BA863" s="1"/>
      <c r="BC863" s="1"/>
      <c r="BE863" s="1"/>
      <c r="BG863" s="1"/>
      <c r="BI863" s="1"/>
    </row>
    <row r="864" ht="15.75" customHeight="1">
      <c r="A864" s="1"/>
      <c r="B864" s="1"/>
      <c r="C864" s="1"/>
      <c r="E864" s="1"/>
      <c r="G864" s="1"/>
      <c r="I864" s="1"/>
      <c r="K864" s="1"/>
      <c r="M864" s="1"/>
      <c r="O864" s="1"/>
      <c r="Q864" s="1"/>
      <c r="S864" s="1"/>
      <c r="U864" s="1"/>
      <c r="W864" s="1"/>
      <c r="Y864" s="1"/>
      <c r="AA864" s="1"/>
      <c r="AC864" s="1"/>
      <c r="AE864" s="1"/>
      <c r="AG864" s="1"/>
      <c r="AI864" s="1"/>
      <c r="AK864" s="1"/>
      <c r="AM864" s="1"/>
      <c r="AO864" s="1"/>
      <c r="AQ864" s="1"/>
      <c r="AS864" s="1"/>
      <c r="AU864" s="1"/>
      <c r="AW864" s="1"/>
      <c r="AY864" s="1"/>
      <c r="BA864" s="1"/>
      <c r="BC864" s="1"/>
      <c r="BE864" s="1"/>
      <c r="BG864" s="1"/>
      <c r="BI864" s="1"/>
    </row>
    <row r="865" ht="15.75" customHeight="1">
      <c r="A865" s="1"/>
      <c r="B865" s="1"/>
      <c r="C865" s="1"/>
      <c r="E865" s="1"/>
      <c r="G865" s="1"/>
      <c r="I865" s="1"/>
      <c r="K865" s="1"/>
      <c r="M865" s="1"/>
      <c r="O865" s="1"/>
      <c r="Q865" s="1"/>
      <c r="S865" s="1"/>
      <c r="U865" s="1"/>
      <c r="W865" s="1"/>
      <c r="Y865" s="1"/>
      <c r="AA865" s="1"/>
      <c r="AC865" s="1"/>
      <c r="AE865" s="1"/>
      <c r="AG865" s="1"/>
      <c r="AI865" s="1"/>
      <c r="AK865" s="1"/>
      <c r="AM865" s="1"/>
      <c r="AO865" s="1"/>
      <c r="AQ865" s="1"/>
      <c r="AS865" s="1"/>
      <c r="AU865" s="1"/>
      <c r="AW865" s="1"/>
      <c r="AY865" s="1"/>
      <c r="BA865" s="1"/>
      <c r="BC865" s="1"/>
      <c r="BE865" s="1"/>
      <c r="BG865" s="1"/>
      <c r="BI865" s="1"/>
    </row>
    <row r="866" ht="15.75" customHeight="1">
      <c r="A866" s="1"/>
      <c r="B866" s="1"/>
      <c r="C866" s="1"/>
      <c r="E866" s="1"/>
      <c r="G866" s="1"/>
      <c r="I866" s="1"/>
      <c r="K866" s="1"/>
      <c r="M866" s="1"/>
      <c r="O866" s="1"/>
      <c r="Q866" s="1"/>
      <c r="S866" s="1"/>
      <c r="U866" s="1"/>
      <c r="W866" s="1"/>
      <c r="Y866" s="1"/>
      <c r="AA866" s="1"/>
      <c r="AC866" s="1"/>
      <c r="AE866" s="1"/>
      <c r="AG866" s="1"/>
      <c r="AI866" s="1"/>
      <c r="AK866" s="1"/>
      <c r="AM866" s="1"/>
      <c r="AO866" s="1"/>
      <c r="AQ866" s="1"/>
      <c r="AS866" s="1"/>
      <c r="AU866" s="1"/>
      <c r="AW866" s="1"/>
      <c r="AY866" s="1"/>
      <c r="BA866" s="1"/>
      <c r="BC866" s="1"/>
      <c r="BE866" s="1"/>
      <c r="BG866" s="1"/>
      <c r="BI866" s="1"/>
    </row>
    <row r="867" ht="15.75" customHeight="1">
      <c r="A867" s="1"/>
      <c r="B867" s="1"/>
      <c r="C867" s="1"/>
      <c r="E867" s="1"/>
      <c r="G867" s="1"/>
      <c r="I867" s="1"/>
      <c r="K867" s="1"/>
      <c r="M867" s="1"/>
      <c r="O867" s="1"/>
      <c r="Q867" s="1"/>
      <c r="S867" s="1"/>
      <c r="U867" s="1"/>
      <c r="W867" s="1"/>
      <c r="Y867" s="1"/>
      <c r="AA867" s="1"/>
      <c r="AC867" s="1"/>
      <c r="AE867" s="1"/>
      <c r="AG867" s="1"/>
      <c r="AI867" s="1"/>
      <c r="AK867" s="1"/>
      <c r="AM867" s="1"/>
      <c r="AO867" s="1"/>
      <c r="AQ867" s="1"/>
      <c r="AS867" s="1"/>
      <c r="AU867" s="1"/>
      <c r="AW867" s="1"/>
      <c r="AY867" s="1"/>
      <c r="BA867" s="1"/>
      <c r="BC867" s="1"/>
      <c r="BE867" s="1"/>
      <c r="BG867" s="1"/>
      <c r="BI867" s="1"/>
    </row>
    <row r="868" ht="15.75" customHeight="1">
      <c r="A868" s="1"/>
      <c r="B868" s="1"/>
      <c r="C868" s="1"/>
      <c r="E868" s="1"/>
      <c r="G868" s="1"/>
      <c r="I868" s="1"/>
      <c r="K868" s="1"/>
      <c r="M868" s="1"/>
      <c r="O868" s="1"/>
      <c r="Q868" s="1"/>
      <c r="S868" s="1"/>
      <c r="U868" s="1"/>
      <c r="W868" s="1"/>
      <c r="Y868" s="1"/>
      <c r="AA868" s="1"/>
      <c r="AC868" s="1"/>
      <c r="AE868" s="1"/>
      <c r="AG868" s="1"/>
      <c r="AI868" s="1"/>
      <c r="AK868" s="1"/>
      <c r="AM868" s="1"/>
      <c r="AO868" s="1"/>
      <c r="AQ868" s="1"/>
      <c r="AS868" s="1"/>
      <c r="AU868" s="1"/>
      <c r="AW868" s="1"/>
      <c r="AY868" s="1"/>
      <c r="BA868" s="1"/>
      <c r="BC868" s="1"/>
      <c r="BE868" s="1"/>
      <c r="BG868" s="1"/>
      <c r="BI868" s="1"/>
    </row>
    <row r="869" ht="15.75" customHeight="1">
      <c r="A869" s="1"/>
      <c r="B869" s="1"/>
      <c r="C869" s="1"/>
      <c r="E869" s="1"/>
      <c r="G869" s="1"/>
      <c r="I869" s="1"/>
      <c r="K869" s="1"/>
      <c r="M869" s="1"/>
      <c r="O869" s="1"/>
      <c r="Q869" s="1"/>
      <c r="S869" s="1"/>
      <c r="U869" s="1"/>
      <c r="W869" s="1"/>
      <c r="Y869" s="1"/>
      <c r="AA869" s="1"/>
      <c r="AC869" s="1"/>
      <c r="AE869" s="1"/>
      <c r="AG869" s="1"/>
      <c r="AI869" s="1"/>
      <c r="AK869" s="1"/>
      <c r="AM869" s="1"/>
      <c r="AO869" s="1"/>
      <c r="AQ869" s="1"/>
      <c r="AS869" s="1"/>
      <c r="AU869" s="1"/>
      <c r="AW869" s="1"/>
      <c r="AY869" s="1"/>
      <c r="BA869" s="1"/>
      <c r="BC869" s="1"/>
      <c r="BE869" s="1"/>
      <c r="BG869" s="1"/>
      <c r="BI869" s="1"/>
    </row>
    <row r="870" ht="15.75" customHeight="1">
      <c r="A870" s="1"/>
      <c r="B870" s="1"/>
      <c r="C870" s="1"/>
      <c r="E870" s="1"/>
      <c r="G870" s="1"/>
      <c r="I870" s="1"/>
      <c r="K870" s="1"/>
      <c r="M870" s="1"/>
      <c r="O870" s="1"/>
      <c r="Q870" s="1"/>
      <c r="S870" s="1"/>
      <c r="U870" s="1"/>
      <c r="W870" s="1"/>
      <c r="Y870" s="1"/>
      <c r="AA870" s="1"/>
      <c r="AC870" s="1"/>
      <c r="AE870" s="1"/>
      <c r="AG870" s="1"/>
      <c r="AI870" s="1"/>
      <c r="AK870" s="1"/>
      <c r="AM870" s="1"/>
      <c r="AO870" s="1"/>
      <c r="AQ870" s="1"/>
      <c r="AS870" s="1"/>
      <c r="AU870" s="1"/>
      <c r="AW870" s="1"/>
      <c r="AY870" s="1"/>
      <c r="BA870" s="1"/>
      <c r="BC870" s="1"/>
      <c r="BE870" s="1"/>
      <c r="BG870" s="1"/>
      <c r="BI870" s="1"/>
    </row>
    <row r="871" ht="15.75" customHeight="1">
      <c r="A871" s="1"/>
      <c r="B871" s="1"/>
      <c r="C871" s="1"/>
      <c r="E871" s="1"/>
      <c r="G871" s="1"/>
      <c r="I871" s="1"/>
      <c r="K871" s="1"/>
      <c r="M871" s="1"/>
      <c r="O871" s="1"/>
      <c r="Q871" s="1"/>
      <c r="S871" s="1"/>
      <c r="U871" s="1"/>
      <c r="W871" s="1"/>
      <c r="Y871" s="1"/>
      <c r="AA871" s="1"/>
      <c r="AC871" s="1"/>
      <c r="AE871" s="1"/>
      <c r="AG871" s="1"/>
      <c r="AI871" s="1"/>
      <c r="AK871" s="1"/>
      <c r="AM871" s="1"/>
      <c r="AO871" s="1"/>
      <c r="AQ871" s="1"/>
      <c r="AS871" s="1"/>
      <c r="AU871" s="1"/>
      <c r="AW871" s="1"/>
      <c r="AY871" s="1"/>
      <c r="BA871" s="1"/>
      <c r="BC871" s="1"/>
      <c r="BE871" s="1"/>
      <c r="BG871" s="1"/>
      <c r="BI871" s="1"/>
    </row>
    <row r="872" ht="15.75" customHeight="1">
      <c r="A872" s="1"/>
      <c r="B872" s="1"/>
      <c r="C872" s="1"/>
      <c r="E872" s="1"/>
      <c r="G872" s="1"/>
      <c r="I872" s="1"/>
      <c r="K872" s="1"/>
      <c r="M872" s="1"/>
      <c r="O872" s="1"/>
      <c r="Q872" s="1"/>
      <c r="S872" s="1"/>
      <c r="U872" s="1"/>
      <c r="W872" s="1"/>
      <c r="Y872" s="1"/>
      <c r="AA872" s="1"/>
      <c r="AC872" s="1"/>
      <c r="AE872" s="1"/>
      <c r="AG872" s="1"/>
      <c r="AI872" s="1"/>
      <c r="AK872" s="1"/>
      <c r="AM872" s="1"/>
      <c r="AO872" s="1"/>
      <c r="AQ872" s="1"/>
      <c r="AS872" s="1"/>
      <c r="AU872" s="1"/>
      <c r="AW872" s="1"/>
      <c r="AY872" s="1"/>
      <c r="BA872" s="1"/>
      <c r="BC872" s="1"/>
      <c r="BE872" s="1"/>
      <c r="BG872" s="1"/>
      <c r="BI872" s="1"/>
    </row>
    <row r="873" ht="15.75" customHeight="1">
      <c r="A873" s="1"/>
      <c r="B873" s="1"/>
      <c r="C873" s="1"/>
      <c r="E873" s="1"/>
      <c r="G873" s="1"/>
      <c r="I873" s="1"/>
      <c r="K873" s="1"/>
      <c r="M873" s="1"/>
      <c r="O873" s="1"/>
      <c r="Q873" s="1"/>
      <c r="S873" s="1"/>
      <c r="U873" s="1"/>
      <c r="W873" s="1"/>
      <c r="Y873" s="1"/>
      <c r="AA873" s="1"/>
      <c r="AC873" s="1"/>
      <c r="AE873" s="1"/>
      <c r="AG873" s="1"/>
      <c r="AI873" s="1"/>
      <c r="AK873" s="1"/>
      <c r="AM873" s="1"/>
      <c r="AO873" s="1"/>
      <c r="AQ873" s="1"/>
      <c r="AS873" s="1"/>
      <c r="AU873" s="1"/>
      <c r="AW873" s="1"/>
      <c r="AY873" s="1"/>
      <c r="BA873" s="1"/>
      <c r="BC873" s="1"/>
      <c r="BE873" s="1"/>
      <c r="BG873" s="1"/>
      <c r="BI873" s="1"/>
    </row>
    <row r="874" ht="15.75" customHeight="1">
      <c r="A874" s="1"/>
      <c r="B874" s="1"/>
      <c r="C874" s="1"/>
      <c r="E874" s="1"/>
      <c r="G874" s="1"/>
      <c r="I874" s="1"/>
      <c r="K874" s="1"/>
      <c r="M874" s="1"/>
      <c r="O874" s="1"/>
      <c r="Q874" s="1"/>
      <c r="S874" s="1"/>
      <c r="U874" s="1"/>
      <c r="W874" s="1"/>
      <c r="Y874" s="1"/>
      <c r="AA874" s="1"/>
      <c r="AC874" s="1"/>
      <c r="AE874" s="1"/>
      <c r="AG874" s="1"/>
      <c r="AI874" s="1"/>
      <c r="AK874" s="1"/>
      <c r="AM874" s="1"/>
      <c r="AO874" s="1"/>
      <c r="AQ874" s="1"/>
      <c r="AS874" s="1"/>
      <c r="AU874" s="1"/>
      <c r="AW874" s="1"/>
      <c r="AY874" s="1"/>
      <c r="BA874" s="1"/>
      <c r="BC874" s="1"/>
      <c r="BE874" s="1"/>
      <c r="BG874" s="1"/>
      <c r="BI874" s="1"/>
    </row>
    <row r="875" ht="15.75" customHeight="1">
      <c r="A875" s="1"/>
      <c r="B875" s="1"/>
      <c r="C875" s="1"/>
      <c r="E875" s="1"/>
      <c r="G875" s="1"/>
      <c r="I875" s="1"/>
      <c r="K875" s="1"/>
      <c r="M875" s="1"/>
      <c r="O875" s="1"/>
      <c r="Q875" s="1"/>
      <c r="S875" s="1"/>
      <c r="U875" s="1"/>
      <c r="W875" s="1"/>
      <c r="Y875" s="1"/>
      <c r="AA875" s="1"/>
      <c r="AC875" s="1"/>
      <c r="AE875" s="1"/>
      <c r="AG875" s="1"/>
      <c r="AI875" s="1"/>
      <c r="AK875" s="1"/>
      <c r="AM875" s="1"/>
      <c r="AO875" s="1"/>
      <c r="AQ875" s="1"/>
      <c r="AS875" s="1"/>
      <c r="AU875" s="1"/>
      <c r="AW875" s="1"/>
      <c r="AY875" s="1"/>
      <c r="BA875" s="1"/>
      <c r="BC875" s="1"/>
      <c r="BE875" s="1"/>
      <c r="BG875" s="1"/>
      <c r="BI875" s="1"/>
    </row>
    <row r="876" ht="15.75" customHeight="1">
      <c r="A876" s="1"/>
      <c r="B876" s="1"/>
      <c r="C876" s="1"/>
      <c r="E876" s="1"/>
      <c r="G876" s="1"/>
      <c r="I876" s="1"/>
      <c r="K876" s="1"/>
      <c r="M876" s="1"/>
      <c r="O876" s="1"/>
      <c r="Q876" s="1"/>
      <c r="S876" s="1"/>
      <c r="U876" s="1"/>
      <c r="W876" s="1"/>
      <c r="Y876" s="1"/>
      <c r="AA876" s="1"/>
      <c r="AC876" s="1"/>
      <c r="AE876" s="1"/>
      <c r="AG876" s="1"/>
      <c r="AI876" s="1"/>
      <c r="AK876" s="1"/>
      <c r="AM876" s="1"/>
      <c r="AO876" s="1"/>
      <c r="AQ876" s="1"/>
      <c r="AS876" s="1"/>
      <c r="AU876" s="1"/>
      <c r="AW876" s="1"/>
      <c r="AY876" s="1"/>
      <c r="BA876" s="1"/>
      <c r="BC876" s="1"/>
      <c r="BE876" s="1"/>
      <c r="BG876" s="1"/>
      <c r="BI876" s="1"/>
    </row>
    <row r="877" ht="15.75" customHeight="1">
      <c r="A877" s="1"/>
      <c r="B877" s="1"/>
      <c r="C877" s="1"/>
      <c r="E877" s="1"/>
      <c r="G877" s="1"/>
      <c r="I877" s="1"/>
      <c r="K877" s="1"/>
      <c r="M877" s="1"/>
      <c r="O877" s="1"/>
      <c r="Q877" s="1"/>
      <c r="S877" s="1"/>
      <c r="U877" s="1"/>
      <c r="W877" s="1"/>
      <c r="Y877" s="1"/>
      <c r="AA877" s="1"/>
      <c r="AC877" s="1"/>
      <c r="AE877" s="1"/>
      <c r="AG877" s="1"/>
      <c r="AI877" s="1"/>
      <c r="AK877" s="1"/>
      <c r="AM877" s="1"/>
      <c r="AO877" s="1"/>
      <c r="AQ877" s="1"/>
      <c r="AS877" s="1"/>
      <c r="AU877" s="1"/>
      <c r="AW877" s="1"/>
      <c r="AY877" s="1"/>
      <c r="BA877" s="1"/>
      <c r="BC877" s="1"/>
      <c r="BE877" s="1"/>
      <c r="BG877" s="1"/>
      <c r="BI877" s="1"/>
    </row>
    <row r="878" ht="15.75" customHeight="1">
      <c r="A878" s="1"/>
      <c r="B878" s="1"/>
      <c r="C878" s="1"/>
      <c r="E878" s="1"/>
      <c r="G878" s="1"/>
      <c r="I878" s="1"/>
      <c r="K878" s="1"/>
      <c r="M878" s="1"/>
      <c r="O878" s="1"/>
      <c r="Q878" s="1"/>
      <c r="S878" s="1"/>
      <c r="U878" s="1"/>
      <c r="W878" s="1"/>
      <c r="Y878" s="1"/>
      <c r="AA878" s="1"/>
      <c r="AC878" s="1"/>
      <c r="AE878" s="1"/>
      <c r="AG878" s="1"/>
      <c r="AI878" s="1"/>
      <c r="AK878" s="1"/>
      <c r="AM878" s="1"/>
      <c r="AO878" s="1"/>
      <c r="AQ878" s="1"/>
      <c r="AS878" s="1"/>
      <c r="AU878" s="1"/>
      <c r="AW878" s="1"/>
      <c r="AY878" s="1"/>
      <c r="BA878" s="1"/>
      <c r="BC878" s="1"/>
      <c r="BE878" s="1"/>
      <c r="BG878" s="1"/>
      <c r="BI878" s="1"/>
    </row>
    <row r="879" ht="15.75" customHeight="1">
      <c r="A879" s="1"/>
      <c r="B879" s="1"/>
      <c r="C879" s="1"/>
      <c r="E879" s="1"/>
      <c r="G879" s="1"/>
      <c r="I879" s="1"/>
      <c r="K879" s="1"/>
      <c r="M879" s="1"/>
      <c r="O879" s="1"/>
      <c r="Q879" s="1"/>
      <c r="S879" s="1"/>
      <c r="U879" s="1"/>
      <c r="W879" s="1"/>
      <c r="Y879" s="1"/>
      <c r="AA879" s="1"/>
      <c r="AC879" s="1"/>
      <c r="AE879" s="1"/>
      <c r="AG879" s="1"/>
      <c r="AI879" s="1"/>
      <c r="AK879" s="1"/>
      <c r="AM879" s="1"/>
      <c r="AO879" s="1"/>
      <c r="AQ879" s="1"/>
      <c r="AS879" s="1"/>
      <c r="AU879" s="1"/>
      <c r="AW879" s="1"/>
      <c r="AY879" s="1"/>
      <c r="BA879" s="1"/>
      <c r="BC879" s="1"/>
      <c r="BE879" s="1"/>
      <c r="BG879" s="1"/>
      <c r="BI879" s="1"/>
    </row>
    <row r="880" ht="15.75" customHeight="1">
      <c r="A880" s="1"/>
      <c r="B880" s="1"/>
      <c r="C880" s="1"/>
      <c r="E880" s="1"/>
      <c r="G880" s="1"/>
      <c r="I880" s="1"/>
      <c r="K880" s="1"/>
      <c r="M880" s="1"/>
      <c r="O880" s="1"/>
      <c r="Q880" s="1"/>
      <c r="S880" s="1"/>
      <c r="U880" s="1"/>
      <c r="W880" s="1"/>
      <c r="Y880" s="1"/>
      <c r="AA880" s="1"/>
      <c r="AC880" s="1"/>
      <c r="AE880" s="1"/>
      <c r="AG880" s="1"/>
      <c r="AI880" s="1"/>
      <c r="AK880" s="1"/>
      <c r="AM880" s="1"/>
      <c r="AO880" s="1"/>
      <c r="AQ880" s="1"/>
      <c r="AS880" s="1"/>
      <c r="AU880" s="1"/>
      <c r="AW880" s="1"/>
      <c r="AY880" s="1"/>
      <c r="BA880" s="1"/>
      <c r="BC880" s="1"/>
      <c r="BE880" s="1"/>
      <c r="BG880" s="1"/>
      <c r="BI880" s="1"/>
    </row>
    <row r="881" ht="15.75" customHeight="1">
      <c r="A881" s="1"/>
      <c r="B881" s="1"/>
      <c r="C881" s="1"/>
      <c r="E881" s="1"/>
      <c r="G881" s="1"/>
      <c r="I881" s="1"/>
      <c r="K881" s="1"/>
      <c r="M881" s="1"/>
      <c r="O881" s="1"/>
      <c r="Q881" s="1"/>
      <c r="S881" s="1"/>
      <c r="U881" s="1"/>
      <c r="W881" s="1"/>
      <c r="Y881" s="1"/>
      <c r="AA881" s="1"/>
      <c r="AC881" s="1"/>
      <c r="AE881" s="1"/>
      <c r="AG881" s="1"/>
      <c r="AI881" s="1"/>
      <c r="AK881" s="1"/>
      <c r="AM881" s="1"/>
      <c r="AO881" s="1"/>
      <c r="AQ881" s="1"/>
      <c r="AS881" s="1"/>
      <c r="AU881" s="1"/>
      <c r="AW881" s="1"/>
      <c r="AY881" s="1"/>
      <c r="BA881" s="1"/>
      <c r="BC881" s="1"/>
      <c r="BE881" s="1"/>
      <c r="BG881" s="1"/>
      <c r="BI881" s="1"/>
    </row>
    <row r="882" ht="15.75" customHeight="1">
      <c r="A882" s="1"/>
      <c r="B882" s="1"/>
      <c r="C882" s="1"/>
      <c r="E882" s="1"/>
      <c r="G882" s="1"/>
      <c r="I882" s="1"/>
      <c r="K882" s="1"/>
      <c r="M882" s="1"/>
      <c r="O882" s="1"/>
      <c r="Q882" s="1"/>
      <c r="S882" s="1"/>
      <c r="U882" s="1"/>
      <c r="W882" s="1"/>
      <c r="Y882" s="1"/>
      <c r="AA882" s="1"/>
      <c r="AC882" s="1"/>
      <c r="AE882" s="1"/>
      <c r="AG882" s="1"/>
      <c r="AI882" s="1"/>
      <c r="AK882" s="1"/>
      <c r="AM882" s="1"/>
      <c r="AO882" s="1"/>
      <c r="AQ882" s="1"/>
      <c r="AS882" s="1"/>
      <c r="AU882" s="1"/>
      <c r="AW882" s="1"/>
      <c r="AY882" s="1"/>
      <c r="BA882" s="1"/>
      <c r="BC882" s="1"/>
      <c r="BE882" s="1"/>
      <c r="BG882" s="1"/>
      <c r="BI882" s="1"/>
    </row>
    <row r="883" ht="15.75" customHeight="1">
      <c r="A883" s="1"/>
      <c r="B883" s="1"/>
      <c r="C883" s="1"/>
      <c r="E883" s="1"/>
      <c r="G883" s="1"/>
      <c r="I883" s="1"/>
      <c r="K883" s="1"/>
      <c r="M883" s="1"/>
      <c r="O883" s="1"/>
      <c r="Q883" s="1"/>
      <c r="S883" s="1"/>
      <c r="U883" s="1"/>
      <c r="W883" s="1"/>
      <c r="Y883" s="1"/>
      <c r="AA883" s="1"/>
      <c r="AC883" s="1"/>
      <c r="AE883" s="1"/>
      <c r="AG883" s="1"/>
      <c r="AI883" s="1"/>
      <c r="AK883" s="1"/>
      <c r="AM883" s="1"/>
      <c r="AO883" s="1"/>
      <c r="AQ883" s="1"/>
      <c r="AS883" s="1"/>
      <c r="AU883" s="1"/>
      <c r="AW883" s="1"/>
      <c r="AY883" s="1"/>
      <c r="BA883" s="1"/>
      <c r="BC883" s="1"/>
      <c r="BE883" s="1"/>
      <c r="BG883" s="1"/>
      <c r="BI883" s="1"/>
    </row>
    <row r="884" ht="15.75" customHeight="1">
      <c r="A884" s="1"/>
      <c r="B884" s="1"/>
      <c r="C884" s="1"/>
      <c r="E884" s="1"/>
      <c r="G884" s="1"/>
      <c r="I884" s="1"/>
      <c r="K884" s="1"/>
      <c r="M884" s="1"/>
      <c r="O884" s="1"/>
      <c r="Q884" s="1"/>
      <c r="S884" s="1"/>
      <c r="U884" s="1"/>
      <c r="W884" s="1"/>
      <c r="Y884" s="1"/>
      <c r="AA884" s="1"/>
      <c r="AC884" s="1"/>
      <c r="AE884" s="1"/>
      <c r="AG884" s="1"/>
      <c r="AI884" s="1"/>
      <c r="AK884" s="1"/>
      <c r="AM884" s="1"/>
      <c r="AO884" s="1"/>
      <c r="AQ884" s="1"/>
      <c r="AS884" s="1"/>
      <c r="AU884" s="1"/>
      <c r="AW884" s="1"/>
      <c r="AY884" s="1"/>
      <c r="BA884" s="1"/>
      <c r="BC884" s="1"/>
      <c r="BE884" s="1"/>
      <c r="BG884" s="1"/>
      <c r="BI884" s="1"/>
    </row>
    <row r="885" ht="15.75" customHeight="1">
      <c r="A885" s="1"/>
      <c r="B885" s="1"/>
      <c r="C885" s="1"/>
      <c r="E885" s="1"/>
      <c r="G885" s="1"/>
      <c r="I885" s="1"/>
      <c r="K885" s="1"/>
      <c r="M885" s="1"/>
      <c r="O885" s="1"/>
      <c r="Q885" s="1"/>
      <c r="S885" s="1"/>
      <c r="U885" s="1"/>
      <c r="W885" s="1"/>
      <c r="Y885" s="1"/>
      <c r="AA885" s="1"/>
      <c r="AC885" s="1"/>
      <c r="AE885" s="1"/>
      <c r="AG885" s="1"/>
      <c r="AI885" s="1"/>
      <c r="AK885" s="1"/>
      <c r="AM885" s="1"/>
      <c r="AO885" s="1"/>
      <c r="AQ885" s="1"/>
      <c r="AS885" s="1"/>
      <c r="AU885" s="1"/>
      <c r="AW885" s="1"/>
      <c r="AY885" s="1"/>
      <c r="BA885" s="1"/>
      <c r="BC885" s="1"/>
      <c r="BE885" s="1"/>
      <c r="BG885" s="1"/>
      <c r="BI885" s="1"/>
    </row>
    <row r="886" ht="15.75" customHeight="1">
      <c r="A886" s="1"/>
      <c r="B886" s="1"/>
      <c r="C886" s="1"/>
      <c r="E886" s="1"/>
      <c r="G886" s="1"/>
      <c r="I886" s="1"/>
      <c r="K886" s="1"/>
      <c r="M886" s="1"/>
      <c r="O886" s="1"/>
      <c r="Q886" s="1"/>
      <c r="S886" s="1"/>
      <c r="U886" s="1"/>
      <c r="W886" s="1"/>
      <c r="Y886" s="1"/>
      <c r="AA886" s="1"/>
      <c r="AC886" s="1"/>
      <c r="AE886" s="1"/>
      <c r="AG886" s="1"/>
      <c r="AI886" s="1"/>
      <c r="AK886" s="1"/>
      <c r="AM886" s="1"/>
      <c r="AO886" s="1"/>
      <c r="AQ886" s="1"/>
      <c r="AS886" s="1"/>
      <c r="AU886" s="1"/>
      <c r="AW886" s="1"/>
      <c r="AY886" s="1"/>
      <c r="BA886" s="1"/>
      <c r="BC886" s="1"/>
      <c r="BE886" s="1"/>
      <c r="BG886" s="1"/>
      <c r="BI886" s="1"/>
    </row>
    <row r="887" ht="15.75" customHeight="1">
      <c r="A887" s="1"/>
      <c r="B887" s="1"/>
      <c r="C887" s="1"/>
      <c r="E887" s="1"/>
      <c r="G887" s="1"/>
      <c r="I887" s="1"/>
      <c r="K887" s="1"/>
      <c r="M887" s="1"/>
      <c r="O887" s="1"/>
      <c r="Q887" s="1"/>
      <c r="S887" s="1"/>
      <c r="U887" s="1"/>
      <c r="W887" s="1"/>
      <c r="Y887" s="1"/>
      <c r="AA887" s="1"/>
      <c r="AC887" s="1"/>
      <c r="AE887" s="1"/>
      <c r="AG887" s="1"/>
      <c r="AI887" s="1"/>
      <c r="AK887" s="1"/>
      <c r="AM887" s="1"/>
      <c r="AO887" s="1"/>
      <c r="AQ887" s="1"/>
      <c r="AS887" s="1"/>
      <c r="AU887" s="1"/>
      <c r="AW887" s="1"/>
      <c r="AY887" s="1"/>
      <c r="BA887" s="1"/>
      <c r="BC887" s="1"/>
      <c r="BE887" s="1"/>
      <c r="BG887" s="1"/>
      <c r="BI887" s="1"/>
    </row>
    <row r="888" ht="15.75" customHeight="1">
      <c r="A888" s="1"/>
      <c r="B888" s="1"/>
      <c r="C888" s="1"/>
      <c r="E888" s="1"/>
      <c r="G888" s="1"/>
      <c r="I888" s="1"/>
      <c r="K888" s="1"/>
      <c r="M888" s="1"/>
      <c r="O888" s="1"/>
      <c r="Q888" s="1"/>
      <c r="S888" s="1"/>
      <c r="U888" s="1"/>
      <c r="W888" s="1"/>
      <c r="Y888" s="1"/>
      <c r="AA888" s="1"/>
      <c r="AC888" s="1"/>
      <c r="AE888" s="1"/>
      <c r="AG888" s="1"/>
      <c r="AI888" s="1"/>
      <c r="AK888" s="1"/>
      <c r="AM888" s="1"/>
      <c r="AO888" s="1"/>
      <c r="AQ888" s="1"/>
      <c r="AS888" s="1"/>
      <c r="AU888" s="1"/>
      <c r="AW888" s="1"/>
      <c r="AY888" s="1"/>
      <c r="BA888" s="1"/>
      <c r="BC888" s="1"/>
      <c r="BE888" s="1"/>
      <c r="BG888" s="1"/>
      <c r="BI888" s="1"/>
    </row>
    <row r="889" ht="15.75" customHeight="1">
      <c r="A889" s="1"/>
      <c r="B889" s="1"/>
      <c r="C889" s="1"/>
      <c r="E889" s="1"/>
      <c r="G889" s="1"/>
      <c r="I889" s="1"/>
      <c r="K889" s="1"/>
      <c r="M889" s="1"/>
      <c r="O889" s="1"/>
      <c r="Q889" s="1"/>
      <c r="S889" s="1"/>
      <c r="U889" s="1"/>
      <c r="W889" s="1"/>
      <c r="Y889" s="1"/>
      <c r="AA889" s="1"/>
      <c r="AC889" s="1"/>
      <c r="AE889" s="1"/>
      <c r="AG889" s="1"/>
      <c r="AI889" s="1"/>
      <c r="AK889" s="1"/>
      <c r="AM889" s="1"/>
      <c r="AO889" s="1"/>
      <c r="AQ889" s="1"/>
      <c r="AS889" s="1"/>
      <c r="AU889" s="1"/>
      <c r="AW889" s="1"/>
      <c r="AY889" s="1"/>
      <c r="BA889" s="1"/>
      <c r="BC889" s="1"/>
      <c r="BE889" s="1"/>
      <c r="BG889" s="1"/>
      <c r="BI889" s="1"/>
    </row>
    <row r="890" ht="15.75" customHeight="1">
      <c r="A890" s="1"/>
      <c r="B890" s="1"/>
      <c r="C890" s="1"/>
      <c r="E890" s="1"/>
      <c r="G890" s="1"/>
      <c r="I890" s="1"/>
      <c r="K890" s="1"/>
      <c r="M890" s="1"/>
      <c r="O890" s="1"/>
      <c r="Q890" s="1"/>
      <c r="S890" s="1"/>
      <c r="U890" s="1"/>
      <c r="W890" s="1"/>
      <c r="Y890" s="1"/>
      <c r="AA890" s="1"/>
      <c r="AC890" s="1"/>
      <c r="AE890" s="1"/>
      <c r="AG890" s="1"/>
      <c r="AI890" s="1"/>
      <c r="AK890" s="1"/>
      <c r="AM890" s="1"/>
      <c r="AO890" s="1"/>
      <c r="AQ890" s="1"/>
      <c r="AS890" s="1"/>
      <c r="AU890" s="1"/>
      <c r="AW890" s="1"/>
      <c r="AY890" s="1"/>
      <c r="BA890" s="1"/>
      <c r="BC890" s="1"/>
      <c r="BE890" s="1"/>
      <c r="BG890" s="1"/>
      <c r="BI890" s="1"/>
    </row>
    <row r="891" ht="15.75" customHeight="1">
      <c r="A891" s="1"/>
      <c r="B891" s="1"/>
      <c r="C891" s="1"/>
      <c r="E891" s="1"/>
      <c r="G891" s="1"/>
      <c r="I891" s="1"/>
      <c r="K891" s="1"/>
      <c r="M891" s="1"/>
      <c r="O891" s="1"/>
      <c r="Q891" s="1"/>
      <c r="S891" s="1"/>
      <c r="U891" s="1"/>
      <c r="W891" s="1"/>
      <c r="Y891" s="1"/>
      <c r="AA891" s="1"/>
      <c r="AC891" s="1"/>
      <c r="AE891" s="1"/>
      <c r="AG891" s="1"/>
      <c r="AI891" s="1"/>
      <c r="AK891" s="1"/>
      <c r="AM891" s="1"/>
      <c r="AO891" s="1"/>
      <c r="AQ891" s="1"/>
      <c r="AS891" s="1"/>
      <c r="AU891" s="1"/>
      <c r="AW891" s="1"/>
      <c r="AY891" s="1"/>
      <c r="BA891" s="1"/>
      <c r="BC891" s="1"/>
      <c r="BE891" s="1"/>
      <c r="BG891" s="1"/>
      <c r="BI891" s="1"/>
    </row>
    <row r="892" ht="15.75" customHeight="1">
      <c r="A892" s="1"/>
      <c r="B892" s="1"/>
      <c r="C892" s="1"/>
      <c r="E892" s="1"/>
      <c r="G892" s="1"/>
      <c r="I892" s="1"/>
      <c r="K892" s="1"/>
      <c r="M892" s="1"/>
      <c r="O892" s="1"/>
      <c r="Q892" s="1"/>
      <c r="S892" s="1"/>
      <c r="U892" s="1"/>
      <c r="W892" s="1"/>
      <c r="Y892" s="1"/>
      <c r="AA892" s="1"/>
      <c r="AC892" s="1"/>
      <c r="AE892" s="1"/>
      <c r="AG892" s="1"/>
      <c r="AI892" s="1"/>
      <c r="AK892" s="1"/>
      <c r="AM892" s="1"/>
      <c r="AO892" s="1"/>
      <c r="AQ892" s="1"/>
      <c r="AS892" s="1"/>
      <c r="AU892" s="1"/>
      <c r="AW892" s="1"/>
      <c r="AY892" s="1"/>
      <c r="BA892" s="1"/>
      <c r="BC892" s="1"/>
      <c r="BE892" s="1"/>
      <c r="BG892" s="1"/>
      <c r="BI892" s="1"/>
    </row>
    <row r="893" ht="15.75" customHeight="1">
      <c r="A893" s="1"/>
      <c r="B893" s="1"/>
      <c r="C893" s="1"/>
      <c r="E893" s="1"/>
      <c r="G893" s="1"/>
      <c r="I893" s="1"/>
      <c r="K893" s="1"/>
      <c r="M893" s="1"/>
      <c r="O893" s="1"/>
      <c r="Q893" s="1"/>
      <c r="S893" s="1"/>
      <c r="U893" s="1"/>
      <c r="W893" s="1"/>
      <c r="Y893" s="1"/>
      <c r="AA893" s="1"/>
      <c r="AC893" s="1"/>
      <c r="AE893" s="1"/>
      <c r="AG893" s="1"/>
      <c r="AI893" s="1"/>
      <c r="AK893" s="1"/>
      <c r="AM893" s="1"/>
      <c r="AO893" s="1"/>
      <c r="AQ893" s="1"/>
      <c r="AS893" s="1"/>
      <c r="AU893" s="1"/>
      <c r="AW893" s="1"/>
      <c r="AY893" s="1"/>
      <c r="BA893" s="1"/>
      <c r="BC893" s="1"/>
      <c r="BE893" s="1"/>
      <c r="BG893" s="1"/>
      <c r="BI893" s="1"/>
    </row>
    <row r="894" ht="15.75" customHeight="1">
      <c r="A894" s="1"/>
      <c r="B894" s="1"/>
      <c r="C894" s="1"/>
      <c r="E894" s="1"/>
      <c r="G894" s="1"/>
      <c r="I894" s="1"/>
      <c r="K894" s="1"/>
      <c r="M894" s="1"/>
      <c r="O894" s="1"/>
      <c r="Q894" s="1"/>
      <c r="S894" s="1"/>
      <c r="U894" s="1"/>
      <c r="W894" s="1"/>
      <c r="Y894" s="1"/>
      <c r="AA894" s="1"/>
      <c r="AC894" s="1"/>
      <c r="AE894" s="1"/>
      <c r="AG894" s="1"/>
      <c r="AI894" s="1"/>
      <c r="AK894" s="1"/>
      <c r="AM894" s="1"/>
      <c r="AO894" s="1"/>
      <c r="AQ894" s="1"/>
      <c r="AS894" s="1"/>
      <c r="AU894" s="1"/>
      <c r="AW894" s="1"/>
      <c r="AY894" s="1"/>
      <c r="BA894" s="1"/>
      <c r="BC894" s="1"/>
      <c r="BE894" s="1"/>
      <c r="BG894" s="1"/>
      <c r="BI894" s="1"/>
    </row>
    <row r="895" ht="15.75" customHeight="1">
      <c r="A895" s="1"/>
      <c r="B895" s="1"/>
      <c r="C895" s="1"/>
      <c r="E895" s="1"/>
      <c r="G895" s="1"/>
      <c r="I895" s="1"/>
      <c r="K895" s="1"/>
      <c r="M895" s="1"/>
      <c r="O895" s="1"/>
      <c r="Q895" s="1"/>
      <c r="S895" s="1"/>
      <c r="U895" s="1"/>
      <c r="W895" s="1"/>
      <c r="Y895" s="1"/>
      <c r="AA895" s="1"/>
      <c r="AC895" s="1"/>
      <c r="AE895" s="1"/>
      <c r="AG895" s="1"/>
      <c r="AI895" s="1"/>
      <c r="AK895" s="1"/>
      <c r="AM895" s="1"/>
      <c r="AO895" s="1"/>
      <c r="AQ895" s="1"/>
      <c r="AS895" s="1"/>
      <c r="AU895" s="1"/>
      <c r="AW895" s="1"/>
      <c r="AY895" s="1"/>
      <c r="BA895" s="1"/>
      <c r="BC895" s="1"/>
      <c r="BE895" s="1"/>
      <c r="BG895" s="1"/>
      <c r="BI895" s="1"/>
    </row>
    <row r="896" ht="15.75" customHeight="1">
      <c r="A896" s="1"/>
      <c r="B896" s="1"/>
      <c r="C896" s="1"/>
      <c r="E896" s="1"/>
      <c r="G896" s="1"/>
      <c r="I896" s="1"/>
      <c r="K896" s="1"/>
      <c r="M896" s="1"/>
      <c r="O896" s="1"/>
      <c r="Q896" s="1"/>
      <c r="S896" s="1"/>
      <c r="U896" s="1"/>
      <c r="W896" s="1"/>
      <c r="Y896" s="1"/>
      <c r="AA896" s="1"/>
      <c r="AC896" s="1"/>
      <c r="AE896" s="1"/>
      <c r="AG896" s="1"/>
      <c r="AI896" s="1"/>
      <c r="AK896" s="1"/>
      <c r="AM896" s="1"/>
      <c r="AO896" s="1"/>
      <c r="AQ896" s="1"/>
      <c r="AS896" s="1"/>
      <c r="AU896" s="1"/>
      <c r="AW896" s="1"/>
      <c r="AY896" s="1"/>
      <c r="BA896" s="1"/>
      <c r="BC896" s="1"/>
      <c r="BE896" s="1"/>
      <c r="BG896" s="1"/>
      <c r="BI896" s="1"/>
    </row>
    <row r="897" ht="15.75" customHeight="1">
      <c r="A897" s="1"/>
      <c r="B897" s="1"/>
      <c r="C897" s="1"/>
      <c r="E897" s="1"/>
      <c r="G897" s="1"/>
      <c r="I897" s="1"/>
      <c r="K897" s="1"/>
      <c r="M897" s="1"/>
      <c r="O897" s="1"/>
      <c r="Q897" s="1"/>
      <c r="S897" s="1"/>
      <c r="U897" s="1"/>
      <c r="W897" s="1"/>
      <c r="Y897" s="1"/>
      <c r="AA897" s="1"/>
      <c r="AC897" s="1"/>
      <c r="AE897" s="1"/>
      <c r="AG897" s="1"/>
      <c r="AI897" s="1"/>
      <c r="AK897" s="1"/>
      <c r="AM897" s="1"/>
      <c r="AO897" s="1"/>
      <c r="AQ897" s="1"/>
      <c r="AS897" s="1"/>
      <c r="AU897" s="1"/>
      <c r="AW897" s="1"/>
      <c r="AY897" s="1"/>
      <c r="BA897" s="1"/>
      <c r="BC897" s="1"/>
      <c r="BE897" s="1"/>
      <c r="BG897" s="1"/>
      <c r="BI897" s="1"/>
    </row>
    <row r="898" ht="15.75" customHeight="1">
      <c r="A898" s="1"/>
      <c r="B898" s="1"/>
      <c r="C898" s="1"/>
      <c r="E898" s="1"/>
      <c r="G898" s="1"/>
      <c r="I898" s="1"/>
      <c r="K898" s="1"/>
      <c r="M898" s="1"/>
      <c r="O898" s="1"/>
      <c r="Q898" s="1"/>
      <c r="S898" s="1"/>
      <c r="U898" s="1"/>
      <c r="W898" s="1"/>
      <c r="Y898" s="1"/>
      <c r="AA898" s="1"/>
      <c r="AC898" s="1"/>
      <c r="AE898" s="1"/>
      <c r="AG898" s="1"/>
      <c r="AI898" s="1"/>
      <c r="AK898" s="1"/>
      <c r="AM898" s="1"/>
      <c r="AO898" s="1"/>
      <c r="AQ898" s="1"/>
      <c r="AS898" s="1"/>
      <c r="AU898" s="1"/>
      <c r="AW898" s="1"/>
      <c r="AY898" s="1"/>
      <c r="BA898" s="1"/>
      <c r="BC898" s="1"/>
      <c r="BE898" s="1"/>
      <c r="BG898" s="1"/>
      <c r="BI898" s="1"/>
    </row>
    <row r="899" ht="15.75" customHeight="1">
      <c r="A899" s="1"/>
      <c r="B899" s="1"/>
      <c r="C899" s="1"/>
      <c r="E899" s="1"/>
      <c r="G899" s="1"/>
      <c r="I899" s="1"/>
      <c r="K899" s="1"/>
      <c r="M899" s="1"/>
      <c r="O899" s="1"/>
      <c r="Q899" s="1"/>
      <c r="S899" s="1"/>
      <c r="U899" s="1"/>
      <c r="W899" s="1"/>
      <c r="Y899" s="1"/>
      <c r="AA899" s="1"/>
      <c r="AC899" s="1"/>
      <c r="AE899" s="1"/>
      <c r="AG899" s="1"/>
      <c r="AI899" s="1"/>
      <c r="AK899" s="1"/>
      <c r="AM899" s="1"/>
      <c r="AO899" s="1"/>
      <c r="AQ899" s="1"/>
      <c r="AS899" s="1"/>
      <c r="AU899" s="1"/>
      <c r="AW899" s="1"/>
      <c r="AY899" s="1"/>
      <c r="BA899" s="1"/>
      <c r="BC899" s="1"/>
      <c r="BE899" s="1"/>
      <c r="BG899" s="1"/>
      <c r="BI899" s="1"/>
    </row>
    <row r="900" ht="15.75" customHeight="1">
      <c r="A900" s="1"/>
      <c r="B900" s="1"/>
      <c r="C900" s="1"/>
      <c r="E900" s="1"/>
      <c r="G900" s="1"/>
      <c r="I900" s="1"/>
      <c r="K900" s="1"/>
      <c r="M900" s="1"/>
      <c r="O900" s="1"/>
      <c r="Q900" s="1"/>
      <c r="S900" s="1"/>
      <c r="U900" s="1"/>
      <c r="W900" s="1"/>
      <c r="Y900" s="1"/>
      <c r="AA900" s="1"/>
      <c r="AC900" s="1"/>
      <c r="AE900" s="1"/>
      <c r="AG900" s="1"/>
      <c r="AI900" s="1"/>
      <c r="AK900" s="1"/>
      <c r="AM900" s="1"/>
      <c r="AO900" s="1"/>
      <c r="AQ900" s="1"/>
      <c r="AS900" s="1"/>
      <c r="AU900" s="1"/>
      <c r="AW900" s="1"/>
      <c r="AY900" s="1"/>
      <c r="BA900" s="1"/>
      <c r="BC900" s="1"/>
      <c r="BE900" s="1"/>
      <c r="BG900" s="1"/>
      <c r="BI900" s="1"/>
    </row>
    <row r="901" ht="15.75" customHeight="1">
      <c r="A901" s="1"/>
      <c r="B901" s="1"/>
      <c r="C901" s="1"/>
      <c r="E901" s="1"/>
      <c r="G901" s="1"/>
      <c r="I901" s="1"/>
      <c r="K901" s="1"/>
      <c r="M901" s="1"/>
      <c r="O901" s="1"/>
      <c r="Q901" s="1"/>
      <c r="S901" s="1"/>
      <c r="U901" s="1"/>
      <c r="W901" s="1"/>
      <c r="Y901" s="1"/>
      <c r="AA901" s="1"/>
      <c r="AC901" s="1"/>
      <c r="AE901" s="1"/>
      <c r="AG901" s="1"/>
      <c r="AI901" s="1"/>
      <c r="AK901" s="1"/>
      <c r="AM901" s="1"/>
      <c r="AO901" s="1"/>
      <c r="AQ901" s="1"/>
      <c r="AS901" s="1"/>
      <c r="AU901" s="1"/>
      <c r="AW901" s="1"/>
      <c r="AY901" s="1"/>
      <c r="BA901" s="1"/>
      <c r="BC901" s="1"/>
      <c r="BE901" s="1"/>
      <c r="BG901" s="1"/>
      <c r="BI901" s="1"/>
    </row>
    <row r="902" ht="15.75" customHeight="1">
      <c r="A902" s="1"/>
      <c r="B902" s="1"/>
      <c r="C902" s="1"/>
      <c r="E902" s="1"/>
      <c r="G902" s="1"/>
      <c r="I902" s="1"/>
      <c r="K902" s="1"/>
      <c r="M902" s="1"/>
      <c r="O902" s="1"/>
      <c r="Q902" s="1"/>
      <c r="S902" s="1"/>
      <c r="U902" s="1"/>
      <c r="W902" s="1"/>
      <c r="Y902" s="1"/>
      <c r="AA902" s="1"/>
      <c r="AC902" s="1"/>
      <c r="AE902" s="1"/>
      <c r="AG902" s="1"/>
      <c r="AI902" s="1"/>
      <c r="AK902" s="1"/>
      <c r="AM902" s="1"/>
      <c r="AO902" s="1"/>
      <c r="AQ902" s="1"/>
      <c r="AS902" s="1"/>
      <c r="AU902" s="1"/>
      <c r="AW902" s="1"/>
      <c r="AY902" s="1"/>
      <c r="BA902" s="1"/>
      <c r="BC902" s="1"/>
      <c r="BE902" s="1"/>
      <c r="BG902" s="1"/>
      <c r="BI902" s="1"/>
    </row>
    <row r="903" ht="15.75" customHeight="1">
      <c r="A903" s="1"/>
      <c r="B903" s="1"/>
      <c r="C903" s="1"/>
      <c r="E903" s="1"/>
      <c r="G903" s="1"/>
      <c r="I903" s="1"/>
      <c r="K903" s="1"/>
      <c r="M903" s="1"/>
      <c r="O903" s="1"/>
      <c r="Q903" s="1"/>
      <c r="S903" s="1"/>
      <c r="U903" s="1"/>
      <c r="W903" s="1"/>
      <c r="Y903" s="1"/>
      <c r="AA903" s="1"/>
      <c r="AC903" s="1"/>
      <c r="AE903" s="1"/>
      <c r="AG903" s="1"/>
      <c r="AI903" s="1"/>
      <c r="AK903" s="1"/>
      <c r="AM903" s="1"/>
      <c r="AO903" s="1"/>
      <c r="AQ903" s="1"/>
      <c r="AS903" s="1"/>
      <c r="AU903" s="1"/>
      <c r="AW903" s="1"/>
      <c r="AY903" s="1"/>
      <c r="BA903" s="1"/>
      <c r="BC903" s="1"/>
      <c r="BE903" s="1"/>
      <c r="BG903" s="1"/>
      <c r="BI903" s="1"/>
    </row>
    <row r="904" ht="15.75" customHeight="1">
      <c r="A904" s="1"/>
      <c r="B904" s="1"/>
      <c r="C904" s="1"/>
      <c r="E904" s="1"/>
      <c r="G904" s="1"/>
      <c r="I904" s="1"/>
      <c r="K904" s="1"/>
      <c r="M904" s="1"/>
      <c r="O904" s="1"/>
      <c r="Q904" s="1"/>
      <c r="S904" s="1"/>
      <c r="U904" s="1"/>
      <c r="W904" s="1"/>
      <c r="Y904" s="1"/>
      <c r="AA904" s="1"/>
      <c r="AC904" s="1"/>
      <c r="AE904" s="1"/>
      <c r="AG904" s="1"/>
      <c r="AI904" s="1"/>
      <c r="AK904" s="1"/>
      <c r="AM904" s="1"/>
      <c r="AO904" s="1"/>
      <c r="AQ904" s="1"/>
      <c r="AS904" s="1"/>
      <c r="AU904" s="1"/>
      <c r="AW904" s="1"/>
      <c r="AY904" s="1"/>
      <c r="BA904" s="1"/>
      <c r="BC904" s="1"/>
      <c r="BE904" s="1"/>
      <c r="BG904" s="1"/>
      <c r="BI904" s="1"/>
    </row>
    <row r="905" ht="15.75" customHeight="1">
      <c r="A905" s="1"/>
      <c r="B905" s="1"/>
      <c r="C905" s="1"/>
      <c r="E905" s="1"/>
      <c r="G905" s="1"/>
      <c r="I905" s="1"/>
      <c r="K905" s="1"/>
      <c r="M905" s="1"/>
      <c r="O905" s="1"/>
      <c r="Q905" s="1"/>
      <c r="S905" s="1"/>
      <c r="U905" s="1"/>
      <c r="W905" s="1"/>
      <c r="Y905" s="1"/>
      <c r="AA905" s="1"/>
      <c r="AC905" s="1"/>
      <c r="AE905" s="1"/>
      <c r="AG905" s="1"/>
      <c r="AI905" s="1"/>
      <c r="AK905" s="1"/>
      <c r="AM905" s="1"/>
      <c r="AO905" s="1"/>
      <c r="AQ905" s="1"/>
      <c r="AS905" s="1"/>
      <c r="AU905" s="1"/>
      <c r="AW905" s="1"/>
      <c r="AY905" s="1"/>
      <c r="BA905" s="1"/>
      <c r="BC905" s="1"/>
      <c r="BE905" s="1"/>
      <c r="BG905" s="1"/>
      <c r="BI905" s="1"/>
    </row>
    <row r="906" ht="15.75" customHeight="1">
      <c r="A906" s="1"/>
      <c r="B906" s="1"/>
      <c r="C906" s="1"/>
      <c r="E906" s="1"/>
      <c r="G906" s="1"/>
      <c r="I906" s="1"/>
      <c r="K906" s="1"/>
      <c r="M906" s="1"/>
      <c r="O906" s="1"/>
      <c r="Q906" s="1"/>
      <c r="S906" s="1"/>
      <c r="U906" s="1"/>
      <c r="W906" s="1"/>
      <c r="Y906" s="1"/>
      <c r="AA906" s="1"/>
      <c r="AC906" s="1"/>
      <c r="AE906" s="1"/>
      <c r="AG906" s="1"/>
      <c r="AI906" s="1"/>
      <c r="AK906" s="1"/>
      <c r="AM906" s="1"/>
      <c r="AO906" s="1"/>
      <c r="AQ906" s="1"/>
      <c r="AS906" s="1"/>
      <c r="AU906" s="1"/>
      <c r="AW906" s="1"/>
      <c r="AY906" s="1"/>
      <c r="BA906" s="1"/>
      <c r="BC906" s="1"/>
      <c r="BE906" s="1"/>
      <c r="BG906" s="1"/>
      <c r="BI906" s="1"/>
    </row>
    <row r="907" ht="15.75" customHeight="1">
      <c r="A907" s="1"/>
      <c r="B907" s="1"/>
      <c r="C907" s="1"/>
      <c r="E907" s="1"/>
      <c r="G907" s="1"/>
      <c r="I907" s="1"/>
      <c r="K907" s="1"/>
      <c r="M907" s="1"/>
      <c r="O907" s="1"/>
      <c r="Q907" s="1"/>
      <c r="S907" s="1"/>
      <c r="U907" s="1"/>
      <c r="W907" s="1"/>
      <c r="Y907" s="1"/>
      <c r="AA907" s="1"/>
      <c r="AC907" s="1"/>
      <c r="AE907" s="1"/>
      <c r="AG907" s="1"/>
      <c r="AI907" s="1"/>
      <c r="AK907" s="1"/>
      <c r="AM907" s="1"/>
      <c r="AO907" s="1"/>
      <c r="AQ907" s="1"/>
      <c r="AS907" s="1"/>
      <c r="AU907" s="1"/>
      <c r="AW907" s="1"/>
      <c r="AY907" s="1"/>
      <c r="BA907" s="1"/>
      <c r="BC907" s="1"/>
      <c r="BE907" s="1"/>
      <c r="BG907" s="1"/>
      <c r="BI907" s="1"/>
    </row>
    <row r="908" ht="15.75" customHeight="1">
      <c r="A908" s="1"/>
      <c r="B908" s="1"/>
      <c r="C908" s="1"/>
      <c r="E908" s="1"/>
      <c r="G908" s="1"/>
      <c r="I908" s="1"/>
      <c r="K908" s="1"/>
      <c r="M908" s="1"/>
      <c r="O908" s="1"/>
      <c r="Q908" s="1"/>
      <c r="S908" s="1"/>
      <c r="U908" s="1"/>
      <c r="W908" s="1"/>
      <c r="Y908" s="1"/>
      <c r="AA908" s="1"/>
      <c r="AC908" s="1"/>
      <c r="AE908" s="1"/>
      <c r="AG908" s="1"/>
      <c r="AI908" s="1"/>
      <c r="AK908" s="1"/>
      <c r="AM908" s="1"/>
      <c r="AO908" s="1"/>
      <c r="AQ908" s="1"/>
      <c r="AS908" s="1"/>
      <c r="AU908" s="1"/>
      <c r="AW908" s="1"/>
      <c r="AY908" s="1"/>
      <c r="BA908" s="1"/>
      <c r="BC908" s="1"/>
      <c r="BE908" s="1"/>
      <c r="BG908" s="1"/>
      <c r="BI908" s="1"/>
    </row>
    <row r="909" ht="15.75" customHeight="1">
      <c r="A909" s="1"/>
      <c r="B909" s="1"/>
      <c r="C909" s="1"/>
      <c r="E909" s="1"/>
      <c r="G909" s="1"/>
      <c r="I909" s="1"/>
      <c r="K909" s="1"/>
      <c r="M909" s="1"/>
      <c r="O909" s="1"/>
      <c r="Q909" s="1"/>
      <c r="S909" s="1"/>
      <c r="U909" s="1"/>
      <c r="W909" s="1"/>
      <c r="Y909" s="1"/>
      <c r="AA909" s="1"/>
      <c r="AC909" s="1"/>
      <c r="AE909" s="1"/>
      <c r="AG909" s="1"/>
      <c r="AI909" s="1"/>
      <c r="AK909" s="1"/>
      <c r="AM909" s="1"/>
      <c r="AO909" s="1"/>
      <c r="AQ909" s="1"/>
      <c r="AS909" s="1"/>
      <c r="AU909" s="1"/>
      <c r="AW909" s="1"/>
      <c r="AY909" s="1"/>
      <c r="BA909" s="1"/>
      <c r="BC909" s="1"/>
      <c r="BE909" s="1"/>
      <c r="BG909" s="1"/>
      <c r="BI909" s="1"/>
    </row>
    <row r="910" ht="15.75" customHeight="1">
      <c r="A910" s="1"/>
      <c r="B910" s="1"/>
      <c r="C910" s="1"/>
      <c r="E910" s="1"/>
      <c r="G910" s="1"/>
      <c r="I910" s="1"/>
      <c r="K910" s="1"/>
      <c r="M910" s="1"/>
      <c r="O910" s="1"/>
      <c r="Q910" s="1"/>
      <c r="S910" s="1"/>
      <c r="U910" s="1"/>
      <c r="W910" s="1"/>
      <c r="Y910" s="1"/>
      <c r="AA910" s="1"/>
      <c r="AC910" s="1"/>
      <c r="AE910" s="1"/>
      <c r="AG910" s="1"/>
      <c r="AI910" s="1"/>
      <c r="AK910" s="1"/>
      <c r="AM910" s="1"/>
      <c r="AO910" s="1"/>
      <c r="AQ910" s="1"/>
      <c r="AS910" s="1"/>
      <c r="AU910" s="1"/>
      <c r="AW910" s="1"/>
      <c r="AY910" s="1"/>
      <c r="BA910" s="1"/>
      <c r="BC910" s="1"/>
      <c r="BE910" s="1"/>
      <c r="BG910" s="1"/>
      <c r="BI910" s="1"/>
    </row>
    <row r="911" ht="15.75" customHeight="1">
      <c r="A911" s="1"/>
      <c r="B911" s="1"/>
      <c r="C911" s="1"/>
      <c r="E911" s="1"/>
      <c r="G911" s="1"/>
      <c r="I911" s="1"/>
      <c r="K911" s="1"/>
      <c r="M911" s="1"/>
      <c r="O911" s="1"/>
      <c r="Q911" s="1"/>
      <c r="S911" s="1"/>
      <c r="U911" s="1"/>
      <c r="W911" s="1"/>
      <c r="Y911" s="1"/>
      <c r="AA911" s="1"/>
      <c r="AC911" s="1"/>
      <c r="AE911" s="1"/>
      <c r="AG911" s="1"/>
      <c r="AI911" s="1"/>
      <c r="AK911" s="1"/>
      <c r="AM911" s="1"/>
      <c r="AO911" s="1"/>
      <c r="AQ911" s="1"/>
      <c r="AS911" s="1"/>
      <c r="AU911" s="1"/>
      <c r="AW911" s="1"/>
      <c r="AY911" s="1"/>
      <c r="BA911" s="1"/>
      <c r="BC911" s="1"/>
      <c r="BE911" s="1"/>
      <c r="BG911" s="1"/>
      <c r="BI911" s="1"/>
    </row>
    <row r="912" ht="15.75" customHeight="1">
      <c r="A912" s="1"/>
      <c r="B912" s="1"/>
      <c r="C912" s="1"/>
      <c r="E912" s="1"/>
      <c r="G912" s="1"/>
      <c r="I912" s="1"/>
      <c r="K912" s="1"/>
      <c r="M912" s="1"/>
      <c r="O912" s="1"/>
      <c r="Q912" s="1"/>
      <c r="S912" s="1"/>
      <c r="U912" s="1"/>
      <c r="W912" s="1"/>
      <c r="Y912" s="1"/>
      <c r="AA912" s="1"/>
      <c r="AC912" s="1"/>
      <c r="AE912" s="1"/>
      <c r="AG912" s="1"/>
      <c r="AI912" s="1"/>
      <c r="AK912" s="1"/>
      <c r="AM912" s="1"/>
      <c r="AO912" s="1"/>
      <c r="AQ912" s="1"/>
      <c r="AS912" s="1"/>
      <c r="AU912" s="1"/>
      <c r="AW912" s="1"/>
      <c r="AY912" s="1"/>
      <c r="BA912" s="1"/>
      <c r="BC912" s="1"/>
      <c r="BE912" s="1"/>
      <c r="BG912" s="1"/>
      <c r="BI912" s="1"/>
    </row>
    <row r="913" ht="15.75" customHeight="1">
      <c r="A913" s="1"/>
      <c r="B913" s="1"/>
      <c r="C913" s="1"/>
      <c r="E913" s="1"/>
      <c r="G913" s="1"/>
      <c r="I913" s="1"/>
      <c r="K913" s="1"/>
      <c r="M913" s="1"/>
      <c r="O913" s="1"/>
      <c r="Q913" s="1"/>
      <c r="S913" s="1"/>
      <c r="U913" s="1"/>
      <c r="W913" s="1"/>
      <c r="Y913" s="1"/>
      <c r="AA913" s="1"/>
      <c r="AC913" s="1"/>
      <c r="AE913" s="1"/>
      <c r="AG913" s="1"/>
      <c r="AI913" s="1"/>
      <c r="AK913" s="1"/>
      <c r="AM913" s="1"/>
      <c r="AO913" s="1"/>
      <c r="AQ913" s="1"/>
      <c r="AS913" s="1"/>
      <c r="AU913" s="1"/>
      <c r="AW913" s="1"/>
      <c r="AY913" s="1"/>
      <c r="BA913" s="1"/>
      <c r="BC913" s="1"/>
      <c r="BE913" s="1"/>
      <c r="BG913" s="1"/>
      <c r="BI913" s="1"/>
    </row>
    <row r="914" ht="15.75" customHeight="1">
      <c r="A914" s="1"/>
      <c r="B914" s="1"/>
      <c r="C914" s="1"/>
      <c r="E914" s="1"/>
      <c r="G914" s="1"/>
      <c r="I914" s="1"/>
      <c r="K914" s="1"/>
      <c r="M914" s="1"/>
      <c r="O914" s="1"/>
      <c r="Q914" s="1"/>
      <c r="S914" s="1"/>
      <c r="U914" s="1"/>
      <c r="W914" s="1"/>
      <c r="Y914" s="1"/>
      <c r="AA914" s="1"/>
      <c r="AC914" s="1"/>
      <c r="AE914" s="1"/>
      <c r="AG914" s="1"/>
      <c r="AI914" s="1"/>
      <c r="AK914" s="1"/>
      <c r="AM914" s="1"/>
      <c r="AO914" s="1"/>
      <c r="AQ914" s="1"/>
      <c r="AS914" s="1"/>
      <c r="AU914" s="1"/>
      <c r="AW914" s="1"/>
      <c r="AY914" s="1"/>
      <c r="BA914" s="1"/>
      <c r="BC914" s="1"/>
      <c r="BE914" s="1"/>
      <c r="BG914" s="1"/>
      <c r="BI914" s="1"/>
    </row>
    <row r="915" ht="15.75" customHeight="1">
      <c r="A915" s="1"/>
      <c r="B915" s="1"/>
      <c r="C915" s="1"/>
      <c r="E915" s="1"/>
      <c r="G915" s="1"/>
      <c r="I915" s="1"/>
      <c r="K915" s="1"/>
      <c r="M915" s="1"/>
      <c r="O915" s="1"/>
      <c r="Q915" s="1"/>
      <c r="S915" s="1"/>
      <c r="U915" s="1"/>
      <c r="W915" s="1"/>
      <c r="Y915" s="1"/>
      <c r="AA915" s="1"/>
      <c r="AC915" s="1"/>
      <c r="AE915" s="1"/>
      <c r="AG915" s="1"/>
      <c r="AI915" s="1"/>
      <c r="AK915" s="1"/>
      <c r="AM915" s="1"/>
      <c r="AO915" s="1"/>
      <c r="AQ915" s="1"/>
      <c r="AS915" s="1"/>
      <c r="AU915" s="1"/>
      <c r="AW915" s="1"/>
      <c r="AY915" s="1"/>
      <c r="BA915" s="1"/>
      <c r="BC915" s="1"/>
      <c r="BE915" s="1"/>
      <c r="BG915" s="1"/>
      <c r="BI915" s="1"/>
    </row>
    <row r="916" ht="15.75" customHeight="1">
      <c r="A916" s="1"/>
      <c r="B916" s="1"/>
      <c r="C916" s="1"/>
      <c r="E916" s="1"/>
      <c r="G916" s="1"/>
      <c r="I916" s="1"/>
      <c r="K916" s="1"/>
      <c r="M916" s="1"/>
      <c r="O916" s="1"/>
      <c r="Q916" s="1"/>
      <c r="S916" s="1"/>
      <c r="U916" s="1"/>
      <c r="W916" s="1"/>
      <c r="Y916" s="1"/>
      <c r="AA916" s="1"/>
      <c r="AC916" s="1"/>
      <c r="AE916" s="1"/>
      <c r="AG916" s="1"/>
      <c r="AI916" s="1"/>
      <c r="AK916" s="1"/>
      <c r="AM916" s="1"/>
      <c r="AO916" s="1"/>
      <c r="AQ916" s="1"/>
      <c r="AS916" s="1"/>
      <c r="AU916" s="1"/>
      <c r="AW916" s="1"/>
      <c r="AY916" s="1"/>
      <c r="BA916" s="1"/>
      <c r="BC916" s="1"/>
      <c r="BE916" s="1"/>
      <c r="BG916" s="1"/>
      <c r="BI916" s="1"/>
    </row>
    <row r="917" ht="15.75" customHeight="1">
      <c r="A917" s="1"/>
      <c r="B917" s="1"/>
      <c r="C917" s="1"/>
      <c r="E917" s="1"/>
      <c r="G917" s="1"/>
      <c r="I917" s="1"/>
      <c r="K917" s="1"/>
      <c r="M917" s="1"/>
      <c r="O917" s="1"/>
      <c r="Q917" s="1"/>
      <c r="S917" s="1"/>
      <c r="U917" s="1"/>
      <c r="W917" s="1"/>
      <c r="Y917" s="1"/>
      <c r="AA917" s="1"/>
      <c r="AC917" s="1"/>
      <c r="AE917" s="1"/>
      <c r="AG917" s="1"/>
      <c r="AI917" s="1"/>
      <c r="AK917" s="1"/>
      <c r="AM917" s="1"/>
      <c r="AO917" s="1"/>
      <c r="AQ917" s="1"/>
      <c r="AS917" s="1"/>
      <c r="AU917" s="1"/>
      <c r="AW917" s="1"/>
      <c r="AY917" s="1"/>
      <c r="BA917" s="1"/>
      <c r="BC917" s="1"/>
      <c r="BE917" s="1"/>
      <c r="BG917" s="1"/>
      <c r="BI917" s="1"/>
    </row>
    <row r="918" ht="15.75" customHeight="1">
      <c r="A918" s="1"/>
      <c r="B918" s="1"/>
      <c r="C918" s="1"/>
      <c r="E918" s="1"/>
      <c r="G918" s="1"/>
      <c r="I918" s="1"/>
      <c r="K918" s="1"/>
      <c r="M918" s="1"/>
      <c r="O918" s="1"/>
      <c r="Q918" s="1"/>
      <c r="S918" s="1"/>
      <c r="U918" s="1"/>
      <c r="W918" s="1"/>
      <c r="Y918" s="1"/>
      <c r="AA918" s="1"/>
      <c r="AC918" s="1"/>
      <c r="AE918" s="1"/>
      <c r="AG918" s="1"/>
      <c r="AI918" s="1"/>
      <c r="AK918" s="1"/>
      <c r="AM918" s="1"/>
      <c r="AO918" s="1"/>
      <c r="AQ918" s="1"/>
      <c r="AS918" s="1"/>
      <c r="AU918" s="1"/>
      <c r="AW918" s="1"/>
      <c r="AY918" s="1"/>
      <c r="BA918" s="1"/>
      <c r="BC918" s="1"/>
      <c r="BE918" s="1"/>
      <c r="BG918" s="1"/>
      <c r="BI918" s="1"/>
    </row>
    <row r="919" ht="15.75" customHeight="1">
      <c r="A919" s="1"/>
      <c r="B919" s="1"/>
      <c r="C919" s="1"/>
      <c r="E919" s="1"/>
      <c r="G919" s="1"/>
      <c r="I919" s="1"/>
      <c r="K919" s="1"/>
      <c r="M919" s="1"/>
      <c r="O919" s="1"/>
      <c r="Q919" s="1"/>
      <c r="S919" s="1"/>
      <c r="U919" s="1"/>
      <c r="W919" s="1"/>
      <c r="Y919" s="1"/>
      <c r="AA919" s="1"/>
      <c r="AC919" s="1"/>
      <c r="AE919" s="1"/>
      <c r="AG919" s="1"/>
      <c r="AI919" s="1"/>
      <c r="AK919" s="1"/>
      <c r="AM919" s="1"/>
      <c r="AO919" s="1"/>
      <c r="AQ919" s="1"/>
      <c r="AS919" s="1"/>
      <c r="AU919" s="1"/>
      <c r="AW919" s="1"/>
      <c r="AY919" s="1"/>
      <c r="BA919" s="1"/>
      <c r="BC919" s="1"/>
      <c r="BE919" s="1"/>
      <c r="BG919" s="1"/>
      <c r="BI919" s="1"/>
    </row>
    <row r="920" ht="15.75" customHeight="1">
      <c r="A920" s="1"/>
      <c r="B920" s="1"/>
      <c r="C920" s="1"/>
      <c r="E920" s="1"/>
      <c r="G920" s="1"/>
      <c r="I920" s="1"/>
      <c r="K920" s="1"/>
      <c r="M920" s="1"/>
      <c r="O920" s="1"/>
      <c r="Q920" s="1"/>
      <c r="S920" s="1"/>
      <c r="U920" s="1"/>
      <c r="W920" s="1"/>
      <c r="Y920" s="1"/>
      <c r="AA920" s="1"/>
      <c r="AC920" s="1"/>
      <c r="AE920" s="1"/>
      <c r="AG920" s="1"/>
      <c r="AI920" s="1"/>
      <c r="AK920" s="1"/>
      <c r="AM920" s="1"/>
      <c r="AO920" s="1"/>
      <c r="AQ920" s="1"/>
      <c r="AS920" s="1"/>
      <c r="AU920" s="1"/>
      <c r="AW920" s="1"/>
      <c r="AY920" s="1"/>
      <c r="BA920" s="1"/>
      <c r="BC920" s="1"/>
      <c r="BE920" s="1"/>
      <c r="BG920" s="1"/>
      <c r="BI920" s="1"/>
    </row>
    <row r="921" ht="15.75" customHeight="1">
      <c r="A921" s="1"/>
      <c r="B921" s="1"/>
      <c r="C921" s="1"/>
      <c r="E921" s="1"/>
      <c r="G921" s="1"/>
      <c r="I921" s="1"/>
      <c r="K921" s="1"/>
      <c r="M921" s="1"/>
      <c r="O921" s="1"/>
      <c r="Q921" s="1"/>
      <c r="S921" s="1"/>
      <c r="U921" s="1"/>
      <c r="W921" s="1"/>
      <c r="Y921" s="1"/>
      <c r="AA921" s="1"/>
      <c r="AC921" s="1"/>
      <c r="AE921" s="1"/>
      <c r="AG921" s="1"/>
      <c r="AI921" s="1"/>
      <c r="AK921" s="1"/>
      <c r="AM921" s="1"/>
      <c r="AO921" s="1"/>
      <c r="AQ921" s="1"/>
      <c r="AS921" s="1"/>
      <c r="AU921" s="1"/>
      <c r="AW921" s="1"/>
      <c r="AY921" s="1"/>
      <c r="BA921" s="1"/>
      <c r="BC921" s="1"/>
      <c r="BE921" s="1"/>
      <c r="BG921" s="1"/>
      <c r="BI921" s="1"/>
    </row>
    <row r="922" ht="15.75" customHeight="1">
      <c r="A922" s="1"/>
      <c r="B922" s="1"/>
      <c r="C922" s="1"/>
      <c r="E922" s="1"/>
      <c r="G922" s="1"/>
      <c r="I922" s="1"/>
      <c r="K922" s="1"/>
      <c r="M922" s="1"/>
      <c r="O922" s="1"/>
      <c r="Q922" s="1"/>
      <c r="S922" s="1"/>
      <c r="U922" s="1"/>
      <c r="W922" s="1"/>
      <c r="Y922" s="1"/>
      <c r="AA922" s="1"/>
      <c r="AC922" s="1"/>
      <c r="AE922" s="1"/>
      <c r="AG922" s="1"/>
      <c r="AI922" s="1"/>
      <c r="AK922" s="1"/>
      <c r="AM922" s="1"/>
      <c r="AO922" s="1"/>
      <c r="AQ922" s="1"/>
      <c r="AS922" s="1"/>
      <c r="AU922" s="1"/>
      <c r="AW922" s="1"/>
      <c r="AY922" s="1"/>
      <c r="BA922" s="1"/>
      <c r="BC922" s="1"/>
      <c r="BE922" s="1"/>
      <c r="BG922" s="1"/>
      <c r="BI922" s="1"/>
    </row>
    <row r="923" ht="15.75" customHeight="1">
      <c r="A923" s="1"/>
      <c r="B923" s="1"/>
      <c r="C923" s="1"/>
      <c r="E923" s="1"/>
      <c r="G923" s="1"/>
      <c r="I923" s="1"/>
      <c r="K923" s="1"/>
      <c r="M923" s="1"/>
      <c r="O923" s="1"/>
      <c r="Q923" s="1"/>
      <c r="S923" s="1"/>
      <c r="U923" s="1"/>
      <c r="W923" s="1"/>
      <c r="Y923" s="1"/>
      <c r="AA923" s="1"/>
      <c r="AC923" s="1"/>
      <c r="AE923" s="1"/>
      <c r="AG923" s="1"/>
      <c r="AI923" s="1"/>
      <c r="AK923" s="1"/>
      <c r="AM923" s="1"/>
      <c r="AO923" s="1"/>
      <c r="AQ923" s="1"/>
      <c r="AS923" s="1"/>
      <c r="AU923" s="1"/>
      <c r="AW923" s="1"/>
      <c r="AY923" s="1"/>
      <c r="BA923" s="1"/>
      <c r="BC923" s="1"/>
      <c r="BE923" s="1"/>
      <c r="BG923" s="1"/>
      <c r="BI923" s="1"/>
    </row>
    <row r="924" ht="15.75" customHeight="1">
      <c r="A924" s="1"/>
      <c r="B924" s="1"/>
      <c r="C924" s="1"/>
      <c r="E924" s="1"/>
      <c r="G924" s="1"/>
      <c r="I924" s="1"/>
      <c r="K924" s="1"/>
      <c r="M924" s="1"/>
      <c r="O924" s="1"/>
      <c r="Q924" s="1"/>
      <c r="S924" s="1"/>
      <c r="U924" s="1"/>
      <c r="W924" s="1"/>
      <c r="Y924" s="1"/>
      <c r="AA924" s="1"/>
      <c r="AC924" s="1"/>
      <c r="AE924" s="1"/>
      <c r="AG924" s="1"/>
      <c r="AI924" s="1"/>
      <c r="AK924" s="1"/>
      <c r="AM924" s="1"/>
      <c r="AO924" s="1"/>
      <c r="AQ924" s="1"/>
      <c r="AS924" s="1"/>
      <c r="AU924" s="1"/>
      <c r="AW924" s="1"/>
      <c r="AY924" s="1"/>
      <c r="BA924" s="1"/>
      <c r="BC924" s="1"/>
      <c r="BE924" s="1"/>
      <c r="BG924" s="1"/>
      <c r="BI924" s="1"/>
    </row>
    <row r="925" ht="15.75" customHeight="1">
      <c r="A925" s="1"/>
      <c r="B925" s="1"/>
      <c r="C925" s="1"/>
      <c r="E925" s="1"/>
      <c r="G925" s="1"/>
      <c r="I925" s="1"/>
      <c r="K925" s="1"/>
      <c r="M925" s="1"/>
      <c r="O925" s="1"/>
      <c r="Q925" s="1"/>
      <c r="S925" s="1"/>
      <c r="U925" s="1"/>
      <c r="W925" s="1"/>
      <c r="Y925" s="1"/>
      <c r="AA925" s="1"/>
      <c r="AC925" s="1"/>
      <c r="AE925" s="1"/>
      <c r="AG925" s="1"/>
      <c r="AI925" s="1"/>
      <c r="AK925" s="1"/>
      <c r="AM925" s="1"/>
      <c r="AO925" s="1"/>
      <c r="AQ925" s="1"/>
      <c r="AS925" s="1"/>
      <c r="AU925" s="1"/>
      <c r="AW925" s="1"/>
      <c r="AY925" s="1"/>
      <c r="BA925" s="1"/>
      <c r="BC925" s="1"/>
      <c r="BE925" s="1"/>
      <c r="BG925" s="1"/>
      <c r="BI925" s="1"/>
    </row>
    <row r="926" ht="15.75" customHeight="1">
      <c r="A926" s="1"/>
      <c r="B926" s="1"/>
      <c r="C926" s="1"/>
      <c r="E926" s="1"/>
      <c r="G926" s="1"/>
      <c r="I926" s="1"/>
      <c r="K926" s="1"/>
      <c r="M926" s="1"/>
      <c r="O926" s="1"/>
      <c r="Q926" s="1"/>
      <c r="S926" s="1"/>
      <c r="U926" s="1"/>
      <c r="W926" s="1"/>
      <c r="Y926" s="1"/>
      <c r="AA926" s="1"/>
      <c r="AC926" s="1"/>
      <c r="AE926" s="1"/>
      <c r="AG926" s="1"/>
      <c r="AI926" s="1"/>
      <c r="AK926" s="1"/>
      <c r="AM926" s="1"/>
      <c r="AO926" s="1"/>
      <c r="AQ926" s="1"/>
      <c r="AS926" s="1"/>
      <c r="AU926" s="1"/>
      <c r="AW926" s="1"/>
      <c r="AY926" s="1"/>
      <c r="BA926" s="1"/>
      <c r="BC926" s="1"/>
      <c r="BE926" s="1"/>
      <c r="BG926" s="1"/>
      <c r="BI926" s="1"/>
    </row>
    <row r="927" ht="15.75" customHeight="1">
      <c r="A927" s="1"/>
      <c r="B927" s="1"/>
      <c r="C927" s="1"/>
      <c r="E927" s="1"/>
      <c r="G927" s="1"/>
      <c r="I927" s="1"/>
      <c r="K927" s="1"/>
      <c r="M927" s="1"/>
      <c r="O927" s="1"/>
      <c r="Q927" s="1"/>
      <c r="S927" s="1"/>
      <c r="U927" s="1"/>
      <c r="W927" s="1"/>
      <c r="Y927" s="1"/>
      <c r="AA927" s="1"/>
      <c r="AC927" s="1"/>
      <c r="AE927" s="1"/>
      <c r="AG927" s="1"/>
      <c r="AI927" s="1"/>
      <c r="AK927" s="1"/>
      <c r="AM927" s="1"/>
      <c r="AO927" s="1"/>
      <c r="AQ927" s="1"/>
      <c r="AS927" s="1"/>
      <c r="AU927" s="1"/>
      <c r="AW927" s="1"/>
      <c r="AY927" s="1"/>
      <c r="BA927" s="1"/>
      <c r="BC927" s="1"/>
      <c r="BE927" s="1"/>
      <c r="BG927" s="1"/>
      <c r="BI927" s="1"/>
    </row>
    <row r="928" ht="15.75" customHeight="1">
      <c r="A928" s="1"/>
      <c r="B928" s="1"/>
      <c r="C928" s="1"/>
      <c r="E928" s="1"/>
      <c r="G928" s="1"/>
      <c r="I928" s="1"/>
      <c r="K928" s="1"/>
      <c r="M928" s="1"/>
      <c r="O928" s="1"/>
      <c r="Q928" s="1"/>
      <c r="S928" s="1"/>
      <c r="U928" s="1"/>
      <c r="W928" s="1"/>
      <c r="Y928" s="1"/>
      <c r="AA928" s="1"/>
      <c r="AC928" s="1"/>
      <c r="AE928" s="1"/>
      <c r="AG928" s="1"/>
      <c r="AI928" s="1"/>
      <c r="AK928" s="1"/>
      <c r="AM928" s="1"/>
      <c r="AO928" s="1"/>
      <c r="AQ928" s="1"/>
      <c r="AS928" s="1"/>
      <c r="AU928" s="1"/>
      <c r="AW928" s="1"/>
      <c r="AY928" s="1"/>
      <c r="BA928" s="1"/>
      <c r="BC928" s="1"/>
      <c r="BE928" s="1"/>
      <c r="BG928" s="1"/>
      <c r="BI928" s="1"/>
    </row>
    <row r="929" ht="15.75" customHeight="1">
      <c r="A929" s="1"/>
      <c r="B929" s="1"/>
      <c r="C929" s="1"/>
      <c r="E929" s="1"/>
      <c r="G929" s="1"/>
      <c r="I929" s="1"/>
      <c r="K929" s="1"/>
      <c r="M929" s="1"/>
      <c r="O929" s="1"/>
      <c r="Q929" s="1"/>
      <c r="S929" s="1"/>
      <c r="U929" s="1"/>
      <c r="W929" s="1"/>
      <c r="Y929" s="1"/>
      <c r="AA929" s="1"/>
      <c r="AC929" s="1"/>
      <c r="AE929" s="1"/>
      <c r="AG929" s="1"/>
      <c r="AI929" s="1"/>
      <c r="AK929" s="1"/>
      <c r="AM929" s="1"/>
      <c r="AO929" s="1"/>
      <c r="AQ929" s="1"/>
      <c r="AS929" s="1"/>
      <c r="AU929" s="1"/>
      <c r="AW929" s="1"/>
      <c r="AY929" s="1"/>
      <c r="BA929" s="1"/>
      <c r="BC929" s="1"/>
      <c r="BE929" s="1"/>
      <c r="BG929" s="1"/>
      <c r="BI929" s="1"/>
    </row>
    <row r="930" ht="15.75" customHeight="1">
      <c r="A930" s="1"/>
      <c r="B930" s="1"/>
      <c r="C930" s="1"/>
      <c r="E930" s="1"/>
      <c r="G930" s="1"/>
      <c r="I930" s="1"/>
      <c r="K930" s="1"/>
      <c r="M930" s="1"/>
      <c r="O930" s="1"/>
      <c r="Q930" s="1"/>
      <c r="S930" s="1"/>
      <c r="U930" s="1"/>
      <c r="W930" s="1"/>
      <c r="Y930" s="1"/>
      <c r="AA930" s="1"/>
      <c r="AC930" s="1"/>
      <c r="AE930" s="1"/>
      <c r="AG930" s="1"/>
      <c r="AI930" s="1"/>
      <c r="AK930" s="1"/>
      <c r="AM930" s="1"/>
      <c r="AO930" s="1"/>
      <c r="AQ930" s="1"/>
      <c r="AS930" s="1"/>
      <c r="AU930" s="1"/>
      <c r="AW930" s="1"/>
      <c r="AY930" s="1"/>
      <c r="BA930" s="1"/>
      <c r="BC930" s="1"/>
      <c r="BE930" s="1"/>
      <c r="BG930" s="1"/>
      <c r="BI930" s="1"/>
    </row>
    <row r="931" ht="15.75" customHeight="1">
      <c r="A931" s="1"/>
      <c r="B931" s="1"/>
      <c r="C931" s="1"/>
      <c r="E931" s="1"/>
      <c r="G931" s="1"/>
      <c r="I931" s="1"/>
      <c r="K931" s="1"/>
      <c r="M931" s="1"/>
      <c r="O931" s="1"/>
      <c r="Q931" s="1"/>
      <c r="S931" s="1"/>
      <c r="U931" s="1"/>
      <c r="W931" s="1"/>
      <c r="Y931" s="1"/>
      <c r="AA931" s="1"/>
      <c r="AC931" s="1"/>
      <c r="AE931" s="1"/>
      <c r="AG931" s="1"/>
      <c r="AI931" s="1"/>
      <c r="AK931" s="1"/>
      <c r="AM931" s="1"/>
      <c r="AO931" s="1"/>
      <c r="AQ931" s="1"/>
      <c r="AS931" s="1"/>
      <c r="AU931" s="1"/>
      <c r="AW931" s="1"/>
      <c r="AY931" s="1"/>
      <c r="BA931" s="1"/>
      <c r="BC931" s="1"/>
      <c r="BE931" s="1"/>
      <c r="BG931" s="1"/>
      <c r="BI931" s="1"/>
    </row>
    <row r="932" ht="15.75" customHeight="1">
      <c r="A932" s="1"/>
      <c r="B932" s="1"/>
      <c r="C932" s="1"/>
      <c r="E932" s="1"/>
      <c r="G932" s="1"/>
      <c r="I932" s="1"/>
      <c r="K932" s="1"/>
      <c r="M932" s="1"/>
      <c r="O932" s="1"/>
      <c r="Q932" s="1"/>
      <c r="S932" s="1"/>
      <c r="U932" s="1"/>
      <c r="W932" s="1"/>
      <c r="Y932" s="1"/>
      <c r="AA932" s="1"/>
      <c r="AC932" s="1"/>
      <c r="AE932" s="1"/>
      <c r="AG932" s="1"/>
      <c r="AI932" s="1"/>
      <c r="AK932" s="1"/>
      <c r="AM932" s="1"/>
      <c r="AO932" s="1"/>
      <c r="AQ932" s="1"/>
      <c r="AS932" s="1"/>
      <c r="AU932" s="1"/>
      <c r="AW932" s="1"/>
      <c r="AY932" s="1"/>
      <c r="BA932" s="1"/>
      <c r="BC932" s="1"/>
      <c r="BE932" s="1"/>
      <c r="BG932" s="1"/>
      <c r="BI932" s="1"/>
    </row>
    <row r="933" ht="15.75" customHeight="1">
      <c r="A933" s="1"/>
      <c r="B933" s="1"/>
      <c r="C933" s="1"/>
      <c r="E933" s="1"/>
      <c r="G933" s="1"/>
      <c r="I933" s="1"/>
      <c r="K933" s="1"/>
      <c r="M933" s="1"/>
      <c r="O933" s="1"/>
      <c r="Q933" s="1"/>
      <c r="S933" s="1"/>
      <c r="U933" s="1"/>
      <c r="W933" s="1"/>
      <c r="Y933" s="1"/>
      <c r="AA933" s="1"/>
      <c r="AC933" s="1"/>
      <c r="AE933" s="1"/>
      <c r="AG933" s="1"/>
      <c r="AI933" s="1"/>
      <c r="AK933" s="1"/>
      <c r="AM933" s="1"/>
      <c r="AO933" s="1"/>
      <c r="AQ933" s="1"/>
      <c r="AS933" s="1"/>
      <c r="AU933" s="1"/>
      <c r="AW933" s="1"/>
      <c r="AY933" s="1"/>
      <c r="BA933" s="1"/>
      <c r="BC933" s="1"/>
      <c r="BE933" s="1"/>
      <c r="BG933" s="1"/>
      <c r="BI933" s="1"/>
    </row>
    <row r="934" ht="15.75" customHeight="1">
      <c r="A934" s="1"/>
      <c r="B934" s="1"/>
      <c r="C934" s="1"/>
      <c r="E934" s="1"/>
      <c r="G934" s="1"/>
      <c r="I934" s="1"/>
      <c r="K934" s="1"/>
      <c r="M934" s="1"/>
      <c r="O934" s="1"/>
      <c r="Q934" s="1"/>
      <c r="S934" s="1"/>
      <c r="U934" s="1"/>
      <c r="W934" s="1"/>
      <c r="Y934" s="1"/>
      <c r="AA934" s="1"/>
      <c r="AC934" s="1"/>
      <c r="AE934" s="1"/>
      <c r="AG934" s="1"/>
      <c r="AI934" s="1"/>
      <c r="AK934" s="1"/>
      <c r="AM934" s="1"/>
      <c r="AO934" s="1"/>
      <c r="AQ934" s="1"/>
      <c r="AS934" s="1"/>
      <c r="AU934" s="1"/>
      <c r="AW934" s="1"/>
      <c r="AY934" s="1"/>
      <c r="BA934" s="1"/>
      <c r="BC934" s="1"/>
      <c r="BE934" s="1"/>
      <c r="BG934" s="1"/>
      <c r="BI934" s="1"/>
    </row>
    <row r="935" ht="15.75" customHeight="1">
      <c r="A935" s="1"/>
      <c r="B935" s="1"/>
      <c r="C935" s="1"/>
      <c r="E935" s="1"/>
      <c r="G935" s="1"/>
      <c r="I935" s="1"/>
      <c r="K935" s="1"/>
      <c r="M935" s="1"/>
      <c r="O935" s="1"/>
      <c r="Q935" s="1"/>
      <c r="S935" s="1"/>
      <c r="U935" s="1"/>
      <c r="W935" s="1"/>
      <c r="Y935" s="1"/>
      <c r="AA935" s="1"/>
      <c r="AC935" s="1"/>
      <c r="AE935" s="1"/>
      <c r="AG935" s="1"/>
      <c r="AI935" s="1"/>
      <c r="AK935" s="1"/>
      <c r="AM935" s="1"/>
      <c r="AO935" s="1"/>
      <c r="AQ935" s="1"/>
      <c r="AS935" s="1"/>
      <c r="AU935" s="1"/>
      <c r="AW935" s="1"/>
      <c r="AY935" s="1"/>
      <c r="BA935" s="1"/>
      <c r="BC935" s="1"/>
      <c r="BE935" s="1"/>
      <c r="BG935" s="1"/>
      <c r="BI935" s="1"/>
    </row>
    <row r="936" ht="15.75" customHeight="1">
      <c r="A936" s="1"/>
      <c r="B936" s="1"/>
      <c r="C936" s="1"/>
      <c r="E936" s="1"/>
      <c r="G936" s="1"/>
      <c r="I936" s="1"/>
      <c r="K936" s="1"/>
      <c r="M936" s="1"/>
      <c r="O936" s="1"/>
      <c r="Q936" s="1"/>
      <c r="S936" s="1"/>
      <c r="U936" s="1"/>
      <c r="W936" s="1"/>
      <c r="Y936" s="1"/>
      <c r="AA936" s="1"/>
      <c r="AC936" s="1"/>
      <c r="AE936" s="1"/>
      <c r="AG936" s="1"/>
      <c r="AI936" s="1"/>
      <c r="AK936" s="1"/>
      <c r="AM936" s="1"/>
      <c r="AO936" s="1"/>
      <c r="AQ936" s="1"/>
      <c r="AS936" s="1"/>
      <c r="AU936" s="1"/>
      <c r="AW936" s="1"/>
      <c r="AY936" s="1"/>
      <c r="BA936" s="1"/>
      <c r="BC936" s="1"/>
      <c r="BE936" s="1"/>
      <c r="BG936" s="1"/>
      <c r="BI936" s="1"/>
    </row>
    <row r="937" ht="15.75" customHeight="1">
      <c r="A937" s="1"/>
      <c r="B937" s="1"/>
      <c r="C937" s="1"/>
      <c r="E937" s="1"/>
      <c r="G937" s="1"/>
      <c r="I937" s="1"/>
      <c r="K937" s="1"/>
      <c r="M937" s="1"/>
      <c r="O937" s="1"/>
      <c r="Q937" s="1"/>
      <c r="S937" s="1"/>
      <c r="U937" s="1"/>
      <c r="W937" s="1"/>
      <c r="Y937" s="1"/>
      <c r="AA937" s="1"/>
      <c r="AC937" s="1"/>
      <c r="AE937" s="1"/>
      <c r="AG937" s="1"/>
      <c r="AI937" s="1"/>
      <c r="AK937" s="1"/>
      <c r="AM937" s="1"/>
      <c r="AO937" s="1"/>
      <c r="AQ937" s="1"/>
      <c r="AS937" s="1"/>
      <c r="AU937" s="1"/>
      <c r="AW937" s="1"/>
      <c r="AY937" s="1"/>
      <c r="BA937" s="1"/>
      <c r="BC937" s="1"/>
      <c r="BE937" s="1"/>
      <c r="BG937" s="1"/>
      <c r="BI937" s="1"/>
    </row>
    <row r="938" ht="15.75" customHeight="1">
      <c r="A938" s="1"/>
      <c r="B938" s="1"/>
      <c r="C938" s="1"/>
      <c r="E938" s="1"/>
      <c r="G938" s="1"/>
      <c r="I938" s="1"/>
      <c r="K938" s="1"/>
      <c r="M938" s="1"/>
      <c r="O938" s="1"/>
      <c r="Q938" s="1"/>
      <c r="S938" s="1"/>
      <c r="U938" s="1"/>
      <c r="W938" s="1"/>
      <c r="Y938" s="1"/>
      <c r="AA938" s="1"/>
      <c r="AC938" s="1"/>
      <c r="AE938" s="1"/>
      <c r="AG938" s="1"/>
      <c r="AI938" s="1"/>
      <c r="AK938" s="1"/>
      <c r="AM938" s="1"/>
      <c r="AO938" s="1"/>
      <c r="AQ938" s="1"/>
      <c r="AS938" s="1"/>
      <c r="AU938" s="1"/>
      <c r="AW938" s="1"/>
      <c r="AY938" s="1"/>
      <c r="BA938" s="1"/>
      <c r="BC938" s="1"/>
      <c r="BE938" s="1"/>
      <c r="BG938" s="1"/>
      <c r="BI938" s="1"/>
    </row>
    <row r="939" ht="15.75" customHeight="1">
      <c r="A939" s="1"/>
      <c r="B939" s="1"/>
      <c r="C939" s="1"/>
      <c r="E939" s="1"/>
      <c r="G939" s="1"/>
      <c r="I939" s="1"/>
      <c r="K939" s="1"/>
      <c r="M939" s="1"/>
      <c r="O939" s="1"/>
      <c r="Q939" s="1"/>
      <c r="S939" s="1"/>
      <c r="U939" s="1"/>
      <c r="W939" s="1"/>
      <c r="Y939" s="1"/>
      <c r="AA939" s="1"/>
      <c r="AC939" s="1"/>
      <c r="AE939" s="1"/>
      <c r="AG939" s="1"/>
      <c r="AI939" s="1"/>
      <c r="AK939" s="1"/>
      <c r="AM939" s="1"/>
      <c r="AO939" s="1"/>
      <c r="AQ939" s="1"/>
      <c r="AS939" s="1"/>
      <c r="AU939" s="1"/>
      <c r="AW939" s="1"/>
      <c r="AY939" s="1"/>
      <c r="BA939" s="1"/>
      <c r="BC939" s="1"/>
      <c r="BE939" s="1"/>
      <c r="BG939" s="1"/>
      <c r="BI939" s="1"/>
    </row>
    <row r="940" ht="15.75" customHeight="1">
      <c r="A940" s="1"/>
      <c r="B940" s="1"/>
      <c r="C940" s="1"/>
      <c r="E940" s="1"/>
      <c r="G940" s="1"/>
      <c r="I940" s="1"/>
      <c r="K940" s="1"/>
      <c r="M940" s="1"/>
      <c r="O940" s="1"/>
      <c r="Q940" s="1"/>
      <c r="S940" s="1"/>
      <c r="U940" s="1"/>
      <c r="W940" s="1"/>
      <c r="Y940" s="1"/>
      <c r="AA940" s="1"/>
      <c r="AC940" s="1"/>
      <c r="AE940" s="1"/>
      <c r="AG940" s="1"/>
      <c r="AI940" s="1"/>
      <c r="AK940" s="1"/>
      <c r="AM940" s="1"/>
      <c r="AO940" s="1"/>
      <c r="AQ940" s="1"/>
      <c r="AS940" s="1"/>
      <c r="AU940" s="1"/>
      <c r="AW940" s="1"/>
      <c r="AY940" s="1"/>
      <c r="BA940" s="1"/>
      <c r="BC940" s="1"/>
      <c r="BE940" s="1"/>
      <c r="BG940" s="1"/>
      <c r="BI940" s="1"/>
    </row>
    <row r="941" ht="15.75" customHeight="1">
      <c r="A941" s="1"/>
      <c r="B941" s="1"/>
      <c r="C941" s="1"/>
      <c r="E941" s="1"/>
      <c r="G941" s="1"/>
      <c r="I941" s="1"/>
      <c r="K941" s="1"/>
      <c r="M941" s="1"/>
      <c r="O941" s="1"/>
      <c r="Q941" s="1"/>
      <c r="S941" s="1"/>
      <c r="U941" s="1"/>
      <c r="W941" s="1"/>
      <c r="Y941" s="1"/>
      <c r="AA941" s="1"/>
      <c r="AC941" s="1"/>
      <c r="AE941" s="1"/>
      <c r="AG941" s="1"/>
      <c r="AI941" s="1"/>
      <c r="AK941" s="1"/>
      <c r="AM941" s="1"/>
      <c r="AO941" s="1"/>
      <c r="AQ941" s="1"/>
      <c r="AS941" s="1"/>
      <c r="AU941" s="1"/>
      <c r="AW941" s="1"/>
      <c r="AY941" s="1"/>
      <c r="BA941" s="1"/>
      <c r="BC941" s="1"/>
      <c r="BE941" s="1"/>
      <c r="BG941" s="1"/>
      <c r="BI941" s="1"/>
    </row>
    <row r="942" ht="15.75" customHeight="1">
      <c r="A942" s="1"/>
      <c r="B942" s="1"/>
      <c r="C942" s="1"/>
      <c r="E942" s="1"/>
      <c r="G942" s="1"/>
      <c r="I942" s="1"/>
      <c r="K942" s="1"/>
      <c r="M942" s="1"/>
      <c r="O942" s="1"/>
      <c r="Q942" s="1"/>
      <c r="S942" s="1"/>
      <c r="U942" s="1"/>
      <c r="W942" s="1"/>
      <c r="Y942" s="1"/>
      <c r="AA942" s="1"/>
      <c r="AC942" s="1"/>
      <c r="AE942" s="1"/>
      <c r="AG942" s="1"/>
      <c r="AI942" s="1"/>
      <c r="AK942" s="1"/>
      <c r="AM942" s="1"/>
      <c r="AO942" s="1"/>
      <c r="AQ942" s="1"/>
      <c r="AS942" s="1"/>
      <c r="AU942" s="1"/>
      <c r="AW942" s="1"/>
      <c r="AY942" s="1"/>
      <c r="BA942" s="1"/>
      <c r="BC942" s="1"/>
      <c r="BE942" s="1"/>
      <c r="BG942" s="1"/>
      <c r="BI942" s="1"/>
    </row>
    <row r="943" ht="15.75" customHeight="1">
      <c r="A943" s="1"/>
      <c r="B943" s="1"/>
      <c r="C943" s="1"/>
      <c r="E943" s="1"/>
      <c r="G943" s="1"/>
      <c r="I943" s="1"/>
      <c r="K943" s="1"/>
      <c r="M943" s="1"/>
      <c r="O943" s="1"/>
      <c r="Q943" s="1"/>
      <c r="S943" s="1"/>
      <c r="U943" s="1"/>
      <c r="W943" s="1"/>
      <c r="Y943" s="1"/>
      <c r="AA943" s="1"/>
      <c r="AC943" s="1"/>
      <c r="AE943" s="1"/>
      <c r="AG943" s="1"/>
      <c r="AI943" s="1"/>
      <c r="AK943" s="1"/>
      <c r="AM943" s="1"/>
      <c r="AO943" s="1"/>
      <c r="AQ943" s="1"/>
      <c r="AS943" s="1"/>
      <c r="AU943" s="1"/>
      <c r="AW943" s="1"/>
      <c r="AY943" s="1"/>
      <c r="BA943" s="1"/>
      <c r="BC943" s="1"/>
      <c r="BE943" s="1"/>
      <c r="BG943" s="1"/>
      <c r="BI943" s="1"/>
    </row>
    <row r="944" ht="15.75" customHeight="1">
      <c r="A944" s="1"/>
      <c r="B944" s="1"/>
      <c r="C944" s="1"/>
      <c r="E944" s="1"/>
      <c r="G944" s="1"/>
      <c r="I944" s="1"/>
      <c r="K944" s="1"/>
      <c r="M944" s="1"/>
      <c r="O944" s="1"/>
      <c r="Q944" s="1"/>
      <c r="S944" s="1"/>
      <c r="U944" s="1"/>
      <c r="W944" s="1"/>
      <c r="Y944" s="1"/>
      <c r="AA944" s="1"/>
      <c r="AC944" s="1"/>
      <c r="AE944" s="1"/>
      <c r="AG944" s="1"/>
      <c r="AI944" s="1"/>
      <c r="AK944" s="1"/>
      <c r="AM944" s="1"/>
      <c r="AO944" s="1"/>
      <c r="AQ944" s="1"/>
      <c r="AS944" s="1"/>
      <c r="AU944" s="1"/>
      <c r="AW944" s="1"/>
      <c r="AY944" s="1"/>
      <c r="BA944" s="1"/>
      <c r="BC944" s="1"/>
      <c r="BE944" s="1"/>
      <c r="BG944" s="1"/>
      <c r="BI944" s="1"/>
    </row>
    <row r="945" ht="15.75" customHeight="1">
      <c r="A945" s="1"/>
      <c r="B945" s="1"/>
      <c r="C945" s="1"/>
      <c r="E945" s="1"/>
      <c r="G945" s="1"/>
      <c r="I945" s="1"/>
      <c r="K945" s="1"/>
      <c r="M945" s="1"/>
      <c r="O945" s="1"/>
      <c r="Q945" s="1"/>
      <c r="S945" s="1"/>
      <c r="U945" s="1"/>
      <c r="W945" s="1"/>
      <c r="Y945" s="1"/>
      <c r="AA945" s="1"/>
      <c r="AC945" s="1"/>
      <c r="AE945" s="1"/>
      <c r="AG945" s="1"/>
      <c r="AI945" s="1"/>
      <c r="AK945" s="1"/>
      <c r="AM945" s="1"/>
      <c r="AO945" s="1"/>
      <c r="AQ945" s="1"/>
      <c r="AS945" s="1"/>
      <c r="AU945" s="1"/>
      <c r="AW945" s="1"/>
      <c r="AY945" s="1"/>
      <c r="BA945" s="1"/>
      <c r="BC945" s="1"/>
      <c r="BE945" s="1"/>
      <c r="BG945" s="1"/>
      <c r="BI945" s="1"/>
    </row>
    <row r="946" ht="15.75" customHeight="1">
      <c r="A946" s="1"/>
      <c r="B946" s="1"/>
      <c r="C946" s="1"/>
      <c r="E946" s="1"/>
      <c r="G946" s="1"/>
      <c r="I946" s="1"/>
      <c r="K946" s="1"/>
      <c r="M946" s="1"/>
      <c r="O946" s="1"/>
      <c r="Q946" s="1"/>
      <c r="S946" s="1"/>
      <c r="U946" s="1"/>
      <c r="W946" s="1"/>
      <c r="Y946" s="1"/>
      <c r="AA946" s="1"/>
      <c r="AC946" s="1"/>
      <c r="AE946" s="1"/>
      <c r="AG946" s="1"/>
      <c r="AI946" s="1"/>
      <c r="AK946" s="1"/>
      <c r="AM946" s="1"/>
      <c r="AO946" s="1"/>
      <c r="AQ946" s="1"/>
      <c r="AS946" s="1"/>
      <c r="AU946" s="1"/>
      <c r="AW946" s="1"/>
      <c r="AY946" s="1"/>
      <c r="BA946" s="1"/>
      <c r="BC946" s="1"/>
      <c r="BE946" s="1"/>
      <c r="BG946" s="1"/>
      <c r="BI946" s="1"/>
    </row>
    <row r="947" ht="15.75" customHeight="1">
      <c r="A947" s="1"/>
      <c r="B947" s="1"/>
      <c r="C947" s="1"/>
      <c r="E947" s="1"/>
      <c r="G947" s="1"/>
      <c r="I947" s="1"/>
      <c r="K947" s="1"/>
      <c r="M947" s="1"/>
      <c r="O947" s="1"/>
      <c r="Q947" s="1"/>
      <c r="S947" s="1"/>
      <c r="U947" s="1"/>
      <c r="W947" s="1"/>
      <c r="Y947" s="1"/>
      <c r="AA947" s="1"/>
      <c r="AC947" s="1"/>
      <c r="AE947" s="1"/>
      <c r="AG947" s="1"/>
      <c r="AI947" s="1"/>
      <c r="AK947" s="1"/>
      <c r="AM947" s="1"/>
      <c r="AO947" s="1"/>
      <c r="AQ947" s="1"/>
      <c r="AS947" s="1"/>
      <c r="AU947" s="1"/>
      <c r="AW947" s="1"/>
      <c r="AY947" s="1"/>
      <c r="BA947" s="1"/>
      <c r="BC947" s="1"/>
      <c r="BE947" s="1"/>
      <c r="BG947" s="1"/>
      <c r="BI947" s="1"/>
    </row>
    <row r="948" ht="15.75" customHeight="1">
      <c r="A948" s="1"/>
      <c r="B948" s="1"/>
      <c r="C948" s="1"/>
      <c r="E948" s="1"/>
      <c r="G948" s="1"/>
      <c r="I948" s="1"/>
      <c r="K948" s="1"/>
      <c r="M948" s="1"/>
      <c r="O948" s="1"/>
      <c r="Q948" s="1"/>
      <c r="S948" s="1"/>
      <c r="U948" s="1"/>
      <c r="W948" s="1"/>
      <c r="Y948" s="1"/>
      <c r="AA948" s="1"/>
      <c r="AC948" s="1"/>
      <c r="AE948" s="1"/>
      <c r="AG948" s="1"/>
      <c r="AI948" s="1"/>
      <c r="AK948" s="1"/>
      <c r="AM948" s="1"/>
      <c r="AO948" s="1"/>
      <c r="AQ948" s="1"/>
      <c r="AS948" s="1"/>
      <c r="AU948" s="1"/>
      <c r="AW948" s="1"/>
      <c r="AY948" s="1"/>
      <c r="BA948" s="1"/>
      <c r="BC948" s="1"/>
      <c r="BE948" s="1"/>
      <c r="BG948" s="1"/>
      <c r="BI948" s="1"/>
    </row>
    <row r="949" ht="15.75" customHeight="1">
      <c r="A949" s="1"/>
      <c r="B949" s="1"/>
      <c r="C949" s="1"/>
      <c r="E949" s="1"/>
      <c r="G949" s="1"/>
      <c r="I949" s="1"/>
      <c r="K949" s="1"/>
      <c r="M949" s="1"/>
      <c r="O949" s="1"/>
      <c r="Q949" s="1"/>
      <c r="S949" s="1"/>
      <c r="U949" s="1"/>
      <c r="W949" s="1"/>
      <c r="Y949" s="1"/>
      <c r="AA949" s="1"/>
      <c r="AC949" s="1"/>
      <c r="AE949" s="1"/>
      <c r="AG949" s="1"/>
      <c r="AI949" s="1"/>
      <c r="AK949" s="1"/>
      <c r="AM949" s="1"/>
      <c r="AO949" s="1"/>
      <c r="AQ949" s="1"/>
      <c r="AS949" s="1"/>
      <c r="AU949" s="1"/>
      <c r="AW949" s="1"/>
      <c r="AY949" s="1"/>
      <c r="BA949" s="1"/>
      <c r="BC949" s="1"/>
      <c r="BE949" s="1"/>
      <c r="BG949" s="1"/>
      <c r="BI949" s="1"/>
    </row>
    <row r="950" ht="15.75" customHeight="1">
      <c r="A950" s="1"/>
      <c r="B950" s="1"/>
      <c r="C950" s="1"/>
      <c r="E950" s="1"/>
      <c r="G950" s="1"/>
      <c r="I950" s="1"/>
      <c r="K950" s="1"/>
      <c r="M950" s="1"/>
      <c r="O950" s="1"/>
      <c r="Q950" s="1"/>
      <c r="S950" s="1"/>
      <c r="U950" s="1"/>
      <c r="W950" s="1"/>
      <c r="Y950" s="1"/>
      <c r="AA950" s="1"/>
      <c r="AC950" s="1"/>
      <c r="AE950" s="1"/>
      <c r="AG950" s="1"/>
      <c r="AI950" s="1"/>
      <c r="AK950" s="1"/>
      <c r="AM950" s="1"/>
      <c r="AO950" s="1"/>
      <c r="AQ950" s="1"/>
      <c r="AS950" s="1"/>
      <c r="AU950" s="1"/>
      <c r="AW950" s="1"/>
      <c r="AY950" s="1"/>
      <c r="BA950" s="1"/>
      <c r="BC950" s="1"/>
      <c r="BE950" s="1"/>
      <c r="BG950" s="1"/>
      <c r="BI950" s="1"/>
    </row>
    <row r="951" ht="15.75" customHeight="1">
      <c r="A951" s="1"/>
      <c r="B951" s="1"/>
      <c r="C951" s="1"/>
      <c r="E951" s="1"/>
      <c r="G951" s="1"/>
      <c r="I951" s="1"/>
      <c r="K951" s="1"/>
      <c r="M951" s="1"/>
      <c r="O951" s="1"/>
      <c r="Q951" s="1"/>
      <c r="S951" s="1"/>
      <c r="U951" s="1"/>
      <c r="W951" s="1"/>
      <c r="Y951" s="1"/>
      <c r="AA951" s="1"/>
      <c r="AC951" s="1"/>
      <c r="AE951" s="1"/>
      <c r="AG951" s="1"/>
      <c r="AI951" s="1"/>
      <c r="AK951" s="1"/>
      <c r="AM951" s="1"/>
      <c r="AO951" s="1"/>
      <c r="AQ951" s="1"/>
      <c r="AS951" s="1"/>
      <c r="AU951" s="1"/>
      <c r="AW951" s="1"/>
      <c r="AY951" s="1"/>
      <c r="BA951" s="1"/>
      <c r="BC951" s="1"/>
      <c r="BE951" s="1"/>
      <c r="BG951" s="1"/>
      <c r="BI951" s="1"/>
    </row>
    <row r="952" ht="15.75" customHeight="1">
      <c r="A952" s="1"/>
      <c r="B952" s="1"/>
      <c r="C952" s="1"/>
      <c r="E952" s="1"/>
      <c r="G952" s="1"/>
      <c r="I952" s="1"/>
      <c r="K952" s="1"/>
      <c r="M952" s="1"/>
      <c r="O952" s="1"/>
      <c r="Q952" s="1"/>
      <c r="S952" s="1"/>
      <c r="U952" s="1"/>
      <c r="W952" s="1"/>
      <c r="Y952" s="1"/>
      <c r="AA952" s="1"/>
      <c r="AC952" s="1"/>
      <c r="AE952" s="1"/>
      <c r="AG952" s="1"/>
      <c r="AI952" s="1"/>
      <c r="AK952" s="1"/>
      <c r="AM952" s="1"/>
      <c r="AO952" s="1"/>
      <c r="AQ952" s="1"/>
      <c r="AS952" s="1"/>
      <c r="AU952" s="1"/>
      <c r="AW952" s="1"/>
      <c r="AY952" s="1"/>
      <c r="BA952" s="1"/>
      <c r="BC952" s="1"/>
      <c r="BE952" s="1"/>
      <c r="BG952" s="1"/>
      <c r="BI952" s="1"/>
    </row>
    <row r="953" ht="15.75" customHeight="1">
      <c r="A953" s="1"/>
      <c r="B953" s="1"/>
      <c r="C953" s="1"/>
      <c r="E953" s="1"/>
      <c r="G953" s="1"/>
      <c r="I953" s="1"/>
      <c r="K953" s="1"/>
      <c r="M953" s="1"/>
      <c r="O953" s="1"/>
      <c r="Q953" s="1"/>
      <c r="S953" s="1"/>
      <c r="U953" s="1"/>
      <c r="W953" s="1"/>
      <c r="Y953" s="1"/>
      <c r="AA953" s="1"/>
      <c r="AC953" s="1"/>
      <c r="AE953" s="1"/>
      <c r="AG953" s="1"/>
      <c r="AI953" s="1"/>
      <c r="AK953" s="1"/>
      <c r="AM953" s="1"/>
      <c r="AO953" s="1"/>
      <c r="AQ953" s="1"/>
      <c r="AS953" s="1"/>
      <c r="AU953" s="1"/>
      <c r="AW953" s="1"/>
      <c r="AY953" s="1"/>
      <c r="BA953" s="1"/>
      <c r="BC953" s="1"/>
      <c r="BE953" s="1"/>
      <c r="BG953" s="1"/>
      <c r="BI953" s="1"/>
    </row>
    <row r="954" ht="15.75" customHeight="1">
      <c r="A954" s="1"/>
      <c r="B954" s="1"/>
      <c r="C954" s="1"/>
      <c r="E954" s="1"/>
      <c r="G954" s="1"/>
      <c r="I954" s="1"/>
      <c r="K954" s="1"/>
      <c r="M954" s="1"/>
      <c r="O954" s="1"/>
      <c r="Q954" s="1"/>
      <c r="S954" s="1"/>
      <c r="U954" s="1"/>
      <c r="W954" s="1"/>
      <c r="Y954" s="1"/>
      <c r="AA954" s="1"/>
      <c r="AC954" s="1"/>
      <c r="AE954" s="1"/>
      <c r="AG954" s="1"/>
      <c r="AI954" s="1"/>
      <c r="AK954" s="1"/>
      <c r="AM954" s="1"/>
      <c r="AO954" s="1"/>
      <c r="AQ954" s="1"/>
      <c r="AS954" s="1"/>
      <c r="AU954" s="1"/>
      <c r="AW954" s="1"/>
      <c r="AY954" s="1"/>
      <c r="BA954" s="1"/>
      <c r="BC954" s="1"/>
      <c r="BE954" s="1"/>
      <c r="BG954" s="1"/>
      <c r="BI954" s="1"/>
    </row>
    <row r="955" ht="15.75" customHeight="1">
      <c r="A955" s="1"/>
      <c r="B955" s="1"/>
      <c r="C955" s="1"/>
      <c r="E955" s="1"/>
      <c r="G955" s="1"/>
      <c r="I955" s="1"/>
      <c r="K955" s="1"/>
      <c r="M955" s="1"/>
      <c r="O955" s="1"/>
      <c r="Q955" s="1"/>
      <c r="S955" s="1"/>
      <c r="U955" s="1"/>
      <c r="W955" s="1"/>
      <c r="Y955" s="1"/>
      <c r="AA955" s="1"/>
      <c r="AC955" s="1"/>
      <c r="AE955" s="1"/>
      <c r="AG955" s="1"/>
      <c r="AI955" s="1"/>
      <c r="AK955" s="1"/>
      <c r="AM955" s="1"/>
      <c r="AO955" s="1"/>
      <c r="AQ955" s="1"/>
      <c r="AS955" s="1"/>
      <c r="AU955" s="1"/>
      <c r="AW955" s="1"/>
      <c r="AY955" s="1"/>
      <c r="BA955" s="1"/>
      <c r="BC955" s="1"/>
      <c r="BE955" s="1"/>
      <c r="BG955" s="1"/>
      <c r="BI955" s="1"/>
    </row>
    <row r="956" ht="15.75" customHeight="1">
      <c r="A956" s="1"/>
      <c r="B956" s="1"/>
      <c r="C956" s="1"/>
      <c r="E956" s="1"/>
      <c r="G956" s="1"/>
      <c r="I956" s="1"/>
      <c r="K956" s="1"/>
      <c r="M956" s="1"/>
      <c r="O956" s="1"/>
      <c r="Q956" s="1"/>
      <c r="S956" s="1"/>
      <c r="U956" s="1"/>
      <c r="W956" s="1"/>
      <c r="Y956" s="1"/>
      <c r="AA956" s="1"/>
      <c r="AC956" s="1"/>
      <c r="AE956" s="1"/>
      <c r="AG956" s="1"/>
      <c r="AI956" s="1"/>
      <c r="AK956" s="1"/>
      <c r="AM956" s="1"/>
      <c r="AO956" s="1"/>
      <c r="AQ956" s="1"/>
      <c r="AS956" s="1"/>
      <c r="AU956" s="1"/>
      <c r="AW956" s="1"/>
      <c r="AY956" s="1"/>
      <c r="BA956" s="1"/>
      <c r="BC956" s="1"/>
      <c r="BE956" s="1"/>
      <c r="BG956" s="1"/>
      <c r="BI956" s="1"/>
    </row>
    <row r="957" ht="15.75" customHeight="1">
      <c r="A957" s="1"/>
      <c r="B957" s="1"/>
      <c r="C957" s="1"/>
      <c r="E957" s="1"/>
      <c r="G957" s="1"/>
      <c r="I957" s="1"/>
      <c r="K957" s="1"/>
      <c r="M957" s="1"/>
      <c r="O957" s="1"/>
      <c r="Q957" s="1"/>
      <c r="S957" s="1"/>
      <c r="U957" s="1"/>
      <c r="W957" s="1"/>
      <c r="Y957" s="1"/>
      <c r="AA957" s="1"/>
      <c r="AC957" s="1"/>
      <c r="AE957" s="1"/>
      <c r="AG957" s="1"/>
      <c r="AI957" s="1"/>
      <c r="AK957" s="1"/>
      <c r="AM957" s="1"/>
      <c r="AO957" s="1"/>
      <c r="AQ957" s="1"/>
      <c r="AS957" s="1"/>
      <c r="AU957" s="1"/>
      <c r="AW957" s="1"/>
      <c r="AY957" s="1"/>
      <c r="BA957" s="1"/>
      <c r="BC957" s="1"/>
      <c r="BE957" s="1"/>
      <c r="BG957" s="1"/>
      <c r="BI957" s="1"/>
    </row>
    <row r="958" ht="15.75" customHeight="1">
      <c r="A958" s="1"/>
      <c r="B958" s="1"/>
      <c r="C958" s="1"/>
      <c r="E958" s="1"/>
      <c r="G958" s="1"/>
      <c r="I958" s="1"/>
      <c r="K958" s="1"/>
      <c r="M958" s="1"/>
      <c r="O958" s="1"/>
      <c r="Q958" s="1"/>
      <c r="S958" s="1"/>
      <c r="U958" s="1"/>
      <c r="W958" s="1"/>
      <c r="Y958" s="1"/>
      <c r="AA958" s="1"/>
      <c r="AC958" s="1"/>
      <c r="AE958" s="1"/>
      <c r="AG958" s="1"/>
      <c r="AI958" s="1"/>
      <c r="AK958" s="1"/>
      <c r="AM958" s="1"/>
      <c r="AO958" s="1"/>
      <c r="AQ958" s="1"/>
      <c r="AS958" s="1"/>
      <c r="AU958" s="1"/>
      <c r="AW958" s="1"/>
      <c r="AY958" s="1"/>
      <c r="BA958" s="1"/>
      <c r="BC958" s="1"/>
      <c r="BE958" s="1"/>
      <c r="BG958" s="1"/>
      <c r="BI958" s="1"/>
    </row>
    <row r="959" ht="15.75" customHeight="1">
      <c r="A959" s="1"/>
      <c r="B959" s="1"/>
      <c r="C959" s="1"/>
      <c r="E959" s="1"/>
      <c r="G959" s="1"/>
      <c r="I959" s="1"/>
      <c r="K959" s="1"/>
      <c r="M959" s="1"/>
      <c r="O959" s="1"/>
      <c r="Q959" s="1"/>
      <c r="S959" s="1"/>
      <c r="U959" s="1"/>
      <c r="W959" s="1"/>
      <c r="Y959" s="1"/>
      <c r="AA959" s="1"/>
      <c r="AC959" s="1"/>
      <c r="AE959" s="1"/>
      <c r="AG959" s="1"/>
      <c r="AI959" s="1"/>
      <c r="AK959" s="1"/>
      <c r="AM959" s="1"/>
      <c r="AO959" s="1"/>
      <c r="AQ959" s="1"/>
      <c r="AS959" s="1"/>
      <c r="AU959" s="1"/>
      <c r="AW959" s="1"/>
      <c r="AY959" s="1"/>
      <c r="BA959" s="1"/>
      <c r="BC959" s="1"/>
      <c r="BE959" s="1"/>
      <c r="BG959" s="1"/>
      <c r="BI959" s="1"/>
    </row>
    <row r="960" ht="15.75" customHeight="1">
      <c r="A960" s="1"/>
      <c r="B960" s="1"/>
      <c r="C960" s="1"/>
      <c r="E960" s="1"/>
      <c r="G960" s="1"/>
      <c r="I960" s="1"/>
      <c r="K960" s="1"/>
      <c r="M960" s="1"/>
      <c r="O960" s="1"/>
      <c r="Q960" s="1"/>
      <c r="S960" s="1"/>
      <c r="U960" s="1"/>
      <c r="W960" s="1"/>
      <c r="Y960" s="1"/>
      <c r="AA960" s="1"/>
      <c r="AC960" s="1"/>
      <c r="AE960" s="1"/>
      <c r="AG960" s="1"/>
      <c r="AI960" s="1"/>
      <c r="AK960" s="1"/>
      <c r="AM960" s="1"/>
      <c r="AO960" s="1"/>
      <c r="AQ960" s="1"/>
      <c r="AS960" s="1"/>
      <c r="AU960" s="1"/>
      <c r="AW960" s="1"/>
      <c r="AY960" s="1"/>
      <c r="BA960" s="1"/>
      <c r="BC960" s="1"/>
      <c r="BE960" s="1"/>
      <c r="BG960" s="1"/>
      <c r="BI960" s="1"/>
    </row>
    <row r="961" ht="15.75" customHeight="1">
      <c r="A961" s="1"/>
      <c r="B961" s="1"/>
      <c r="C961" s="1"/>
      <c r="E961" s="1"/>
      <c r="G961" s="1"/>
      <c r="I961" s="1"/>
      <c r="K961" s="1"/>
      <c r="M961" s="1"/>
      <c r="O961" s="1"/>
      <c r="Q961" s="1"/>
      <c r="S961" s="1"/>
      <c r="U961" s="1"/>
      <c r="W961" s="1"/>
      <c r="Y961" s="1"/>
      <c r="AA961" s="1"/>
      <c r="AC961" s="1"/>
      <c r="AE961" s="1"/>
      <c r="AG961" s="1"/>
      <c r="AI961" s="1"/>
      <c r="AK961" s="1"/>
      <c r="AM961" s="1"/>
      <c r="AO961" s="1"/>
      <c r="AQ961" s="1"/>
      <c r="AS961" s="1"/>
      <c r="AU961" s="1"/>
      <c r="AW961" s="1"/>
      <c r="AY961" s="1"/>
      <c r="BA961" s="1"/>
      <c r="BC961" s="1"/>
      <c r="BE961" s="1"/>
      <c r="BG961" s="1"/>
      <c r="BI961" s="1"/>
    </row>
    <row r="962" ht="15.75" customHeight="1">
      <c r="A962" s="1"/>
      <c r="B962" s="1"/>
      <c r="C962" s="1"/>
      <c r="E962" s="1"/>
      <c r="G962" s="1"/>
      <c r="I962" s="1"/>
      <c r="K962" s="1"/>
      <c r="M962" s="1"/>
      <c r="O962" s="1"/>
      <c r="Q962" s="1"/>
      <c r="S962" s="1"/>
      <c r="U962" s="1"/>
      <c r="W962" s="1"/>
      <c r="Y962" s="1"/>
      <c r="AA962" s="1"/>
      <c r="AC962" s="1"/>
      <c r="AE962" s="1"/>
      <c r="AG962" s="1"/>
      <c r="AI962" s="1"/>
      <c r="AK962" s="1"/>
      <c r="AM962" s="1"/>
      <c r="AO962" s="1"/>
      <c r="AQ962" s="1"/>
      <c r="AS962" s="1"/>
      <c r="AU962" s="1"/>
      <c r="AW962" s="1"/>
      <c r="AY962" s="1"/>
      <c r="BA962" s="1"/>
      <c r="BC962" s="1"/>
      <c r="BE962" s="1"/>
      <c r="BG962" s="1"/>
      <c r="BI962" s="1"/>
    </row>
    <row r="963" ht="15.75" customHeight="1">
      <c r="A963" s="1"/>
      <c r="B963" s="1"/>
      <c r="C963" s="1"/>
      <c r="E963" s="1"/>
      <c r="G963" s="1"/>
      <c r="I963" s="1"/>
      <c r="K963" s="1"/>
      <c r="M963" s="1"/>
      <c r="O963" s="1"/>
      <c r="Q963" s="1"/>
      <c r="S963" s="1"/>
      <c r="U963" s="1"/>
      <c r="W963" s="1"/>
      <c r="Y963" s="1"/>
      <c r="AA963" s="1"/>
      <c r="AC963" s="1"/>
      <c r="AE963" s="1"/>
      <c r="AG963" s="1"/>
      <c r="AI963" s="1"/>
      <c r="AK963" s="1"/>
      <c r="AM963" s="1"/>
      <c r="AO963" s="1"/>
      <c r="AQ963" s="1"/>
      <c r="AS963" s="1"/>
      <c r="AU963" s="1"/>
      <c r="AW963" s="1"/>
      <c r="AY963" s="1"/>
      <c r="BA963" s="1"/>
      <c r="BC963" s="1"/>
      <c r="BE963" s="1"/>
      <c r="BG963" s="1"/>
      <c r="BI963" s="1"/>
    </row>
    <row r="964" ht="15.75" customHeight="1">
      <c r="A964" s="1"/>
      <c r="B964" s="1"/>
      <c r="C964" s="1"/>
      <c r="E964" s="1"/>
      <c r="G964" s="1"/>
      <c r="I964" s="1"/>
      <c r="K964" s="1"/>
      <c r="M964" s="1"/>
      <c r="O964" s="1"/>
      <c r="Q964" s="1"/>
      <c r="S964" s="1"/>
      <c r="U964" s="1"/>
      <c r="W964" s="1"/>
      <c r="Y964" s="1"/>
      <c r="AA964" s="1"/>
      <c r="AC964" s="1"/>
      <c r="AE964" s="1"/>
      <c r="AG964" s="1"/>
      <c r="AI964" s="1"/>
      <c r="AK964" s="1"/>
      <c r="AM964" s="1"/>
      <c r="AO964" s="1"/>
      <c r="AQ964" s="1"/>
      <c r="AS964" s="1"/>
      <c r="AU964" s="1"/>
      <c r="AW964" s="1"/>
      <c r="AY964" s="1"/>
      <c r="BA964" s="1"/>
      <c r="BC964" s="1"/>
      <c r="BE964" s="1"/>
      <c r="BG964" s="1"/>
      <c r="BI964" s="1"/>
    </row>
    <row r="965" ht="15.75" customHeight="1">
      <c r="A965" s="1"/>
      <c r="B965" s="1"/>
      <c r="C965" s="1"/>
      <c r="E965" s="1"/>
      <c r="G965" s="1"/>
      <c r="I965" s="1"/>
      <c r="K965" s="1"/>
      <c r="M965" s="1"/>
      <c r="O965" s="1"/>
      <c r="Q965" s="1"/>
      <c r="S965" s="1"/>
      <c r="U965" s="1"/>
      <c r="W965" s="1"/>
      <c r="Y965" s="1"/>
      <c r="AA965" s="1"/>
      <c r="AC965" s="1"/>
      <c r="AE965" s="1"/>
      <c r="AG965" s="1"/>
      <c r="AI965" s="1"/>
      <c r="AK965" s="1"/>
      <c r="AM965" s="1"/>
      <c r="AO965" s="1"/>
      <c r="AQ965" s="1"/>
      <c r="AS965" s="1"/>
      <c r="AU965" s="1"/>
      <c r="AW965" s="1"/>
      <c r="AY965" s="1"/>
      <c r="BA965" s="1"/>
      <c r="BC965" s="1"/>
      <c r="BE965" s="1"/>
      <c r="BG965" s="1"/>
      <c r="BI965" s="1"/>
    </row>
    <row r="966" ht="15.75" customHeight="1">
      <c r="A966" s="1"/>
      <c r="B966" s="1"/>
      <c r="C966" s="1"/>
      <c r="E966" s="1"/>
      <c r="G966" s="1"/>
      <c r="I966" s="1"/>
      <c r="K966" s="1"/>
      <c r="M966" s="1"/>
      <c r="O966" s="1"/>
      <c r="Q966" s="1"/>
      <c r="S966" s="1"/>
      <c r="U966" s="1"/>
      <c r="W966" s="1"/>
      <c r="Y966" s="1"/>
      <c r="AA966" s="1"/>
      <c r="AC966" s="1"/>
      <c r="AE966" s="1"/>
      <c r="AG966" s="1"/>
      <c r="AI966" s="1"/>
      <c r="AK966" s="1"/>
      <c r="AM966" s="1"/>
      <c r="AO966" s="1"/>
      <c r="AQ966" s="1"/>
      <c r="AS966" s="1"/>
      <c r="AU966" s="1"/>
      <c r="AW966" s="1"/>
      <c r="AY966" s="1"/>
      <c r="BA966" s="1"/>
      <c r="BC966" s="1"/>
      <c r="BE966" s="1"/>
      <c r="BG966" s="1"/>
      <c r="BI966" s="1"/>
    </row>
    <row r="967" ht="15.75" customHeight="1">
      <c r="A967" s="1"/>
      <c r="B967" s="1"/>
      <c r="C967" s="1"/>
      <c r="E967" s="1"/>
      <c r="G967" s="1"/>
      <c r="I967" s="1"/>
      <c r="K967" s="1"/>
      <c r="M967" s="1"/>
      <c r="O967" s="1"/>
      <c r="Q967" s="1"/>
      <c r="S967" s="1"/>
      <c r="U967" s="1"/>
      <c r="W967" s="1"/>
      <c r="Y967" s="1"/>
      <c r="AA967" s="1"/>
      <c r="AC967" s="1"/>
      <c r="AE967" s="1"/>
      <c r="AG967" s="1"/>
      <c r="AI967" s="1"/>
      <c r="AK967" s="1"/>
      <c r="AM967" s="1"/>
      <c r="AO967" s="1"/>
      <c r="AQ967" s="1"/>
      <c r="AS967" s="1"/>
      <c r="AU967" s="1"/>
      <c r="AW967" s="1"/>
      <c r="AY967" s="1"/>
      <c r="BA967" s="1"/>
      <c r="BC967" s="1"/>
      <c r="BE967" s="1"/>
      <c r="BG967" s="1"/>
      <c r="BI967" s="1"/>
    </row>
    <row r="968" ht="15.75" customHeight="1">
      <c r="A968" s="1"/>
      <c r="B968" s="1"/>
      <c r="C968" s="1"/>
      <c r="E968" s="1"/>
      <c r="G968" s="1"/>
      <c r="I968" s="1"/>
      <c r="K968" s="1"/>
      <c r="M968" s="1"/>
      <c r="O968" s="1"/>
      <c r="Q968" s="1"/>
      <c r="S968" s="1"/>
      <c r="U968" s="1"/>
      <c r="W968" s="1"/>
      <c r="Y968" s="1"/>
      <c r="AA968" s="1"/>
      <c r="AC968" s="1"/>
      <c r="AE968" s="1"/>
      <c r="AG968" s="1"/>
      <c r="AI968" s="1"/>
      <c r="AK968" s="1"/>
      <c r="AM968" s="1"/>
      <c r="AO968" s="1"/>
      <c r="AQ968" s="1"/>
      <c r="AS968" s="1"/>
      <c r="AU968" s="1"/>
      <c r="AW968" s="1"/>
      <c r="AY968" s="1"/>
      <c r="BA968" s="1"/>
      <c r="BC968" s="1"/>
      <c r="BE968" s="1"/>
      <c r="BG968" s="1"/>
      <c r="BI968" s="1"/>
    </row>
    <row r="969" ht="15.75" customHeight="1">
      <c r="A969" s="1"/>
      <c r="B969" s="1"/>
      <c r="C969" s="1"/>
      <c r="E969" s="1"/>
      <c r="G969" s="1"/>
      <c r="I969" s="1"/>
      <c r="K969" s="1"/>
      <c r="M969" s="1"/>
      <c r="O969" s="1"/>
      <c r="Q969" s="1"/>
      <c r="S969" s="1"/>
      <c r="U969" s="1"/>
      <c r="W969" s="1"/>
      <c r="Y969" s="1"/>
      <c r="AA969" s="1"/>
      <c r="AC969" s="1"/>
      <c r="AE969" s="1"/>
      <c r="AG969" s="1"/>
      <c r="AI969" s="1"/>
      <c r="AK969" s="1"/>
      <c r="AM969" s="1"/>
      <c r="AO969" s="1"/>
      <c r="AQ969" s="1"/>
      <c r="AS969" s="1"/>
      <c r="AU969" s="1"/>
      <c r="AW969" s="1"/>
      <c r="AY969" s="1"/>
      <c r="BA969" s="1"/>
      <c r="BC969" s="1"/>
      <c r="BE969" s="1"/>
      <c r="BG969" s="1"/>
      <c r="BI969" s="1"/>
    </row>
    <row r="970" ht="15.75" customHeight="1">
      <c r="A970" s="1"/>
      <c r="B970" s="1"/>
      <c r="C970" s="1"/>
      <c r="E970" s="1"/>
      <c r="G970" s="1"/>
      <c r="I970" s="1"/>
      <c r="K970" s="1"/>
      <c r="M970" s="1"/>
      <c r="O970" s="1"/>
      <c r="Q970" s="1"/>
      <c r="S970" s="1"/>
      <c r="U970" s="1"/>
      <c r="W970" s="1"/>
      <c r="Y970" s="1"/>
      <c r="AA970" s="1"/>
      <c r="AC970" s="1"/>
      <c r="AE970" s="1"/>
      <c r="AG970" s="1"/>
      <c r="AI970" s="1"/>
      <c r="AK970" s="1"/>
      <c r="AM970" s="1"/>
      <c r="AO970" s="1"/>
      <c r="AQ970" s="1"/>
      <c r="AS970" s="1"/>
      <c r="AU970" s="1"/>
      <c r="AW970" s="1"/>
      <c r="AY970" s="1"/>
      <c r="BA970" s="1"/>
      <c r="BC970" s="1"/>
      <c r="BE970" s="1"/>
      <c r="BG970" s="1"/>
      <c r="BI970" s="1"/>
    </row>
    <row r="971" ht="15.75" customHeight="1">
      <c r="A971" s="1"/>
      <c r="B971" s="1"/>
      <c r="C971" s="1"/>
      <c r="E971" s="1"/>
      <c r="G971" s="1"/>
      <c r="I971" s="1"/>
      <c r="K971" s="1"/>
      <c r="M971" s="1"/>
      <c r="O971" s="1"/>
      <c r="Q971" s="1"/>
      <c r="S971" s="1"/>
      <c r="U971" s="1"/>
      <c r="W971" s="1"/>
      <c r="Y971" s="1"/>
      <c r="AA971" s="1"/>
      <c r="AC971" s="1"/>
      <c r="AE971" s="1"/>
      <c r="AG971" s="1"/>
      <c r="AI971" s="1"/>
      <c r="AK971" s="1"/>
      <c r="AM971" s="1"/>
      <c r="AO971" s="1"/>
      <c r="AQ971" s="1"/>
      <c r="AS971" s="1"/>
      <c r="AU971" s="1"/>
      <c r="AW971" s="1"/>
      <c r="AY971" s="1"/>
      <c r="BA971" s="1"/>
      <c r="BC971" s="1"/>
      <c r="BE971" s="1"/>
      <c r="BG971" s="1"/>
      <c r="BI971" s="1"/>
    </row>
    <row r="972" ht="15.75" customHeight="1">
      <c r="A972" s="1"/>
      <c r="B972" s="1"/>
      <c r="C972" s="1"/>
      <c r="E972" s="1"/>
      <c r="G972" s="1"/>
      <c r="I972" s="1"/>
      <c r="K972" s="1"/>
      <c r="M972" s="1"/>
      <c r="O972" s="1"/>
      <c r="Q972" s="1"/>
      <c r="S972" s="1"/>
      <c r="U972" s="1"/>
      <c r="W972" s="1"/>
      <c r="Y972" s="1"/>
      <c r="AA972" s="1"/>
      <c r="AC972" s="1"/>
      <c r="AE972" s="1"/>
      <c r="AG972" s="1"/>
      <c r="AI972" s="1"/>
      <c r="AK972" s="1"/>
      <c r="AM972" s="1"/>
      <c r="AO972" s="1"/>
      <c r="AQ972" s="1"/>
      <c r="AS972" s="1"/>
      <c r="AU972" s="1"/>
      <c r="AW972" s="1"/>
      <c r="AY972" s="1"/>
      <c r="BA972" s="1"/>
      <c r="BC972" s="1"/>
      <c r="BE972" s="1"/>
      <c r="BG972" s="1"/>
      <c r="BI972" s="1"/>
    </row>
    <row r="973" ht="15.75" customHeight="1">
      <c r="A973" s="1"/>
      <c r="B973" s="1"/>
      <c r="C973" s="1"/>
      <c r="E973" s="1"/>
      <c r="G973" s="1"/>
      <c r="I973" s="1"/>
      <c r="K973" s="1"/>
      <c r="M973" s="1"/>
      <c r="O973" s="1"/>
      <c r="Q973" s="1"/>
      <c r="S973" s="1"/>
      <c r="U973" s="1"/>
      <c r="W973" s="1"/>
      <c r="Y973" s="1"/>
      <c r="AA973" s="1"/>
      <c r="AC973" s="1"/>
      <c r="AE973" s="1"/>
      <c r="AG973" s="1"/>
      <c r="AI973" s="1"/>
      <c r="AK973" s="1"/>
      <c r="AM973" s="1"/>
      <c r="AO973" s="1"/>
      <c r="AQ973" s="1"/>
      <c r="AS973" s="1"/>
      <c r="AU973" s="1"/>
      <c r="AW973" s="1"/>
      <c r="AY973" s="1"/>
      <c r="BA973" s="1"/>
      <c r="BC973" s="1"/>
      <c r="BE973" s="1"/>
      <c r="BG973" s="1"/>
      <c r="BI973" s="1"/>
    </row>
    <row r="974" ht="15.75" customHeight="1">
      <c r="A974" s="1"/>
      <c r="B974" s="1"/>
      <c r="C974" s="1"/>
      <c r="E974" s="1"/>
      <c r="G974" s="1"/>
      <c r="I974" s="1"/>
      <c r="K974" s="1"/>
      <c r="M974" s="1"/>
      <c r="O974" s="1"/>
      <c r="Q974" s="1"/>
      <c r="S974" s="1"/>
      <c r="U974" s="1"/>
      <c r="W974" s="1"/>
      <c r="Y974" s="1"/>
      <c r="AA974" s="1"/>
      <c r="AC974" s="1"/>
      <c r="AE974" s="1"/>
      <c r="AG974" s="1"/>
      <c r="AI974" s="1"/>
      <c r="AK974" s="1"/>
      <c r="AM974" s="1"/>
      <c r="AO974" s="1"/>
      <c r="AQ974" s="1"/>
      <c r="AS974" s="1"/>
      <c r="AU974" s="1"/>
      <c r="AW974" s="1"/>
      <c r="AY974" s="1"/>
      <c r="BA974" s="1"/>
      <c r="BC974" s="1"/>
      <c r="BE974" s="1"/>
      <c r="BG974" s="1"/>
      <c r="BI974" s="1"/>
    </row>
    <row r="975" ht="15.75" customHeight="1">
      <c r="A975" s="1"/>
      <c r="B975" s="1"/>
      <c r="C975" s="1"/>
      <c r="E975" s="1"/>
      <c r="G975" s="1"/>
      <c r="I975" s="1"/>
      <c r="K975" s="1"/>
      <c r="M975" s="1"/>
      <c r="O975" s="1"/>
      <c r="Q975" s="1"/>
      <c r="S975" s="1"/>
      <c r="U975" s="1"/>
      <c r="W975" s="1"/>
      <c r="Y975" s="1"/>
      <c r="AA975" s="1"/>
      <c r="AC975" s="1"/>
      <c r="AE975" s="1"/>
      <c r="AG975" s="1"/>
      <c r="AI975" s="1"/>
      <c r="AK975" s="1"/>
      <c r="AM975" s="1"/>
      <c r="AO975" s="1"/>
      <c r="AQ975" s="1"/>
      <c r="AS975" s="1"/>
      <c r="AU975" s="1"/>
      <c r="AW975" s="1"/>
      <c r="AY975" s="1"/>
      <c r="BA975" s="1"/>
      <c r="BC975" s="1"/>
      <c r="BE975" s="1"/>
      <c r="BG975" s="1"/>
      <c r="BI975" s="1"/>
    </row>
    <row r="976" ht="15.75" customHeight="1">
      <c r="A976" s="1"/>
      <c r="B976" s="1"/>
      <c r="C976" s="1"/>
      <c r="E976" s="1"/>
      <c r="G976" s="1"/>
      <c r="I976" s="1"/>
      <c r="K976" s="1"/>
      <c r="M976" s="1"/>
      <c r="O976" s="1"/>
      <c r="Q976" s="1"/>
      <c r="S976" s="1"/>
      <c r="U976" s="1"/>
      <c r="W976" s="1"/>
      <c r="Y976" s="1"/>
      <c r="AA976" s="1"/>
      <c r="AC976" s="1"/>
      <c r="AE976" s="1"/>
      <c r="AG976" s="1"/>
      <c r="AI976" s="1"/>
      <c r="AK976" s="1"/>
      <c r="AM976" s="1"/>
      <c r="AO976" s="1"/>
      <c r="AQ976" s="1"/>
      <c r="AS976" s="1"/>
      <c r="AU976" s="1"/>
      <c r="AW976" s="1"/>
      <c r="AY976" s="1"/>
      <c r="BA976" s="1"/>
      <c r="BC976" s="1"/>
      <c r="BE976" s="1"/>
      <c r="BG976" s="1"/>
      <c r="BI976" s="1"/>
    </row>
    <row r="977" ht="15.75" customHeight="1">
      <c r="A977" s="1"/>
      <c r="B977" s="1"/>
      <c r="C977" s="1"/>
      <c r="E977" s="1"/>
      <c r="G977" s="1"/>
      <c r="I977" s="1"/>
      <c r="K977" s="1"/>
      <c r="M977" s="1"/>
      <c r="O977" s="1"/>
      <c r="Q977" s="1"/>
      <c r="S977" s="1"/>
      <c r="U977" s="1"/>
      <c r="W977" s="1"/>
      <c r="Y977" s="1"/>
      <c r="AA977" s="1"/>
      <c r="AC977" s="1"/>
      <c r="AE977" s="1"/>
      <c r="AG977" s="1"/>
      <c r="AI977" s="1"/>
      <c r="AK977" s="1"/>
      <c r="AM977" s="1"/>
      <c r="AO977" s="1"/>
      <c r="AQ977" s="1"/>
      <c r="AS977" s="1"/>
      <c r="AU977" s="1"/>
      <c r="AW977" s="1"/>
      <c r="AY977" s="1"/>
      <c r="BA977" s="1"/>
      <c r="BC977" s="1"/>
      <c r="BE977" s="1"/>
      <c r="BG977" s="1"/>
      <c r="BI977" s="1"/>
    </row>
    <row r="978" ht="15.75" customHeight="1">
      <c r="A978" s="1"/>
      <c r="B978" s="1"/>
      <c r="C978" s="1"/>
      <c r="E978" s="1"/>
      <c r="G978" s="1"/>
      <c r="I978" s="1"/>
      <c r="K978" s="1"/>
      <c r="M978" s="1"/>
      <c r="O978" s="1"/>
      <c r="Q978" s="1"/>
      <c r="S978" s="1"/>
      <c r="U978" s="1"/>
      <c r="W978" s="1"/>
      <c r="Y978" s="1"/>
      <c r="AA978" s="1"/>
      <c r="AC978" s="1"/>
      <c r="AE978" s="1"/>
      <c r="AG978" s="1"/>
      <c r="AI978" s="1"/>
      <c r="AK978" s="1"/>
      <c r="AM978" s="1"/>
      <c r="AO978" s="1"/>
      <c r="AQ978" s="1"/>
      <c r="AS978" s="1"/>
      <c r="AU978" s="1"/>
      <c r="AW978" s="1"/>
      <c r="AY978" s="1"/>
      <c r="BA978" s="1"/>
      <c r="BC978" s="1"/>
      <c r="BE978" s="1"/>
      <c r="BG978" s="1"/>
      <c r="BI978" s="1"/>
    </row>
    <row r="979" ht="15.75" customHeight="1">
      <c r="A979" s="1"/>
      <c r="B979" s="1"/>
      <c r="C979" s="1"/>
      <c r="E979" s="1"/>
      <c r="G979" s="1"/>
      <c r="I979" s="1"/>
      <c r="K979" s="1"/>
      <c r="M979" s="1"/>
      <c r="O979" s="1"/>
      <c r="Q979" s="1"/>
      <c r="S979" s="1"/>
      <c r="U979" s="1"/>
      <c r="W979" s="1"/>
      <c r="Y979" s="1"/>
      <c r="AA979" s="1"/>
      <c r="AC979" s="1"/>
      <c r="AE979" s="1"/>
      <c r="AG979" s="1"/>
      <c r="AI979" s="1"/>
      <c r="AK979" s="1"/>
      <c r="AM979" s="1"/>
      <c r="AO979" s="1"/>
      <c r="AQ979" s="1"/>
      <c r="AS979" s="1"/>
      <c r="AU979" s="1"/>
      <c r="AW979" s="1"/>
      <c r="AY979" s="1"/>
      <c r="BA979" s="1"/>
      <c r="BC979" s="1"/>
      <c r="BE979" s="1"/>
      <c r="BG979" s="1"/>
      <c r="BI979" s="1"/>
    </row>
    <row r="980" ht="15.75" customHeight="1">
      <c r="A980" s="1"/>
      <c r="B980" s="1"/>
      <c r="C980" s="1"/>
      <c r="E980" s="1"/>
      <c r="G980" s="1"/>
      <c r="I980" s="1"/>
      <c r="K980" s="1"/>
      <c r="M980" s="1"/>
      <c r="O980" s="1"/>
      <c r="Q980" s="1"/>
      <c r="S980" s="1"/>
      <c r="U980" s="1"/>
      <c r="W980" s="1"/>
      <c r="Y980" s="1"/>
      <c r="AA980" s="1"/>
      <c r="AC980" s="1"/>
      <c r="AE980" s="1"/>
      <c r="AG980" s="1"/>
      <c r="AI980" s="1"/>
      <c r="AK980" s="1"/>
      <c r="AM980" s="1"/>
      <c r="AO980" s="1"/>
      <c r="AQ980" s="1"/>
      <c r="AS980" s="1"/>
      <c r="AU980" s="1"/>
      <c r="AW980" s="1"/>
      <c r="AY980" s="1"/>
      <c r="BA980" s="1"/>
      <c r="BC980" s="1"/>
      <c r="BE980" s="1"/>
      <c r="BG980" s="1"/>
      <c r="BI980" s="1"/>
    </row>
    <row r="981" ht="15.75" customHeight="1">
      <c r="A981" s="1"/>
      <c r="B981" s="1"/>
      <c r="C981" s="1"/>
      <c r="E981" s="1"/>
      <c r="G981" s="1"/>
      <c r="I981" s="1"/>
      <c r="K981" s="1"/>
      <c r="M981" s="1"/>
      <c r="O981" s="1"/>
      <c r="Q981" s="1"/>
      <c r="S981" s="1"/>
      <c r="U981" s="1"/>
      <c r="W981" s="1"/>
      <c r="Y981" s="1"/>
      <c r="AA981" s="1"/>
      <c r="AC981" s="1"/>
      <c r="AE981" s="1"/>
      <c r="AG981" s="1"/>
      <c r="AI981" s="1"/>
      <c r="AK981" s="1"/>
      <c r="AM981" s="1"/>
      <c r="AO981" s="1"/>
      <c r="AQ981" s="1"/>
      <c r="AS981" s="1"/>
      <c r="AU981" s="1"/>
      <c r="AW981" s="1"/>
      <c r="AY981" s="1"/>
      <c r="BA981" s="1"/>
      <c r="BC981" s="1"/>
      <c r="BE981" s="1"/>
      <c r="BG981" s="1"/>
      <c r="BI981" s="1"/>
    </row>
    <row r="982" ht="15.75" customHeight="1">
      <c r="A982" s="1"/>
      <c r="B982" s="1"/>
      <c r="C982" s="1"/>
      <c r="E982" s="1"/>
      <c r="G982" s="1"/>
      <c r="I982" s="1"/>
      <c r="K982" s="1"/>
      <c r="M982" s="1"/>
      <c r="O982" s="1"/>
      <c r="Q982" s="1"/>
      <c r="S982" s="1"/>
      <c r="U982" s="1"/>
      <c r="W982" s="1"/>
      <c r="Y982" s="1"/>
      <c r="AA982" s="1"/>
      <c r="AC982" s="1"/>
      <c r="AE982" s="1"/>
      <c r="AG982" s="1"/>
      <c r="AI982" s="1"/>
      <c r="AK982" s="1"/>
      <c r="AM982" s="1"/>
      <c r="AO982" s="1"/>
      <c r="AQ982" s="1"/>
      <c r="AS982" s="1"/>
      <c r="AU982" s="1"/>
      <c r="AW982" s="1"/>
      <c r="AY982" s="1"/>
      <c r="BA982" s="1"/>
      <c r="BC982" s="1"/>
      <c r="BE982" s="1"/>
      <c r="BG982" s="1"/>
      <c r="BI982" s="1"/>
    </row>
    <row r="983" ht="15.75" customHeight="1">
      <c r="A983" s="1"/>
      <c r="B983" s="1"/>
      <c r="C983" s="1"/>
      <c r="E983" s="1"/>
      <c r="G983" s="1"/>
      <c r="I983" s="1"/>
      <c r="K983" s="1"/>
      <c r="M983" s="1"/>
      <c r="O983" s="1"/>
      <c r="Q983" s="1"/>
      <c r="S983" s="1"/>
      <c r="U983" s="1"/>
      <c r="W983" s="1"/>
      <c r="Y983" s="1"/>
      <c r="AA983" s="1"/>
      <c r="AC983" s="1"/>
      <c r="AE983" s="1"/>
      <c r="AG983" s="1"/>
      <c r="AI983" s="1"/>
      <c r="AK983" s="1"/>
      <c r="AM983" s="1"/>
      <c r="AO983" s="1"/>
      <c r="AQ983" s="1"/>
      <c r="AS983" s="1"/>
      <c r="AU983" s="1"/>
      <c r="AW983" s="1"/>
      <c r="AY983" s="1"/>
      <c r="BA983" s="1"/>
      <c r="BC983" s="1"/>
      <c r="BE983" s="1"/>
      <c r="BG983" s="1"/>
      <c r="BI983" s="1"/>
    </row>
    <row r="984" ht="15.75" customHeight="1">
      <c r="A984" s="1"/>
      <c r="B984" s="1"/>
      <c r="C984" s="1"/>
      <c r="E984" s="1"/>
      <c r="G984" s="1"/>
      <c r="I984" s="1"/>
      <c r="K984" s="1"/>
      <c r="M984" s="1"/>
      <c r="O984" s="1"/>
      <c r="Q984" s="1"/>
      <c r="S984" s="1"/>
      <c r="U984" s="1"/>
      <c r="W984" s="1"/>
      <c r="Y984" s="1"/>
      <c r="AA984" s="1"/>
      <c r="AC984" s="1"/>
      <c r="AE984" s="1"/>
      <c r="AG984" s="1"/>
      <c r="AI984" s="1"/>
      <c r="AK984" s="1"/>
      <c r="AM984" s="1"/>
      <c r="AO984" s="1"/>
      <c r="AQ984" s="1"/>
      <c r="AS984" s="1"/>
      <c r="AU984" s="1"/>
      <c r="AW984" s="1"/>
      <c r="AY984" s="1"/>
      <c r="BA984" s="1"/>
      <c r="BC984" s="1"/>
      <c r="BE984" s="1"/>
      <c r="BG984" s="1"/>
      <c r="BI984" s="1"/>
    </row>
    <row r="985" ht="15.75" customHeight="1">
      <c r="A985" s="1"/>
      <c r="B985" s="1"/>
      <c r="C985" s="1"/>
      <c r="E985" s="1"/>
      <c r="G985" s="1"/>
      <c r="I985" s="1"/>
      <c r="K985" s="1"/>
      <c r="M985" s="1"/>
      <c r="O985" s="1"/>
      <c r="Q985" s="1"/>
      <c r="S985" s="1"/>
      <c r="U985" s="1"/>
      <c r="W985" s="1"/>
      <c r="Y985" s="1"/>
      <c r="AA985" s="1"/>
      <c r="AC985" s="1"/>
      <c r="AE985" s="1"/>
      <c r="AG985" s="1"/>
      <c r="AI985" s="1"/>
      <c r="AK985" s="1"/>
      <c r="AM985" s="1"/>
      <c r="AO985" s="1"/>
      <c r="AQ985" s="1"/>
      <c r="AS985" s="1"/>
      <c r="AU985" s="1"/>
      <c r="AW985" s="1"/>
      <c r="AY985" s="1"/>
      <c r="BA985" s="1"/>
      <c r="BC985" s="1"/>
      <c r="BE985" s="1"/>
      <c r="BG985" s="1"/>
      <c r="BI985" s="1"/>
    </row>
    <row r="986" ht="15.75" customHeight="1">
      <c r="A986" s="1"/>
      <c r="B986" s="1"/>
      <c r="C986" s="1"/>
      <c r="E986" s="1"/>
      <c r="G986" s="1"/>
      <c r="I986" s="1"/>
      <c r="K986" s="1"/>
      <c r="M986" s="1"/>
      <c r="O986" s="1"/>
      <c r="Q986" s="1"/>
      <c r="S986" s="1"/>
      <c r="U986" s="1"/>
      <c r="W986" s="1"/>
      <c r="Y986" s="1"/>
      <c r="AA986" s="1"/>
      <c r="AC986" s="1"/>
      <c r="AE986" s="1"/>
      <c r="AG986" s="1"/>
      <c r="AI986" s="1"/>
      <c r="AK986" s="1"/>
      <c r="AM986" s="1"/>
      <c r="AO986" s="1"/>
      <c r="AQ986" s="1"/>
      <c r="AS986" s="1"/>
      <c r="AU986" s="1"/>
      <c r="AW986" s="1"/>
      <c r="AY986" s="1"/>
      <c r="BA986" s="1"/>
      <c r="BC986" s="1"/>
      <c r="BE986" s="1"/>
      <c r="BG986" s="1"/>
      <c r="BI986" s="1"/>
    </row>
    <row r="987" ht="15.75" customHeight="1">
      <c r="A987" s="1"/>
      <c r="B987" s="1"/>
      <c r="C987" s="1"/>
      <c r="E987" s="1"/>
      <c r="G987" s="1"/>
      <c r="I987" s="1"/>
      <c r="K987" s="1"/>
      <c r="M987" s="1"/>
      <c r="O987" s="1"/>
      <c r="Q987" s="1"/>
      <c r="S987" s="1"/>
      <c r="U987" s="1"/>
      <c r="W987" s="1"/>
      <c r="Y987" s="1"/>
      <c r="AA987" s="1"/>
      <c r="AC987" s="1"/>
      <c r="AE987" s="1"/>
      <c r="AG987" s="1"/>
      <c r="AI987" s="1"/>
      <c r="AK987" s="1"/>
      <c r="AM987" s="1"/>
      <c r="AO987" s="1"/>
      <c r="AQ987" s="1"/>
      <c r="AS987" s="1"/>
      <c r="AU987" s="1"/>
      <c r="AW987" s="1"/>
      <c r="AY987" s="1"/>
      <c r="BA987" s="1"/>
      <c r="BC987" s="1"/>
      <c r="BE987" s="1"/>
      <c r="BG987" s="1"/>
      <c r="BI987" s="1"/>
    </row>
    <row r="988" ht="15.75" customHeight="1">
      <c r="A988" s="1"/>
      <c r="B988" s="1"/>
      <c r="C988" s="1"/>
      <c r="E988" s="1"/>
      <c r="G988" s="1"/>
      <c r="I988" s="1"/>
      <c r="K988" s="1"/>
      <c r="M988" s="1"/>
      <c r="O988" s="1"/>
      <c r="Q988" s="1"/>
      <c r="S988" s="1"/>
      <c r="U988" s="1"/>
      <c r="W988" s="1"/>
      <c r="Y988" s="1"/>
      <c r="AA988" s="1"/>
      <c r="AC988" s="1"/>
      <c r="AE988" s="1"/>
      <c r="AG988" s="1"/>
      <c r="AI988" s="1"/>
      <c r="AK988" s="1"/>
      <c r="AM988" s="1"/>
      <c r="AO988" s="1"/>
      <c r="AQ988" s="1"/>
      <c r="AS988" s="1"/>
      <c r="AU988" s="1"/>
      <c r="AW988" s="1"/>
      <c r="AY988" s="1"/>
      <c r="BA988" s="1"/>
      <c r="BC988" s="1"/>
      <c r="BE988" s="1"/>
      <c r="BG988" s="1"/>
      <c r="BI988" s="1"/>
    </row>
    <row r="989" ht="15.75" customHeight="1">
      <c r="A989" s="1"/>
      <c r="B989" s="1"/>
      <c r="C989" s="1"/>
      <c r="E989" s="1"/>
      <c r="G989" s="1"/>
      <c r="I989" s="1"/>
      <c r="K989" s="1"/>
      <c r="M989" s="1"/>
      <c r="O989" s="1"/>
      <c r="Q989" s="1"/>
      <c r="S989" s="1"/>
      <c r="U989" s="1"/>
      <c r="W989" s="1"/>
      <c r="Y989" s="1"/>
      <c r="AA989" s="1"/>
      <c r="AC989" s="1"/>
      <c r="AE989" s="1"/>
      <c r="AG989" s="1"/>
      <c r="AI989" s="1"/>
      <c r="AK989" s="1"/>
      <c r="AM989" s="1"/>
      <c r="AO989" s="1"/>
      <c r="AQ989" s="1"/>
      <c r="AS989" s="1"/>
      <c r="AU989" s="1"/>
      <c r="AW989" s="1"/>
      <c r="AY989" s="1"/>
      <c r="BA989" s="1"/>
      <c r="BC989" s="1"/>
      <c r="BE989" s="1"/>
      <c r="BG989" s="1"/>
      <c r="BI989" s="1"/>
    </row>
    <row r="990" ht="15.75" customHeight="1">
      <c r="A990" s="1"/>
      <c r="B990" s="1"/>
      <c r="C990" s="1"/>
      <c r="E990" s="1"/>
      <c r="G990" s="1"/>
      <c r="I990" s="1"/>
      <c r="K990" s="1"/>
      <c r="M990" s="1"/>
      <c r="O990" s="1"/>
      <c r="Q990" s="1"/>
      <c r="S990" s="1"/>
      <c r="U990" s="1"/>
      <c r="W990" s="1"/>
      <c r="Y990" s="1"/>
      <c r="AA990" s="1"/>
      <c r="AC990" s="1"/>
      <c r="AE990" s="1"/>
      <c r="AG990" s="1"/>
      <c r="AI990" s="1"/>
      <c r="AK990" s="1"/>
      <c r="AM990" s="1"/>
      <c r="AO990" s="1"/>
      <c r="AQ990" s="1"/>
      <c r="AS990" s="1"/>
      <c r="AU990" s="1"/>
      <c r="AW990" s="1"/>
      <c r="AY990" s="1"/>
      <c r="BA990" s="1"/>
      <c r="BC990" s="1"/>
      <c r="BE990" s="1"/>
      <c r="BG990" s="1"/>
      <c r="BI990" s="1"/>
    </row>
    <row r="991" ht="15.75" customHeight="1">
      <c r="A991" s="1"/>
      <c r="B991" s="1"/>
      <c r="C991" s="1"/>
      <c r="E991" s="1"/>
      <c r="G991" s="1"/>
      <c r="I991" s="1"/>
      <c r="K991" s="1"/>
      <c r="M991" s="1"/>
      <c r="O991" s="1"/>
      <c r="Q991" s="1"/>
      <c r="S991" s="1"/>
      <c r="U991" s="1"/>
      <c r="W991" s="1"/>
      <c r="Y991" s="1"/>
      <c r="AA991" s="1"/>
      <c r="AC991" s="1"/>
      <c r="AE991" s="1"/>
      <c r="AG991" s="1"/>
      <c r="AI991" s="1"/>
      <c r="AK991" s="1"/>
      <c r="AM991" s="1"/>
      <c r="AO991" s="1"/>
      <c r="AQ991" s="1"/>
      <c r="AS991" s="1"/>
      <c r="AU991" s="1"/>
      <c r="AW991" s="1"/>
      <c r="AY991" s="1"/>
      <c r="BA991" s="1"/>
      <c r="BC991" s="1"/>
      <c r="BE991" s="1"/>
      <c r="BG991" s="1"/>
      <c r="BI991" s="1"/>
    </row>
    <row r="992" ht="15.75" customHeight="1">
      <c r="A992" s="1"/>
      <c r="B992" s="1"/>
      <c r="C992" s="1"/>
      <c r="E992" s="1"/>
      <c r="G992" s="1"/>
      <c r="I992" s="1"/>
      <c r="K992" s="1"/>
      <c r="M992" s="1"/>
      <c r="O992" s="1"/>
      <c r="Q992" s="1"/>
      <c r="S992" s="1"/>
      <c r="U992" s="1"/>
      <c r="W992" s="1"/>
      <c r="Y992" s="1"/>
      <c r="AA992" s="1"/>
      <c r="AC992" s="1"/>
      <c r="AE992" s="1"/>
      <c r="AG992" s="1"/>
      <c r="AI992" s="1"/>
      <c r="AK992" s="1"/>
      <c r="AM992" s="1"/>
      <c r="AO992" s="1"/>
      <c r="AQ992" s="1"/>
      <c r="AS992" s="1"/>
      <c r="AU992" s="1"/>
      <c r="AW992" s="1"/>
      <c r="AY992" s="1"/>
      <c r="BA992" s="1"/>
      <c r="BC992" s="1"/>
      <c r="BE992" s="1"/>
      <c r="BG992" s="1"/>
      <c r="BI992" s="1"/>
    </row>
    <row r="993" ht="15.75" customHeight="1">
      <c r="A993" s="1"/>
      <c r="B993" s="1"/>
      <c r="C993" s="1"/>
      <c r="E993" s="1"/>
      <c r="G993" s="1"/>
      <c r="I993" s="1"/>
      <c r="K993" s="1"/>
      <c r="M993" s="1"/>
      <c r="O993" s="1"/>
      <c r="Q993" s="1"/>
      <c r="S993" s="1"/>
      <c r="U993" s="1"/>
      <c r="W993" s="1"/>
      <c r="Y993" s="1"/>
      <c r="AA993" s="1"/>
      <c r="AC993" s="1"/>
      <c r="AE993" s="1"/>
      <c r="AG993" s="1"/>
      <c r="AI993" s="1"/>
      <c r="AK993" s="1"/>
      <c r="AM993" s="1"/>
      <c r="AO993" s="1"/>
      <c r="AQ993" s="1"/>
      <c r="AS993" s="1"/>
      <c r="AU993" s="1"/>
      <c r="AW993" s="1"/>
      <c r="AY993" s="1"/>
      <c r="BA993" s="1"/>
      <c r="BC993" s="1"/>
      <c r="BE993" s="1"/>
      <c r="BG993" s="1"/>
      <c r="BI993" s="1"/>
    </row>
    <row r="994" ht="15.75" customHeight="1">
      <c r="A994" s="1"/>
      <c r="B994" s="1"/>
      <c r="C994" s="1"/>
      <c r="E994" s="1"/>
      <c r="G994" s="1"/>
      <c r="I994" s="1"/>
      <c r="K994" s="1"/>
      <c r="M994" s="1"/>
      <c r="O994" s="1"/>
      <c r="Q994" s="1"/>
      <c r="S994" s="1"/>
      <c r="U994" s="1"/>
      <c r="W994" s="1"/>
      <c r="Y994" s="1"/>
      <c r="AA994" s="1"/>
      <c r="AC994" s="1"/>
      <c r="AE994" s="1"/>
      <c r="AG994" s="1"/>
      <c r="AI994" s="1"/>
      <c r="AK994" s="1"/>
      <c r="AM994" s="1"/>
      <c r="AO994" s="1"/>
      <c r="AQ994" s="1"/>
      <c r="AS994" s="1"/>
      <c r="AU994" s="1"/>
      <c r="AW994" s="1"/>
      <c r="AY994" s="1"/>
      <c r="BA994" s="1"/>
      <c r="BC994" s="1"/>
      <c r="BE994" s="1"/>
      <c r="BG994" s="1"/>
      <c r="BI994" s="1"/>
    </row>
    <row r="995" ht="15.75" customHeight="1">
      <c r="A995" s="1"/>
      <c r="B995" s="1"/>
      <c r="C995" s="1"/>
      <c r="E995" s="1"/>
      <c r="G995" s="1"/>
      <c r="I995" s="1"/>
      <c r="K995" s="1"/>
      <c r="M995" s="1"/>
      <c r="O995" s="1"/>
      <c r="Q995" s="1"/>
      <c r="S995" s="1"/>
      <c r="U995" s="1"/>
      <c r="W995" s="1"/>
      <c r="Y995" s="1"/>
      <c r="AA995" s="1"/>
      <c r="AC995" s="1"/>
      <c r="AE995" s="1"/>
      <c r="AG995" s="1"/>
      <c r="AI995" s="1"/>
      <c r="AK995" s="1"/>
      <c r="AM995" s="1"/>
      <c r="AO995" s="1"/>
      <c r="AQ995" s="1"/>
      <c r="AS995" s="1"/>
      <c r="AU995" s="1"/>
      <c r="AW995" s="1"/>
      <c r="AY995" s="1"/>
      <c r="BA995" s="1"/>
      <c r="BC995" s="1"/>
      <c r="BE995" s="1"/>
      <c r="BG995" s="1"/>
      <c r="BI995" s="1"/>
    </row>
    <row r="996" ht="15.75" customHeight="1">
      <c r="A996" s="1"/>
      <c r="B996" s="1"/>
      <c r="C996" s="1"/>
      <c r="E996" s="1"/>
      <c r="G996" s="1"/>
      <c r="I996" s="1"/>
      <c r="K996" s="1"/>
      <c r="M996" s="1"/>
      <c r="O996" s="1"/>
      <c r="Q996" s="1"/>
      <c r="S996" s="1"/>
      <c r="U996" s="1"/>
      <c r="W996" s="1"/>
      <c r="Y996" s="1"/>
      <c r="AA996" s="1"/>
      <c r="AC996" s="1"/>
      <c r="AE996" s="1"/>
      <c r="AG996" s="1"/>
      <c r="AI996" s="1"/>
      <c r="AK996" s="1"/>
      <c r="AM996" s="1"/>
      <c r="AO996" s="1"/>
      <c r="AQ996" s="1"/>
      <c r="AS996" s="1"/>
      <c r="AU996" s="1"/>
      <c r="AW996" s="1"/>
      <c r="AY996" s="1"/>
      <c r="BA996" s="1"/>
      <c r="BC996" s="1"/>
      <c r="BE996" s="1"/>
      <c r="BG996" s="1"/>
      <c r="BI996" s="1"/>
    </row>
    <row r="997" ht="15.75" customHeight="1">
      <c r="A997" s="1"/>
      <c r="B997" s="1"/>
      <c r="C997" s="1"/>
      <c r="E997" s="1"/>
      <c r="G997" s="1"/>
      <c r="I997" s="1"/>
      <c r="K997" s="1"/>
      <c r="M997" s="1"/>
      <c r="O997" s="1"/>
      <c r="Q997" s="1"/>
      <c r="S997" s="1"/>
      <c r="U997" s="1"/>
      <c r="W997" s="1"/>
      <c r="Y997" s="1"/>
      <c r="AA997" s="1"/>
      <c r="AC997" s="1"/>
      <c r="AE997" s="1"/>
      <c r="AG997" s="1"/>
      <c r="AI997" s="1"/>
      <c r="AK997" s="1"/>
      <c r="AM997" s="1"/>
      <c r="AO997" s="1"/>
      <c r="AQ997" s="1"/>
      <c r="AS997" s="1"/>
      <c r="AU997" s="1"/>
      <c r="AW997" s="1"/>
      <c r="AY997" s="1"/>
      <c r="BA997" s="1"/>
      <c r="BC997" s="1"/>
      <c r="BE997" s="1"/>
      <c r="BG997" s="1"/>
      <c r="BI997" s="1"/>
    </row>
    <row r="998" ht="15.75" customHeight="1">
      <c r="A998" s="1"/>
      <c r="B998" s="1"/>
      <c r="C998" s="1"/>
      <c r="E998" s="1"/>
      <c r="G998" s="1"/>
      <c r="I998" s="1"/>
      <c r="K998" s="1"/>
      <c r="M998" s="1"/>
      <c r="O998" s="1"/>
      <c r="Q998" s="1"/>
      <c r="S998" s="1"/>
      <c r="U998" s="1"/>
      <c r="W998" s="1"/>
      <c r="Y998" s="1"/>
      <c r="AA998" s="1"/>
      <c r="AC998" s="1"/>
      <c r="AE998" s="1"/>
      <c r="AG998" s="1"/>
      <c r="AI998" s="1"/>
      <c r="AK998" s="1"/>
      <c r="AM998" s="1"/>
      <c r="AO998" s="1"/>
      <c r="AQ998" s="1"/>
      <c r="AS998" s="1"/>
      <c r="AU998" s="1"/>
      <c r="AW998" s="1"/>
      <c r="AY998" s="1"/>
      <c r="BA998" s="1"/>
      <c r="BC998" s="1"/>
      <c r="BE998" s="1"/>
      <c r="BG998" s="1"/>
      <c r="BI998" s="1"/>
    </row>
    <row r="999" ht="15.75" customHeight="1">
      <c r="A999" s="1"/>
      <c r="B999" s="1"/>
      <c r="C999" s="1"/>
      <c r="E999" s="1"/>
      <c r="G999" s="1"/>
      <c r="I999" s="1"/>
      <c r="K999" s="1"/>
      <c r="M999" s="1"/>
      <c r="O999" s="1"/>
      <c r="Q999" s="1"/>
      <c r="S999" s="1"/>
      <c r="U999" s="1"/>
      <c r="W999" s="1"/>
      <c r="Y999" s="1"/>
      <c r="AA999" s="1"/>
      <c r="AC999" s="1"/>
      <c r="AE999" s="1"/>
      <c r="AG999" s="1"/>
      <c r="AI999" s="1"/>
      <c r="AK999" s="1"/>
      <c r="AM999" s="1"/>
      <c r="AO999" s="1"/>
      <c r="AQ999" s="1"/>
      <c r="AS999" s="1"/>
      <c r="AU999" s="1"/>
      <c r="AW999" s="1"/>
      <c r="AY999" s="1"/>
      <c r="BA999" s="1"/>
      <c r="BC999" s="1"/>
      <c r="BE999" s="1"/>
      <c r="BG999" s="1"/>
      <c r="BI999" s="1"/>
    </row>
    <row r="1000" ht="15.75" customHeight="1">
      <c r="A1000" s="1"/>
      <c r="B1000" s="1"/>
      <c r="C1000" s="1"/>
      <c r="E1000" s="1"/>
      <c r="G1000" s="1"/>
      <c r="I1000" s="1"/>
      <c r="K1000" s="1"/>
      <c r="M1000" s="1"/>
      <c r="O1000" s="1"/>
      <c r="Q1000" s="1"/>
      <c r="S1000" s="1"/>
      <c r="U1000" s="1"/>
      <c r="W1000" s="1"/>
      <c r="Y1000" s="1"/>
      <c r="AA1000" s="1"/>
      <c r="AC1000" s="1"/>
      <c r="AE1000" s="1"/>
      <c r="AG1000" s="1"/>
      <c r="AI1000" s="1"/>
      <c r="AK1000" s="1"/>
      <c r="AM1000" s="1"/>
      <c r="AO1000" s="1"/>
      <c r="AQ1000" s="1"/>
      <c r="AS1000" s="1"/>
      <c r="AU1000" s="1"/>
      <c r="AW1000" s="1"/>
      <c r="AY1000" s="1"/>
      <c r="BA1000" s="1"/>
      <c r="BC1000" s="1"/>
      <c r="BE1000" s="1"/>
      <c r="BG1000" s="1"/>
      <c r="BI1000" s="1"/>
    </row>
  </sheetData>
  <mergeCells count="1">
    <mergeCell ref="B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32.0"/>
    <col customWidth="1" min="4" max="4" width="14.0"/>
    <col customWidth="1" min="5" max="5" width="3.0"/>
    <col customWidth="1" min="6" max="8" width="14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36.0" customHeight="1">
      <c r="A2" s="1"/>
      <c r="B2" s="34" t="s">
        <v>514</v>
      </c>
      <c r="E2" s="1"/>
      <c r="F2" s="1"/>
      <c r="G2" s="1"/>
      <c r="H2" s="1"/>
    </row>
    <row r="3" ht="21.75" customHeight="1">
      <c r="A3" s="1"/>
      <c r="B3" s="9" t="s">
        <v>515</v>
      </c>
      <c r="E3" s="1"/>
      <c r="F3" s="35" t="s">
        <v>516</v>
      </c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24.0" customHeight="1">
      <c r="A5" s="1"/>
      <c r="B5" s="10" t="s">
        <v>517</v>
      </c>
      <c r="C5" s="10" t="s">
        <v>518</v>
      </c>
      <c r="D5" s="10" t="s">
        <v>519</v>
      </c>
      <c r="E5" s="1"/>
      <c r="F5" s="35" t="s">
        <v>520</v>
      </c>
      <c r="G5" s="35" t="s">
        <v>521</v>
      </c>
      <c r="H5" s="35" t="s">
        <v>522</v>
      </c>
    </row>
    <row r="6" ht="24.0" customHeight="1">
      <c r="A6" s="1"/>
      <c r="B6" s="36">
        <v>1.0</v>
      </c>
      <c r="C6" s="37" t="str">
        <f t="array" ref="C6">IFERROR(INDEX(F6:F35,MATCH(LARGE(H6:H35,1),H6:H35,0)),"")</f>
        <v>Matt</v>
      </c>
      <c r="D6" s="38">
        <f t="array" ref="D6">IFERROR(INDEX(G6:G35,MATCH(LARGE(H6:H35,1),H6:H35,0)),"")</f>
        <v>0</v>
      </c>
      <c r="E6" s="1"/>
      <c r="F6" s="39" t="str">
        <f>'Raw data'!C6</f>
        <v>Matt</v>
      </c>
      <c r="G6" s="39">
        <f>Calculation!C241</f>
        <v>0</v>
      </c>
      <c r="H6" s="39">
        <f>G6*1000-0</f>
        <v>0</v>
      </c>
    </row>
    <row r="7" ht="24.0" customHeight="1">
      <c r="A7" s="1"/>
      <c r="B7" s="40">
        <v>2.0</v>
      </c>
      <c r="C7" s="41" t="str">
        <f t="array" ref="C7">IFERROR(INDEX(F6:F35,MATCH(LARGE(H6:H35,2),H6:H35,0)),"")</f>
        <v>Fer</v>
      </c>
      <c r="D7" s="42">
        <f t="array" ref="D7">IFERROR(INDEX(G6:G35,MATCH(LARGE(H6:H35,2),H6:H35,0)),"")</f>
        <v>0</v>
      </c>
      <c r="E7" s="1"/>
      <c r="F7" s="39" t="str">
        <f>'Raw data'!E6</f>
        <v>Fer</v>
      </c>
      <c r="G7" s="39">
        <f>Calculation!E241</f>
        <v>0</v>
      </c>
      <c r="H7" s="39">
        <f>G7*1000-1</f>
        <v>-1</v>
      </c>
    </row>
    <row r="8" ht="24.0" customHeight="1">
      <c r="A8" s="1"/>
      <c r="B8" s="43">
        <v>3.0</v>
      </c>
      <c r="C8" s="44" t="str">
        <f t="array" ref="C8">IFERROR(INDEX(F6:F35,MATCH(LARGE(H6:H35,3),H6:H35,0)),"")</f>
        <v>Pano</v>
      </c>
      <c r="D8" s="45">
        <f t="array" ref="D8">IFERROR(INDEX(G6:G35,MATCH(LARGE(H6:H35,3),H6:H35,0)),"")</f>
        <v>0</v>
      </c>
      <c r="E8" s="1"/>
      <c r="F8" s="39" t="str">
        <f>'Raw data'!G6</f>
        <v>Pano</v>
      </c>
      <c r="G8" s="39">
        <f>Calculation!G241</f>
        <v>0</v>
      </c>
      <c r="H8" s="39">
        <f>G8*1000-2</f>
        <v>-2</v>
      </c>
    </row>
    <row r="9" ht="24.0" customHeight="1">
      <c r="A9" s="1"/>
      <c r="B9" s="46">
        <v>4.0</v>
      </c>
      <c r="C9" s="47" t="str">
        <f t="array" ref="C9">IFERROR(INDEX(F6:F35,MATCH(LARGE(H6:H35,4),H6:H35,0)),"")</f>
        <v>Tere</v>
      </c>
      <c r="D9" s="48">
        <f t="array" ref="D9">IFERROR(INDEX(G6:G35,MATCH(LARGE(H6:H35,4),H6:H35,0)),"")</f>
        <v>0</v>
      </c>
      <c r="E9" s="1"/>
      <c r="F9" s="39" t="str">
        <f>'Raw data'!I6</f>
        <v>Tere</v>
      </c>
      <c r="G9" s="39">
        <f>Calculation!I241</f>
        <v>0</v>
      </c>
      <c r="H9" s="39">
        <f>G9*1000-3</f>
        <v>-3</v>
      </c>
    </row>
    <row r="10" ht="24.0" customHeight="1">
      <c r="A10" s="1"/>
      <c r="B10" s="46">
        <v>5.0</v>
      </c>
      <c r="C10" s="47" t="str">
        <f t="array" ref="C10">IFERROR(INDEX(F6:F35,MATCH(LARGE(H6:H35,5),H6:H35,0)),"")</f>
        <v>Nadia</v>
      </c>
      <c r="D10" s="48">
        <f t="array" ref="D10">IFERROR(INDEX(G6:G35,MATCH(LARGE(H6:H35,5),H6:H35,0)),"")</f>
        <v>0</v>
      </c>
      <c r="E10" s="1"/>
      <c r="F10" s="39" t="str">
        <f>'Raw data'!K6</f>
        <v>Nadia</v>
      </c>
      <c r="G10" s="39">
        <f>Calculation!K241</f>
        <v>0</v>
      </c>
      <c r="H10" s="39">
        <f>G10*1000-4</f>
        <v>-4</v>
      </c>
    </row>
    <row r="11" ht="24.0" customHeight="1">
      <c r="A11" s="1"/>
      <c r="B11" s="46">
        <v>6.0</v>
      </c>
      <c r="C11" s="47" t="str">
        <f t="array" ref="C11">IFERROR(INDEX(F6:F35,MATCH(LARGE(H6:H35,6),H6:H35,0)),"")</f>
        <v>Jose</v>
      </c>
      <c r="D11" s="48">
        <f t="array" ref="D11">IFERROR(INDEX(G6:G35,MATCH(LARGE(H6:H35,6),H6:H35,0)),"")</f>
        <v>0</v>
      </c>
      <c r="E11" s="1"/>
      <c r="F11" s="39" t="str">
        <f>'Raw data'!M6</f>
        <v>Jose</v>
      </c>
      <c r="G11" s="39">
        <f>Calculation!M241</f>
        <v>0</v>
      </c>
      <c r="H11" s="39">
        <f>G11*1000-5</f>
        <v>-5</v>
      </c>
    </row>
    <row r="12" ht="24.0" customHeight="1">
      <c r="A12" s="1"/>
      <c r="B12" s="46">
        <v>7.0</v>
      </c>
      <c r="C12" s="47" t="str">
        <f t="array" ref="C12">IFERROR(INDEX(F6:F35,MATCH(LARGE(H6:H35,7),H6:H35,0)),"")</f>
        <v>Lucía</v>
      </c>
      <c r="D12" s="48">
        <f t="array" ref="D12">IFERROR(INDEX(G6:G35,MATCH(LARGE(H6:H35,7),H6:H35,0)),"")</f>
        <v>0</v>
      </c>
      <c r="E12" s="1"/>
      <c r="F12" s="39" t="str">
        <f>'Raw data'!O6</f>
        <v>Lucía</v>
      </c>
      <c r="G12" s="39">
        <f>Calculation!O241</f>
        <v>0</v>
      </c>
      <c r="H12" s="39">
        <f>G12*1000-6</f>
        <v>-6</v>
      </c>
    </row>
    <row r="13" ht="24.0" customHeight="1">
      <c r="A13" s="1"/>
      <c r="B13" s="46">
        <v>8.0</v>
      </c>
      <c r="C13" s="47" t="str">
        <f t="array" ref="C13">IFERROR(INDEX(F6:F35,MATCH(LARGE(H6:H35,8),H6:H35,0)),"")</f>
        <v>Kike</v>
      </c>
      <c r="D13" s="48">
        <f t="array" ref="D13">IFERROR(INDEX(G6:G35,MATCH(LARGE(H6:H35,8),H6:H35,0)),"")</f>
        <v>0</v>
      </c>
      <c r="E13" s="1"/>
      <c r="F13" s="39" t="str">
        <f>'Raw data'!Q6</f>
        <v>Kike</v>
      </c>
      <c r="G13" s="39">
        <f>Calculation!Q241</f>
        <v>0</v>
      </c>
      <c r="H13" s="39">
        <f>G13*1000-7</f>
        <v>-7</v>
      </c>
    </row>
    <row r="14" ht="24.0" customHeight="1">
      <c r="A14" s="1"/>
      <c r="B14" s="46">
        <v>9.0</v>
      </c>
      <c r="C14" s="47" t="str">
        <f t="array" ref="C14">IFERROR(INDEX(F6:F35,MATCH(LARGE(H6:H35,9),H6:H35,0)),"")</f>
        <v>Paibol</v>
      </c>
      <c r="D14" s="48">
        <f t="array" ref="D14">IFERROR(INDEX(G6:G35,MATCH(LARGE(H6:H35,9),H6:H35,0)),"")</f>
        <v>0</v>
      </c>
      <c r="E14" s="1"/>
      <c r="F14" s="39" t="str">
        <f>'Raw data'!S6</f>
        <v>Paibol</v>
      </c>
      <c r="G14" s="39">
        <f>Calculation!S241</f>
        <v>0</v>
      </c>
      <c r="H14" s="39">
        <f>G14*1000-8</f>
        <v>-8</v>
      </c>
    </row>
    <row r="15" ht="24.0" customHeight="1">
      <c r="A15" s="1"/>
      <c r="B15" s="46">
        <v>10.0</v>
      </c>
      <c r="C15" s="47" t="str">
        <f t="array" ref="C15">IFERROR(INDEX(F6:F35,MATCH(LARGE(H6:H35,10),H6:H35,0)),"")</f>
        <v>Pablo</v>
      </c>
      <c r="D15" s="48">
        <f t="array" ref="D15">IFERROR(INDEX(G6:G35,MATCH(LARGE(H6:H35,10),H6:H35,0)),"")</f>
        <v>0</v>
      </c>
      <c r="E15" s="1"/>
      <c r="F15" s="39" t="str">
        <f>'Raw data'!U6</f>
        <v>Pablo</v>
      </c>
      <c r="G15" s="39">
        <f>Calculation!U241</f>
        <v>0</v>
      </c>
      <c r="H15" s="39">
        <f>G15*1000-9</f>
        <v>-9</v>
      </c>
    </row>
    <row r="16" ht="24.0" customHeight="1">
      <c r="A16" s="1"/>
      <c r="B16" s="46">
        <v>11.0</v>
      </c>
      <c r="C16" s="47" t="str">
        <f t="array" ref="C16">IFERROR(INDEX(F6:F35,MATCH(LARGE(H6:H35,11),H6:H35,0)),"")</f>
        <v>Almu</v>
      </c>
      <c r="D16" s="48">
        <f t="array" ref="D16">IFERROR(INDEX(G6:G35,MATCH(LARGE(H6:H35,11),H6:H35,0)),"")</f>
        <v>0</v>
      </c>
      <c r="E16" s="1"/>
      <c r="F16" s="39" t="str">
        <f>'Raw data'!W6</f>
        <v>Almu</v>
      </c>
      <c r="G16" s="39">
        <f>Calculation!W241</f>
        <v>0</v>
      </c>
      <c r="H16" s="39">
        <f>G16*1000-10</f>
        <v>-10</v>
      </c>
    </row>
    <row r="17" ht="24.0" customHeight="1">
      <c r="A17" s="1"/>
      <c r="B17" s="46">
        <v>12.0</v>
      </c>
      <c r="C17" s="47" t="str">
        <f t="array" ref="C17">IFERROR(INDEX(F6:F35,MATCH(LARGE(H6:H35,12),H6:H35,0)),"")</f>
        <v>Juanorro</v>
      </c>
      <c r="D17" s="48">
        <f t="array" ref="D17">IFERROR(INDEX(G6:G35,MATCH(LARGE(H6:H35,12),H6:H35,0)),"")</f>
        <v>0</v>
      </c>
      <c r="E17" s="1"/>
      <c r="F17" s="39" t="str">
        <f>'Raw data'!Y6</f>
        <v>Juanorro</v>
      </c>
      <c r="G17" s="39">
        <f>Calculation!Y241</f>
        <v>0</v>
      </c>
      <c r="H17" s="39">
        <f>G17*1000-11</f>
        <v>-11</v>
      </c>
    </row>
    <row r="18" ht="24.0" customHeight="1">
      <c r="A18" s="1"/>
      <c r="B18" s="46">
        <v>13.0</v>
      </c>
      <c r="C18" s="47" t="str">
        <f t="array" ref="C18">IFERROR(INDEX(F6:F35,MATCH(LARGE(H6:H35,13),H6:H35,0)),"")</f>
        <v>Cillian</v>
      </c>
      <c r="D18" s="48">
        <f t="array" ref="D18">IFERROR(INDEX(G6:G35,MATCH(LARGE(H6:H35,13),H6:H35,0)),"")</f>
        <v>0</v>
      </c>
      <c r="E18" s="1"/>
      <c r="F18" s="39" t="str">
        <f>'Raw data'!AA6</f>
        <v>Cillian</v>
      </c>
      <c r="G18" s="39">
        <f>Calculation!AA241</f>
        <v>0</v>
      </c>
      <c r="H18" s="39">
        <f>G18*1000-12</f>
        <v>-12</v>
      </c>
    </row>
    <row r="19" ht="24.0" customHeight="1">
      <c r="A19" s="1"/>
      <c r="B19" s="46">
        <v>14.0</v>
      </c>
      <c r="C19" s="47" t="str">
        <f t="array" ref="C19">IFERROR(INDEX(F6:F35,MATCH(LARGE(H6:H35,14),H6:H35,0)),"")</f>
        <v>July</v>
      </c>
      <c r="D19" s="48">
        <f t="array" ref="D19">IFERROR(INDEX(G6:G35,MATCH(LARGE(H6:H35,14),H6:H35,0)),"")</f>
        <v>0</v>
      </c>
      <c r="E19" s="1"/>
      <c r="F19" s="39" t="str">
        <f>'Raw data'!AC6</f>
        <v>July</v>
      </c>
      <c r="G19" s="39">
        <f>Calculation!AC241</f>
        <v>0</v>
      </c>
      <c r="H19" s="39">
        <f>G19*1000-13</f>
        <v>-13</v>
      </c>
    </row>
    <row r="20" ht="24.0" customHeight="1">
      <c r="A20" s="1"/>
      <c r="B20" s="46">
        <v>15.0</v>
      </c>
      <c r="C20" s="47" t="str">
        <f t="array" ref="C20">IFERROR(INDEX(F6:F35,MATCH(LARGE(H6:H35,15),H6:H35,0)),"")</f>
        <v>Toño</v>
      </c>
      <c r="D20" s="48">
        <f t="array" ref="D20">IFERROR(INDEX(G6:G35,MATCH(LARGE(H6:H35,15),H6:H35,0)),"")</f>
        <v>0</v>
      </c>
      <c r="E20" s="1"/>
      <c r="F20" s="39" t="str">
        <f>'Raw data'!AE6</f>
        <v>Toño</v>
      </c>
      <c r="G20" s="39">
        <f>Calculation!AE241</f>
        <v>0</v>
      </c>
      <c r="H20" s="39">
        <f>G20*1000-14</f>
        <v>-14</v>
      </c>
    </row>
    <row r="21" ht="24.0" customHeight="1">
      <c r="A21" s="1"/>
      <c r="B21" s="46">
        <v>16.0</v>
      </c>
      <c r="C21" s="47" t="str">
        <f t="array" ref="C21">IFERROR(INDEX(F6:F35,MATCH(LARGE(H6:H35,16),H6:H35,0)),"")</f>
        <v>Juanin</v>
      </c>
      <c r="D21" s="48">
        <f t="array" ref="D21">IFERROR(INDEX(G6:G35,MATCH(LARGE(H6:H35,16),H6:H35,0)),"")</f>
        <v>0</v>
      </c>
      <c r="E21" s="1"/>
      <c r="F21" s="39" t="str">
        <f>'Raw data'!AG6</f>
        <v>Juanin</v>
      </c>
      <c r="G21" s="39">
        <f>Calculation!AG241</f>
        <v>0</v>
      </c>
      <c r="H21" s="39">
        <f>G21*1000-15</f>
        <v>-15</v>
      </c>
    </row>
    <row r="22" ht="24.0" customHeight="1">
      <c r="A22" s="1"/>
      <c r="B22" s="46">
        <v>17.0</v>
      </c>
      <c r="C22" s="47" t="str">
        <f t="array" ref="C22">IFERROR(INDEX(F6:F35,MATCH(LARGE(H6:H35,17),H6:H35,0)),"")</f>
        <v>Meg</v>
      </c>
      <c r="D22" s="48">
        <f t="array" ref="D22">IFERROR(INDEX(G6:G35,MATCH(LARGE(H6:H35,17),H6:H35,0)),"")</f>
        <v>0</v>
      </c>
      <c r="E22" s="1"/>
      <c r="F22" s="39" t="str">
        <f>'Raw data'!AI6</f>
        <v>Meg</v>
      </c>
      <c r="G22" s="39">
        <f>Calculation!AI241</f>
        <v>0</v>
      </c>
      <c r="H22" s="39">
        <f>G22*1000-16</f>
        <v>-16</v>
      </c>
    </row>
    <row r="23" ht="24.0" customHeight="1">
      <c r="A23" s="1"/>
      <c r="B23" s="46">
        <v>18.0</v>
      </c>
      <c r="C23" s="47" t="str">
        <f t="array" ref="C23">IFERROR(INDEX(F6:F35,MATCH(LARGE(H6:H35,18),H6:H35,0)),"")</f>
        <v>Irene</v>
      </c>
      <c r="D23" s="48">
        <f t="array" ref="D23">IFERROR(INDEX(G6:G35,MATCH(LARGE(H6:H35,18),H6:H35,0)),"")</f>
        <v>0</v>
      </c>
      <c r="E23" s="1"/>
      <c r="F23" s="39" t="str">
        <f>'Raw data'!AK6</f>
        <v>Irene</v>
      </c>
      <c r="G23" s="39">
        <f>Calculation!AK241</f>
        <v>0</v>
      </c>
      <c r="H23" s="39">
        <f>G23*1000-17</f>
        <v>-17</v>
      </c>
    </row>
    <row r="24" ht="24.0" customHeight="1">
      <c r="A24" s="1"/>
      <c r="B24" s="46">
        <v>19.0</v>
      </c>
      <c r="C24" s="47" t="str">
        <f t="array" ref="C24">IFERROR(INDEX(F6:F35,MATCH(LARGE(H6:H35,19),H6:H35,0)),"")</f>
        <v>Andy</v>
      </c>
      <c r="D24" s="48">
        <f t="array" ref="D24">IFERROR(INDEX(G6:G35,MATCH(LARGE(H6:H35,19),H6:H35,0)),"")</f>
        <v>0</v>
      </c>
      <c r="E24" s="1"/>
      <c r="F24" s="39" t="str">
        <f>'Raw data'!AM6</f>
        <v>Andy</v>
      </c>
      <c r="G24" s="39">
        <f>Calculation!AM241</f>
        <v>0</v>
      </c>
      <c r="H24" s="39">
        <f>G24*1000-18</f>
        <v>-18</v>
      </c>
    </row>
    <row r="25" ht="24.0" customHeight="1">
      <c r="A25" s="1"/>
      <c r="B25" s="46">
        <v>20.0</v>
      </c>
      <c r="C25" s="47" t="str">
        <f t="array" ref="C25">IFERROR(INDEX(F6:F35,MATCH(LARGE(H6:H35,20),H6:H35,0)),"")</f>
        <v>Adri</v>
      </c>
      <c r="D25" s="48">
        <f t="array" ref="D25">IFERROR(INDEX(G6:G35,MATCH(LARGE(H6:H35,20),H6:H35,0)),"")</f>
        <v>0</v>
      </c>
      <c r="E25" s="1"/>
      <c r="F25" s="39" t="str">
        <f>'Raw data'!AO6</f>
        <v>Adri</v>
      </c>
      <c r="G25" s="39">
        <f>Calculation!AO241</f>
        <v>0</v>
      </c>
      <c r="H25" s="39">
        <f>G25*1000-19</f>
        <v>-19</v>
      </c>
    </row>
    <row r="26" ht="24.0" customHeight="1">
      <c r="A26" s="1"/>
      <c r="B26" s="46">
        <v>21.0</v>
      </c>
      <c r="C26" s="47" t="str">
        <f t="array" ref="C26">IFERROR(INDEX(F6:F35,MATCH(LARGE(H6:H35,21),H6:H35,0)),"")</f>
        <v>Ben</v>
      </c>
      <c r="D26" s="48">
        <f t="array" ref="D26">IFERROR(INDEX(G6:G35,MATCH(LARGE(H6:H35,21),H6:H35,0)),"")</f>
        <v>0</v>
      </c>
      <c r="E26" s="1"/>
      <c r="F26" s="39" t="str">
        <f>'Raw data'!AQ6</f>
        <v>Ben</v>
      </c>
      <c r="G26" s="39">
        <f>Calculation!AQ241</f>
        <v>0</v>
      </c>
      <c r="H26" s="39">
        <f>G26*1000-20</f>
        <v>-20</v>
      </c>
    </row>
    <row r="27" ht="24.0" customHeight="1">
      <c r="A27" s="1"/>
      <c r="B27" s="46">
        <v>22.0</v>
      </c>
      <c r="C27" s="47" t="str">
        <f t="array" ref="C27">IFERROR(INDEX(F6:F35,MATCH(LARGE(H6:H35,22),H6:H35,0)),"")</f>
        <v>Gon </v>
      </c>
      <c r="D27" s="48">
        <f t="array" ref="D27">IFERROR(INDEX(G6:G35,MATCH(LARGE(H6:H35,22),H6:H35,0)),"")</f>
        <v>0</v>
      </c>
      <c r="E27" s="1"/>
      <c r="F27" s="39" t="str">
        <f>'Raw data'!AS6</f>
        <v>Gon </v>
      </c>
      <c r="G27" s="39">
        <f>Calculation!AS241</f>
        <v>0</v>
      </c>
      <c r="H27" s="39">
        <f>G27*1000-21</f>
        <v>-21</v>
      </c>
    </row>
    <row r="28" ht="24.0" customHeight="1">
      <c r="A28" s="1"/>
      <c r="B28" s="46">
        <v>23.0</v>
      </c>
      <c r="C28" s="47" t="str">
        <f t="array" ref="C28">IFERROR(INDEX(F6:F35,MATCH(LARGE(H6:H35,23),H6:H35,0)),"")</f>
        <v>Mile</v>
      </c>
      <c r="D28" s="48">
        <f t="array" ref="D28">IFERROR(INDEX(G6:G35,MATCH(LARGE(H6:H35,23),H6:H35,0)),"")</f>
        <v>0</v>
      </c>
      <c r="E28" s="1"/>
      <c r="F28" s="39" t="str">
        <f>'Raw data'!AU6</f>
        <v>Mile</v>
      </c>
      <c r="G28" s="39">
        <f>Calculation!AU241</f>
        <v>0</v>
      </c>
      <c r="H28" s="39">
        <f>G28*1000-22</f>
        <v>-22</v>
      </c>
    </row>
    <row r="29" ht="24.0" customHeight="1">
      <c r="A29" s="1"/>
      <c r="B29" s="46">
        <v>24.0</v>
      </c>
      <c r="C29" s="47" t="str">
        <f t="array" ref="C29">IFERROR(INDEX(F6:F35,MATCH(LARGE(H6:H35,24),H6:H35,0)),"")</f>
        <v>Cami</v>
      </c>
      <c r="D29" s="48">
        <f t="array" ref="D29">IFERROR(INDEX(G6:G35,MATCH(LARGE(H6:H35,24),H6:H35,0)),"")</f>
        <v>0</v>
      </c>
      <c r="E29" s="1"/>
      <c r="F29" s="39" t="str">
        <f>'Raw data'!AW6</f>
        <v>Cami</v>
      </c>
      <c r="G29" s="39">
        <f>Calculation!AW241</f>
        <v>0</v>
      </c>
      <c r="H29" s="39">
        <f>G29*1000-23</f>
        <v>-23</v>
      </c>
    </row>
    <row r="30" ht="24.0" customHeight="1">
      <c r="A30" s="1"/>
      <c r="B30" s="46">
        <v>25.0</v>
      </c>
      <c r="C30" s="47" t="str">
        <f t="array" ref="C30">IFERROR(INDEX(F6:F35,MATCH(LARGE(H6:H35,25),H6:H35,0)),"")</f>
        <v>Hugo</v>
      </c>
      <c r="D30" s="48">
        <f t="array" ref="D30">IFERROR(INDEX(G6:G35,MATCH(LARGE(H6:H35,25),H6:H35,0)),"")</f>
        <v>0</v>
      </c>
      <c r="E30" s="1"/>
      <c r="F30" s="39" t="str">
        <f>'Raw data'!AY6</f>
        <v>Hugo</v>
      </c>
      <c r="G30" s="39">
        <f>Calculation!AY241</f>
        <v>0</v>
      </c>
      <c r="H30" s="39">
        <f>G30*1000-24</f>
        <v>-24</v>
      </c>
    </row>
    <row r="31" ht="24.0" customHeight="1">
      <c r="A31" s="1"/>
      <c r="B31" s="46">
        <v>26.0</v>
      </c>
      <c r="C31" s="47" t="str">
        <f t="array" ref="C31">IFERROR(INDEX(F6:F35,MATCH(LARGE(H6:H35,26),H6:H35,0)),"")</f>
        <v>Jaime</v>
      </c>
      <c r="D31" s="48">
        <f t="array" ref="D31">IFERROR(INDEX(G6:G35,MATCH(LARGE(H6:H35,26),H6:H35,0)),"")</f>
        <v>0</v>
      </c>
      <c r="E31" s="1"/>
      <c r="F31" s="39" t="str">
        <f>'Raw data'!BA6</f>
        <v>Jaime</v>
      </c>
      <c r="G31" s="39">
        <f>Calculation!BA241</f>
        <v>0</v>
      </c>
      <c r="H31" s="39">
        <f>G31*1000-25</f>
        <v>-25</v>
      </c>
    </row>
    <row r="32" ht="24.0" customHeight="1">
      <c r="A32" s="1"/>
      <c r="B32" s="46">
        <v>27.0</v>
      </c>
      <c r="C32" s="47" t="str">
        <f t="array" ref="C32">IFERROR(INDEX(F6:F35,MATCH(LARGE(H6:H35,27),H6:H35,0)),"")</f>
        <v>Emilio</v>
      </c>
      <c r="D32" s="48">
        <f t="array" ref="D32">IFERROR(INDEX(G6:G35,MATCH(LARGE(H6:H35,27),H6:H35,0)),"")</f>
        <v>0</v>
      </c>
      <c r="E32" s="1"/>
      <c r="F32" s="39" t="str">
        <f>'Raw data'!BC6</f>
        <v>Emilio</v>
      </c>
      <c r="G32" s="39">
        <f>Calculation!BC241</f>
        <v>0</v>
      </c>
      <c r="H32" s="39">
        <f>G32*1000-26</f>
        <v>-26</v>
      </c>
    </row>
    <row r="33" ht="24.0" customHeight="1">
      <c r="A33" s="1"/>
      <c r="B33" s="46">
        <v>28.0</v>
      </c>
      <c r="C33" s="47" t="str">
        <f t="array" ref="C33">IFERROR(INDEX(F6:F35,MATCH(LARGE(H6:H35,28),H6:H35,0)),"")</f>
        <v>Manu</v>
      </c>
      <c r="D33" s="48">
        <f t="array" ref="D33">IFERROR(INDEX(G6:G35,MATCH(LARGE(H6:H35,28),H6:H35,0)),"")</f>
        <v>0</v>
      </c>
      <c r="E33" s="1"/>
      <c r="F33" s="39" t="str">
        <f>'Raw data'!BE6</f>
        <v>Manu</v>
      </c>
      <c r="G33" s="39">
        <f>Calculation!BE241</f>
        <v>0</v>
      </c>
      <c r="H33" s="39">
        <f>G33*1000-27</f>
        <v>-27</v>
      </c>
    </row>
    <row r="34" ht="24.0" customHeight="1">
      <c r="A34" s="1"/>
      <c r="B34" s="46">
        <v>29.0</v>
      </c>
      <c r="C34" s="47" t="str">
        <f t="array" ref="C34">IFERROR(INDEX(F6:F35,MATCH(LARGE(H6:H35,29),H6:H35,0)),"")</f>
        <v/>
      </c>
      <c r="D34" s="48">
        <f t="array" ref="D34">IFERROR(INDEX(G6:G35,MATCH(LARGE(H6:H35,29),H6:H35,0)),"")</f>
        <v>0</v>
      </c>
      <c r="E34" s="1"/>
      <c r="F34" s="39" t="str">
        <f>'Raw data'!BG6</f>
        <v/>
      </c>
      <c r="G34" s="39">
        <f>Calculation!BG241</f>
        <v>0</v>
      </c>
      <c r="H34" s="39">
        <f>G34*1000-28</f>
        <v>-28</v>
      </c>
    </row>
    <row r="35" ht="24.0" customHeight="1">
      <c r="A35" s="1"/>
      <c r="B35" s="46">
        <v>30.0</v>
      </c>
      <c r="C35" s="47" t="str">
        <f t="array" ref="C35">IFERROR(INDEX(F6:F35,MATCH(LARGE(H6:H35,30),H6:H35,0)),"")</f>
        <v/>
      </c>
      <c r="D35" s="48">
        <f t="array" ref="D35">IFERROR(INDEX(G6:G35,MATCH(LARGE(H6:H35,30),H6:H35,0)),"")</f>
        <v>0</v>
      </c>
      <c r="E35" s="1"/>
      <c r="F35" s="39" t="str">
        <f>'Raw data'!BI6</f>
        <v/>
      </c>
      <c r="G35" s="39">
        <f>Calculation!BI241</f>
        <v>0</v>
      </c>
      <c r="H35" s="39">
        <f>G35*1000-29</f>
        <v>-29</v>
      </c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