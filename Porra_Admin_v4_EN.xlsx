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<sst xmlns="http://schemas.openxmlformats.org/spreadsheetml/2006/main" count="2012" uniqueCount="523">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</sst>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5"/>
      <c r="D8" s="15"/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5"/>
      <c r="D13" s="15"/>
      <c r="E13" s="1"/>
    </row>
    <row r="14" ht="18.0" customHeight="1">
      <c r="A14" s="1"/>
      <c r="B14" s="13" t="s">
        <v>34</v>
      </c>
      <c r="C14" s="15"/>
      <c r="D14" s="15"/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5"/>
      <c r="D19" s="15"/>
      <c r="E19" s="1"/>
    </row>
    <row r="20" ht="18.0" customHeight="1">
      <c r="A20" s="1"/>
      <c r="B20" s="13" t="s">
        <v>40</v>
      </c>
      <c r="C20" s="15"/>
      <c r="D20" s="15"/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5"/>
      <c r="D25" s="15"/>
      <c r="E25" s="1"/>
    </row>
    <row r="26" ht="18.0" customHeight="1">
      <c r="A26" s="1"/>
      <c r="B26" s="13" t="s">
        <v>46</v>
      </c>
      <c r="C26" s="15"/>
      <c r="D26" s="15"/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0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0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0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0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0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0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0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0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0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0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0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0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0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0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0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0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0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0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0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0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0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0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0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0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0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0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0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0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0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0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0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0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0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0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0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0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0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0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0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0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0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0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0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0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0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0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0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0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0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0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0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0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0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0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0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0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0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0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0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0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0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0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0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0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0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0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0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0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0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</v>
      </c>
      <c r="E80" s="32">
        <f>SUM(E8:E79)</f>
        <v>4</v>
      </c>
      <c r="G80" s="32">
        <f>SUM(G8:G79)</f>
        <v>2</v>
      </c>
      <c r="I80" s="32">
        <f>SUM(I8:I79)</f>
        <v>2</v>
      </c>
      <c r="K80" s="32">
        <f>SUM(K8:K79)</f>
        <v>2</v>
      </c>
      <c r="M80" s="32">
        <f>SUM(M8:M79)</f>
        <v>2</v>
      </c>
      <c r="O80" s="32">
        <f>SUM(O8:O79)</f>
        <v>0</v>
      </c>
      <c r="Q80" s="32">
        <f>SUM(Q8:Q79)</f>
        <v>4</v>
      </c>
      <c r="S80" s="32">
        <f>SUM(S8:S79)</f>
        <v>4</v>
      </c>
      <c r="U80" s="32">
        <f>SUM(U8:U79)</f>
        <v>4</v>
      </c>
      <c r="W80" s="32">
        <f>SUM(W8:W79)</f>
        <v>2</v>
      </c>
      <c r="Y80" s="32">
        <f>SUM(Y8:Y79)</f>
        <v>0</v>
      </c>
      <c r="AA80" s="32">
        <f>SUM(AA8:AA79)</f>
        <v>4</v>
      </c>
      <c r="AC80" s="32">
        <f>SUM(AC8:AC79)</f>
        <v>2</v>
      </c>
      <c r="AE80" s="32">
        <f>SUM(AE8:AE79)</f>
        <v>4</v>
      </c>
      <c r="AG80" s="32">
        <f>SUM(AG8:AG79)</f>
        <v>4</v>
      </c>
      <c r="AI80" s="32">
        <f>SUM(AI8:AI79)</f>
        <v>2</v>
      </c>
      <c r="AK80" s="32">
        <f>SUM(AK8:AK79)</f>
        <v>4</v>
      </c>
      <c r="AM80" s="32">
        <f>SUM(AM8:AM79)</f>
        <v>2</v>
      </c>
      <c r="AO80" s="32">
        <f>SUM(AO8:AO79)</f>
        <v>4</v>
      </c>
      <c r="AQ80" s="32">
        <f>SUM(AQ8:AQ79)</f>
        <v>4</v>
      </c>
      <c r="AS80" s="32">
        <f>SUM(AS8:AS79)</f>
        <v>2</v>
      </c>
      <c r="AU80" s="32">
        <f>SUM(AU8:AU79)</f>
        <v>4</v>
      </c>
      <c r="AW80" s="32">
        <f>SUM(AW8:AW79)</f>
        <v>2</v>
      </c>
      <c r="AY80" s="32">
        <f>SUM(AY8:AY79)</f>
        <v>2</v>
      </c>
      <c r="BA80" s="32">
        <f>SUM(BA8:BA79)</f>
        <v>4</v>
      </c>
      <c r="BC80" s="32">
        <f>SUM(BC8:BC79)</f>
        <v>2</v>
      </c>
      <c r="BE80" s="32">
        <f>SUM(BE8:BE79)</f>
        <v>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</v>
      </c>
      <c r="E241" s="34">
        <f>SUMIF($B$7:$B$240,"Subtotal*",E$7:E$240)</f>
        <v>4</v>
      </c>
      <c r="G241" s="34">
        <f>SUMIF($B$7:$B$240,"Subtotal*",G$7:G$240)</f>
        <v>2</v>
      </c>
      <c r="I241" s="34">
        <f>SUMIF($B$7:$B$240,"Subtotal*",I$7:I$240)</f>
        <v>2</v>
      </c>
      <c r="K241" s="34">
        <f>SUMIF($B$7:$B$240,"Subtotal*",K$7:K$240)</f>
        <v>2</v>
      </c>
      <c r="M241" s="34">
        <f>SUMIF($B$7:$B$240,"Subtotal*",M$7:M$240)</f>
        <v>2</v>
      </c>
      <c r="O241" s="34">
        <f>SUMIF($B$7:$B$240,"Subtotal*",O$7:O$240)</f>
        <v>0</v>
      </c>
      <c r="Q241" s="34">
        <f>SUMIF($B$7:$B$240,"Subtotal*",Q$7:Q$240)</f>
        <v>4</v>
      </c>
      <c r="S241" s="34">
        <f>SUMIF($B$7:$B$240,"Subtotal*",S$7:S$240)</f>
        <v>4</v>
      </c>
      <c r="U241" s="34">
        <f>SUMIF($B$7:$B$240,"Subtotal*",U$7:U$240)</f>
        <v>4</v>
      </c>
      <c r="W241" s="34">
        <f>SUMIF($B$7:$B$240,"Subtotal*",W$7:W$240)</f>
        <v>2</v>
      </c>
      <c r="Y241" s="34">
        <f>SUMIF($B$7:$B$240,"Subtotal*",Y$7:Y$240)</f>
        <v>0</v>
      </c>
      <c r="AA241" s="34">
        <f>SUMIF($B$7:$B$240,"Subtotal*",AA$7:AA$240)</f>
        <v>4</v>
      </c>
      <c r="AC241" s="34">
        <f>SUMIF($B$7:$B$240,"Subtotal*",AC$7:AC$240)</f>
        <v>2</v>
      </c>
      <c r="AE241" s="34">
        <f>SUMIF($B$7:$B$240,"Subtotal*",AE$7:AE$240)</f>
        <v>4</v>
      </c>
      <c r="AG241" s="34">
        <f>SUMIF($B$7:$B$240,"Subtotal*",AG$7:AG$240)</f>
        <v>4</v>
      </c>
      <c r="AI241" s="34">
        <f>SUMIF($B$7:$B$240,"Subtotal*",AI$7:AI$240)</f>
        <v>2</v>
      </c>
      <c r="AK241" s="34">
        <f>SUMIF($B$7:$B$240,"Subtotal*",AK$7:AK$240)</f>
        <v>4</v>
      </c>
      <c r="AM241" s="34">
        <f>SUMIF($B$7:$B$240,"Subtotal*",AM$7:AM$240)</f>
        <v>2</v>
      </c>
      <c r="AO241" s="34">
        <f>SUMIF($B$7:$B$240,"Subtotal*",AO$7:AO$240)</f>
        <v>4</v>
      </c>
      <c r="AQ241" s="34">
        <f>SUMIF($B$7:$B$240,"Subtotal*",AQ$7:AQ$240)</f>
        <v>4</v>
      </c>
      <c r="AS241" s="34">
        <f>SUMIF($B$7:$B$240,"Subtotal*",AS$7:AS$240)</f>
        <v>2</v>
      </c>
      <c r="AU241" s="34">
        <f>SUMIF($B$7:$B$240,"Subtotal*",AU$7:AU$240)</f>
        <v>4</v>
      </c>
      <c r="AW241" s="34">
        <f>SUMIF($B$7:$B$240,"Subtotal*",AW$7:AW$240)</f>
        <v>2</v>
      </c>
      <c r="AY241" s="34">
        <f>SUMIF($B$7:$B$240,"Subtotal*",AY$7:AY$240)</f>
        <v>2</v>
      </c>
      <c r="BA241" s="34">
        <f>SUMIF($B$7:$B$240,"Subtotal*",BA$7:BA$240)</f>
        <v>4</v>
      </c>
      <c r="BC241" s="34">
        <f>SUMIF($B$7:$B$240,"Subtotal*",BC$7:BC$240)</f>
        <v>2</v>
      </c>
      <c r="BE241" s="34">
        <f>SUMIF($B$7:$B$240,"Subtotal*",BE$7:BE$240)</f>
        <v>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Fer</v>
      </c>
      <c r="D6" s="39">
        <f t="array" ref="D6">IFERROR(INDEX(G6:G35,MATCH(LARGE(H6:H35,1),H6:H35,0)),"")</f>
        <v>4</v>
      </c>
      <c r="E6" s="1"/>
      <c r="F6" s="40" t="str">
        <f>'Raw data'!C6</f>
        <v>Matt</v>
      </c>
      <c r="G6" s="40">
        <f>Calculation!C241</f>
        <v>2</v>
      </c>
      <c r="H6" s="40">
        <f>G6*1000-0</f>
        <v>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4</v>
      </c>
      <c r="E7" s="1"/>
      <c r="F7" s="40" t="str">
        <f>'Raw data'!E6</f>
        <v>Fer</v>
      </c>
      <c r="G7" s="40">
        <f>Calculation!E241</f>
        <v>4</v>
      </c>
      <c r="H7" s="40">
        <f>G7*1000-1</f>
        <v>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Paibol</v>
      </c>
      <c r="D8" s="46">
        <f t="array" ref="D8">IFERROR(INDEX(G6:G35,MATCH(LARGE(H6:H35,3),H6:H35,0)),"")</f>
        <v>4</v>
      </c>
      <c r="E8" s="1"/>
      <c r="F8" s="40" t="str">
        <f>'Raw data'!G6</f>
        <v>Pano</v>
      </c>
      <c r="G8" s="40">
        <f>Calculation!G241</f>
        <v>2</v>
      </c>
      <c r="H8" s="40">
        <f>G8*1000-2</f>
        <v>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Pablo</v>
      </c>
      <c r="D9" s="49">
        <f t="array" ref="D9">IFERROR(INDEX(G6:G35,MATCH(LARGE(H6:H35,4),H6:H35,0)),"")</f>
        <v>4</v>
      </c>
      <c r="E9" s="1"/>
      <c r="F9" s="40" t="str">
        <f>'Raw data'!I6</f>
        <v>Tere</v>
      </c>
      <c r="G9" s="40">
        <f>Calculation!I241</f>
        <v>2</v>
      </c>
      <c r="H9" s="40">
        <f>G9*1000-3</f>
        <v>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Cillian</v>
      </c>
      <c r="D10" s="49">
        <f t="array" ref="D10">IFERROR(INDEX(G6:G35,MATCH(LARGE(H6:H35,5),H6:H35,0)),"")</f>
        <v>4</v>
      </c>
      <c r="E10" s="1"/>
      <c r="F10" s="40" t="str">
        <f>'Raw data'!K6</f>
        <v>Nadia</v>
      </c>
      <c r="G10" s="40">
        <f>Calculation!K241</f>
        <v>2</v>
      </c>
      <c r="H10" s="40">
        <f>G10*1000-4</f>
        <v>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Toño</v>
      </c>
      <c r="D11" s="49">
        <f t="array" ref="D11">IFERROR(INDEX(G6:G35,MATCH(LARGE(H6:H35,6),H6:H35,0)),"")</f>
        <v>4</v>
      </c>
      <c r="E11" s="1"/>
      <c r="F11" s="40" t="str">
        <f>'Raw data'!M6</f>
        <v>JE</v>
      </c>
      <c r="G11" s="40">
        <f>Calculation!M241</f>
        <v>2</v>
      </c>
      <c r="H11" s="40">
        <f>G11*1000-5</f>
        <v>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Juanin</v>
      </c>
      <c r="D12" s="49">
        <f t="array" ref="D12">IFERROR(INDEX(G6:G35,MATCH(LARGE(H6:H35,7),H6:H35,0)),"")</f>
        <v>4</v>
      </c>
      <c r="E12" s="1"/>
      <c r="F12" s="40" t="str">
        <f>'Raw data'!O6</f>
        <v>Lucía</v>
      </c>
      <c r="G12" s="40">
        <f>Calculation!O241</f>
        <v>0</v>
      </c>
      <c r="H12" s="40">
        <f>G12*1000-6</f>
        <v>-6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Irene</v>
      </c>
      <c r="D13" s="49">
        <f t="array" ref="D13">IFERROR(INDEX(G6:G35,MATCH(LARGE(H6:H35,8),H6:H35,0)),"")</f>
        <v>4</v>
      </c>
      <c r="E13" s="1"/>
      <c r="F13" s="40" t="str">
        <f>'Raw data'!Q6</f>
        <v>Kike</v>
      </c>
      <c r="G13" s="40">
        <f>Calculation!Q241</f>
        <v>4</v>
      </c>
      <c r="H13" s="40">
        <f>G13*1000-7</f>
        <v>3993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4</v>
      </c>
      <c r="E14" s="1"/>
      <c r="F14" s="40" t="str">
        <f>'Raw data'!S6</f>
        <v>Paibol</v>
      </c>
      <c r="G14" s="40">
        <f>Calculation!S241</f>
        <v>4</v>
      </c>
      <c r="H14" s="40">
        <f>G14*1000-8</f>
        <v>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Ben</v>
      </c>
      <c r="D15" s="49">
        <f t="array" ref="D15">IFERROR(INDEX(G6:G35,MATCH(LARGE(H6:H35,10),H6:H35,0)),"")</f>
        <v>4</v>
      </c>
      <c r="E15" s="1"/>
      <c r="F15" s="40" t="str">
        <f>'Raw data'!U6</f>
        <v>Pablo</v>
      </c>
      <c r="G15" s="40">
        <f>Calculation!U241</f>
        <v>4</v>
      </c>
      <c r="H15" s="40">
        <f>G15*1000-9</f>
        <v>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Mile</v>
      </c>
      <c r="D16" s="49">
        <f t="array" ref="D16">IFERROR(INDEX(G6:G35,MATCH(LARGE(H6:H35,11),H6:H35,0)),"")</f>
        <v>4</v>
      </c>
      <c r="E16" s="1"/>
      <c r="F16" s="40" t="str">
        <f>'Raw data'!W6</f>
        <v>Almu</v>
      </c>
      <c r="G16" s="40">
        <f>Calculation!W241</f>
        <v>2</v>
      </c>
      <c r="H16" s="40">
        <f>G16*1000-10</f>
        <v>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Jaime</v>
      </c>
      <c r="D17" s="49">
        <f t="array" ref="D17">IFERROR(INDEX(G6:G35,MATCH(LARGE(H6:H35,12),H6:H35,0)),"")</f>
        <v>4</v>
      </c>
      <c r="E17" s="1"/>
      <c r="F17" s="40" t="str">
        <f>'Raw data'!Y6</f>
        <v>Juanorro</v>
      </c>
      <c r="G17" s="40">
        <f>Calculation!Y241</f>
        <v>0</v>
      </c>
      <c r="H17" s="40">
        <f>G17*1000-11</f>
        <v>-11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Manu</v>
      </c>
      <c r="D18" s="49">
        <f t="array" ref="D18">IFERROR(INDEX(G6:G35,MATCH(LARGE(H6:H35,13),H6:H35,0)),"")</f>
        <v>4</v>
      </c>
      <c r="E18" s="1"/>
      <c r="F18" s="40" t="str">
        <f>'Raw data'!AA6</f>
        <v>Cillian</v>
      </c>
      <c r="G18" s="40">
        <f>Calculation!AA241</f>
        <v>4</v>
      </c>
      <c r="H18" s="40">
        <f>G18*1000-12</f>
        <v>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Matt</v>
      </c>
      <c r="D19" s="49">
        <f t="array" ref="D19">IFERROR(INDEX(G6:G35,MATCH(LARGE(H6:H35,14),H6:H35,0)),"")</f>
        <v>2</v>
      </c>
      <c r="E19" s="1"/>
      <c r="F19" s="40" t="str">
        <f>'Raw data'!AC6</f>
        <v>July</v>
      </c>
      <c r="G19" s="40">
        <f>Calculation!AC241</f>
        <v>2</v>
      </c>
      <c r="H19" s="40">
        <f>G19*1000-13</f>
        <v>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Pano</v>
      </c>
      <c r="D20" s="49">
        <f t="array" ref="D20">IFERROR(INDEX(G6:G35,MATCH(LARGE(H6:H35,15),H6:H35,0)),"")</f>
        <v>2</v>
      </c>
      <c r="E20" s="1"/>
      <c r="F20" s="40" t="str">
        <f>'Raw data'!AE6</f>
        <v>Toño</v>
      </c>
      <c r="G20" s="40">
        <f>Calculation!AE241</f>
        <v>4</v>
      </c>
      <c r="H20" s="40">
        <f>G20*1000-14</f>
        <v>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Tere</v>
      </c>
      <c r="D21" s="49">
        <f t="array" ref="D21">IFERROR(INDEX(G6:G35,MATCH(LARGE(H6:H35,16),H6:H35,0)),"")</f>
        <v>2</v>
      </c>
      <c r="E21" s="1"/>
      <c r="F21" s="40" t="str">
        <f>'Raw data'!AG6</f>
        <v>Juanin</v>
      </c>
      <c r="G21" s="40">
        <f>Calculation!AG241</f>
        <v>4</v>
      </c>
      <c r="H21" s="40">
        <f>G21*1000-15</f>
        <v>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Nadia</v>
      </c>
      <c r="D22" s="49">
        <f t="array" ref="D22">IFERROR(INDEX(G6:G35,MATCH(LARGE(H6:H35,17),H6:H35,0)),"")</f>
        <v>2</v>
      </c>
      <c r="E22" s="1"/>
      <c r="F22" s="40" t="str">
        <f>'Raw data'!AI6</f>
        <v>Meg</v>
      </c>
      <c r="G22" s="40">
        <f>Calculation!AI241</f>
        <v>2</v>
      </c>
      <c r="H22" s="40">
        <f>G22*1000-16</f>
        <v>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JE</v>
      </c>
      <c r="D23" s="49">
        <f t="array" ref="D23">IFERROR(INDEX(G6:G35,MATCH(LARGE(H6:H35,18),H6:H35,0)),"")</f>
        <v>2</v>
      </c>
      <c r="E23" s="1"/>
      <c r="F23" s="40" t="str">
        <f>'Raw data'!AK6</f>
        <v>Irene</v>
      </c>
      <c r="G23" s="40">
        <f>Calculation!AK241</f>
        <v>4</v>
      </c>
      <c r="H23" s="40">
        <f>G23*1000-17</f>
        <v>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Almu</v>
      </c>
      <c r="D24" s="49">
        <f t="array" ref="D24">IFERROR(INDEX(G6:G35,MATCH(LARGE(H6:H35,19),H6:H35,0)),"")</f>
        <v>2</v>
      </c>
      <c r="E24" s="1"/>
      <c r="F24" s="40" t="str">
        <f>'Raw data'!AM6</f>
        <v>Andy</v>
      </c>
      <c r="G24" s="40">
        <f>Calculation!AM241</f>
        <v>2</v>
      </c>
      <c r="H24" s="40">
        <f>G24*1000-18</f>
        <v>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July</v>
      </c>
      <c r="D25" s="49">
        <f t="array" ref="D25">IFERROR(INDEX(G6:G35,MATCH(LARGE(H6:H35,20),H6:H35,0)),"")</f>
        <v>2</v>
      </c>
      <c r="E25" s="1"/>
      <c r="F25" s="40" t="str">
        <f>'Raw data'!AO6</f>
        <v>Adri</v>
      </c>
      <c r="G25" s="40">
        <f>Calculation!AO241</f>
        <v>4</v>
      </c>
      <c r="H25" s="40">
        <f>G25*1000-19</f>
        <v>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Meg</v>
      </c>
      <c r="D26" s="49">
        <f t="array" ref="D26">IFERROR(INDEX(G6:G35,MATCH(LARGE(H6:H35,21),H6:H35,0)),"")</f>
        <v>2</v>
      </c>
      <c r="E26" s="1"/>
      <c r="F26" s="40" t="str">
        <f>'Raw data'!AQ6</f>
        <v>Ben</v>
      </c>
      <c r="G26" s="40">
        <f>Calculation!AQ241</f>
        <v>4</v>
      </c>
      <c r="H26" s="40">
        <f>G26*1000-20</f>
        <v>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Andy</v>
      </c>
      <c r="D27" s="49">
        <f t="array" ref="D27">IFERROR(INDEX(G6:G35,MATCH(LARGE(H6:H35,22),H6:H35,0)),"")</f>
        <v>2</v>
      </c>
      <c r="E27" s="1"/>
      <c r="F27" s="40" t="str">
        <f>'Raw data'!AS6</f>
        <v>Gon </v>
      </c>
      <c r="G27" s="40">
        <f>Calculation!AS241</f>
        <v>2</v>
      </c>
      <c r="H27" s="40">
        <f>G27*1000-21</f>
        <v>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Gon </v>
      </c>
      <c r="D28" s="49">
        <f t="array" ref="D28">IFERROR(INDEX(G6:G35,MATCH(LARGE(H6:H35,23),H6:H35,0)),"")</f>
        <v>2</v>
      </c>
      <c r="E28" s="1"/>
      <c r="F28" s="40" t="str">
        <f>'Raw data'!AU6</f>
        <v>Mile</v>
      </c>
      <c r="G28" s="40">
        <f>Calculation!AU241</f>
        <v>4</v>
      </c>
      <c r="H28" s="40">
        <f>G28*1000-22</f>
        <v>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Cami</v>
      </c>
      <c r="D29" s="49">
        <f t="array" ref="D29">IFERROR(INDEX(G6:G35,MATCH(LARGE(H6:H35,24),H6:H35,0)),"")</f>
        <v>2</v>
      </c>
      <c r="E29" s="1"/>
      <c r="F29" s="40" t="str">
        <f>'Raw data'!AW6</f>
        <v>Cami</v>
      </c>
      <c r="G29" s="40">
        <f>Calculation!AW241</f>
        <v>2</v>
      </c>
      <c r="H29" s="40">
        <f>G29*1000-23</f>
        <v>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Hugo</v>
      </c>
      <c r="D30" s="49">
        <f t="array" ref="D30">IFERROR(INDEX(G6:G35,MATCH(LARGE(H6:H35,25),H6:H35,0)),"")</f>
        <v>2</v>
      </c>
      <c r="E30" s="1"/>
      <c r="F30" s="40" t="str">
        <f>'Raw data'!AY6</f>
        <v>Hugo</v>
      </c>
      <c r="G30" s="40">
        <f>Calculation!AY241</f>
        <v>2</v>
      </c>
      <c r="H30" s="40">
        <f>G30*1000-24</f>
        <v>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Emilio</v>
      </c>
      <c r="D31" s="49">
        <f t="array" ref="D31">IFERROR(INDEX(G6:G35,MATCH(LARGE(H6:H35,26),H6:H35,0)),"")</f>
        <v>2</v>
      </c>
      <c r="E31" s="1"/>
      <c r="F31" s="40" t="str">
        <f>'Raw data'!BA6</f>
        <v>Jaime</v>
      </c>
      <c r="G31" s="40">
        <f>Calculation!BA241</f>
        <v>4</v>
      </c>
      <c r="H31" s="40">
        <f>G31*1000-25</f>
        <v>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Lucía</v>
      </c>
      <c r="D32" s="49">
        <f t="array" ref="D32">IFERROR(INDEX(G6:G35,MATCH(LARGE(H6:H35,27),H6:H35,0)),"")</f>
        <v>0</v>
      </c>
      <c r="E32" s="1"/>
      <c r="F32" s="40" t="str">
        <f>'Raw data'!BC6</f>
        <v>Emilio</v>
      </c>
      <c r="G32" s="40">
        <f>Calculation!BC241</f>
        <v>2</v>
      </c>
      <c r="H32" s="40">
        <f>G32*1000-26</f>
        <v>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Juanorro</v>
      </c>
      <c r="D33" s="49">
        <f t="array" ref="D33">IFERROR(INDEX(G6:G35,MATCH(LARGE(H6:H35,28),H6:H35,0)),"")</f>
        <v>0</v>
      </c>
      <c r="E33" s="1"/>
      <c r="F33" s="40" t="str">
        <f>'Raw data'!BE6</f>
        <v>Manu</v>
      </c>
      <c r="G33" s="40">
        <f>Calculation!BE241</f>
        <v>4</v>
      </c>
      <c r="H33" s="40">
        <f>G33*1000-27</f>
        <v>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